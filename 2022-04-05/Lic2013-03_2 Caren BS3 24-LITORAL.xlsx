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E:\Meir\ExportaExcel\2022-04-05\"/>
    </mc:Choice>
  </mc:AlternateContent>
  <xr:revisionPtr revIDLastSave="0" documentId="13_ncr:1_{417712E3-A120-4114-BA18-58B6CB968101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README" sheetId="1" r:id="rId1"/>
    <sheet name="ReliquidacionEFACT" sheetId="2" r:id="rId2"/>
    <sheet name="ResumenRetiros" sheetId="3" r:id="rId3"/>
    <sheet name="FactRealE" sheetId="4" r:id="rId4"/>
    <sheet name="FactRealP" sheetId="5" r:id="rId5"/>
    <sheet name="FACT_EMITIDA" sheetId="6" r:id="rId6"/>
    <sheet name="SIGGE_E" sheetId="7" r:id="rId7"/>
    <sheet name="SIGGE_P" sheetId="8" r:id="rId8"/>
    <sheet name="EFACT_CNE" sheetId="9" r:id="rId9"/>
    <sheet name="EfactCNE_BT" sheetId="10" r:id="rId10"/>
    <sheet name="CEN_Energia" sheetId="11" r:id="rId11"/>
    <sheet name="CEN_Potencia" sheetId="12" r:id="rId12"/>
    <sheet name="CEN_EnergiaBT" sheetId="13" r:id="rId13"/>
    <sheet name="EFACT_EST_CEN" sheetId="14" r:id="rId14"/>
    <sheet name="SIN_DATA" sheetId="15" r:id="rId15"/>
    <sheet name="INTERESES" sheetId="16" r:id="rId16"/>
  </sheets>
  <definedNames>
    <definedName name="_xlnm._FilterDatabase" localSheetId="8" hidden="1">EFACT_CNE!$A$1:$AD$337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3" l="1"/>
  <c r="G14" i="3"/>
  <c r="F14" i="3"/>
  <c r="E14" i="3"/>
  <c r="D14" i="3"/>
  <c r="H13" i="3"/>
  <c r="G13" i="3"/>
  <c r="F13" i="3"/>
  <c r="E13" i="3"/>
  <c r="D13" i="3"/>
  <c r="H12" i="3"/>
  <c r="G12" i="3"/>
  <c r="F12" i="3"/>
  <c r="E12" i="3"/>
  <c r="D12" i="3"/>
  <c r="H11" i="3"/>
  <c r="G11" i="3"/>
  <c r="F11" i="3"/>
  <c r="E11" i="3"/>
  <c r="D11" i="3"/>
  <c r="H10" i="3"/>
  <c r="G10" i="3"/>
  <c r="F10" i="3"/>
  <c r="E10" i="3"/>
  <c r="D10" i="3"/>
  <c r="H9" i="3"/>
  <c r="H15" i="3" s="1"/>
  <c r="G9" i="3"/>
  <c r="G15" i="3" s="1"/>
  <c r="F9" i="3"/>
  <c r="F15" i="3" s="1"/>
  <c r="E9" i="3"/>
  <c r="D9" i="3"/>
  <c r="D15" i="3" s="1"/>
  <c r="AC14" i="2"/>
  <c r="AB14" i="2"/>
  <c r="Q14" i="2"/>
  <c r="P14" i="2"/>
  <c r="R14" i="2" s="1"/>
  <c r="N14" i="2"/>
  <c r="S14" i="2" s="1"/>
  <c r="V14" i="2" s="1"/>
  <c r="M14" i="2"/>
  <c r="H14" i="2"/>
  <c r="J14" i="2" s="1"/>
  <c r="G14" i="2"/>
  <c r="E14" i="2"/>
  <c r="F14" i="2" s="1"/>
  <c r="D14" i="2"/>
  <c r="AB13" i="2"/>
  <c r="AC13" i="2" s="1"/>
  <c r="Q13" i="2"/>
  <c r="P13" i="2"/>
  <c r="N13" i="2"/>
  <c r="S13" i="2" s="1"/>
  <c r="V13" i="2" s="1"/>
  <c r="M13" i="2"/>
  <c r="H13" i="2"/>
  <c r="I13" i="2" s="1"/>
  <c r="G13" i="2"/>
  <c r="F13" i="2"/>
  <c r="E13" i="2"/>
  <c r="J13" i="2" s="1"/>
  <c r="D13" i="2"/>
  <c r="AB12" i="2"/>
  <c r="AC12" i="2" s="1"/>
  <c r="Q12" i="2"/>
  <c r="R12" i="2" s="1"/>
  <c r="P12" i="2"/>
  <c r="N12" i="2"/>
  <c r="O12" i="2" s="1"/>
  <c r="M12" i="2"/>
  <c r="J12" i="2"/>
  <c r="I12" i="2"/>
  <c r="H12" i="2"/>
  <c r="G12" i="2"/>
  <c r="F12" i="2"/>
  <c r="E12" i="2"/>
  <c r="D12" i="2"/>
  <c r="AC11" i="2"/>
  <c r="AB11" i="2"/>
  <c r="Q11" i="2"/>
  <c r="P11" i="2"/>
  <c r="N11" i="2"/>
  <c r="M11" i="2"/>
  <c r="H11" i="2"/>
  <c r="G11" i="2"/>
  <c r="I11" i="2" s="1"/>
  <c r="E11" i="2"/>
  <c r="J11" i="2" s="1"/>
  <c r="D11" i="2"/>
  <c r="AC10" i="2"/>
  <c r="AB10" i="2"/>
  <c r="Q10" i="2"/>
  <c r="P10" i="2"/>
  <c r="N10" i="2"/>
  <c r="M10" i="2"/>
  <c r="H10" i="2"/>
  <c r="J10" i="2" s="1"/>
  <c r="G10" i="2"/>
  <c r="F10" i="2"/>
  <c r="E10" i="2"/>
  <c r="D10" i="2"/>
  <c r="AB9" i="2"/>
  <c r="AC9" i="2" s="1"/>
  <c r="Q9" i="2"/>
  <c r="P9" i="2"/>
  <c r="N9" i="2"/>
  <c r="O9" i="2" s="1"/>
  <c r="M9" i="2"/>
  <c r="J9" i="2"/>
  <c r="H9" i="2"/>
  <c r="G9" i="2"/>
  <c r="I9" i="2" s="1"/>
  <c r="F9" i="2"/>
  <c r="E9" i="2"/>
  <c r="D9" i="2"/>
  <c r="S9" i="2" l="1"/>
  <c r="V9" i="2" s="1"/>
  <c r="O10" i="2"/>
  <c r="O13" i="2"/>
  <c r="E15" i="3"/>
  <c r="R10" i="2"/>
  <c r="R13" i="2"/>
  <c r="O11" i="2"/>
  <c r="S12" i="2"/>
  <c r="R11" i="2"/>
  <c r="V12" i="2"/>
  <c r="AD14" i="2"/>
  <c r="AE14" i="2" s="1"/>
  <c r="AD9" i="2"/>
  <c r="AE9" i="2" s="1"/>
  <c r="AD10" i="2"/>
  <c r="AD13" i="2"/>
  <c r="AE13" i="2" s="1"/>
  <c r="O14" i="2"/>
  <c r="I10" i="2"/>
  <c r="S10" i="2"/>
  <c r="V10" i="2" s="1"/>
  <c r="F11" i="2"/>
  <c r="S11" i="2"/>
  <c r="V11" i="2" s="1"/>
  <c r="R9" i="2"/>
  <c r="I14" i="2"/>
  <c r="AD12" i="2" l="1"/>
  <c r="AE12" i="2" s="1"/>
  <c r="AD11" i="2"/>
  <c r="AE11" i="2" s="1"/>
  <c r="AE10" i="2"/>
  <c r="AE15" i="2" l="1"/>
</calcChain>
</file>

<file path=xl/sharedStrings.xml><?xml version="1.0" encoding="utf-8"?>
<sst xmlns="http://schemas.openxmlformats.org/spreadsheetml/2006/main" count="16505" uniqueCount="318">
  <si>
    <t>Hoja</t>
  </si>
  <si>
    <t>Descripción</t>
  </si>
  <si>
    <t>EFACT_CNE</t>
  </si>
  <si>
    <t>Información de facturación definitiva proveniente de los archivos EFACT publicados por la CNE en los Decretos de Precio de Nudo</t>
  </si>
  <si>
    <t>FACT_EMITIDA</t>
  </si>
  <si>
    <t>Información de facturación real desde PDFs y sistema SIGGE (gestión facturación electrónica)</t>
  </si>
  <si>
    <t>SIGGE_E</t>
  </si>
  <si>
    <t>Información de facturación real de Energía desde PDFs y sistema SIGGE (gestión facturación electrónica)</t>
  </si>
  <si>
    <t>SIGGE_P</t>
  </si>
  <si>
    <t>Información de facturación real de Potencia desde PDFs y sistema SIGGE (gestión facturación electrónica)</t>
  </si>
  <si>
    <t>FACT_EST_EFACT</t>
  </si>
  <si>
    <t>Estimación de facturación emitida en base a información de los EFACT Decretos Precios de Nudo</t>
  </si>
  <si>
    <t>FACT_EST_CEN</t>
  </si>
  <si>
    <t>Estimación de la facturación emitida en base a los balances mensuales publicados por el Coordinador</t>
  </si>
  <si>
    <t>Generador</t>
  </si>
  <si>
    <t>Caren</t>
  </si>
  <si>
    <t>Distribuidor</t>
  </si>
  <si>
    <t>LITORAL</t>
  </si>
  <si>
    <t>Licitacion</t>
  </si>
  <si>
    <t>2013/03-2° Llamado</t>
  </si>
  <si>
    <t>Bloque</t>
  </si>
  <si>
    <t>BS3</t>
  </si>
  <si>
    <t>LO QUE SE FACTURÓ</t>
  </si>
  <si>
    <t>LO QUE SE DEBIÓ HABER FACTURADO</t>
  </si>
  <si>
    <t>RELQUIDACIÓN Y CÁLCULO INTERESES</t>
  </si>
  <si>
    <t>ID</t>
  </si>
  <si>
    <t>MES</t>
  </si>
  <si>
    <t>ORIGEN DATA</t>
  </si>
  <si>
    <t>Energía (kWh)</t>
  </si>
  <si>
    <t>Monto Energía ($)</t>
  </si>
  <si>
    <t>$/kWh</t>
  </si>
  <si>
    <t>Potencia (kW)</t>
  </si>
  <si>
    <t>Monto Potencia ($)</t>
  </si>
  <si>
    <t>$/kW-mes</t>
  </si>
  <si>
    <t>Monto Total ($)</t>
  </si>
  <si>
    <t>Mes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</si>
  <si>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</si>
  <si>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</si>
  <si>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</si>
  <si>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</si>
  <si>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</si>
  <si>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</si>
  <si>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</si>
  <si>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</si>
  <si>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</si>
  <si>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</si>
  <si>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</si>
  <si>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Reliquidación</t>
  </si>
  <si>
    <t>Montos a favor</t>
  </si>
  <si>
    <t>LAP emite factura</t>
  </si>
  <si>
    <t>Montos en contra</t>
  </si>
  <si>
    <t>LAP emite nota de crédito</t>
  </si>
  <si>
    <t>Energía SIGGE (kWh)</t>
  </si>
  <si>
    <t>Energía EFACT AT (kWh)</t>
  </si>
  <si>
    <t>Energía EFACT BT (kWh)</t>
  </si>
  <si>
    <t>Energía Coordinador AT (kWh)</t>
  </si>
  <si>
    <t>Energía Coordinador BT (kWh)</t>
  </si>
  <si>
    <t>Empresa</t>
  </si>
  <si>
    <t>MesDevengado</t>
  </si>
  <si>
    <t>IdAgrupacion</t>
  </si>
  <si>
    <t>NomAgrupacion</t>
  </si>
  <si>
    <t>NombreCliente</t>
  </si>
  <si>
    <t>FechaDeContabilizacion</t>
  </si>
  <si>
    <t>PrefijoFolio</t>
  </si>
  <si>
    <t>CuentaDeMayor</t>
  </si>
  <si>
    <t>CodigoDeArticulo</t>
  </si>
  <si>
    <t>NumDeFolio</t>
  </si>
  <si>
    <t>MontoCLP</t>
  </si>
  <si>
    <t>TotalUSD</t>
  </si>
  <si>
    <t>Periodo</t>
  </si>
  <si>
    <t>Nombre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</si>
  <si>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</si>
  <si>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</si>
  <si>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</si>
  <si>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</si>
  <si>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</si>
  <si>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</si>
  <si>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</si>
  <si>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</si>
  <si>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ClaveEEDD</t>
  </si>
  <si>
    <t>Num</t>
  </si>
  <si>
    <t>Barra</t>
  </si>
  <si>
    <t>Energia</t>
  </si>
  <si>
    <t>MontoEnergia</t>
  </si>
  <si>
    <t>Potencia</t>
  </si>
  <si>
    <t>MontoPotencia</t>
  </si>
  <si>
    <t>Precio</t>
  </si>
  <si>
    <t>01-10-2020</t>
  </si>
  <si>
    <t>Licitación Caren y Litoral (SIC 2013/03-2) BS3</t>
  </si>
  <si>
    <t>Potencia Licitaciones</t>
  </si>
  <si>
    <t>Lic. SIC 2013/03-2 bloques BS3: Potencia oct 2020</t>
  </si>
  <si>
    <t>2020-11-12 23:15:43</t>
  </si>
  <si>
    <t>s</t>
  </si>
  <si>
    <t>Litoral</t>
  </si>
  <si>
    <t>2013/03-2</t>
  </si>
  <si>
    <t>A.MELIP 220</t>
  </si>
  <si>
    <t>Energia Licitaciones</t>
  </si>
  <si>
    <t>Energía</t>
  </si>
  <si>
    <t>Lic. SIC 2013/03-2 bloques BS3: Energía oct 2020</t>
  </si>
  <si>
    <t>L.MAQUIS 220</t>
  </si>
  <si>
    <t>NOGALES 220</t>
  </si>
  <si>
    <t>QUILLOTA 220</t>
  </si>
  <si>
    <t>01-11-2020</t>
  </si>
  <si>
    <t>Lic. SIC 2013/03-2 bloques BS3: Potencia nov 2020</t>
  </si>
  <si>
    <t>2020-12-11 10:21:19</t>
  </si>
  <si>
    <t>Lic. SIC 2013/03-2 bloques BS3: Energía nov 2020</t>
  </si>
  <si>
    <t>01-12-2020</t>
  </si>
  <si>
    <t>Lic. SIC 2013/03-2 bloques BS3: Potencia dic 2020</t>
  </si>
  <si>
    <t>2021-01-14 16:09:58</t>
  </si>
  <si>
    <t>Lic. SIC 2013/03-2 bloques BS3: Energía dic 2020</t>
  </si>
  <si>
    <t>01-01-2021</t>
  </si>
  <si>
    <t>Lic. SIC 2013/03-2 bloques BS3: Potencia ene 2021</t>
  </si>
  <si>
    <t>2021-02-12 16:25:07</t>
  </si>
  <si>
    <t>Lic. SIC 2013/03-2 bloques BS3: Energía ene 2021</t>
  </si>
  <si>
    <t>01-02-2021</t>
  </si>
  <si>
    <t>Lic. SIC 2013/03-2 bloques BS3: Potencia feb 2021</t>
  </si>
  <si>
    <t>2021-03-08 14:44:33</t>
  </si>
  <si>
    <t>Lic. SIC 2013/03-2 bloques BS3: Energía feb 2021</t>
  </si>
  <si>
    <t>01-03-2021</t>
  </si>
  <si>
    <t>Lic. SIC 2013/03-2 bloques BS3: Potencia mar 2021</t>
  </si>
  <si>
    <t>2021-04-12 15:14:08</t>
  </si>
  <si>
    <t>Lic. SIC 2013/03-2 bloques BS3: Energía mar 2021</t>
  </si>
  <si>
    <t>IdContrato</t>
  </si>
  <si>
    <t>Anho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</si>
  <si>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</si>
  <si>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</si>
  <si>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</si>
  <si>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</si>
  <si>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</si>
  <si>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</si>
  <si>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</si>
  <si>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</si>
  <si>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</si>
  <si>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</si>
  <si>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</si>
  <si>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</si>
  <si>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</si>
  <si>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</si>
  <si>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TotalEnergiaAjustado</t>
  </si>
  <si>
    <t>TotalPotenciaAjustado</t>
  </si>
  <si>
    <t>EmpresaDistribuidora</t>
  </si>
  <si>
    <t>PrecioEnergia</t>
  </si>
  <si>
    <t>PrecioEnergiaAjustado</t>
  </si>
  <si>
    <t>TotalEnergia</t>
  </si>
  <si>
    <t>PrecioPotencia</t>
  </si>
  <si>
    <t>PrecioPotenciaAjustado</t>
  </si>
  <si>
    <t>TotalPotencia</t>
  </si>
  <si>
    <t>Fecha</t>
  </si>
  <si>
    <t>Balandras 12.5</t>
  </si>
  <si>
    <t>Empresa Eléctrica Carén S.A.</t>
  </si>
  <si>
    <t>SIC 2013/03_2_BS3_BB_Litoral_Empresa Eléctrica Carén S.A.</t>
  </si>
  <si>
    <t>-1</t>
  </si>
  <si>
    <t>3</t>
  </si>
  <si>
    <t>LOS MAQUIS 220</t>
  </si>
  <si>
    <t>MELIPILLA 220</t>
  </si>
  <si>
    <t>El Totoral 12.5</t>
  </si>
  <si>
    <t>Las Piñatas 13.8</t>
  </si>
  <si>
    <t>Quintay 012</t>
  </si>
  <si>
    <t>San Jeronimo 13.8</t>
  </si>
  <si>
    <t>San Sebastian 012</t>
  </si>
  <si>
    <t>Tap Algarrobo Norte 012</t>
  </si>
  <si>
    <t>SIC 2013/03_2_BS3_BB_LITORAL_Empresa Eléctrica Carén S.A.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</si>
  <si>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</si>
  <si>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</si>
  <si>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</si>
  <si>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</si>
  <si>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</si>
  <si>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</si>
  <si>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</si>
  <si>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</si>
  <si>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</si>
  <si>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</si>
  <si>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</si>
  <si>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</si>
  <si>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</si>
  <si>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</si>
  <si>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</si>
  <si>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</si>
  <si>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</si>
  <si>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</si>
  <si>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</si>
  <si>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</si>
  <si>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</si>
  <si>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</si>
  <si>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</si>
  <si>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</si>
  <si>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</si>
  <si>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</si>
  <si>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</si>
  <si>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</si>
  <si>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</si>
  <si>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</si>
  <si>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</si>
  <si>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</si>
  <si>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</si>
  <si>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</si>
  <si>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</si>
  <si>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</si>
  <si>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</si>
  <si>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V_TotalEnergiaMesBarraGxDxBloque_CLP_kW_Mes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</si>
  <si>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</si>
  <si>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</si>
  <si>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</si>
  <si>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</si>
  <si>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</si>
  <si>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</si>
  <si>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</si>
  <si>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</si>
  <si>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</si>
  <si>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</si>
  <si>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</si>
  <si>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</si>
  <si>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</si>
  <si>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</si>
  <si>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</si>
  <si>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</si>
  <si>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</si>
  <si>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R_TotalEnergiaMesBarraGxDxBloque_CLP_kW_Mes</t>
  </si>
  <si>
    <t>CAREN</t>
  </si>
  <si>
    <t>SUM_LITORAL_A</t>
  </si>
  <si>
    <t>A</t>
  </si>
  <si>
    <t>LITOANORA</t>
  </si>
  <si>
    <t>ALGARR.NORTE</t>
  </si>
  <si>
    <t>ALGARROBO NORTE</t>
  </si>
  <si>
    <t>LOS MAQUIS</t>
  </si>
  <si>
    <t>PNP_6T_08-05-2020</t>
  </si>
  <si>
    <t>PNCP_9T_12-08-2019</t>
  </si>
  <si>
    <t>PNCP_4T_30-04-2013</t>
  </si>
  <si>
    <t>PNP_19T_30-12-2020</t>
  </si>
  <si>
    <t>PNCP_12T_10-08-2020</t>
  </si>
  <si>
    <t>Melipilla</t>
  </si>
  <si>
    <t>Nogales</t>
  </si>
  <si>
    <t>Quillota</t>
  </si>
  <si>
    <t>LITOBALAA</t>
  </si>
  <si>
    <t>BALANDRAS</t>
  </si>
  <si>
    <t>MELIPILLA</t>
  </si>
  <si>
    <t>NOGALES</t>
  </si>
  <si>
    <t>QUILLOTA</t>
  </si>
  <si>
    <t>LITOPINAA</t>
  </si>
  <si>
    <t>PIÑATAS</t>
  </si>
  <si>
    <t>LAS PIÑATAS</t>
  </si>
  <si>
    <t>LITOQUINA</t>
  </si>
  <si>
    <t>QUINTAY</t>
  </si>
  <si>
    <t>LITOJEROA</t>
  </si>
  <si>
    <t>S.JERONIMO</t>
  </si>
  <si>
    <t>SAN JERONIMO</t>
  </si>
  <si>
    <t>LITOSEBAA</t>
  </si>
  <si>
    <t>S.SEBASTIAN</t>
  </si>
  <si>
    <t>SAN SEBASTIAN</t>
  </si>
  <si>
    <t>LITOTOTOA</t>
  </si>
  <si>
    <t>TOTORAL</t>
  </si>
  <si>
    <t>SUM_LITORAL_B</t>
  </si>
  <si>
    <t>B</t>
  </si>
  <si>
    <t>LITOANORB</t>
  </si>
  <si>
    <t>LITOBALAB</t>
  </si>
  <si>
    <t>LITOPINAB</t>
  </si>
  <si>
    <t>LITOQUINB</t>
  </si>
  <si>
    <t>LITOJEROB</t>
  </si>
  <si>
    <t>LITOSEBAB</t>
  </si>
  <si>
    <t>LITOTOTOB</t>
  </si>
  <si>
    <t>SUM_LITORAL_C</t>
  </si>
  <si>
    <t>C</t>
  </si>
  <si>
    <t>LITOANORC</t>
  </si>
  <si>
    <t>LITOBALAC</t>
  </si>
  <si>
    <t>LITOPINAC</t>
  </si>
  <si>
    <t>LITOQUINC</t>
  </si>
  <si>
    <t>LITOJEROC</t>
  </si>
  <si>
    <t>LITOSEBAC</t>
  </si>
  <si>
    <t>LITOTOTOC</t>
  </si>
  <si>
    <t>PNP_16T_02-11-2020</t>
  </si>
  <si>
    <t>PNCP_2T_10-02-2020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</si>
  <si>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</si>
  <si>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</si>
  <si>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</si>
  <si>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</si>
  <si>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</si>
  <si>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</si>
  <si>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</si>
  <si>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</si>
  <si>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V_TotalPotenciaMesBarraGxDxBloque_CLP_kW_Mes</t>
  </si>
  <si>
    <t>R_TotalPotenciaMesBarraGxDxBloque_CLP_kW_Mes</t>
  </si>
  <si>
    <t>Tipo</t>
  </si>
  <si>
    <t>ConsumoEnergiaBT</t>
  </si>
  <si>
    <t>R_G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</si>
  <si>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</si>
  <si>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</si>
  <si>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</si>
  <si>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</si>
  <si>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</si>
  <si>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</si>
  <si>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</si>
  <si>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</si>
  <si>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</si>
  <si>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</si>
  <si>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</si>
  <si>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</si>
  <si>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</si>
  <si>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</si>
  <si>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</si>
  <si>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</si>
  <si>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</si>
  <si>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</si>
  <si>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</si>
  <si>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</si>
  <si>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</si>
  <si>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Certificado N°9/2018</t>
  </si>
  <si>
    <t>https://www.diariooficial.interior.gob.cl/publicaciones/2018/09/15/42159/01/1465375.pdf</t>
  </si>
  <si>
    <t>PNP_20T_13-12-2018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</si>
  <si>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</si>
  <si>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</si>
  <si>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</si>
  <si>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</si>
  <si>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</si>
  <si>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</si>
  <si>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</si>
  <si>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</si>
  <si>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Interés ResEx 703 (06-nov.2018), Artículo 13</t>
  </si>
  <si>
    <t>Operaciones no reajustables en moneda nacional de menos de 90 días, superiores al equivalente de 5.000 unidades de fomento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</si>
</sst>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d\-mm\-yyyy"/>
    <numFmt numFmtId="166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ariooficial.interior.gob.cl/publicaciones/2020/10/15/42780/01/1830437.pdf" TargetMode="External"/><Relationship Id="rId3" Type="http://schemas.openxmlformats.org/officeDocument/2006/relationships/hyperlink" Target="https://www.diariooficial.interior.gob.cl/publicaciones/2017/09/15/41861/01/1272697.pdf" TargetMode="External"/><Relationship Id="rId7" Type="http://schemas.openxmlformats.org/officeDocument/2006/relationships/hyperlink" Target="https://www.diariooficial.interior.gob.cl/publicaciones/2019/04/15/42331/01/1576341.pdf" TargetMode="External"/><Relationship Id="rId2" Type="http://schemas.openxmlformats.org/officeDocument/2006/relationships/hyperlink" Target="https://www.bcn.cl/leychile/navegar?idNorma=1093605" TargetMode="External"/><Relationship Id="rId1" Type="http://schemas.openxmlformats.org/officeDocument/2006/relationships/hyperlink" Target="https://www.bcn.cl/leychile/navegar?idNorma=1092549" TargetMode="External"/><Relationship Id="rId6" Type="http://schemas.openxmlformats.org/officeDocument/2006/relationships/hyperlink" Target="https://www.diariooficial.interior.gob.cl/publicaciones/2018/09/15/42159/01/1465375.pdf" TargetMode="External"/><Relationship Id="rId5" Type="http://schemas.openxmlformats.org/officeDocument/2006/relationships/hyperlink" Target="https://www.diariooficial.interior.gob.cl/publicaciones/2018/03/15/42008/01/1366088.pdf" TargetMode="External"/><Relationship Id="rId10" Type="http://schemas.openxmlformats.org/officeDocument/2006/relationships/hyperlink" Target="https://www.diariooficial.interior.gob.cl/publicaciones/2021/05/14/42954/01/1943780.pdf" TargetMode="External"/><Relationship Id="rId4" Type="http://schemas.openxmlformats.org/officeDocument/2006/relationships/hyperlink" Target="https://www.diariooficial.interior.gob.cl/publicaciones/2017/09/15/41861/01/1272697.pdf" TargetMode="External"/><Relationship Id="rId9" Type="http://schemas.openxmlformats.org/officeDocument/2006/relationships/hyperlink" Target="https://www.diariooficial.interior.gob.cl/publicaciones/2021/03/15/42905/01/19101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8"/>
  <sheetViews>
    <sheetView workbookViewId="0">
      <selection activeCell="N12" sqref="N12"/>
    </sheetView>
  </sheetViews>
  <sheetFormatPr baseColWidth="10" defaultColWidth="9.140625" defaultRowHeight="15" x14ac:dyDescent="0.25"/>
  <cols>
    <col min="1" max="1" width="11.5703125" bestFit="1" customWidth="1"/>
    <col min="2" max="2" width="18.28515625" bestFit="1" customWidth="1"/>
    <col min="3" max="3" width="13.85546875" bestFit="1" customWidth="1"/>
    <col min="4" max="4" width="13.28515625" style="6" bestFit="1" customWidth="1"/>
    <col min="5" max="5" width="16.7109375" style="6" bestFit="1" customWidth="1"/>
    <col min="6" max="6" width="6.85546875" style="8" bestFit="1" customWidth="1"/>
    <col min="7" max="7" width="13.42578125" style="6" bestFit="1" customWidth="1"/>
    <col min="8" max="8" width="18" style="6" bestFit="1" customWidth="1"/>
    <col min="9" max="9" width="10.140625" style="6" bestFit="1" customWidth="1"/>
    <col min="10" max="10" width="14.5703125" style="6" bestFit="1" customWidth="1"/>
    <col min="12" max="12" width="13.140625" bestFit="1" customWidth="1"/>
    <col min="13" max="13" width="13.28515625" style="6" bestFit="1" customWidth="1"/>
    <col min="14" max="14" width="16.7109375" style="6" bestFit="1" customWidth="1"/>
    <col min="15" max="15" width="6.85546875" style="8" bestFit="1" customWidth="1"/>
    <col min="16" max="16" width="13.42578125" style="8" bestFit="1" customWidth="1"/>
    <col min="17" max="17" width="18" style="6" bestFit="1" customWidth="1"/>
    <col min="18" max="18" width="10.140625" style="6" bestFit="1" customWidth="1"/>
    <col min="19" max="19" width="14.5703125" style="6" bestFit="1" customWidth="1"/>
    <col min="21" max="21" width="18.140625" bestFit="1" customWidth="1"/>
    <col min="22" max="22" width="24.28515625" style="6" bestFit="1" customWidth="1"/>
    <col min="23" max="23" width="25" bestFit="1" customWidth="1"/>
    <col min="24" max="24" width="29" bestFit="1" customWidth="1"/>
    <col min="25" max="25" width="12.85546875" bestFit="1" customWidth="1"/>
    <col min="26" max="26" width="18.140625" bestFit="1" customWidth="1"/>
    <col min="27" max="27" width="18.85546875" bestFit="1" customWidth="1"/>
    <col min="28" max="28" width="21.42578125" bestFit="1" customWidth="1"/>
    <col min="29" max="29" width="26.85546875" bestFit="1" customWidth="1"/>
    <col min="30" max="30" width="24.140625" style="6" bestFit="1" customWidth="1"/>
    <col min="31" max="31" width="21" style="6" bestFit="1" customWidth="1"/>
  </cols>
  <sheetData>
    <row r="1" spans="1:31" x14ac:dyDescent="0.25">
      <c r="A1" s="1"/>
      <c r="B1" s="1"/>
      <c r="C1" s="1"/>
      <c r="D1" s="5"/>
      <c r="E1" s="5"/>
      <c r="F1" s="7"/>
      <c r="G1" s="5"/>
      <c r="H1" s="5"/>
      <c r="I1" s="5"/>
      <c r="J1" s="5"/>
      <c r="K1" s="1"/>
      <c r="L1" s="1"/>
      <c r="M1" s="5"/>
      <c r="N1" s="5"/>
      <c r="O1" s="7"/>
      <c r="P1" s="7"/>
      <c r="Q1" s="5"/>
      <c r="R1" s="5"/>
      <c r="S1" s="5"/>
      <c r="T1" s="1"/>
      <c r="U1" s="1"/>
      <c r="V1" s="5"/>
      <c r="W1" s="1"/>
      <c r="X1" s="1"/>
      <c r="Y1" s="1"/>
      <c r="Z1" s="1"/>
      <c r="AA1" s="1"/>
      <c r="AB1" s="1"/>
      <c r="AC1" s="1"/>
      <c r="AD1" s="5"/>
      <c r="AE1" s="5"/>
    </row>
    <row r="2" spans="1:31" x14ac:dyDescent="0.25">
      <c r="A2" t="s">
        <v>14</v>
      </c>
      <c r="B2" t="s">
        <v>15</v>
      </c>
    </row>
    <row r="3" spans="1:31" x14ac:dyDescent="0.25">
      <c r="A3" t="s">
        <v>16</v>
      </c>
      <c r="B3" t="s">
        <v>17</v>
      </c>
    </row>
    <row r="4" spans="1:31" x14ac:dyDescent="0.25">
      <c r="A4" t="s">
        <v>18</v>
      </c>
      <c r="B4" t="s">
        <v>19</v>
      </c>
    </row>
    <row r="5" spans="1:31" x14ac:dyDescent="0.25">
      <c r="A5" t="s">
        <v>20</v>
      </c>
      <c r="B5" t="s">
        <v>21</v>
      </c>
    </row>
    <row r="7" spans="1:31" x14ac:dyDescent="0.25">
      <c r="C7" s="9" t="s">
        <v>22</v>
      </c>
      <c r="D7" s="9"/>
      <c r="L7" s="9" t="s">
        <v>23</v>
      </c>
      <c r="M7" s="9"/>
      <c r="U7" s="9" t="s">
        <v>24</v>
      </c>
      <c r="V7" s="9"/>
    </row>
    <row r="8" spans="1:31" x14ac:dyDescent="0.25">
      <c r="A8" t="s">
        <v>25</v>
      </c>
      <c r="B8" t="s">
        <v>26</v>
      </c>
      <c r="C8" t="s">
        <v>27</v>
      </c>
      <c r="D8" s="6" t="s">
        <v>28</v>
      </c>
      <c r="E8" s="6" t="s">
        <v>29</v>
      </c>
      <c r="F8" s="8" t="s">
        <v>30</v>
      </c>
      <c r="G8" s="6" t="s">
        <v>31</v>
      </c>
      <c r="H8" s="6" t="s">
        <v>32</v>
      </c>
      <c r="I8" s="6" t="s">
        <v>33</v>
      </c>
      <c r="J8" s="6" t="s">
        <v>34</v>
      </c>
      <c r="L8" t="s">
        <v>27</v>
      </c>
      <c r="M8" s="6" t="s">
        <v>28</v>
      </c>
      <c r="N8" s="6" t="s">
        <v>29</v>
      </c>
      <c r="O8" s="8" t="s">
        <v>30</v>
      </c>
      <c r="P8" s="8" t="s">
        <v>31</v>
      </c>
      <c r="Q8" s="6" t="s">
        <v>32</v>
      </c>
      <c r="R8" s="6" t="s">
        <v>33</v>
      </c>
      <c r="S8" s="6" t="s">
        <v>34</v>
      </c>
      <c r="U8" t="s">
        <v>35</v>
      </c>
      <c r="V8" s="6" t="s">
        <v>36</v>
      </c>
      <c r="W8" t="s">
        <v>37</v>
      </c>
      <c r="X8" t="s">
        <v>38</v>
      </c>
      <c r="Y8" t="s">
        <v>39</v>
      </c>
      <c r="Z8" t="s">
        <v>40</v>
      </c>
      <c r="AA8" t="s">
        <v>41</v>
      </c>
      <c r="AB8" t="s">
        <v>42</v>
      </c>
      <c r="AC8" t="s">
        <v>43</v>
      </c>
      <c r="AD8" s="6" t="s">
        <v>44</v>
      </c>
      <c r="AE8" s="6" t="s">
        <v>45</v>
      </c>
    </row>
    <row r="9" spans="1:31" x14ac:dyDescent="0.25">
      <c r="A9">
        <v>9</v>
      </c>
      <c r="B9" s="4">
        <v>44105</v>
      </c>
      <c r="C9" t="s">
        <v>4</v>
      </c>
      <c r="D9" s="6">
        <f>SUMIF(SIGGE_E!B:B,ReliquidacionEFACT!B9,SIGGE_E!S:S)</f>
        <v>5621.3335790000001</v>
      </c>
      <c r="E9" s="6">
        <f>SUMIF(SIGGE_E!B:B,ReliquidacionEFACT!B9,SIGGE_E!T:T)</f>
        <v>407861</v>
      </c>
      <c r="F9" s="8">
        <f t="shared" ref="F9:F14" si="0">IFERROR((E9/D9),0)</f>
        <v>72.555914760809458</v>
      </c>
      <c r="G9" s="6">
        <f>SUMIF(SIGGE_P!B:B,ReliquidacionEFACT!B9,SIGGE_P!U:U)</f>
        <v>11.030795999999999</v>
      </c>
      <c r="H9" s="6">
        <f>SUMIF(SIGGE_P!B:B,ReliquidacionEFACT!B9,SIGGE_P!V:V)</f>
        <v>67850</v>
      </c>
      <c r="I9" s="6">
        <f t="shared" ref="I9:I14" si="1">IFERROR((H9/G9),0)</f>
        <v>6150.9613630784224</v>
      </c>
      <c r="J9" s="6">
        <f t="shared" ref="J9:J14" si="2">(E9+H9)</f>
        <v>475711</v>
      </c>
      <c r="L9" t="s">
        <v>2</v>
      </c>
      <c r="M9" s="6">
        <f>SUMIF(EFACT_CNE!B:B,ReliquidacionEFACT!B9,EFACT_CNE!S:S)</f>
        <v>5643.0481317768144</v>
      </c>
      <c r="N9" s="6">
        <f>SUMIF(EFACT_CNE!B:B,ReliquidacionEFACT!B9,EFACT_CNE!T:T)</f>
        <v>452522.94921546534</v>
      </c>
      <c r="O9" s="8">
        <f t="shared" ref="O9:O14" si="3">IFERROR((N9/M9),0)</f>
        <v>80.191226204016161</v>
      </c>
      <c r="P9" s="8">
        <f>SUMIF(EFACT_CNE!B:B,ReliquidacionEFACT!B9,EFACT_CNE!U:U)</f>
        <v>11.254670175315429</v>
      </c>
      <c r="Q9" s="6">
        <f>SUMIF(EFACT_CNE!B:B,ReliquidacionEFACT!B9,EFACT_CNE!V:V)</f>
        <v>69032.014936358726</v>
      </c>
      <c r="R9" s="6">
        <f t="shared" ref="R9:R14" si="4">IFERROR((Q9/P9),0)</f>
        <v>6133.6328707139573</v>
      </c>
      <c r="S9" s="6">
        <f t="shared" ref="S9:S14" si="5">(N9+Q9)</f>
        <v>521554.96415182407</v>
      </c>
      <c r="U9" s="2">
        <v>44105</v>
      </c>
      <c r="V9" s="6">
        <f t="shared" ref="V9:V14" si="6">(S9-J9)</f>
        <v>45843.964151824068</v>
      </c>
      <c r="W9" t="s">
        <v>46</v>
      </c>
      <c r="X9" s="2">
        <v>44600</v>
      </c>
      <c r="Y9">
        <v>3.2800000000000003E-2</v>
      </c>
      <c r="Z9" s="2">
        <v>44129</v>
      </c>
      <c r="AA9" s="2">
        <v>44651</v>
      </c>
      <c r="AB9">
        <f t="shared" ref="AB9:AB14" si="7">(AA9-Z9)</f>
        <v>522</v>
      </c>
      <c r="AC9">
        <f t="shared" ref="AC9:AC14" si="8">(1+Y9)^(AB9/360)-1</f>
        <v>4.7908908549266993E-2</v>
      </c>
      <c r="AD9" s="6">
        <f t="shared" ref="AD9:AD14" si="9">(AC9*V9)</f>
        <v>2196.3342860856137</v>
      </c>
      <c r="AE9" s="6">
        <f t="shared" ref="AE9:AE14" si="10">(V9+AD9)</f>
        <v>48040.298437909682</v>
      </c>
    </row>
    <row r="10" spans="1:31" x14ac:dyDescent="0.25">
      <c r="A10">
        <v>10</v>
      </c>
      <c r="B10" s="4">
        <v>44136</v>
      </c>
      <c r="C10" t="s">
        <v>4</v>
      </c>
      <c r="D10" s="6">
        <f>SUMIF(SIGGE_E!B:B,ReliquidacionEFACT!B10,SIGGE_E!S:S)</f>
        <v>5691.3874059999998</v>
      </c>
      <c r="E10" s="6">
        <f>SUMIF(SIGGE_E!B:B,ReliquidacionEFACT!B10,SIGGE_E!T:T)</f>
        <v>412950</v>
      </c>
      <c r="F10" s="8">
        <f t="shared" si="0"/>
        <v>72.557000699804405</v>
      </c>
      <c r="G10" s="6">
        <f>SUMIF(SIGGE_P!B:B,ReliquidacionEFACT!B10,SIGGE_P!U:U)</f>
        <v>11.030918</v>
      </c>
      <c r="H10" s="6">
        <f>SUMIF(SIGGE_P!B:B,ReliquidacionEFACT!B10,SIGGE_P!V:V)</f>
        <v>67850</v>
      </c>
      <c r="I10" s="6">
        <f t="shared" si="1"/>
        <v>6150.893334534805</v>
      </c>
      <c r="J10" s="6">
        <f t="shared" si="2"/>
        <v>480800</v>
      </c>
      <c r="L10" t="s">
        <v>2</v>
      </c>
      <c r="M10" s="6">
        <f>SUMIF(EFACT_CNE!B:B,ReliquidacionEFACT!B10,EFACT_CNE!S:S)</f>
        <v>5713.3641399883836</v>
      </c>
      <c r="N10" s="6">
        <f>SUMIF(EFACT_CNE!B:B,ReliquidacionEFACT!B10,EFACT_CNE!T:T)</f>
        <v>458161.93051934632</v>
      </c>
      <c r="O10" s="8">
        <f t="shared" si="3"/>
        <v>80.191270728330977</v>
      </c>
      <c r="P10" s="8">
        <f>SUMIF(EFACT_CNE!B:B,ReliquidacionEFACT!B10,EFACT_CNE!U:U)</f>
        <v>11.254795219709182</v>
      </c>
      <c r="Q10" s="6">
        <f>SUMIF(EFACT_CNE!B:B,ReliquidacionEFACT!B10,EFACT_CNE!V:V)</f>
        <v>69032.757193634738</v>
      </c>
      <c r="R10" s="6">
        <f t="shared" si="4"/>
        <v>6133.6306743943142</v>
      </c>
      <c r="S10" s="6">
        <f t="shared" si="5"/>
        <v>527194.68771298102</v>
      </c>
      <c r="U10" s="2">
        <v>44136</v>
      </c>
      <c r="V10" s="6">
        <f t="shared" si="6"/>
        <v>46394.687712981016</v>
      </c>
      <c r="W10" t="s">
        <v>46</v>
      </c>
      <c r="X10" s="2">
        <v>44600</v>
      </c>
      <c r="Y10">
        <v>3.2800000000000003E-2</v>
      </c>
      <c r="Z10" s="2">
        <v>44160</v>
      </c>
      <c r="AA10" s="2">
        <v>44651</v>
      </c>
      <c r="AB10">
        <f t="shared" si="7"/>
        <v>491</v>
      </c>
      <c r="AC10">
        <f t="shared" si="8"/>
        <v>4.5000695157907389E-2</v>
      </c>
      <c r="AD10" s="6">
        <f t="shared" si="9"/>
        <v>2087.7931987181701</v>
      </c>
      <c r="AE10" s="6">
        <f t="shared" si="10"/>
        <v>48482.480911699189</v>
      </c>
    </row>
    <row r="11" spans="1:31" x14ac:dyDescent="0.25">
      <c r="A11">
        <v>11</v>
      </c>
      <c r="B11" s="4">
        <v>44166</v>
      </c>
      <c r="C11" t="s">
        <v>4</v>
      </c>
      <c r="D11" s="6">
        <f>SUMIF(SIGGE_E!B:B,ReliquidacionEFACT!B11,SIGGE_E!S:S)</f>
        <v>5629.424242</v>
      </c>
      <c r="E11" s="6">
        <f>SUMIF(SIGGE_E!B:B,ReliquidacionEFACT!B11,SIGGE_E!T:T)</f>
        <v>408454</v>
      </c>
      <c r="F11" s="8">
        <f t="shared" si="0"/>
        <v>72.55697606739372</v>
      </c>
      <c r="G11" s="6">
        <f>SUMIF(SIGGE_P!B:B,ReliquidacionEFACT!B11,SIGGE_P!U:U)</f>
        <v>11.031086999999999</v>
      </c>
      <c r="H11" s="6">
        <f>SUMIF(SIGGE_P!B:B,ReliquidacionEFACT!B11,SIGGE_P!V:V)</f>
        <v>67852</v>
      </c>
      <c r="I11" s="6">
        <f t="shared" si="1"/>
        <v>6150.9804065546759</v>
      </c>
      <c r="J11" s="6">
        <f t="shared" si="2"/>
        <v>476306</v>
      </c>
      <c r="L11" t="s">
        <v>2</v>
      </c>
      <c r="M11" s="6">
        <f>SUMIF(EFACT_CNE!B:B,ReliquidacionEFACT!B11,EFACT_CNE!S:S)</f>
        <v>5651.1589005845253</v>
      </c>
      <c r="N11" s="6">
        <f>SUMIF(EFACT_CNE!B:B,ReliquidacionEFACT!B11,EFACT_CNE!T:T)</f>
        <v>453173.45799519733</v>
      </c>
      <c r="O11" s="8">
        <f t="shared" si="3"/>
        <v>80.191243241863802</v>
      </c>
      <c r="P11" s="8">
        <f>SUMIF(EFACT_CNE!B:B,ReliquidacionEFACT!B11,EFACT_CNE!U:U)</f>
        <v>11.254967281487133</v>
      </c>
      <c r="Q11" s="6">
        <f>SUMIF(EFACT_CNE!B:B,ReliquidacionEFACT!B11,EFACT_CNE!V:V)</f>
        <v>69033.835220545283</v>
      </c>
      <c r="R11" s="6">
        <f t="shared" si="4"/>
        <v>6133.6326880395654</v>
      </c>
      <c r="S11" s="6">
        <f t="shared" si="5"/>
        <v>522207.29321574263</v>
      </c>
      <c r="U11" s="2">
        <v>44166</v>
      </c>
      <c r="V11" s="6">
        <f t="shared" si="6"/>
        <v>45901.293215742626</v>
      </c>
      <c r="W11" t="s">
        <v>46</v>
      </c>
      <c r="X11" s="2">
        <v>44600</v>
      </c>
      <c r="Y11">
        <v>3.2800000000000003E-2</v>
      </c>
      <c r="Z11" s="2">
        <v>44190</v>
      </c>
      <c r="AA11" s="2">
        <v>44651</v>
      </c>
      <c r="AB11">
        <f t="shared" si="7"/>
        <v>461</v>
      </c>
      <c r="AC11">
        <f t="shared" si="8"/>
        <v>4.219398002762742E-2</v>
      </c>
      <c r="AD11" s="6">
        <f t="shared" si="9"/>
        <v>1936.7582491873143</v>
      </c>
      <c r="AE11" s="6">
        <f t="shared" si="10"/>
        <v>47838.051464929937</v>
      </c>
    </row>
    <row r="12" spans="1:31" x14ac:dyDescent="0.25">
      <c r="A12">
        <v>12</v>
      </c>
      <c r="B12" s="4">
        <v>44197</v>
      </c>
      <c r="C12" t="s">
        <v>4</v>
      </c>
      <c r="D12" s="6">
        <f>SUMIF(SIGGE_E!B:B,ReliquidacionEFACT!B12,SIGGE_E!S:S)</f>
        <v>6794.5217790000006</v>
      </c>
      <c r="E12" s="6">
        <f>SUMIF(SIGGE_E!B:B,ReliquidacionEFACT!B12,SIGGE_E!T:T)</f>
        <v>492991</v>
      </c>
      <c r="F12" s="8">
        <f t="shared" si="0"/>
        <v>72.557129999008865</v>
      </c>
      <c r="G12" s="6">
        <f>SUMIF(SIGGE_P!B:B,ReliquidacionEFACT!B12,SIGGE_P!U:U)</f>
        <v>11.208363</v>
      </c>
      <c r="H12" s="6">
        <f>SUMIF(SIGGE_P!B:B,ReliquidacionEFACT!B12,SIGGE_P!V:V)</f>
        <v>68943</v>
      </c>
      <c r="I12" s="6">
        <f t="shared" si="1"/>
        <v>6151.0320463389698</v>
      </c>
      <c r="J12" s="6">
        <f t="shared" si="2"/>
        <v>561934</v>
      </c>
      <c r="L12" t="s">
        <v>2</v>
      </c>
      <c r="M12" s="6">
        <f>SUMIF(EFACT_CNE!B:B,ReliquidacionEFACT!B12,EFACT_CNE!S:S)</f>
        <v>20467.248579957599</v>
      </c>
      <c r="N12" s="6">
        <f>SUMIF(EFACT_CNE!B:B,ReliquidacionEFACT!B12,EFACT_CNE!T:T)</f>
        <v>1746952.8094819656</v>
      </c>
      <c r="O12" s="8">
        <f t="shared" si="3"/>
        <v>85.3535736695286</v>
      </c>
      <c r="P12" s="8">
        <f>SUMIF(EFACT_CNE!B:B,ReliquidacionEFACT!B12,EFACT_CNE!U:U)</f>
        <v>33.81610972436583</v>
      </c>
      <c r="Q12" s="6">
        <f>SUMIF(EFACT_CNE!B:B,ReliquidacionEFACT!B12,EFACT_CNE!V:V)</f>
        <v>203145.85482653536</v>
      </c>
      <c r="R12" s="6">
        <f t="shared" si="4"/>
        <v>6007.3691646487896</v>
      </c>
      <c r="S12" s="6">
        <f t="shared" si="5"/>
        <v>1950098.6643085009</v>
      </c>
      <c r="U12" s="2">
        <v>44197</v>
      </c>
      <c r="V12" s="6">
        <f t="shared" si="6"/>
        <v>1388164.6643085009</v>
      </c>
      <c r="W12" t="s">
        <v>46</v>
      </c>
      <c r="X12" s="2">
        <v>44600</v>
      </c>
      <c r="Y12">
        <v>3.2800000000000003E-2</v>
      </c>
      <c r="Z12" s="2">
        <v>44221</v>
      </c>
      <c r="AA12" s="2">
        <v>44651</v>
      </c>
      <c r="AB12">
        <f t="shared" si="7"/>
        <v>430</v>
      </c>
      <c r="AC12">
        <f t="shared" si="8"/>
        <v>3.9301627014514118E-2</v>
      </c>
      <c r="AD12" s="6">
        <f t="shared" si="9"/>
        <v>54557.129871380901</v>
      </c>
      <c r="AE12" s="6">
        <f t="shared" si="10"/>
        <v>1442721.7941798819</v>
      </c>
    </row>
    <row r="13" spans="1:31" x14ac:dyDescent="0.25">
      <c r="A13">
        <v>13</v>
      </c>
      <c r="B13" s="4">
        <v>44228</v>
      </c>
      <c r="C13" t="s">
        <v>4</v>
      </c>
      <c r="D13" s="6">
        <f>SUMIF(SIGGE_E!B:B,ReliquidacionEFACT!B13,SIGGE_E!S:S)</f>
        <v>7029.1254359999994</v>
      </c>
      <c r="E13" s="6">
        <f>SUMIF(SIGGE_E!B:B,ReliquidacionEFACT!B13,SIGGE_E!T:T)</f>
        <v>510014</v>
      </c>
      <c r="F13" s="8">
        <f t="shared" si="0"/>
        <v>72.557248358087207</v>
      </c>
      <c r="G13" s="6">
        <f>SUMIF(SIGGE_P!B:B,ReliquidacionEFACT!B13,SIGGE_P!U:U)</f>
        <v>11.207211999999998</v>
      </c>
      <c r="H13" s="6">
        <f>SUMIF(SIGGE_P!B:B,ReliquidacionEFACT!B13,SIGGE_P!V:V)</f>
        <v>68935</v>
      </c>
      <c r="I13" s="6">
        <f t="shared" si="1"/>
        <v>6150.9499418767136</v>
      </c>
      <c r="J13" s="6">
        <f t="shared" si="2"/>
        <v>578949</v>
      </c>
      <c r="L13" t="s">
        <v>2</v>
      </c>
      <c r="M13" s="6">
        <f>SUMIF(EFACT_CNE!B:B,ReliquidacionEFACT!B13,EFACT_CNE!S:S)</f>
        <v>21173.894194090739</v>
      </c>
      <c r="N13" s="6">
        <f>SUMIF(EFACT_CNE!B:B,ReliquidacionEFACT!B13,EFACT_CNE!T:T)</f>
        <v>1807259.7682706455</v>
      </c>
      <c r="O13" s="8">
        <f t="shared" si="3"/>
        <v>85.353206722598046</v>
      </c>
      <c r="P13" s="8">
        <f>SUMIF(EFACT_CNE!B:B,ReliquidacionEFACT!B13,EFACT_CNE!U:U)</f>
        <v>33.812635242526397</v>
      </c>
      <c r="Q13" s="6">
        <f>SUMIF(EFACT_CNE!B:B,ReliquidacionEFACT!B13,EFACT_CNE!V:V)</f>
        <v>203125.16841559709</v>
      </c>
      <c r="R13" s="6">
        <f t="shared" si="4"/>
        <v>6007.3746680390377</v>
      </c>
      <c r="S13" s="6">
        <f t="shared" si="5"/>
        <v>2010384.9366862427</v>
      </c>
      <c r="U13" s="2">
        <v>44228</v>
      </c>
      <c r="V13" s="6">
        <f t="shared" si="6"/>
        <v>1431435.9366862427</v>
      </c>
      <c r="W13" t="s">
        <v>46</v>
      </c>
      <c r="X13" s="2">
        <v>44600</v>
      </c>
      <c r="Y13">
        <v>3.2800000000000003E-2</v>
      </c>
      <c r="Z13" s="2">
        <v>44252</v>
      </c>
      <c r="AA13" s="2">
        <v>44651</v>
      </c>
      <c r="AB13">
        <f t="shared" si="7"/>
        <v>399</v>
      </c>
      <c r="AC13">
        <f t="shared" si="8"/>
        <v>3.641730101567342E-2</v>
      </c>
      <c r="AD13" s="6">
        <f t="shared" si="9"/>
        <v>52129.033390955337</v>
      </c>
      <c r="AE13" s="6">
        <f t="shared" si="10"/>
        <v>1483564.970077198</v>
      </c>
    </row>
    <row r="14" spans="1:31" x14ac:dyDescent="0.25">
      <c r="A14">
        <v>14</v>
      </c>
      <c r="B14" s="4">
        <v>44256</v>
      </c>
      <c r="C14" t="s">
        <v>4</v>
      </c>
      <c r="D14" s="6">
        <f>SUMIF(SIGGE_E!B:B,ReliquidacionEFACT!B14,SIGGE_E!S:S)</f>
        <v>5945.1449669999993</v>
      </c>
      <c r="E14" s="6">
        <f>SUMIF(SIGGE_E!B:B,ReliquidacionEFACT!B14,SIGGE_E!T:T)</f>
        <v>476983</v>
      </c>
      <c r="F14" s="8">
        <f t="shared" si="0"/>
        <v>80.230676063849131</v>
      </c>
      <c r="G14" s="6">
        <f>SUMIF(SIGGE_P!B:B,ReliquidacionEFACT!B14,SIGGE_P!U:U)</f>
        <v>11.397895000000002</v>
      </c>
      <c r="H14" s="6">
        <f>SUMIF(SIGGE_P!B:B,ReliquidacionEFACT!B14,SIGGE_P!V:V)</f>
        <v>69893</v>
      </c>
      <c r="I14" s="6">
        <f t="shared" si="1"/>
        <v>6132.0971986493987</v>
      </c>
      <c r="J14" s="6">
        <f t="shared" si="2"/>
        <v>546876</v>
      </c>
      <c r="L14" t="s">
        <v>2</v>
      </c>
      <c r="M14" s="6">
        <f>SUMIF(EFACT_CNE!B:B,ReliquidacionEFACT!B14,EFACT_CNE!S:S)</f>
        <v>17839.744140834027</v>
      </c>
      <c r="N14" s="6">
        <f>SUMIF(EFACT_CNE!B:B,ReliquidacionEFACT!B14,EFACT_CNE!T:T)</f>
        <v>1522682.4667488127</v>
      </c>
      <c r="O14" s="8">
        <f t="shared" si="3"/>
        <v>85.353380335959557</v>
      </c>
      <c r="P14" s="8">
        <f>SUMIF(EFACT_CNE!B:B,ReliquidacionEFACT!B14,EFACT_CNE!U:U)</f>
        <v>33.703903042888584</v>
      </c>
      <c r="Q14" s="6">
        <f>SUMIF(EFACT_CNE!B:B,ReliquidacionEFACT!B14,EFACT_CNE!V:V)</f>
        <v>202471.36183591693</v>
      </c>
      <c r="R14" s="6">
        <f t="shared" si="4"/>
        <v>6007.3565242064078</v>
      </c>
      <c r="S14" s="6">
        <f t="shared" si="5"/>
        <v>1725153.8285847297</v>
      </c>
      <c r="U14" s="2">
        <v>44256</v>
      </c>
      <c r="V14" s="6">
        <f t="shared" si="6"/>
        <v>1178277.8285847297</v>
      </c>
      <c r="W14" t="s">
        <v>46</v>
      </c>
      <c r="X14" s="2">
        <v>44600</v>
      </c>
      <c r="Y14">
        <v>3.2800000000000003E-2</v>
      </c>
      <c r="Z14" s="2">
        <v>44280</v>
      </c>
      <c r="AA14" s="2">
        <v>44651</v>
      </c>
      <c r="AB14">
        <f t="shared" si="7"/>
        <v>371</v>
      </c>
      <c r="AC14">
        <f t="shared" si="8"/>
        <v>3.3818984198158875E-2</v>
      </c>
      <c r="AD14" s="6">
        <f t="shared" si="9"/>
        <v>39848.159265947921</v>
      </c>
      <c r="AE14" s="6">
        <f t="shared" si="10"/>
        <v>1218125.9878506777</v>
      </c>
    </row>
    <row r="15" spans="1:31" x14ac:dyDescent="0.25">
      <c r="AD15" s="6" t="s">
        <v>47</v>
      </c>
      <c r="AE15" s="6">
        <f>SUM(AE9:AE14)</f>
        <v>4288773.5829222966</v>
      </c>
    </row>
    <row r="17" spans="29:30" x14ac:dyDescent="0.25">
      <c r="AC17" t="s">
        <v>48</v>
      </c>
      <c r="AD17" s="6" t="s">
        <v>49</v>
      </c>
    </row>
    <row r="18" spans="29:30" x14ac:dyDescent="0.25">
      <c r="AC18" t="s">
        <v>50</v>
      </c>
      <c r="AD18" s="6" t="s">
        <v>51</v>
      </c>
    </row>
  </sheetData>
  <mergeCells count="3">
    <mergeCell ref="C7:D7"/>
    <mergeCell ref="L7:M7"/>
    <mergeCell ref="U7:V7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baseColWidth="10" defaultColWidth="9.140625" defaultRowHeight="15" x14ac:dyDescent="0.25"/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t="s">
        <v>14</v>
      </c>
      <c r="B2" t="s">
        <v>15</v>
      </c>
    </row>
    <row r="3" spans="1:8" x14ac:dyDescent="0.25">
      <c r="A3" t="s">
        <v>16</v>
      </c>
      <c r="B3" t="s">
        <v>17</v>
      </c>
    </row>
    <row r="4" spans="1:8" x14ac:dyDescent="0.25">
      <c r="A4" t="s">
        <v>18</v>
      </c>
      <c r="B4" t="s">
        <v>19</v>
      </c>
    </row>
    <row r="5" spans="1:8" x14ac:dyDescent="0.25">
      <c r="A5" t="s">
        <v>20</v>
      </c>
      <c r="B5" t="s">
        <v>21</v>
      </c>
    </row>
    <row r="8" spans="1:8" x14ac:dyDescent="0.25">
      <c r="A8" t="s">
        <v>25</v>
      </c>
      <c r="B8" t="s">
        <v>26</v>
      </c>
      <c r="C8" t="s">
        <v>27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>
        <v>9</v>
      </c>
      <c r="B9" s="4">
        <v>44105</v>
      </c>
      <c r="C9" t="s">
        <v>4</v>
      </c>
      <c r="D9">
        <f>SUMIF(SIGGE_E!B:B,ResumenRetiros!B9,SIGGE_E!S:S)</f>
        <v>5621.3335790000001</v>
      </c>
      <c r="E9">
        <f>SUMIF(EFACT_CNE!B:B,ResumenRetiros!B9,EFACT_CNE!S:S)</f>
        <v>5643.0481317768144</v>
      </c>
      <c r="F9">
        <f>SUMIF(EfactCNE_BT!B:B,ResumenRetiros!B9,EfactCNE_BT!M:M)</f>
        <v>0</v>
      </c>
      <c r="G9">
        <f>SUMIF(CEN_Energia!B:B,ResumenRetiros!B9,CEN_Energia!Z:Z)</f>
        <v>5903.7062679999999</v>
      </c>
      <c r="H9">
        <f>SUMIF(CEN_EnergiaBT!B:B,ResumenRetiros!B9,CEN_EnergiaBT!K:K)</f>
        <v>5722.0208294881677</v>
      </c>
    </row>
    <row r="10" spans="1:8" x14ac:dyDescent="0.25">
      <c r="A10">
        <v>10</v>
      </c>
      <c r="B10" s="4">
        <v>44136</v>
      </c>
      <c r="C10" t="s">
        <v>4</v>
      </c>
      <c r="D10">
        <f>SUMIF(SIGGE_E!B:B,ResumenRetiros!B10,SIGGE_E!S:S)</f>
        <v>5691.3874059999998</v>
      </c>
      <c r="E10">
        <f>SUMIF(EFACT_CNE!B:B,ResumenRetiros!B10,EFACT_CNE!S:S)</f>
        <v>5713.3641399883836</v>
      </c>
      <c r="F10">
        <f>SUMIF(EfactCNE_BT!B:B,ResumenRetiros!B10,EfactCNE_BT!M:M)</f>
        <v>0</v>
      </c>
      <c r="G10">
        <f>SUMIF(CEN_Energia!B:B,ResumenRetiros!B10,CEN_Energia!Z:Z)</f>
        <v>5953.9546979999986</v>
      </c>
      <c r="H10">
        <f>SUMIF(CEN_EnergiaBT!B:B,ResumenRetiros!B10,CEN_EnergiaBT!K:K)</f>
        <v>5770.8093965564231</v>
      </c>
    </row>
    <row r="11" spans="1:8" x14ac:dyDescent="0.25">
      <c r="A11">
        <v>11</v>
      </c>
      <c r="B11" s="4">
        <v>44166</v>
      </c>
      <c r="C11" t="s">
        <v>4</v>
      </c>
      <c r="D11">
        <f>SUMIF(SIGGE_E!B:B,ResumenRetiros!B11,SIGGE_E!S:S)</f>
        <v>5629.424242</v>
      </c>
      <c r="E11">
        <f>SUMIF(EFACT_CNE!B:B,ResumenRetiros!B11,EFACT_CNE!S:S)</f>
        <v>5651.1589005845253</v>
      </c>
      <c r="F11">
        <f>SUMIF(EfactCNE_BT!B:B,ResumenRetiros!B11,EfactCNE_BT!M:M)</f>
        <v>0</v>
      </c>
      <c r="G11">
        <f>SUMIF(CEN_Energia!B:B,ResumenRetiros!B11,CEN_Energia!Z:Z)</f>
        <v>5887.0998819999995</v>
      </c>
      <c r="H11">
        <f>SUMIF(CEN_EnergiaBT!B:B,ResumenRetiros!B11,CEN_EnergiaBT!K:K)</f>
        <v>5705.7772427137688</v>
      </c>
    </row>
    <row r="12" spans="1:8" x14ac:dyDescent="0.25">
      <c r="A12">
        <v>12</v>
      </c>
      <c r="B12" s="4">
        <v>44197</v>
      </c>
      <c r="C12" t="s">
        <v>4</v>
      </c>
      <c r="D12">
        <f>SUMIF(SIGGE_E!B:B,ResumenRetiros!B12,SIGGE_E!S:S)</f>
        <v>6794.5217790000006</v>
      </c>
      <c r="E12">
        <f>SUMIF(EFACT_CNE!B:B,ResumenRetiros!B12,EFACT_CNE!S:S)</f>
        <v>20467.248579957599</v>
      </c>
      <c r="F12">
        <f>SUMIF(EfactCNE_BT!B:B,ResumenRetiros!B12,EfactCNE_BT!M:M)</f>
        <v>0</v>
      </c>
      <c r="G12">
        <f>SUMIF(CEN_Energia!B:B,ResumenRetiros!B12,CEN_Energia!Z:Z)</f>
        <v>0</v>
      </c>
      <c r="H12">
        <f>SUMIF(CEN_EnergiaBT!B:B,ResumenRetiros!B12,CEN_EnergiaBT!K:K)</f>
        <v>0</v>
      </c>
    </row>
    <row r="13" spans="1:8" x14ac:dyDescent="0.25">
      <c r="A13">
        <v>13</v>
      </c>
      <c r="B13" s="4">
        <v>44228</v>
      </c>
      <c r="C13" t="s">
        <v>4</v>
      </c>
      <c r="D13">
        <f>SUMIF(SIGGE_E!B:B,ResumenRetiros!B13,SIGGE_E!S:S)</f>
        <v>7029.1254359999994</v>
      </c>
      <c r="E13">
        <f>SUMIF(EFACT_CNE!B:B,ResumenRetiros!B13,EFACT_CNE!S:S)</f>
        <v>21173.894194090739</v>
      </c>
      <c r="F13">
        <f>SUMIF(EfactCNE_BT!B:B,ResumenRetiros!B13,EfactCNE_BT!M:M)</f>
        <v>0</v>
      </c>
      <c r="G13">
        <f>SUMIF(CEN_Energia!B:B,ResumenRetiros!B13,CEN_Energia!Z:Z)</f>
        <v>0</v>
      </c>
      <c r="H13">
        <f>SUMIF(CEN_EnergiaBT!B:B,ResumenRetiros!B13,CEN_EnergiaBT!K:K)</f>
        <v>0</v>
      </c>
    </row>
    <row r="14" spans="1:8" x14ac:dyDescent="0.25">
      <c r="A14">
        <v>14</v>
      </c>
      <c r="B14" s="4">
        <v>44256</v>
      </c>
      <c r="C14" t="s">
        <v>4</v>
      </c>
      <c r="D14">
        <f>SUMIF(SIGGE_E!B:B,ResumenRetiros!B14,SIGGE_E!S:S)</f>
        <v>5945.1449669999993</v>
      </c>
      <c r="E14">
        <f>SUMIF(EFACT_CNE!B:B,ResumenRetiros!B14,EFACT_CNE!S:S)</f>
        <v>17839.744140834027</v>
      </c>
      <c r="F14">
        <f>SUMIF(EfactCNE_BT!B:B,ResumenRetiros!B14,EfactCNE_BT!M:M)</f>
        <v>0</v>
      </c>
      <c r="G14">
        <f>SUMIF(CEN_Energia!B:B,ResumenRetiros!B14,CEN_Energia!Z:Z)</f>
        <v>0</v>
      </c>
      <c r="H14">
        <f>SUMIF(CEN_EnergiaBT!B:B,ResumenRetiros!B14,CEN_EnergiaBT!K:K)</f>
        <v>0</v>
      </c>
    </row>
    <row r="15" spans="1:8" x14ac:dyDescent="0.25">
      <c r="D15">
        <f>SUM(D9:D14)</f>
        <v>36710.937408999998</v>
      </c>
      <c r="E15">
        <f>SUM(E9:E14)</f>
        <v>76488.45808723208</v>
      </c>
      <c r="F15">
        <f>SUM(F9:F14)</f>
        <v>0</v>
      </c>
      <c r="G15">
        <f>SUM(G9:G14)</f>
        <v>17744.760847999998</v>
      </c>
      <c r="H15">
        <f>SUM(H9:H14)</f>
        <v>17198.60746875836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20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20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9"/>
  <sheetViews>
    <sheetView workbookViewId="0"/>
  </sheetViews>
  <sheetFormatPr baseColWidth="10" defaultColWidth="9.140625" defaultRowHeight="15" x14ac:dyDescent="0.25"/>
  <sheetData>
    <row r="1" spans="1:23" x14ac:dyDescent="0.25">
      <c r="A1" s="1" t="s">
        <v>69</v>
      </c>
      <c r="B1" s="1" t="s">
        <v>58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20</v>
      </c>
      <c r="M1" s="1" t="s">
        <v>57</v>
      </c>
      <c r="N1" s="1" t="s">
        <v>79</v>
      </c>
      <c r="O1" s="1" t="s">
        <v>18</v>
      </c>
      <c r="P1" s="1" t="s">
        <v>60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</row>
    <row r="2" spans="1:23" x14ac:dyDescent="0.25">
      <c r="A2" t="s">
        <v>87</v>
      </c>
      <c r="B2" t="s">
        <v>87</v>
      </c>
      <c r="C2" t="s">
        <v>88</v>
      </c>
      <c r="D2" t="s">
        <v>89</v>
      </c>
      <c r="E2" t="s">
        <v>84</v>
      </c>
      <c r="F2" t="s">
        <v>90</v>
      </c>
      <c r="G2" t="s">
        <v>91</v>
      </c>
      <c r="H2">
        <v>33</v>
      </c>
      <c r="I2">
        <v>16333</v>
      </c>
      <c r="J2" t="s">
        <v>92</v>
      </c>
      <c r="K2" t="s">
        <v>92</v>
      </c>
      <c r="L2" t="s">
        <v>21</v>
      </c>
      <c r="M2" t="s">
        <v>15</v>
      </c>
      <c r="N2" t="s">
        <v>93</v>
      </c>
      <c r="O2" t="s">
        <v>94</v>
      </c>
      <c r="P2" t="s">
        <v>17</v>
      </c>
      <c r="Q2">
        <v>1</v>
      </c>
      <c r="R2" t="s">
        <v>95</v>
      </c>
      <c r="U2">
        <v>10.721329000000001</v>
      </c>
      <c r="V2">
        <v>65949</v>
      </c>
      <c r="W2">
        <v>6151.21</v>
      </c>
    </row>
    <row r="3" spans="1:23" x14ac:dyDescent="0.25">
      <c r="A3" t="s">
        <v>87</v>
      </c>
      <c r="B3" t="s">
        <v>87</v>
      </c>
      <c r="C3" t="s">
        <v>88</v>
      </c>
      <c r="D3" t="s">
        <v>96</v>
      </c>
      <c r="E3" t="s">
        <v>97</v>
      </c>
      <c r="F3" t="s">
        <v>98</v>
      </c>
      <c r="G3" t="s">
        <v>91</v>
      </c>
      <c r="H3">
        <v>33</v>
      </c>
      <c r="I3">
        <v>16333</v>
      </c>
      <c r="J3" t="s">
        <v>92</v>
      </c>
      <c r="K3" t="s">
        <v>92</v>
      </c>
      <c r="L3" t="s">
        <v>21</v>
      </c>
      <c r="M3" t="s">
        <v>15</v>
      </c>
      <c r="N3" t="s">
        <v>93</v>
      </c>
      <c r="O3" t="s">
        <v>94</v>
      </c>
      <c r="P3" t="s">
        <v>17</v>
      </c>
      <c r="Q3">
        <v>1</v>
      </c>
      <c r="R3" t="s">
        <v>95</v>
      </c>
      <c r="S3">
        <v>5463.6276589999998</v>
      </c>
      <c r="T3">
        <v>396550</v>
      </c>
      <c r="W3">
        <v>72.58</v>
      </c>
    </row>
    <row r="4" spans="1:23" x14ac:dyDescent="0.25">
      <c r="A4" t="s">
        <v>87</v>
      </c>
      <c r="B4" t="s">
        <v>87</v>
      </c>
      <c r="C4" t="s">
        <v>88</v>
      </c>
      <c r="D4" t="s">
        <v>89</v>
      </c>
      <c r="E4" t="s">
        <v>84</v>
      </c>
      <c r="F4" t="s">
        <v>90</v>
      </c>
      <c r="G4" t="s">
        <v>91</v>
      </c>
      <c r="H4">
        <v>33</v>
      </c>
      <c r="I4">
        <v>16333</v>
      </c>
      <c r="J4" t="s">
        <v>92</v>
      </c>
      <c r="K4" t="s">
        <v>92</v>
      </c>
      <c r="L4" t="s">
        <v>21</v>
      </c>
      <c r="M4" t="s">
        <v>15</v>
      </c>
      <c r="N4" t="s">
        <v>93</v>
      </c>
      <c r="O4" t="s">
        <v>94</v>
      </c>
      <c r="P4" t="s">
        <v>17</v>
      </c>
      <c r="Q4">
        <v>2</v>
      </c>
      <c r="R4" t="s">
        <v>99</v>
      </c>
      <c r="U4">
        <v>9.8229999999999998E-2</v>
      </c>
      <c r="V4">
        <v>605</v>
      </c>
      <c r="W4">
        <v>6158.49</v>
      </c>
    </row>
    <row r="5" spans="1:23" x14ac:dyDescent="0.25">
      <c r="A5" t="s">
        <v>87</v>
      </c>
      <c r="B5" t="s">
        <v>87</v>
      </c>
      <c r="C5" t="s">
        <v>88</v>
      </c>
      <c r="D5" t="s">
        <v>96</v>
      </c>
      <c r="E5" t="s">
        <v>97</v>
      </c>
      <c r="F5" t="s">
        <v>98</v>
      </c>
      <c r="G5" t="s">
        <v>91</v>
      </c>
      <c r="H5">
        <v>33</v>
      </c>
      <c r="I5">
        <v>16333</v>
      </c>
      <c r="J5" t="s">
        <v>92</v>
      </c>
      <c r="K5" t="s">
        <v>92</v>
      </c>
      <c r="L5" t="s">
        <v>21</v>
      </c>
      <c r="M5" t="s">
        <v>15</v>
      </c>
      <c r="N5" t="s">
        <v>93</v>
      </c>
      <c r="O5" t="s">
        <v>94</v>
      </c>
      <c r="P5" t="s">
        <v>17</v>
      </c>
      <c r="Q5">
        <v>2</v>
      </c>
      <c r="R5" t="s">
        <v>99</v>
      </c>
      <c r="S5">
        <v>50.058546999999997</v>
      </c>
      <c r="T5">
        <v>3581</v>
      </c>
      <c r="W5">
        <v>71.546000000000006</v>
      </c>
    </row>
    <row r="6" spans="1:23" x14ac:dyDescent="0.25">
      <c r="A6" t="s">
        <v>87</v>
      </c>
      <c r="B6" t="s">
        <v>87</v>
      </c>
      <c r="C6" t="s">
        <v>88</v>
      </c>
      <c r="D6" t="s">
        <v>89</v>
      </c>
      <c r="E6" t="s">
        <v>84</v>
      </c>
      <c r="F6" t="s">
        <v>90</v>
      </c>
      <c r="G6" t="s">
        <v>91</v>
      </c>
      <c r="H6">
        <v>33</v>
      </c>
      <c r="I6">
        <v>16333</v>
      </c>
      <c r="J6" t="s">
        <v>92</v>
      </c>
      <c r="K6" t="s">
        <v>92</v>
      </c>
      <c r="L6" t="s">
        <v>21</v>
      </c>
      <c r="M6" t="s">
        <v>15</v>
      </c>
      <c r="N6" t="s">
        <v>93</v>
      </c>
      <c r="O6" t="s">
        <v>94</v>
      </c>
      <c r="P6" t="s">
        <v>17</v>
      </c>
      <c r="Q6">
        <v>3</v>
      </c>
      <c r="R6" t="s">
        <v>100</v>
      </c>
      <c r="U6">
        <v>3.4589999999999998E-3</v>
      </c>
      <c r="V6">
        <v>20</v>
      </c>
      <c r="W6">
        <v>5881.24</v>
      </c>
    </row>
    <row r="7" spans="1:23" x14ac:dyDescent="0.25">
      <c r="A7" t="s">
        <v>87</v>
      </c>
      <c r="B7" t="s">
        <v>87</v>
      </c>
      <c r="C7" t="s">
        <v>88</v>
      </c>
      <c r="D7" t="s">
        <v>96</v>
      </c>
      <c r="E7" t="s">
        <v>97</v>
      </c>
      <c r="F7" t="s">
        <v>98</v>
      </c>
      <c r="G7" t="s">
        <v>91</v>
      </c>
      <c r="H7">
        <v>33</v>
      </c>
      <c r="I7">
        <v>16333</v>
      </c>
      <c r="J7" t="s">
        <v>92</v>
      </c>
      <c r="K7" t="s">
        <v>92</v>
      </c>
      <c r="L7" t="s">
        <v>21</v>
      </c>
      <c r="M7" t="s">
        <v>15</v>
      </c>
      <c r="N7" t="s">
        <v>93</v>
      </c>
      <c r="O7" t="s">
        <v>94</v>
      </c>
      <c r="P7" t="s">
        <v>17</v>
      </c>
      <c r="Q7">
        <v>3</v>
      </c>
      <c r="R7" t="s">
        <v>100</v>
      </c>
      <c r="S7">
        <v>1.762915</v>
      </c>
      <c r="T7">
        <v>122</v>
      </c>
      <c r="W7">
        <v>68.921999999999997</v>
      </c>
    </row>
    <row r="8" spans="1:23" x14ac:dyDescent="0.25">
      <c r="A8" t="s">
        <v>87</v>
      </c>
      <c r="B8" t="s">
        <v>87</v>
      </c>
      <c r="C8" t="s">
        <v>88</v>
      </c>
      <c r="D8" t="s">
        <v>89</v>
      </c>
      <c r="E8" t="s">
        <v>84</v>
      </c>
      <c r="F8" t="s">
        <v>90</v>
      </c>
      <c r="G8" t="s">
        <v>91</v>
      </c>
      <c r="H8">
        <v>33</v>
      </c>
      <c r="I8">
        <v>16333</v>
      </c>
      <c r="J8" t="s">
        <v>92</v>
      </c>
      <c r="K8" t="s">
        <v>92</v>
      </c>
      <c r="L8" t="s">
        <v>21</v>
      </c>
      <c r="M8" t="s">
        <v>15</v>
      </c>
      <c r="N8" t="s">
        <v>93</v>
      </c>
      <c r="O8" t="s">
        <v>94</v>
      </c>
      <c r="P8" t="s">
        <v>17</v>
      </c>
      <c r="Q8">
        <v>4</v>
      </c>
      <c r="R8" t="s">
        <v>101</v>
      </c>
      <c r="U8">
        <v>0.20777799999999999</v>
      </c>
      <c r="V8">
        <v>1276</v>
      </c>
      <c r="W8">
        <v>6142.11</v>
      </c>
    </row>
    <row r="9" spans="1:23" x14ac:dyDescent="0.25">
      <c r="A9" t="s">
        <v>87</v>
      </c>
      <c r="B9" t="s">
        <v>87</v>
      </c>
      <c r="C9" t="s">
        <v>88</v>
      </c>
      <c r="D9" t="s">
        <v>96</v>
      </c>
      <c r="E9" t="s">
        <v>97</v>
      </c>
      <c r="F9" t="s">
        <v>98</v>
      </c>
      <c r="G9" t="s">
        <v>91</v>
      </c>
      <c r="H9">
        <v>33</v>
      </c>
      <c r="I9">
        <v>16333</v>
      </c>
      <c r="J9" t="s">
        <v>92</v>
      </c>
      <c r="K9" t="s">
        <v>92</v>
      </c>
      <c r="L9" t="s">
        <v>21</v>
      </c>
      <c r="M9" t="s">
        <v>15</v>
      </c>
      <c r="N9" t="s">
        <v>93</v>
      </c>
      <c r="O9" t="s">
        <v>94</v>
      </c>
      <c r="P9" t="s">
        <v>17</v>
      </c>
      <c r="Q9">
        <v>4</v>
      </c>
      <c r="R9" t="s">
        <v>101</v>
      </c>
      <c r="S9">
        <v>105.884458</v>
      </c>
      <c r="T9">
        <v>7608</v>
      </c>
      <c r="W9">
        <v>71.852999999999994</v>
      </c>
    </row>
    <row r="10" spans="1:23" x14ac:dyDescent="0.25">
      <c r="A10" t="s">
        <v>102</v>
      </c>
      <c r="B10" t="s">
        <v>102</v>
      </c>
      <c r="C10" t="s">
        <v>88</v>
      </c>
      <c r="D10" t="s">
        <v>89</v>
      </c>
      <c r="E10" t="s">
        <v>84</v>
      </c>
      <c r="F10" t="s">
        <v>103</v>
      </c>
      <c r="G10" t="s">
        <v>104</v>
      </c>
      <c r="H10">
        <v>33</v>
      </c>
      <c r="I10">
        <v>16680</v>
      </c>
      <c r="J10" t="s">
        <v>92</v>
      </c>
      <c r="K10" t="s">
        <v>92</v>
      </c>
      <c r="L10" t="s">
        <v>21</v>
      </c>
      <c r="M10" t="s">
        <v>15</v>
      </c>
      <c r="N10" t="s">
        <v>93</v>
      </c>
      <c r="O10" t="s">
        <v>94</v>
      </c>
      <c r="P10" t="s">
        <v>17</v>
      </c>
      <c r="Q10">
        <v>1</v>
      </c>
      <c r="R10" t="s">
        <v>95</v>
      </c>
      <c r="U10">
        <v>10.721048</v>
      </c>
      <c r="V10">
        <v>65947</v>
      </c>
      <c r="W10">
        <v>6151.21</v>
      </c>
    </row>
    <row r="11" spans="1:23" x14ac:dyDescent="0.25">
      <c r="A11" t="s">
        <v>102</v>
      </c>
      <c r="B11" t="s">
        <v>102</v>
      </c>
      <c r="C11" t="s">
        <v>88</v>
      </c>
      <c r="D11" t="s">
        <v>96</v>
      </c>
      <c r="E11" t="s">
        <v>97</v>
      </c>
      <c r="F11" t="s">
        <v>105</v>
      </c>
      <c r="G11" t="s">
        <v>104</v>
      </c>
      <c r="H11">
        <v>33</v>
      </c>
      <c r="I11">
        <v>16680</v>
      </c>
      <c r="J11" t="s">
        <v>92</v>
      </c>
      <c r="K11" t="s">
        <v>92</v>
      </c>
      <c r="L11" t="s">
        <v>21</v>
      </c>
      <c r="M11" t="s">
        <v>15</v>
      </c>
      <c r="N11" t="s">
        <v>93</v>
      </c>
      <c r="O11" t="s">
        <v>94</v>
      </c>
      <c r="P11" t="s">
        <v>17</v>
      </c>
      <c r="Q11">
        <v>1</v>
      </c>
      <c r="R11" t="s">
        <v>95</v>
      </c>
      <c r="S11">
        <v>5531.51</v>
      </c>
      <c r="T11">
        <v>401483</v>
      </c>
      <c r="W11">
        <v>72.581000000000003</v>
      </c>
    </row>
    <row r="12" spans="1:23" x14ac:dyDescent="0.25">
      <c r="A12" t="s">
        <v>102</v>
      </c>
      <c r="B12" t="s">
        <v>102</v>
      </c>
      <c r="C12" t="s">
        <v>88</v>
      </c>
      <c r="D12" t="s">
        <v>89</v>
      </c>
      <c r="E12" t="s">
        <v>84</v>
      </c>
      <c r="F12" t="s">
        <v>103</v>
      </c>
      <c r="G12" t="s">
        <v>104</v>
      </c>
      <c r="H12">
        <v>33</v>
      </c>
      <c r="I12">
        <v>16680</v>
      </c>
      <c r="J12" t="s">
        <v>92</v>
      </c>
      <c r="K12" t="s">
        <v>92</v>
      </c>
      <c r="L12" t="s">
        <v>21</v>
      </c>
      <c r="M12" t="s">
        <v>15</v>
      </c>
      <c r="N12" t="s">
        <v>93</v>
      </c>
      <c r="O12" t="s">
        <v>94</v>
      </c>
      <c r="P12" t="s">
        <v>17</v>
      </c>
      <c r="Q12">
        <v>2</v>
      </c>
      <c r="R12" t="s">
        <v>99</v>
      </c>
      <c r="U12">
        <v>9.8443000000000003E-2</v>
      </c>
      <c r="V12">
        <v>606</v>
      </c>
      <c r="W12">
        <v>6158.49</v>
      </c>
    </row>
    <row r="13" spans="1:23" x14ac:dyDescent="0.25">
      <c r="A13" t="s">
        <v>102</v>
      </c>
      <c r="B13" t="s">
        <v>102</v>
      </c>
      <c r="C13" t="s">
        <v>88</v>
      </c>
      <c r="D13" t="s">
        <v>96</v>
      </c>
      <c r="E13" t="s">
        <v>97</v>
      </c>
      <c r="F13" t="s">
        <v>105</v>
      </c>
      <c r="G13" t="s">
        <v>104</v>
      </c>
      <c r="H13">
        <v>33</v>
      </c>
      <c r="I13">
        <v>16680</v>
      </c>
      <c r="J13" t="s">
        <v>92</v>
      </c>
      <c r="K13" t="s">
        <v>92</v>
      </c>
      <c r="L13" t="s">
        <v>21</v>
      </c>
      <c r="M13" t="s">
        <v>15</v>
      </c>
      <c r="N13" t="s">
        <v>93</v>
      </c>
      <c r="O13" t="s">
        <v>94</v>
      </c>
      <c r="P13" t="s">
        <v>17</v>
      </c>
      <c r="Q13">
        <v>2</v>
      </c>
      <c r="R13" t="s">
        <v>99</v>
      </c>
      <c r="S13">
        <v>50.791626000000001</v>
      </c>
      <c r="T13">
        <v>3634</v>
      </c>
      <c r="W13">
        <v>71.546999999999997</v>
      </c>
    </row>
    <row r="14" spans="1:23" x14ac:dyDescent="0.25">
      <c r="A14" t="s">
        <v>102</v>
      </c>
      <c r="B14" t="s">
        <v>102</v>
      </c>
      <c r="C14" t="s">
        <v>88</v>
      </c>
      <c r="D14" t="s">
        <v>89</v>
      </c>
      <c r="E14" t="s">
        <v>84</v>
      </c>
      <c r="F14" t="s">
        <v>103</v>
      </c>
      <c r="G14" t="s">
        <v>104</v>
      </c>
      <c r="H14">
        <v>33</v>
      </c>
      <c r="I14">
        <v>16680</v>
      </c>
      <c r="J14" t="s">
        <v>92</v>
      </c>
      <c r="K14" t="s">
        <v>92</v>
      </c>
      <c r="L14" t="s">
        <v>21</v>
      </c>
      <c r="M14" t="s">
        <v>15</v>
      </c>
      <c r="N14" t="s">
        <v>93</v>
      </c>
      <c r="O14" t="s">
        <v>94</v>
      </c>
      <c r="P14" t="s">
        <v>17</v>
      </c>
      <c r="Q14">
        <v>3</v>
      </c>
      <c r="R14" t="s">
        <v>100</v>
      </c>
      <c r="U14">
        <v>3.4680000000000002E-3</v>
      </c>
      <c r="V14">
        <v>20</v>
      </c>
      <c r="W14">
        <v>5881.24</v>
      </c>
    </row>
    <row r="15" spans="1:23" x14ac:dyDescent="0.25">
      <c r="A15" t="s">
        <v>102</v>
      </c>
      <c r="B15" t="s">
        <v>102</v>
      </c>
      <c r="C15" t="s">
        <v>88</v>
      </c>
      <c r="D15" t="s">
        <v>96</v>
      </c>
      <c r="E15" t="s">
        <v>97</v>
      </c>
      <c r="F15" t="s">
        <v>105</v>
      </c>
      <c r="G15" t="s">
        <v>104</v>
      </c>
      <c r="H15">
        <v>33</v>
      </c>
      <c r="I15">
        <v>16680</v>
      </c>
      <c r="J15" t="s">
        <v>92</v>
      </c>
      <c r="K15" t="s">
        <v>92</v>
      </c>
      <c r="L15" t="s">
        <v>21</v>
      </c>
      <c r="M15" t="s">
        <v>15</v>
      </c>
      <c r="N15" t="s">
        <v>93</v>
      </c>
      <c r="O15" t="s">
        <v>94</v>
      </c>
      <c r="P15" t="s">
        <v>17</v>
      </c>
      <c r="Q15">
        <v>3</v>
      </c>
      <c r="R15" t="s">
        <v>100</v>
      </c>
      <c r="S15">
        <v>1.7895529999999999</v>
      </c>
      <c r="T15">
        <v>123</v>
      </c>
      <c r="W15">
        <v>68.923000000000002</v>
      </c>
    </row>
    <row r="16" spans="1:23" x14ac:dyDescent="0.25">
      <c r="A16" t="s">
        <v>102</v>
      </c>
      <c r="B16" t="s">
        <v>102</v>
      </c>
      <c r="C16" t="s">
        <v>88</v>
      </c>
      <c r="D16" t="s">
        <v>89</v>
      </c>
      <c r="E16" t="s">
        <v>84</v>
      </c>
      <c r="F16" t="s">
        <v>103</v>
      </c>
      <c r="G16" t="s">
        <v>104</v>
      </c>
      <c r="H16">
        <v>33</v>
      </c>
      <c r="I16">
        <v>16680</v>
      </c>
      <c r="J16" t="s">
        <v>92</v>
      </c>
      <c r="K16" t="s">
        <v>92</v>
      </c>
      <c r="L16" t="s">
        <v>21</v>
      </c>
      <c r="M16" t="s">
        <v>15</v>
      </c>
      <c r="N16" t="s">
        <v>93</v>
      </c>
      <c r="O16" t="s">
        <v>94</v>
      </c>
      <c r="P16" t="s">
        <v>17</v>
      </c>
      <c r="Q16">
        <v>4</v>
      </c>
      <c r="R16" t="s">
        <v>101</v>
      </c>
      <c r="U16">
        <v>0.207959</v>
      </c>
      <c r="V16">
        <v>1277</v>
      </c>
      <c r="W16">
        <v>6142.11</v>
      </c>
    </row>
    <row r="17" spans="1:23" x14ac:dyDescent="0.25">
      <c r="A17" t="s">
        <v>102</v>
      </c>
      <c r="B17" t="s">
        <v>102</v>
      </c>
      <c r="C17" t="s">
        <v>88</v>
      </c>
      <c r="D17" t="s">
        <v>96</v>
      </c>
      <c r="E17" t="s">
        <v>97</v>
      </c>
      <c r="F17" t="s">
        <v>105</v>
      </c>
      <c r="G17" t="s">
        <v>104</v>
      </c>
      <c r="H17">
        <v>33</v>
      </c>
      <c r="I17">
        <v>16680</v>
      </c>
      <c r="J17" t="s">
        <v>92</v>
      </c>
      <c r="K17" t="s">
        <v>92</v>
      </c>
      <c r="L17" t="s">
        <v>21</v>
      </c>
      <c r="M17" t="s">
        <v>15</v>
      </c>
      <c r="N17" t="s">
        <v>93</v>
      </c>
      <c r="O17" t="s">
        <v>94</v>
      </c>
      <c r="P17" t="s">
        <v>17</v>
      </c>
      <c r="Q17">
        <v>4</v>
      </c>
      <c r="R17" t="s">
        <v>101</v>
      </c>
      <c r="S17">
        <v>107.296227</v>
      </c>
      <c r="T17">
        <v>7710</v>
      </c>
      <c r="W17">
        <v>71.853999999999999</v>
      </c>
    </row>
    <row r="18" spans="1:23" x14ac:dyDescent="0.25">
      <c r="A18" t="s">
        <v>106</v>
      </c>
      <c r="B18" t="s">
        <v>106</v>
      </c>
      <c r="C18" t="s">
        <v>88</v>
      </c>
      <c r="D18" t="s">
        <v>89</v>
      </c>
      <c r="E18" t="s">
        <v>84</v>
      </c>
      <c r="F18" t="s">
        <v>107</v>
      </c>
      <c r="G18" t="s">
        <v>108</v>
      </c>
      <c r="H18">
        <v>33</v>
      </c>
      <c r="I18">
        <v>17073</v>
      </c>
      <c r="J18" t="s">
        <v>92</v>
      </c>
      <c r="K18" t="s">
        <v>92</v>
      </c>
      <c r="L18" t="s">
        <v>21</v>
      </c>
      <c r="M18" t="s">
        <v>15</v>
      </c>
      <c r="N18" t="s">
        <v>93</v>
      </c>
      <c r="O18" t="s">
        <v>94</v>
      </c>
      <c r="P18" t="s">
        <v>17</v>
      </c>
      <c r="Q18">
        <v>1</v>
      </c>
      <c r="R18" t="s">
        <v>95</v>
      </c>
      <c r="U18">
        <v>10.721705999999999</v>
      </c>
      <c r="V18">
        <v>65951</v>
      </c>
      <c r="W18">
        <v>6151.21</v>
      </c>
    </row>
    <row r="19" spans="1:23" x14ac:dyDescent="0.25">
      <c r="A19" t="s">
        <v>106</v>
      </c>
      <c r="B19" t="s">
        <v>106</v>
      </c>
      <c r="C19" t="s">
        <v>88</v>
      </c>
      <c r="D19" t="s">
        <v>96</v>
      </c>
      <c r="E19" t="s">
        <v>97</v>
      </c>
      <c r="F19" t="s">
        <v>109</v>
      </c>
      <c r="G19" t="s">
        <v>108</v>
      </c>
      <c r="H19">
        <v>33</v>
      </c>
      <c r="I19">
        <v>17073</v>
      </c>
      <c r="J19" t="s">
        <v>92</v>
      </c>
      <c r="K19" t="s">
        <v>92</v>
      </c>
      <c r="L19" t="s">
        <v>21</v>
      </c>
      <c r="M19" t="s">
        <v>15</v>
      </c>
      <c r="N19" t="s">
        <v>93</v>
      </c>
      <c r="O19" t="s">
        <v>94</v>
      </c>
      <c r="P19" t="s">
        <v>17</v>
      </c>
      <c r="Q19">
        <v>1</v>
      </c>
      <c r="R19" t="s">
        <v>95</v>
      </c>
      <c r="S19">
        <v>5471.54</v>
      </c>
      <c r="T19">
        <v>397130</v>
      </c>
      <c r="W19">
        <v>72.581000000000003</v>
      </c>
    </row>
    <row r="20" spans="1:23" x14ac:dyDescent="0.25">
      <c r="A20" t="s">
        <v>106</v>
      </c>
      <c r="B20" t="s">
        <v>106</v>
      </c>
      <c r="C20" t="s">
        <v>88</v>
      </c>
      <c r="D20" t="s">
        <v>89</v>
      </c>
      <c r="E20" t="s">
        <v>84</v>
      </c>
      <c r="F20" t="s">
        <v>107</v>
      </c>
      <c r="G20" t="s">
        <v>108</v>
      </c>
      <c r="H20">
        <v>33</v>
      </c>
      <c r="I20">
        <v>17073</v>
      </c>
      <c r="J20" t="s">
        <v>92</v>
      </c>
      <c r="K20" t="s">
        <v>92</v>
      </c>
      <c r="L20" t="s">
        <v>21</v>
      </c>
      <c r="M20" t="s">
        <v>15</v>
      </c>
      <c r="N20" t="s">
        <v>93</v>
      </c>
      <c r="O20" t="s">
        <v>94</v>
      </c>
      <c r="P20" t="s">
        <v>17</v>
      </c>
      <c r="Q20">
        <v>2</v>
      </c>
      <c r="R20" t="s">
        <v>99</v>
      </c>
      <c r="U20">
        <v>9.8084000000000005E-2</v>
      </c>
      <c r="V20">
        <v>604</v>
      </c>
      <c r="W20">
        <v>6158.49</v>
      </c>
    </row>
    <row r="21" spans="1:23" x14ac:dyDescent="0.25">
      <c r="A21" t="s">
        <v>106</v>
      </c>
      <c r="B21" t="s">
        <v>106</v>
      </c>
      <c r="C21" t="s">
        <v>88</v>
      </c>
      <c r="D21" t="s">
        <v>96</v>
      </c>
      <c r="E21" t="s">
        <v>97</v>
      </c>
      <c r="F21" t="s">
        <v>109</v>
      </c>
      <c r="G21" t="s">
        <v>108</v>
      </c>
      <c r="H21">
        <v>33</v>
      </c>
      <c r="I21">
        <v>17073</v>
      </c>
      <c r="J21" t="s">
        <v>92</v>
      </c>
      <c r="K21" t="s">
        <v>92</v>
      </c>
      <c r="L21" t="s">
        <v>21</v>
      </c>
      <c r="M21" t="s">
        <v>15</v>
      </c>
      <c r="N21" t="s">
        <v>93</v>
      </c>
      <c r="O21" t="s">
        <v>94</v>
      </c>
      <c r="P21" t="s">
        <v>17</v>
      </c>
      <c r="Q21">
        <v>2</v>
      </c>
      <c r="R21" t="s">
        <v>99</v>
      </c>
      <c r="S21">
        <v>50.054734000000003</v>
      </c>
      <c r="T21">
        <v>3581</v>
      </c>
      <c r="W21">
        <v>71.546999999999997</v>
      </c>
    </row>
    <row r="22" spans="1:23" x14ac:dyDescent="0.25">
      <c r="A22" t="s">
        <v>106</v>
      </c>
      <c r="B22" t="s">
        <v>106</v>
      </c>
      <c r="C22" t="s">
        <v>88</v>
      </c>
      <c r="D22" t="s">
        <v>89</v>
      </c>
      <c r="E22" t="s">
        <v>84</v>
      </c>
      <c r="F22" t="s">
        <v>107</v>
      </c>
      <c r="G22" t="s">
        <v>108</v>
      </c>
      <c r="H22">
        <v>33</v>
      </c>
      <c r="I22">
        <v>17073</v>
      </c>
      <c r="J22" t="s">
        <v>92</v>
      </c>
      <c r="K22" t="s">
        <v>92</v>
      </c>
      <c r="L22" t="s">
        <v>21</v>
      </c>
      <c r="M22" t="s">
        <v>15</v>
      </c>
      <c r="N22" t="s">
        <v>93</v>
      </c>
      <c r="O22" t="s">
        <v>94</v>
      </c>
      <c r="P22" t="s">
        <v>17</v>
      </c>
      <c r="Q22">
        <v>3</v>
      </c>
      <c r="R22" t="s">
        <v>100</v>
      </c>
      <c r="U22">
        <v>3.4550000000000002E-3</v>
      </c>
      <c r="V22">
        <v>20</v>
      </c>
      <c r="W22">
        <v>5881.24</v>
      </c>
    </row>
    <row r="23" spans="1:23" x14ac:dyDescent="0.25">
      <c r="A23" t="s">
        <v>106</v>
      </c>
      <c r="B23" t="s">
        <v>106</v>
      </c>
      <c r="C23" t="s">
        <v>88</v>
      </c>
      <c r="D23" t="s">
        <v>96</v>
      </c>
      <c r="E23" t="s">
        <v>97</v>
      </c>
      <c r="F23" t="s">
        <v>109</v>
      </c>
      <c r="G23" t="s">
        <v>108</v>
      </c>
      <c r="H23">
        <v>33</v>
      </c>
      <c r="I23">
        <v>17073</v>
      </c>
      <c r="J23" t="s">
        <v>92</v>
      </c>
      <c r="K23" t="s">
        <v>92</v>
      </c>
      <c r="L23" t="s">
        <v>21</v>
      </c>
      <c r="M23" t="s">
        <v>15</v>
      </c>
      <c r="N23" t="s">
        <v>93</v>
      </c>
      <c r="O23" t="s">
        <v>94</v>
      </c>
      <c r="P23" t="s">
        <v>17</v>
      </c>
      <c r="Q23">
        <v>3</v>
      </c>
      <c r="R23" t="s">
        <v>100</v>
      </c>
      <c r="S23">
        <v>1.7630680000000001</v>
      </c>
      <c r="T23">
        <v>122</v>
      </c>
      <c r="W23">
        <v>68.923000000000002</v>
      </c>
    </row>
    <row r="24" spans="1:23" x14ac:dyDescent="0.25">
      <c r="A24" t="s">
        <v>106</v>
      </c>
      <c r="B24" t="s">
        <v>106</v>
      </c>
      <c r="C24" t="s">
        <v>88</v>
      </c>
      <c r="D24" t="s">
        <v>89</v>
      </c>
      <c r="E24" t="s">
        <v>84</v>
      </c>
      <c r="F24" t="s">
        <v>107</v>
      </c>
      <c r="G24" t="s">
        <v>108</v>
      </c>
      <c r="H24">
        <v>33</v>
      </c>
      <c r="I24">
        <v>17073</v>
      </c>
      <c r="J24" t="s">
        <v>92</v>
      </c>
      <c r="K24" t="s">
        <v>92</v>
      </c>
      <c r="L24" t="s">
        <v>21</v>
      </c>
      <c r="M24" t="s">
        <v>15</v>
      </c>
      <c r="N24" t="s">
        <v>93</v>
      </c>
      <c r="O24" t="s">
        <v>94</v>
      </c>
      <c r="P24" t="s">
        <v>17</v>
      </c>
      <c r="Q24">
        <v>4</v>
      </c>
      <c r="R24" t="s">
        <v>101</v>
      </c>
      <c r="U24">
        <v>0.207842</v>
      </c>
      <c r="V24">
        <v>1277</v>
      </c>
      <c r="W24">
        <v>6142.11</v>
      </c>
    </row>
    <row r="25" spans="1:23" x14ac:dyDescent="0.25">
      <c r="A25" t="s">
        <v>106</v>
      </c>
      <c r="B25" t="s">
        <v>106</v>
      </c>
      <c r="C25" t="s">
        <v>88</v>
      </c>
      <c r="D25" t="s">
        <v>96</v>
      </c>
      <c r="E25" t="s">
        <v>97</v>
      </c>
      <c r="F25" t="s">
        <v>109</v>
      </c>
      <c r="G25" t="s">
        <v>108</v>
      </c>
      <c r="H25">
        <v>33</v>
      </c>
      <c r="I25">
        <v>17073</v>
      </c>
      <c r="J25" t="s">
        <v>92</v>
      </c>
      <c r="K25" t="s">
        <v>92</v>
      </c>
      <c r="L25" t="s">
        <v>21</v>
      </c>
      <c r="M25" t="s">
        <v>15</v>
      </c>
      <c r="N25" t="s">
        <v>93</v>
      </c>
      <c r="O25" t="s">
        <v>94</v>
      </c>
      <c r="P25" t="s">
        <v>17</v>
      </c>
      <c r="Q25">
        <v>4</v>
      </c>
      <c r="R25" t="s">
        <v>101</v>
      </c>
      <c r="S25">
        <v>106.06644</v>
      </c>
      <c r="T25">
        <v>7621</v>
      </c>
      <c r="W25">
        <v>71.853999999999999</v>
      </c>
    </row>
    <row r="26" spans="1:23" x14ac:dyDescent="0.25">
      <c r="A26" t="s">
        <v>110</v>
      </c>
      <c r="B26" t="s">
        <v>110</v>
      </c>
      <c r="C26" t="s">
        <v>88</v>
      </c>
      <c r="D26" t="s">
        <v>89</v>
      </c>
      <c r="E26" t="s">
        <v>84</v>
      </c>
      <c r="F26" t="s">
        <v>111</v>
      </c>
      <c r="G26" t="s">
        <v>112</v>
      </c>
      <c r="H26">
        <v>33</v>
      </c>
      <c r="I26">
        <v>17446</v>
      </c>
      <c r="J26" t="s">
        <v>92</v>
      </c>
      <c r="K26" t="s">
        <v>92</v>
      </c>
      <c r="L26" t="s">
        <v>21</v>
      </c>
      <c r="M26" t="s">
        <v>15</v>
      </c>
      <c r="N26" t="s">
        <v>93</v>
      </c>
      <c r="O26" t="s">
        <v>94</v>
      </c>
      <c r="P26" t="s">
        <v>17</v>
      </c>
      <c r="Q26">
        <v>1</v>
      </c>
      <c r="R26" t="s">
        <v>95</v>
      </c>
      <c r="U26">
        <v>10.895962000000001</v>
      </c>
      <c r="V26">
        <v>67023</v>
      </c>
      <c r="W26">
        <v>6151.21</v>
      </c>
    </row>
    <row r="27" spans="1:23" x14ac:dyDescent="0.25">
      <c r="A27" t="s">
        <v>110</v>
      </c>
      <c r="B27" t="s">
        <v>110</v>
      </c>
      <c r="C27" t="s">
        <v>88</v>
      </c>
      <c r="D27" t="s">
        <v>96</v>
      </c>
      <c r="E27" t="s">
        <v>97</v>
      </c>
      <c r="F27" t="s">
        <v>113</v>
      </c>
      <c r="G27" t="s">
        <v>112</v>
      </c>
      <c r="H27">
        <v>33</v>
      </c>
      <c r="I27">
        <v>17446</v>
      </c>
      <c r="J27" t="s">
        <v>92</v>
      </c>
      <c r="K27" t="s">
        <v>92</v>
      </c>
      <c r="L27" t="s">
        <v>21</v>
      </c>
      <c r="M27" t="s">
        <v>15</v>
      </c>
      <c r="N27" t="s">
        <v>93</v>
      </c>
      <c r="O27" t="s">
        <v>94</v>
      </c>
      <c r="P27" t="s">
        <v>17</v>
      </c>
      <c r="Q27">
        <v>1</v>
      </c>
      <c r="R27" t="s">
        <v>95</v>
      </c>
      <c r="S27">
        <v>6605.1435730000003</v>
      </c>
      <c r="T27">
        <v>479408</v>
      </c>
      <c r="W27">
        <v>72.581000000000003</v>
      </c>
    </row>
    <row r="28" spans="1:23" x14ac:dyDescent="0.25">
      <c r="A28" t="s">
        <v>110</v>
      </c>
      <c r="B28" t="s">
        <v>110</v>
      </c>
      <c r="C28" t="s">
        <v>88</v>
      </c>
      <c r="D28" t="s">
        <v>89</v>
      </c>
      <c r="E28" t="s">
        <v>84</v>
      </c>
      <c r="F28" t="s">
        <v>111</v>
      </c>
      <c r="G28" t="s">
        <v>112</v>
      </c>
      <c r="H28">
        <v>33</v>
      </c>
      <c r="I28">
        <v>17446</v>
      </c>
      <c r="J28" t="s">
        <v>92</v>
      </c>
      <c r="K28" t="s">
        <v>92</v>
      </c>
      <c r="L28" t="s">
        <v>21</v>
      </c>
      <c r="M28" t="s">
        <v>15</v>
      </c>
      <c r="N28" t="s">
        <v>93</v>
      </c>
      <c r="O28" t="s">
        <v>94</v>
      </c>
      <c r="P28" t="s">
        <v>17</v>
      </c>
      <c r="Q28">
        <v>2</v>
      </c>
      <c r="R28" t="s">
        <v>99</v>
      </c>
      <c r="U28">
        <v>9.8992999999999998E-2</v>
      </c>
      <c r="V28">
        <v>610</v>
      </c>
      <c r="W28">
        <v>6158.49</v>
      </c>
    </row>
    <row r="29" spans="1:23" x14ac:dyDescent="0.25">
      <c r="A29" t="s">
        <v>110</v>
      </c>
      <c r="B29" t="s">
        <v>110</v>
      </c>
      <c r="C29" t="s">
        <v>88</v>
      </c>
      <c r="D29" t="s">
        <v>96</v>
      </c>
      <c r="E29" t="s">
        <v>97</v>
      </c>
      <c r="F29" t="s">
        <v>113</v>
      </c>
      <c r="G29" t="s">
        <v>112</v>
      </c>
      <c r="H29">
        <v>33</v>
      </c>
      <c r="I29">
        <v>17446</v>
      </c>
      <c r="J29" t="s">
        <v>92</v>
      </c>
      <c r="K29" t="s">
        <v>92</v>
      </c>
      <c r="L29" t="s">
        <v>21</v>
      </c>
      <c r="M29" t="s">
        <v>15</v>
      </c>
      <c r="N29" t="s">
        <v>93</v>
      </c>
      <c r="O29" t="s">
        <v>94</v>
      </c>
      <c r="P29" t="s">
        <v>17</v>
      </c>
      <c r="Q29">
        <v>2</v>
      </c>
      <c r="R29" t="s">
        <v>99</v>
      </c>
      <c r="S29">
        <v>60.009639999999997</v>
      </c>
      <c r="T29">
        <v>4294</v>
      </c>
      <c r="W29">
        <v>71.546999999999997</v>
      </c>
    </row>
    <row r="30" spans="1:23" x14ac:dyDescent="0.25">
      <c r="A30" t="s">
        <v>110</v>
      </c>
      <c r="B30" t="s">
        <v>110</v>
      </c>
      <c r="C30" t="s">
        <v>88</v>
      </c>
      <c r="D30" t="s">
        <v>89</v>
      </c>
      <c r="E30" t="s">
        <v>84</v>
      </c>
      <c r="F30" t="s">
        <v>111</v>
      </c>
      <c r="G30" t="s">
        <v>112</v>
      </c>
      <c r="H30">
        <v>33</v>
      </c>
      <c r="I30">
        <v>17446</v>
      </c>
      <c r="J30" t="s">
        <v>92</v>
      </c>
      <c r="K30" t="s">
        <v>92</v>
      </c>
      <c r="L30" t="s">
        <v>21</v>
      </c>
      <c r="M30" t="s">
        <v>15</v>
      </c>
      <c r="N30" t="s">
        <v>93</v>
      </c>
      <c r="O30" t="s">
        <v>94</v>
      </c>
      <c r="P30" t="s">
        <v>17</v>
      </c>
      <c r="Q30">
        <v>3</v>
      </c>
      <c r="R30" t="s">
        <v>100</v>
      </c>
      <c r="U30">
        <v>3.5019999999999999E-3</v>
      </c>
      <c r="V30">
        <v>21</v>
      </c>
      <c r="W30">
        <v>5881.24</v>
      </c>
    </row>
    <row r="31" spans="1:23" x14ac:dyDescent="0.25">
      <c r="A31" t="s">
        <v>110</v>
      </c>
      <c r="B31" t="s">
        <v>110</v>
      </c>
      <c r="C31" t="s">
        <v>88</v>
      </c>
      <c r="D31" t="s">
        <v>96</v>
      </c>
      <c r="E31" t="s">
        <v>97</v>
      </c>
      <c r="F31" t="s">
        <v>113</v>
      </c>
      <c r="G31" t="s">
        <v>112</v>
      </c>
      <c r="H31">
        <v>33</v>
      </c>
      <c r="I31">
        <v>17446</v>
      </c>
      <c r="J31" t="s">
        <v>92</v>
      </c>
      <c r="K31" t="s">
        <v>92</v>
      </c>
      <c r="L31" t="s">
        <v>21</v>
      </c>
      <c r="M31" t="s">
        <v>15</v>
      </c>
      <c r="N31" t="s">
        <v>93</v>
      </c>
      <c r="O31" t="s">
        <v>94</v>
      </c>
      <c r="P31" t="s">
        <v>17</v>
      </c>
      <c r="Q31">
        <v>3</v>
      </c>
      <c r="R31" t="s">
        <v>100</v>
      </c>
      <c r="S31">
        <v>2.1230479999999998</v>
      </c>
      <c r="T31">
        <v>146</v>
      </c>
      <c r="W31">
        <v>68.923000000000002</v>
      </c>
    </row>
    <row r="32" spans="1:23" x14ac:dyDescent="0.25">
      <c r="A32" t="s">
        <v>110</v>
      </c>
      <c r="B32" t="s">
        <v>110</v>
      </c>
      <c r="C32" t="s">
        <v>88</v>
      </c>
      <c r="D32" t="s">
        <v>89</v>
      </c>
      <c r="E32" t="s">
        <v>84</v>
      </c>
      <c r="F32" t="s">
        <v>111</v>
      </c>
      <c r="G32" t="s">
        <v>112</v>
      </c>
      <c r="H32">
        <v>33</v>
      </c>
      <c r="I32">
        <v>17446</v>
      </c>
      <c r="J32" t="s">
        <v>92</v>
      </c>
      <c r="K32" t="s">
        <v>92</v>
      </c>
      <c r="L32" t="s">
        <v>21</v>
      </c>
      <c r="M32" t="s">
        <v>15</v>
      </c>
      <c r="N32" t="s">
        <v>93</v>
      </c>
      <c r="O32" t="s">
        <v>94</v>
      </c>
      <c r="P32" t="s">
        <v>17</v>
      </c>
      <c r="Q32">
        <v>4</v>
      </c>
      <c r="R32" t="s">
        <v>101</v>
      </c>
      <c r="U32">
        <v>0.20990600000000001</v>
      </c>
      <c r="V32">
        <v>1289</v>
      </c>
      <c r="W32">
        <v>6142.11</v>
      </c>
    </row>
    <row r="33" spans="1:23" x14ac:dyDescent="0.25">
      <c r="A33" t="s">
        <v>110</v>
      </c>
      <c r="B33" t="s">
        <v>110</v>
      </c>
      <c r="C33" t="s">
        <v>88</v>
      </c>
      <c r="D33" t="s">
        <v>96</v>
      </c>
      <c r="E33" t="s">
        <v>97</v>
      </c>
      <c r="F33" t="s">
        <v>113</v>
      </c>
      <c r="G33" t="s">
        <v>112</v>
      </c>
      <c r="H33">
        <v>33</v>
      </c>
      <c r="I33">
        <v>17446</v>
      </c>
      <c r="J33" t="s">
        <v>92</v>
      </c>
      <c r="K33" t="s">
        <v>92</v>
      </c>
      <c r="L33" t="s">
        <v>21</v>
      </c>
      <c r="M33" t="s">
        <v>15</v>
      </c>
      <c r="N33" t="s">
        <v>93</v>
      </c>
      <c r="O33" t="s">
        <v>94</v>
      </c>
      <c r="P33" t="s">
        <v>17</v>
      </c>
      <c r="Q33">
        <v>4</v>
      </c>
      <c r="R33" t="s">
        <v>101</v>
      </c>
      <c r="S33">
        <v>127.245518</v>
      </c>
      <c r="T33">
        <v>9143</v>
      </c>
      <c r="W33">
        <v>71.853999999999999</v>
      </c>
    </row>
    <row r="34" spans="1:23" x14ac:dyDescent="0.25">
      <c r="A34" t="s">
        <v>114</v>
      </c>
      <c r="B34" t="s">
        <v>114</v>
      </c>
      <c r="C34" t="s">
        <v>88</v>
      </c>
      <c r="D34" t="s">
        <v>89</v>
      </c>
      <c r="E34" t="s">
        <v>84</v>
      </c>
      <c r="F34" t="s">
        <v>115</v>
      </c>
      <c r="G34" t="s">
        <v>116</v>
      </c>
      <c r="H34">
        <v>33</v>
      </c>
      <c r="I34">
        <v>17700</v>
      </c>
      <c r="J34" t="s">
        <v>92</v>
      </c>
      <c r="K34" t="s">
        <v>92</v>
      </c>
      <c r="L34" t="s">
        <v>21</v>
      </c>
      <c r="M34" t="s">
        <v>15</v>
      </c>
      <c r="N34" t="s">
        <v>93</v>
      </c>
      <c r="O34" t="s">
        <v>94</v>
      </c>
      <c r="P34" t="s">
        <v>17</v>
      </c>
      <c r="Q34">
        <v>1</v>
      </c>
      <c r="R34" t="s">
        <v>95</v>
      </c>
      <c r="U34">
        <v>10.896716</v>
      </c>
      <c r="V34">
        <v>67028</v>
      </c>
      <c r="W34">
        <v>6151.21</v>
      </c>
    </row>
    <row r="35" spans="1:23" x14ac:dyDescent="0.25">
      <c r="A35" t="s">
        <v>114</v>
      </c>
      <c r="B35" t="s">
        <v>114</v>
      </c>
      <c r="C35" t="s">
        <v>88</v>
      </c>
      <c r="D35" t="s">
        <v>96</v>
      </c>
      <c r="E35" t="s">
        <v>97</v>
      </c>
      <c r="F35" t="s">
        <v>117</v>
      </c>
      <c r="G35" t="s">
        <v>116</v>
      </c>
      <c r="H35">
        <v>33</v>
      </c>
      <c r="I35">
        <v>17700</v>
      </c>
      <c r="J35" t="s">
        <v>92</v>
      </c>
      <c r="K35" t="s">
        <v>92</v>
      </c>
      <c r="L35" t="s">
        <v>21</v>
      </c>
      <c r="M35" t="s">
        <v>15</v>
      </c>
      <c r="N35" t="s">
        <v>93</v>
      </c>
      <c r="O35" t="s">
        <v>94</v>
      </c>
      <c r="P35" t="s">
        <v>17</v>
      </c>
      <c r="Q35">
        <v>1</v>
      </c>
      <c r="R35" t="s">
        <v>95</v>
      </c>
      <c r="S35">
        <v>6834.3655179999996</v>
      </c>
      <c r="T35">
        <v>496045</v>
      </c>
      <c r="W35">
        <v>72.581000000000003</v>
      </c>
    </row>
    <row r="36" spans="1:23" x14ac:dyDescent="0.25">
      <c r="A36" t="s">
        <v>114</v>
      </c>
      <c r="B36" t="s">
        <v>114</v>
      </c>
      <c r="C36" t="s">
        <v>88</v>
      </c>
      <c r="D36" t="s">
        <v>89</v>
      </c>
      <c r="E36" t="s">
        <v>84</v>
      </c>
      <c r="F36" t="s">
        <v>115</v>
      </c>
      <c r="G36" t="s">
        <v>116</v>
      </c>
      <c r="H36">
        <v>33</v>
      </c>
      <c r="I36">
        <v>17700</v>
      </c>
      <c r="J36" t="s">
        <v>92</v>
      </c>
      <c r="K36" t="s">
        <v>92</v>
      </c>
      <c r="L36" t="s">
        <v>21</v>
      </c>
      <c r="M36" t="s">
        <v>15</v>
      </c>
      <c r="N36" t="s">
        <v>93</v>
      </c>
      <c r="O36" t="s">
        <v>94</v>
      </c>
      <c r="P36" t="s">
        <v>17</v>
      </c>
      <c r="Q36">
        <v>2</v>
      </c>
      <c r="R36" t="s">
        <v>99</v>
      </c>
      <c r="U36">
        <v>9.8089999999999997E-2</v>
      </c>
      <c r="V36">
        <v>604</v>
      </c>
      <c r="W36">
        <v>6158.49</v>
      </c>
    </row>
    <row r="37" spans="1:23" x14ac:dyDescent="0.25">
      <c r="A37" t="s">
        <v>114</v>
      </c>
      <c r="B37" t="s">
        <v>114</v>
      </c>
      <c r="C37" t="s">
        <v>88</v>
      </c>
      <c r="D37" t="s">
        <v>96</v>
      </c>
      <c r="E37" t="s">
        <v>97</v>
      </c>
      <c r="F37" t="s">
        <v>117</v>
      </c>
      <c r="G37" t="s">
        <v>116</v>
      </c>
      <c r="H37">
        <v>33</v>
      </c>
      <c r="I37">
        <v>17700</v>
      </c>
      <c r="J37" t="s">
        <v>92</v>
      </c>
      <c r="K37" t="s">
        <v>92</v>
      </c>
      <c r="L37" t="s">
        <v>21</v>
      </c>
      <c r="M37" t="s">
        <v>15</v>
      </c>
      <c r="N37" t="s">
        <v>93</v>
      </c>
      <c r="O37" t="s">
        <v>94</v>
      </c>
      <c r="P37" t="s">
        <v>17</v>
      </c>
      <c r="Q37">
        <v>2</v>
      </c>
      <c r="R37" t="s">
        <v>99</v>
      </c>
      <c r="S37">
        <v>61.54</v>
      </c>
      <c r="T37">
        <v>4403</v>
      </c>
      <c r="W37">
        <v>71.546999999999997</v>
      </c>
    </row>
    <row r="38" spans="1:23" x14ac:dyDescent="0.25">
      <c r="A38" t="s">
        <v>114</v>
      </c>
      <c r="B38" t="s">
        <v>114</v>
      </c>
      <c r="C38" t="s">
        <v>88</v>
      </c>
      <c r="D38" t="s">
        <v>89</v>
      </c>
      <c r="E38" t="s">
        <v>84</v>
      </c>
      <c r="F38" t="s">
        <v>115</v>
      </c>
      <c r="G38" t="s">
        <v>116</v>
      </c>
      <c r="H38">
        <v>33</v>
      </c>
      <c r="I38">
        <v>17700</v>
      </c>
      <c r="J38" t="s">
        <v>92</v>
      </c>
      <c r="K38" t="s">
        <v>92</v>
      </c>
      <c r="L38" t="s">
        <v>21</v>
      </c>
      <c r="M38" t="s">
        <v>15</v>
      </c>
      <c r="N38" t="s">
        <v>93</v>
      </c>
      <c r="O38" t="s">
        <v>94</v>
      </c>
      <c r="P38" t="s">
        <v>17</v>
      </c>
      <c r="Q38">
        <v>3</v>
      </c>
      <c r="R38" t="s">
        <v>100</v>
      </c>
      <c r="U38">
        <v>3.48E-3</v>
      </c>
      <c r="V38">
        <v>20</v>
      </c>
      <c r="W38">
        <v>5881.24</v>
      </c>
    </row>
    <row r="39" spans="1:23" x14ac:dyDescent="0.25">
      <c r="A39" t="s">
        <v>114</v>
      </c>
      <c r="B39" t="s">
        <v>114</v>
      </c>
      <c r="C39" t="s">
        <v>88</v>
      </c>
      <c r="D39" t="s">
        <v>96</v>
      </c>
      <c r="E39" t="s">
        <v>97</v>
      </c>
      <c r="F39" t="s">
        <v>117</v>
      </c>
      <c r="G39" t="s">
        <v>116</v>
      </c>
      <c r="H39">
        <v>33</v>
      </c>
      <c r="I39">
        <v>17700</v>
      </c>
      <c r="J39" t="s">
        <v>92</v>
      </c>
      <c r="K39" t="s">
        <v>92</v>
      </c>
      <c r="L39" t="s">
        <v>21</v>
      </c>
      <c r="M39" t="s">
        <v>15</v>
      </c>
      <c r="N39" t="s">
        <v>93</v>
      </c>
      <c r="O39" t="s">
        <v>94</v>
      </c>
      <c r="P39" t="s">
        <v>17</v>
      </c>
      <c r="Q39">
        <v>3</v>
      </c>
      <c r="R39" t="s">
        <v>100</v>
      </c>
      <c r="S39">
        <v>2.182712</v>
      </c>
      <c r="T39">
        <v>150</v>
      </c>
      <c r="W39">
        <v>68.923000000000002</v>
      </c>
    </row>
    <row r="40" spans="1:23" x14ac:dyDescent="0.25">
      <c r="A40" t="s">
        <v>114</v>
      </c>
      <c r="B40" t="s">
        <v>114</v>
      </c>
      <c r="C40" t="s">
        <v>88</v>
      </c>
      <c r="D40" t="s">
        <v>89</v>
      </c>
      <c r="E40" t="s">
        <v>84</v>
      </c>
      <c r="F40" t="s">
        <v>115</v>
      </c>
      <c r="G40" t="s">
        <v>116</v>
      </c>
      <c r="H40">
        <v>33</v>
      </c>
      <c r="I40">
        <v>17700</v>
      </c>
      <c r="J40" t="s">
        <v>92</v>
      </c>
      <c r="K40" t="s">
        <v>92</v>
      </c>
      <c r="L40" t="s">
        <v>21</v>
      </c>
      <c r="M40" t="s">
        <v>15</v>
      </c>
      <c r="N40" t="s">
        <v>93</v>
      </c>
      <c r="O40" t="s">
        <v>94</v>
      </c>
      <c r="P40" t="s">
        <v>17</v>
      </c>
      <c r="Q40">
        <v>4</v>
      </c>
      <c r="R40" t="s">
        <v>101</v>
      </c>
      <c r="U40">
        <v>0.208926</v>
      </c>
      <c r="V40">
        <v>1283</v>
      </c>
      <c r="W40">
        <v>6142.11</v>
      </c>
    </row>
    <row r="41" spans="1:23" x14ac:dyDescent="0.25">
      <c r="A41" t="s">
        <v>114</v>
      </c>
      <c r="B41" t="s">
        <v>114</v>
      </c>
      <c r="C41" t="s">
        <v>88</v>
      </c>
      <c r="D41" t="s">
        <v>96</v>
      </c>
      <c r="E41" t="s">
        <v>97</v>
      </c>
      <c r="F41" t="s">
        <v>117</v>
      </c>
      <c r="G41" t="s">
        <v>116</v>
      </c>
      <c r="H41">
        <v>33</v>
      </c>
      <c r="I41">
        <v>17700</v>
      </c>
      <c r="J41" t="s">
        <v>92</v>
      </c>
      <c r="K41" t="s">
        <v>92</v>
      </c>
      <c r="L41" t="s">
        <v>21</v>
      </c>
      <c r="M41" t="s">
        <v>15</v>
      </c>
      <c r="N41" t="s">
        <v>93</v>
      </c>
      <c r="O41" t="s">
        <v>94</v>
      </c>
      <c r="P41" t="s">
        <v>17</v>
      </c>
      <c r="Q41">
        <v>4</v>
      </c>
      <c r="R41" t="s">
        <v>101</v>
      </c>
      <c r="S41">
        <v>131.037206</v>
      </c>
      <c r="T41">
        <v>9416</v>
      </c>
      <c r="W41">
        <v>71.853999999999999</v>
      </c>
    </row>
    <row r="42" spans="1:23" x14ac:dyDescent="0.25">
      <c r="A42" t="s">
        <v>118</v>
      </c>
      <c r="B42" t="s">
        <v>118</v>
      </c>
      <c r="C42" t="s">
        <v>88</v>
      </c>
      <c r="D42" t="s">
        <v>89</v>
      </c>
      <c r="E42" t="s">
        <v>84</v>
      </c>
      <c r="F42" t="s">
        <v>119</v>
      </c>
      <c r="G42" t="s">
        <v>120</v>
      </c>
      <c r="H42">
        <v>33</v>
      </c>
      <c r="I42">
        <v>18334</v>
      </c>
      <c r="J42" t="s">
        <v>92</v>
      </c>
      <c r="K42" t="s">
        <v>92</v>
      </c>
      <c r="L42" t="s">
        <v>21</v>
      </c>
      <c r="M42" t="s">
        <v>15</v>
      </c>
      <c r="N42" t="s">
        <v>93</v>
      </c>
      <c r="O42" t="s">
        <v>94</v>
      </c>
      <c r="P42" t="s">
        <v>17</v>
      </c>
      <c r="Q42">
        <v>1</v>
      </c>
      <c r="R42" t="s">
        <v>95</v>
      </c>
      <c r="U42">
        <v>10.784045000000001</v>
      </c>
      <c r="V42">
        <v>66164</v>
      </c>
      <c r="W42">
        <v>6135.33</v>
      </c>
    </row>
    <row r="43" spans="1:23" x14ac:dyDescent="0.25">
      <c r="A43" t="s">
        <v>118</v>
      </c>
      <c r="B43" t="s">
        <v>118</v>
      </c>
      <c r="C43" t="s">
        <v>88</v>
      </c>
      <c r="D43" t="s">
        <v>96</v>
      </c>
      <c r="E43" t="s">
        <v>97</v>
      </c>
      <c r="F43" t="s">
        <v>121</v>
      </c>
      <c r="G43" t="s">
        <v>120</v>
      </c>
      <c r="H43">
        <v>33</v>
      </c>
      <c r="I43">
        <v>18334</v>
      </c>
      <c r="J43" t="s">
        <v>92</v>
      </c>
      <c r="K43" t="s">
        <v>92</v>
      </c>
      <c r="L43" t="s">
        <v>21</v>
      </c>
      <c r="M43" t="s">
        <v>15</v>
      </c>
      <c r="N43" t="s">
        <v>93</v>
      </c>
      <c r="O43" t="s">
        <v>94</v>
      </c>
      <c r="P43" t="s">
        <v>17</v>
      </c>
      <c r="Q43">
        <v>1</v>
      </c>
      <c r="R43" t="s">
        <v>95</v>
      </c>
      <c r="S43">
        <v>5624.9605339999998</v>
      </c>
      <c r="T43">
        <v>451037</v>
      </c>
      <c r="W43">
        <v>80.185000000000002</v>
      </c>
    </row>
    <row r="44" spans="1:23" x14ac:dyDescent="0.25">
      <c r="A44" t="s">
        <v>118</v>
      </c>
      <c r="B44" t="s">
        <v>118</v>
      </c>
      <c r="C44" t="s">
        <v>88</v>
      </c>
      <c r="D44" t="s">
        <v>89</v>
      </c>
      <c r="E44" t="s">
        <v>84</v>
      </c>
      <c r="F44" t="s">
        <v>119</v>
      </c>
      <c r="G44" t="s">
        <v>120</v>
      </c>
      <c r="H44">
        <v>33</v>
      </c>
      <c r="I44">
        <v>18334</v>
      </c>
      <c r="J44" t="s">
        <v>92</v>
      </c>
      <c r="K44" t="s">
        <v>92</v>
      </c>
      <c r="L44" t="s">
        <v>21</v>
      </c>
      <c r="M44" t="s">
        <v>15</v>
      </c>
      <c r="N44" t="s">
        <v>93</v>
      </c>
      <c r="O44" t="s">
        <v>94</v>
      </c>
      <c r="P44" t="s">
        <v>17</v>
      </c>
      <c r="Q44">
        <v>2</v>
      </c>
      <c r="R44" t="s">
        <v>99</v>
      </c>
      <c r="U44">
        <v>0.100635</v>
      </c>
      <c r="V44">
        <v>615</v>
      </c>
      <c r="W44">
        <v>6114.1989999999996</v>
      </c>
    </row>
    <row r="45" spans="1:23" x14ac:dyDescent="0.25">
      <c r="A45" t="s">
        <v>118</v>
      </c>
      <c r="B45" t="s">
        <v>118</v>
      </c>
      <c r="C45" t="s">
        <v>88</v>
      </c>
      <c r="D45" t="s">
        <v>96</v>
      </c>
      <c r="E45" t="s">
        <v>97</v>
      </c>
      <c r="F45" t="s">
        <v>121</v>
      </c>
      <c r="G45" t="s">
        <v>120</v>
      </c>
      <c r="H45">
        <v>33</v>
      </c>
      <c r="I45">
        <v>18334</v>
      </c>
      <c r="J45" t="s">
        <v>92</v>
      </c>
      <c r="K45" t="s">
        <v>92</v>
      </c>
      <c r="L45" t="s">
        <v>21</v>
      </c>
      <c r="M45" t="s">
        <v>15</v>
      </c>
      <c r="N45" t="s">
        <v>93</v>
      </c>
      <c r="O45" t="s">
        <v>94</v>
      </c>
      <c r="P45" t="s">
        <v>17</v>
      </c>
      <c r="Q45">
        <v>2</v>
      </c>
      <c r="R45" t="s">
        <v>99</v>
      </c>
      <c r="S45">
        <v>52.491463000000003</v>
      </c>
      <c r="T45">
        <v>4285</v>
      </c>
      <c r="W45">
        <v>81.635000000000005</v>
      </c>
    </row>
    <row r="46" spans="1:23" x14ac:dyDescent="0.25">
      <c r="A46" t="s">
        <v>118</v>
      </c>
      <c r="B46" t="s">
        <v>118</v>
      </c>
      <c r="C46" t="s">
        <v>88</v>
      </c>
      <c r="D46" t="s">
        <v>89</v>
      </c>
      <c r="E46" t="s">
        <v>84</v>
      </c>
      <c r="F46" t="s">
        <v>119</v>
      </c>
      <c r="G46" t="s">
        <v>120</v>
      </c>
      <c r="H46">
        <v>33</v>
      </c>
      <c r="I46">
        <v>18334</v>
      </c>
      <c r="J46" t="s">
        <v>92</v>
      </c>
      <c r="K46" t="s">
        <v>92</v>
      </c>
      <c r="L46" t="s">
        <v>21</v>
      </c>
      <c r="M46" t="s">
        <v>15</v>
      </c>
      <c r="N46" t="s">
        <v>93</v>
      </c>
      <c r="O46" t="s">
        <v>94</v>
      </c>
      <c r="P46" t="s">
        <v>17</v>
      </c>
      <c r="Q46">
        <v>3</v>
      </c>
      <c r="R46" t="s">
        <v>100</v>
      </c>
      <c r="U46">
        <v>0.125636</v>
      </c>
      <c r="V46">
        <v>740</v>
      </c>
      <c r="W46">
        <v>5890.8109999999997</v>
      </c>
    </row>
    <row r="47" spans="1:23" x14ac:dyDescent="0.25">
      <c r="A47" t="s">
        <v>118</v>
      </c>
      <c r="B47" t="s">
        <v>118</v>
      </c>
      <c r="C47" t="s">
        <v>88</v>
      </c>
      <c r="D47" t="s">
        <v>96</v>
      </c>
      <c r="E47" t="s">
        <v>97</v>
      </c>
      <c r="F47" t="s">
        <v>121</v>
      </c>
      <c r="G47" t="s">
        <v>120</v>
      </c>
      <c r="H47">
        <v>33</v>
      </c>
      <c r="I47">
        <v>18334</v>
      </c>
      <c r="J47" t="s">
        <v>92</v>
      </c>
      <c r="K47" t="s">
        <v>92</v>
      </c>
      <c r="L47" t="s">
        <v>21</v>
      </c>
      <c r="M47" t="s">
        <v>15</v>
      </c>
      <c r="N47" t="s">
        <v>93</v>
      </c>
      <c r="O47" t="s">
        <v>94</v>
      </c>
      <c r="P47" t="s">
        <v>17</v>
      </c>
      <c r="Q47">
        <v>3</v>
      </c>
      <c r="R47" t="s">
        <v>100</v>
      </c>
      <c r="S47">
        <v>65.531734999999998</v>
      </c>
      <c r="T47">
        <v>5126</v>
      </c>
      <c r="W47">
        <v>78.215999999999994</v>
      </c>
    </row>
    <row r="48" spans="1:23" x14ac:dyDescent="0.25">
      <c r="A48" t="s">
        <v>118</v>
      </c>
      <c r="B48" t="s">
        <v>118</v>
      </c>
      <c r="C48" t="s">
        <v>88</v>
      </c>
      <c r="D48" t="s">
        <v>89</v>
      </c>
      <c r="E48" t="s">
        <v>84</v>
      </c>
      <c r="F48" t="s">
        <v>119</v>
      </c>
      <c r="G48" t="s">
        <v>120</v>
      </c>
      <c r="H48">
        <v>33</v>
      </c>
      <c r="I48">
        <v>18334</v>
      </c>
      <c r="J48" t="s">
        <v>92</v>
      </c>
      <c r="K48" t="s">
        <v>92</v>
      </c>
      <c r="L48" t="s">
        <v>21</v>
      </c>
      <c r="M48" t="s">
        <v>15</v>
      </c>
      <c r="N48" t="s">
        <v>93</v>
      </c>
      <c r="O48" t="s">
        <v>94</v>
      </c>
      <c r="P48" t="s">
        <v>17</v>
      </c>
      <c r="Q48">
        <v>4</v>
      </c>
      <c r="R48" t="s">
        <v>101</v>
      </c>
      <c r="U48">
        <v>0.38757900000000001</v>
      </c>
      <c r="V48">
        <v>2374</v>
      </c>
      <c r="W48">
        <v>6125.067</v>
      </c>
    </row>
    <row r="49" spans="1:23" x14ac:dyDescent="0.25">
      <c r="A49" t="s">
        <v>118</v>
      </c>
      <c r="B49" t="s">
        <v>118</v>
      </c>
      <c r="C49" t="s">
        <v>88</v>
      </c>
      <c r="D49" t="s">
        <v>96</v>
      </c>
      <c r="E49" t="s">
        <v>97</v>
      </c>
      <c r="F49" t="s">
        <v>121</v>
      </c>
      <c r="G49" t="s">
        <v>120</v>
      </c>
      <c r="H49">
        <v>33</v>
      </c>
      <c r="I49">
        <v>18334</v>
      </c>
      <c r="J49" t="s">
        <v>92</v>
      </c>
      <c r="K49" t="s">
        <v>92</v>
      </c>
      <c r="L49" t="s">
        <v>21</v>
      </c>
      <c r="M49" t="s">
        <v>15</v>
      </c>
      <c r="N49" t="s">
        <v>93</v>
      </c>
      <c r="O49" t="s">
        <v>94</v>
      </c>
      <c r="P49" t="s">
        <v>17</v>
      </c>
      <c r="Q49">
        <v>4</v>
      </c>
      <c r="R49" t="s">
        <v>101</v>
      </c>
      <c r="S49">
        <v>202.161235</v>
      </c>
      <c r="T49">
        <v>16535</v>
      </c>
      <c r="W49">
        <v>81.789000000000001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5"/>
  <sheetViews>
    <sheetView workbookViewId="0"/>
  </sheetViews>
  <sheetFormatPr baseColWidth="10" defaultColWidth="9.140625" defaultRowHeight="15" x14ac:dyDescent="0.25"/>
  <sheetData>
    <row r="1" spans="1:23" x14ac:dyDescent="0.25">
      <c r="A1" s="1" t="s">
        <v>69</v>
      </c>
      <c r="B1" s="1" t="s">
        <v>58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20</v>
      </c>
      <c r="M1" s="1" t="s">
        <v>57</v>
      </c>
      <c r="N1" s="1" t="s">
        <v>79</v>
      </c>
      <c r="O1" s="1" t="s">
        <v>18</v>
      </c>
      <c r="P1" s="1" t="s">
        <v>60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</row>
    <row r="2" spans="1:23" x14ac:dyDescent="0.25">
      <c r="A2" t="s">
        <v>87</v>
      </c>
      <c r="B2" t="s">
        <v>87</v>
      </c>
      <c r="C2" t="s">
        <v>88</v>
      </c>
      <c r="D2" t="s">
        <v>96</v>
      </c>
      <c r="E2" t="s">
        <v>97</v>
      </c>
      <c r="F2" t="s">
        <v>98</v>
      </c>
      <c r="G2" t="s">
        <v>91</v>
      </c>
      <c r="H2">
        <v>33</v>
      </c>
      <c r="I2">
        <v>16333</v>
      </c>
      <c r="J2" t="s">
        <v>92</v>
      </c>
      <c r="K2" t="s">
        <v>92</v>
      </c>
      <c r="L2" t="s">
        <v>21</v>
      </c>
      <c r="M2" t="s">
        <v>15</v>
      </c>
      <c r="N2" t="s">
        <v>93</v>
      </c>
      <c r="O2" t="s">
        <v>94</v>
      </c>
      <c r="P2" t="s">
        <v>17</v>
      </c>
      <c r="Q2">
        <v>1</v>
      </c>
      <c r="R2" t="s">
        <v>95</v>
      </c>
      <c r="S2">
        <v>5463.6276589999998</v>
      </c>
      <c r="T2">
        <v>396550</v>
      </c>
      <c r="W2">
        <v>72.58</v>
      </c>
    </row>
    <row r="3" spans="1:23" x14ac:dyDescent="0.25">
      <c r="A3" t="s">
        <v>87</v>
      </c>
      <c r="B3" t="s">
        <v>87</v>
      </c>
      <c r="C3" t="s">
        <v>88</v>
      </c>
      <c r="D3" t="s">
        <v>96</v>
      </c>
      <c r="E3" t="s">
        <v>97</v>
      </c>
      <c r="F3" t="s">
        <v>98</v>
      </c>
      <c r="G3" t="s">
        <v>91</v>
      </c>
      <c r="H3">
        <v>33</v>
      </c>
      <c r="I3">
        <v>16333</v>
      </c>
      <c r="J3" t="s">
        <v>92</v>
      </c>
      <c r="K3" t="s">
        <v>92</v>
      </c>
      <c r="L3" t="s">
        <v>21</v>
      </c>
      <c r="M3" t="s">
        <v>15</v>
      </c>
      <c r="N3" t="s">
        <v>93</v>
      </c>
      <c r="O3" t="s">
        <v>94</v>
      </c>
      <c r="P3" t="s">
        <v>17</v>
      </c>
      <c r="Q3">
        <v>2</v>
      </c>
      <c r="R3" t="s">
        <v>99</v>
      </c>
      <c r="S3">
        <v>50.058546999999997</v>
      </c>
      <c r="T3">
        <v>3581</v>
      </c>
      <c r="W3">
        <v>71.546000000000006</v>
      </c>
    </row>
    <row r="4" spans="1:23" x14ac:dyDescent="0.25">
      <c r="A4" t="s">
        <v>87</v>
      </c>
      <c r="B4" t="s">
        <v>87</v>
      </c>
      <c r="C4" t="s">
        <v>88</v>
      </c>
      <c r="D4" t="s">
        <v>96</v>
      </c>
      <c r="E4" t="s">
        <v>97</v>
      </c>
      <c r="F4" t="s">
        <v>98</v>
      </c>
      <c r="G4" t="s">
        <v>91</v>
      </c>
      <c r="H4">
        <v>33</v>
      </c>
      <c r="I4">
        <v>16333</v>
      </c>
      <c r="J4" t="s">
        <v>92</v>
      </c>
      <c r="K4" t="s">
        <v>92</v>
      </c>
      <c r="L4" t="s">
        <v>21</v>
      </c>
      <c r="M4" t="s">
        <v>15</v>
      </c>
      <c r="N4" t="s">
        <v>93</v>
      </c>
      <c r="O4" t="s">
        <v>94</v>
      </c>
      <c r="P4" t="s">
        <v>17</v>
      </c>
      <c r="Q4">
        <v>3</v>
      </c>
      <c r="R4" t="s">
        <v>100</v>
      </c>
      <c r="S4">
        <v>1.762915</v>
      </c>
      <c r="T4">
        <v>122</v>
      </c>
      <c r="W4">
        <v>68.921999999999997</v>
      </c>
    </row>
    <row r="5" spans="1:23" x14ac:dyDescent="0.25">
      <c r="A5" t="s">
        <v>87</v>
      </c>
      <c r="B5" t="s">
        <v>87</v>
      </c>
      <c r="C5" t="s">
        <v>88</v>
      </c>
      <c r="D5" t="s">
        <v>96</v>
      </c>
      <c r="E5" t="s">
        <v>97</v>
      </c>
      <c r="F5" t="s">
        <v>98</v>
      </c>
      <c r="G5" t="s">
        <v>91</v>
      </c>
      <c r="H5">
        <v>33</v>
      </c>
      <c r="I5">
        <v>16333</v>
      </c>
      <c r="J5" t="s">
        <v>92</v>
      </c>
      <c r="K5" t="s">
        <v>92</v>
      </c>
      <c r="L5" t="s">
        <v>21</v>
      </c>
      <c r="M5" t="s">
        <v>15</v>
      </c>
      <c r="N5" t="s">
        <v>93</v>
      </c>
      <c r="O5" t="s">
        <v>94</v>
      </c>
      <c r="P5" t="s">
        <v>17</v>
      </c>
      <c r="Q5">
        <v>4</v>
      </c>
      <c r="R5" t="s">
        <v>101</v>
      </c>
      <c r="S5">
        <v>105.884458</v>
      </c>
      <c r="T5">
        <v>7608</v>
      </c>
      <c r="W5">
        <v>71.852999999999994</v>
      </c>
    </row>
    <row r="6" spans="1:23" x14ac:dyDescent="0.25">
      <c r="A6" t="s">
        <v>102</v>
      </c>
      <c r="B6" t="s">
        <v>102</v>
      </c>
      <c r="C6" t="s">
        <v>88</v>
      </c>
      <c r="D6" t="s">
        <v>96</v>
      </c>
      <c r="E6" t="s">
        <v>97</v>
      </c>
      <c r="F6" t="s">
        <v>105</v>
      </c>
      <c r="G6" t="s">
        <v>104</v>
      </c>
      <c r="H6">
        <v>33</v>
      </c>
      <c r="I6">
        <v>16680</v>
      </c>
      <c r="J6" t="s">
        <v>92</v>
      </c>
      <c r="K6" t="s">
        <v>92</v>
      </c>
      <c r="L6" t="s">
        <v>21</v>
      </c>
      <c r="M6" t="s">
        <v>15</v>
      </c>
      <c r="N6" t="s">
        <v>93</v>
      </c>
      <c r="O6" t="s">
        <v>94</v>
      </c>
      <c r="P6" t="s">
        <v>17</v>
      </c>
      <c r="Q6">
        <v>1</v>
      </c>
      <c r="R6" t="s">
        <v>95</v>
      </c>
      <c r="S6">
        <v>5531.51</v>
      </c>
      <c r="T6">
        <v>401483</v>
      </c>
      <c r="W6">
        <v>72.581000000000003</v>
      </c>
    </row>
    <row r="7" spans="1:23" x14ac:dyDescent="0.25">
      <c r="A7" t="s">
        <v>102</v>
      </c>
      <c r="B7" t="s">
        <v>102</v>
      </c>
      <c r="C7" t="s">
        <v>88</v>
      </c>
      <c r="D7" t="s">
        <v>96</v>
      </c>
      <c r="E7" t="s">
        <v>97</v>
      </c>
      <c r="F7" t="s">
        <v>105</v>
      </c>
      <c r="G7" t="s">
        <v>104</v>
      </c>
      <c r="H7">
        <v>33</v>
      </c>
      <c r="I7">
        <v>16680</v>
      </c>
      <c r="J7" t="s">
        <v>92</v>
      </c>
      <c r="K7" t="s">
        <v>92</v>
      </c>
      <c r="L7" t="s">
        <v>21</v>
      </c>
      <c r="M7" t="s">
        <v>15</v>
      </c>
      <c r="N7" t="s">
        <v>93</v>
      </c>
      <c r="O7" t="s">
        <v>94</v>
      </c>
      <c r="P7" t="s">
        <v>17</v>
      </c>
      <c r="Q7">
        <v>2</v>
      </c>
      <c r="R7" t="s">
        <v>99</v>
      </c>
      <c r="S7">
        <v>50.791626000000001</v>
      </c>
      <c r="T7">
        <v>3634</v>
      </c>
      <c r="W7">
        <v>71.546999999999997</v>
      </c>
    </row>
    <row r="8" spans="1:23" x14ac:dyDescent="0.25">
      <c r="A8" t="s">
        <v>102</v>
      </c>
      <c r="B8" t="s">
        <v>102</v>
      </c>
      <c r="C8" t="s">
        <v>88</v>
      </c>
      <c r="D8" t="s">
        <v>96</v>
      </c>
      <c r="E8" t="s">
        <v>97</v>
      </c>
      <c r="F8" t="s">
        <v>105</v>
      </c>
      <c r="G8" t="s">
        <v>104</v>
      </c>
      <c r="H8">
        <v>33</v>
      </c>
      <c r="I8">
        <v>16680</v>
      </c>
      <c r="J8" t="s">
        <v>92</v>
      </c>
      <c r="K8" t="s">
        <v>92</v>
      </c>
      <c r="L8" t="s">
        <v>21</v>
      </c>
      <c r="M8" t="s">
        <v>15</v>
      </c>
      <c r="N8" t="s">
        <v>93</v>
      </c>
      <c r="O8" t="s">
        <v>94</v>
      </c>
      <c r="P8" t="s">
        <v>17</v>
      </c>
      <c r="Q8">
        <v>3</v>
      </c>
      <c r="R8" t="s">
        <v>100</v>
      </c>
      <c r="S8">
        <v>1.7895529999999999</v>
      </c>
      <c r="T8">
        <v>123</v>
      </c>
      <c r="W8">
        <v>68.923000000000002</v>
      </c>
    </row>
    <row r="9" spans="1:23" x14ac:dyDescent="0.25">
      <c r="A9" t="s">
        <v>102</v>
      </c>
      <c r="B9" t="s">
        <v>102</v>
      </c>
      <c r="C9" t="s">
        <v>88</v>
      </c>
      <c r="D9" t="s">
        <v>96</v>
      </c>
      <c r="E9" t="s">
        <v>97</v>
      </c>
      <c r="F9" t="s">
        <v>105</v>
      </c>
      <c r="G9" t="s">
        <v>104</v>
      </c>
      <c r="H9">
        <v>33</v>
      </c>
      <c r="I9">
        <v>16680</v>
      </c>
      <c r="J9" t="s">
        <v>92</v>
      </c>
      <c r="K9" t="s">
        <v>92</v>
      </c>
      <c r="L9" t="s">
        <v>21</v>
      </c>
      <c r="M9" t="s">
        <v>15</v>
      </c>
      <c r="N9" t="s">
        <v>93</v>
      </c>
      <c r="O9" t="s">
        <v>94</v>
      </c>
      <c r="P9" t="s">
        <v>17</v>
      </c>
      <c r="Q9">
        <v>4</v>
      </c>
      <c r="R9" t="s">
        <v>101</v>
      </c>
      <c r="S9">
        <v>107.296227</v>
      </c>
      <c r="T9">
        <v>7710</v>
      </c>
      <c r="W9">
        <v>71.853999999999999</v>
      </c>
    </row>
    <row r="10" spans="1:23" x14ac:dyDescent="0.25">
      <c r="A10" t="s">
        <v>106</v>
      </c>
      <c r="B10" t="s">
        <v>106</v>
      </c>
      <c r="C10" t="s">
        <v>88</v>
      </c>
      <c r="D10" t="s">
        <v>96</v>
      </c>
      <c r="E10" t="s">
        <v>97</v>
      </c>
      <c r="F10" t="s">
        <v>109</v>
      </c>
      <c r="G10" t="s">
        <v>108</v>
      </c>
      <c r="H10">
        <v>33</v>
      </c>
      <c r="I10">
        <v>17073</v>
      </c>
      <c r="J10" t="s">
        <v>92</v>
      </c>
      <c r="K10" t="s">
        <v>92</v>
      </c>
      <c r="L10" t="s">
        <v>21</v>
      </c>
      <c r="M10" t="s">
        <v>15</v>
      </c>
      <c r="N10" t="s">
        <v>93</v>
      </c>
      <c r="O10" t="s">
        <v>94</v>
      </c>
      <c r="P10" t="s">
        <v>17</v>
      </c>
      <c r="Q10">
        <v>1</v>
      </c>
      <c r="R10" t="s">
        <v>95</v>
      </c>
      <c r="S10">
        <v>5471.54</v>
      </c>
      <c r="T10">
        <v>397130</v>
      </c>
      <c r="W10">
        <v>72.581000000000003</v>
      </c>
    </row>
    <row r="11" spans="1:23" x14ac:dyDescent="0.25">
      <c r="A11" t="s">
        <v>106</v>
      </c>
      <c r="B11" t="s">
        <v>106</v>
      </c>
      <c r="C11" t="s">
        <v>88</v>
      </c>
      <c r="D11" t="s">
        <v>96</v>
      </c>
      <c r="E11" t="s">
        <v>97</v>
      </c>
      <c r="F11" t="s">
        <v>109</v>
      </c>
      <c r="G11" t="s">
        <v>108</v>
      </c>
      <c r="H11">
        <v>33</v>
      </c>
      <c r="I11">
        <v>17073</v>
      </c>
      <c r="J11" t="s">
        <v>92</v>
      </c>
      <c r="K11" t="s">
        <v>92</v>
      </c>
      <c r="L11" t="s">
        <v>21</v>
      </c>
      <c r="M11" t="s">
        <v>15</v>
      </c>
      <c r="N11" t="s">
        <v>93</v>
      </c>
      <c r="O11" t="s">
        <v>94</v>
      </c>
      <c r="P11" t="s">
        <v>17</v>
      </c>
      <c r="Q11">
        <v>2</v>
      </c>
      <c r="R11" t="s">
        <v>99</v>
      </c>
      <c r="S11">
        <v>50.054734000000003</v>
      </c>
      <c r="T11">
        <v>3581</v>
      </c>
      <c r="W11">
        <v>71.546999999999997</v>
      </c>
    </row>
    <row r="12" spans="1:23" x14ac:dyDescent="0.25">
      <c r="A12" t="s">
        <v>106</v>
      </c>
      <c r="B12" t="s">
        <v>106</v>
      </c>
      <c r="C12" t="s">
        <v>88</v>
      </c>
      <c r="D12" t="s">
        <v>96</v>
      </c>
      <c r="E12" t="s">
        <v>97</v>
      </c>
      <c r="F12" t="s">
        <v>109</v>
      </c>
      <c r="G12" t="s">
        <v>108</v>
      </c>
      <c r="H12">
        <v>33</v>
      </c>
      <c r="I12">
        <v>17073</v>
      </c>
      <c r="J12" t="s">
        <v>92</v>
      </c>
      <c r="K12" t="s">
        <v>92</v>
      </c>
      <c r="L12" t="s">
        <v>21</v>
      </c>
      <c r="M12" t="s">
        <v>15</v>
      </c>
      <c r="N12" t="s">
        <v>93</v>
      </c>
      <c r="O12" t="s">
        <v>94</v>
      </c>
      <c r="P12" t="s">
        <v>17</v>
      </c>
      <c r="Q12">
        <v>3</v>
      </c>
      <c r="R12" t="s">
        <v>100</v>
      </c>
      <c r="S12">
        <v>1.7630680000000001</v>
      </c>
      <c r="T12">
        <v>122</v>
      </c>
      <c r="W12">
        <v>68.923000000000002</v>
      </c>
    </row>
    <row r="13" spans="1:23" x14ac:dyDescent="0.25">
      <c r="A13" t="s">
        <v>106</v>
      </c>
      <c r="B13" t="s">
        <v>106</v>
      </c>
      <c r="C13" t="s">
        <v>88</v>
      </c>
      <c r="D13" t="s">
        <v>96</v>
      </c>
      <c r="E13" t="s">
        <v>97</v>
      </c>
      <c r="F13" t="s">
        <v>109</v>
      </c>
      <c r="G13" t="s">
        <v>108</v>
      </c>
      <c r="H13">
        <v>33</v>
      </c>
      <c r="I13">
        <v>17073</v>
      </c>
      <c r="J13" t="s">
        <v>92</v>
      </c>
      <c r="K13" t="s">
        <v>92</v>
      </c>
      <c r="L13" t="s">
        <v>21</v>
      </c>
      <c r="M13" t="s">
        <v>15</v>
      </c>
      <c r="N13" t="s">
        <v>93</v>
      </c>
      <c r="O13" t="s">
        <v>94</v>
      </c>
      <c r="P13" t="s">
        <v>17</v>
      </c>
      <c r="Q13">
        <v>4</v>
      </c>
      <c r="R13" t="s">
        <v>101</v>
      </c>
      <c r="S13">
        <v>106.06644</v>
      </c>
      <c r="T13">
        <v>7621</v>
      </c>
      <c r="W13">
        <v>71.853999999999999</v>
      </c>
    </row>
    <row r="14" spans="1:23" x14ac:dyDescent="0.25">
      <c r="A14" t="s">
        <v>110</v>
      </c>
      <c r="B14" t="s">
        <v>110</v>
      </c>
      <c r="C14" t="s">
        <v>88</v>
      </c>
      <c r="D14" t="s">
        <v>96</v>
      </c>
      <c r="E14" t="s">
        <v>97</v>
      </c>
      <c r="F14" t="s">
        <v>113</v>
      </c>
      <c r="G14" t="s">
        <v>112</v>
      </c>
      <c r="H14">
        <v>33</v>
      </c>
      <c r="I14">
        <v>17446</v>
      </c>
      <c r="J14" t="s">
        <v>92</v>
      </c>
      <c r="K14" t="s">
        <v>92</v>
      </c>
      <c r="L14" t="s">
        <v>21</v>
      </c>
      <c r="M14" t="s">
        <v>15</v>
      </c>
      <c r="N14" t="s">
        <v>93</v>
      </c>
      <c r="O14" t="s">
        <v>94</v>
      </c>
      <c r="P14" t="s">
        <v>17</v>
      </c>
      <c r="Q14">
        <v>1</v>
      </c>
      <c r="R14" t="s">
        <v>95</v>
      </c>
      <c r="S14">
        <v>6605.1435730000003</v>
      </c>
      <c r="T14">
        <v>479408</v>
      </c>
      <c r="W14">
        <v>72.581000000000003</v>
      </c>
    </row>
    <row r="15" spans="1:23" x14ac:dyDescent="0.25">
      <c r="A15" t="s">
        <v>110</v>
      </c>
      <c r="B15" t="s">
        <v>110</v>
      </c>
      <c r="C15" t="s">
        <v>88</v>
      </c>
      <c r="D15" t="s">
        <v>96</v>
      </c>
      <c r="E15" t="s">
        <v>97</v>
      </c>
      <c r="F15" t="s">
        <v>113</v>
      </c>
      <c r="G15" t="s">
        <v>112</v>
      </c>
      <c r="H15">
        <v>33</v>
      </c>
      <c r="I15">
        <v>17446</v>
      </c>
      <c r="J15" t="s">
        <v>92</v>
      </c>
      <c r="K15" t="s">
        <v>92</v>
      </c>
      <c r="L15" t="s">
        <v>21</v>
      </c>
      <c r="M15" t="s">
        <v>15</v>
      </c>
      <c r="N15" t="s">
        <v>93</v>
      </c>
      <c r="O15" t="s">
        <v>94</v>
      </c>
      <c r="P15" t="s">
        <v>17</v>
      </c>
      <c r="Q15">
        <v>2</v>
      </c>
      <c r="R15" t="s">
        <v>99</v>
      </c>
      <c r="S15">
        <v>60.009639999999997</v>
      </c>
      <c r="T15">
        <v>4294</v>
      </c>
      <c r="W15">
        <v>71.546999999999997</v>
      </c>
    </row>
    <row r="16" spans="1:23" x14ac:dyDescent="0.25">
      <c r="A16" t="s">
        <v>110</v>
      </c>
      <c r="B16" t="s">
        <v>110</v>
      </c>
      <c r="C16" t="s">
        <v>88</v>
      </c>
      <c r="D16" t="s">
        <v>96</v>
      </c>
      <c r="E16" t="s">
        <v>97</v>
      </c>
      <c r="F16" t="s">
        <v>113</v>
      </c>
      <c r="G16" t="s">
        <v>112</v>
      </c>
      <c r="H16">
        <v>33</v>
      </c>
      <c r="I16">
        <v>17446</v>
      </c>
      <c r="J16" t="s">
        <v>92</v>
      </c>
      <c r="K16" t="s">
        <v>92</v>
      </c>
      <c r="L16" t="s">
        <v>21</v>
      </c>
      <c r="M16" t="s">
        <v>15</v>
      </c>
      <c r="N16" t="s">
        <v>93</v>
      </c>
      <c r="O16" t="s">
        <v>94</v>
      </c>
      <c r="P16" t="s">
        <v>17</v>
      </c>
      <c r="Q16">
        <v>3</v>
      </c>
      <c r="R16" t="s">
        <v>100</v>
      </c>
      <c r="S16">
        <v>2.1230479999999998</v>
      </c>
      <c r="T16">
        <v>146</v>
      </c>
      <c r="W16">
        <v>68.923000000000002</v>
      </c>
    </row>
    <row r="17" spans="1:23" x14ac:dyDescent="0.25">
      <c r="A17" t="s">
        <v>110</v>
      </c>
      <c r="B17" t="s">
        <v>110</v>
      </c>
      <c r="C17" t="s">
        <v>88</v>
      </c>
      <c r="D17" t="s">
        <v>96</v>
      </c>
      <c r="E17" t="s">
        <v>97</v>
      </c>
      <c r="F17" t="s">
        <v>113</v>
      </c>
      <c r="G17" t="s">
        <v>112</v>
      </c>
      <c r="H17">
        <v>33</v>
      </c>
      <c r="I17">
        <v>17446</v>
      </c>
      <c r="J17" t="s">
        <v>92</v>
      </c>
      <c r="K17" t="s">
        <v>92</v>
      </c>
      <c r="L17" t="s">
        <v>21</v>
      </c>
      <c r="M17" t="s">
        <v>15</v>
      </c>
      <c r="N17" t="s">
        <v>93</v>
      </c>
      <c r="O17" t="s">
        <v>94</v>
      </c>
      <c r="P17" t="s">
        <v>17</v>
      </c>
      <c r="Q17">
        <v>4</v>
      </c>
      <c r="R17" t="s">
        <v>101</v>
      </c>
      <c r="S17">
        <v>127.245518</v>
      </c>
      <c r="T17">
        <v>9143</v>
      </c>
      <c r="W17">
        <v>71.853999999999999</v>
      </c>
    </row>
    <row r="18" spans="1:23" x14ac:dyDescent="0.25">
      <c r="A18" t="s">
        <v>114</v>
      </c>
      <c r="B18" t="s">
        <v>114</v>
      </c>
      <c r="C18" t="s">
        <v>88</v>
      </c>
      <c r="D18" t="s">
        <v>96</v>
      </c>
      <c r="E18" t="s">
        <v>97</v>
      </c>
      <c r="F18" t="s">
        <v>117</v>
      </c>
      <c r="G18" t="s">
        <v>116</v>
      </c>
      <c r="H18">
        <v>33</v>
      </c>
      <c r="I18">
        <v>17700</v>
      </c>
      <c r="J18" t="s">
        <v>92</v>
      </c>
      <c r="K18" t="s">
        <v>92</v>
      </c>
      <c r="L18" t="s">
        <v>21</v>
      </c>
      <c r="M18" t="s">
        <v>15</v>
      </c>
      <c r="N18" t="s">
        <v>93</v>
      </c>
      <c r="O18" t="s">
        <v>94</v>
      </c>
      <c r="P18" t="s">
        <v>17</v>
      </c>
      <c r="Q18">
        <v>1</v>
      </c>
      <c r="R18" t="s">
        <v>95</v>
      </c>
      <c r="S18">
        <v>6834.3655179999996</v>
      </c>
      <c r="T18">
        <v>496045</v>
      </c>
      <c r="W18">
        <v>72.581000000000003</v>
      </c>
    </row>
    <row r="19" spans="1:23" x14ac:dyDescent="0.25">
      <c r="A19" t="s">
        <v>114</v>
      </c>
      <c r="B19" t="s">
        <v>114</v>
      </c>
      <c r="C19" t="s">
        <v>88</v>
      </c>
      <c r="D19" t="s">
        <v>96</v>
      </c>
      <c r="E19" t="s">
        <v>97</v>
      </c>
      <c r="F19" t="s">
        <v>117</v>
      </c>
      <c r="G19" t="s">
        <v>116</v>
      </c>
      <c r="H19">
        <v>33</v>
      </c>
      <c r="I19">
        <v>17700</v>
      </c>
      <c r="J19" t="s">
        <v>92</v>
      </c>
      <c r="K19" t="s">
        <v>92</v>
      </c>
      <c r="L19" t="s">
        <v>21</v>
      </c>
      <c r="M19" t="s">
        <v>15</v>
      </c>
      <c r="N19" t="s">
        <v>93</v>
      </c>
      <c r="O19" t="s">
        <v>94</v>
      </c>
      <c r="P19" t="s">
        <v>17</v>
      </c>
      <c r="Q19">
        <v>2</v>
      </c>
      <c r="R19" t="s">
        <v>99</v>
      </c>
      <c r="S19">
        <v>61.54</v>
      </c>
      <c r="T19">
        <v>4403</v>
      </c>
      <c r="W19">
        <v>71.546999999999997</v>
      </c>
    </row>
    <row r="20" spans="1:23" x14ac:dyDescent="0.25">
      <c r="A20" t="s">
        <v>114</v>
      </c>
      <c r="B20" t="s">
        <v>114</v>
      </c>
      <c r="C20" t="s">
        <v>88</v>
      </c>
      <c r="D20" t="s">
        <v>96</v>
      </c>
      <c r="E20" t="s">
        <v>97</v>
      </c>
      <c r="F20" t="s">
        <v>117</v>
      </c>
      <c r="G20" t="s">
        <v>116</v>
      </c>
      <c r="H20">
        <v>33</v>
      </c>
      <c r="I20">
        <v>17700</v>
      </c>
      <c r="J20" t="s">
        <v>92</v>
      </c>
      <c r="K20" t="s">
        <v>92</v>
      </c>
      <c r="L20" t="s">
        <v>21</v>
      </c>
      <c r="M20" t="s">
        <v>15</v>
      </c>
      <c r="N20" t="s">
        <v>93</v>
      </c>
      <c r="O20" t="s">
        <v>94</v>
      </c>
      <c r="P20" t="s">
        <v>17</v>
      </c>
      <c r="Q20">
        <v>3</v>
      </c>
      <c r="R20" t="s">
        <v>100</v>
      </c>
      <c r="S20">
        <v>2.182712</v>
      </c>
      <c r="T20">
        <v>150</v>
      </c>
      <c r="W20">
        <v>68.923000000000002</v>
      </c>
    </row>
    <row r="21" spans="1:23" x14ac:dyDescent="0.25">
      <c r="A21" t="s">
        <v>114</v>
      </c>
      <c r="B21" t="s">
        <v>114</v>
      </c>
      <c r="C21" t="s">
        <v>88</v>
      </c>
      <c r="D21" t="s">
        <v>96</v>
      </c>
      <c r="E21" t="s">
        <v>97</v>
      </c>
      <c r="F21" t="s">
        <v>117</v>
      </c>
      <c r="G21" t="s">
        <v>116</v>
      </c>
      <c r="H21">
        <v>33</v>
      </c>
      <c r="I21">
        <v>17700</v>
      </c>
      <c r="J21" t="s">
        <v>92</v>
      </c>
      <c r="K21" t="s">
        <v>92</v>
      </c>
      <c r="L21" t="s">
        <v>21</v>
      </c>
      <c r="M21" t="s">
        <v>15</v>
      </c>
      <c r="N21" t="s">
        <v>93</v>
      </c>
      <c r="O21" t="s">
        <v>94</v>
      </c>
      <c r="P21" t="s">
        <v>17</v>
      </c>
      <c r="Q21">
        <v>4</v>
      </c>
      <c r="R21" t="s">
        <v>101</v>
      </c>
      <c r="S21">
        <v>131.037206</v>
      </c>
      <c r="T21">
        <v>9416</v>
      </c>
      <c r="W21">
        <v>71.853999999999999</v>
      </c>
    </row>
    <row r="22" spans="1:23" x14ac:dyDescent="0.25">
      <c r="A22" t="s">
        <v>118</v>
      </c>
      <c r="B22" t="s">
        <v>118</v>
      </c>
      <c r="C22" t="s">
        <v>88</v>
      </c>
      <c r="D22" t="s">
        <v>96</v>
      </c>
      <c r="E22" t="s">
        <v>97</v>
      </c>
      <c r="F22" t="s">
        <v>121</v>
      </c>
      <c r="G22" t="s">
        <v>120</v>
      </c>
      <c r="H22">
        <v>33</v>
      </c>
      <c r="I22">
        <v>18334</v>
      </c>
      <c r="J22" t="s">
        <v>92</v>
      </c>
      <c r="K22" t="s">
        <v>92</v>
      </c>
      <c r="L22" t="s">
        <v>21</v>
      </c>
      <c r="M22" t="s">
        <v>15</v>
      </c>
      <c r="N22" t="s">
        <v>93</v>
      </c>
      <c r="O22" t="s">
        <v>94</v>
      </c>
      <c r="P22" t="s">
        <v>17</v>
      </c>
      <c r="Q22">
        <v>1</v>
      </c>
      <c r="R22" t="s">
        <v>95</v>
      </c>
      <c r="S22">
        <v>5624.9605339999998</v>
      </c>
      <c r="T22">
        <v>451037</v>
      </c>
      <c r="W22">
        <v>80.185000000000002</v>
      </c>
    </row>
    <row r="23" spans="1:23" x14ac:dyDescent="0.25">
      <c r="A23" t="s">
        <v>118</v>
      </c>
      <c r="B23" t="s">
        <v>118</v>
      </c>
      <c r="C23" t="s">
        <v>88</v>
      </c>
      <c r="D23" t="s">
        <v>96</v>
      </c>
      <c r="E23" t="s">
        <v>97</v>
      </c>
      <c r="F23" t="s">
        <v>121</v>
      </c>
      <c r="G23" t="s">
        <v>120</v>
      </c>
      <c r="H23">
        <v>33</v>
      </c>
      <c r="I23">
        <v>18334</v>
      </c>
      <c r="J23" t="s">
        <v>92</v>
      </c>
      <c r="K23" t="s">
        <v>92</v>
      </c>
      <c r="L23" t="s">
        <v>21</v>
      </c>
      <c r="M23" t="s">
        <v>15</v>
      </c>
      <c r="N23" t="s">
        <v>93</v>
      </c>
      <c r="O23" t="s">
        <v>94</v>
      </c>
      <c r="P23" t="s">
        <v>17</v>
      </c>
      <c r="Q23">
        <v>2</v>
      </c>
      <c r="R23" t="s">
        <v>99</v>
      </c>
      <c r="S23">
        <v>52.491463000000003</v>
      </c>
      <c r="T23">
        <v>4285</v>
      </c>
      <c r="W23">
        <v>81.635000000000005</v>
      </c>
    </row>
    <row r="24" spans="1:23" x14ac:dyDescent="0.25">
      <c r="A24" t="s">
        <v>118</v>
      </c>
      <c r="B24" t="s">
        <v>118</v>
      </c>
      <c r="C24" t="s">
        <v>88</v>
      </c>
      <c r="D24" t="s">
        <v>96</v>
      </c>
      <c r="E24" t="s">
        <v>97</v>
      </c>
      <c r="F24" t="s">
        <v>121</v>
      </c>
      <c r="G24" t="s">
        <v>120</v>
      </c>
      <c r="H24">
        <v>33</v>
      </c>
      <c r="I24">
        <v>18334</v>
      </c>
      <c r="J24" t="s">
        <v>92</v>
      </c>
      <c r="K24" t="s">
        <v>92</v>
      </c>
      <c r="L24" t="s">
        <v>21</v>
      </c>
      <c r="M24" t="s">
        <v>15</v>
      </c>
      <c r="N24" t="s">
        <v>93</v>
      </c>
      <c r="O24" t="s">
        <v>94</v>
      </c>
      <c r="P24" t="s">
        <v>17</v>
      </c>
      <c r="Q24">
        <v>3</v>
      </c>
      <c r="R24" t="s">
        <v>100</v>
      </c>
      <c r="S24">
        <v>65.531734999999998</v>
      </c>
      <c r="T24">
        <v>5126</v>
      </c>
      <c r="W24">
        <v>78.215999999999994</v>
      </c>
    </row>
    <row r="25" spans="1:23" x14ac:dyDescent="0.25">
      <c r="A25" t="s">
        <v>118</v>
      </c>
      <c r="B25" t="s">
        <v>118</v>
      </c>
      <c r="C25" t="s">
        <v>88</v>
      </c>
      <c r="D25" t="s">
        <v>96</v>
      </c>
      <c r="E25" t="s">
        <v>97</v>
      </c>
      <c r="F25" t="s">
        <v>121</v>
      </c>
      <c r="G25" t="s">
        <v>120</v>
      </c>
      <c r="H25">
        <v>33</v>
      </c>
      <c r="I25">
        <v>18334</v>
      </c>
      <c r="J25" t="s">
        <v>92</v>
      </c>
      <c r="K25" t="s">
        <v>92</v>
      </c>
      <c r="L25" t="s">
        <v>21</v>
      </c>
      <c r="M25" t="s">
        <v>15</v>
      </c>
      <c r="N25" t="s">
        <v>93</v>
      </c>
      <c r="O25" t="s">
        <v>94</v>
      </c>
      <c r="P25" t="s">
        <v>17</v>
      </c>
      <c r="Q25">
        <v>4</v>
      </c>
      <c r="R25" t="s">
        <v>101</v>
      </c>
      <c r="S25">
        <v>202.161235</v>
      </c>
      <c r="T25">
        <v>16535</v>
      </c>
      <c r="W25">
        <v>81.789000000000001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5"/>
  <sheetViews>
    <sheetView workbookViewId="0"/>
  </sheetViews>
  <sheetFormatPr baseColWidth="10" defaultColWidth="9.140625" defaultRowHeight="15" x14ac:dyDescent="0.25"/>
  <sheetData>
    <row r="1" spans="1:23" x14ac:dyDescent="0.25">
      <c r="A1" s="1" t="s">
        <v>69</v>
      </c>
      <c r="B1" s="1" t="s">
        <v>58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20</v>
      </c>
      <c r="M1" s="1" t="s">
        <v>57</v>
      </c>
      <c r="N1" s="1" t="s">
        <v>79</v>
      </c>
      <c r="O1" s="1" t="s">
        <v>18</v>
      </c>
      <c r="P1" s="1" t="s">
        <v>60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</row>
    <row r="2" spans="1:23" x14ac:dyDescent="0.25">
      <c r="A2" t="s">
        <v>87</v>
      </c>
      <c r="B2" t="s">
        <v>87</v>
      </c>
      <c r="C2" t="s">
        <v>88</v>
      </c>
      <c r="D2" t="s">
        <v>89</v>
      </c>
      <c r="E2" t="s">
        <v>84</v>
      </c>
      <c r="F2" t="s">
        <v>90</v>
      </c>
      <c r="G2" t="s">
        <v>91</v>
      </c>
      <c r="H2">
        <v>33</v>
      </c>
      <c r="I2">
        <v>16333</v>
      </c>
      <c r="J2" t="s">
        <v>92</v>
      </c>
      <c r="K2" t="s">
        <v>92</v>
      </c>
      <c r="L2" t="s">
        <v>21</v>
      </c>
      <c r="M2" t="s">
        <v>15</v>
      </c>
      <c r="N2" t="s">
        <v>93</v>
      </c>
      <c r="O2" t="s">
        <v>94</v>
      </c>
      <c r="P2" t="s">
        <v>17</v>
      </c>
      <c r="Q2">
        <v>1</v>
      </c>
      <c r="R2" t="s">
        <v>95</v>
      </c>
      <c r="U2">
        <v>10.721329000000001</v>
      </c>
      <c r="V2">
        <v>65949</v>
      </c>
      <c r="W2">
        <v>6151.21</v>
      </c>
    </row>
    <row r="3" spans="1:23" x14ac:dyDescent="0.25">
      <c r="A3" t="s">
        <v>87</v>
      </c>
      <c r="B3" t="s">
        <v>87</v>
      </c>
      <c r="C3" t="s">
        <v>88</v>
      </c>
      <c r="D3" t="s">
        <v>89</v>
      </c>
      <c r="E3" t="s">
        <v>84</v>
      </c>
      <c r="F3" t="s">
        <v>90</v>
      </c>
      <c r="G3" t="s">
        <v>91</v>
      </c>
      <c r="H3">
        <v>33</v>
      </c>
      <c r="I3">
        <v>16333</v>
      </c>
      <c r="J3" t="s">
        <v>92</v>
      </c>
      <c r="K3" t="s">
        <v>92</v>
      </c>
      <c r="L3" t="s">
        <v>21</v>
      </c>
      <c r="M3" t="s">
        <v>15</v>
      </c>
      <c r="N3" t="s">
        <v>93</v>
      </c>
      <c r="O3" t="s">
        <v>94</v>
      </c>
      <c r="P3" t="s">
        <v>17</v>
      </c>
      <c r="Q3">
        <v>2</v>
      </c>
      <c r="R3" t="s">
        <v>99</v>
      </c>
      <c r="U3">
        <v>9.8229999999999998E-2</v>
      </c>
      <c r="V3">
        <v>605</v>
      </c>
      <c r="W3">
        <v>6158.49</v>
      </c>
    </row>
    <row r="4" spans="1:23" x14ac:dyDescent="0.25">
      <c r="A4" t="s">
        <v>87</v>
      </c>
      <c r="B4" t="s">
        <v>87</v>
      </c>
      <c r="C4" t="s">
        <v>88</v>
      </c>
      <c r="D4" t="s">
        <v>89</v>
      </c>
      <c r="E4" t="s">
        <v>84</v>
      </c>
      <c r="F4" t="s">
        <v>90</v>
      </c>
      <c r="G4" t="s">
        <v>91</v>
      </c>
      <c r="H4">
        <v>33</v>
      </c>
      <c r="I4">
        <v>16333</v>
      </c>
      <c r="J4" t="s">
        <v>92</v>
      </c>
      <c r="K4" t="s">
        <v>92</v>
      </c>
      <c r="L4" t="s">
        <v>21</v>
      </c>
      <c r="M4" t="s">
        <v>15</v>
      </c>
      <c r="N4" t="s">
        <v>93</v>
      </c>
      <c r="O4" t="s">
        <v>94</v>
      </c>
      <c r="P4" t="s">
        <v>17</v>
      </c>
      <c r="Q4">
        <v>3</v>
      </c>
      <c r="R4" t="s">
        <v>100</v>
      </c>
      <c r="U4">
        <v>3.4589999999999998E-3</v>
      </c>
      <c r="V4">
        <v>20</v>
      </c>
      <c r="W4">
        <v>5881.24</v>
      </c>
    </row>
    <row r="5" spans="1:23" x14ac:dyDescent="0.25">
      <c r="A5" t="s">
        <v>87</v>
      </c>
      <c r="B5" t="s">
        <v>87</v>
      </c>
      <c r="C5" t="s">
        <v>88</v>
      </c>
      <c r="D5" t="s">
        <v>89</v>
      </c>
      <c r="E5" t="s">
        <v>84</v>
      </c>
      <c r="F5" t="s">
        <v>90</v>
      </c>
      <c r="G5" t="s">
        <v>91</v>
      </c>
      <c r="H5">
        <v>33</v>
      </c>
      <c r="I5">
        <v>16333</v>
      </c>
      <c r="J5" t="s">
        <v>92</v>
      </c>
      <c r="K5" t="s">
        <v>92</v>
      </c>
      <c r="L5" t="s">
        <v>21</v>
      </c>
      <c r="M5" t="s">
        <v>15</v>
      </c>
      <c r="N5" t="s">
        <v>93</v>
      </c>
      <c r="O5" t="s">
        <v>94</v>
      </c>
      <c r="P5" t="s">
        <v>17</v>
      </c>
      <c r="Q5">
        <v>4</v>
      </c>
      <c r="R5" t="s">
        <v>101</v>
      </c>
      <c r="U5">
        <v>0.20777799999999999</v>
      </c>
      <c r="V5">
        <v>1276</v>
      </c>
      <c r="W5">
        <v>6142.11</v>
      </c>
    </row>
    <row r="6" spans="1:23" x14ac:dyDescent="0.25">
      <c r="A6" t="s">
        <v>102</v>
      </c>
      <c r="B6" t="s">
        <v>102</v>
      </c>
      <c r="C6" t="s">
        <v>88</v>
      </c>
      <c r="D6" t="s">
        <v>89</v>
      </c>
      <c r="E6" t="s">
        <v>84</v>
      </c>
      <c r="F6" t="s">
        <v>103</v>
      </c>
      <c r="G6" t="s">
        <v>104</v>
      </c>
      <c r="H6">
        <v>33</v>
      </c>
      <c r="I6">
        <v>16680</v>
      </c>
      <c r="J6" t="s">
        <v>92</v>
      </c>
      <c r="K6" t="s">
        <v>92</v>
      </c>
      <c r="L6" t="s">
        <v>21</v>
      </c>
      <c r="M6" t="s">
        <v>15</v>
      </c>
      <c r="N6" t="s">
        <v>93</v>
      </c>
      <c r="O6" t="s">
        <v>94</v>
      </c>
      <c r="P6" t="s">
        <v>17</v>
      </c>
      <c r="Q6">
        <v>1</v>
      </c>
      <c r="R6" t="s">
        <v>95</v>
      </c>
      <c r="U6">
        <v>10.721048</v>
      </c>
      <c r="V6">
        <v>65947</v>
      </c>
      <c r="W6">
        <v>6151.21</v>
      </c>
    </row>
    <row r="7" spans="1:23" x14ac:dyDescent="0.25">
      <c r="A7" t="s">
        <v>102</v>
      </c>
      <c r="B7" t="s">
        <v>102</v>
      </c>
      <c r="C7" t="s">
        <v>88</v>
      </c>
      <c r="D7" t="s">
        <v>89</v>
      </c>
      <c r="E7" t="s">
        <v>84</v>
      </c>
      <c r="F7" t="s">
        <v>103</v>
      </c>
      <c r="G7" t="s">
        <v>104</v>
      </c>
      <c r="H7">
        <v>33</v>
      </c>
      <c r="I7">
        <v>16680</v>
      </c>
      <c r="J7" t="s">
        <v>92</v>
      </c>
      <c r="K7" t="s">
        <v>92</v>
      </c>
      <c r="L7" t="s">
        <v>21</v>
      </c>
      <c r="M7" t="s">
        <v>15</v>
      </c>
      <c r="N7" t="s">
        <v>93</v>
      </c>
      <c r="O7" t="s">
        <v>94</v>
      </c>
      <c r="P7" t="s">
        <v>17</v>
      </c>
      <c r="Q7">
        <v>2</v>
      </c>
      <c r="R7" t="s">
        <v>99</v>
      </c>
      <c r="U7">
        <v>9.8443000000000003E-2</v>
      </c>
      <c r="V7">
        <v>606</v>
      </c>
      <c r="W7">
        <v>6158.49</v>
      </c>
    </row>
    <row r="8" spans="1:23" x14ac:dyDescent="0.25">
      <c r="A8" t="s">
        <v>102</v>
      </c>
      <c r="B8" t="s">
        <v>102</v>
      </c>
      <c r="C8" t="s">
        <v>88</v>
      </c>
      <c r="D8" t="s">
        <v>89</v>
      </c>
      <c r="E8" t="s">
        <v>84</v>
      </c>
      <c r="F8" t="s">
        <v>103</v>
      </c>
      <c r="G8" t="s">
        <v>104</v>
      </c>
      <c r="H8">
        <v>33</v>
      </c>
      <c r="I8">
        <v>16680</v>
      </c>
      <c r="J8" t="s">
        <v>92</v>
      </c>
      <c r="K8" t="s">
        <v>92</v>
      </c>
      <c r="L8" t="s">
        <v>21</v>
      </c>
      <c r="M8" t="s">
        <v>15</v>
      </c>
      <c r="N8" t="s">
        <v>93</v>
      </c>
      <c r="O8" t="s">
        <v>94</v>
      </c>
      <c r="P8" t="s">
        <v>17</v>
      </c>
      <c r="Q8">
        <v>3</v>
      </c>
      <c r="R8" t="s">
        <v>100</v>
      </c>
      <c r="U8">
        <v>3.4680000000000002E-3</v>
      </c>
      <c r="V8">
        <v>20</v>
      </c>
      <c r="W8">
        <v>5881.24</v>
      </c>
    </row>
    <row r="9" spans="1:23" x14ac:dyDescent="0.25">
      <c r="A9" t="s">
        <v>102</v>
      </c>
      <c r="B9" t="s">
        <v>102</v>
      </c>
      <c r="C9" t="s">
        <v>88</v>
      </c>
      <c r="D9" t="s">
        <v>89</v>
      </c>
      <c r="E9" t="s">
        <v>84</v>
      </c>
      <c r="F9" t="s">
        <v>103</v>
      </c>
      <c r="G9" t="s">
        <v>104</v>
      </c>
      <c r="H9">
        <v>33</v>
      </c>
      <c r="I9">
        <v>16680</v>
      </c>
      <c r="J9" t="s">
        <v>92</v>
      </c>
      <c r="K9" t="s">
        <v>92</v>
      </c>
      <c r="L9" t="s">
        <v>21</v>
      </c>
      <c r="M9" t="s">
        <v>15</v>
      </c>
      <c r="N9" t="s">
        <v>93</v>
      </c>
      <c r="O9" t="s">
        <v>94</v>
      </c>
      <c r="P9" t="s">
        <v>17</v>
      </c>
      <c r="Q9">
        <v>4</v>
      </c>
      <c r="R9" t="s">
        <v>101</v>
      </c>
      <c r="U9">
        <v>0.207959</v>
      </c>
      <c r="V9">
        <v>1277</v>
      </c>
      <c r="W9">
        <v>6142.11</v>
      </c>
    </row>
    <row r="10" spans="1:23" x14ac:dyDescent="0.25">
      <c r="A10" t="s">
        <v>106</v>
      </c>
      <c r="B10" t="s">
        <v>106</v>
      </c>
      <c r="C10" t="s">
        <v>88</v>
      </c>
      <c r="D10" t="s">
        <v>89</v>
      </c>
      <c r="E10" t="s">
        <v>84</v>
      </c>
      <c r="F10" t="s">
        <v>107</v>
      </c>
      <c r="G10" t="s">
        <v>108</v>
      </c>
      <c r="H10">
        <v>33</v>
      </c>
      <c r="I10">
        <v>17073</v>
      </c>
      <c r="J10" t="s">
        <v>92</v>
      </c>
      <c r="K10" t="s">
        <v>92</v>
      </c>
      <c r="L10" t="s">
        <v>21</v>
      </c>
      <c r="M10" t="s">
        <v>15</v>
      </c>
      <c r="N10" t="s">
        <v>93</v>
      </c>
      <c r="O10" t="s">
        <v>94</v>
      </c>
      <c r="P10" t="s">
        <v>17</v>
      </c>
      <c r="Q10">
        <v>1</v>
      </c>
      <c r="R10" t="s">
        <v>95</v>
      </c>
      <c r="U10">
        <v>10.721705999999999</v>
      </c>
      <c r="V10">
        <v>65951</v>
      </c>
      <c r="W10">
        <v>6151.21</v>
      </c>
    </row>
    <row r="11" spans="1:23" x14ac:dyDescent="0.25">
      <c r="A11" t="s">
        <v>106</v>
      </c>
      <c r="B11" t="s">
        <v>106</v>
      </c>
      <c r="C11" t="s">
        <v>88</v>
      </c>
      <c r="D11" t="s">
        <v>89</v>
      </c>
      <c r="E11" t="s">
        <v>84</v>
      </c>
      <c r="F11" t="s">
        <v>107</v>
      </c>
      <c r="G11" t="s">
        <v>108</v>
      </c>
      <c r="H11">
        <v>33</v>
      </c>
      <c r="I11">
        <v>17073</v>
      </c>
      <c r="J11" t="s">
        <v>92</v>
      </c>
      <c r="K11" t="s">
        <v>92</v>
      </c>
      <c r="L11" t="s">
        <v>21</v>
      </c>
      <c r="M11" t="s">
        <v>15</v>
      </c>
      <c r="N11" t="s">
        <v>93</v>
      </c>
      <c r="O11" t="s">
        <v>94</v>
      </c>
      <c r="P11" t="s">
        <v>17</v>
      </c>
      <c r="Q11">
        <v>2</v>
      </c>
      <c r="R11" t="s">
        <v>99</v>
      </c>
      <c r="U11">
        <v>9.8084000000000005E-2</v>
      </c>
      <c r="V11">
        <v>604</v>
      </c>
      <c r="W11">
        <v>6158.49</v>
      </c>
    </row>
    <row r="12" spans="1:23" x14ac:dyDescent="0.25">
      <c r="A12" t="s">
        <v>106</v>
      </c>
      <c r="B12" t="s">
        <v>106</v>
      </c>
      <c r="C12" t="s">
        <v>88</v>
      </c>
      <c r="D12" t="s">
        <v>89</v>
      </c>
      <c r="E12" t="s">
        <v>84</v>
      </c>
      <c r="F12" t="s">
        <v>107</v>
      </c>
      <c r="G12" t="s">
        <v>108</v>
      </c>
      <c r="H12">
        <v>33</v>
      </c>
      <c r="I12">
        <v>17073</v>
      </c>
      <c r="J12" t="s">
        <v>92</v>
      </c>
      <c r="K12" t="s">
        <v>92</v>
      </c>
      <c r="L12" t="s">
        <v>21</v>
      </c>
      <c r="M12" t="s">
        <v>15</v>
      </c>
      <c r="N12" t="s">
        <v>93</v>
      </c>
      <c r="O12" t="s">
        <v>94</v>
      </c>
      <c r="P12" t="s">
        <v>17</v>
      </c>
      <c r="Q12">
        <v>3</v>
      </c>
      <c r="R12" t="s">
        <v>100</v>
      </c>
      <c r="U12">
        <v>3.4550000000000002E-3</v>
      </c>
      <c r="V12">
        <v>20</v>
      </c>
      <c r="W12">
        <v>5881.24</v>
      </c>
    </row>
    <row r="13" spans="1:23" x14ac:dyDescent="0.25">
      <c r="A13" t="s">
        <v>106</v>
      </c>
      <c r="B13" t="s">
        <v>106</v>
      </c>
      <c r="C13" t="s">
        <v>88</v>
      </c>
      <c r="D13" t="s">
        <v>89</v>
      </c>
      <c r="E13" t="s">
        <v>84</v>
      </c>
      <c r="F13" t="s">
        <v>107</v>
      </c>
      <c r="G13" t="s">
        <v>108</v>
      </c>
      <c r="H13">
        <v>33</v>
      </c>
      <c r="I13">
        <v>17073</v>
      </c>
      <c r="J13" t="s">
        <v>92</v>
      </c>
      <c r="K13" t="s">
        <v>92</v>
      </c>
      <c r="L13" t="s">
        <v>21</v>
      </c>
      <c r="M13" t="s">
        <v>15</v>
      </c>
      <c r="N13" t="s">
        <v>93</v>
      </c>
      <c r="O13" t="s">
        <v>94</v>
      </c>
      <c r="P13" t="s">
        <v>17</v>
      </c>
      <c r="Q13">
        <v>4</v>
      </c>
      <c r="R13" t="s">
        <v>101</v>
      </c>
      <c r="U13">
        <v>0.207842</v>
      </c>
      <c r="V13">
        <v>1277</v>
      </c>
      <c r="W13">
        <v>6142.11</v>
      </c>
    </row>
    <row r="14" spans="1:23" x14ac:dyDescent="0.25">
      <c r="A14" t="s">
        <v>110</v>
      </c>
      <c r="B14" t="s">
        <v>110</v>
      </c>
      <c r="C14" t="s">
        <v>88</v>
      </c>
      <c r="D14" t="s">
        <v>89</v>
      </c>
      <c r="E14" t="s">
        <v>84</v>
      </c>
      <c r="F14" t="s">
        <v>111</v>
      </c>
      <c r="G14" t="s">
        <v>112</v>
      </c>
      <c r="H14">
        <v>33</v>
      </c>
      <c r="I14">
        <v>17446</v>
      </c>
      <c r="J14" t="s">
        <v>92</v>
      </c>
      <c r="K14" t="s">
        <v>92</v>
      </c>
      <c r="L14" t="s">
        <v>21</v>
      </c>
      <c r="M14" t="s">
        <v>15</v>
      </c>
      <c r="N14" t="s">
        <v>93</v>
      </c>
      <c r="O14" t="s">
        <v>94</v>
      </c>
      <c r="P14" t="s">
        <v>17</v>
      </c>
      <c r="Q14">
        <v>1</v>
      </c>
      <c r="R14" t="s">
        <v>95</v>
      </c>
      <c r="U14">
        <v>10.895962000000001</v>
      </c>
      <c r="V14">
        <v>67023</v>
      </c>
      <c r="W14">
        <v>6151.21</v>
      </c>
    </row>
    <row r="15" spans="1:23" x14ac:dyDescent="0.25">
      <c r="A15" t="s">
        <v>110</v>
      </c>
      <c r="B15" t="s">
        <v>110</v>
      </c>
      <c r="C15" t="s">
        <v>88</v>
      </c>
      <c r="D15" t="s">
        <v>89</v>
      </c>
      <c r="E15" t="s">
        <v>84</v>
      </c>
      <c r="F15" t="s">
        <v>111</v>
      </c>
      <c r="G15" t="s">
        <v>112</v>
      </c>
      <c r="H15">
        <v>33</v>
      </c>
      <c r="I15">
        <v>17446</v>
      </c>
      <c r="J15" t="s">
        <v>92</v>
      </c>
      <c r="K15" t="s">
        <v>92</v>
      </c>
      <c r="L15" t="s">
        <v>21</v>
      </c>
      <c r="M15" t="s">
        <v>15</v>
      </c>
      <c r="N15" t="s">
        <v>93</v>
      </c>
      <c r="O15" t="s">
        <v>94</v>
      </c>
      <c r="P15" t="s">
        <v>17</v>
      </c>
      <c r="Q15">
        <v>2</v>
      </c>
      <c r="R15" t="s">
        <v>99</v>
      </c>
      <c r="U15">
        <v>9.8992999999999998E-2</v>
      </c>
      <c r="V15">
        <v>610</v>
      </c>
      <c r="W15">
        <v>6158.49</v>
      </c>
    </row>
    <row r="16" spans="1:23" x14ac:dyDescent="0.25">
      <c r="A16" t="s">
        <v>110</v>
      </c>
      <c r="B16" t="s">
        <v>110</v>
      </c>
      <c r="C16" t="s">
        <v>88</v>
      </c>
      <c r="D16" t="s">
        <v>89</v>
      </c>
      <c r="E16" t="s">
        <v>84</v>
      </c>
      <c r="F16" t="s">
        <v>111</v>
      </c>
      <c r="G16" t="s">
        <v>112</v>
      </c>
      <c r="H16">
        <v>33</v>
      </c>
      <c r="I16">
        <v>17446</v>
      </c>
      <c r="J16" t="s">
        <v>92</v>
      </c>
      <c r="K16" t="s">
        <v>92</v>
      </c>
      <c r="L16" t="s">
        <v>21</v>
      </c>
      <c r="M16" t="s">
        <v>15</v>
      </c>
      <c r="N16" t="s">
        <v>93</v>
      </c>
      <c r="O16" t="s">
        <v>94</v>
      </c>
      <c r="P16" t="s">
        <v>17</v>
      </c>
      <c r="Q16">
        <v>3</v>
      </c>
      <c r="R16" t="s">
        <v>100</v>
      </c>
      <c r="U16">
        <v>3.5019999999999999E-3</v>
      </c>
      <c r="V16">
        <v>21</v>
      </c>
      <c r="W16">
        <v>5881.24</v>
      </c>
    </row>
    <row r="17" spans="1:23" x14ac:dyDescent="0.25">
      <c r="A17" t="s">
        <v>110</v>
      </c>
      <c r="B17" t="s">
        <v>110</v>
      </c>
      <c r="C17" t="s">
        <v>88</v>
      </c>
      <c r="D17" t="s">
        <v>89</v>
      </c>
      <c r="E17" t="s">
        <v>84</v>
      </c>
      <c r="F17" t="s">
        <v>111</v>
      </c>
      <c r="G17" t="s">
        <v>112</v>
      </c>
      <c r="H17">
        <v>33</v>
      </c>
      <c r="I17">
        <v>17446</v>
      </c>
      <c r="J17" t="s">
        <v>92</v>
      </c>
      <c r="K17" t="s">
        <v>92</v>
      </c>
      <c r="L17" t="s">
        <v>21</v>
      </c>
      <c r="M17" t="s">
        <v>15</v>
      </c>
      <c r="N17" t="s">
        <v>93</v>
      </c>
      <c r="O17" t="s">
        <v>94</v>
      </c>
      <c r="P17" t="s">
        <v>17</v>
      </c>
      <c r="Q17">
        <v>4</v>
      </c>
      <c r="R17" t="s">
        <v>101</v>
      </c>
      <c r="U17">
        <v>0.20990600000000001</v>
      </c>
      <c r="V17">
        <v>1289</v>
      </c>
      <c r="W17">
        <v>6142.11</v>
      </c>
    </row>
    <row r="18" spans="1:23" x14ac:dyDescent="0.25">
      <c r="A18" t="s">
        <v>114</v>
      </c>
      <c r="B18" t="s">
        <v>114</v>
      </c>
      <c r="C18" t="s">
        <v>88</v>
      </c>
      <c r="D18" t="s">
        <v>89</v>
      </c>
      <c r="E18" t="s">
        <v>84</v>
      </c>
      <c r="F18" t="s">
        <v>115</v>
      </c>
      <c r="G18" t="s">
        <v>116</v>
      </c>
      <c r="H18">
        <v>33</v>
      </c>
      <c r="I18">
        <v>17700</v>
      </c>
      <c r="J18" t="s">
        <v>92</v>
      </c>
      <c r="K18" t="s">
        <v>92</v>
      </c>
      <c r="L18" t="s">
        <v>21</v>
      </c>
      <c r="M18" t="s">
        <v>15</v>
      </c>
      <c r="N18" t="s">
        <v>93</v>
      </c>
      <c r="O18" t="s">
        <v>94</v>
      </c>
      <c r="P18" t="s">
        <v>17</v>
      </c>
      <c r="Q18">
        <v>1</v>
      </c>
      <c r="R18" t="s">
        <v>95</v>
      </c>
      <c r="U18">
        <v>10.896716</v>
      </c>
      <c r="V18">
        <v>67028</v>
      </c>
      <c r="W18">
        <v>6151.21</v>
      </c>
    </row>
    <row r="19" spans="1:23" x14ac:dyDescent="0.25">
      <c r="A19" t="s">
        <v>114</v>
      </c>
      <c r="B19" t="s">
        <v>114</v>
      </c>
      <c r="C19" t="s">
        <v>88</v>
      </c>
      <c r="D19" t="s">
        <v>89</v>
      </c>
      <c r="E19" t="s">
        <v>84</v>
      </c>
      <c r="F19" t="s">
        <v>115</v>
      </c>
      <c r="G19" t="s">
        <v>116</v>
      </c>
      <c r="H19">
        <v>33</v>
      </c>
      <c r="I19">
        <v>17700</v>
      </c>
      <c r="J19" t="s">
        <v>92</v>
      </c>
      <c r="K19" t="s">
        <v>92</v>
      </c>
      <c r="L19" t="s">
        <v>21</v>
      </c>
      <c r="M19" t="s">
        <v>15</v>
      </c>
      <c r="N19" t="s">
        <v>93</v>
      </c>
      <c r="O19" t="s">
        <v>94</v>
      </c>
      <c r="P19" t="s">
        <v>17</v>
      </c>
      <c r="Q19">
        <v>2</v>
      </c>
      <c r="R19" t="s">
        <v>99</v>
      </c>
      <c r="U19">
        <v>9.8089999999999997E-2</v>
      </c>
      <c r="V19">
        <v>604</v>
      </c>
      <c r="W19">
        <v>6158.49</v>
      </c>
    </row>
    <row r="20" spans="1:23" x14ac:dyDescent="0.25">
      <c r="A20" t="s">
        <v>114</v>
      </c>
      <c r="B20" t="s">
        <v>114</v>
      </c>
      <c r="C20" t="s">
        <v>88</v>
      </c>
      <c r="D20" t="s">
        <v>89</v>
      </c>
      <c r="E20" t="s">
        <v>84</v>
      </c>
      <c r="F20" t="s">
        <v>115</v>
      </c>
      <c r="G20" t="s">
        <v>116</v>
      </c>
      <c r="H20">
        <v>33</v>
      </c>
      <c r="I20">
        <v>17700</v>
      </c>
      <c r="J20" t="s">
        <v>92</v>
      </c>
      <c r="K20" t="s">
        <v>92</v>
      </c>
      <c r="L20" t="s">
        <v>21</v>
      </c>
      <c r="M20" t="s">
        <v>15</v>
      </c>
      <c r="N20" t="s">
        <v>93</v>
      </c>
      <c r="O20" t="s">
        <v>94</v>
      </c>
      <c r="P20" t="s">
        <v>17</v>
      </c>
      <c r="Q20">
        <v>3</v>
      </c>
      <c r="R20" t="s">
        <v>100</v>
      </c>
      <c r="U20">
        <v>3.48E-3</v>
      </c>
      <c r="V20">
        <v>20</v>
      </c>
      <c r="W20">
        <v>5881.24</v>
      </c>
    </row>
    <row r="21" spans="1:23" x14ac:dyDescent="0.25">
      <c r="A21" t="s">
        <v>114</v>
      </c>
      <c r="B21" t="s">
        <v>114</v>
      </c>
      <c r="C21" t="s">
        <v>88</v>
      </c>
      <c r="D21" t="s">
        <v>89</v>
      </c>
      <c r="E21" t="s">
        <v>84</v>
      </c>
      <c r="F21" t="s">
        <v>115</v>
      </c>
      <c r="G21" t="s">
        <v>116</v>
      </c>
      <c r="H21">
        <v>33</v>
      </c>
      <c r="I21">
        <v>17700</v>
      </c>
      <c r="J21" t="s">
        <v>92</v>
      </c>
      <c r="K21" t="s">
        <v>92</v>
      </c>
      <c r="L21" t="s">
        <v>21</v>
      </c>
      <c r="M21" t="s">
        <v>15</v>
      </c>
      <c r="N21" t="s">
        <v>93</v>
      </c>
      <c r="O21" t="s">
        <v>94</v>
      </c>
      <c r="P21" t="s">
        <v>17</v>
      </c>
      <c r="Q21">
        <v>4</v>
      </c>
      <c r="R21" t="s">
        <v>101</v>
      </c>
      <c r="U21">
        <v>0.208926</v>
      </c>
      <c r="V21">
        <v>1283</v>
      </c>
      <c r="W21">
        <v>6142.11</v>
      </c>
    </row>
    <row r="22" spans="1:23" x14ac:dyDescent="0.25">
      <c r="A22" t="s">
        <v>118</v>
      </c>
      <c r="B22" t="s">
        <v>118</v>
      </c>
      <c r="C22" t="s">
        <v>88</v>
      </c>
      <c r="D22" t="s">
        <v>89</v>
      </c>
      <c r="E22" t="s">
        <v>84</v>
      </c>
      <c r="F22" t="s">
        <v>119</v>
      </c>
      <c r="G22" t="s">
        <v>120</v>
      </c>
      <c r="H22">
        <v>33</v>
      </c>
      <c r="I22">
        <v>18334</v>
      </c>
      <c r="J22" t="s">
        <v>92</v>
      </c>
      <c r="K22" t="s">
        <v>92</v>
      </c>
      <c r="L22" t="s">
        <v>21</v>
      </c>
      <c r="M22" t="s">
        <v>15</v>
      </c>
      <c r="N22" t="s">
        <v>93</v>
      </c>
      <c r="O22" t="s">
        <v>94</v>
      </c>
      <c r="P22" t="s">
        <v>17</v>
      </c>
      <c r="Q22">
        <v>1</v>
      </c>
      <c r="R22" t="s">
        <v>95</v>
      </c>
      <c r="U22">
        <v>10.784045000000001</v>
      </c>
      <c r="V22">
        <v>66164</v>
      </c>
      <c r="W22">
        <v>6135.33</v>
      </c>
    </row>
    <row r="23" spans="1:23" x14ac:dyDescent="0.25">
      <c r="A23" t="s">
        <v>118</v>
      </c>
      <c r="B23" t="s">
        <v>118</v>
      </c>
      <c r="C23" t="s">
        <v>88</v>
      </c>
      <c r="D23" t="s">
        <v>89</v>
      </c>
      <c r="E23" t="s">
        <v>84</v>
      </c>
      <c r="F23" t="s">
        <v>119</v>
      </c>
      <c r="G23" t="s">
        <v>120</v>
      </c>
      <c r="H23">
        <v>33</v>
      </c>
      <c r="I23">
        <v>18334</v>
      </c>
      <c r="J23" t="s">
        <v>92</v>
      </c>
      <c r="K23" t="s">
        <v>92</v>
      </c>
      <c r="L23" t="s">
        <v>21</v>
      </c>
      <c r="M23" t="s">
        <v>15</v>
      </c>
      <c r="N23" t="s">
        <v>93</v>
      </c>
      <c r="O23" t="s">
        <v>94</v>
      </c>
      <c r="P23" t="s">
        <v>17</v>
      </c>
      <c r="Q23">
        <v>2</v>
      </c>
      <c r="R23" t="s">
        <v>99</v>
      </c>
      <c r="U23">
        <v>0.100635</v>
      </c>
      <c r="V23">
        <v>615</v>
      </c>
      <c r="W23">
        <v>6114.1989999999996</v>
      </c>
    </row>
    <row r="24" spans="1:23" x14ac:dyDescent="0.25">
      <c r="A24" t="s">
        <v>118</v>
      </c>
      <c r="B24" t="s">
        <v>118</v>
      </c>
      <c r="C24" t="s">
        <v>88</v>
      </c>
      <c r="D24" t="s">
        <v>89</v>
      </c>
      <c r="E24" t="s">
        <v>84</v>
      </c>
      <c r="F24" t="s">
        <v>119</v>
      </c>
      <c r="G24" t="s">
        <v>120</v>
      </c>
      <c r="H24">
        <v>33</v>
      </c>
      <c r="I24">
        <v>18334</v>
      </c>
      <c r="J24" t="s">
        <v>92</v>
      </c>
      <c r="K24" t="s">
        <v>92</v>
      </c>
      <c r="L24" t="s">
        <v>21</v>
      </c>
      <c r="M24" t="s">
        <v>15</v>
      </c>
      <c r="N24" t="s">
        <v>93</v>
      </c>
      <c r="O24" t="s">
        <v>94</v>
      </c>
      <c r="P24" t="s">
        <v>17</v>
      </c>
      <c r="Q24">
        <v>3</v>
      </c>
      <c r="R24" t="s">
        <v>100</v>
      </c>
      <c r="U24">
        <v>0.125636</v>
      </c>
      <c r="V24">
        <v>740</v>
      </c>
      <c r="W24">
        <v>5890.8109999999997</v>
      </c>
    </row>
    <row r="25" spans="1:23" x14ac:dyDescent="0.25">
      <c r="A25" t="s">
        <v>118</v>
      </c>
      <c r="B25" t="s">
        <v>118</v>
      </c>
      <c r="C25" t="s">
        <v>88</v>
      </c>
      <c r="D25" t="s">
        <v>89</v>
      </c>
      <c r="E25" t="s">
        <v>84</v>
      </c>
      <c r="F25" t="s">
        <v>119</v>
      </c>
      <c r="G25" t="s">
        <v>120</v>
      </c>
      <c r="H25">
        <v>33</v>
      </c>
      <c r="I25">
        <v>18334</v>
      </c>
      <c r="J25" t="s">
        <v>92</v>
      </c>
      <c r="K25" t="s">
        <v>92</v>
      </c>
      <c r="L25" t="s">
        <v>21</v>
      </c>
      <c r="M25" t="s">
        <v>15</v>
      </c>
      <c r="N25" t="s">
        <v>93</v>
      </c>
      <c r="O25" t="s">
        <v>94</v>
      </c>
      <c r="P25" t="s">
        <v>17</v>
      </c>
      <c r="Q25">
        <v>4</v>
      </c>
      <c r="R25" t="s">
        <v>101</v>
      </c>
      <c r="U25">
        <v>0.38757900000000001</v>
      </c>
      <c r="V25">
        <v>2374</v>
      </c>
      <c r="W25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D337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22.5703125" bestFit="1" customWidth="1"/>
    <col min="6" max="6" width="8.140625" bestFit="1" customWidth="1"/>
    <col min="7" max="7" width="24.7109375" bestFit="1" customWidth="1"/>
    <col min="8" max="9" width="26.140625" bestFit="1" customWidth="1"/>
    <col min="10" max="10" width="55.5703125" bestFit="1" customWidth="1"/>
    <col min="11" max="11" width="22.570312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8.140625" bestFit="1" customWidth="1"/>
    <col min="17" max="17" width="7.28515625" bestFit="1" customWidth="1"/>
    <col min="18" max="18" width="15.42578125" bestFit="1" customWidth="1"/>
    <col min="19" max="19" width="12" bestFit="1" customWidth="1"/>
    <col min="20" max="20" width="20" bestFit="1" customWidth="1"/>
    <col min="21" max="21" width="12" bestFit="1" customWidth="1"/>
    <col min="22" max="22" width="21.28515625" bestFit="1" customWidth="1"/>
    <col min="23" max="23" width="20.28515625" bestFit="1" customWidth="1"/>
    <col min="24" max="24" width="13.140625" bestFit="1" customWidth="1"/>
    <col min="25" max="25" width="21.28515625" bestFit="1" customWidth="1"/>
    <col min="26" max="26" width="12" bestFit="1" customWidth="1"/>
    <col min="27" max="27" width="14.28515625" bestFit="1" customWidth="1"/>
    <col min="28" max="28" width="22.42578125" bestFit="1" customWidth="1"/>
    <col min="29" max="29" width="13.140625" bestFit="1" customWidth="1"/>
    <col min="30" max="30" width="18.140625" bestFit="1" customWidth="1"/>
  </cols>
  <sheetData>
    <row r="1" spans="1:30" x14ac:dyDescent="0.25">
      <c r="A1" s="1" t="s">
        <v>122</v>
      </c>
      <c r="B1" s="1" t="s">
        <v>58</v>
      </c>
      <c r="C1" s="1" t="s">
        <v>123</v>
      </c>
      <c r="D1" s="1" t="s">
        <v>35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82</v>
      </c>
      <c r="T1" s="1" t="s">
        <v>138</v>
      </c>
      <c r="U1" s="1" t="s">
        <v>84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</row>
    <row r="2" spans="1:30" hidden="1" x14ac:dyDescent="0.25">
      <c r="A2">
        <v>-1</v>
      </c>
      <c r="B2" t="s">
        <v>87</v>
      </c>
      <c r="C2">
        <v>2020</v>
      </c>
      <c r="D2">
        <v>10</v>
      </c>
      <c r="E2" t="s">
        <v>148</v>
      </c>
      <c r="F2" t="s">
        <v>17</v>
      </c>
      <c r="G2" t="s">
        <v>17</v>
      </c>
      <c r="H2" t="s">
        <v>149</v>
      </c>
      <c r="I2" t="s">
        <v>149</v>
      </c>
      <c r="J2" t="s">
        <v>150</v>
      </c>
      <c r="K2" t="s">
        <v>148</v>
      </c>
      <c r="L2" t="s">
        <v>151</v>
      </c>
      <c r="M2">
        <v>1817.2389105287771</v>
      </c>
      <c r="N2">
        <v>3</v>
      </c>
      <c r="O2" t="s">
        <v>152</v>
      </c>
      <c r="P2" s="2">
        <v>44656.074522685187</v>
      </c>
      <c r="Q2">
        <v>31</v>
      </c>
      <c r="R2" t="s">
        <v>153</v>
      </c>
      <c r="S2">
        <v>18.246198772257181</v>
      </c>
      <c r="T2">
        <v>1488.7932499310609</v>
      </c>
      <c r="U2">
        <v>3.6390784614899287E-2</v>
      </c>
      <c r="V2">
        <v>222.55653597836309</v>
      </c>
      <c r="W2" t="s">
        <v>17</v>
      </c>
      <c r="X2">
        <v>92.826743341373984</v>
      </c>
      <c r="Y2">
        <v>1.488793249931061</v>
      </c>
      <c r="Z2">
        <v>1693.735210388011</v>
      </c>
      <c r="AA2">
        <v>276.81161191338691</v>
      </c>
      <c r="AB2">
        <v>222.55653597836309</v>
      </c>
      <c r="AC2">
        <v>276.81161191338691</v>
      </c>
      <c r="AD2" s="2">
        <v>44105</v>
      </c>
    </row>
    <row r="3" spans="1:30" hidden="1" x14ac:dyDescent="0.25">
      <c r="A3">
        <v>-1</v>
      </c>
      <c r="B3" t="s">
        <v>87</v>
      </c>
      <c r="C3">
        <v>2020</v>
      </c>
      <c r="D3">
        <v>10</v>
      </c>
      <c r="E3" t="s">
        <v>148</v>
      </c>
      <c r="F3" t="s">
        <v>17</v>
      </c>
      <c r="G3" t="s">
        <v>17</v>
      </c>
      <c r="H3" t="s">
        <v>149</v>
      </c>
      <c r="I3" t="s">
        <v>149</v>
      </c>
      <c r="J3" t="s">
        <v>150</v>
      </c>
      <c r="K3" t="s">
        <v>148</v>
      </c>
      <c r="L3" t="s">
        <v>151</v>
      </c>
      <c r="M3">
        <v>1817.2389105287771</v>
      </c>
      <c r="N3">
        <v>3</v>
      </c>
      <c r="O3" t="s">
        <v>152</v>
      </c>
      <c r="P3" s="2">
        <v>44656.074522685187</v>
      </c>
      <c r="Q3">
        <v>13</v>
      </c>
      <c r="R3" t="s">
        <v>154</v>
      </c>
      <c r="S3">
        <v>1767.117995917368</v>
      </c>
      <c r="T3">
        <v>141626.49563193691</v>
      </c>
      <c r="U3">
        <v>3.5243949263732719</v>
      </c>
      <c r="V3">
        <v>21628.772949229071</v>
      </c>
      <c r="W3" t="s">
        <v>17</v>
      </c>
      <c r="X3">
        <v>91.178004790214999</v>
      </c>
      <c r="Y3">
        <v>141.62649563193679</v>
      </c>
      <c r="Z3">
        <v>161122.293096629</v>
      </c>
      <c r="AA3">
        <v>26901.45889207596</v>
      </c>
      <c r="AB3">
        <v>21628.772949229071</v>
      </c>
      <c r="AC3">
        <v>26901.45889207596</v>
      </c>
      <c r="AD3" s="2">
        <v>44105</v>
      </c>
    </row>
    <row r="4" spans="1:30" hidden="1" x14ac:dyDescent="0.25">
      <c r="A4">
        <v>-1</v>
      </c>
      <c r="B4" t="s">
        <v>87</v>
      </c>
      <c r="C4">
        <v>2020</v>
      </c>
      <c r="D4">
        <v>10</v>
      </c>
      <c r="E4" t="s">
        <v>148</v>
      </c>
      <c r="F4" t="s">
        <v>17</v>
      </c>
      <c r="G4" t="s">
        <v>17</v>
      </c>
      <c r="H4" t="s">
        <v>149</v>
      </c>
      <c r="I4" t="s">
        <v>149</v>
      </c>
      <c r="J4" t="s">
        <v>150</v>
      </c>
      <c r="K4" t="s">
        <v>148</v>
      </c>
      <c r="L4" t="s">
        <v>151</v>
      </c>
      <c r="M4">
        <v>1817.2389105287771</v>
      </c>
      <c r="N4">
        <v>3</v>
      </c>
      <c r="O4" t="s">
        <v>152</v>
      </c>
      <c r="P4" s="2">
        <v>44656.074522685187</v>
      </c>
      <c r="Q4">
        <v>5</v>
      </c>
      <c r="R4" t="s">
        <v>100</v>
      </c>
      <c r="S4">
        <v>21.10505594484194</v>
      </c>
      <c r="T4">
        <v>1649.952342883867</v>
      </c>
      <c r="U4">
        <v>4.2092578008188192E-2</v>
      </c>
      <c r="V4">
        <v>248.0218565480356</v>
      </c>
      <c r="W4" t="s">
        <v>17</v>
      </c>
      <c r="X4">
        <v>88.939773165411012</v>
      </c>
      <c r="Y4">
        <v>1.6499523428838681</v>
      </c>
      <c r="Z4">
        <v>1877.078888377551</v>
      </c>
      <c r="AA4">
        <v>308.48489620402432</v>
      </c>
      <c r="AB4">
        <v>248.0218565480356</v>
      </c>
      <c r="AC4">
        <v>308.48489620402432</v>
      </c>
      <c r="AD4" s="2">
        <v>44105</v>
      </c>
    </row>
    <row r="5" spans="1:30" hidden="1" x14ac:dyDescent="0.25">
      <c r="A5">
        <v>-1</v>
      </c>
      <c r="B5" t="s">
        <v>87</v>
      </c>
      <c r="C5">
        <v>2020</v>
      </c>
      <c r="D5">
        <v>10</v>
      </c>
      <c r="E5" t="s">
        <v>148</v>
      </c>
      <c r="F5" t="s">
        <v>17</v>
      </c>
      <c r="G5" t="s">
        <v>17</v>
      </c>
      <c r="H5" t="s">
        <v>149</v>
      </c>
      <c r="I5" t="s">
        <v>149</v>
      </c>
      <c r="J5" t="s">
        <v>150</v>
      </c>
      <c r="K5" t="s">
        <v>148</v>
      </c>
      <c r="L5" t="s">
        <v>151</v>
      </c>
      <c r="M5">
        <v>1817.2389105287771</v>
      </c>
      <c r="N5">
        <v>3</v>
      </c>
      <c r="O5" t="s">
        <v>152</v>
      </c>
      <c r="P5" s="2">
        <v>44656.074522685187</v>
      </c>
      <c r="Q5">
        <v>11</v>
      </c>
      <c r="R5" t="s">
        <v>101</v>
      </c>
      <c r="S5">
        <v>66.71503161473629</v>
      </c>
      <c r="T5">
        <v>5453.8562605319139</v>
      </c>
      <c r="U5">
        <v>0.1330585277717945</v>
      </c>
      <c r="V5">
        <v>815.19759335892991</v>
      </c>
      <c r="W5" t="s">
        <v>17</v>
      </c>
      <c r="X5">
        <v>93.001749091524005</v>
      </c>
      <c r="Y5">
        <v>5.4538562605319134</v>
      </c>
      <c r="Z5">
        <v>6204.6146308667958</v>
      </c>
      <c r="AA5">
        <v>1013.927354924042</v>
      </c>
      <c r="AB5">
        <v>815.19759335892991</v>
      </c>
      <c r="AC5">
        <v>1013.927354924042</v>
      </c>
      <c r="AD5" s="2">
        <v>44105</v>
      </c>
    </row>
    <row r="6" spans="1:30" hidden="1" x14ac:dyDescent="0.25">
      <c r="A6">
        <v>-1</v>
      </c>
      <c r="B6" t="s">
        <v>87</v>
      </c>
      <c r="C6">
        <v>2020</v>
      </c>
      <c r="D6">
        <v>10</v>
      </c>
      <c r="E6" t="s">
        <v>155</v>
      </c>
      <c r="F6" t="s">
        <v>17</v>
      </c>
      <c r="G6" t="s">
        <v>17</v>
      </c>
      <c r="H6" t="s">
        <v>149</v>
      </c>
      <c r="I6" t="s">
        <v>149</v>
      </c>
      <c r="J6" t="s">
        <v>150</v>
      </c>
      <c r="K6" t="s">
        <v>155</v>
      </c>
      <c r="L6" t="s">
        <v>151</v>
      </c>
      <c r="M6">
        <v>1327.1549821521801</v>
      </c>
      <c r="N6">
        <v>3</v>
      </c>
      <c r="O6" t="s">
        <v>152</v>
      </c>
      <c r="P6" s="2">
        <v>44656.074522685187</v>
      </c>
      <c r="Q6">
        <v>31</v>
      </c>
      <c r="R6" t="s">
        <v>153</v>
      </c>
      <c r="S6">
        <v>12.56005449627067</v>
      </c>
      <c r="T6">
        <v>1024.83397151443</v>
      </c>
      <c r="U6">
        <v>2.505016215323411E-2</v>
      </c>
      <c r="V6">
        <v>153.20025037980369</v>
      </c>
      <c r="W6" t="s">
        <v>17</v>
      </c>
      <c r="X6">
        <v>92.826743341373998</v>
      </c>
      <c r="Y6">
        <v>1.024833971514431</v>
      </c>
      <c r="Z6">
        <v>1165.9089550789879</v>
      </c>
      <c r="AA6">
        <v>190.5475750992583</v>
      </c>
      <c r="AB6">
        <v>153.20025037980369</v>
      </c>
      <c r="AC6">
        <v>190.5475750992583</v>
      </c>
      <c r="AD6" s="2">
        <v>44105</v>
      </c>
    </row>
    <row r="7" spans="1:30" hidden="1" x14ac:dyDescent="0.25">
      <c r="A7">
        <v>-1</v>
      </c>
      <c r="B7" t="s">
        <v>87</v>
      </c>
      <c r="C7">
        <v>2020</v>
      </c>
      <c r="D7">
        <v>10</v>
      </c>
      <c r="E7" t="s">
        <v>155</v>
      </c>
      <c r="F7" t="s">
        <v>17</v>
      </c>
      <c r="G7" t="s">
        <v>17</v>
      </c>
      <c r="H7" t="s">
        <v>149</v>
      </c>
      <c r="I7" t="s">
        <v>149</v>
      </c>
      <c r="J7" t="s">
        <v>150</v>
      </c>
      <c r="K7" t="s">
        <v>155</v>
      </c>
      <c r="L7" t="s">
        <v>151</v>
      </c>
      <c r="M7">
        <v>1327.1549821521801</v>
      </c>
      <c r="N7">
        <v>3</v>
      </c>
      <c r="O7" t="s">
        <v>152</v>
      </c>
      <c r="P7" s="2">
        <v>44656.074522685187</v>
      </c>
      <c r="Q7">
        <v>13</v>
      </c>
      <c r="R7" t="s">
        <v>154</v>
      </c>
      <c r="S7">
        <v>1290.4544557507411</v>
      </c>
      <c r="T7">
        <v>103424.07397968791</v>
      </c>
      <c r="U7">
        <v>2.5737223813414021</v>
      </c>
      <c r="V7">
        <v>15794.613879343289</v>
      </c>
      <c r="W7" t="s">
        <v>17</v>
      </c>
      <c r="X7">
        <v>91.178004790215013</v>
      </c>
      <c r="Y7">
        <v>103.4240739796879</v>
      </c>
      <c r="Z7">
        <v>117661.0625479954</v>
      </c>
      <c r="AA7">
        <v>19645.042138486671</v>
      </c>
      <c r="AB7">
        <v>15794.613879343289</v>
      </c>
      <c r="AC7">
        <v>19645.042138486671</v>
      </c>
      <c r="AD7" s="2">
        <v>44105</v>
      </c>
    </row>
    <row r="8" spans="1:30" hidden="1" x14ac:dyDescent="0.25">
      <c r="A8">
        <v>-1</v>
      </c>
      <c r="B8" t="s">
        <v>87</v>
      </c>
      <c r="C8">
        <v>2020</v>
      </c>
      <c r="D8">
        <v>10</v>
      </c>
      <c r="E8" t="s">
        <v>155</v>
      </c>
      <c r="F8" t="s">
        <v>17</v>
      </c>
      <c r="G8" t="s">
        <v>17</v>
      </c>
      <c r="H8" t="s">
        <v>149</v>
      </c>
      <c r="I8" t="s">
        <v>149</v>
      </c>
      <c r="J8" t="s">
        <v>150</v>
      </c>
      <c r="K8" t="s">
        <v>155</v>
      </c>
      <c r="L8" t="s">
        <v>151</v>
      </c>
      <c r="M8">
        <v>1327.1549821521801</v>
      </c>
      <c r="N8">
        <v>3</v>
      </c>
      <c r="O8" t="s">
        <v>152</v>
      </c>
      <c r="P8" s="2">
        <v>44656.074522685187</v>
      </c>
      <c r="Q8">
        <v>5</v>
      </c>
      <c r="R8" t="s">
        <v>100</v>
      </c>
      <c r="S8">
        <v>15.891180410525269</v>
      </c>
      <c r="T8">
        <v>1242.3416653365689</v>
      </c>
      <c r="U8">
        <v>3.1693862969157667E-2</v>
      </c>
      <c r="V8">
        <v>186.74956742398581</v>
      </c>
      <c r="W8" t="s">
        <v>17</v>
      </c>
      <c r="X8">
        <v>88.939773165410998</v>
      </c>
      <c r="Y8">
        <v>1.2423416653365691</v>
      </c>
      <c r="Z8">
        <v>1413.35798104274</v>
      </c>
      <c r="AA8">
        <v>232.27558137311661</v>
      </c>
      <c r="AB8">
        <v>186.74956742398581</v>
      </c>
      <c r="AC8">
        <v>232.27558137311661</v>
      </c>
      <c r="AD8" s="2">
        <v>44105</v>
      </c>
    </row>
    <row r="9" spans="1:30" hidden="1" x14ac:dyDescent="0.25">
      <c r="A9">
        <v>-1</v>
      </c>
      <c r="B9" t="s">
        <v>87</v>
      </c>
      <c r="C9">
        <v>2020</v>
      </c>
      <c r="D9">
        <v>10</v>
      </c>
      <c r="E9" t="s">
        <v>155</v>
      </c>
      <c r="F9" t="s">
        <v>17</v>
      </c>
      <c r="G9" t="s">
        <v>17</v>
      </c>
      <c r="H9" t="s">
        <v>149</v>
      </c>
      <c r="I9" t="s">
        <v>149</v>
      </c>
      <c r="J9" t="s">
        <v>150</v>
      </c>
      <c r="K9" t="s">
        <v>155</v>
      </c>
      <c r="L9" t="s">
        <v>151</v>
      </c>
      <c r="M9">
        <v>1327.1549821521801</v>
      </c>
      <c r="N9">
        <v>3</v>
      </c>
      <c r="O9" t="s">
        <v>152</v>
      </c>
      <c r="P9" s="2">
        <v>44656.074522685187</v>
      </c>
      <c r="Q9">
        <v>11</v>
      </c>
      <c r="R9" t="s">
        <v>101</v>
      </c>
      <c r="S9">
        <v>49.106978602781851</v>
      </c>
      <c r="T9">
        <v>4014.4236794370449</v>
      </c>
      <c r="U9">
        <v>9.7940480849054878E-2</v>
      </c>
      <c r="V9">
        <v>600.04304585046225</v>
      </c>
      <c r="W9" t="s">
        <v>17</v>
      </c>
      <c r="X9">
        <v>93.001749091524005</v>
      </c>
      <c r="Y9">
        <v>4.014423679437046</v>
      </c>
      <c r="Z9">
        <v>4567.0349026587546</v>
      </c>
      <c r="AA9">
        <v>746.32219633142063</v>
      </c>
      <c r="AB9">
        <v>600.04304585046225</v>
      </c>
      <c r="AC9">
        <v>746.32219633142063</v>
      </c>
      <c r="AD9" s="2">
        <v>44105</v>
      </c>
    </row>
    <row r="10" spans="1:30" hidden="1" x14ac:dyDescent="0.25">
      <c r="A10">
        <v>-1</v>
      </c>
      <c r="B10" t="s">
        <v>87</v>
      </c>
      <c r="C10">
        <v>2020</v>
      </c>
      <c r="D10">
        <v>10</v>
      </c>
      <c r="E10" t="s">
        <v>156</v>
      </c>
      <c r="F10" t="s">
        <v>17</v>
      </c>
      <c r="G10" t="s">
        <v>17</v>
      </c>
      <c r="H10" t="s">
        <v>149</v>
      </c>
      <c r="I10" t="s">
        <v>149</v>
      </c>
      <c r="J10" t="s">
        <v>150</v>
      </c>
      <c r="K10" t="s">
        <v>156</v>
      </c>
      <c r="L10" t="s">
        <v>151</v>
      </c>
      <c r="M10">
        <v>351.34016260799388</v>
      </c>
      <c r="N10">
        <v>1</v>
      </c>
      <c r="O10" t="s">
        <v>152</v>
      </c>
      <c r="P10" s="2">
        <v>44656.074522685187</v>
      </c>
      <c r="Q10">
        <v>31</v>
      </c>
      <c r="R10" t="s">
        <v>153</v>
      </c>
      <c r="S10">
        <v>2.5905849553624951</v>
      </c>
      <c r="T10">
        <v>211.37802142004861</v>
      </c>
      <c r="U10">
        <v>5.1667429645968271E-3</v>
      </c>
      <c r="V10">
        <v>31.598450779773891</v>
      </c>
      <c r="W10" t="s">
        <v>17</v>
      </c>
      <c r="X10">
        <v>92.826743341373998</v>
      </c>
      <c r="Y10">
        <v>0.21137802142004861</v>
      </c>
      <c r="Z10">
        <v>240.47556475545909</v>
      </c>
      <c r="AA10">
        <v>39.301555696236193</v>
      </c>
      <c r="AB10">
        <v>31.598450779773891</v>
      </c>
      <c r="AC10">
        <v>39.301555696236193</v>
      </c>
      <c r="AD10" s="2">
        <v>44105</v>
      </c>
    </row>
    <row r="11" spans="1:30" hidden="1" x14ac:dyDescent="0.25">
      <c r="A11">
        <v>-1</v>
      </c>
      <c r="B11" t="s">
        <v>87</v>
      </c>
      <c r="C11">
        <v>2020</v>
      </c>
      <c r="D11">
        <v>10</v>
      </c>
      <c r="E11" t="s">
        <v>156</v>
      </c>
      <c r="F11" t="s">
        <v>17</v>
      </c>
      <c r="G11" t="s">
        <v>17</v>
      </c>
      <c r="H11" t="s">
        <v>149</v>
      </c>
      <c r="I11" t="s">
        <v>149</v>
      </c>
      <c r="J11" t="s">
        <v>150</v>
      </c>
      <c r="K11" t="s">
        <v>156</v>
      </c>
      <c r="L11" t="s">
        <v>151</v>
      </c>
      <c r="M11">
        <v>351.34016260799388</v>
      </c>
      <c r="N11">
        <v>1</v>
      </c>
      <c r="O11" t="s">
        <v>152</v>
      </c>
      <c r="P11" s="2">
        <v>44656.074522685187</v>
      </c>
      <c r="Q11">
        <v>13</v>
      </c>
      <c r="R11" t="s">
        <v>154</v>
      </c>
      <c r="S11">
        <v>341.65414169548973</v>
      </c>
      <c r="T11">
        <v>27382.03046896707</v>
      </c>
      <c r="U11">
        <v>0.6814056143098125</v>
      </c>
      <c r="V11">
        <v>4181.7014341814374</v>
      </c>
      <c r="W11" t="s">
        <v>17</v>
      </c>
      <c r="X11">
        <v>91.178004790215013</v>
      </c>
      <c r="Y11">
        <v>27.38203046896707</v>
      </c>
      <c r="Z11">
        <v>31151.342968108162</v>
      </c>
      <c r="AA11">
        <v>5201.1211867928314</v>
      </c>
      <c r="AB11">
        <v>4181.7014341814374</v>
      </c>
      <c r="AC11">
        <v>5201.1211867928314</v>
      </c>
      <c r="AD11" s="2">
        <v>44105</v>
      </c>
    </row>
    <row r="12" spans="1:30" hidden="1" x14ac:dyDescent="0.25">
      <c r="A12">
        <v>-1</v>
      </c>
      <c r="B12" t="s">
        <v>87</v>
      </c>
      <c r="C12">
        <v>2020</v>
      </c>
      <c r="D12">
        <v>10</v>
      </c>
      <c r="E12" t="s">
        <v>156</v>
      </c>
      <c r="F12" t="s">
        <v>17</v>
      </c>
      <c r="G12" t="s">
        <v>17</v>
      </c>
      <c r="H12" t="s">
        <v>149</v>
      </c>
      <c r="I12" t="s">
        <v>149</v>
      </c>
      <c r="J12" t="s">
        <v>150</v>
      </c>
      <c r="K12" t="s">
        <v>156</v>
      </c>
      <c r="L12" t="s">
        <v>151</v>
      </c>
      <c r="M12">
        <v>351.34016260799388</v>
      </c>
      <c r="N12">
        <v>1</v>
      </c>
      <c r="O12" t="s">
        <v>152</v>
      </c>
      <c r="P12" s="2">
        <v>44656.074522685187</v>
      </c>
      <c r="Q12">
        <v>5</v>
      </c>
      <c r="R12" t="s">
        <v>100</v>
      </c>
      <c r="S12">
        <v>4.4806821767493972</v>
      </c>
      <c r="T12">
        <v>350.291042798798</v>
      </c>
      <c r="U12">
        <v>8.936411471622609E-3</v>
      </c>
      <c r="V12">
        <v>52.655966180970069</v>
      </c>
      <c r="W12" t="s">
        <v>17</v>
      </c>
      <c r="X12">
        <v>88.939773165410998</v>
      </c>
      <c r="Y12">
        <v>0.35029104279879802</v>
      </c>
      <c r="Z12">
        <v>398.51085642639129</v>
      </c>
      <c r="AA12">
        <v>65.492495249962772</v>
      </c>
      <c r="AB12">
        <v>52.655966180970069</v>
      </c>
      <c r="AC12">
        <v>65.492495249962772</v>
      </c>
      <c r="AD12" s="2">
        <v>44105</v>
      </c>
    </row>
    <row r="13" spans="1:30" hidden="1" x14ac:dyDescent="0.25">
      <c r="A13">
        <v>-1</v>
      </c>
      <c r="B13" t="s">
        <v>87</v>
      </c>
      <c r="C13">
        <v>2020</v>
      </c>
      <c r="D13">
        <v>10</v>
      </c>
      <c r="E13" t="s">
        <v>156</v>
      </c>
      <c r="F13" t="s">
        <v>17</v>
      </c>
      <c r="G13" t="s">
        <v>17</v>
      </c>
      <c r="H13" t="s">
        <v>149</v>
      </c>
      <c r="I13" t="s">
        <v>149</v>
      </c>
      <c r="J13" t="s">
        <v>150</v>
      </c>
      <c r="K13" t="s">
        <v>156</v>
      </c>
      <c r="L13" t="s">
        <v>151</v>
      </c>
      <c r="M13">
        <v>351.34016260799388</v>
      </c>
      <c r="N13">
        <v>1</v>
      </c>
      <c r="O13" t="s">
        <v>152</v>
      </c>
      <c r="P13" s="2">
        <v>44656.074522685187</v>
      </c>
      <c r="Q13">
        <v>11</v>
      </c>
      <c r="R13" t="s">
        <v>101</v>
      </c>
      <c r="S13">
        <v>13.43108391922912</v>
      </c>
      <c r="T13">
        <v>1097.971466784664</v>
      </c>
      <c r="U13">
        <v>2.6787370243519501E-2</v>
      </c>
      <c r="V13">
        <v>164.1157475632364</v>
      </c>
      <c r="W13" t="s">
        <v>17</v>
      </c>
      <c r="X13">
        <v>93.00174909152399</v>
      </c>
      <c r="Y13">
        <v>1.0979714667846641</v>
      </c>
      <c r="Z13">
        <v>1249.114296683349</v>
      </c>
      <c r="AA13">
        <v>204.1240641333786</v>
      </c>
      <c r="AB13">
        <v>164.1157475632364</v>
      </c>
      <c r="AC13">
        <v>204.1240641333786</v>
      </c>
      <c r="AD13" s="2">
        <v>44105</v>
      </c>
    </row>
    <row r="14" spans="1:30" hidden="1" x14ac:dyDescent="0.25">
      <c r="A14">
        <v>-1</v>
      </c>
      <c r="B14" t="s">
        <v>87</v>
      </c>
      <c r="C14">
        <v>2020</v>
      </c>
      <c r="D14">
        <v>10</v>
      </c>
      <c r="E14" t="s">
        <v>157</v>
      </c>
      <c r="F14" t="s">
        <v>17</v>
      </c>
      <c r="G14" t="s">
        <v>17</v>
      </c>
      <c r="H14" t="s">
        <v>149</v>
      </c>
      <c r="I14" t="s">
        <v>149</v>
      </c>
      <c r="J14" t="s">
        <v>150</v>
      </c>
      <c r="K14" t="s">
        <v>157</v>
      </c>
      <c r="L14" t="s">
        <v>151</v>
      </c>
      <c r="M14">
        <v>137.93377038088121</v>
      </c>
      <c r="N14">
        <v>0</v>
      </c>
      <c r="O14" t="s">
        <v>152</v>
      </c>
      <c r="P14" s="2">
        <v>44656.074522685187</v>
      </c>
      <c r="Q14">
        <v>31</v>
      </c>
      <c r="R14" t="s">
        <v>153</v>
      </c>
      <c r="S14">
        <v>2.4223204579793318</v>
      </c>
      <c r="T14">
        <v>197.6485289907547</v>
      </c>
      <c r="U14">
        <v>4.8311510334207181E-3</v>
      </c>
      <c r="V14">
        <v>29.546058161828949</v>
      </c>
      <c r="W14" t="s">
        <v>17</v>
      </c>
      <c r="X14">
        <v>92.826743341373998</v>
      </c>
      <c r="Y14">
        <v>0.19764852899075469</v>
      </c>
      <c r="Z14">
        <v>224.85611944340701</v>
      </c>
      <c r="AA14">
        <v>36.748828559488743</v>
      </c>
      <c r="AB14">
        <v>29.546058161828949</v>
      </c>
      <c r="AC14">
        <v>36.748828559488743</v>
      </c>
      <c r="AD14" s="2">
        <v>44105</v>
      </c>
    </row>
    <row r="15" spans="1:30" hidden="1" x14ac:dyDescent="0.25">
      <c r="A15">
        <v>-1</v>
      </c>
      <c r="B15" t="s">
        <v>87</v>
      </c>
      <c r="C15">
        <v>2020</v>
      </c>
      <c r="D15">
        <v>10</v>
      </c>
      <c r="E15" t="s">
        <v>157</v>
      </c>
      <c r="F15" t="s">
        <v>17</v>
      </c>
      <c r="G15" t="s">
        <v>17</v>
      </c>
      <c r="H15" t="s">
        <v>149</v>
      </c>
      <c r="I15" t="s">
        <v>149</v>
      </c>
      <c r="J15" t="s">
        <v>150</v>
      </c>
      <c r="K15" t="s">
        <v>157</v>
      </c>
      <c r="L15" t="s">
        <v>151</v>
      </c>
      <c r="M15">
        <v>137.93377038088121</v>
      </c>
      <c r="N15">
        <v>0</v>
      </c>
      <c r="O15" t="s">
        <v>152</v>
      </c>
      <c r="P15" s="2">
        <v>44656.074522685187</v>
      </c>
      <c r="Q15">
        <v>13</v>
      </c>
      <c r="R15" t="s">
        <v>154</v>
      </c>
      <c r="S15">
        <v>130.67064860909821</v>
      </c>
      <c r="T15">
        <v>10472.66005281753</v>
      </c>
      <c r="U15">
        <v>0.26061359345997248</v>
      </c>
      <c r="V15">
        <v>1599.353182087586</v>
      </c>
      <c r="W15" t="s">
        <v>17</v>
      </c>
      <c r="X15">
        <v>91.178004790214999</v>
      </c>
      <c r="Y15">
        <v>10.472660052817529</v>
      </c>
      <c r="Z15">
        <v>11914.289024820861</v>
      </c>
      <c r="AA15">
        <v>1989.245251352718</v>
      </c>
      <c r="AB15">
        <v>1599.353182087586</v>
      </c>
      <c r="AC15">
        <v>1989.245251352718</v>
      </c>
      <c r="AD15" s="2">
        <v>44105</v>
      </c>
    </row>
    <row r="16" spans="1:30" hidden="1" x14ac:dyDescent="0.25">
      <c r="A16">
        <v>-1</v>
      </c>
      <c r="B16" t="s">
        <v>87</v>
      </c>
      <c r="C16">
        <v>2020</v>
      </c>
      <c r="D16">
        <v>10</v>
      </c>
      <c r="E16" t="s">
        <v>157</v>
      </c>
      <c r="F16" t="s">
        <v>17</v>
      </c>
      <c r="G16" t="s">
        <v>17</v>
      </c>
      <c r="H16" t="s">
        <v>149</v>
      </c>
      <c r="I16" t="s">
        <v>149</v>
      </c>
      <c r="J16" t="s">
        <v>150</v>
      </c>
      <c r="K16" t="s">
        <v>157</v>
      </c>
      <c r="L16" t="s">
        <v>151</v>
      </c>
      <c r="M16">
        <v>137.93377038088121</v>
      </c>
      <c r="N16">
        <v>0</v>
      </c>
      <c r="O16" t="s">
        <v>152</v>
      </c>
      <c r="P16" s="2">
        <v>44656.074522685187</v>
      </c>
      <c r="Q16">
        <v>5</v>
      </c>
      <c r="R16" t="s">
        <v>100</v>
      </c>
      <c r="S16">
        <v>2.2315238408658451</v>
      </c>
      <c r="T16">
        <v>174.45620608921729</v>
      </c>
      <c r="U16">
        <v>4.4506203439718369E-3</v>
      </c>
      <c r="V16">
        <v>26.224364786771229</v>
      </c>
      <c r="W16" t="s">
        <v>17</v>
      </c>
      <c r="X16">
        <v>88.939773165410983</v>
      </c>
      <c r="Y16">
        <v>0.1744562060892173</v>
      </c>
      <c r="Z16">
        <v>198.4712242198149</v>
      </c>
      <c r="AA16">
        <v>32.617369137775157</v>
      </c>
      <c r="AB16">
        <v>26.224364786771229</v>
      </c>
      <c r="AC16">
        <v>32.617369137775157</v>
      </c>
      <c r="AD16" s="2">
        <v>44105</v>
      </c>
    </row>
    <row r="17" spans="1:30" hidden="1" x14ac:dyDescent="0.25">
      <c r="A17">
        <v>-1</v>
      </c>
      <c r="B17" t="s">
        <v>87</v>
      </c>
      <c r="C17">
        <v>2020</v>
      </c>
      <c r="D17">
        <v>10</v>
      </c>
      <c r="E17" t="s">
        <v>157</v>
      </c>
      <c r="F17" t="s">
        <v>17</v>
      </c>
      <c r="G17" t="s">
        <v>17</v>
      </c>
      <c r="H17" t="s">
        <v>149</v>
      </c>
      <c r="I17" t="s">
        <v>149</v>
      </c>
      <c r="J17" t="s">
        <v>150</v>
      </c>
      <c r="K17" t="s">
        <v>157</v>
      </c>
      <c r="L17" t="s">
        <v>151</v>
      </c>
      <c r="M17">
        <v>137.93377038088121</v>
      </c>
      <c r="N17">
        <v>0</v>
      </c>
      <c r="O17" t="s">
        <v>152</v>
      </c>
      <c r="P17" s="2">
        <v>44656.074522685187</v>
      </c>
      <c r="Q17">
        <v>11</v>
      </c>
      <c r="R17" t="s">
        <v>101</v>
      </c>
      <c r="S17">
        <v>6.8556954931820053</v>
      </c>
      <c r="T17">
        <v>560.4430797801233</v>
      </c>
      <c r="U17">
        <v>1.3673211675028749E-2</v>
      </c>
      <c r="V17">
        <v>83.770423719759876</v>
      </c>
      <c r="W17" t="s">
        <v>17</v>
      </c>
      <c r="X17">
        <v>93.001749091523976</v>
      </c>
      <c r="Y17">
        <v>0.5604430797801232</v>
      </c>
      <c r="Z17">
        <v>637.59167210480462</v>
      </c>
      <c r="AA17">
        <v>104.1920693031839</v>
      </c>
      <c r="AB17">
        <v>83.770423719759876</v>
      </c>
      <c r="AC17">
        <v>104.1920693031839</v>
      </c>
      <c r="AD17" s="2">
        <v>44105</v>
      </c>
    </row>
    <row r="18" spans="1:30" hidden="1" x14ac:dyDescent="0.25">
      <c r="A18">
        <v>-1</v>
      </c>
      <c r="B18" t="s">
        <v>87</v>
      </c>
      <c r="C18">
        <v>2020</v>
      </c>
      <c r="D18">
        <v>10</v>
      </c>
      <c r="E18" t="s">
        <v>158</v>
      </c>
      <c r="F18" t="s">
        <v>17</v>
      </c>
      <c r="G18" t="s">
        <v>17</v>
      </c>
      <c r="H18" t="s">
        <v>149</v>
      </c>
      <c r="I18" t="s">
        <v>149</v>
      </c>
      <c r="J18" t="s">
        <v>150</v>
      </c>
      <c r="K18" t="s">
        <v>158</v>
      </c>
      <c r="L18" t="s">
        <v>151</v>
      </c>
      <c r="M18">
        <v>368.57154137463459</v>
      </c>
      <c r="N18">
        <v>1</v>
      </c>
      <c r="O18" t="s">
        <v>152</v>
      </c>
      <c r="P18" s="2">
        <v>44656.074522685187</v>
      </c>
      <c r="Q18">
        <v>31</v>
      </c>
      <c r="R18" t="s">
        <v>153</v>
      </c>
      <c r="S18">
        <v>3.521715010797529</v>
      </c>
      <c r="T18">
        <v>287.35330584188569</v>
      </c>
      <c r="U18">
        <v>7.0238176199116679E-3</v>
      </c>
      <c r="V18">
        <v>42.955834433735198</v>
      </c>
      <c r="W18" t="s">
        <v>17</v>
      </c>
      <c r="X18">
        <v>92.826743341373998</v>
      </c>
      <c r="Y18">
        <v>0.28735330584188568</v>
      </c>
      <c r="Z18">
        <v>326.90933542876638</v>
      </c>
      <c r="AA18">
        <v>53.427654768327358</v>
      </c>
      <c r="AB18">
        <v>42.955834433735198</v>
      </c>
      <c r="AC18">
        <v>53.427654768327358</v>
      </c>
      <c r="AD18" s="2">
        <v>44105</v>
      </c>
    </row>
    <row r="19" spans="1:30" hidden="1" x14ac:dyDescent="0.25">
      <c r="A19">
        <v>-1</v>
      </c>
      <c r="B19" t="s">
        <v>87</v>
      </c>
      <c r="C19">
        <v>2020</v>
      </c>
      <c r="D19">
        <v>10</v>
      </c>
      <c r="E19" t="s">
        <v>158</v>
      </c>
      <c r="F19" t="s">
        <v>17</v>
      </c>
      <c r="G19" t="s">
        <v>17</v>
      </c>
      <c r="H19" t="s">
        <v>149</v>
      </c>
      <c r="I19" t="s">
        <v>149</v>
      </c>
      <c r="J19" t="s">
        <v>150</v>
      </c>
      <c r="K19" t="s">
        <v>158</v>
      </c>
      <c r="L19" t="s">
        <v>151</v>
      </c>
      <c r="M19">
        <v>368.57154137463459</v>
      </c>
      <c r="N19">
        <v>1</v>
      </c>
      <c r="O19" t="s">
        <v>152</v>
      </c>
      <c r="P19" s="2">
        <v>44656.074522685187</v>
      </c>
      <c r="Q19">
        <v>13</v>
      </c>
      <c r="R19" t="s">
        <v>154</v>
      </c>
      <c r="S19">
        <v>358.31703667845937</v>
      </c>
      <c r="T19">
        <v>28717.48595579543</v>
      </c>
      <c r="U19">
        <v>0.71463860875180618</v>
      </c>
      <c r="V19">
        <v>4385.6481842547983</v>
      </c>
      <c r="W19" t="s">
        <v>17</v>
      </c>
      <c r="X19">
        <v>91.178004790215013</v>
      </c>
      <c r="Y19">
        <v>28.717485955795421</v>
      </c>
      <c r="Z19">
        <v>32670.632486684219</v>
      </c>
      <c r="AA19">
        <v>5454.7862988243751</v>
      </c>
      <c r="AB19">
        <v>4385.6481842547983</v>
      </c>
      <c r="AC19">
        <v>5454.7862988243751</v>
      </c>
      <c r="AD19" s="2">
        <v>44105</v>
      </c>
    </row>
    <row r="20" spans="1:30" hidden="1" x14ac:dyDescent="0.25">
      <c r="A20">
        <v>-1</v>
      </c>
      <c r="B20" t="s">
        <v>87</v>
      </c>
      <c r="C20">
        <v>2020</v>
      </c>
      <c r="D20">
        <v>10</v>
      </c>
      <c r="E20" t="s">
        <v>158</v>
      </c>
      <c r="F20" t="s">
        <v>17</v>
      </c>
      <c r="G20" t="s">
        <v>17</v>
      </c>
      <c r="H20" t="s">
        <v>149</v>
      </c>
      <c r="I20" t="s">
        <v>149</v>
      </c>
      <c r="J20" t="s">
        <v>150</v>
      </c>
      <c r="K20" t="s">
        <v>158</v>
      </c>
      <c r="L20" t="s">
        <v>151</v>
      </c>
      <c r="M20">
        <v>368.57154137463459</v>
      </c>
      <c r="N20">
        <v>1</v>
      </c>
      <c r="O20" t="s">
        <v>152</v>
      </c>
      <c r="P20" s="2">
        <v>44656.074522685187</v>
      </c>
      <c r="Q20">
        <v>5</v>
      </c>
      <c r="R20" t="s">
        <v>100</v>
      </c>
      <c r="S20">
        <v>4.7080351342451277</v>
      </c>
      <c r="T20">
        <v>368.06505609030683</v>
      </c>
      <c r="U20">
        <v>9.3898512598796138E-3</v>
      </c>
      <c r="V20">
        <v>55.327766850778737</v>
      </c>
      <c r="W20" t="s">
        <v>17</v>
      </c>
      <c r="X20">
        <v>88.939773165410998</v>
      </c>
      <c r="Y20">
        <v>0.36806505609030682</v>
      </c>
      <c r="Z20">
        <v>418.73157689454689</v>
      </c>
      <c r="AA20">
        <v>68.815630411416336</v>
      </c>
      <c r="AB20">
        <v>55.327766850778737</v>
      </c>
      <c r="AC20">
        <v>68.815630411416336</v>
      </c>
      <c r="AD20" s="2">
        <v>44105</v>
      </c>
    </row>
    <row r="21" spans="1:30" hidden="1" x14ac:dyDescent="0.25">
      <c r="A21">
        <v>-1</v>
      </c>
      <c r="B21" t="s">
        <v>87</v>
      </c>
      <c r="C21">
        <v>2020</v>
      </c>
      <c r="D21">
        <v>10</v>
      </c>
      <c r="E21" t="s">
        <v>158</v>
      </c>
      <c r="F21" t="s">
        <v>17</v>
      </c>
      <c r="G21" t="s">
        <v>17</v>
      </c>
      <c r="H21" t="s">
        <v>149</v>
      </c>
      <c r="I21" t="s">
        <v>149</v>
      </c>
      <c r="J21" t="s">
        <v>150</v>
      </c>
      <c r="K21" t="s">
        <v>158</v>
      </c>
      <c r="L21" t="s">
        <v>151</v>
      </c>
      <c r="M21">
        <v>368.57154137463459</v>
      </c>
      <c r="N21">
        <v>1</v>
      </c>
      <c r="O21" t="s">
        <v>152</v>
      </c>
      <c r="P21" s="2">
        <v>44656.074522685187</v>
      </c>
      <c r="Q21">
        <v>11</v>
      </c>
      <c r="R21" t="s">
        <v>101</v>
      </c>
      <c r="S21">
        <v>13.371568538168709</v>
      </c>
      <c r="T21">
        <v>1093.10617142711</v>
      </c>
      <c r="U21">
        <v>2.6668670922062151E-2</v>
      </c>
      <c r="V21">
        <v>163.38852321463011</v>
      </c>
      <c r="W21" t="s">
        <v>17</v>
      </c>
      <c r="X21">
        <v>93.001749091523976</v>
      </c>
      <c r="Y21">
        <v>1.09310617142711</v>
      </c>
      <c r="Z21">
        <v>1243.579262146882</v>
      </c>
      <c r="AA21">
        <v>203.21955623710201</v>
      </c>
      <c r="AB21">
        <v>163.38852321463011</v>
      </c>
      <c r="AC21">
        <v>203.21955623710201</v>
      </c>
      <c r="AD21" s="2">
        <v>44105</v>
      </c>
    </row>
    <row r="22" spans="1:30" hidden="1" x14ac:dyDescent="0.25">
      <c r="A22">
        <v>-1</v>
      </c>
      <c r="B22" t="s">
        <v>87</v>
      </c>
      <c r="C22">
        <v>2020</v>
      </c>
      <c r="D22">
        <v>10</v>
      </c>
      <c r="E22" t="s">
        <v>159</v>
      </c>
      <c r="F22" t="s">
        <v>17</v>
      </c>
      <c r="G22" t="s">
        <v>17</v>
      </c>
      <c r="H22" t="s">
        <v>149</v>
      </c>
      <c r="I22" t="s">
        <v>149</v>
      </c>
      <c r="J22" t="s">
        <v>150</v>
      </c>
      <c r="K22" t="s">
        <v>159</v>
      </c>
      <c r="L22" t="s">
        <v>151</v>
      </c>
      <c r="M22">
        <v>1000.741102027844</v>
      </c>
      <c r="N22">
        <v>2</v>
      </c>
      <c r="O22" t="s">
        <v>152</v>
      </c>
      <c r="P22" s="2">
        <v>44656.074522685187</v>
      </c>
      <c r="Q22">
        <v>31</v>
      </c>
      <c r="R22" t="s">
        <v>153</v>
      </c>
      <c r="S22">
        <v>5.9389345079323501</v>
      </c>
      <c r="T22">
        <v>484.58562342508861</v>
      </c>
      <c r="U22">
        <v>1.1844795138851991E-2</v>
      </c>
      <c r="V22">
        <v>72.439674037612122</v>
      </c>
      <c r="W22" t="s">
        <v>17</v>
      </c>
      <c r="X22">
        <v>92.826743341373984</v>
      </c>
      <c r="Y22">
        <v>0.48458562342508849</v>
      </c>
      <c r="Z22">
        <v>551.29194928906554</v>
      </c>
      <c r="AA22">
        <v>90.099097061706615</v>
      </c>
      <c r="AB22">
        <v>72.439674037612122</v>
      </c>
      <c r="AC22">
        <v>90.099097061706615</v>
      </c>
      <c r="AD22" s="2">
        <v>44105</v>
      </c>
    </row>
    <row r="23" spans="1:30" hidden="1" x14ac:dyDescent="0.25">
      <c r="A23">
        <v>-1</v>
      </c>
      <c r="B23" t="s">
        <v>87</v>
      </c>
      <c r="C23">
        <v>2020</v>
      </c>
      <c r="D23">
        <v>10</v>
      </c>
      <c r="E23" t="s">
        <v>159</v>
      </c>
      <c r="F23" t="s">
        <v>17</v>
      </c>
      <c r="G23" t="s">
        <v>17</v>
      </c>
      <c r="H23" t="s">
        <v>149</v>
      </c>
      <c r="I23" t="s">
        <v>149</v>
      </c>
      <c r="J23" t="s">
        <v>150</v>
      </c>
      <c r="K23" t="s">
        <v>159</v>
      </c>
      <c r="L23" t="s">
        <v>151</v>
      </c>
      <c r="M23">
        <v>1000.741102027844</v>
      </c>
      <c r="N23">
        <v>2</v>
      </c>
      <c r="O23" t="s">
        <v>152</v>
      </c>
      <c r="P23" s="2">
        <v>44656.074522685187</v>
      </c>
      <c r="Q23">
        <v>13</v>
      </c>
      <c r="R23" t="s">
        <v>154</v>
      </c>
      <c r="S23">
        <v>993.61863726713636</v>
      </c>
      <c r="T23">
        <v>79634.028919314675</v>
      </c>
      <c r="U23">
        <v>1.9817038205851489</v>
      </c>
      <c r="V23">
        <v>12161.46966598954</v>
      </c>
      <c r="W23" t="s">
        <v>17</v>
      </c>
      <c r="X23">
        <v>91.178004790214999</v>
      </c>
      <c r="Y23">
        <v>79.634028919314673</v>
      </c>
      <c r="Z23">
        <v>90596.164868389853</v>
      </c>
      <c r="AA23">
        <v>15126.206052225791</v>
      </c>
      <c r="AB23">
        <v>12161.46966598954</v>
      </c>
      <c r="AC23">
        <v>15126.206052225791</v>
      </c>
      <c r="AD23" s="2">
        <v>44105</v>
      </c>
    </row>
    <row r="24" spans="1:30" hidden="1" x14ac:dyDescent="0.25">
      <c r="A24">
        <v>-1</v>
      </c>
      <c r="B24" t="s">
        <v>87</v>
      </c>
      <c r="C24">
        <v>2020</v>
      </c>
      <c r="D24">
        <v>10</v>
      </c>
      <c r="E24" t="s">
        <v>159</v>
      </c>
      <c r="F24" t="s">
        <v>17</v>
      </c>
      <c r="G24" t="s">
        <v>17</v>
      </c>
      <c r="H24" t="s">
        <v>149</v>
      </c>
      <c r="I24" t="s">
        <v>149</v>
      </c>
      <c r="J24" t="s">
        <v>150</v>
      </c>
      <c r="K24" t="s">
        <v>159</v>
      </c>
      <c r="L24" t="s">
        <v>151</v>
      </c>
      <c r="M24">
        <v>1000.741102027844</v>
      </c>
      <c r="N24">
        <v>2</v>
      </c>
      <c r="O24" t="s">
        <v>152</v>
      </c>
      <c r="P24" s="2">
        <v>44656.074522685187</v>
      </c>
      <c r="Q24">
        <v>5</v>
      </c>
      <c r="R24" t="s">
        <v>100</v>
      </c>
      <c r="S24">
        <v>7.6802086845045352</v>
      </c>
      <c r="T24">
        <v>600.42382005304773</v>
      </c>
      <c r="U24">
        <v>1.531764635055047E-2</v>
      </c>
      <c r="V24">
        <v>90.256079945275246</v>
      </c>
      <c r="W24" t="s">
        <v>17</v>
      </c>
      <c r="X24">
        <v>88.939773165410998</v>
      </c>
      <c r="Y24">
        <v>0.60042382005304773</v>
      </c>
      <c r="Z24">
        <v>683.07601826285293</v>
      </c>
      <c r="AA24">
        <v>112.25880590208359</v>
      </c>
      <c r="AB24">
        <v>90.256079945275246</v>
      </c>
      <c r="AC24">
        <v>112.25880590208359</v>
      </c>
      <c r="AD24" s="2">
        <v>44105</v>
      </c>
    </row>
    <row r="25" spans="1:30" hidden="1" x14ac:dyDescent="0.25">
      <c r="A25">
        <v>-1</v>
      </c>
      <c r="B25" t="s">
        <v>87</v>
      </c>
      <c r="C25">
        <v>2020</v>
      </c>
      <c r="D25">
        <v>10</v>
      </c>
      <c r="E25" t="s">
        <v>159</v>
      </c>
      <c r="F25" t="s">
        <v>17</v>
      </c>
      <c r="G25" t="s">
        <v>17</v>
      </c>
      <c r="H25" t="s">
        <v>149</v>
      </c>
      <c r="I25" t="s">
        <v>149</v>
      </c>
      <c r="J25" t="s">
        <v>150</v>
      </c>
      <c r="K25" t="s">
        <v>159</v>
      </c>
      <c r="L25" t="s">
        <v>151</v>
      </c>
      <c r="M25">
        <v>1000.741102027844</v>
      </c>
      <c r="N25">
        <v>2</v>
      </c>
      <c r="O25" t="s">
        <v>152</v>
      </c>
      <c r="P25" s="2">
        <v>44656.074522685187</v>
      </c>
      <c r="Q25">
        <v>11</v>
      </c>
      <c r="R25" t="s">
        <v>101</v>
      </c>
      <c r="S25">
        <v>24.312057076011119</v>
      </c>
      <c r="T25">
        <v>1987.475108400075</v>
      </c>
      <c r="U25">
        <v>4.8488720507828341E-2</v>
      </c>
      <c r="V25">
        <v>297.07143859902601</v>
      </c>
      <c r="W25" t="s">
        <v>17</v>
      </c>
      <c r="X25">
        <v>93.001749091524005</v>
      </c>
      <c r="Y25">
        <v>1.987475108400075</v>
      </c>
      <c r="Z25">
        <v>2261.0638320819971</v>
      </c>
      <c r="AA25">
        <v>369.49183905351492</v>
      </c>
      <c r="AB25">
        <v>297.07143859902601</v>
      </c>
      <c r="AC25">
        <v>369.49183905351492</v>
      </c>
      <c r="AD25" s="2">
        <v>44105</v>
      </c>
    </row>
    <row r="26" spans="1:30" hidden="1" x14ac:dyDescent="0.25">
      <c r="A26">
        <v>-1</v>
      </c>
      <c r="B26" t="s">
        <v>87</v>
      </c>
      <c r="C26">
        <v>2020</v>
      </c>
      <c r="D26">
        <v>10</v>
      </c>
      <c r="E26" t="s">
        <v>160</v>
      </c>
      <c r="F26" t="s">
        <v>17</v>
      </c>
      <c r="G26" t="s">
        <v>17</v>
      </c>
      <c r="H26" t="s">
        <v>149</v>
      </c>
      <c r="I26" t="s">
        <v>149</v>
      </c>
      <c r="J26" t="s">
        <v>150</v>
      </c>
      <c r="K26" t="s">
        <v>160</v>
      </c>
      <c r="L26" t="s">
        <v>151</v>
      </c>
      <c r="M26">
        <v>471.52982669969049</v>
      </c>
      <c r="N26">
        <v>1</v>
      </c>
      <c r="O26" t="s">
        <v>152</v>
      </c>
      <c r="P26" s="2">
        <v>44656.074522685187</v>
      </c>
      <c r="Q26">
        <v>31</v>
      </c>
      <c r="R26" t="s">
        <v>153</v>
      </c>
      <c r="S26">
        <v>4.7449552958011889</v>
      </c>
      <c r="T26">
        <v>387.16323897306501</v>
      </c>
      <c r="U26">
        <v>9.46348597491827E-3</v>
      </c>
      <c r="V26">
        <v>57.876209022306121</v>
      </c>
      <c r="W26" t="s">
        <v>17</v>
      </c>
      <c r="X26">
        <v>92.826743341373998</v>
      </c>
      <c r="Y26">
        <v>0.38716323897306498</v>
      </c>
      <c r="Z26">
        <v>440.45874740963029</v>
      </c>
      <c r="AA26">
        <v>71.985334604858352</v>
      </c>
      <c r="AB26">
        <v>57.876209022306121</v>
      </c>
      <c r="AC26">
        <v>71.985334604858352</v>
      </c>
      <c r="AD26" s="2">
        <v>44105</v>
      </c>
    </row>
    <row r="27" spans="1:30" hidden="1" x14ac:dyDescent="0.25">
      <c r="A27">
        <v>-1</v>
      </c>
      <c r="B27" t="s">
        <v>87</v>
      </c>
      <c r="C27">
        <v>2020</v>
      </c>
      <c r="D27">
        <v>10</v>
      </c>
      <c r="E27" t="s">
        <v>160</v>
      </c>
      <c r="F27" t="s">
        <v>17</v>
      </c>
      <c r="G27" t="s">
        <v>17</v>
      </c>
      <c r="H27" t="s">
        <v>149</v>
      </c>
      <c r="I27" t="s">
        <v>149</v>
      </c>
      <c r="J27" t="s">
        <v>150</v>
      </c>
      <c r="K27" t="s">
        <v>160</v>
      </c>
      <c r="L27" t="s">
        <v>151</v>
      </c>
      <c r="M27">
        <v>471.52982669969049</v>
      </c>
      <c r="N27">
        <v>1</v>
      </c>
      <c r="O27" t="s">
        <v>152</v>
      </c>
      <c r="P27" s="2">
        <v>44656.074522685187</v>
      </c>
      <c r="Q27">
        <v>13</v>
      </c>
      <c r="R27" t="s">
        <v>154</v>
      </c>
      <c r="S27">
        <v>456.32034147550172</v>
      </c>
      <c r="T27">
        <v>36572.006508933817</v>
      </c>
      <c r="U27">
        <v>0.91009943875438892</v>
      </c>
      <c r="V27">
        <v>5585.1669671694162</v>
      </c>
      <c r="W27" t="s">
        <v>17</v>
      </c>
      <c r="X27">
        <v>91.178004790214999</v>
      </c>
      <c r="Y27">
        <v>36.572006508933811</v>
      </c>
      <c r="Z27">
        <v>41606.378280925841</v>
      </c>
      <c r="AA27">
        <v>6946.72508354405</v>
      </c>
      <c r="AB27">
        <v>5585.1669671694162</v>
      </c>
      <c r="AC27">
        <v>6946.72508354405</v>
      </c>
      <c r="AD27" s="2">
        <v>44105</v>
      </c>
    </row>
    <row r="28" spans="1:30" hidden="1" x14ac:dyDescent="0.25">
      <c r="A28">
        <v>-1</v>
      </c>
      <c r="B28" t="s">
        <v>87</v>
      </c>
      <c r="C28">
        <v>2020</v>
      </c>
      <c r="D28">
        <v>10</v>
      </c>
      <c r="E28" t="s">
        <v>160</v>
      </c>
      <c r="F28" t="s">
        <v>17</v>
      </c>
      <c r="G28" t="s">
        <v>17</v>
      </c>
      <c r="H28" t="s">
        <v>149</v>
      </c>
      <c r="I28" t="s">
        <v>149</v>
      </c>
      <c r="J28" t="s">
        <v>150</v>
      </c>
      <c r="K28" t="s">
        <v>160</v>
      </c>
      <c r="L28" t="s">
        <v>151</v>
      </c>
      <c r="M28">
        <v>471.52982669969049</v>
      </c>
      <c r="N28">
        <v>1</v>
      </c>
      <c r="O28" t="s">
        <v>152</v>
      </c>
      <c r="P28" s="2">
        <v>44656.074522685187</v>
      </c>
      <c r="Q28">
        <v>5</v>
      </c>
      <c r="R28" t="s">
        <v>100</v>
      </c>
      <c r="S28">
        <v>6.3171193584980756</v>
      </c>
      <c r="T28">
        <v>493.86014010440442</v>
      </c>
      <c r="U28">
        <v>1.2599058731687591E-2</v>
      </c>
      <c r="V28">
        <v>74.237361674141837</v>
      </c>
      <c r="W28" t="s">
        <v>17</v>
      </c>
      <c r="X28">
        <v>88.939773165410998</v>
      </c>
      <c r="Y28">
        <v>0.49386014010440438</v>
      </c>
      <c r="Z28">
        <v>561.84316280364544</v>
      </c>
      <c r="AA28">
        <v>92.335026957887848</v>
      </c>
      <c r="AB28">
        <v>74.237361674141837</v>
      </c>
      <c r="AC28">
        <v>92.335026957887848</v>
      </c>
      <c r="AD28" s="2">
        <v>44105</v>
      </c>
    </row>
    <row r="29" spans="1:30" hidden="1" x14ac:dyDescent="0.25">
      <c r="A29">
        <v>-1</v>
      </c>
      <c r="B29" t="s">
        <v>87</v>
      </c>
      <c r="C29">
        <v>2020</v>
      </c>
      <c r="D29">
        <v>10</v>
      </c>
      <c r="E29" t="s">
        <v>160</v>
      </c>
      <c r="F29" t="s">
        <v>17</v>
      </c>
      <c r="G29" t="s">
        <v>17</v>
      </c>
      <c r="H29" t="s">
        <v>149</v>
      </c>
      <c r="I29" t="s">
        <v>149</v>
      </c>
      <c r="J29" t="s">
        <v>150</v>
      </c>
      <c r="K29" t="s">
        <v>160</v>
      </c>
      <c r="L29" t="s">
        <v>151</v>
      </c>
      <c r="M29">
        <v>471.52982669969049</v>
      </c>
      <c r="N29">
        <v>1</v>
      </c>
      <c r="O29" t="s">
        <v>152</v>
      </c>
      <c r="P29" s="2">
        <v>44656.074522685187</v>
      </c>
      <c r="Q29">
        <v>11</v>
      </c>
      <c r="R29" t="s">
        <v>101</v>
      </c>
      <c r="S29">
        <v>18.663890092280059</v>
      </c>
      <c r="T29">
        <v>1525.745718198496</v>
      </c>
      <c r="U29">
        <v>3.7223841135448493E-2</v>
      </c>
      <c r="V29">
        <v>228.05592559415931</v>
      </c>
      <c r="W29" t="s">
        <v>17</v>
      </c>
      <c r="X29">
        <v>93.00174909152399</v>
      </c>
      <c r="Y29">
        <v>1.525745718198495</v>
      </c>
      <c r="Z29">
        <v>1735.7744234340109</v>
      </c>
      <c r="AA29">
        <v>283.6516487489543</v>
      </c>
      <c r="AB29">
        <v>228.05592559415931</v>
      </c>
      <c r="AC29">
        <v>283.6516487489543</v>
      </c>
      <c r="AD29" s="2">
        <v>44105</v>
      </c>
    </row>
    <row r="30" spans="1:30" hidden="1" x14ac:dyDescent="0.25">
      <c r="A30">
        <v>-1</v>
      </c>
      <c r="B30" t="s">
        <v>102</v>
      </c>
      <c r="C30">
        <v>2020</v>
      </c>
      <c r="D30">
        <v>11</v>
      </c>
      <c r="E30" t="s">
        <v>148</v>
      </c>
      <c r="F30" t="s">
        <v>17</v>
      </c>
      <c r="G30" t="s">
        <v>17</v>
      </c>
      <c r="H30" t="s">
        <v>149</v>
      </c>
      <c r="I30" t="s">
        <v>149</v>
      </c>
      <c r="J30" t="s">
        <v>150</v>
      </c>
      <c r="K30" t="s">
        <v>148</v>
      </c>
      <c r="L30" t="s">
        <v>151</v>
      </c>
      <c r="M30">
        <v>1857.712916286491</v>
      </c>
      <c r="N30">
        <v>4</v>
      </c>
      <c r="O30" t="s">
        <v>152</v>
      </c>
      <c r="P30" s="2">
        <v>44656.074522685187</v>
      </c>
      <c r="Q30">
        <v>31</v>
      </c>
      <c r="R30" t="s">
        <v>153</v>
      </c>
      <c r="S30">
        <v>18.65258273745075</v>
      </c>
      <c r="T30">
        <v>1521.9520306618911</v>
      </c>
      <c r="U30">
        <v>3.6743850712991223E-2</v>
      </c>
      <c r="V30">
        <v>224.71579603813569</v>
      </c>
      <c r="W30" t="s">
        <v>17</v>
      </c>
      <c r="X30">
        <v>92.826743341374012</v>
      </c>
      <c r="Y30">
        <v>1.521952030661891</v>
      </c>
      <c r="Z30">
        <v>1731.4585104230839</v>
      </c>
      <c r="AA30">
        <v>279.4972587539001</v>
      </c>
      <c r="AB30">
        <v>224.71579603813569</v>
      </c>
      <c r="AC30">
        <v>279.4972587539001</v>
      </c>
      <c r="AD30" s="2">
        <v>44136</v>
      </c>
    </row>
    <row r="31" spans="1:30" hidden="1" x14ac:dyDescent="0.25">
      <c r="A31">
        <v>-1</v>
      </c>
      <c r="B31" t="s">
        <v>102</v>
      </c>
      <c r="C31">
        <v>2020</v>
      </c>
      <c r="D31">
        <v>11</v>
      </c>
      <c r="E31" t="s">
        <v>148</v>
      </c>
      <c r="F31" t="s">
        <v>17</v>
      </c>
      <c r="G31" t="s">
        <v>17</v>
      </c>
      <c r="H31" t="s">
        <v>149</v>
      </c>
      <c r="I31" t="s">
        <v>149</v>
      </c>
      <c r="J31" t="s">
        <v>150</v>
      </c>
      <c r="K31" t="s">
        <v>148</v>
      </c>
      <c r="L31" t="s">
        <v>151</v>
      </c>
      <c r="M31">
        <v>1857.712916286491</v>
      </c>
      <c r="N31">
        <v>4</v>
      </c>
      <c r="O31" t="s">
        <v>152</v>
      </c>
      <c r="P31" s="2">
        <v>44656.074522685187</v>
      </c>
      <c r="Q31">
        <v>13</v>
      </c>
      <c r="R31" t="s">
        <v>154</v>
      </c>
      <c r="S31">
        <v>1806.4756959572101</v>
      </c>
      <c r="T31">
        <v>144780.83685060681</v>
      </c>
      <c r="U31">
        <v>3.5585888679977171</v>
      </c>
      <c r="V31">
        <v>21838.616912543181</v>
      </c>
      <c r="W31" t="s">
        <v>17</v>
      </c>
      <c r="X31">
        <v>91.178004790214999</v>
      </c>
      <c r="Y31">
        <v>144.78083685060679</v>
      </c>
      <c r="Z31">
        <v>164710.84965939351</v>
      </c>
      <c r="AA31">
        <v>27162.458846446742</v>
      </c>
      <c r="AB31">
        <v>21838.616912543181</v>
      </c>
      <c r="AC31">
        <v>27162.458846446742</v>
      </c>
      <c r="AD31" s="2">
        <v>44136</v>
      </c>
    </row>
    <row r="32" spans="1:30" hidden="1" x14ac:dyDescent="0.25">
      <c r="A32">
        <v>-1</v>
      </c>
      <c r="B32" t="s">
        <v>102</v>
      </c>
      <c r="C32">
        <v>2020</v>
      </c>
      <c r="D32">
        <v>11</v>
      </c>
      <c r="E32" t="s">
        <v>148</v>
      </c>
      <c r="F32" t="s">
        <v>17</v>
      </c>
      <c r="G32" t="s">
        <v>17</v>
      </c>
      <c r="H32" t="s">
        <v>149</v>
      </c>
      <c r="I32" t="s">
        <v>149</v>
      </c>
      <c r="J32" t="s">
        <v>150</v>
      </c>
      <c r="K32" t="s">
        <v>148</v>
      </c>
      <c r="L32" t="s">
        <v>151</v>
      </c>
      <c r="M32">
        <v>1857.712916286491</v>
      </c>
      <c r="N32">
        <v>4</v>
      </c>
      <c r="O32" t="s">
        <v>152</v>
      </c>
      <c r="P32" s="2">
        <v>44656.074522685187</v>
      </c>
      <c r="Q32">
        <v>5</v>
      </c>
      <c r="R32" t="s">
        <v>100</v>
      </c>
      <c r="S32">
        <v>21.57511310181744</v>
      </c>
      <c r="T32">
        <v>1686.700499793189</v>
      </c>
      <c r="U32">
        <v>4.2500963329726339E-2</v>
      </c>
      <c r="V32">
        <v>250.42818304139391</v>
      </c>
      <c r="W32" t="s">
        <v>17</v>
      </c>
      <c r="X32">
        <v>88.939773165410983</v>
      </c>
      <c r="Y32">
        <v>1.686700499793188</v>
      </c>
      <c r="Z32">
        <v>1918.88566529373</v>
      </c>
      <c r="AA32">
        <v>311.47783960372379</v>
      </c>
      <c r="AB32">
        <v>250.42818304139391</v>
      </c>
      <c r="AC32">
        <v>311.47783960372379</v>
      </c>
      <c r="AD32" s="2">
        <v>44136</v>
      </c>
    </row>
    <row r="33" spans="1:30" hidden="1" x14ac:dyDescent="0.25">
      <c r="A33">
        <v>-1</v>
      </c>
      <c r="B33" t="s">
        <v>102</v>
      </c>
      <c r="C33">
        <v>2020</v>
      </c>
      <c r="D33">
        <v>11</v>
      </c>
      <c r="E33" t="s">
        <v>148</v>
      </c>
      <c r="F33" t="s">
        <v>17</v>
      </c>
      <c r="G33" t="s">
        <v>17</v>
      </c>
      <c r="H33" t="s">
        <v>149</v>
      </c>
      <c r="I33" t="s">
        <v>149</v>
      </c>
      <c r="J33" t="s">
        <v>150</v>
      </c>
      <c r="K33" t="s">
        <v>148</v>
      </c>
      <c r="L33" t="s">
        <v>151</v>
      </c>
      <c r="M33">
        <v>1857.712916286491</v>
      </c>
      <c r="N33">
        <v>4</v>
      </c>
      <c r="O33" t="s">
        <v>152</v>
      </c>
      <c r="P33" s="2">
        <v>44656.074522685187</v>
      </c>
      <c r="Q33">
        <v>11</v>
      </c>
      <c r="R33" t="s">
        <v>101</v>
      </c>
      <c r="S33">
        <v>68.200925713776471</v>
      </c>
      <c r="T33">
        <v>5575.3259299361871</v>
      </c>
      <c r="U33">
        <v>0.13434947150151591</v>
      </c>
      <c r="V33">
        <v>823.10670102195445</v>
      </c>
      <c r="W33" t="s">
        <v>17</v>
      </c>
      <c r="X33">
        <v>93.001749091523976</v>
      </c>
      <c r="Y33">
        <v>5.5753259299361861</v>
      </c>
      <c r="Z33">
        <v>6342.8053810423062</v>
      </c>
      <c r="AA33">
        <v>1023.764553509894</v>
      </c>
      <c r="AB33">
        <v>823.10670102195445</v>
      </c>
      <c r="AC33">
        <v>1023.764553509894</v>
      </c>
      <c r="AD33" s="2">
        <v>44136</v>
      </c>
    </row>
    <row r="34" spans="1:30" hidden="1" x14ac:dyDescent="0.25">
      <c r="A34">
        <v>-1</v>
      </c>
      <c r="B34" t="s">
        <v>102</v>
      </c>
      <c r="C34">
        <v>2020</v>
      </c>
      <c r="D34">
        <v>11</v>
      </c>
      <c r="E34" t="s">
        <v>155</v>
      </c>
      <c r="F34" t="s">
        <v>17</v>
      </c>
      <c r="G34" t="s">
        <v>17</v>
      </c>
      <c r="H34" t="s">
        <v>149</v>
      </c>
      <c r="I34" t="s">
        <v>149</v>
      </c>
      <c r="J34" t="s">
        <v>150</v>
      </c>
      <c r="K34" t="s">
        <v>155</v>
      </c>
      <c r="L34" t="s">
        <v>151</v>
      </c>
      <c r="M34">
        <v>1354.8262898538851</v>
      </c>
      <c r="N34">
        <v>3</v>
      </c>
      <c r="O34" t="s">
        <v>152</v>
      </c>
      <c r="P34" s="2">
        <v>44656.074522685187</v>
      </c>
      <c r="Q34">
        <v>31</v>
      </c>
      <c r="R34" t="s">
        <v>153</v>
      </c>
      <c r="S34">
        <v>12.82193282803331</v>
      </c>
      <c r="T34">
        <v>1046.2018573682351</v>
      </c>
      <c r="U34">
        <v>2.5258013451366471E-2</v>
      </c>
      <c r="V34">
        <v>154.47141464296729</v>
      </c>
      <c r="W34" t="s">
        <v>17</v>
      </c>
      <c r="X34">
        <v>92.826743341373998</v>
      </c>
      <c r="Y34">
        <v>1.046201857368235</v>
      </c>
      <c r="Z34">
        <v>1190.2182677681849</v>
      </c>
      <c r="AA34">
        <v>192.12862517782</v>
      </c>
      <c r="AB34">
        <v>154.47141464296729</v>
      </c>
      <c r="AC34">
        <v>192.12862517782</v>
      </c>
      <c r="AD34" s="2">
        <v>44136</v>
      </c>
    </row>
    <row r="35" spans="1:30" hidden="1" x14ac:dyDescent="0.25">
      <c r="A35">
        <v>-1</v>
      </c>
      <c r="B35" t="s">
        <v>102</v>
      </c>
      <c r="C35">
        <v>2020</v>
      </c>
      <c r="D35">
        <v>11</v>
      </c>
      <c r="E35" t="s">
        <v>155</v>
      </c>
      <c r="F35" t="s">
        <v>17</v>
      </c>
      <c r="G35" t="s">
        <v>17</v>
      </c>
      <c r="H35" t="s">
        <v>149</v>
      </c>
      <c r="I35" t="s">
        <v>149</v>
      </c>
      <c r="J35" t="s">
        <v>150</v>
      </c>
      <c r="K35" t="s">
        <v>155</v>
      </c>
      <c r="L35" t="s">
        <v>151</v>
      </c>
      <c r="M35">
        <v>1354.8262898538851</v>
      </c>
      <c r="N35">
        <v>3</v>
      </c>
      <c r="O35" t="s">
        <v>152</v>
      </c>
      <c r="P35" s="2">
        <v>44656.074522685187</v>
      </c>
      <c r="Q35">
        <v>13</v>
      </c>
      <c r="R35" t="s">
        <v>154</v>
      </c>
      <c r="S35">
        <v>1317.3605539836749</v>
      </c>
      <c r="T35">
        <v>105580.4757664746</v>
      </c>
      <c r="U35">
        <v>2.5950775939233321</v>
      </c>
      <c r="V35">
        <v>15925.66816067844</v>
      </c>
      <c r="W35" t="s">
        <v>17</v>
      </c>
      <c r="X35">
        <v>91.178004790214985</v>
      </c>
      <c r="Y35">
        <v>105.58047576647461</v>
      </c>
      <c r="Z35">
        <v>120114.3069015638</v>
      </c>
      <c r="AA35">
        <v>19808.044975968201</v>
      </c>
      <c r="AB35">
        <v>15925.66816067844</v>
      </c>
      <c r="AC35">
        <v>19808.044975968201</v>
      </c>
      <c r="AD35" s="2">
        <v>44136</v>
      </c>
    </row>
    <row r="36" spans="1:30" hidden="1" x14ac:dyDescent="0.25">
      <c r="A36">
        <v>-1</v>
      </c>
      <c r="B36" t="s">
        <v>102</v>
      </c>
      <c r="C36">
        <v>2020</v>
      </c>
      <c r="D36">
        <v>11</v>
      </c>
      <c r="E36" t="s">
        <v>155</v>
      </c>
      <c r="F36" t="s">
        <v>17</v>
      </c>
      <c r="G36" t="s">
        <v>17</v>
      </c>
      <c r="H36" t="s">
        <v>149</v>
      </c>
      <c r="I36" t="s">
        <v>149</v>
      </c>
      <c r="J36" t="s">
        <v>150</v>
      </c>
      <c r="K36" t="s">
        <v>155</v>
      </c>
      <c r="L36" t="s">
        <v>151</v>
      </c>
      <c r="M36">
        <v>1354.8262898538851</v>
      </c>
      <c r="N36">
        <v>3</v>
      </c>
      <c r="O36" t="s">
        <v>152</v>
      </c>
      <c r="P36" s="2">
        <v>44656.074522685187</v>
      </c>
      <c r="Q36">
        <v>5</v>
      </c>
      <c r="R36" t="s">
        <v>100</v>
      </c>
      <c r="S36">
        <v>16.222513034669781</v>
      </c>
      <c r="T36">
        <v>1268.2446073098019</v>
      </c>
      <c r="U36">
        <v>3.1956839732368687E-2</v>
      </c>
      <c r="V36">
        <v>188.29910390112681</v>
      </c>
      <c r="W36" t="s">
        <v>17</v>
      </c>
      <c r="X36">
        <v>88.939773165410998</v>
      </c>
      <c r="Y36">
        <v>1.268244607309803</v>
      </c>
      <c r="Z36">
        <v>1442.826629476453</v>
      </c>
      <c r="AA36">
        <v>234.2028655486651</v>
      </c>
      <c r="AB36">
        <v>188.29910390112681</v>
      </c>
      <c r="AC36">
        <v>234.2028655486651</v>
      </c>
      <c r="AD36" s="2">
        <v>44136</v>
      </c>
    </row>
    <row r="37" spans="1:30" hidden="1" x14ac:dyDescent="0.25">
      <c r="A37">
        <v>-1</v>
      </c>
      <c r="B37" t="s">
        <v>102</v>
      </c>
      <c r="C37">
        <v>2020</v>
      </c>
      <c r="D37">
        <v>11</v>
      </c>
      <c r="E37" t="s">
        <v>155</v>
      </c>
      <c r="F37" t="s">
        <v>17</v>
      </c>
      <c r="G37" t="s">
        <v>17</v>
      </c>
      <c r="H37" t="s">
        <v>149</v>
      </c>
      <c r="I37" t="s">
        <v>149</v>
      </c>
      <c r="J37" t="s">
        <v>150</v>
      </c>
      <c r="K37" t="s">
        <v>155</v>
      </c>
      <c r="L37" t="s">
        <v>151</v>
      </c>
      <c r="M37">
        <v>1354.8262898538851</v>
      </c>
      <c r="N37">
        <v>3</v>
      </c>
      <c r="O37" t="s">
        <v>152</v>
      </c>
      <c r="P37" s="2">
        <v>44656.074522685187</v>
      </c>
      <c r="Q37">
        <v>11</v>
      </c>
      <c r="R37" t="s">
        <v>101</v>
      </c>
      <c r="S37">
        <v>50.130863780845239</v>
      </c>
      <c r="T37">
        <v>4098.1247952619442</v>
      </c>
      <c r="U37">
        <v>9.8753132518120262E-2</v>
      </c>
      <c r="V37">
        <v>605.02184499964119</v>
      </c>
      <c r="W37" t="s">
        <v>17</v>
      </c>
      <c r="X37">
        <v>93.00174909152399</v>
      </c>
      <c r="Y37">
        <v>4.0981247952619446</v>
      </c>
      <c r="Z37">
        <v>4662.2580150875356</v>
      </c>
      <c r="AA37">
        <v>752.51473258661838</v>
      </c>
      <c r="AB37">
        <v>605.02184499964119</v>
      </c>
      <c r="AC37">
        <v>752.51473258661838</v>
      </c>
      <c r="AD37" s="2">
        <v>44136</v>
      </c>
    </row>
    <row r="38" spans="1:30" hidden="1" x14ac:dyDescent="0.25">
      <c r="A38">
        <v>-1</v>
      </c>
      <c r="B38" t="s">
        <v>102</v>
      </c>
      <c r="C38">
        <v>2020</v>
      </c>
      <c r="D38">
        <v>11</v>
      </c>
      <c r="E38" t="s">
        <v>156</v>
      </c>
      <c r="F38" t="s">
        <v>17</v>
      </c>
      <c r="G38" t="s">
        <v>17</v>
      </c>
      <c r="H38" t="s">
        <v>149</v>
      </c>
      <c r="I38" t="s">
        <v>149</v>
      </c>
      <c r="J38" t="s">
        <v>150</v>
      </c>
      <c r="K38" t="s">
        <v>156</v>
      </c>
      <c r="L38" t="s">
        <v>151</v>
      </c>
      <c r="M38">
        <v>351.82166624136403</v>
      </c>
      <c r="N38">
        <v>1</v>
      </c>
      <c r="O38" t="s">
        <v>152</v>
      </c>
      <c r="P38" s="2">
        <v>44656.074522685187</v>
      </c>
      <c r="Q38">
        <v>31</v>
      </c>
      <c r="R38" t="s">
        <v>153</v>
      </c>
      <c r="S38">
        <v>2.594135292617711</v>
      </c>
      <c r="T38">
        <v>211.6677101495489</v>
      </c>
      <c r="U38">
        <v>5.1102049117233497E-3</v>
      </c>
      <c r="V38">
        <v>31.252678812182658</v>
      </c>
      <c r="W38" t="s">
        <v>17</v>
      </c>
      <c r="X38">
        <v>92.826743341373984</v>
      </c>
      <c r="Y38">
        <v>0.21166771014954891</v>
      </c>
      <c r="Z38">
        <v>240.80513100062441</v>
      </c>
      <c r="AA38">
        <v>38.87149105992868</v>
      </c>
      <c r="AB38">
        <v>31.252678812182658</v>
      </c>
      <c r="AC38">
        <v>38.87149105992868</v>
      </c>
      <c r="AD38" s="2">
        <v>44136</v>
      </c>
    </row>
    <row r="39" spans="1:30" hidden="1" x14ac:dyDescent="0.25">
      <c r="A39">
        <v>-1</v>
      </c>
      <c r="B39" t="s">
        <v>102</v>
      </c>
      <c r="C39">
        <v>2020</v>
      </c>
      <c r="D39">
        <v>11</v>
      </c>
      <c r="E39" t="s">
        <v>156</v>
      </c>
      <c r="F39" t="s">
        <v>17</v>
      </c>
      <c r="G39" t="s">
        <v>17</v>
      </c>
      <c r="H39" t="s">
        <v>149</v>
      </c>
      <c r="I39" t="s">
        <v>149</v>
      </c>
      <c r="J39" t="s">
        <v>150</v>
      </c>
      <c r="K39" t="s">
        <v>156</v>
      </c>
      <c r="L39" t="s">
        <v>151</v>
      </c>
      <c r="M39">
        <v>351.82166624136403</v>
      </c>
      <c r="N39">
        <v>1</v>
      </c>
      <c r="O39" t="s">
        <v>152</v>
      </c>
      <c r="P39" s="2">
        <v>44656.074522685187</v>
      </c>
      <c r="Q39">
        <v>13</v>
      </c>
      <c r="R39" t="s">
        <v>154</v>
      </c>
      <c r="S39">
        <v>342.12237085938938</v>
      </c>
      <c r="T39">
        <v>27419.556913601209</v>
      </c>
      <c r="U39">
        <v>0.67394920571466588</v>
      </c>
      <c r="V39">
        <v>4135.9423828009312</v>
      </c>
      <c r="W39" t="s">
        <v>17</v>
      </c>
      <c r="X39">
        <v>91.178004790214999</v>
      </c>
      <c r="Y39">
        <v>27.419556913601209</v>
      </c>
      <c r="Z39">
        <v>31194.035169057119</v>
      </c>
      <c r="AA39">
        <v>5144.206943782252</v>
      </c>
      <c r="AB39">
        <v>4135.9423828009312</v>
      </c>
      <c r="AC39">
        <v>5144.206943782252</v>
      </c>
      <c r="AD39" s="2">
        <v>44136</v>
      </c>
    </row>
    <row r="40" spans="1:30" hidden="1" x14ac:dyDescent="0.25">
      <c r="A40">
        <v>-1</v>
      </c>
      <c r="B40" t="s">
        <v>102</v>
      </c>
      <c r="C40">
        <v>2020</v>
      </c>
      <c r="D40">
        <v>11</v>
      </c>
      <c r="E40" t="s">
        <v>156</v>
      </c>
      <c r="F40" t="s">
        <v>17</v>
      </c>
      <c r="G40" t="s">
        <v>17</v>
      </c>
      <c r="H40" t="s">
        <v>149</v>
      </c>
      <c r="I40" t="s">
        <v>149</v>
      </c>
      <c r="J40" t="s">
        <v>150</v>
      </c>
      <c r="K40" t="s">
        <v>156</v>
      </c>
      <c r="L40" t="s">
        <v>151</v>
      </c>
      <c r="M40">
        <v>351.82166624136403</v>
      </c>
      <c r="N40">
        <v>1</v>
      </c>
      <c r="O40" t="s">
        <v>152</v>
      </c>
      <c r="P40" s="2">
        <v>44656.074522685187</v>
      </c>
      <c r="Q40">
        <v>5</v>
      </c>
      <c r="R40" t="s">
        <v>100</v>
      </c>
      <c r="S40">
        <v>4.486822848889088</v>
      </c>
      <c r="T40">
        <v>350.77110863753558</v>
      </c>
      <c r="U40">
        <v>8.8386231148679245E-3</v>
      </c>
      <c r="V40">
        <v>52.079768405999857</v>
      </c>
      <c r="W40" t="s">
        <v>17</v>
      </c>
      <c r="X40">
        <v>88.939773165411012</v>
      </c>
      <c r="Y40">
        <v>0.35077110863753558</v>
      </c>
      <c r="Z40">
        <v>399.05700641357862</v>
      </c>
      <c r="AA40">
        <v>64.775831350746088</v>
      </c>
      <c r="AB40">
        <v>52.079768405999857</v>
      </c>
      <c r="AC40">
        <v>64.775831350746088</v>
      </c>
      <c r="AD40" s="2">
        <v>44136</v>
      </c>
    </row>
    <row r="41" spans="1:30" hidden="1" x14ac:dyDescent="0.25">
      <c r="A41">
        <v>-1</v>
      </c>
      <c r="B41" t="s">
        <v>102</v>
      </c>
      <c r="C41">
        <v>2020</v>
      </c>
      <c r="D41">
        <v>11</v>
      </c>
      <c r="E41" t="s">
        <v>156</v>
      </c>
      <c r="F41" t="s">
        <v>17</v>
      </c>
      <c r="G41" t="s">
        <v>17</v>
      </c>
      <c r="H41" t="s">
        <v>149</v>
      </c>
      <c r="I41" t="s">
        <v>149</v>
      </c>
      <c r="J41" t="s">
        <v>150</v>
      </c>
      <c r="K41" t="s">
        <v>156</v>
      </c>
      <c r="L41" t="s">
        <v>151</v>
      </c>
      <c r="M41">
        <v>351.82166624136403</v>
      </c>
      <c r="N41">
        <v>1</v>
      </c>
      <c r="O41" t="s">
        <v>152</v>
      </c>
      <c r="P41" s="2">
        <v>44656.074522685187</v>
      </c>
      <c r="Q41">
        <v>11</v>
      </c>
      <c r="R41" t="s">
        <v>101</v>
      </c>
      <c r="S41">
        <v>13.449490911641259</v>
      </c>
      <c r="T41">
        <v>1099.476211493236</v>
      </c>
      <c r="U41">
        <v>2.649424442604666E-2</v>
      </c>
      <c r="V41">
        <v>162.31988024862841</v>
      </c>
      <c r="W41" t="s">
        <v>17</v>
      </c>
      <c r="X41">
        <v>93.001749091523976</v>
      </c>
      <c r="Y41">
        <v>1.0994762114932359</v>
      </c>
      <c r="Z41">
        <v>1250.8261791731929</v>
      </c>
      <c r="AA41">
        <v>201.8903983191895</v>
      </c>
      <c r="AB41">
        <v>162.31988024862841</v>
      </c>
      <c r="AC41">
        <v>201.8903983191895</v>
      </c>
      <c r="AD41" s="2">
        <v>44136</v>
      </c>
    </row>
    <row r="42" spans="1:30" hidden="1" x14ac:dyDescent="0.25">
      <c r="A42">
        <v>-1</v>
      </c>
      <c r="B42" t="s">
        <v>102</v>
      </c>
      <c r="C42">
        <v>2020</v>
      </c>
      <c r="D42">
        <v>11</v>
      </c>
      <c r="E42" t="s">
        <v>157</v>
      </c>
      <c r="F42" t="s">
        <v>17</v>
      </c>
      <c r="G42" t="s">
        <v>17</v>
      </c>
      <c r="H42" t="s">
        <v>149</v>
      </c>
      <c r="I42" t="s">
        <v>149</v>
      </c>
      <c r="J42" t="s">
        <v>150</v>
      </c>
      <c r="K42" t="s">
        <v>157</v>
      </c>
      <c r="L42" t="s">
        <v>151</v>
      </c>
      <c r="M42">
        <v>137.23035395602369</v>
      </c>
      <c r="N42">
        <v>0</v>
      </c>
      <c r="O42" t="s">
        <v>152</v>
      </c>
      <c r="P42" s="2">
        <v>44656.074522685187</v>
      </c>
      <c r="Q42">
        <v>31</v>
      </c>
      <c r="R42" t="s">
        <v>153</v>
      </c>
      <c r="S42">
        <v>2.4099674280309311</v>
      </c>
      <c r="T42">
        <v>196.64058712664769</v>
      </c>
      <c r="U42">
        <v>4.7474113716673566E-3</v>
      </c>
      <c r="V42">
        <v>29.033928257485041</v>
      </c>
      <c r="W42" t="s">
        <v>17</v>
      </c>
      <c r="X42">
        <v>92.826743341373998</v>
      </c>
      <c r="Y42">
        <v>0.1966405871266477</v>
      </c>
      <c r="Z42">
        <v>223.7094279028984</v>
      </c>
      <c r="AA42">
        <v>36.111851066523677</v>
      </c>
      <c r="AB42">
        <v>29.033928257485041</v>
      </c>
      <c r="AC42">
        <v>36.111851066523677</v>
      </c>
      <c r="AD42" s="2">
        <v>44136</v>
      </c>
    </row>
    <row r="43" spans="1:30" hidden="1" x14ac:dyDescent="0.25">
      <c r="A43">
        <v>-1</v>
      </c>
      <c r="B43" t="s">
        <v>102</v>
      </c>
      <c r="C43">
        <v>2020</v>
      </c>
      <c r="D43">
        <v>11</v>
      </c>
      <c r="E43" t="s">
        <v>157</v>
      </c>
      <c r="F43" t="s">
        <v>17</v>
      </c>
      <c r="G43" t="s">
        <v>17</v>
      </c>
      <c r="H43" t="s">
        <v>149</v>
      </c>
      <c r="I43" t="s">
        <v>149</v>
      </c>
      <c r="J43" t="s">
        <v>150</v>
      </c>
      <c r="K43" t="s">
        <v>157</v>
      </c>
      <c r="L43" t="s">
        <v>151</v>
      </c>
      <c r="M43">
        <v>137.23035395602369</v>
      </c>
      <c r="N43">
        <v>0</v>
      </c>
      <c r="O43" t="s">
        <v>152</v>
      </c>
      <c r="P43" s="2">
        <v>44656.074522685187</v>
      </c>
      <c r="Q43">
        <v>13</v>
      </c>
      <c r="R43" t="s">
        <v>154</v>
      </c>
      <c r="S43">
        <v>130.00427169338991</v>
      </c>
      <c r="T43">
        <v>10419.25296423611</v>
      </c>
      <c r="U43">
        <v>0.25609630678984052</v>
      </c>
      <c r="V43">
        <v>1571.6311561012969</v>
      </c>
      <c r="W43" t="s">
        <v>17</v>
      </c>
      <c r="X43">
        <v>91.178004790214985</v>
      </c>
      <c r="Y43">
        <v>10.41925296423611</v>
      </c>
      <c r="Z43">
        <v>11853.53010720832</v>
      </c>
      <c r="AA43">
        <v>1954.7651195289759</v>
      </c>
      <c r="AB43">
        <v>1571.6311561012969</v>
      </c>
      <c r="AC43">
        <v>1954.7651195289759</v>
      </c>
      <c r="AD43" s="2">
        <v>44136</v>
      </c>
    </row>
    <row r="44" spans="1:30" hidden="1" x14ac:dyDescent="0.25">
      <c r="A44">
        <v>-1</v>
      </c>
      <c r="B44" t="s">
        <v>102</v>
      </c>
      <c r="C44">
        <v>2020</v>
      </c>
      <c r="D44">
        <v>11</v>
      </c>
      <c r="E44" t="s">
        <v>157</v>
      </c>
      <c r="F44" t="s">
        <v>17</v>
      </c>
      <c r="G44" t="s">
        <v>17</v>
      </c>
      <c r="H44" t="s">
        <v>149</v>
      </c>
      <c r="I44" t="s">
        <v>149</v>
      </c>
      <c r="J44" t="s">
        <v>150</v>
      </c>
      <c r="K44" t="s">
        <v>157</v>
      </c>
      <c r="L44" t="s">
        <v>151</v>
      </c>
      <c r="M44">
        <v>137.23035395602369</v>
      </c>
      <c r="N44">
        <v>0</v>
      </c>
      <c r="O44" t="s">
        <v>152</v>
      </c>
      <c r="P44" s="2">
        <v>44656.074522685187</v>
      </c>
      <c r="Q44">
        <v>5</v>
      </c>
      <c r="R44" t="s">
        <v>100</v>
      </c>
      <c r="S44">
        <v>2.2201438103063111</v>
      </c>
      <c r="T44">
        <v>173.56653737036319</v>
      </c>
      <c r="U44">
        <v>4.3734765247000684E-3</v>
      </c>
      <c r="V44">
        <v>25.769810701885579</v>
      </c>
      <c r="W44" t="s">
        <v>17</v>
      </c>
      <c r="X44">
        <v>88.939773165410998</v>
      </c>
      <c r="Y44">
        <v>0.17356653737036321</v>
      </c>
      <c r="Z44">
        <v>197.45908688323459</v>
      </c>
      <c r="AA44">
        <v>32.052003360554203</v>
      </c>
      <c r="AB44">
        <v>25.769810701885579</v>
      </c>
      <c r="AC44">
        <v>32.052003360554203</v>
      </c>
      <c r="AD44" s="2">
        <v>44136</v>
      </c>
    </row>
    <row r="45" spans="1:30" hidden="1" x14ac:dyDescent="0.25">
      <c r="A45">
        <v>-1</v>
      </c>
      <c r="B45" t="s">
        <v>102</v>
      </c>
      <c r="C45">
        <v>2020</v>
      </c>
      <c r="D45">
        <v>11</v>
      </c>
      <c r="E45" t="s">
        <v>157</v>
      </c>
      <c r="F45" t="s">
        <v>17</v>
      </c>
      <c r="G45" t="s">
        <v>17</v>
      </c>
      <c r="H45" t="s">
        <v>149</v>
      </c>
      <c r="I45" t="s">
        <v>149</v>
      </c>
      <c r="J45" t="s">
        <v>150</v>
      </c>
      <c r="K45" t="s">
        <v>157</v>
      </c>
      <c r="L45" t="s">
        <v>151</v>
      </c>
      <c r="M45">
        <v>137.23035395602369</v>
      </c>
      <c r="N45">
        <v>0</v>
      </c>
      <c r="O45" t="s">
        <v>152</v>
      </c>
      <c r="P45" s="2">
        <v>44656.074522685187</v>
      </c>
      <c r="Q45">
        <v>11</v>
      </c>
      <c r="R45" t="s">
        <v>101</v>
      </c>
      <c r="S45">
        <v>6.8207337227583498</v>
      </c>
      <c r="T45">
        <v>557.58500618127607</v>
      </c>
      <c r="U45">
        <v>1.343621015865548E-2</v>
      </c>
      <c r="V45">
        <v>82.31840806164837</v>
      </c>
      <c r="W45" t="s">
        <v>17</v>
      </c>
      <c r="X45">
        <v>93.00174909152399</v>
      </c>
      <c r="Y45">
        <v>0.55758500618127604</v>
      </c>
      <c r="Z45">
        <v>634.34016630406836</v>
      </c>
      <c r="AA45">
        <v>102.3860796786671</v>
      </c>
      <c r="AB45">
        <v>82.31840806164837</v>
      </c>
      <c r="AC45">
        <v>102.3860796786671</v>
      </c>
      <c r="AD45" s="2">
        <v>44136</v>
      </c>
    </row>
    <row r="46" spans="1:30" hidden="1" x14ac:dyDescent="0.25">
      <c r="A46">
        <v>-1</v>
      </c>
      <c r="B46" t="s">
        <v>102</v>
      </c>
      <c r="C46">
        <v>2020</v>
      </c>
      <c r="D46">
        <v>11</v>
      </c>
      <c r="E46" t="s">
        <v>158</v>
      </c>
      <c r="F46" t="s">
        <v>17</v>
      </c>
      <c r="G46" t="s">
        <v>17</v>
      </c>
      <c r="H46" t="s">
        <v>149</v>
      </c>
      <c r="I46" t="s">
        <v>149</v>
      </c>
      <c r="J46" t="s">
        <v>150</v>
      </c>
      <c r="K46" t="s">
        <v>158</v>
      </c>
      <c r="L46" t="s">
        <v>151</v>
      </c>
      <c r="M46">
        <v>364.41799316214588</v>
      </c>
      <c r="N46">
        <v>1</v>
      </c>
      <c r="O46" t="s">
        <v>152</v>
      </c>
      <c r="P46" s="2">
        <v>44656.074522685187</v>
      </c>
      <c r="Q46">
        <v>31</v>
      </c>
      <c r="R46" t="s">
        <v>153</v>
      </c>
      <c r="S46">
        <v>3.4820277006122748</v>
      </c>
      <c r="T46">
        <v>284.11503137994322</v>
      </c>
      <c r="U46">
        <v>6.8592702582100174E-3</v>
      </c>
      <c r="V46">
        <v>41.949505737823962</v>
      </c>
      <c r="W46" t="s">
        <v>17</v>
      </c>
      <c r="X46">
        <v>92.826743341374012</v>
      </c>
      <c r="Y46">
        <v>0.28411503137994321</v>
      </c>
      <c r="Z46">
        <v>323.22529167229033</v>
      </c>
      <c r="AA46">
        <v>52.176002161472582</v>
      </c>
      <c r="AB46">
        <v>41.949505737823962</v>
      </c>
      <c r="AC46">
        <v>52.176002161472582</v>
      </c>
      <c r="AD46" s="2">
        <v>44136</v>
      </c>
    </row>
    <row r="47" spans="1:30" hidden="1" x14ac:dyDescent="0.25">
      <c r="A47">
        <v>-1</v>
      </c>
      <c r="B47" t="s">
        <v>102</v>
      </c>
      <c r="C47">
        <v>2020</v>
      </c>
      <c r="D47">
        <v>11</v>
      </c>
      <c r="E47" t="s">
        <v>158</v>
      </c>
      <c r="F47" t="s">
        <v>17</v>
      </c>
      <c r="G47" t="s">
        <v>17</v>
      </c>
      <c r="H47" t="s">
        <v>149</v>
      </c>
      <c r="I47" t="s">
        <v>149</v>
      </c>
      <c r="J47" t="s">
        <v>150</v>
      </c>
      <c r="K47" t="s">
        <v>158</v>
      </c>
      <c r="L47" t="s">
        <v>151</v>
      </c>
      <c r="M47">
        <v>364.41799316214588</v>
      </c>
      <c r="N47">
        <v>1</v>
      </c>
      <c r="O47" t="s">
        <v>152</v>
      </c>
      <c r="P47" s="2">
        <v>44656.074522685187</v>
      </c>
      <c r="Q47">
        <v>13</v>
      </c>
      <c r="R47" t="s">
        <v>154</v>
      </c>
      <c r="S47">
        <v>354.27904969322088</v>
      </c>
      <c r="T47">
        <v>28393.859606311151</v>
      </c>
      <c r="U47">
        <v>0.69789673075843539</v>
      </c>
      <c r="V47">
        <v>4282.9053630253584</v>
      </c>
      <c r="W47" t="s">
        <v>17</v>
      </c>
      <c r="X47">
        <v>91.178004790214999</v>
      </c>
      <c r="Y47">
        <v>28.39385960631115</v>
      </c>
      <c r="Z47">
        <v>32302.456890001311</v>
      </c>
      <c r="AA47">
        <v>5326.996720180794</v>
      </c>
      <c r="AB47">
        <v>4282.9053630253584</v>
      </c>
      <c r="AC47">
        <v>5326.996720180794</v>
      </c>
      <c r="AD47" s="2">
        <v>44136</v>
      </c>
    </row>
    <row r="48" spans="1:30" hidden="1" x14ac:dyDescent="0.25">
      <c r="A48">
        <v>-1</v>
      </c>
      <c r="B48" t="s">
        <v>102</v>
      </c>
      <c r="C48">
        <v>2020</v>
      </c>
      <c r="D48">
        <v>11</v>
      </c>
      <c r="E48" t="s">
        <v>158</v>
      </c>
      <c r="F48" t="s">
        <v>17</v>
      </c>
      <c r="G48" t="s">
        <v>17</v>
      </c>
      <c r="H48" t="s">
        <v>149</v>
      </c>
      <c r="I48" t="s">
        <v>149</v>
      </c>
      <c r="J48" t="s">
        <v>150</v>
      </c>
      <c r="K48" t="s">
        <v>158</v>
      </c>
      <c r="L48" t="s">
        <v>151</v>
      </c>
      <c r="M48">
        <v>364.41799316214588</v>
      </c>
      <c r="N48">
        <v>1</v>
      </c>
      <c r="O48" t="s">
        <v>152</v>
      </c>
      <c r="P48" s="2">
        <v>44656.074522685187</v>
      </c>
      <c r="Q48">
        <v>5</v>
      </c>
      <c r="R48" t="s">
        <v>100</v>
      </c>
      <c r="S48">
        <v>4.6549788107882364</v>
      </c>
      <c r="T48">
        <v>363.91721561922299</v>
      </c>
      <c r="U48">
        <v>9.1698746979592075E-3</v>
      </c>
      <c r="V48">
        <v>54.03160021365948</v>
      </c>
      <c r="W48" t="s">
        <v>17</v>
      </c>
      <c r="X48">
        <v>88.939773165410983</v>
      </c>
      <c r="Y48">
        <v>0.36391721561922302</v>
      </c>
      <c r="Z48">
        <v>414.01275952130032</v>
      </c>
      <c r="AA48">
        <v>67.203482852810296</v>
      </c>
      <c r="AB48">
        <v>54.03160021365948</v>
      </c>
      <c r="AC48">
        <v>67.203482852810296</v>
      </c>
      <c r="AD48" s="2">
        <v>44136</v>
      </c>
    </row>
    <row r="49" spans="1:30" hidden="1" x14ac:dyDescent="0.25">
      <c r="A49">
        <v>-1</v>
      </c>
      <c r="B49" t="s">
        <v>102</v>
      </c>
      <c r="C49">
        <v>2020</v>
      </c>
      <c r="D49">
        <v>11</v>
      </c>
      <c r="E49" t="s">
        <v>158</v>
      </c>
      <c r="F49" t="s">
        <v>17</v>
      </c>
      <c r="G49" t="s">
        <v>17</v>
      </c>
      <c r="H49" t="s">
        <v>149</v>
      </c>
      <c r="I49" t="s">
        <v>149</v>
      </c>
      <c r="J49" t="s">
        <v>150</v>
      </c>
      <c r="K49" t="s">
        <v>158</v>
      </c>
      <c r="L49" t="s">
        <v>151</v>
      </c>
      <c r="M49">
        <v>364.41799316214588</v>
      </c>
      <c r="N49">
        <v>1</v>
      </c>
      <c r="O49" t="s">
        <v>152</v>
      </c>
      <c r="P49" s="2">
        <v>44656.074522685187</v>
      </c>
      <c r="Q49">
        <v>11</v>
      </c>
      <c r="R49" t="s">
        <v>101</v>
      </c>
      <c r="S49">
        <v>13.22088014157482</v>
      </c>
      <c r="T49">
        <v>1080.7876153946561</v>
      </c>
      <c r="U49">
        <v>2.6043902501556089E-2</v>
      </c>
      <c r="V49">
        <v>159.56081129467921</v>
      </c>
      <c r="W49" t="s">
        <v>17</v>
      </c>
      <c r="X49">
        <v>93.001749091524005</v>
      </c>
      <c r="Y49">
        <v>1.0807876153946561</v>
      </c>
      <c r="Z49">
        <v>1229.5649776958539</v>
      </c>
      <c r="AA49">
        <v>198.45872051577021</v>
      </c>
      <c r="AB49">
        <v>159.56081129467921</v>
      </c>
      <c r="AC49">
        <v>198.45872051577021</v>
      </c>
      <c r="AD49" s="2">
        <v>44136</v>
      </c>
    </row>
    <row r="50" spans="1:30" hidden="1" x14ac:dyDescent="0.25">
      <c r="A50">
        <v>-1</v>
      </c>
      <c r="B50" t="s">
        <v>102</v>
      </c>
      <c r="C50">
        <v>2020</v>
      </c>
      <c r="D50">
        <v>11</v>
      </c>
      <c r="E50" t="s">
        <v>159</v>
      </c>
      <c r="F50" t="s">
        <v>17</v>
      </c>
      <c r="G50" t="s">
        <v>17</v>
      </c>
      <c r="H50" t="s">
        <v>149</v>
      </c>
      <c r="I50" t="s">
        <v>149</v>
      </c>
      <c r="J50" t="s">
        <v>150</v>
      </c>
      <c r="K50" t="s">
        <v>159</v>
      </c>
      <c r="L50" t="s">
        <v>151</v>
      </c>
      <c r="M50">
        <v>998.09985246663177</v>
      </c>
      <c r="N50">
        <v>2</v>
      </c>
      <c r="O50" t="s">
        <v>152</v>
      </c>
      <c r="P50" s="2">
        <v>44656.074522685187</v>
      </c>
      <c r="Q50">
        <v>31</v>
      </c>
      <c r="R50" t="s">
        <v>153</v>
      </c>
      <c r="S50">
        <v>5.9232599162408954</v>
      </c>
      <c r="T50">
        <v>483.30665970245582</v>
      </c>
      <c r="U50">
        <v>1.1668270349478991E-2</v>
      </c>
      <c r="V50">
        <v>71.360094521728854</v>
      </c>
      <c r="W50" t="s">
        <v>17</v>
      </c>
      <c r="X50">
        <v>92.826743341373998</v>
      </c>
      <c r="Y50">
        <v>0.48330665970245579</v>
      </c>
      <c r="Z50">
        <v>549.83692798914194</v>
      </c>
      <c r="AA50">
        <v>88.756336469811998</v>
      </c>
      <c r="AB50">
        <v>71.360094521728854</v>
      </c>
      <c r="AC50">
        <v>88.756336469811998</v>
      </c>
      <c r="AD50" s="2">
        <v>44136</v>
      </c>
    </row>
    <row r="51" spans="1:30" hidden="1" x14ac:dyDescent="0.25">
      <c r="A51">
        <v>-1</v>
      </c>
      <c r="B51" t="s">
        <v>102</v>
      </c>
      <c r="C51">
        <v>2020</v>
      </c>
      <c r="D51">
        <v>11</v>
      </c>
      <c r="E51" t="s">
        <v>159</v>
      </c>
      <c r="F51" t="s">
        <v>17</v>
      </c>
      <c r="G51" t="s">
        <v>17</v>
      </c>
      <c r="H51" t="s">
        <v>149</v>
      </c>
      <c r="I51" t="s">
        <v>149</v>
      </c>
      <c r="J51" t="s">
        <v>150</v>
      </c>
      <c r="K51" t="s">
        <v>159</v>
      </c>
      <c r="L51" t="s">
        <v>151</v>
      </c>
      <c r="M51">
        <v>998.09985246663177</v>
      </c>
      <c r="N51">
        <v>2</v>
      </c>
      <c r="O51" t="s">
        <v>152</v>
      </c>
      <c r="P51" s="2">
        <v>44656.074522685187</v>
      </c>
      <c r="Q51">
        <v>13</v>
      </c>
      <c r="R51" t="s">
        <v>154</v>
      </c>
      <c r="S51">
        <v>990.99618598140842</v>
      </c>
      <c r="T51">
        <v>79423.851338405439</v>
      </c>
      <c r="U51">
        <v>1.952170186155203</v>
      </c>
      <c r="V51">
        <v>11980.225427816669</v>
      </c>
      <c r="W51" t="s">
        <v>17</v>
      </c>
      <c r="X51">
        <v>91.178004790214999</v>
      </c>
      <c r="Y51">
        <v>79.423851338405441</v>
      </c>
      <c r="Z51">
        <v>90357.054992497651</v>
      </c>
      <c r="AA51">
        <v>14900.777895294361</v>
      </c>
      <c r="AB51">
        <v>11980.225427816669</v>
      </c>
      <c r="AC51">
        <v>14900.777895294361</v>
      </c>
      <c r="AD51" s="2">
        <v>44136</v>
      </c>
    </row>
    <row r="52" spans="1:30" hidden="1" x14ac:dyDescent="0.25">
      <c r="A52">
        <v>-1</v>
      </c>
      <c r="B52" t="s">
        <v>102</v>
      </c>
      <c r="C52">
        <v>2020</v>
      </c>
      <c r="D52">
        <v>11</v>
      </c>
      <c r="E52" t="s">
        <v>159</v>
      </c>
      <c r="F52" t="s">
        <v>17</v>
      </c>
      <c r="G52" t="s">
        <v>17</v>
      </c>
      <c r="H52" t="s">
        <v>149</v>
      </c>
      <c r="I52" t="s">
        <v>149</v>
      </c>
      <c r="J52" t="s">
        <v>150</v>
      </c>
      <c r="K52" t="s">
        <v>159</v>
      </c>
      <c r="L52" t="s">
        <v>151</v>
      </c>
      <c r="M52">
        <v>998.09985246663177</v>
      </c>
      <c r="N52">
        <v>2</v>
      </c>
      <c r="O52" t="s">
        <v>152</v>
      </c>
      <c r="P52" s="2">
        <v>44656.074522685187</v>
      </c>
      <c r="Q52">
        <v>5</v>
      </c>
      <c r="R52" t="s">
        <v>100</v>
      </c>
      <c r="S52">
        <v>7.6599383590658592</v>
      </c>
      <c r="T52">
        <v>598.83912532226998</v>
      </c>
      <c r="U52">
        <v>1.508936512964088E-2</v>
      </c>
      <c r="V52">
        <v>88.910979813512512</v>
      </c>
      <c r="W52" t="s">
        <v>17</v>
      </c>
      <c r="X52">
        <v>88.939773165410998</v>
      </c>
      <c r="Y52">
        <v>0.59883912532227002</v>
      </c>
      <c r="Z52">
        <v>681.27318011634804</v>
      </c>
      <c r="AA52">
        <v>110.5857957879509</v>
      </c>
      <c r="AB52">
        <v>88.910979813512512</v>
      </c>
      <c r="AC52">
        <v>110.5857957879509</v>
      </c>
      <c r="AD52" s="2">
        <v>44136</v>
      </c>
    </row>
    <row r="53" spans="1:30" hidden="1" x14ac:dyDescent="0.25">
      <c r="A53">
        <v>-1</v>
      </c>
      <c r="B53" t="s">
        <v>102</v>
      </c>
      <c r="C53">
        <v>2020</v>
      </c>
      <c r="D53">
        <v>11</v>
      </c>
      <c r="E53" t="s">
        <v>159</v>
      </c>
      <c r="F53" t="s">
        <v>17</v>
      </c>
      <c r="G53" t="s">
        <v>17</v>
      </c>
      <c r="H53" t="s">
        <v>149</v>
      </c>
      <c r="I53" t="s">
        <v>149</v>
      </c>
      <c r="J53" t="s">
        <v>150</v>
      </c>
      <c r="K53" t="s">
        <v>159</v>
      </c>
      <c r="L53" t="s">
        <v>151</v>
      </c>
      <c r="M53">
        <v>998.09985246663177</v>
      </c>
      <c r="N53">
        <v>2</v>
      </c>
      <c r="O53" t="s">
        <v>152</v>
      </c>
      <c r="P53" s="2">
        <v>44656.074522685187</v>
      </c>
      <c r="Q53">
        <v>11</v>
      </c>
      <c r="R53" t="s">
        <v>101</v>
      </c>
      <c r="S53">
        <v>24.247890419965859</v>
      </c>
      <c r="T53">
        <v>1982.229578115225</v>
      </c>
      <c r="U53">
        <v>4.7766085707118718E-2</v>
      </c>
      <c r="V53">
        <v>292.64413761891723</v>
      </c>
      <c r="W53" t="s">
        <v>17</v>
      </c>
      <c r="X53">
        <v>93.00174909152399</v>
      </c>
      <c r="Y53">
        <v>1.982229578115225</v>
      </c>
      <c r="Z53">
        <v>2255.096220836434</v>
      </c>
      <c r="AA53">
        <v>363.98524579467318</v>
      </c>
      <c r="AB53">
        <v>292.64413761891723</v>
      </c>
      <c r="AC53">
        <v>363.98524579467318</v>
      </c>
      <c r="AD53" s="2">
        <v>44136</v>
      </c>
    </row>
    <row r="54" spans="1:30" hidden="1" x14ac:dyDescent="0.25">
      <c r="A54">
        <v>-1</v>
      </c>
      <c r="B54" t="s">
        <v>102</v>
      </c>
      <c r="C54">
        <v>2020</v>
      </c>
      <c r="D54">
        <v>11</v>
      </c>
      <c r="E54" t="s">
        <v>160</v>
      </c>
      <c r="F54" t="s">
        <v>17</v>
      </c>
      <c r="G54" t="s">
        <v>17</v>
      </c>
      <c r="H54" t="s">
        <v>149</v>
      </c>
      <c r="I54" t="s">
        <v>149</v>
      </c>
      <c r="J54" t="s">
        <v>150</v>
      </c>
      <c r="K54" t="s">
        <v>160</v>
      </c>
      <c r="L54" t="s">
        <v>151</v>
      </c>
      <c r="M54">
        <v>478.61714221029121</v>
      </c>
      <c r="N54">
        <v>1</v>
      </c>
      <c r="O54" t="s">
        <v>152</v>
      </c>
      <c r="P54" s="2">
        <v>44656.074522685187</v>
      </c>
      <c r="Q54">
        <v>31</v>
      </c>
      <c r="R54" t="s">
        <v>153</v>
      </c>
      <c r="S54">
        <v>4.8162742100264317</v>
      </c>
      <c r="T54">
        <v>392.98248491115032</v>
      </c>
      <c r="U54">
        <v>9.4876116115932153E-3</v>
      </c>
      <c r="V54">
        <v>58.023755116282061</v>
      </c>
      <c r="W54" t="s">
        <v>17</v>
      </c>
      <c r="X54">
        <v>92.826743341373998</v>
      </c>
      <c r="Y54">
        <v>0.39298248491115029</v>
      </c>
      <c r="Z54">
        <v>447.07904995580242</v>
      </c>
      <c r="AA54">
        <v>72.168849647116986</v>
      </c>
      <c r="AB54">
        <v>58.023755116282061</v>
      </c>
      <c r="AC54">
        <v>72.168849647116986</v>
      </c>
      <c r="AD54" s="2">
        <v>44136</v>
      </c>
    </row>
    <row r="55" spans="1:30" hidden="1" x14ac:dyDescent="0.25">
      <c r="A55">
        <v>-1</v>
      </c>
      <c r="B55" t="s">
        <v>102</v>
      </c>
      <c r="C55">
        <v>2020</v>
      </c>
      <c r="D55">
        <v>11</v>
      </c>
      <c r="E55" t="s">
        <v>160</v>
      </c>
      <c r="F55" t="s">
        <v>17</v>
      </c>
      <c r="G55" t="s">
        <v>17</v>
      </c>
      <c r="H55" t="s">
        <v>149</v>
      </c>
      <c r="I55" t="s">
        <v>149</v>
      </c>
      <c r="J55" t="s">
        <v>150</v>
      </c>
      <c r="K55" t="s">
        <v>160</v>
      </c>
      <c r="L55" t="s">
        <v>151</v>
      </c>
      <c r="M55">
        <v>478.61714221029121</v>
      </c>
      <c r="N55">
        <v>1</v>
      </c>
      <c r="O55" t="s">
        <v>152</v>
      </c>
      <c r="P55" s="2">
        <v>44656.074522685187</v>
      </c>
      <c r="Q55">
        <v>13</v>
      </c>
      <c r="R55" t="s">
        <v>154</v>
      </c>
      <c r="S55">
        <v>463.17905125549129</v>
      </c>
      <c r="T55">
        <v>37121.701001854271</v>
      </c>
      <c r="U55">
        <v>0.91241959101705961</v>
      </c>
      <c r="V55">
        <v>5599.4054527946873</v>
      </c>
      <c r="W55" t="s">
        <v>17</v>
      </c>
      <c r="X55">
        <v>91.178004790214999</v>
      </c>
      <c r="Y55">
        <v>37.121701001854277</v>
      </c>
      <c r="Z55">
        <v>42231.741754100432</v>
      </c>
      <c r="AA55">
        <v>6964.4346427794617</v>
      </c>
      <c r="AB55">
        <v>5599.4054527946873</v>
      </c>
      <c r="AC55">
        <v>6964.4346427794617</v>
      </c>
      <c r="AD55" s="2">
        <v>44136</v>
      </c>
    </row>
    <row r="56" spans="1:30" hidden="1" x14ac:dyDescent="0.25">
      <c r="A56">
        <v>-1</v>
      </c>
      <c r="B56" t="s">
        <v>102</v>
      </c>
      <c r="C56">
        <v>2020</v>
      </c>
      <c r="D56">
        <v>11</v>
      </c>
      <c r="E56" t="s">
        <v>160</v>
      </c>
      <c r="F56" t="s">
        <v>17</v>
      </c>
      <c r="G56" t="s">
        <v>17</v>
      </c>
      <c r="H56" t="s">
        <v>149</v>
      </c>
      <c r="I56" t="s">
        <v>149</v>
      </c>
      <c r="J56" t="s">
        <v>150</v>
      </c>
      <c r="K56" t="s">
        <v>160</v>
      </c>
      <c r="L56" t="s">
        <v>151</v>
      </c>
      <c r="M56">
        <v>478.61714221029121</v>
      </c>
      <c r="N56">
        <v>1</v>
      </c>
      <c r="O56" t="s">
        <v>152</v>
      </c>
      <c r="P56" s="2">
        <v>44656.074522685187</v>
      </c>
      <c r="Q56">
        <v>5</v>
      </c>
      <c r="R56" t="s">
        <v>100</v>
      </c>
      <c r="S56">
        <v>6.4120686394908857</v>
      </c>
      <c r="T56">
        <v>501.28309074896367</v>
      </c>
      <c r="U56">
        <v>1.2631178007207479E-2</v>
      </c>
      <c r="V56">
        <v>74.426617897504329</v>
      </c>
      <c r="W56" t="s">
        <v>17</v>
      </c>
      <c r="X56">
        <v>88.939773165410998</v>
      </c>
      <c r="Y56">
        <v>0.50128309074896371</v>
      </c>
      <c r="Z56">
        <v>570.28793031736484</v>
      </c>
      <c r="AA56">
        <v>92.570420270527762</v>
      </c>
      <c r="AB56">
        <v>74.426617897504329</v>
      </c>
      <c r="AC56">
        <v>92.570420270527762</v>
      </c>
      <c r="AD56" s="2">
        <v>44136</v>
      </c>
    </row>
    <row r="57" spans="1:30" hidden="1" x14ac:dyDescent="0.25">
      <c r="A57">
        <v>-1</v>
      </c>
      <c r="B57" t="s">
        <v>102</v>
      </c>
      <c r="C57">
        <v>2020</v>
      </c>
      <c r="D57">
        <v>11</v>
      </c>
      <c r="E57" t="s">
        <v>160</v>
      </c>
      <c r="F57" t="s">
        <v>17</v>
      </c>
      <c r="G57" t="s">
        <v>17</v>
      </c>
      <c r="H57" t="s">
        <v>149</v>
      </c>
      <c r="I57" t="s">
        <v>149</v>
      </c>
      <c r="J57" t="s">
        <v>150</v>
      </c>
      <c r="K57" t="s">
        <v>160</v>
      </c>
      <c r="L57" t="s">
        <v>151</v>
      </c>
      <c r="M57">
        <v>478.61714221029121</v>
      </c>
      <c r="N57">
        <v>1</v>
      </c>
      <c r="O57" t="s">
        <v>152</v>
      </c>
      <c r="P57" s="2">
        <v>44656.074522685187</v>
      </c>
      <c r="Q57">
        <v>11</v>
      </c>
      <c r="R57" t="s">
        <v>101</v>
      </c>
      <c r="S57">
        <v>18.9444171559973</v>
      </c>
      <c r="T57">
        <v>1548.67839537293</v>
      </c>
      <c r="U57">
        <v>3.7318737336410793E-2</v>
      </c>
      <c r="V57">
        <v>228.63731752700889</v>
      </c>
      <c r="W57" t="s">
        <v>17</v>
      </c>
      <c r="X57">
        <v>93.001749091524005</v>
      </c>
      <c r="Y57">
        <v>1.54867839537293</v>
      </c>
      <c r="Z57">
        <v>1761.863931027224</v>
      </c>
      <c r="AA57">
        <v>284.37477304354343</v>
      </c>
      <c r="AB57">
        <v>228.63731752700889</v>
      </c>
      <c r="AC57">
        <v>284.37477304354343</v>
      </c>
      <c r="AD57" s="2">
        <v>44136</v>
      </c>
    </row>
    <row r="58" spans="1:30" hidden="1" x14ac:dyDescent="0.25">
      <c r="A58">
        <v>-1</v>
      </c>
      <c r="B58" t="s">
        <v>106</v>
      </c>
      <c r="C58">
        <v>2020</v>
      </c>
      <c r="D58">
        <v>12</v>
      </c>
      <c r="E58" t="s">
        <v>148</v>
      </c>
      <c r="F58" t="s">
        <v>17</v>
      </c>
      <c r="G58" t="s">
        <v>17</v>
      </c>
      <c r="H58" t="s">
        <v>149</v>
      </c>
      <c r="I58" t="s">
        <v>149</v>
      </c>
      <c r="J58" t="s">
        <v>150</v>
      </c>
      <c r="K58" t="s">
        <v>148</v>
      </c>
      <c r="L58" t="s">
        <v>151</v>
      </c>
      <c r="M58">
        <v>1847.026135633841</v>
      </c>
      <c r="N58">
        <v>4</v>
      </c>
      <c r="O58" t="s">
        <v>152</v>
      </c>
      <c r="P58" s="2">
        <v>44656.074522685187</v>
      </c>
      <c r="Q58">
        <v>31</v>
      </c>
      <c r="R58" t="s">
        <v>153</v>
      </c>
      <c r="S58">
        <v>18.545280872575411</v>
      </c>
      <c r="T58">
        <v>1513.196766394228</v>
      </c>
      <c r="U58">
        <v>3.6935172611273721E-2</v>
      </c>
      <c r="V58">
        <v>225.88587080814011</v>
      </c>
      <c r="W58" t="s">
        <v>17</v>
      </c>
      <c r="X58">
        <v>92.826743341373984</v>
      </c>
      <c r="Y58">
        <v>1.5131967663942281</v>
      </c>
      <c r="Z58">
        <v>1721.49802775225</v>
      </c>
      <c r="AA58">
        <v>280.952575632015</v>
      </c>
      <c r="AB58">
        <v>225.88587080814011</v>
      </c>
      <c r="AC58">
        <v>280.952575632015</v>
      </c>
      <c r="AD58" s="2">
        <v>44166</v>
      </c>
    </row>
    <row r="59" spans="1:30" hidden="1" x14ac:dyDescent="0.25">
      <c r="A59">
        <v>-1</v>
      </c>
      <c r="B59" t="s">
        <v>106</v>
      </c>
      <c r="C59">
        <v>2020</v>
      </c>
      <c r="D59">
        <v>12</v>
      </c>
      <c r="E59" t="s">
        <v>148</v>
      </c>
      <c r="F59" t="s">
        <v>17</v>
      </c>
      <c r="G59" t="s">
        <v>17</v>
      </c>
      <c r="H59" t="s">
        <v>149</v>
      </c>
      <c r="I59" t="s">
        <v>149</v>
      </c>
      <c r="J59" t="s">
        <v>150</v>
      </c>
      <c r="K59" t="s">
        <v>148</v>
      </c>
      <c r="L59" t="s">
        <v>151</v>
      </c>
      <c r="M59">
        <v>1847.026135633841</v>
      </c>
      <c r="N59">
        <v>4</v>
      </c>
      <c r="O59" t="s">
        <v>152</v>
      </c>
      <c r="P59" s="2">
        <v>44656.074522685187</v>
      </c>
      <c r="Q59">
        <v>13</v>
      </c>
      <c r="R59" t="s">
        <v>154</v>
      </c>
      <c r="S59">
        <v>1796.083665333</v>
      </c>
      <c r="T59">
        <v>143947.96271135469</v>
      </c>
      <c r="U59">
        <v>3.577118117497188</v>
      </c>
      <c r="V59">
        <v>21952.32861021495</v>
      </c>
      <c r="W59" t="s">
        <v>17</v>
      </c>
      <c r="X59">
        <v>91.178004790214999</v>
      </c>
      <c r="Y59">
        <v>143.94796271135479</v>
      </c>
      <c r="Z59">
        <v>163763.3250413592</v>
      </c>
      <c r="AA59">
        <v>27303.8913062375</v>
      </c>
      <c r="AB59">
        <v>21952.32861021495</v>
      </c>
      <c r="AC59">
        <v>27303.8913062375</v>
      </c>
      <c r="AD59" s="2">
        <v>44166</v>
      </c>
    </row>
    <row r="60" spans="1:30" hidden="1" x14ac:dyDescent="0.25">
      <c r="A60">
        <v>-1</v>
      </c>
      <c r="B60" t="s">
        <v>106</v>
      </c>
      <c r="C60">
        <v>2020</v>
      </c>
      <c r="D60">
        <v>12</v>
      </c>
      <c r="E60" t="s">
        <v>148</v>
      </c>
      <c r="F60" t="s">
        <v>17</v>
      </c>
      <c r="G60" t="s">
        <v>17</v>
      </c>
      <c r="H60" t="s">
        <v>149</v>
      </c>
      <c r="I60" t="s">
        <v>149</v>
      </c>
      <c r="J60" t="s">
        <v>150</v>
      </c>
      <c r="K60" t="s">
        <v>148</v>
      </c>
      <c r="L60" t="s">
        <v>151</v>
      </c>
      <c r="M60">
        <v>1847.026135633841</v>
      </c>
      <c r="N60">
        <v>4</v>
      </c>
      <c r="O60" t="s">
        <v>152</v>
      </c>
      <c r="P60" s="2">
        <v>44656.074522685187</v>
      </c>
      <c r="Q60">
        <v>5</v>
      </c>
      <c r="R60" t="s">
        <v>100</v>
      </c>
      <c r="S60">
        <v>21.45099892935632</v>
      </c>
      <c r="T60">
        <v>1676.997494495665</v>
      </c>
      <c r="U60">
        <v>4.272226199127907E-2</v>
      </c>
      <c r="V60">
        <v>251.7321398786118</v>
      </c>
      <c r="W60" t="s">
        <v>17</v>
      </c>
      <c r="X60">
        <v>88.939773165410983</v>
      </c>
      <c r="Y60">
        <v>1.6769974944956649</v>
      </c>
      <c r="Z60">
        <v>1907.846978948425</v>
      </c>
      <c r="AA60">
        <v>313.09967646593509</v>
      </c>
      <c r="AB60">
        <v>251.7321398786118</v>
      </c>
      <c r="AC60">
        <v>313.09967646593509</v>
      </c>
      <c r="AD60" s="2">
        <v>44166</v>
      </c>
    </row>
    <row r="61" spans="1:30" hidden="1" x14ac:dyDescent="0.25">
      <c r="A61">
        <v>-1</v>
      </c>
      <c r="B61" t="s">
        <v>106</v>
      </c>
      <c r="C61">
        <v>2020</v>
      </c>
      <c r="D61">
        <v>12</v>
      </c>
      <c r="E61" t="s">
        <v>148</v>
      </c>
      <c r="F61" t="s">
        <v>17</v>
      </c>
      <c r="G61" t="s">
        <v>17</v>
      </c>
      <c r="H61" t="s">
        <v>149</v>
      </c>
      <c r="I61" t="s">
        <v>149</v>
      </c>
      <c r="J61" t="s">
        <v>150</v>
      </c>
      <c r="K61" t="s">
        <v>148</v>
      </c>
      <c r="L61" t="s">
        <v>151</v>
      </c>
      <c r="M61">
        <v>1847.026135633841</v>
      </c>
      <c r="N61">
        <v>4</v>
      </c>
      <c r="O61" t="s">
        <v>152</v>
      </c>
      <c r="P61" s="2">
        <v>44656.074522685187</v>
      </c>
      <c r="Q61">
        <v>11</v>
      </c>
      <c r="R61" t="s">
        <v>101</v>
      </c>
      <c r="S61">
        <v>67.808589348441956</v>
      </c>
      <c r="T61">
        <v>5543.2530058810726</v>
      </c>
      <c r="U61">
        <v>0.13504901701517741</v>
      </c>
      <c r="V61">
        <v>827.39254296483193</v>
      </c>
      <c r="W61" t="s">
        <v>17</v>
      </c>
      <c r="X61">
        <v>93.001749091524005</v>
      </c>
      <c r="Y61">
        <v>5.5432530058810734</v>
      </c>
      <c r="Z61">
        <v>6306.3174128339851</v>
      </c>
      <c r="AA61">
        <v>1029.095202692577</v>
      </c>
      <c r="AB61">
        <v>827.39254296483193</v>
      </c>
      <c r="AC61">
        <v>1029.095202692577</v>
      </c>
      <c r="AD61" s="2">
        <v>44166</v>
      </c>
    </row>
    <row r="62" spans="1:30" hidden="1" x14ac:dyDescent="0.25">
      <c r="A62">
        <v>-1</v>
      </c>
      <c r="B62" t="s">
        <v>106</v>
      </c>
      <c r="C62">
        <v>2020</v>
      </c>
      <c r="D62">
        <v>12</v>
      </c>
      <c r="E62" t="s">
        <v>155</v>
      </c>
      <c r="F62" t="s">
        <v>17</v>
      </c>
      <c r="G62" t="s">
        <v>17</v>
      </c>
      <c r="H62" t="s">
        <v>149</v>
      </c>
      <c r="I62" t="s">
        <v>149</v>
      </c>
      <c r="J62" t="s">
        <v>150</v>
      </c>
      <c r="K62" t="s">
        <v>155</v>
      </c>
      <c r="L62" t="s">
        <v>151</v>
      </c>
      <c r="M62">
        <v>1289.6434660973509</v>
      </c>
      <c r="N62">
        <v>2</v>
      </c>
      <c r="O62" t="s">
        <v>152</v>
      </c>
      <c r="P62" s="2">
        <v>44656.074522685187</v>
      </c>
      <c r="Q62">
        <v>31</v>
      </c>
      <c r="R62" t="s">
        <v>153</v>
      </c>
      <c r="S62">
        <v>12.205049472575279</v>
      </c>
      <c r="T62">
        <v>995.86744048151604</v>
      </c>
      <c r="U62">
        <v>2.4307834003492259E-2</v>
      </c>
      <c r="V62">
        <v>148.6603652601481</v>
      </c>
      <c r="W62" t="s">
        <v>17</v>
      </c>
      <c r="X62">
        <v>92.826743341373984</v>
      </c>
      <c r="Y62">
        <v>0.99586744048151599</v>
      </c>
      <c r="Z62">
        <v>1132.9549948595179</v>
      </c>
      <c r="AA62">
        <v>184.90095181610451</v>
      </c>
      <c r="AB62">
        <v>148.6603652601481</v>
      </c>
      <c r="AC62">
        <v>184.90095181610451</v>
      </c>
      <c r="AD62" s="2">
        <v>44166</v>
      </c>
    </row>
    <row r="63" spans="1:30" hidden="1" x14ac:dyDescent="0.25">
      <c r="A63">
        <v>-1</v>
      </c>
      <c r="B63" t="s">
        <v>106</v>
      </c>
      <c r="C63">
        <v>2020</v>
      </c>
      <c r="D63">
        <v>12</v>
      </c>
      <c r="E63" t="s">
        <v>155</v>
      </c>
      <c r="F63" t="s">
        <v>17</v>
      </c>
      <c r="G63" t="s">
        <v>17</v>
      </c>
      <c r="H63" t="s">
        <v>149</v>
      </c>
      <c r="I63" t="s">
        <v>149</v>
      </c>
      <c r="J63" t="s">
        <v>150</v>
      </c>
      <c r="K63" t="s">
        <v>155</v>
      </c>
      <c r="L63" t="s">
        <v>151</v>
      </c>
      <c r="M63">
        <v>1289.6434660973509</v>
      </c>
      <c r="N63">
        <v>2</v>
      </c>
      <c r="O63" t="s">
        <v>152</v>
      </c>
      <c r="P63" s="2">
        <v>44656.074522685187</v>
      </c>
      <c r="Q63">
        <v>13</v>
      </c>
      <c r="R63" t="s">
        <v>154</v>
      </c>
      <c r="S63">
        <v>1253.980265708203</v>
      </c>
      <c r="T63">
        <v>100500.8330140747</v>
      </c>
      <c r="U63">
        <v>2.4974535507604521</v>
      </c>
      <c r="V63">
        <v>15326.56155995237</v>
      </c>
      <c r="W63" t="s">
        <v>17</v>
      </c>
      <c r="X63">
        <v>91.178004790214999</v>
      </c>
      <c r="Y63">
        <v>100.5008330140747</v>
      </c>
      <c r="Z63">
        <v>114335.4186735776</v>
      </c>
      <c r="AA63">
        <v>19062.887512378569</v>
      </c>
      <c r="AB63">
        <v>15326.56155995237</v>
      </c>
      <c r="AC63">
        <v>19062.887512378569</v>
      </c>
      <c r="AD63" s="2">
        <v>44166</v>
      </c>
    </row>
    <row r="64" spans="1:30" hidden="1" x14ac:dyDescent="0.25">
      <c r="A64">
        <v>-1</v>
      </c>
      <c r="B64" t="s">
        <v>106</v>
      </c>
      <c r="C64">
        <v>2020</v>
      </c>
      <c r="D64">
        <v>12</v>
      </c>
      <c r="E64" t="s">
        <v>155</v>
      </c>
      <c r="F64" t="s">
        <v>17</v>
      </c>
      <c r="G64" t="s">
        <v>17</v>
      </c>
      <c r="H64" t="s">
        <v>149</v>
      </c>
      <c r="I64" t="s">
        <v>149</v>
      </c>
      <c r="J64" t="s">
        <v>150</v>
      </c>
      <c r="K64" t="s">
        <v>155</v>
      </c>
      <c r="L64" t="s">
        <v>151</v>
      </c>
      <c r="M64">
        <v>1289.6434660973509</v>
      </c>
      <c r="N64">
        <v>2</v>
      </c>
      <c r="O64" t="s">
        <v>152</v>
      </c>
      <c r="P64" s="2">
        <v>44656.074522685187</v>
      </c>
      <c r="Q64">
        <v>5</v>
      </c>
      <c r="R64" t="s">
        <v>100</v>
      </c>
      <c r="S64">
        <v>15.442022416834931</v>
      </c>
      <c r="T64">
        <v>1207.2273644813031</v>
      </c>
      <c r="U64">
        <v>3.0754657605449921E-2</v>
      </c>
      <c r="V64">
        <v>181.21549303345171</v>
      </c>
      <c r="W64" t="s">
        <v>17</v>
      </c>
      <c r="X64">
        <v>88.939773165410998</v>
      </c>
      <c r="Y64">
        <v>1.207227364481303</v>
      </c>
      <c r="Z64">
        <v>1373.4099709684899</v>
      </c>
      <c r="AA64">
        <v>225.39240427046229</v>
      </c>
      <c r="AB64">
        <v>181.21549303345171</v>
      </c>
      <c r="AC64">
        <v>225.39240427046229</v>
      </c>
      <c r="AD64" s="2">
        <v>44166</v>
      </c>
    </row>
    <row r="65" spans="1:30" hidden="1" x14ac:dyDescent="0.25">
      <c r="A65">
        <v>-1</v>
      </c>
      <c r="B65" t="s">
        <v>106</v>
      </c>
      <c r="C65">
        <v>2020</v>
      </c>
      <c r="D65">
        <v>12</v>
      </c>
      <c r="E65" t="s">
        <v>155</v>
      </c>
      <c r="F65" t="s">
        <v>17</v>
      </c>
      <c r="G65" t="s">
        <v>17</v>
      </c>
      <c r="H65" t="s">
        <v>149</v>
      </c>
      <c r="I65" t="s">
        <v>149</v>
      </c>
      <c r="J65" t="s">
        <v>150</v>
      </c>
      <c r="K65" t="s">
        <v>155</v>
      </c>
      <c r="L65" t="s">
        <v>151</v>
      </c>
      <c r="M65">
        <v>1289.6434660973509</v>
      </c>
      <c r="N65">
        <v>2</v>
      </c>
      <c r="O65" t="s">
        <v>152</v>
      </c>
      <c r="P65" s="2">
        <v>44656.074522685187</v>
      </c>
      <c r="Q65">
        <v>11</v>
      </c>
      <c r="R65" t="s">
        <v>101</v>
      </c>
      <c r="S65">
        <v>47.71898907553372</v>
      </c>
      <c r="T65">
        <v>3900.957565586581</v>
      </c>
      <c r="U65">
        <v>9.5038145307721089E-2</v>
      </c>
      <c r="V65">
        <v>582.26157037469852</v>
      </c>
      <c r="W65" t="s">
        <v>17</v>
      </c>
      <c r="X65">
        <v>93.001749091523976</v>
      </c>
      <c r="Y65">
        <v>3.900957565586582</v>
      </c>
      <c r="Z65">
        <v>4437.9494489039607</v>
      </c>
      <c r="AA65">
        <v>724.20593330186375</v>
      </c>
      <c r="AB65">
        <v>582.26157037469852</v>
      </c>
      <c r="AC65">
        <v>724.20593330186375</v>
      </c>
      <c r="AD65" s="2">
        <v>44166</v>
      </c>
    </row>
    <row r="66" spans="1:30" hidden="1" x14ac:dyDescent="0.25">
      <c r="A66">
        <v>-1</v>
      </c>
      <c r="B66" t="s">
        <v>106</v>
      </c>
      <c r="C66">
        <v>2020</v>
      </c>
      <c r="D66">
        <v>12</v>
      </c>
      <c r="E66" t="s">
        <v>156</v>
      </c>
      <c r="F66" t="s">
        <v>17</v>
      </c>
      <c r="G66" t="s">
        <v>17</v>
      </c>
      <c r="H66" t="s">
        <v>149</v>
      </c>
      <c r="I66" t="s">
        <v>149</v>
      </c>
      <c r="J66" t="s">
        <v>150</v>
      </c>
      <c r="K66" t="s">
        <v>156</v>
      </c>
      <c r="L66" t="s">
        <v>151</v>
      </c>
      <c r="M66">
        <v>355.93391726269152</v>
      </c>
      <c r="N66">
        <v>1</v>
      </c>
      <c r="O66" t="s">
        <v>152</v>
      </c>
      <c r="P66" s="2">
        <v>44656.074522685187</v>
      </c>
      <c r="Q66">
        <v>31</v>
      </c>
      <c r="R66" t="s">
        <v>153</v>
      </c>
      <c r="S66">
        <v>2.62445672114284</v>
      </c>
      <c r="T66">
        <v>214.1417782379178</v>
      </c>
      <c r="U66">
        <v>5.2269233705472991E-3</v>
      </c>
      <c r="V66">
        <v>31.96649842765629</v>
      </c>
      <c r="W66" t="s">
        <v>17</v>
      </c>
      <c r="X66">
        <v>92.826743341374012</v>
      </c>
      <c r="Y66">
        <v>0.2141417782379178</v>
      </c>
      <c r="Z66">
        <v>243.61977046407031</v>
      </c>
      <c r="AA66">
        <v>39.759326402557583</v>
      </c>
      <c r="AB66">
        <v>31.96649842765629</v>
      </c>
      <c r="AC66">
        <v>39.759326402557583</v>
      </c>
      <c r="AD66" s="2">
        <v>44166</v>
      </c>
    </row>
    <row r="67" spans="1:30" hidden="1" x14ac:dyDescent="0.25">
      <c r="A67">
        <v>-1</v>
      </c>
      <c r="B67" t="s">
        <v>106</v>
      </c>
      <c r="C67">
        <v>2020</v>
      </c>
      <c r="D67">
        <v>12</v>
      </c>
      <c r="E67" t="s">
        <v>156</v>
      </c>
      <c r="F67" t="s">
        <v>17</v>
      </c>
      <c r="G67" t="s">
        <v>17</v>
      </c>
      <c r="H67" t="s">
        <v>149</v>
      </c>
      <c r="I67" t="s">
        <v>149</v>
      </c>
      <c r="J67" t="s">
        <v>150</v>
      </c>
      <c r="K67" t="s">
        <v>156</v>
      </c>
      <c r="L67" t="s">
        <v>151</v>
      </c>
      <c r="M67">
        <v>355.93391726269152</v>
      </c>
      <c r="N67">
        <v>1</v>
      </c>
      <c r="O67" t="s">
        <v>152</v>
      </c>
      <c r="P67" s="2">
        <v>44656.074522685187</v>
      </c>
      <c r="Q67">
        <v>13</v>
      </c>
      <c r="R67" t="s">
        <v>154</v>
      </c>
      <c r="S67">
        <v>346.12125212220599</v>
      </c>
      <c r="T67">
        <v>27740.049116730472</v>
      </c>
      <c r="U67">
        <v>0.68934238739240661</v>
      </c>
      <c r="V67">
        <v>4230.4084226260111</v>
      </c>
      <c r="W67" t="s">
        <v>17</v>
      </c>
      <c r="X67">
        <v>91.178004790214985</v>
      </c>
      <c r="Y67">
        <v>27.740049116730471</v>
      </c>
      <c r="Z67">
        <v>31558.645183993711</v>
      </c>
      <c r="AA67">
        <v>5261.7020181915559</v>
      </c>
      <c r="AB67">
        <v>4230.4084226260111</v>
      </c>
      <c r="AC67">
        <v>5261.7020181915559</v>
      </c>
      <c r="AD67" s="2">
        <v>44166</v>
      </c>
    </row>
    <row r="68" spans="1:30" hidden="1" x14ac:dyDescent="0.25">
      <c r="A68">
        <v>-1</v>
      </c>
      <c r="B68" t="s">
        <v>106</v>
      </c>
      <c r="C68">
        <v>2020</v>
      </c>
      <c r="D68">
        <v>12</v>
      </c>
      <c r="E68" t="s">
        <v>156</v>
      </c>
      <c r="F68" t="s">
        <v>17</v>
      </c>
      <c r="G68" t="s">
        <v>17</v>
      </c>
      <c r="H68" t="s">
        <v>149</v>
      </c>
      <c r="I68" t="s">
        <v>149</v>
      </c>
      <c r="J68" t="s">
        <v>150</v>
      </c>
      <c r="K68" t="s">
        <v>156</v>
      </c>
      <c r="L68" t="s">
        <v>151</v>
      </c>
      <c r="M68">
        <v>355.93391726269152</v>
      </c>
      <c r="N68">
        <v>1</v>
      </c>
      <c r="O68" t="s">
        <v>152</v>
      </c>
      <c r="P68" s="2">
        <v>44656.074522685187</v>
      </c>
      <c r="Q68">
        <v>5</v>
      </c>
      <c r="R68" t="s">
        <v>100</v>
      </c>
      <c r="S68">
        <v>4.5392668670190064</v>
      </c>
      <c r="T68">
        <v>354.87108026565392</v>
      </c>
      <c r="U68">
        <v>9.0404996513110038E-3</v>
      </c>
      <c r="V68">
        <v>53.269284366565628</v>
      </c>
      <c r="W68" t="s">
        <v>17</v>
      </c>
      <c r="X68">
        <v>88.939773165411012</v>
      </c>
      <c r="Y68">
        <v>0.35487108026565389</v>
      </c>
      <c r="Z68">
        <v>403.7213654899362</v>
      </c>
      <c r="AA68">
        <v>66.255328814136348</v>
      </c>
      <c r="AB68">
        <v>53.269284366565628</v>
      </c>
      <c r="AC68">
        <v>66.255328814136348</v>
      </c>
      <c r="AD68" s="2">
        <v>44166</v>
      </c>
    </row>
    <row r="69" spans="1:30" hidden="1" x14ac:dyDescent="0.25">
      <c r="A69">
        <v>-1</v>
      </c>
      <c r="B69" t="s">
        <v>106</v>
      </c>
      <c r="C69">
        <v>2020</v>
      </c>
      <c r="D69">
        <v>12</v>
      </c>
      <c r="E69" t="s">
        <v>156</v>
      </c>
      <c r="F69" t="s">
        <v>17</v>
      </c>
      <c r="G69" t="s">
        <v>17</v>
      </c>
      <c r="H69" t="s">
        <v>149</v>
      </c>
      <c r="I69" t="s">
        <v>149</v>
      </c>
      <c r="J69" t="s">
        <v>150</v>
      </c>
      <c r="K69" t="s">
        <v>156</v>
      </c>
      <c r="L69" t="s">
        <v>151</v>
      </c>
      <c r="M69">
        <v>355.93391726269152</v>
      </c>
      <c r="N69">
        <v>1</v>
      </c>
      <c r="O69" t="s">
        <v>152</v>
      </c>
      <c r="P69" s="2">
        <v>44656.074522685187</v>
      </c>
      <c r="Q69">
        <v>11</v>
      </c>
      <c r="R69" t="s">
        <v>101</v>
      </c>
      <c r="S69">
        <v>13.606694654459609</v>
      </c>
      <c r="T69">
        <v>1112.3273875505311</v>
      </c>
      <c r="U69">
        <v>2.709938011640204E-2</v>
      </c>
      <c r="V69">
        <v>166.02731010445359</v>
      </c>
      <c r="W69" t="s">
        <v>17</v>
      </c>
      <c r="X69">
        <v>93.001749091524005</v>
      </c>
      <c r="Y69">
        <v>1.1123273875505311</v>
      </c>
      <c r="Z69">
        <v>1265.4464022190341</v>
      </c>
      <c r="AA69">
        <v>206.50162948315131</v>
      </c>
      <c r="AB69">
        <v>166.02731010445359</v>
      </c>
      <c r="AC69">
        <v>206.50162948315131</v>
      </c>
      <c r="AD69" s="2">
        <v>44166</v>
      </c>
    </row>
    <row r="70" spans="1:30" hidden="1" x14ac:dyDescent="0.25">
      <c r="A70">
        <v>-1</v>
      </c>
      <c r="B70" t="s">
        <v>106</v>
      </c>
      <c r="C70">
        <v>2020</v>
      </c>
      <c r="D70">
        <v>12</v>
      </c>
      <c r="E70" t="s">
        <v>157</v>
      </c>
      <c r="F70" t="s">
        <v>17</v>
      </c>
      <c r="G70" t="s">
        <v>17</v>
      </c>
      <c r="H70" t="s">
        <v>149</v>
      </c>
      <c r="I70" t="s">
        <v>149</v>
      </c>
      <c r="J70" t="s">
        <v>150</v>
      </c>
      <c r="K70" t="s">
        <v>157</v>
      </c>
      <c r="L70" t="s">
        <v>151</v>
      </c>
      <c r="M70">
        <v>144.27470155049531</v>
      </c>
      <c r="N70">
        <v>0</v>
      </c>
      <c r="O70" t="s">
        <v>152</v>
      </c>
      <c r="P70" s="2">
        <v>44656.074522685187</v>
      </c>
      <c r="Q70">
        <v>31</v>
      </c>
      <c r="R70" t="s">
        <v>153</v>
      </c>
      <c r="S70">
        <v>2.5336765620891639</v>
      </c>
      <c r="T70">
        <v>206.73459772247389</v>
      </c>
      <c r="U70">
        <v>5.0461236907061186E-3</v>
      </c>
      <c r="V70">
        <v>30.860774797971889</v>
      </c>
      <c r="W70" t="s">
        <v>17</v>
      </c>
      <c r="X70">
        <v>92.826743341373998</v>
      </c>
      <c r="Y70">
        <v>0.20673459772247391</v>
      </c>
      <c r="Z70">
        <v>235.1929439391057</v>
      </c>
      <c r="AA70">
        <v>38.384048256183938</v>
      </c>
      <c r="AB70">
        <v>30.860774797971889</v>
      </c>
      <c r="AC70">
        <v>38.384048256183938</v>
      </c>
      <c r="AD70" s="2">
        <v>44166</v>
      </c>
    </row>
    <row r="71" spans="1:30" hidden="1" x14ac:dyDescent="0.25">
      <c r="A71">
        <v>-1</v>
      </c>
      <c r="B71" t="s">
        <v>106</v>
      </c>
      <c r="C71">
        <v>2020</v>
      </c>
      <c r="D71">
        <v>12</v>
      </c>
      <c r="E71" t="s">
        <v>157</v>
      </c>
      <c r="F71" t="s">
        <v>17</v>
      </c>
      <c r="G71" t="s">
        <v>17</v>
      </c>
      <c r="H71" t="s">
        <v>149</v>
      </c>
      <c r="I71" t="s">
        <v>149</v>
      </c>
      <c r="J71" t="s">
        <v>150</v>
      </c>
      <c r="K71" t="s">
        <v>157</v>
      </c>
      <c r="L71" t="s">
        <v>151</v>
      </c>
      <c r="M71">
        <v>144.27470155049531</v>
      </c>
      <c r="N71">
        <v>0</v>
      </c>
      <c r="O71" t="s">
        <v>152</v>
      </c>
      <c r="P71" s="2">
        <v>44656.074522685187</v>
      </c>
      <c r="Q71">
        <v>13</v>
      </c>
      <c r="R71" t="s">
        <v>154</v>
      </c>
      <c r="S71">
        <v>136.67768797611581</v>
      </c>
      <c r="T71">
        <v>10954.09702343258</v>
      </c>
      <c r="U71">
        <v>0.27221016668304537</v>
      </c>
      <c r="V71">
        <v>1670.5199084252199</v>
      </c>
      <c r="W71" t="s">
        <v>17</v>
      </c>
      <c r="X71">
        <v>91.178004790214999</v>
      </c>
      <c r="Y71">
        <v>10.954097023432579</v>
      </c>
      <c r="Z71">
        <v>12461.99888900179</v>
      </c>
      <c r="AA71">
        <v>2077.7610801308711</v>
      </c>
      <c r="AB71">
        <v>1670.5199084252199</v>
      </c>
      <c r="AC71">
        <v>2077.7610801308711</v>
      </c>
      <c r="AD71" s="2">
        <v>44166</v>
      </c>
    </row>
    <row r="72" spans="1:30" hidden="1" x14ac:dyDescent="0.25">
      <c r="A72">
        <v>-1</v>
      </c>
      <c r="B72" t="s">
        <v>106</v>
      </c>
      <c r="C72">
        <v>2020</v>
      </c>
      <c r="D72">
        <v>12</v>
      </c>
      <c r="E72" t="s">
        <v>157</v>
      </c>
      <c r="F72" t="s">
        <v>17</v>
      </c>
      <c r="G72" t="s">
        <v>17</v>
      </c>
      <c r="H72" t="s">
        <v>149</v>
      </c>
      <c r="I72" t="s">
        <v>149</v>
      </c>
      <c r="J72" t="s">
        <v>150</v>
      </c>
      <c r="K72" t="s">
        <v>157</v>
      </c>
      <c r="L72" t="s">
        <v>151</v>
      </c>
      <c r="M72">
        <v>144.27470155049531</v>
      </c>
      <c r="N72">
        <v>0</v>
      </c>
      <c r="O72" t="s">
        <v>152</v>
      </c>
      <c r="P72" s="2">
        <v>44656.074522685187</v>
      </c>
      <c r="Q72">
        <v>5</v>
      </c>
      <c r="R72" t="s">
        <v>100</v>
      </c>
      <c r="S72">
        <v>2.334108864382642</v>
      </c>
      <c r="T72">
        <v>182.4761042756376</v>
      </c>
      <c r="U72">
        <v>4.6486604539359953E-3</v>
      </c>
      <c r="V72">
        <v>27.39127539354692</v>
      </c>
      <c r="W72" t="s">
        <v>17</v>
      </c>
      <c r="X72">
        <v>88.939773165410998</v>
      </c>
      <c r="Y72">
        <v>0.1824761042756376</v>
      </c>
      <c r="Z72">
        <v>207.59511294156721</v>
      </c>
      <c r="AA72">
        <v>34.068750489486213</v>
      </c>
      <c r="AB72">
        <v>27.39127539354692</v>
      </c>
      <c r="AC72">
        <v>34.068750489486213</v>
      </c>
      <c r="AD72" s="2">
        <v>44166</v>
      </c>
    </row>
    <row r="73" spans="1:30" hidden="1" x14ac:dyDescent="0.25">
      <c r="A73">
        <v>-1</v>
      </c>
      <c r="B73" t="s">
        <v>106</v>
      </c>
      <c r="C73">
        <v>2020</v>
      </c>
      <c r="D73">
        <v>12</v>
      </c>
      <c r="E73" t="s">
        <v>157</v>
      </c>
      <c r="F73" t="s">
        <v>17</v>
      </c>
      <c r="G73" t="s">
        <v>17</v>
      </c>
      <c r="H73" t="s">
        <v>149</v>
      </c>
      <c r="I73" t="s">
        <v>149</v>
      </c>
      <c r="J73" t="s">
        <v>150</v>
      </c>
      <c r="K73" t="s">
        <v>157</v>
      </c>
      <c r="L73" t="s">
        <v>151</v>
      </c>
      <c r="M73">
        <v>144.27470155049531</v>
      </c>
      <c r="N73">
        <v>0</v>
      </c>
      <c r="O73" t="s">
        <v>152</v>
      </c>
      <c r="P73" s="2">
        <v>44656.074522685187</v>
      </c>
      <c r="Q73">
        <v>11</v>
      </c>
      <c r="R73" t="s">
        <v>101</v>
      </c>
      <c r="S73">
        <v>7.170857567865105</v>
      </c>
      <c r="T73">
        <v>586.20711844563118</v>
      </c>
      <c r="U73">
        <v>1.4281631206331521E-2</v>
      </c>
      <c r="V73">
        <v>87.497972385571288</v>
      </c>
      <c r="W73" t="s">
        <v>17</v>
      </c>
      <c r="X73">
        <v>93.00174909152399</v>
      </c>
      <c r="Y73">
        <v>0.58620711844563123</v>
      </c>
      <c r="Z73">
        <v>666.90229629764644</v>
      </c>
      <c r="AA73">
        <v>108.82832386265081</v>
      </c>
      <c r="AB73">
        <v>87.497972385571288</v>
      </c>
      <c r="AC73">
        <v>108.82832386265081</v>
      </c>
      <c r="AD73" s="2">
        <v>44166</v>
      </c>
    </row>
    <row r="74" spans="1:30" hidden="1" x14ac:dyDescent="0.25">
      <c r="A74">
        <v>-1</v>
      </c>
      <c r="B74" t="s">
        <v>106</v>
      </c>
      <c r="C74">
        <v>2020</v>
      </c>
      <c r="D74">
        <v>12</v>
      </c>
      <c r="E74" t="s">
        <v>158</v>
      </c>
      <c r="F74" t="s">
        <v>17</v>
      </c>
      <c r="G74" t="s">
        <v>17</v>
      </c>
      <c r="H74" t="s">
        <v>149</v>
      </c>
      <c r="I74" t="s">
        <v>149</v>
      </c>
      <c r="J74" t="s">
        <v>150</v>
      </c>
      <c r="K74" t="s">
        <v>158</v>
      </c>
      <c r="L74" t="s">
        <v>151</v>
      </c>
      <c r="M74">
        <v>368.33730873629969</v>
      </c>
      <c r="N74">
        <v>1</v>
      </c>
      <c r="O74" t="s">
        <v>152</v>
      </c>
      <c r="P74" s="2">
        <v>44656.074522685187</v>
      </c>
      <c r="Q74">
        <v>31</v>
      </c>
      <c r="R74" t="s">
        <v>153</v>
      </c>
      <c r="S74">
        <v>3.519476909083636</v>
      </c>
      <c r="T74">
        <v>287.17068858741573</v>
      </c>
      <c r="U74">
        <v>7.0094644579165094E-3</v>
      </c>
      <c r="V74">
        <v>42.868054243014299</v>
      </c>
      <c r="W74" t="s">
        <v>17</v>
      </c>
      <c r="X74">
        <v>92.826743341373998</v>
      </c>
      <c r="Y74">
        <v>0.28717068858741568</v>
      </c>
      <c r="Z74">
        <v>326.70157973539892</v>
      </c>
      <c r="AA74">
        <v>53.318475426634699</v>
      </c>
      <c r="AB74">
        <v>42.868054243014299</v>
      </c>
      <c r="AC74">
        <v>53.318475426634699</v>
      </c>
      <c r="AD74" s="2">
        <v>44166</v>
      </c>
    </row>
    <row r="75" spans="1:30" hidden="1" x14ac:dyDescent="0.25">
      <c r="A75">
        <v>-1</v>
      </c>
      <c r="B75" t="s">
        <v>106</v>
      </c>
      <c r="C75">
        <v>2020</v>
      </c>
      <c r="D75">
        <v>12</v>
      </c>
      <c r="E75" t="s">
        <v>158</v>
      </c>
      <c r="F75" t="s">
        <v>17</v>
      </c>
      <c r="G75" t="s">
        <v>17</v>
      </c>
      <c r="H75" t="s">
        <v>149</v>
      </c>
      <c r="I75" t="s">
        <v>149</v>
      </c>
      <c r="J75" t="s">
        <v>150</v>
      </c>
      <c r="K75" t="s">
        <v>158</v>
      </c>
      <c r="L75" t="s">
        <v>151</v>
      </c>
      <c r="M75">
        <v>368.33730873629969</v>
      </c>
      <c r="N75">
        <v>1</v>
      </c>
      <c r="O75" t="s">
        <v>152</v>
      </c>
      <c r="P75" s="2">
        <v>44656.074522685187</v>
      </c>
      <c r="Q75">
        <v>13</v>
      </c>
      <c r="R75" t="s">
        <v>154</v>
      </c>
      <c r="S75">
        <v>358.0893209287612</v>
      </c>
      <c r="T75">
        <v>28699.23557087237</v>
      </c>
      <c r="U75">
        <v>0.71317824570218302</v>
      </c>
      <c r="V75">
        <v>4376.6861180041114</v>
      </c>
      <c r="W75" t="s">
        <v>17</v>
      </c>
      <c r="X75">
        <v>91.178004790214999</v>
      </c>
      <c r="Y75">
        <v>28.699235570872371</v>
      </c>
      <c r="Z75">
        <v>32649.869818967429</v>
      </c>
      <c r="AA75">
        <v>5443.6394502538687</v>
      </c>
      <c r="AB75">
        <v>4376.6861180041114</v>
      </c>
      <c r="AC75">
        <v>5443.6394502538687</v>
      </c>
      <c r="AD75" s="2">
        <v>44166</v>
      </c>
    </row>
    <row r="76" spans="1:30" hidden="1" x14ac:dyDescent="0.25">
      <c r="A76">
        <v>-1</v>
      </c>
      <c r="B76" t="s">
        <v>106</v>
      </c>
      <c r="C76">
        <v>2020</v>
      </c>
      <c r="D76">
        <v>12</v>
      </c>
      <c r="E76" t="s">
        <v>158</v>
      </c>
      <c r="F76" t="s">
        <v>17</v>
      </c>
      <c r="G76" t="s">
        <v>17</v>
      </c>
      <c r="H76" t="s">
        <v>149</v>
      </c>
      <c r="I76" t="s">
        <v>149</v>
      </c>
      <c r="J76" t="s">
        <v>150</v>
      </c>
      <c r="K76" t="s">
        <v>158</v>
      </c>
      <c r="L76" t="s">
        <v>151</v>
      </c>
      <c r="M76">
        <v>368.33730873629969</v>
      </c>
      <c r="N76">
        <v>1</v>
      </c>
      <c r="O76" t="s">
        <v>152</v>
      </c>
      <c r="P76" s="2">
        <v>44656.074522685187</v>
      </c>
      <c r="Q76">
        <v>5</v>
      </c>
      <c r="R76" t="s">
        <v>100</v>
      </c>
      <c r="S76">
        <v>4.7050431086352429</v>
      </c>
      <c r="T76">
        <v>367.83114533082329</v>
      </c>
      <c r="U76">
        <v>9.3706631112777123E-3</v>
      </c>
      <c r="V76">
        <v>55.214704632564462</v>
      </c>
      <c r="W76" t="s">
        <v>17</v>
      </c>
      <c r="X76">
        <v>88.939773165410983</v>
      </c>
      <c r="Y76">
        <v>0.36783114533082328</v>
      </c>
      <c r="Z76">
        <v>418.46546681549859</v>
      </c>
      <c r="AA76">
        <v>68.675005761896088</v>
      </c>
      <c r="AB76">
        <v>55.214704632564462</v>
      </c>
      <c r="AC76">
        <v>68.675005761896088</v>
      </c>
      <c r="AD76" s="2">
        <v>44166</v>
      </c>
    </row>
    <row r="77" spans="1:30" hidden="1" x14ac:dyDescent="0.25">
      <c r="A77">
        <v>-1</v>
      </c>
      <c r="B77" t="s">
        <v>106</v>
      </c>
      <c r="C77">
        <v>2020</v>
      </c>
      <c r="D77">
        <v>12</v>
      </c>
      <c r="E77" t="s">
        <v>158</v>
      </c>
      <c r="F77" t="s">
        <v>17</v>
      </c>
      <c r="G77" t="s">
        <v>17</v>
      </c>
      <c r="H77" t="s">
        <v>149</v>
      </c>
      <c r="I77" t="s">
        <v>149</v>
      </c>
      <c r="J77" t="s">
        <v>150</v>
      </c>
      <c r="K77" t="s">
        <v>158</v>
      </c>
      <c r="L77" t="s">
        <v>151</v>
      </c>
      <c r="M77">
        <v>368.33730873629969</v>
      </c>
      <c r="N77">
        <v>1</v>
      </c>
      <c r="O77" t="s">
        <v>152</v>
      </c>
      <c r="P77" s="2">
        <v>44656.074522685187</v>
      </c>
      <c r="Q77">
        <v>11</v>
      </c>
      <c r="R77" t="s">
        <v>101</v>
      </c>
      <c r="S77">
        <v>13.3630707095906</v>
      </c>
      <c r="T77">
        <v>1092.411486369336</v>
      </c>
      <c r="U77">
        <v>2.661417352838626E-2</v>
      </c>
      <c r="V77">
        <v>163.05463898403701</v>
      </c>
      <c r="W77" t="s">
        <v>17</v>
      </c>
      <c r="X77">
        <v>93.00174909152399</v>
      </c>
      <c r="Y77">
        <v>1.0924114863693359</v>
      </c>
      <c r="Z77">
        <v>1242.7889492256379</v>
      </c>
      <c r="AA77">
        <v>202.8042773433296</v>
      </c>
      <c r="AB77">
        <v>163.05463898403701</v>
      </c>
      <c r="AC77">
        <v>202.8042773433296</v>
      </c>
      <c r="AD77" s="2">
        <v>44166</v>
      </c>
    </row>
    <row r="78" spans="1:30" hidden="1" x14ac:dyDescent="0.25">
      <c r="A78">
        <v>-1</v>
      </c>
      <c r="B78" t="s">
        <v>106</v>
      </c>
      <c r="C78">
        <v>2020</v>
      </c>
      <c r="D78">
        <v>12</v>
      </c>
      <c r="E78" t="s">
        <v>159</v>
      </c>
      <c r="F78" t="s">
        <v>17</v>
      </c>
      <c r="G78" t="s">
        <v>17</v>
      </c>
      <c r="H78" t="s">
        <v>149</v>
      </c>
      <c r="I78" t="s">
        <v>149</v>
      </c>
      <c r="J78" t="s">
        <v>150</v>
      </c>
      <c r="K78" t="s">
        <v>159</v>
      </c>
      <c r="L78" t="s">
        <v>151</v>
      </c>
      <c r="M78">
        <v>1006.178525728615</v>
      </c>
      <c r="N78">
        <v>2</v>
      </c>
      <c r="O78" t="s">
        <v>152</v>
      </c>
      <c r="P78" s="2">
        <v>44656.074522685187</v>
      </c>
      <c r="Q78">
        <v>31</v>
      </c>
      <c r="R78" t="s">
        <v>153</v>
      </c>
      <c r="S78">
        <v>5.9712030968664163</v>
      </c>
      <c r="T78">
        <v>487.21856949727999</v>
      </c>
      <c r="U78">
        <v>1.1892374054354541E-2</v>
      </c>
      <c r="V78">
        <v>72.730654260542451</v>
      </c>
      <c r="W78" t="s">
        <v>17</v>
      </c>
      <c r="X78">
        <v>92.826743341373984</v>
      </c>
      <c r="Y78">
        <v>0.48721856949727999</v>
      </c>
      <c r="Z78">
        <v>554.28733731203647</v>
      </c>
      <c r="AA78">
        <v>90.461012761868716</v>
      </c>
      <c r="AB78">
        <v>72.730654260542451</v>
      </c>
      <c r="AC78">
        <v>90.461012761868716</v>
      </c>
      <c r="AD78" s="2">
        <v>44166</v>
      </c>
    </row>
    <row r="79" spans="1:30" hidden="1" x14ac:dyDescent="0.25">
      <c r="A79">
        <v>-1</v>
      </c>
      <c r="B79" t="s">
        <v>106</v>
      </c>
      <c r="C79">
        <v>2020</v>
      </c>
      <c r="D79">
        <v>12</v>
      </c>
      <c r="E79" t="s">
        <v>159</v>
      </c>
      <c r="F79" t="s">
        <v>17</v>
      </c>
      <c r="G79" t="s">
        <v>17</v>
      </c>
      <c r="H79" t="s">
        <v>149</v>
      </c>
      <c r="I79" t="s">
        <v>149</v>
      </c>
      <c r="J79" t="s">
        <v>150</v>
      </c>
      <c r="K79" t="s">
        <v>159</v>
      </c>
      <c r="L79" t="s">
        <v>151</v>
      </c>
      <c r="M79">
        <v>1006.178525728615</v>
      </c>
      <c r="N79">
        <v>2</v>
      </c>
      <c r="O79" t="s">
        <v>152</v>
      </c>
      <c r="P79" s="2">
        <v>44656.074522685187</v>
      </c>
      <c r="Q79">
        <v>13</v>
      </c>
      <c r="R79" t="s">
        <v>154</v>
      </c>
      <c r="S79">
        <v>999.01736178925</v>
      </c>
      <c r="T79">
        <v>80066.712213082079</v>
      </c>
      <c r="U79">
        <v>1.9896640526976841</v>
      </c>
      <c r="V79">
        <v>12210.3206195807</v>
      </c>
      <c r="W79" t="s">
        <v>17</v>
      </c>
      <c r="X79">
        <v>91.178004790214999</v>
      </c>
      <c r="Y79">
        <v>80.06671221308207</v>
      </c>
      <c r="Z79">
        <v>91088.409798728186</v>
      </c>
      <c r="AA79">
        <v>15186.96594475211</v>
      </c>
      <c r="AB79">
        <v>12210.3206195807</v>
      </c>
      <c r="AC79">
        <v>15186.96594475211</v>
      </c>
      <c r="AD79" s="2">
        <v>44166</v>
      </c>
    </row>
    <row r="80" spans="1:30" hidden="1" x14ac:dyDescent="0.25">
      <c r="A80">
        <v>-1</v>
      </c>
      <c r="B80" t="s">
        <v>106</v>
      </c>
      <c r="C80">
        <v>2020</v>
      </c>
      <c r="D80">
        <v>12</v>
      </c>
      <c r="E80" t="s">
        <v>159</v>
      </c>
      <c r="F80" t="s">
        <v>17</v>
      </c>
      <c r="G80" t="s">
        <v>17</v>
      </c>
      <c r="H80" t="s">
        <v>149</v>
      </c>
      <c r="I80" t="s">
        <v>149</v>
      </c>
      <c r="J80" t="s">
        <v>150</v>
      </c>
      <c r="K80" t="s">
        <v>159</v>
      </c>
      <c r="L80" t="s">
        <v>151</v>
      </c>
      <c r="M80">
        <v>1006.178525728615</v>
      </c>
      <c r="N80">
        <v>2</v>
      </c>
      <c r="O80" t="s">
        <v>152</v>
      </c>
      <c r="P80" s="2">
        <v>44656.074522685187</v>
      </c>
      <c r="Q80">
        <v>5</v>
      </c>
      <c r="R80" t="s">
        <v>100</v>
      </c>
      <c r="S80">
        <v>7.7219383073244394</v>
      </c>
      <c r="T80">
        <v>603.68616103519457</v>
      </c>
      <c r="U80">
        <v>1.537917523246588E-2</v>
      </c>
      <c r="V80">
        <v>90.618626224123204</v>
      </c>
      <c r="W80" t="s">
        <v>17</v>
      </c>
      <c r="X80">
        <v>88.939773165410998</v>
      </c>
      <c r="Y80">
        <v>0.60368616103519457</v>
      </c>
      <c r="Z80">
        <v>686.78744145073335</v>
      </c>
      <c r="AA80">
        <v>112.709734109606</v>
      </c>
      <c r="AB80">
        <v>90.618626224123204</v>
      </c>
      <c r="AC80">
        <v>112.709734109606</v>
      </c>
      <c r="AD80" s="2">
        <v>44166</v>
      </c>
    </row>
    <row r="81" spans="1:30" hidden="1" x14ac:dyDescent="0.25">
      <c r="A81">
        <v>-1</v>
      </c>
      <c r="B81" t="s">
        <v>106</v>
      </c>
      <c r="C81">
        <v>2020</v>
      </c>
      <c r="D81">
        <v>12</v>
      </c>
      <c r="E81" t="s">
        <v>159</v>
      </c>
      <c r="F81" t="s">
        <v>17</v>
      </c>
      <c r="G81" t="s">
        <v>17</v>
      </c>
      <c r="H81" t="s">
        <v>149</v>
      </c>
      <c r="I81" t="s">
        <v>149</v>
      </c>
      <c r="J81" t="s">
        <v>150</v>
      </c>
      <c r="K81" t="s">
        <v>159</v>
      </c>
      <c r="L81" t="s">
        <v>151</v>
      </c>
      <c r="M81">
        <v>1006.178525728615</v>
      </c>
      <c r="N81">
        <v>2</v>
      </c>
      <c r="O81" t="s">
        <v>152</v>
      </c>
      <c r="P81" s="2">
        <v>44656.074522685187</v>
      </c>
      <c r="Q81">
        <v>11</v>
      </c>
      <c r="R81" t="s">
        <v>101</v>
      </c>
      <c r="S81">
        <v>24.44415413397321</v>
      </c>
      <c r="T81">
        <v>1998.2738496901161</v>
      </c>
      <c r="U81">
        <v>4.8683493039461338E-2</v>
      </c>
      <c r="V81">
        <v>298.26473377295099</v>
      </c>
      <c r="W81" t="s">
        <v>17</v>
      </c>
      <c r="X81">
        <v>93.00174909152399</v>
      </c>
      <c r="Y81">
        <v>1.9982738496901149</v>
      </c>
      <c r="Z81">
        <v>2273.3490895223158</v>
      </c>
      <c r="AA81">
        <v>370.97603703103363</v>
      </c>
      <c r="AB81">
        <v>298.26473377295099</v>
      </c>
      <c r="AC81">
        <v>370.97603703103363</v>
      </c>
      <c r="AD81" s="2">
        <v>44166</v>
      </c>
    </row>
    <row r="82" spans="1:30" hidden="1" x14ac:dyDescent="0.25">
      <c r="A82">
        <v>-1</v>
      </c>
      <c r="B82" t="s">
        <v>106</v>
      </c>
      <c r="C82">
        <v>2020</v>
      </c>
      <c r="D82">
        <v>12</v>
      </c>
      <c r="E82" t="s">
        <v>160</v>
      </c>
      <c r="F82" t="s">
        <v>17</v>
      </c>
      <c r="G82" t="s">
        <v>17</v>
      </c>
      <c r="H82" t="s">
        <v>149</v>
      </c>
      <c r="I82" t="s">
        <v>149</v>
      </c>
      <c r="J82" t="s">
        <v>150</v>
      </c>
      <c r="K82" t="s">
        <v>160</v>
      </c>
      <c r="L82" t="s">
        <v>151</v>
      </c>
      <c r="M82">
        <v>470.98476966899369</v>
      </c>
      <c r="N82">
        <v>1</v>
      </c>
      <c r="O82" t="s">
        <v>152</v>
      </c>
      <c r="P82" s="2">
        <v>44656.074522685187</v>
      </c>
      <c r="Q82">
        <v>31</v>
      </c>
      <c r="R82" t="s">
        <v>153</v>
      </c>
      <c r="S82">
        <v>4.7394704439469164</v>
      </c>
      <c r="T82">
        <v>386.71570409089941</v>
      </c>
      <c r="U82">
        <v>9.439229318552754E-3</v>
      </c>
      <c r="V82">
        <v>57.727861646115812</v>
      </c>
      <c r="W82" t="s">
        <v>17</v>
      </c>
      <c r="X82">
        <v>92.826743341373998</v>
      </c>
      <c r="Y82">
        <v>0.38671570409089939</v>
      </c>
      <c r="Z82">
        <v>439.94960647428832</v>
      </c>
      <c r="AA82">
        <v>71.800822942930111</v>
      </c>
      <c r="AB82">
        <v>57.727861646115812</v>
      </c>
      <c r="AC82">
        <v>71.800822942930111</v>
      </c>
      <c r="AD82" s="2">
        <v>44166</v>
      </c>
    </row>
    <row r="83" spans="1:30" hidden="1" x14ac:dyDescent="0.25">
      <c r="A83">
        <v>-1</v>
      </c>
      <c r="B83" t="s">
        <v>106</v>
      </c>
      <c r="C83">
        <v>2020</v>
      </c>
      <c r="D83">
        <v>12</v>
      </c>
      <c r="E83" t="s">
        <v>160</v>
      </c>
      <c r="F83" t="s">
        <v>17</v>
      </c>
      <c r="G83" t="s">
        <v>17</v>
      </c>
      <c r="H83" t="s">
        <v>149</v>
      </c>
      <c r="I83" t="s">
        <v>149</v>
      </c>
      <c r="J83" t="s">
        <v>150</v>
      </c>
      <c r="K83" t="s">
        <v>160</v>
      </c>
      <c r="L83" t="s">
        <v>151</v>
      </c>
      <c r="M83">
        <v>470.98476966899369</v>
      </c>
      <c r="N83">
        <v>1</v>
      </c>
      <c r="O83" t="s">
        <v>152</v>
      </c>
      <c r="P83" s="2">
        <v>44656.074522685187</v>
      </c>
      <c r="Q83">
        <v>13</v>
      </c>
      <c r="R83" t="s">
        <v>154</v>
      </c>
      <c r="S83">
        <v>455.79286559531818</v>
      </c>
      <c r="T83">
        <v>36529.73170860167</v>
      </c>
      <c r="U83">
        <v>0.90776668638355806</v>
      </c>
      <c r="V83">
        <v>5570.8511562488184</v>
      </c>
      <c r="W83" t="s">
        <v>17</v>
      </c>
      <c r="X83">
        <v>91.178004790215013</v>
      </c>
      <c r="Y83">
        <v>36.529731708601673</v>
      </c>
      <c r="Z83">
        <v>41558.284082595746</v>
      </c>
      <c r="AA83">
        <v>6928.9193485681817</v>
      </c>
      <c r="AB83">
        <v>5570.8511562488184</v>
      </c>
      <c r="AC83">
        <v>6928.9193485681817</v>
      </c>
      <c r="AD83" s="2">
        <v>44166</v>
      </c>
    </row>
    <row r="84" spans="1:30" hidden="1" x14ac:dyDescent="0.25">
      <c r="A84">
        <v>-1</v>
      </c>
      <c r="B84" t="s">
        <v>106</v>
      </c>
      <c r="C84">
        <v>2020</v>
      </c>
      <c r="D84">
        <v>12</v>
      </c>
      <c r="E84" t="s">
        <v>160</v>
      </c>
      <c r="F84" t="s">
        <v>17</v>
      </c>
      <c r="G84" t="s">
        <v>17</v>
      </c>
      <c r="H84" t="s">
        <v>149</v>
      </c>
      <c r="I84" t="s">
        <v>149</v>
      </c>
      <c r="J84" t="s">
        <v>150</v>
      </c>
      <c r="K84" t="s">
        <v>160</v>
      </c>
      <c r="L84" t="s">
        <v>151</v>
      </c>
      <c r="M84">
        <v>470.98476966899369</v>
      </c>
      <c r="N84">
        <v>1</v>
      </c>
      <c r="O84" t="s">
        <v>152</v>
      </c>
      <c r="P84" s="2">
        <v>44656.074522685187</v>
      </c>
      <c r="Q84">
        <v>5</v>
      </c>
      <c r="R84" t="s">
        <v>100</v>
      </c>
      <c r="S84">
        <v>6.3098171898437636</v>
      </c>
      <c r="T84">
        <v>493.28927072074572</v>
      </c>
      <c r="U84">
        <v>1.2566765025225361E-2</v>
      </c>
      <c r="V84">
        <v>74.04707765233583</v>
      </c>
      <c r="W84" t="s">
        <v>17</v>
      </c>
      <c r="X84">
        <v>88.939773165410998</v>
      </c>
      <c r="Y84">
        <v>0.49328927072074569</v>
      </c>
      <c r="Z84">
        <v>561.19370957991543</v>
      </c>
      <c r="AA84">
        <v>92.098355288974901</v>
      </c>
      <c r="AB84">
        <v>74.04707765233583</v>
      </c>
      <c r="AC84">
        <v>92.098355288974901</v>
      </c>
      <c r="AD84" s="2">
        <v>44166</v>
      </c>
    </row>
    <row r="85" spans="1:30" hidden="1" x14ac:dyDescent="0.25">
      <c r="A85">
        <v>-1</v>
      </c>
      <c r="B85" t="s">
        <v>106</v>
      </c>
      <c r="C85">
        <v>2020</v>
      </c>
      <c r="D85">
        <v>12</v>
      </c>
      <c r="E85" t="s">
        <v>160</v>
      </c>
      <c r="F85" t="s">
        <v>17</v>
      </c>
      <c r="G85" t="s">
        <v>17</v>
      </c>
      <c r="H85" t="s">
        <v>149</v>
      </c>
      <c r="I85" t="s">
        <v>149</v>
      </c>
      <c r="J85" t="s">
        <v>150</v>
      </c>
      <c r="K85" t="s">
        <v>160</v>
      </c>
      <c r="L85" t="s">
        <v>151</v>
      </c>
      <c r="M85">
        <v>470.98476966899369</v>
      </c>
      <c r="N85">
        <v>1</v>
      </c>
      <c r="O85" t="s">
        <v>152</v>
      </c>
      <c r="P85" s="2">
        <v>44656.074522685187</v>
      </c>
      <c r="Q85">
        <v>11</v>
      </c>
      <c r="R85" t="s">
        <v>101</v>
      </c>
      <c r="S85">
        <v>18.64231588013287</v>
      </c>
      <c r="T85">
        <v>1523.982057908795</v>
      </c>
      <c r="U85">
        <v>3.7128429579345361E-2</v>
      </c>
      <c r="V85">
        <v>227.47137628178979</v>
      </c>
      <c r="W85" t="s">
        <v>17</v>
      </c>
      <c r="X85">
        <v>93.001749091523976</v>
      </c>
      <c r="Y85">
        <v>1.523982057908795</v>
      </c>
      <c r="Z85">
        <v>1733.76798396905</v>
      </c>
      <c r="AA85">
        <v>282.92459736541019</v>
      </c>
      <c r="AB85">
        <v>227.47137628178979</v>
      </c>
      <c r="AC85">
        <v>282.92459736541019</v>
      </c>
      <c r="AD85" s="2">
        <v>44166</v>
      </c>
    </row>
    <row r="86" spans="1:30" x14ac:dyDescent="0.25">
      <c r="A86">
        <v>-1</v>
      </c>
      <c r="B86" t="s">
        <v>110</v>
      </c>
      <c r="C86">
        <v>2021</v>
      </c>
      <c r="D86">
        <v>1</v>
      </c>
      <c r="E86" t="s">
        <v>148</v>
      </c>
      <c r="F86" t="s">
        <v>93</v>
      </c>
      <c r="G86" t="s">
        <v>93</v>
      </c>
      <c r="H86" t="s">
        <v>149</v>
      </c>
      <c r="I86" t="s">
        <v>149</v>
      </c>
      <c r="J86" t="s">
        <v>161</v>
      </c>
      <c r="K86" t="s">
        <v>148</v>
      </c>
      <c r="L86" t="s">
        <v>151</v>
      </c>
      <c r="M86">
        <v>1919.29282858645</v>
      </c>
      <c r="N86">
        <v>4</v>
      </c>
      <c r="O86" t="s">
        <v>152</v>
      </c>
      <c r="P86" s="2">
        <v>44656.074522685187</v>
      </c>
      <c r="Q86">
        <v>31</v>
      </c>
      <c r="R86" t="s">
        <v>153</v>
      </c>
      <c r="S86">
        <v>16.923571006230219</v>
      </c>
      <c r="T86">
        <v>1522.8054287567991</v>
      </c>
      <c r="U86">
        <v>2.7961224579799521E-2</v>
      </c>
      <c r="V86">
        <v>171.0167275844384</v>
      </c>
      <c r="W86" t="s">
        <v>17</v>
      </c>
      <c r="X86">
        <v>99.426884060610107</v>
      </c>
      <c r="Y86">
        <v>1.5228054287567989</v>
      </c>
      <c r="Z86">
        <v>1682.6579323279541</v>
      </c>
      <c r="AA86">
        <v>222.0996462135563</v>
      </c>
      <c r="AB86">
        <v>171.0167275844384</v>
      </c>
      <c r="AC86">
        <v>222.0996462135563</v>
      </c>
      <c r="AD86" s="2">
        <v>44197</v>
      </c>
    </row>
    <row r="87" spans="1:30" x14ac:dyDescent="0.25">
      <c r="A87">
        <v>-1</v>
      </c>
      <c r="B87" t="s">
        <v>110</v>
      </c>
      <c r="C87">
        <v>2021</v>
      </c>
      <c r="D87">
        <v>1</v>
      </c>
      <c r="E87" t="s">
        <v>148</v>
      </c>
      <c r="F87" t="s">
        <v>93</v>
      </c>
      <c r="G87" t="s">
        <v>93</v>
      </c>
      <c r="H87" t="s">
        <v>149</v>
      </c>
      <c r="I87" t="s">
        <v>149</v>
      </c>
      <c r="J87" t="s">
        <v>161</v>
      </c>
      <c r="K87" t="s">
        <v>148</v>
      </c>
      <c r="L87" t="s">
        <v>151</v>
      </c>
      <c r="M87">
        <v>2186.571368769587</v>
      </c>
      <c r="N87">
        <v>4</v>
      </c>
      <c r="O87" t="s">
        <v>152</v>
      </c>
      <c r="P87" s="2">
        <v>44656.074522685187</v>
      </c>
      <c r="Q87">
        <v>31</v>
      </c>
      <c r="R87" t="s">
        <v>153</v>
      </c>
      <c r="S87">
        <v>16.923571006230219</v>
      </c>
      <c r="T87">
        <v>1522.8054287567991</v>
      </c>
      <c r="U87">
        <v>2.7961224579799521E-2</v>
      </c>
      <c r="V87">
        <v>171.0167275844384</v>
      </c>
      <c r="W87" t="s">
        <v>17</v>
      </c>
      <c r="X87">
        <v>99.426884060610107</v>
      </c>
      <c r="Y87">
        <v>1.5228054287567989</v>
      </c>
      <c r="Z87">
        <v>1682.6579323279541</v>
      </c>
      <c r="AA87">
        <v>222.0996462135563</v>
      </c>
      <c r="AB87">
        <v>171.0167275844384</v>
      </c>
      <c r="AC87">
        <v>222.0996462135563</v>
      </c>
      <c r="AD87" s="2">
        <v>44197</v>
      </c>
    </row>
    <row r="88" spans="1:30" x14ac:dyDescent="0.25">
      <c r="A88">
        <v>-1</v>
      </c>
      <c r="B88" t="s">
        <v>110</v>
      </c>
      <c r="C88">
        <v>2021</v>
      </c>
      <c r="D88">
        <v>1</v>
      </c>
      <c r="E88" t="s">
        <v>148</v>
      </c>
      <c r="F88" t="s">
        <v>93</v>
      </c>
      <c r="G88" t="s">
        <v>93</v>
      </c>
      <c r="H88" t="s">
        <v>149</v>
      </c>
      <c r="I88" t="s">
        <v>149</v>
      </c>
      <c r="J88" t="s">
        <v>161</v>
      </c>
      <c r="K88" t="s">
        <v>148</v>
      </c>
      <c r="L88" t="s">
        <v>151</v>
      </c>
      <c r="M88">
        <v>2211.5283155985389</v>
      </c>
      <c r="N88">
        <v>3</v>
      </c>
      <c r="O88" t="s">
        <v>152</v>
      </c>
      <c r="P88" s="2">
        <v>44656.074522685187</v>
      </c>
      <c r="Q88">
        <v>31</v>
      </c>
      <c r="R88" t="s">
        <v>153</v>
      </c>
      <c r="S88">
        <v>16.923571006230219</v>
      </c>
      <c r="T88">
        <v>1522.8054287567991</v>
      </c>
      <c r="U88">
        <v>2.7961224579799521E-2</v>
      </c>
      <c r="V88">
        <v>171.0167275844384</v>
      </c>
      <c r="W88" t="s">
        <v>17</v>
      </c>
      <c r="X88">
        <v>99.426884060610107</v>
      </c>
      <c r="Y88">
        <v>1.5228054287567989</v>
      </c>
      <c r="Z88">
        <v>1682.6579323279541</v>
      </c>
      <c r="AA88">
        <v>222.0996462135563</v>
      </c>
      <c r="AB88">
        <v>171.0167275844384</v>
      </c>
      <c r="AC88">
        <v>222.0996462135563</v>
      </c>
      <c r="AD88" s="2">
        <v>44197</v>
      </c>
    </row>
    <row r="89" spans="1:30" x14ac:dyDescent="0.25">
      <c r="A89">
        <v>-1</v>
      </c>
      <c r="B89" t="s">
        <v>110</v>
      </c>
      <c r="C89">
        <v>2021</v>
      </c>
      <c r="D89">
        <v>1</v>
      </c>
      <c r="E89" t="s">
        <v>148</v>
      </c>
      <c r="F89" t="s">
        <v>93</v>
      </c>
      <c r="G89" t="s">
        <v>93</v>
      </c>
      <c r="H89" t="s">
        <v>149</v>
      </c>
      <c r="I89" t="s">
        <v>149</v>
      </c>
      <c r="J89" t="s">
        <v>161</v>
      </c>
      <c r="K89" t="s">
        <v>148</v>
      </c>
      <c r="L89" t="s">
        <v>151</v>
      </c>
      <c r="M89">
        <v>1919.29282858645</v>
      </c>
      <c r="N89">
        <v>4</v>
      </c>
      <c r="O89" t="s">
        <v>152</v>
      </c>
      <c r="P89" s="2">
        <v>44656.074522685187</v>
      </c>
      <c r="Q89">
        <v>13</v>
      </c>
      <c r="R89" t="s">
        <v>154</v>
      </c>
      <c r="S89">
        <v>2112.0060997836908</v>
      </c>
      <c r="T89">
        <v>180367.55138324219</v>
      </c>
      <c r="U89">
        <v>3.4894690280330378</v>
      </c>
      <c r="V89">
        <v>20976.148578487089</v>
      </c>
      <c r="W89" t="s">
        <v>17</v>
      </c>
      <c r="X89">
        <v>94.365807830692859</v>
      </c>
      <c r="Y89">
        <v>180.36755138324219</v>
      </c>
      <c r="Z89">
        <v>199301.16174943891</v>
      </c>
      <c r="AA89">
        <v>27241.75140063258</v>
      </c>
      <c r="AB89">
        <v>20976.148578487089</v>
      </c>
      <c r="AC89">
        <v>27241.75140063258</v>
      </c>
      <c r="AD89" s="2">
        <v>44197</v>
      </c>
    </row>
    <row r="90" spans="1:30" x14ac:dyDescent="0.25">
      <c r="A90">
        <v>-1</v>
      </c>
      <c r="B90" t="s">
        <v>110</v>
      </c>
      <c r="C90">
        <v>2021</v>
      </c>
      <c r="D90">
        <v>1</v>
      </c>
      <c r="E90" t="s">
        <v>148</v>
      </c>
      <c r="F90" t="s">
        <v>93</v>
      </c>
      <c r="G90" t="s">
        <v>93</v>
      </c>
      <c r="H90" t="s">
        <v>149</v>
      </c>
      <c r="I90" t="s">
        <v>149</v>
      </c>
      <c r="J90" t="s">
        <v>161</v>
      </c>
      <c r="K90" t="s">
        <v>148</v>
      </c>
      <c r="L90" t="s">
        <v>151</v>
      </c>
      <c r="M90">
        <v>2186.571368769587</v>
      </c>
      <c r="N90">
        <v>4</v>
      </c>
      <c r="O90" t="s">
        <v>152</v>
      </c>
      <c r="P90" s="2">
        <v>44656.074522685187</v>
      </c>
      <c r="Q90">
        <v>13</v>
      </c>
      <c r="R90" t="s">
        <v>154</v>
      </c>
      <c r="S90">
        <v>2112.0060997836908</v>
      </c>
      <c r="T90">
        <v>180367.55138324219</v>
      </c>
      <c r="U90">
        <v>3.4894690280330378</v>
      </c>
      <c r="V90">
        <v>20976.148578487089</v>
      </c>
      <c r="W90" t="s">
        <v>17</v>
      </c>
      <c r="X90">
        <v>94.365807830692859</v>
      </c>
      <c r="Y90">
        <v>180.36755138324219</v>
      </c>
      <c r="Z90">
        <v>199301.16174943891</v>
      </c>
      <c r="AA90">
        <v>27241.75140063258</v>
      </c>
      <c r="AB90">
        <v>20976.148578487089</v>
      </c>
      <c r="AC90">
        <v>27241.75140063258</v>
      </c>
      <c r="AD90" s="2">
        <v>44197</v>
      </c>
    </row>
    <row r="91" spans="1:30" x14ac:dyDescent="0.25">
      <c r="A91">
        <v>-1</v>
      </c>
      <c r="B91" t="s">
        <v>110</v>
      </c>
      <c r="C91">
        <v>2021</v>
      </c>
      <c r="D91">
        <v>1</v>
      </c>
      <c r="E91" t="s">
        <v>148</v>
      </c>
      <c r="F91" t="s">
        <v>93</v>
      </c>
      <c r="G91" t="s">
        <v>93</v>
      </c>
      <c r="H91" t="s">
        <v>149</v>
      </c>
      <c r="I91" t="s">
        <v>149</v>
      </c>
      <c r="J91" t="s">
        <v>161</v>
      </c>
      <c r="K91" t="s">
        <v>148</v>
      </c>
      <c r="L91" t="s">
        <v>151</v>
      </c>
      <c r="M91">
        <v>2211.5283155985389</v>
      </c>
      <c r="N91">
        <v>3</v>
      </c>
      <c r="O91" t="s">
        <v>152</v>
      </c>
      <c r="P91" s="2">
        <v>44656.074522685187</v>
      </c>
      <c r="Q91">
        <v>13</v>
      </c>
      <c r="R91" t="s">
        <v>154</v>
      </c>
      <c r="S91">
        <v>2112.0060997836908</v>
      </c>
      <c r="T91">
        <v>180367.55138324219</v>
      </c>
      <c r="U91">
        <v>3.4894690280330378</v>
      </c>
      <c r="V91">
        <v>20976.148578487089</v>
      </c>
      <c r="W91" t="s">
        <v>17</v>
      </c>
      <c r="X91">
        <v>94.365807830692859</v>
      </c>
      <c r="Y91">
        <v>180.36755138324219</v>
      </c>
      <c r="Z91">
        <v>199301.16174943891</v>
      </c>
      <c r="AA91">
        <v>27241.75140063258</v>
      </c>
      <c r="AB91">
        <v>20976.148578487089</v>
      </c>
      <c r="AC91">
        <v>27241.75140063258</v>
      </c>
      <c r="AD91" s="2">
        <v>44197</v>
      </c>
    </row>
    <row r="92" spans="1:30" x14ac:dyDescent="0.25">
      <c r="A92">
        <v>-1</v>
      </c>
      <c r="B92" t="s">
        <v>110</v>
      </c>
      <c r="C92">
        <v>2021</v>
      </c>
      <c r="D92">
        <v>1</v>
      </c>
      <c r="E92" t="s">
        <v>148</v>
      </c>
      <c r="F92" t="s">
        <v>93</v>
      </c>
      <c r="G92" t="s">
        <v>93</v>
      </c>
      <c r="H92" t="s">
        <v>149</v>
      </c>
      <c r="I92" t="s">
        <v>149</v>
      </c>
      <c r="J92" t="s">
        <v>161</v>
      </c>
      <c r="K92" t="s">
        <v>148</v>
      </c>
      <c r="L92" t="s">
        <v>151</v>
      </c>
      <c r="M92">
        <v>1919.29282858645</v>
      </c>
      <c r="N92">
        <v>4</v>
      </c>
      <c r="O92" t="s">
        <v>152</v>
      </c>
      <c r="P92" s="2">
        <v>44656.074522685187</v>
      </c>
      <c r="Q92">
        <v>5</v>
      </c>
      <c r="R92" t="s">
        <v>100</v>
      </c>
      <c r="S92">
        <v>71.533310048019445</v>
      </c>
      <c r="T92">
        <v>5812.1137264316321</v>
      </c>
      <c r="U92">
        <v>0.1181877599268361</v>
      </c>
      <c r="V92">
        <v>695.02630829408429</v>
      </c>
      <c r="W92" t="s">
        <v>17</v>
      </c>
      <c r="X92">
        <v>89.779504230518484</v>
      </c>
      <c r="Y92">
        <v>5.8121137264316332</v>
      </c>
      <c r="Z92">
        <v>6422.2251120791516</v>
      </c>
      <c r="AA92">
        <v>902.63156921309644</v>
      </c>
      <c r="AB92">
        <v>695.02630829408429</v>
      </c>
      <c r="AC92">
        <v>902.63156921309644</v>
      </c>
      <c r="AD92" s="2">
        <v>44197</v>
      </c>
    </row>
    <row r="93" spans="1:30" x14ac:dyDescent="0.25">
      <c r="A93">
        <v>-1</v>
      </c>
      <c r="B93" t="s">
        <v>110</v>
      </c>
      <c r="C93">
        <v>2021</v>
      </c>
      <c r="D93">
        <v>1</v>
      </c>
      <c r="E93" t="s">
        <v>148</v>
      </c>
      <c r="F93" t="s">
        <v>93</v>
      </c>
      <c r="G93" t="s">
        <v>93</v>
      </c>
      <c r="H93" t="s">
        <v>149</v>
      </c>
      <c r="I93" t="s">
        <v>149</v>
      </c>
      <c r="J93" t="s">
        <v>161</v>
      </c>
      <c r="K93" t="s">
        <v>148</v>
      </c>
      <c r="L93" t="s">
        <v>151</v>
      </c>
      <c r="M93">
        <v>2186.571368769587</v>
      </c>
      <c r="N93">
        <v>4</v>
      </c>
      <c r="O93" t="s">
        <v>152</v>
      </c>
      <c r="P93" s="2">
        <v>44656.074522685187</v>
      </c>
      <c r="Q93">
        <v>5</v>
      </c>
      <c r="R93" t="s">
        <v>100</v>
      </c>
      <c r="S93">
        <v>71.533310048019445</v>
      </c>
      <c r="T93">
        <v>5812.1137264316321</v>
      </c>
      <c r="U93">
        <v>0.1181877599268361</v>
      </c>
      <c r="V93">
        <v>695.02630829408429</v>
      </c>
      <c r="W93" t="s">
        <v>17</v>
      </c>
      <c r="X93">
        <v>89.779504230518484</v>
      </c>
      <c r="Y93">
        <v>5.8121137264316332</v>
      </c>
      <c r="Z93">
        <v>6422.2251120791516</v>
      </c>
      <c r="AA93">
        <v>902.63156921309644</v>
      </c>
      <c r="AB93">
        <v>695.02630829408429</v>
      </c>
      <c r="AC93">
        <v>902.63156921309644</v>
      </c>
      <c r="AD93" s="2">
        <v>44197</v>
      </c>
    </row>
    <row r="94" spans="1:30" x14ac:dyDescent="0.25">
      <c r="A94">
        <v>-1</v>
      </c>
      <c r="B94" t="s">
        <v>110</v>
      </c>
      <c r="C94">
        <v>2021</v>
      </c>
      <c r="D94">
        <v>1</v>
      </c>
      <c r="E94" t="s">
        <v>148</v>
      </c>
      <c r="F94" t="s">
        <v>93</v>
      </c>
      <c r="G94" t="s">
        <v>93</v>
      </c>
      <c r="H94" t="s">
        <v>149</v>
      </c>
      <c r="I94" t="s">
        <v>149</v>
      </c>
      <c r="J94" t="s">
        <v>161</v>
      </c>
      <c r="K94" t="s">
        <v>148</v>
      </c>
      <c r="L94" t="s">
        <v>151</v>
      </c>
      <c r="M94">
        <v>2211.5283155985389</v>
      </c>
      <c r="N94">
        <v>3</v>
      </c>
      <c r="O94" t="s">
        <v>152</v>
      </c>
      <c r="P94" s="2">
        <v>44656.074522685187</v>
      </c>
      <c r="Q94">
        <v>5</v>
      </c>
      <c r="R94" t="s">
        <v>100</v>
      </c>
      <c r="S94">
        <v>71.533310048019445</v>
      </c>
      <c r="T94">
        <v>5812.1137264316321</v>
      </c>
      <c r="U94">
        <v>0.1181877599268361</v>
      </c>
      <c r="V94">
        <v>695.02630829408429</v>
      </c>
      <c r="W94" t="s">
        <v>17</v>
      </c>
      <c r="X94">
        <v>89.779504230518484</v>
      </c>
      <c r="Y94">
        <v>5.8121137264316332</v>
      </c>
      <c r="Z94">
        <v>6422.2251120791516</v>
      </c>
      <c r="AA94">
        <v>902.63156921309644</v>
      </c>
      <c r="AB94">
        <v>695.02630829408429</v>
      </c>
      <c r="AC94">
        <v>902.63156921309644</v>
      </c>
      <c r="AD94" s="2">
        <v>44197</v>
      </c>
    </row>
    <row r="95" spans="1:30" x14ac:dyDescent="0.25">
      <c r="A95">
        <v>-1</v>
      </c>
      <c r="B95" t="s">
        <v>110</v>
      </c>
      <c r="C95">
        <v>2021</v>
      </c>
      <c r="D95">
        <v>1</v>
      </c>
      <c r="E95" t="s">
        <v>148</v>
      </c>
      <c r="F95" t="s">
        <v>93</v>
      </c>
      <c r="G95" t="s">
        <v>93</v>
      </c>
      <c r="H95" t="s">
        <v>149</v>
      </c>
      <c r="I95" t="s">
        <v>149</v>
      </c>
      <c r="J95" t="s">
        <v>161</v>
      </c>
      <c r="K95" t="s">
        <v>148</v>
      </c>
      <c r="L95" t="s">
        <v>151</v>
      </c>
      <c r="M95">
        <v>1919.29282858645</v>
      </c>
      <c r="N95">
        <v>4</v>
      </c>
      <c r="O95" t="s">
        <v>152</v>
      </c>
      <c r="P95" s="2">
        <v>44656.074522685187</v>
      </c>
      <c r="Q95">
        <v>11</v>
      </c>
      <c r="R95" t="s">
        <v>101</v>
      </c>
      <c r="S95">
        <v>53.968563091236717</v>
      </c>
      <c r="T95">
        <v>4709.1471690798726</v>
      </c>
      <c r="U95">
        <v>8.9167180631535642E-2</v>
      </c>
      <c r="V95">
        <v>532.76514773320571</v>
      </c>
      <c r="W95" t="s">
        <v>17</v>
      </c>
      <c r="X95">
        <v>96.416825589707372</v>
      </c>
      <c r="Y95">
        <v>4.7091471690798743</v>
      </c>
      <c r="Z95">
        <v>5203.4775348948879</v>
      </c>
      <c r="AA95">
        <v>691.90278926390351</v>
      </c>
      <c r="AB95">
        <v>532.76514773320571</v>
      </c>
      <c r="AC95">
        <v>691.90278926390351</v>
      </c>
      <c r="AD95" s="2">
        <v>44197</v>
      </c>
    </row>
    <row r="96" spans="1:30" x14ac:dyDescent="0.25">
      <c r="A96">
        <v>-1</v>
      </c>
      <c r="B96" t="s">
        <v>110</v>
      </c>
      <c r="C96">
        <v>2021</v>
      </c>
      <c r="D96">
        <v>1</v>
      </c>
      <c r="E96" t="s">
        <v>148</v>
      </c>
      <c r="F96" t="s">
        <v>93</v>
      </c>
      <c r="G96" t="s">
        <v>93</v>
      </c>
      <c r="H96" t="s">
        <v>149</v>
      </c>
      <c r="I96" t="s">
        <v>149</v>
      </c>
      <c r="J96" t="s">
        <v>161</v>
      </c>
      <c r="K96" t="s">
        <v>148</v>
      </c>
      <c r="L96" t="s">
        <v>151</v>
      </c>
      <c r="M96">
        <v>2186.571368769587</v>
      </c>
      <c r="N96">
        <v>4</v>
      </c>
      <c r="O96" t="s">
        <v>152</v>
      </c>
      <c r="P96" s="2">
        <v>44656.074522685187</v>
      </c>
      <c r="Q96">
        <v>11</v>
      </c>
      <c r="R96" t="s">
        <v>101</v>
      </c>
      <c r="S96">
        <v>53.968563091236717</v>
      </c>
      <c r="T96">
        <v>4709.1471690798726</v>
      </c>
      <c r="U96">
        <v>8.9167180631535642E-2</v>
      </c>
      <c r="V96">
        <v>532.76514773320571</v>
      </c>
      <c r="W96" t="s">
        <v>17</v>
      </c>
      <c r="X96">
        <v>96.416825589707372</v>
      </c>
      <c r="Y96">
        <v>4.7091471690798743</v>
      </c>
      <c r="Z96">
        <v>5203.4775348948879</v>
      </c>
      <c r="AA96">
        <v>691.90278926390351</v>
      </c>
      <c r="AB96">
        <v>532.76514773320571</v>
      </c>
      <c r="AC96">
        <v>691.90278926390351</v>
      </c>
      <c r="AD96" s="2">
        <v>44197</v>
      </c>
    </row>
    <row r="97" spans="1:30" x14ac:dyDescent="0.25">
      <c r="A97">
        <v>-1</v>
      </c>
      <c r="B97" t="s">
        <v>110</v>
      </c>
      <c r="C97">
        <v>2021</v>
      </c>
      <c r="D97">
        <v>1</v>
      </c>
      <c r="E97" t="s">
        <v>148</v>
      </c>
      <c r="F97" t="s">
        <v>93</v>
      </c>
      <c r="G97" t="s">
        <v>93</v>
      </c>
      <c r="H97" t="s">
        <v>149</v>
      </c>
      <c r="I97" t="s">
        <v>149</v>
      </c>
      <c r="J97" t="s">
        <v>161</v>
      </c>
      <c r="K97" t="s">
        <v>148</v>
      </c>
      <c r="L97" t="s">
        <v>151</v>
      </c>
      <c r="M97">
        <v>2211.5283155985389</v>
      </c>
      <c r="N97">
        <v>3</v>
      </c>
      <c r="O97" t="s">
        <v>152</v>
      </c>
      <c r="P97" s="2">
        <v>44656.074522685187</v>
      </c>
      <c r="Q97">
        <v>11</v>
      </c>
      <c r="R97" t="s">
        <v>101</v>
      </c>
      <c r="S97">
        <v>53.968563091236717</v>
      </c>
      <c r="T97">
        <v>4709.1471690798726</v>
      </c>
      <c r="U97">
        <v>8.9167180631535642E-2</v>
      </c>
      <c r="V97">
        <v>532.76514773320571</v>
      </c>
      <c r="W97" t="s">
        <v>17</v>
      </c>
      <c r="X97">
        <v>96.416825589707372</v>
      </c>
      <c r="Y97">
        <v>4.7091471690798743</v>
      </c>
      <c r="Z97">
        <v>5203.4775348948879</v>
      </c>
      <c r="AA97">
        <v>691.90278926390351</v>
      </c>
      <c r="AB97">
        <v>532.76514773320571</v>
      </c>
      <c r="AC97">
        <v>691.90278926390351</v>
      </c>
      <c r="AD97" s="2">
        <v>44197</v>
      </c>
    </row>
    <row r="98" spans="1:30" x14ac:dyDescent="0.25">
      <c r="A98">
        <v>-1</v>
      </c>
      <c r="B98" t="s">
        <v>110</v>
      </c>
      <c r="C98">
        <v>2021</v>
      </c>
      <c r="D98">
        <v>1</v>
      </c>
      <c r="E98" t="s">
        <v>155</v>
      </c>
      <c r="F98" t="s">
        <v>93</v>
      </c>
      <c r="G98" t="s">
        <v>93</v>
      </c>
      <c r="H98" t="s">
        <v>149</v>
      </c>
      <c r="I98" t="s">
        <v>149</v>
      </c>
      <c r="J98" t="s">
        <v>161</v>
      </c>
      <c r="K98" t="s">
        <v>155</v>
      </c>
      <c r="L98" t="s">
        <v>151</v>
      </c>
      <c r="M98">
        <v>1324.352287473484</v>
      </c>
      <c r="N98">
        <v>2</v>
      </c>
      <c r="O98" t="s">
        <v>152</v>
      </c>
      <c r="P98" s="2">
        <v>44656.074522685187</v>
      </c>
      <c r="Q98">
        <v>31</v>
      </c>
      <c r="R98" t="s">
        <v>153</v>
      </c>
      <c r="S98">
        <v>12.65154329459801</v>
      </c>
      <c r="T98">
        <v>1138.4026931475059</v>
      </c>
      <c r="U98">
        <v>2.0902955009381989E-2</v>
      </c>
      <c r="V98">
        <v>127.84686709078611</v>
      </c>
      <c r="W98" t="s">
        <v>17</v>
      </c>
      <c r="X98">
        <v>99.426884060610121</v>
      </c>
      <c r="Y98">
        <v>1.138402693147506</v>
      </c>
      <c r="Z98">
        <v>1257.9035283397859</v>
      </c>
      <c r="AA98">
        <v>166.03489232569629</v>
      </c>
      <c r="AB98">
        <v>127.84686709078611</v>
      </c>
      <c r="AC98">
        <v>166.03489232569629</v>
      </c>
      <c r="AD98" s="2">
        <v>44197</v>
      </c>
    </row>
    <row r="99" spans="1:30" x14ac:dyDescent="0.25">
      <c r="A99">
        <v>-1</v>
      </c>
      <c r="B99" t="s">
        <v>110</v>
      </c>
      <c r="C99">
        <v>2021</v>
      </c>
      <c r="D99">
        <v>1</v>
      </c>
      <c r="E99" t="s">
        <v>155</v>
      </c>
      <c r="F99" t="s">
        <v>93</v>
      </c>
      <c r="G99" t="s">
        <v>93</v>
      </c>
      <c r="H99" t="s">
        <v>149</v>
      </c>
      <c r="I99" t="s">
        <v>149</v>
      </c>
      <c r="J99" t="s">
        <v>161</v>
      </c>
      <c r="K99" t="s">
        <v>155</v>
      </c>
      <c r="L99" t="s">
        <v>151</v>
      </c>
      <c r="M99">
        <v>1502.0027240024231</v>
      </c>
      <c r="N99">
        <v>2</v>
      </c>
      <c r="O99" t="s">
        <v>152</v>
      </c>
      <c r="P99" s="2">
        <v>44656.074522685187</v>
      </c>
      <c r="Q99">
        <v>31</v>
      </c>
      <c r="R99" t="s">
        <v>153</v>
      </c>
      <c r="S99">
        <v>12.65154329459801</v>
      </c>
      <c r="T99">
        <v>1138.4026931475059</v>
      </c>
      <c r="U99">
        <v>2.0902955009381989E-2</v>
      </c>
      <c r="V99">
        <v>127.84686709078611</v>
      </c>
      <c r="W99" t="s">
        <v>17</v>
      </c>
      <c r="X99">
        <v>99.426884060610121</v>
      </c>
      <c r="Y99">
        <v>1.138402693147506</v>
      </c>
      <c r="Z99">
        <v>1257.9035283397859</v>
      </c>
      <c r="AA99">
        <v>166.03489232569629</v>
      </c>
      <c r="AB99">
        <v>127.84686709078611</v>
      </c>
      <c r="AC99">
        <v>166.03489232569629</v>
      </c>
      <c r="AD99" s="2">
        <v>44197</v>
      </c>
    </row>
    <row r="100" spans="1:30" x14ac:dyDescent="0.25">
      <c r="A100">
        <v>-1</v>
      </c>
      <c r="B100" t="s">
        <v>110</v>
      </c>
      <c r="C100">
        <v>2021</v>
      </c>
      <c r="D100">
        <v>1</v>
      </c>
      <c r="E100" t="s">
        <v>155</v>
      </c>
      <c r="F100" t="s">
        <v>93</v>
      </c>
      <c r="G100" t="s">
        <v>93</v>
      </c>
      <c r="H100" t="s">
        <v>149</v>
      </c>
      <c r="I100" t="s">
        <v>149</v>
      </c>
      <c r="J100" t="s">
        <v>161</v>
      </c>
      <c r="K100" t="s">
        <v>155</v>
      </c>
      <c r="L100" t="s">
        <v>151</v>
      </c>
      <c r="M100">
        <v>1521.3475014958581</v>
      </c>
      <c r="N100">
        <v>2</v>
      </c>
      <c r="O100" t="s">
        <v>152</v>
      </c>
      <c r="P100" s="2">
        <v>44656.074522685187</v>
      </c>
      <c r="Q100">
        <v>31</v>
      </c>
      <c r="R100" t="s">
        <v>153</v>
      </c>
      <c r="S100">
        <v>12.65154329459801</v>
      </c>
      <c r="T100">
        <v>1138.4026931475059</v>
      </c>
      <c r="U100">
        <v>2.0902955009381989E-2</v>
      </c>
      <c r="V100">
        <v>127.84686709078611</v>
      </c>
      <c r="W100" t="s">
        <v>17</v>
      </c>
      <c r="X100">
        <v>99.426884060610121</v>
      </c>
      <c r="Y100">
        <v>1.138402693147506</v>
      </c>
      <c r="Z100">
        <v>1257.9035283397859</v>
      </c>
      <c r="AA100">
        <v>166.03489232569629</v>
      </c>
      <c r="AB100">
        <v>127.84686709078611</v>
      </c>
      <c r="AC100">
        <v>166.03489232569629</v>
      </c>
      <c r="AD100" s="2">
        <v>44197</v>
      </c>
    </row>
    <row r="101" spans="1:30" x14ac:dyDescent="0.25">
      <c r="A101">
        <v>-1</v>
      </c>
      <c r="B101" t="s">
        <v>110</v>
      </c>
      <c r="C101">
        <v>2021</v>
      </c>
      <c r="D101">
        <v>1</v>
      </c>
      <c r="E101" t="s">
        <v>155</v>
      </c>
      <c r="F101" t="s">
        <v>93</v>
      </c>
      <c r="G101" t="s">
        <v>93</v>
      </c>
      <c r="H101" t="s">
        <v>149</v>
      </c>
      <c r="I101" t="s">
        <v>149</v>
      </c>
      <c r="J101" t="s">
        <v>161</v>
      </c>
      <c r="K101" t="s">
        <v>155</v>
      </c>
      <c r="L101" t="s">
        <v>151</v>
      </c>
      <c r="M101">
        <v>1324.352287473484</v>
      </c>
      <c r="N101">
        <v>2</v>
      </c>
      <c r="O101" t="s">
        <v>152</v>
      </c>
      <c r="P101" s="2">
        <v>44656.074522685187</v>
      </c>
      <c r="Q101">
        <v>13</v>
      </c>
      <c r="R101" t="s">
        <v>154</v>
      </c>
      <c r="S101">
        <v>1469.736033273766</v>
      </c>
      <c r="T101">
        <v>125517.0094103701</v>
      </c>
      <c r="U101">
        <v>2.4283066076457849</v>
      </c>
      <c r="V101">
        <v>14597.212294161591</v>
      </c>
      <c r="W101" t="s">
        <v>17</v>
      </c>
      <c r="X101">
        <v>94.365807830692873</v>
      </c>
      <c r="Y101">
        <v>125.51700941037021</v>
      </c>
      <c r="Z101">
        <v>138692.82807775709</v>
      </c>
      <c r="AA101">
        <v>18957.418563846211</v>
      </c>
      <c r="AB101">
        <v>14597.212294161591</v>
      </c>
      <c r="AC101">
        <v>18957.418563846211</v>
      </c>
      <c r="AD101" s="2">
        <v>44197</v>
      </c>
    </row>
    <row r="102" spans="1:30" x14ac:dyDescent="0.25">
      <c r="A102">
        <v>-1</v>
      </c>
      <c r="B102" t="s">
        <v>110</v>
      </c>
      <c r="C102">
        <v>2021</v>
      </c>
      <c r="D102">
        <v>1</v>
      </c>
      <c r="E102" t="s">
        <v>155</v>
      </c>
      <c r="F102" t="s">
        <v>93</v>
      </c>
      <c r="G102" t="s">
        <v>93</v>
      </c>
      <c r="H102" t="s">
        <v>149</v>
      </c>
      <c r="I102" t="s">
        <v>149</v>
      </c>
      <c r="J102" t="s">
        <v>161</v>
      </c>
      <c r="K102" t="s">
        <v>155</v>
      </c>
      <c r="L102" t="s">
        <v>151</v>
      </c>
      <c r="M102">
        <v>1502.0027240024231</v>
      </c>
      <c r="N102">
        <v>2</v>
      </c>
      <c r="O102" t="s">
        <v>152</v>
      </c>
      <c r="P102" s="2">
        <v>44656.074522685187</v>
      </c>
      <c r="Q102">
        <v>13</v>
      </c>
      <c r="R102" t="s">
        <v>154</v>
      </c>
      <c r="S102">
        <v>1469.736033273766</v>
      </c>
      <c r="T102">
        <v>125517.0094103701</v>
      </c>
      <c r="U102">
        <v>2.4283066076457849</v>
      </c>
      <c r="V102">
        <v>14597.212294161591</v>
      </c>
      <c r="W102" t="s">
        <v>17</v>
      </c>
      <c r="X102">
        <v>94.365807830692873</v>
      </c>
      <c r="Y102">
        <v>125.51700941037021</v>
      </c>
      <c r="Z102">
        <v>138692.82807775709</v>
      </c>
      <c r="AA102">
        <v>18957.418563846211</v>
      </c>
      <c r="AB102">
        <v>14597.212294161591</v>
      </c>
      <c r="AC102">
        <v>18957.418563846211</v>
      </c>
      <c r="AD102" s="2">
        <v>44197</v>
      </c>
    </row>
    <row r="103" spans="1:30" x14ac:dyDescent="0.25">
      <c r="A103">
        <v>-1</v>
      </c>
      <c r="B103" t="s">
        <v>110</v>
      </c>
      <c r="C103">
        <v>2021</v>
      </c>
      <c r="D103">
        <v>1</v>
      </c>
      <c r="E103" t="s">
        <v>155</v>
      </c>
      <c r="F103" t="s">
        <v>93</v>
      </c>
      <c r="G103" t="s">
        <v>93</v>
      </c>
      <c r="H103" t="s">
        <v>149</v>
      </c>
      <c r="I103" t="s">
        <v>149</v>
      </c>
      <c r="J103" t="s">
        <v>161</v>
      </c>
      <c r="K103" t="s">
        <v>155</v>
      </c>
      <c r="L103" t="s">
        <v>151</v>
      </c>
      <c r="M103">
        <v>1521.3475014958581</v>
      </c>
      <c r="N103">
        <v>2</v>
      </c>
      <c r="O103" t="s">
        <v>152</v>
      </c>
      <c r="P103" s="2">
        <v>44656.074522685187</v>
      </c>
      <c r="Q103">
        <v>13</v>
      </c>
      <c r="R103" t="s">
        <v>154</v>
      </c>
      <c r="S103">
        <v>1469.736033273766</v>
      </c>
      <c r="T103">
        <v>125517.0094103701</v>
      </c>
      <c r="U103">
        <v>2.4283066076457849</v>
      </c>
      <c r="V103">
        <v>14597.212294161591</v>
      </c>
      <c r="W103" t="s">
        <v>17</v>
      </c>
      <c r="X103">
        <v>94.365807830692873</v>
      </c>
      <c r="Y103">
        <v>125.51700941037021</v>
      </c>
      <c r="Z103">
        <v>138692.82807775709</v>
      </c>
      <c r="AA103">
        <v>18957.418563846211</v>
      </c>
      <c r="AB103">
        <v>14597.212294161591</v>
      </c>
      <c r="AC103">
        <v>18957.418563846211</v>
      </c>
      <c r="AD103" s="2">
        <v>44197</v>
      </c>
    </row>
    <row r="104" spans="1:30" x14ac:dyDescent="0.25">
      <c r="A104">
        <v>-1</v>
      </c>
      <c r="B104" t="s">
        <v>110</v>
      </c>
      <c r="C104">
        <v>2021</v>
      </c>
      <c r="D104">
        <v>1</v>
      </c>
      <c r="E104" t="s">
        <v>155</v>
      </c>
      <c r="F104" t="s">
        <v>93</v>
      </c>
      <c r="G104" t="s">
        <v>93</v>
      </c>
      <c r="H104" t="s">
        <v>149</v>
      </c>
      <c r="I104" t="s">
        <v>149</v>
      </c>
      <c r="J104" t="s">
        <v>161</v>
      </c>
      <c r="K104" t="s">
        <v>155</v>
      </c>
      <c r="L104" t="s">
        <v>151</v>
      </c>
      <c r="M104">
        <v>1324.352287473484</v>
      </c>
      <c r="N104">
        <v>2</v>
      </c>
      <c r="O104" t="s">
        <v>152</v>
      </c>
      <c r="P104" s="2">
        <v>44656.074522685187</v>
      </c>
      <c r="Q104">
        <v>5</v>
      </c>
      <c r="R104" t="s">
        <v>100</v>
      </c>
      <c r="S104">
        <v>48.761862938091753</v>
      </c>
      <c r="T104">
        <v>3961.9233713442268</v>
      </c>
      <c r="U104">
        <v>8.056463969923669E-2</v>
      </c>
      <c r="V104">
        <v>473.77616890164268</v>
      </c>
      <c r="W104" t="s">
        <v>17</v>
      </c>
      <c r="X104">
        <v>89.779504230518484</v>
      </c>
      <c r="Y104">
        <v>3.9619233713442261</v>
      </c>
      <c r="Z104">
        <v>4377.8158799383718</v>
      </c>
      <c r="AA104">
        <v>615.29372584628925</v>
      </c>
      <c r="AB104">
        <v>473.77616890164268</v>
      </c>
      <c r="AC104">
        <v>615.29372584628925</v>
      </c>
      <c r="AD104" s="2">
        <v>44197</v>
      </c>
    </row>
    <row r="105" spans="1:30" x14ac:dyDescent="0.25">
      <c r="A105">
        <v>-1</v>
      </c>
      <c r="B105" t="s">
        <v>110</v>
      </c>
      <c r="C105">
        <v>2021</v>
      </c>
      <c r="D105">
        <v>1</v>
      </c>
      <c r="E105" t="s">
        <v>155</v>
      </c>
      <c r="F105" t="s">
        <v>93</v>
      </c>
      <c r="G105" t="s">
        <v>93</v>
      </c>
      <c r="H105" t="s">
        <v>149</v>
      </c>
      <c r="I105" t="s">
        <v>149</v>
      </c>
      <c r="J105" t="s">
        <v>161</v>
      </c>
      <c r="K105" t="s">
        <v>155</v>
      </c>
      <c r="L105" t="s">
        <v>151</v>
      </c>
      <c r="M105">
        <v>1502.0027240024231</v>
      </c>
      <c r="N105">
        <v>2</v>
      </c>
      <c r="O105" t="s">
        <v>152</v>
      </c>
      <c r="P105" s="2">
        <v>44656.074522685187</v>
      </c>
      <c r="Q105">
        <v>5</v>
      </c>
      <c r="R105" t="s">
        <v>100</v>
      </c>
      <c r="S105">
        <v>48.761862938091753</v>
      </c>
      <c r="T105">
        <v>3961.9233713442268</v>
      </c>
      <c r="U105">
        <v>8.056463969923669E-2</v>
      </c>
      <c r="V105">
        <v>473.77616890164268</v>
      </c>
      <c r="W105" t="s">
        <v>17</v>
      </c>
      <c r="X105">
        <v>89.779504230518484</v>
      </c>
      <c r="Y105">
        <v>3.9619233713442261</v>
      </c>
      <c r="Z105">
        <v>4377.8158799383718</v>
      </c>
      <c r="AA105">
        <v>615.29372584628925</v>
      </c>
      <c r="AB105">
        <v>473.77616890164268</v>
      </c>
      <c r="AC105">
        <v>615.29372584628925</v>
      </c>
      <c r="AD105" s="2">
        <v>44197</v>
      </c>
    </row>
    <row r="106" spans="1:30" x14ac:dyDescent="0.25">
      <c r="A106">
        <v>-1</v>
      </c>
      <c r="B106" t="s">
        <v>110</v>
      </c>
      <c r="C106">
        <v>2021</v>
      </c>
      <c r="D106">
        <v>1</v>
      </c>
      <c r="E106" t="s">
        <v>155</v>
      </c>
      <c r="F106" t="s">
        <v>93</v>
      </c>
      <c r="G106" t="s">
        <v>93</v>
      </c>
      <c r="H106" t="s">
        <v>149</v>
      </c>
      <c r="I106" t="s">
        <v>149</v>
      </c>
      <c r="J106" t="s">
        <v>161</v>
      </c>
      <c r="K106" t="s">
        <v>155</v>
      </c>
      <c r="L106" t="s">
        <v>151</v>
      </c>
      <c r="M106">
        <v>1521.3475014958581</v>
      </c>
      <c r="N106">
        <v>2</v>
      </c>
      <c r="O106" t="s">
        <v>152</v>
      </c>
      <c r="P106" s="2">
        <v>44656.074522685187</v>
      </c>
      <c r="Q106">
        <v>5</v>
      </c>
      <c r="R106" t="s">
        <v>100</v>
      </c>
      <c r="S106">
        <v>48.761862938091753</v>
      </c>
      <c r="T106">
        <v>3961.9233713442268</v>
      </c>
      <c r="U106">
        <v>8.056463969923669E-2</v>
      </c>
      <c r="V106">
        <v>473.77616890164268</v>
      </c>
      <c r="W106" t="s">
        <v>17</v>
      </c>
      <c r="X106">
        <v>89.779504230518484</v>
      </c>
      <c r="Y106">
        <v>3.9619233713442261</v>
      </c>
      <c r="Z106">
        <v>4377.8158799383718</v>
      </c>
      <c r="AA106">
        <v>615.29372584628925</v>
      </c>
      <c r="AB106">
        <v>473.77616890164268</v>
      </c>
      <c r="AC106">
        <v>615.29372584628925</v>
      </c>
      <c r="AD106" s="2">
        <v>44197</v>
      </c>
    </row>
    <row r="107" spans="1:30" x14ac:dyDescent="0.25">
      <c r="A107">
        <v>-1</v>
      </c>
      <c r="B107" t="s">
        <v>110</v>
      </c>
      <c r="C107">
        <v>2021</v>
      </c>
      <c r="D107">
        <v>1</v>
      </c>
      <c r="E107" t="s">
        <v>155</v>
      </c>
      <c r="F107" t="s">
        <v>93</v>
      </c>
      <c r="G107" t="s">
        <v>93</v>
      </c>
      <c r="H107" t="s">
        <v>149</v>
      </c>
      <c r="I107" t="s">
        <v>149</v>
      </c>
      <c r="J107" t="s">
        <v>161</v>
      </c>
      <c r="K107" t="s">
        <v>155</v>
      </c>
      <c r="L107" t="s">
        <v>151</v>
      </c>
      <c r="M107">
        <v>1324.352287473484</v>
      </c>
      <c r="N107">
        <v>2</v>
      </c>
      <c r="O107" t="s">
        <v>152</v>
      </c>
      <c r="P107" s="2">
        <v>44656.074522685187</v>
      </c>
      <c r="Q107">
        <v>11</v>
      </c>
      <c r="R107" t="s">
        <v>101</v>
      </c>
      <c r="S107">
        <v>37.413034893856363</v>
      </c>
      <c r="T107">
        <v>3264.557684429039</v>
      </c>
      <c r="U107">
        <v>6.1814038567503192E-2</v>
      </c>
      <c r="V107">
        <v>369.33281007827179</v>
      </c>
      <c r="W107" t="s">
        <v>17</v>
      </c>
      <c r="X107">
        <v>96.416825589707344</v>
      </c>
      <c r="Y107">
        <v>3.2645576844290392</v>
      </c>
      <c r="Z107">
        <v>3607.2460601425842</v>
      </c>
      <c r="AA107">
        <v>479.65300010165168</v>
      </c>
      <c r="AB107">
        <v>369.33281007827179</v>
      </c>
      <c r="AC107">
        <v>479.65300010165168</v>
      </c>
      <c r="AD107" s="2">
        <v>44197</v>
      </c>
    </row>
    <row r="108" spans="1:30" x14ac:dyDescent="0.25">
      <c r="A108">
        <v>-1</v>
      </c>
      <c r="B108" t="s">
        <v>110</v>
      </c>
      <c r="C108">
        <v>2021</v>
      </c>
      <c r="D108">
        <v>1</v>
      </c>
      <c r="E108" t="s">
        <v>155</v>
      </c>
      <c r="F108" t="s">
        <v>93</v>
      </c>
      <c r="G108" t="s">
        <v>93</v>
      </c>
      <c r="H108" t="s">
        <v>149</v>
      </c>
      <c r="I108" t="s">
        <v>149</v>
      </c>
      <c r="J108" t="s">
        <v>161</v>
      </c>
      <c r="K108" t="s">
        <v>155</v>
      </c>
      <c r="L108" t="s">
        <v>151</v>
      </c>
      <c r="M108">
        <v>1502.0027240024231</v>
      </c>
      <c r="N108">
        <v>2</v>
      </c>
      <c r="O108" t="s">
        <v>152</v>
      </c>
      <c r="P108" s="2">
        <v>44656.074522685187</v>
      </c>
      <c r="Q108">
        <v>11</v>
      </c>
      <c r="R108" t="s">
        <v>101</v>
      </c>
      <c r="S108">
        <v>37.413034893856363</v>
      </c>
      <c r="T108">
        <v>3264.557684429039</v>
      </c>
      <c r="U108">
        <v>6.1814038567503192E-2</v>
      </c>
      <c r="V108">
        <v>369.33281007827179</v>
      </c>
      <c r="W108" t="s">
        <v>17</v>
      </c>
      <c r="X108">
        <v>96.416825589707344</v>
      </c>
      <c r="Y108">
        <v>3.2645576844290392</v>
      </c>
      <c r="Z108">
        <v>3607.2460601425842</v>
      </c>
      <c r="AA108">
        <v>479.65300010165168</v>
      </c>
      <c r="AB108">
        <v>369.33281007827179</v>
      </c>
      <c r="AC108">
        <v>479.65300010165168</v>
      </c>
      <c r="AD108" s="2">
        <v>44197</v>
      </c>
    </row>
    <row r="109" spans="1:30" x14ac:dyDescent="0.25">
      <c r="A109">
        <v>-1</v>
      </c>
      <c r="B109" t="s">
        <v>110</v>
      </c>
      <c r="C109">
        <v>2021</v>
      </c>
      <c r="D109">
        <v>1</v>
      </c>
      <c r="E109" t="s">
        <v>155</v>
      </c>
      <c r="F109" t="s">
        <v>93</v>
      </c>
      <c r="G109" t="s">
        <v>93</v>
      </c>
      <c r="H109" t="s">
        <v>149</v>
      </c>
      <c r="I109" t="s">
        <v>149</v>
      </c>
      <c r="J109" t="s">
        <v>161</v>
      </c>
      <c r="K109" t="s">
        <v>155</v>
      </c>
      <c r="L109" t="s">
        <v>151</v>
      </c>
      <c r="M109">
        <v>1521.3475014958581</v>
      </c>
      <c r="N109">
        <v>2</v>
      </c>
      <c r="O109" t="s">
        <v>152</v>
      </c>
      <c r="P109" s="2">
        <v>44656.074522685187</v>
      </c>
      <c r="Q109">
        <v>11</v>
      </c>
      <c r="R109" t="s">
        <v>101</v>
      </c>
      <c r="S109">
        <v>37.413034893856363</v>
      </c>
      <c r="T109">
        <v>3264.557684429039</v>
      </c>
      <c r="U109">
        <v>6.1814038567503192E-2</v>
      </c>
      <c r="V109">
        <v>369.33281007827179</v>
      </c>
      <c r="W109" t="s">
        <v>17</v>
      </c>
      <c r="X109">
        <v>96.416825589707344</v>
      </c>
      <c r="Y109">
        <v>3.2645576844290392</v>
      </c>
      <c r="Z109">
        <v>3607.2460601425842</v>
      </c>
      <c r="AA109">
        <v>479.65300010165168</v>
      </c>
      <c r="AB109">
        <v>369.33281007827179</v>
      </c>
      <c r="AC109">
        <v>479.65300010165168</v>
      </c>
      <c r="AD109" s="2">
        <v>44197</v>
      </c>
    </row>
    <row r="110" spans="1:30" x14ac:dyDescent="0.25">
      <c r="A110">
        <v>-1</v>
      </c>
      <c r="B110" t="s">
        <v>110</v>
      </c>
      <c r="C110">
        <v>2021</v>
      </c>
      <c r="D110">
        <v>1</v>
      </c>
      <c r="E110" t="s">
        <v>156</v>
      </c>
      <c r="F110" t="s">
        <v>93</v>
      </c>
      <c r="G110" t="s">
        <v>93</v>
      </c>
      <c r="H110" t="s">
        <v>149</v>
      </c>
      <c r="I110" t="s">
        <v>149</v>
      </c>
      <c r="J110" t="s">
        <v>161</v>
      </c>
      <c r="K110" t="s">
        <v>156</v>
      </c>
      <c r="L110" t="s">
        <v>151</v>
      </c>
      <c r="M110">
        <v>374.1001468261407</v>
      </c>
      <c r="N110">
        <v>1</v>
      </c>
      <c r="O110" t="s">
        <v>152</v>
      </c>
      <c r="P110" s="2">
        <v>44656.074522685187</v>
      </c>
      <c r="Q110">
        <v>31</v>
      </c>
      <c r="R110" t="s">
        <v>153</v>
      </c>
      <c r="S110">
        <v>3.8095692593108681</v>
      </c>
      <c r="T110">
        <v>342.79010896506128</v>
      </c>
      <c r="U110">
        <v>6.2941929674698964E-3</v>
      </c>
      <c r="V110">
        <v>38.496607364590787</v>
      </c>
      <c r="W110" t="s">
        <v>17</v>
      </c>
      <c r="X110">
        <v>99.426884060610121</v>
      </c>
      <c r="Y110">
        <v>0.34279010896506118</v>
      </c>
      <c r="Z110">
        <v>378.77360106636598</v>
      </c>
      <c r="AA110">
        <v>49.995593979988037</v>
      </c>
      <c r="AB110">
        <v>38.496607364590787</v>
      </c>
      <c r="AC110">
        <v>49.995593979988037</v>
      </c>
      <c r="AD110" s="2">
        <v>44197</v>
      </c>
    </row>
    <row r="111" spans="1:30" x14ac:dyDescent="0.25">
      <c r="A111">
        <v>-1</v>
      </c>
      <c r="B111" t="s">
        <v>110</v>
      </c>
      <c r="C111">
        <v>2021</v>
      </c>
      <c r="D111">
        <v>1</v>
      </c>
      <c r="E111" t="s">
        <v>156</v>
      </c>
      <c r="F111" t="s">
        <v>93</v>
      </c>
      <c r="G111" t="s">
        <v>93</v>
      </c>
      <c r="H111" t="s">
        <v>149</v>
      </c>
      <c r="I111" t="s">
        <v>149</v>
      </c>
      <c r="J111" t="s">
        <v>161</v>
      </c>
      <c r="K111" t="s">
        <v>156</v>
      </c>
      <c r="L111" t="s">
        <v>151</v>
      </c>
      <c r="M111">
        <v>401.70111647401689</v>
      </c>
      <c r="N111">
        <v>1</v>
      </c>
      <c r="O111" t="s">
        <v>152</v>
      </c>
      <c r="P111" s="2">
        <v>44656.074522685187</v>
      </c>
      <c r="Q111">
        <v>31</v>
      </c>
      <c r="R111" t="s">
        <v>153</v>
      </c>
      <c r="S111">
        <v>3.8095692593108681</v>
      </c>
      <c r="T111">
        <v>342.79010896506128</v>
      </c>
      <c r="U111">
        <v>6.2941929674698964E-3</v>
      </c>
      <c r="V111">
        <v>38.496607364590787</v>
      </c>
      <c r="W111" t="s">
        <v>17</v>
      </c>
      <c r="X111">
        <v>99.426884060610121</v>
      </c>
      <c r="Y111">
        <v>0.34279010896506118</v>
      </c>
      <c r="Z111">
        <v>378.77360106636598</v>
      </c>
      <c r="AA111">
        <v>49.995593979988037</v>
      </c>
      <c r="AB111">
        <v>38.496607364590787</v>
      </c>
      <c r="AC111">
        <v>49.995593979988037</v>
      </c>
      <c r="AD111" s="2">
        <v>44197</v>
      </c>
    </row>
    <row r="112" spans="1:30" x14ac:dyDescent="0.25">
      <c r="A112">
        <v>-1</v>
      </c>
      <c r="B112" t="s">
        <v>110</v>
      </c>
      <c r="C112">
        <v>2021</v>
      </c>
      <c r="D112">
        <v>1</v>
      </c>
      <c r="E112" t="s">
        <v>156</v>
      </c>
      <c r="F112" t="s">
        <v>93</v>
      </c>
      <c r="G112" t="s">
        <v>93</v>
      </c>
      <c r="H112" t="s">
        <v>149</v>
      </c>
      <c r="I112" t="s">
        <v>149</v>
      </c>
      <c r="J112" t="s">
        <v>161</v>
      </c>
      <c r="K112" t="s">
        <v>156</v>
      </c>
      <c r="L112" t="s">
        <v>151</v>
      </c>
      <c r="M112">
        <v>408.94817471026539</v>
      </c>
      <c r="N112">
        <v>1</v>
      </c>
      <c r="O112" t="s">
        <v>152</v>
      </c>
      <c r="P112" s="2">
        <v>44656.074522685187</v>
      </c>
      <c r="Q112">
        <v>31</v>
      </c>
      <c r="R112" t="s">
        <v>153</v>
      </c>
      <c r="S112">
        <v>3.8095692593108681</v>
      </c>
      <c r="T112">
        <v>342.79010896506128</v>
      </c>
      <c r="U112">
        <v>6.2941929674698964E-3</v>
      </c>
      <c r="V112">
        <v>38.496607364590787</v>
      </c>
      <c r="W112" t="s">
        <v>17</v>
      </c>
      <c r="X112">
        <v>99.426884060610121</v>
      </c>
      <c r="Y112">
        <v>0.34279010896506118</v>
      </c>
      <c r="Z112">
        <v>378.77360106636598</v>
      </c>
      <c r="AA112">
        <v>49.995593979988037</v>
      </c>
      <c r="AB112">
        <v>38.496607364590787</v>
      </c>
      <c r="AC112">
        <v>49.995593979988037</v>
      </c>
      <c r="AD112" s="2">
        <v>44197</v>
      </c>
    </row>
    <row r="113" spans="1:30" x14ac:dyDescent="0.25">
      <c r="A113">
        <v>-1</v>
      </c>
      <c r="B113" t="s">
        <v>110</v>
      </c>
      <c r="C113">
        <v>2021</v>
      </c>
      <c r="D113">
        <v>1</v>
      </c>
      <c r="E113" t="s">
        <v>156</v>
      </c>
      <c r="F113" t="s">
        <v>93</v>
      </c>
      <c r="G113" t="s">
        <v>93</v>
      </c>
      <c r="H113" t="s">
        <v>149</v>
      </c>
      <c r="I113" t="s">
        <v>149</v>
      </c>
      <c r="J113" t="s">
        <v>161</v>
      </c>
      <c r="K113" t="s">
        <v>156</v>
      </c>
      <c r="L113" t="s">
        <v>151</v>
      </c>
      <c r="M113">
        <v>374.1001468261407</v>
      </c>
      <c r="N113">
        <v>1</v>
      </c>
      <c r="O113" t="s">
        <v>152</v>
      </c>
      <c r="P113" s="2">
        <v>44656.074522685187</v>
      </c>
      <c r="Q113">
        <v>13</v>
      </c>
      <c r="R113" t="s">
        <v>154</v>
      </c>
      <c r="S113">
        <v>396.87576601458579</v>
      </c>
      <c r="T113">
        <v>33893.609552894253</v>
      </c>
      <c r="U113">
        <v>0.65572049892593687</v>
      </c>
      <c r="V113">
        <v>3941.714484619838</v>
      </c>
      <c r="W113" t="s">
        <v>17</v>
      </c>
      <c r="X113">
        <v>94.365807830692845</v>
      </c>
      <c r="Y113">
        <v>33.893609552894247</v>
      </c>
      <c r="Z113">
        <v>37451.502268391429</v>
      </c>
      <c r="AA113">
        <v>5119.1097202855026</v>
      </c>
      <c r="AB113">
        <v>3941.714484619838</v>
      </c>
      <c r="AC113">
        <v>5119.1097202855026</v>
      </c>
      <c r="AD113" s="2">
        <v>44197</v>
      </c>
    </row>
    <row r="114" spans="1:30" x14ac:dyDescent="0.25">
      <c r="A114">
        <v>-1</v>
      </c>
      <c r="B114" t="s">
        <v>110</v>
      </c>
      <c r="C114">
        <v>2021</v>
      </c>
      <c r="D114">
        <v>1</v>
      </c>
      <c r="E114" t="s">
        <v>156</v>
      </c>
      <c r="F114" t="s">
        <v>93</v>
      </c>
      <c r="G114" t="s">
        <v>93</v>
      </c>
      <c r="H114" t="s">
        <v>149</v>
      </c>
      <c r="I114" t="s">
        <v>149</v>
      </c>
      <c r="J114" t="s">
        <v>161</v>
      </c>
      <c r="K114" t="s">
        <v>156</v>
      </c>
      <c r="L114" t="s">
        <v>151</v>
      </c>
      <c r="M114">
        <v>401.70111647401689</v>
      </c>
      <c r="N114">
        <v>1</v>
      </c>
      <c r="O114" t="s">
        <v>152</v>
      </c>
      <c r="P114" s="2">
        <v>44656.074522685187</v>
      </c>
      <c r="Q114">
        <v>13</v>
      </c>
      <c r="R114" t="s">
        <v>154</v>
      </c>
      <c r="S114">
        <v>396.87576601458579</v>
      </c>
      <c r="T114">
        <v>33893.609552894253</v>
      </c>
      <c r="U114">
        <v>0.65572049892593687</v>
      </c>
      <c r="V114">
        <v>3941.714484619838</v>
      </c>
      <c r="W114" t="s">
        <v>17</v>
      </c>
      <c r="X114">
        <v>94.365807830692845</v>
      </c>
      <c r="Y114">
        <v>33.893609552894247</v>
      </c>
      <c r="Z114">
        <v>37451.502268391429</v>
      </c>
      <c r="AA114">
        <v>5119.1097202855026</v>
      </c>
      <c r="AB114">
        <v>3941.714484619838</v>
      </c>
      <c r="AC114">
        <v>5119.1097202855026</v>
      </c>
      <c r="AD114" s="2">
        <v>44197</v>
      </c>
    </row>
    <row r="115" spans="1:30" x14ac:dyDescent="0.25">
      <c r="A115">
        <v>-1</v>
      </c>
      <c r="B115" t="s">
        <v>110</v>
      </c>
      <c r="C115">
        <v>2021</v>
      </c>
      <c r="D115">
        <v>1</v>
      </c>
      <c r="E115" t="s">
        <v>156</v>
      </c>
      <c r="F115" t="s">
        <v>93</v>
      </c>
      <c r="G115" t="s">
        <v>93</v>
      </c>
      <c r="H115" t="s">
        <v>149</v>
      </c>
      <c r="I115" t="s">
        <v>149</v>
      </c>
      <c r="J115" t="s">
        <v>161</v>
      </c>
      <c r="K115" t="s">
        <v>156</v>
      </c>
      <c r="L115" t="s">
        <v>151</v>
      </c>
      <c r="M115">
        <v>408.94817471026539</v>
      </c>
      <c r="N115">
        <v>1</v>
      </c>
      <c r="O115" t="s">
        <v>152</v>
      </c>
      <c r="P115" s="2">
        <v>44656.074522685187</v>
      </c>
      <c r="Q115">
        <v>13</v>
      </c>
      <c r="R115" t="s">
        <v>154</v>
      </c>
      <c r="S115">
        <v>396.87576601458579</v>
      </c>
      <c r="T115">
        <v>33893.609552894253</v>
      </c>
      <c r="U115">
        <v>0.65572049892593687</v>
      </c>
      <c r="V115">
        <v>3941.714484619838</v>
      </c>
      <c r="W115" t="s">
        <v>17</v>
      </c>
      <c r="X115">
        <v>94.365807830692845</v>
      </c>
      <c r="Y115">
        <v>33.893609552894247</v>
      </c>
      <c r="Z115">
        <v>37451.502268391429</v>
      </c>
      <c r="AA115">
        <v>5119.1097202855026</v>
      </c>
      <c r="AB115">
        <v>3941.714484619838</v>
      </c>
      <c r="AC115">
        <v>5119.1097202855026</v>
      </c>
      <c r="AD115" s="2">
        <v>44197</v>
      </c>
    </row>
    <row r="116" spans="1:30" x14ac:dyDescent="0.25">
      <c r="A116">
        <v>-1</v>
      </c>
      <c r="B116" t="s">
        <v>110</v>
      </c>
      <c r="C116">
        <v>2021</v>
      </c>
      <c r="D116">
        <v>1</v>
      </c>
      <c r="E116" t="s">
        <v>156</v>
      </c>
      <c r="F116" t="s">
        <v>93</v>
      </c>
      <c r="G116" t="s">
        <v>93</v>
      </c>
      <c r="H116" t="s">
        <v>149</v>
      </c>
      <c r="I116" t="s">
        <v>149</v>
      </c>
      <c r="J116" t="s">
        <v>161</v>
      </c>
      <c r="K116" t="s">
        <v>156</v>
      </c>
      <c r="L116" t="s">
        <v>151</v>
      </c>
      <c r="M116">
        <v>374.1001468261407</v>
      </c>
      <c r="N116">
        <v>1</v>
      </c>
      <c r="O116" t="s">
        <v>152</v>
      </c>
      <c r="P116" s="2">
        <v>44656.074522685187</v>
      </c>
      <c r="Q116">
        <v>5</v>
      </c>
      <c r="R116" t="s">
        <v>100</v>
      </c>
      <c r="S116">
        <v>10.91436282230657</v>
      </c>
      <c r="T116">
        <v>886.7969052767113</v>
      </c>
      <c r="U116">
        <v>1.8032775110381871E-2</v>
      </c>
      <c r="V116">
        <v>106.04527170178061</v>
      </c>
      <c r="W116" t="s">
        <v>17</v>
      </c>
      <c r="X116">
        <v>89.779504230518498</v>
      </c>
      <c r="Y116">
        <v>0.88679690527671129</v>
      </c>
      <c r="Z116">
        <v>979.88608317868648</v>
      </c>
      <c r="AA116">
        <v>137.72113208023461</v>
      </c>
      <c r="AB116">
        <v>106.04527170178061</v>
      </c>
      <c r="AC116">
        <v>137.72113208023461</v>
      </c>
      <c r="AD116" s="2">
        <v>44197</v>
      </c>
    </row>
    <row r="117" spans="1:30" x14ac:dyDescent="0.25">
      <c r="A117">
        <v>-1</v>
      </c>
      <c r="B117" t="s">
        <v>110</v>
      </c>
      <c r="C117">
        <v>2021</v>
      </c>
      <c r="D117">
        <v>1</v>
      </c>
      <c r="E117" t="s">
        <v>156</v>
      </c>
      <c r="F117" t="s">
        <v>93</v>
      </c>
      <c r="G117" t="s">
        <v>93</v>
      </c>
      <c r="H117" t="s">
        <v>149</v>
      </c>
      <c r="I117" t="s">
        <v>149</v>
      </c>
      <c r="J117" t="s">
        <v>161</v>
      </c>
      <c r="K117" t="s">
        <v>156</v>
      </c>
      <c r="L117" t="s">
        <v>151</v>
      </c>
      <c r="M117">
        <v>401.70111647401689</v>
      </c>
      <c r="N117">
        <v>1</v>
      </c>
      <c r="O117" t="s">
        <v>152</v>
      </c>
      <c r="P117" s="2">
        <v>44656.074522685187</v>
      </c>
      <c r="Q117">
        <v>5</v>
      </c>
      <c r="R117" t="s">
        <v>100</v>
      </c>
      <c r="S117">
        <v>10.91436282230657</v>
      </c>
      <c r="T117">
        <v>886.7969052767113</v>
      </c>
      <c r="U117">
        <v>1.8032775110381871E-2</v>
      </c>
      <c r="V117">
        <v>106.04527170178061</v>
      </c>
      <c r="W117" t="s">
        <v>17</v>
      </c>
      <c r="X117">
        <v>89.779504230518498</v>
      </c>
      <c r="Y117">
        <v>0.88679690527671129</v>
      </c>
      <c r="Z117">
        <v>979.88608317868648</v>
      </c>
      <c r="AA117">
        <v>137.72113208023461</v>
      </c>
      <c r="AB117">
        <v>106.04527170178061</v>
      </c>
      <c r="AC117">
        <v>137.72113208023461</v>
      </c>
      <c r="AD117" s="2">
        <v>44197</v>
      </c>
    </row>
    <row r="118" spans="1:30" x14ac:dyDescent="0.25">
      <c r="A118">
        <v>-1</v>
      </c>
      <c r="B118" t="s">
        <v>110</v>
      </c>
      <c r="C118">
        <v>2021</v>
      </c>
      <c r="D118">
        <v>1</v>
      </c>
      <c r="E118" t="s">
        <v>156</v>
      </c>
      <c r="F118" t="s">
        <v>93</v>
      </c>
      <c r="G118" t="s">
        <v>93</v>
      </c>
      <c r="H118" t="s">
        <v>149</v>
      </c>
      <c r="I118" t="s">
        <v>149</v>
      </c>
      <c r="J118" t="s">
        <v>161</v>
      </c>
      <c r="K118" t="s">
        <v>156</v>
      </c>
      <c r="L118" t="s">
        <v>151</v>
      </c>
      <c r="M118">
        <v>408.94817471026539</v>
      </c>
      <c r="N118">
        <v>1</v>
      </c>
      <c r="O118" t="s">
        <v>152</v>
      </c>
      <c r="P118" s="2">
        <v>44656.074522685187</v>
      </c>
      <c r="Q118">
        <v>5</v>
      </c>
      <c r="R118" t="s">
        <v>100</v>
      </c>
      <c r="S118">
        <v>10.91436282230657</v>
      </c>
      <c r="T118">
        <v>886.7969052767113</v>
      </c>
      <c r="U118">
        <v>1.8032775110381871E-2</v>
      </c>
      <c r="V118">
        <v>106.04527170178061</v>
      </c>
      <c r="W118" t="s">
        <v>17</v>
      </c>
      <c r="X118">
        <v>89.779504230518498</v>
      </c>
      <c r="Y118">
        <v>0.88679690527671129</v>
      </c>
      <c r="Z118">
        <v>979.88608317868648</v>
      </c>
      <c r="AA118">
        <v>137.72113208023461</v>
      </c>
      <c r="AB118">
        <v>106.04527170178061</v>
      </c>
      <c r="AC118">
        <v>137.72113208023461</v>
      </c>
      <c r="AD118" s="2">
        <v>44197</v>
      </c>
    </row>
    <row r="119" spans="1:30" x14ac:dyDescent="0.25">
      <c r="A119">
        <v>-1</v>
      </c>
      <c r="B119" t="s">
        <v>110</v>
      </c>
      <c r="C119">
        <v>2021</v>
      </c>
      <c r="D119">
        <v>1</v>
      </c>
      <c r="E119" t="s">
        <v>156</v>
      </c>
      <c r="F119" t="s">
        <v>93</v>
      </c>
      <c r="G119" t="s">
        <v>93</v>
      </c>
      <c r="H119" t="s">
        <v>149</v>
      </c>
      <c r="I119" t="s">
        <v>149</v>
      </c>
      <c r="J119" t="s">
        <v>161</v>
      </c>
      <c r="K119" t="s">
        <v>156</v>
      </c>
      <c r="L119" t="s">
        <v>151</v>
      </c>
      <c r="M119">
        <v>374.1001468261407</v>
      </c>
      <c r="N119">
        <v>1</v>
      </c>
      <c r="O119" t="s">
        <v>152</v>
      </c>
      <c r="P119" s="2">
        <v>44656.074522685187</v>
      </c>
      <c r="Q119">
        <v>11</v>
      </c>
      <c r="R119" t="s">
        <v>101</v>
      </c>
      <c r="S119">
        <v>10.04017063484741</v>
      </c>
      <c r="T119">
        <v>876.07744979684094</v>
      </c>
      <c r="U119">
        <v>1.658842958363381E-2</v>
      </c>
      <c r="V119">
        <v>99.114237718321633</v>
      </c>
      <c r="W119" t="s">
        <v>17</v>
      </c>
      <c r="X119">
        <v>96.416825589707358</v>
      </c>
      <c r="Y119">
        <v>0.87607744979684077</v>
      </c>
      <c r="Z119">
        <v>968.04138099098441</v>
      </c>
      <c r="AA119">
        <v>128.71978924457349</v>
      </c>
      <c r="AB119">
        <v>99.114237718321633</v>
      </c>
      <c r="AC119">
        <v>128.71978924457349</v>
      </c>
      <c r="AD119" s="2">
        <v>44197</v>
      </c>
    </row>
    <row r="120" spans="1:30" x14ac:dyDescent="0.25">
      <c r="A120">
        <v>-1</v>
      </c>
      <c r="B120" t="s">
        <v>110</v>
      </c>
      <c r="C120">
        <v>2021</v>
      </c>
      <c r="D120">
        <v>1</v>
      </c>
      <c r="E120" t="s">
        <v>156</v>
      </c>
      <c r="F120" t="s">
        <v>93</v>
      </c>
      <c r="G120" t="s">
        <v>93</v>
      </c>
      <c r="H120" t="s">
        <v>149</v>
      </c>
      <c r="I120" t="s">
        <v>149</v>
      </c>
      <c r="J120" t="s">
        <v>161</v>
      </c>
      <c r="K120" t="s">
        <v>156</v>
      </c>
      <c r="L120" t="s">
        <v>151</v>
      </c>
      <c r="M120">
        <v>401.70111647401689</v>
      </c>
      <c r="N120">
        <v>1</v>
      </c>
      <c r="O120" t="s">
        <v>152</v>
      </c>
      <c r="P120" s="2">
        <v>44656.074522685187</v>
      </c>
      <c r="Q120">
        <v>11</v>
      </c>
      <c r="R120" t="s">
        <v>101</v>
      </c>
      <c r="S120">
        <v>10.04017063484741</v>
      </c>
      <c r="T120">
        <v>876.07744979684094</v>
      </c>
      <c r="U120">
        <v>1.658842958363381E-2</v>
      </c>
      <c r="V120">
        <v>99.114237718321633</v>
      </c>
      <c r="W120" t="s">
        <v>17</v>
      </c>
      <c r="X120">
        <v>96.416825589707358</v>
      </c>
      <c r="Y120">
        <v>0.87607744979684077</v>
      </c>
      <c r="Z120">
        <v>968.04138099098441</v>
      </c>
      <c r="AA120">
        <v>128.71978924457349</v>
      </c>
      <c r="AB120">
        <v>99.114237718321633</v>
      </c>
      <c r="AC120">
        <v>128.71978924457349</v>
      </c>
      <c r="AD120" s="2">
        <v>44197</v>
      </c>
    </row>
    <row r="121" spans="1:30" x14ac:dyDescent="0.25">
      <c r="A121">
        <v>-1</v>
      </c>
      <c r="B121" t="s">
        <v>110</v>
      </c>
      <c r="C121">
        <v>2021</v>
      </c>
      <c r="D121">
        <v>1</v>
      </c>
      <c r="E121" t="s">
        <v>156</v>
      </c>
      <c r="F121" t="s">
        <v>93</v>
      </c>
      <c r="G121" t="s">
        <v>93</v>
      </c>
      <c r="H121" t="s">
        <v>149</v>
      </c>
      <c r="I121" t="s">
        <v>149</v>
      </c>
      <c r="J121" t="s">
        <v>161</v>
      </c>
      <c r="K121" t="s">
        <v>156</v>
      </c>
      <c r="L121" t="s">
        <v>151</v>
      </c>
      <c r="M121">
        <v>408.94817471026539</v>
      </c>
      <c r="N121">
        <v>1</v>
      </c>
      <c r="O121" t="s">
        <v>152</v>
      </c>
      <c r="P121" s="2">
        <v>44656.074522685187</v>
      </c>
      <c r="Q121">
        <v>11</v>
      </c>
      <c r="R121" t="s">
        <v>101</v>
      </c>
      <c r="S121">
        <v>10.04017063484741</v>
      </c>
      <c r="T121">
        <v>876.07744979684094</v>
      </c>
      <c r="U121">
        <v>1.658842958363381E-2</v>
      </c>
      <c r="V121">
        <v>99.114237718321633</v>
      </c>
      <c r="W121" t="s">
        <v>17</v>
      </c>
      <c r="X121">
        <v>96.416825589707358</v>
      </c>
      <c r="Y121">
        <v>0.87607744979684077</v>
      </c>
      <c r="Z121">
        <v>968.04138099098441</v>
      </c>
      <c r="AA121">
        <v>128.71978924457349</v>
      </c>
      <c r="AB121">
        <v>99.114237718321633</v>
      </c>
      <c r="AC121">
        <v>128.71978924457349</v>
      </c>
      <c r="AD121" s="2">
        <v>44197</v>
      </c>
    </row>
    <row r="122" spans="1:30" x14ac:dyDescent="0.25">
      <c r="A122">
        <v>-1</v>
      </c>
      <c r="B122" t="s">
        <v>110</v>
      </c>
      <c r="C122">
        <v>2021</v>
      </c>
      <c r="D122">
        <v>1</v>
      </c>
      <c r="E122" t="s">
        <v>157</v>
      </c>
      <c r="F122" t="s">
        <v>93</v>
      </c>
      <c r="G122" t="s">
        <v>93</v>
      </c>
      <c r="H122" t="s">
        <v>149</v>
      </c>
      <c r="I122" t="s">
        <v>149</v>
      </c>
      <c r="J122" t="s">
        <v>161</v>
      </c>
      <c r="K122" t="s">
        <v>157</v>
      </c>
      <c r="L122" t="s">
        <v>151</v>
      </c>
      <c r="M122">
        <v>141.86267084589741</v>
      </c>
      <c r="N122">
        <v>0</v>
      </c>
      <c r="O122" t="s">
        <v>152</v>
      </c>
      <c r="P122" s="2">
        <v>44656.074522685187</v>
      </c>
      <c r="Q122">
        <v>31</v>
      </c>
      <c r="R122" t="s">
        <v>153</v>
      </c>
      <c r="S122">
        <v>3.115867565029709</v>
      </c>
      <c r="T122">
        <v>280.36990783846409</v>
      </c>
      <c r="U122">
        <v>5.1480549060618037E-3</v>
      </c>
      <c r="V122">
        <v>31.48658603800018</v>
      </c>
      <c r="W122" t="s">
        <v>17</v>
      </c>
      <c r="X122">
        <v>99.426884060610121</v>
      </c>
      <c r="Y122">
        <v>0.28036990783846411</v>
      </c>
      <c r="Z122">
        <v>309.80100313642453</v>
      </c>
      <c r="AA122">
        <v>40.891670179221023</v>
      </c>
      <c r="AB122">
        <v>31.48658603800018</v>
      </c>
      <c r="AC122">
        <v>40.891670179221023</v>
      </c>
      <c r="AD122" s="2">
        <v>44197</v>
      </c>
    </row>
    <row r="123" spans="1:30" x14ac:dyDescent="0.25">
      <c r="A123">
        <v>-1</v>
      </c>
      <c r="B123" t="s">
        <v>110</v>
      </c>
      <c r="C123">
        <v>2021</v>
      </c>
      <c r="D123">
        <v>1</v>
      </c>
      <c r="E123" t="s">
        <v>157</v>
      </c>
      <c r="F123" t="s">
        <v>93</v>
      </c>
      <c r="G123" t="s">
        <v>93</v>
      </c>
      <c r="H123" t="s">
        <v>149</v>
      </c>
      <c r="I123" t="s">
        <v>149</v>
      </c>
      <c r="J123" t="s">
        <v>161</v>
      </c>
      <c r="K123" t="s">
        <v>157</v>
      </c>
      <c r="L123" t="s">
        <v>151</v>
      </c>
      <c r="M123">
        <v>163.21718935435121</v>
      </c>
      <c r="N123">
        <v>0</v>
      </c>
      <c r="O123" t="s">
        <v>152</v>
      </c>
      <c r="P123" s="2">
        <v>44656.074522685187</v>
      </c>
      <c r="Q123">
        <v>31</v>
      </c>
      <c r="R123" t="s">
        <v>153</v>
      </c>
      <c r="S123">
        <v>3.115867565029709</v>
      </c>
      <c r="T123">
        <v>280.36990783846409</v>
      </c>
      <c r="U123">
        <v>5.1480549060618037E-3</v>
      </c>
      <c r="V123">
        <v>31.48658603800018</v>
      </c>
      <c r="W123" t="s">
        <v>17</v>
      </c>
      <c r="X123">
        <v>99.426884060610121</v>
      </c>
      <c r="Y123">
        <v>0.28036990783846411</v>
      </c>
      <c r="Z123">
        <v>309.80100313642453</v>
      </c>
      <c r="AA123">
        <v>40.891670179221023</v>
      </c>
      <c r="AB123">
        <v>31.48658603800018</v>
      </c>
      <c r="AC123">
        <v>40.891670179221023</v>
      </c>
      <c r="AD123" s="2">
        <v>44197</v>
      </c>
    </row>
    <row r="124" spans="1:30" x14ac:dyDescent="0.25">
      <c r="A124">
        <v>-1</v>
      </c>
      <c r="B124" t="s">
        <v>110</v>
      </c>
      <c r="C124">
        <v>2021</v>
      </c>
      <c r="D124">
        <v>1</v>
      </c>
      <c r="E124" t="s">
        <v>157</v>
      </c>
      <c r="F124" t="s">
        <v>93</v>
      </c>
      <c r="G124" t="s">
        <v>93</v>
      </c>
      <c r="H124" t="s">
        <v>149</v>
      </c>
      <c r="I124" t="s">
        <v>149</v>
      </c>
      <c r="J124" t="s">
        <v>161</v>
      </c>
      <c r="K124" t="s">
        <v>157</v>
      </c>
      <c r="L124" t="s">
        <v>151</v>
      </c>
      <c r="M124">
        <v>166.9949017555621</v>
      </c>
      <c r="N124">
        <v>0</v>
      </c>
      <c r="O124" t="s">
        <v>152</v>
      </c>
      <c r="P124" s="2">
        <v>44656.074522685187</v>
      </c>
      <c r="Q124">
        <v>31</v>
      </c>
      <c r="R124" t="s">
        <v>153</v>
      </c>
      <c r="S124">
        <v>3.115867565029709</v>
      </c>
      <c r="T124">
        <v>280.36990783846409</v>
      </c>
      <c r="U124">
        <v>5.1480549060618037E-3</v>
      </c>
      <c r="V124">
        <v>31.48658603800018</v>
      </c>
      <c r="W124" t="s">
        <v>17</v>
      </c>
      <c r="X124">
        <v>99.426884060610121</v>
      </c>
      <c r="Y124">
        <v>0.28036990783846411</v>
      </c>
      <c r="Z124">
        <v>309.80100313642453</v>
      </c>
      <c r="AA124">
        <v>40.891670179221023</v>
      </c>
      <c r="AB124">
        <v>31.48658603800018</v>
      </c>
      <c r="AC124">
        <v>40.891670179221023</v>
      </c>
      <c r="AD124" s="2">
        <v>44197</v>
      </c>
    </row>
    <row r="125" spans="1:30" x14ac:dyDescent="0.25">
      <c r="A125">
        <v>-1</v>
      </c>
      <c r="B125" t="s">
        <v>110</v>
      </c>
      <c r="C125">
        <v>2021</v>
      </c>
      <c r="D125">
        <v>1</v>
      </c>
      <c r="E125" t="s">
        <v>157</v>
      </c>
      <c r="F125" t="s">
        <v>93</v>
      </c>
      <c r="G125" t="s">
        <v>93</v>
      </c>
      <c r="H125" t="s">
        <v>149</v>
      </c>
      <c r="I125" t="s">
        <v>149</v>
      </c>
      <c r="J125" t="s">
        <v>161</v>
      </c>
      <c r="K125" t="s">
        <v>157</v>
      </c>
      <c r="L125" t="s">
        <v>151</v>
      </c>
      <c r="M125">
        <v>141.86267084589741</v>
      </c>
      <c r="N125">
        <v>0</v>
      </c>
      <c r="O125" t="s">
        <v>152</v>
      </c>
      <c r="P125" s="2">
        <v>44656.074522685187</v>
      </c>
      <c r="Q125">
        <v>13</v>
      </c>
      <c r="R125" t="s">
        <v>154</v>
      </c>
      <c r="S125">
        <v>151.6421918675436</v>
      </c>
      <c r="T125">
        <v>12950.4033328019</v>
      </c>
      <c r="U125">
        <v>0.25054413049234647</v>
      </c>
      <c r="V125">
        <v>1506.088996479139</v>
      </c>
      <c r="W125" t="s">
        <v>17</v>
      </c>
      <c r="X125">
        <v>94.365807830692873</v>
      </c>
      <c r="Y125">
        <v>12.950403332801899</v>
      </c>
      <c r="Z125">
        <v>14309.83793679768</v>
      </c>
      <c r="AA125">
        <v>1955.9597356871941</v>
      </c>
      <c r="AB125">
        <v>1506.088996479139</v>
      </c>
      <c r="AC125">
        <v>1955.9597356871941</v>
      </c>
      <c r="AD125" s="2">
        <v>44197</v>
      </c>
    </row>
    <row r="126" spans="1:30" x14ac:dyDescent="0.25">
      <c r="A126">
        <v>-1</v>
      </c>
      <c r="B126" t="s">
        <v>110</v>
      </c>
      <c r="C126">
        <v>2021</v>
      </c>
      <c r="D126">
        <v>1</v>
      </c>
      <c r="E126" t="s">
        <v>157</v>
      </c>
      <c r="F126" t="s">
        <v>93</v>
      </c>
      <c r="G126" t="s">
        <v>93</v>
      </c>
      <c r="H126" t="s">
        <v>149</v>
      </c>
      <c r="I126" t="s">
        <v>149</v>
      </c>
      <c r="J126" t="s">
        <v>161</v>
      </c>
      <c r="K126" t="s">
        <v>157</v>
      </c>
      <c r="L126" t="s">
        <v>151</v>
      </c>
      <c r="M126">
        <v>163.21718935435121</v>
      </c>
      <c r="N126">
        <v>0</v>
      </c>
      <c r="O126" t="s">
        <v>152</v>
      </c>
      <c r="P126" s="2">
        <v>44656.074522685187</v>
      </c>
      <c r="Q126">
        <v>13</v>
      </c>
      <c r="R126" t="s">
        <v>154</v>
      </c>
      <c r="S126">
        <v>151.6421918675436</v>
      </c>
      <c r="T126">
        <v>12950.4033328019</v>
      </c>
      <c r="U126">
        <v>0.25054413049234647</v>
      </c>
      <c r="V126">
        <v>1506.088996479139</v>
      </c>
      <c r="W126" t="s">
        <v>17</v>
      </c>
      <c r="X126">
        <v>94.365807830692873</v>
      </c>
      <c r="Y126">
        <v>12.950403332801899</v>
      </c>
      <c r="Z126">
        <v>14309.83793679768</v>
      </c>
      <c r="AA126">
        <v>1955.9597356871941</v>
      </c>
      <c r="AB126">
        <v>1506.088996479139</v>
      </c>
      <c r="AC126">
        <v>1955.9597356871941</v>
      </c>
      <c r="AD126" s="2">
        <v>44197</v>
      </c>
    </row>
    <row r="127" spans="1:30" x14ac:dyDescent="0.25">
      <c r="A127">
        <v>-1</v>
      </c>
      <c r="B127" t="s">
        <v>110</v>
      </c>
      <c r="C127">
        <v>2021</v>
      </c>
      <c r="D127">
        <v>1</v>
      </c>
      <c r="E127" t="s">
        <v>157</v>
      </c>
      <c r="F127" t="s">
        <v>93</v>
      </c>
      <c r="G127" t="s">
        <v>93</v>
      </c>
      <c r="H127" t="s">
        <v>149</v>
      </c>
      <c r="I127" t="s">
        <v>149</v>
      </c>
      <c r="J127" t="s">
        <v>161</v>
      </c>
      <c r="K127" t="s">
        <v>157</v>
      </c>
      <c r="L127" t="s">
        <v>151</v>
      </c>
      <c r="M127">
        <v>166.9949017555621</v>
      </c>
      <c r="N127">
        <v>0</v>
      </c>
      <c r="O127" t="s">
        <v>152</v>
      </c>
      <c r="P127" s="2">
        <v>44656.074522685187</v>
      </c>
      <c r="Q127">
        <v>13</v>
      </c>
      <c r="R127" t="s">
        <v>154</v>
      </c>
      <c r="S127">
        <v>151.6421918675436</v>
      </c>
      <c r="T127">
        <v>12950.4033328019</v>
      </c>
      <c r="U127">
        <v>0.25054413049234647</v>
      </c>
      <c r="V127">
        <v>1506.088996479139</v>
      </c>
      <c r="W127" t="s">
        <v>17</v>
      </c>
      <c r="X127">
        <v>94.365807830692873</v>
      </c>
      <c r="Y127">
        <v>12.950403332801899</v>
      </c>
      <c r="Z127">
        <v>14309.83793679768</v>
      </c>
      <c r="AA127">
        <v>1955.9597356871941</v>
      </c>
      <c r="AB127">
        <v>1506.088996479139</v>
      </c>
      <c r="AC127">
        <v>1955.9597356871941</v>
      </c>
      <c r="AD127" s="2">
        <v>44197</v>
      </c>
    </row>
    <row r="128" spans="1:30" x14ac:dyDescent="0.25">
      <c r="A128">
        <v>-1</v>
      </c>
      <c r="B128" t="s">
        <v>110</v>
      </c>
      <c r="C128">
        <v>2021</v>
      </c>
      <c r="D128">
        <v>1</v>
      </c>
      <c r="E128" t="s">
        <v>157</v>
      </c>
      <c r="F128" t="s">
        <v>93</v>
      </c>
      <c r="G128" t="s">
        <v>93</v>
      </c>
      <c r="H128" t="s">
        <v>149</v>
      </c>
      <c r="I128" t="s">
        <v>149</v>
      </c>
      <c r="J128" t="s">
        <v>161</v>
      </c>
      <c r="K128" t="s">
        <v>157</v>
      </c>
      <c r="L128" t="s">
        <v>151</v>
      </c>
      <c r="M128">
        <v>141.86267084589741</v>
      </c>
      <c r="N128">
        <v>0</v>
      </c>
      <c r="O128" t="s">
        <v>152</v>
      </c>
      <c r="P128" s="2">
        <v>44656.074522685187</v>
      </c>
      <c r="Q128">
        <v>5</v>
      </c>
      <c r="R128" t="s">
        <v>100</v>
      </c>
      <c r="S128">
        <v>7.7560889394666601</v>
      </c>
      <c r="T128">
        <v>630.18572687657775</v>
      </c>
      <c r="U128">
        <v>1.2814656234047071E-2</v>
      </c>
      <c r="V128">
        <v>75.359099960275685</v>
      </c>
      <c r="W128" t="s">
        <v>17</v>
      </c>
      <c r="X128">
        <v>89.779504230518469</v>
      </c>
      <c r="Y128">
        <v>0.63018572687657781</v>
      </c>
      <c r="Z128">
        <v>696.33781975312456</v>
      </c>
      <c r="AA128">
        <v>97.868960987371025</v>
      </c>
      <c r="AB128">
        <v>75.359099960275685</v>
      </c>
      <c r="AC128">
        <v>97.868960987371025</v>
      </c>
      <c r="AD128" s="2">
        <v>44197</v>
      </c>
    </row>
    <row r="129" spans="1:30" x14ac:dyDescent="0.25">
      <c r="A129">
        <v>-1</v>
      </c>
      <c r="B129" t="s">
        <v>110</v>
      </c>
      <c r="C129">
        <v>2021</v>
      </c>
      <c r="D129">
        <v>1</v>
      </c>
      <c r="E129" t="s">
        <v>157</v>
      </c>
      <c r="F129" t="s">
        <v>93</v>
      </c>
      <c r="G129" t="s">
        <v>93</v>
      </c>
      <c r="H129" t="s">
        <v>149</v>
      </c>
      <c r="I129" t="s">
        <v>149</v>
      </c>
      <c r="J129" t="s">
        <v>161</v>
      </c>
      <c r="K129" t="s">
        <v>157</v>
      </c>
      <c r="L129" t="s">
        <v>151</v>
      </c>
      <c r="M129">
        <v>163.21718935435121</v>
      </c>
      <c r="N129">
        <v>0</v>
      </c>
      <c r="O129" t="s">
        <v>152</v>
      </c>
      <c r="P129" s="2">
        <v>44656.074522685187</v>
      </c>
      <c r="Q129">
        <v>5</v>
      </c>
      <c r="R129" t="s">
        <v>100</v>
      </c>
      <c r="S129">
        <v>7.7560889394666601</v>
      </c>
      <c r="T129">
        <v>630.18572687657775</v>
      </c>
      <c r="U129">
        <v>1.2814656234047071E-2</v>
      </c>
      <c r="V129">
        <v>75.359099960275685</v>
      </c>
      <c r="W129" t="s">
        <v>17</v>
      </c>
      <c r="X129">
        <v>89.779504230518469</v>
      </c>
      <c r="Y129">
        <v>0.63018572687657781</v>
      </c>
      <c r="Z129">
        <v>696.33781975312456</v>
      </c>
      <c r="AA129">
        <v>97.868960987371025</v>
      </c>
      <c r="AB129">
        <v>75.359099960275685</v>
      </c>
      <c r="AC129">
        <v>97.868960987371025</v>
      </c>
      <c r="AD129" s="2">
        <v>44197</v>
      </c>
    </row>
    <row r="130" spans="1:30" x14ac:dyDescent="0.25">
      <c r="A130">
        <v>-1</v>
      </c>
      <c r="B130" t="s">
        <v>110</v>
      </c>
      <c r="C130">
        <v>2021</v>
      </c>
      <c r="D130">
        <v>1</v>
      </c>
      <c r="E130" t="s">
        <v>157</v>
      </c>
      <c r="F130" t="s">
        <v>93</v>
      </c>
      <c r="G130" t="s">
        <v>93</v>
      </c>
      <c r="H130" t="s">
        <v>149</v>
      </c>
      <c r="I130" t="s">
        <v>149</v>
      </c>
      <c r="J130" t="s">
        <v>161</v>
      </c>
      <c r="K130" t="s">
        <v>157</v>
      </c>
      <c r="L130" t="s">
        <v>151</v>
      </c>
      <c r="M130">
        <v>166.9949017555621</v>
      </c>
      <c r="N130">
        <v>0</v>
      </c>
      <c r="O130" t="s">
        <v>152</v>
      </c>
      <c r="P130" s="2">
        <v>44656.074522685187</v>
      </c>
      <c r="Q130">
        <v>5</v>
      </c>
      <c r="R130" t="s">
        <v>100</v>
      </c>
      <c r="S130">
        <v>7.7560889394666601</v>
      </c>
      <c r="T130">
        <v>630.18572687657775</v>
      </c>
      <c r="U130">
        <v>1.2814656234047071E-2</v>
      </c>
      <c r="V130">
        <v>75.359099960275685</v>
      </c>
      <c r="W130" t="s">
        <v>17</v>
      </c>
      <c r="X130">
        <v>89.779504230518469</v>
      </c>
      <c r="Y130">
        <v>0.63018572687657781</v>
      </c>
      <c r="Z130">
        <v>696.33781975312456</v>
      </c>
      <c r="AA130">
        <v>97.868960987371025</v>
      </c>
      <c r="AB130">
        <v>75.359099960275685</v>
      </c>
      <c r="AC130">
        <v>97.868960987371025</v>
      </c>
      <c r="AD130" s="2">
        <v>44197</v>
      </c>
    </row>
    <row r="131" spans="1:30" x14ac:dyDescent="0.25">
      <c r="A131">
        <v>-1</v>
      </c>
      <c r="B131" t="s">
        <v>110</v>
      </c>
      <c r="C131">
        <v>2021</v>
      </c>
      <c r="D131">
        <v>1</v>
      </c>
      <c r="E131" t="s">
        <v>157</v>
      </c>
      <c r="F131" t="s">
        <v>93</v>
      </c>
      <c r="G131" t="s">
        <v>93</v>
      </c>
      <c r="H131" t="s">
        <v>149</v>
      </c>
      <c r="I131" t="s">
        <v>149</v>
      </c>
      <c r="J131" t="s">
        <v>161</v>
      </c>
      <c r="K131" t="s">
        <v>157</v>
      </c>
      <c r="L131" t="s">
        <v>151</v>
      </c>
      <c r="M131">
        <v>141.86267084589741</v>
      </c>
      <c r="N131">
        <v>0</v>
      </c>
      <c r="O131" t="s">
        <v>152</v>
      </c>
      <c r="P131" s="2">
        <v>44656.074522685187</v>
      </c>
      <c r="Q131">
        <v>11</v>
      </c>
      <c r="R131" t="s">
        <v>101</v>
      </c>
      <c r="S131">
        <v>5.7684814325238021</v>
      </c>
      <c r="T131">
        <v>503.34169471838698</v>
      </c>
      <c r="U131">
        <v>9.5307193003074352E-3</v>
      </c>
      <c r="V131">
        <v>56.945111868168738</v>
      </c>
      <c r="W131" t="s">
        <v>17</v>
      </c>
      <c r="X131">
        <v>96.416825589707358</v>
      </c>
      <c r="Y131">
        <v>0.50334169471838686</v>
      </c>
      <c r="Z131">
        <v>556.17866819711276</v>
      </c>
      <c r="AA131">
        <v>73.954690737881478</v>
      </c>
      <c r="AB131">
        <v>56.945111868168738</v>
      </c>
      <c r="AC131">
        <v>73.954690737881478</v>
      </c>
      <c r="AD131" s="2">
        <v>44197</v>
      </c>
    </row>
    <row r="132" spans="1:30" x14ac:dyDescent="0.25">
      <c r="A132">
        <v>-1</v>
      </c>
      <c r="B132" t="s">
        <v>110</v>
      </c>
      <c r="C132">
        <v>2021</v>
      </c>
      <c r="D132">
        <v>1</v>
      </c>
      <c r="E132" t="s">
        <v>157</v>
      </c>
      <c r="F132" t="s">
        <v>93</v>
      </c>
      <c r="G132" t="s">
        <v>93</v>
      </c>
      <c r="H132" t="s">
        <v>149</v>
      </c>
      <c r="I132" t="s">
        <v>149</v>
      </c>
      <c r="J132" t="s">
        <v>161</v>
      </c>
      <c r="K132" t="s">
        <v>157</v>
      </c>
      <c r="L132" t="s">
        <v>151</v>
      </c>
      <c r="M132">
        <v>163.21718935435121</v>
      </c>
      <c r="N132">
        <v>0</v>
      </c>
      <c r="O132" t="s">
        <v>152</v>
      </c>
      <c r="P132" s="2">
        <v>44656.074522685187</v>
      </c>
      <c r="Q132">
        <v>11</v>
      </c>
      <c r="R132" t="s">
        <v>101</v>
      </c>
      <c r="S132">
        <v>5.7684814325238021</v>
      </c>
      <c r="T132">
        <v>503.34169471838698</v>
      </c>
      <c r="U132">
        <v>9.5307193003074352E-3</v>
      </c>
      <c r="V132">
        <v>56.945111868168738</v>
      </c>
      <c r="W132" t="s">
        <v>17</v>
      </c>
      <c r="X132">
        <v>96.416825589707358</v>
      </c>
      <c r="Y132">
        <v>0.50334169471838686</v>
      </c>
      <c r="Z132">
        <v>556.17866819711276</v>
      </c>
      <c r="AA132">
        <v>73.954690737881478</v>
      </c>
      <c r="AB132">
        <v>56.945111868168738</v>
      </c>
      <c r="AC132">
        <v>73.954690737881478</v>
      </c>
      <c r="AD132" s="2">
        <v>44197</v>
      </c>
    </row>
    <row r="133" spans="1:30" x14ac:dyDescent="0.25">
      <c r="A133">
        <v>-1</v>
      </c>
      <c r="B133" t="s">
        <v>110</v>
      </c>
      <c r="C133">
        <v>2021</v>
      </c>
      <c r="D133">
        <v>1</v>
      </c>
      <c r="E133" t="s">
        <v>157</v>
      </c>
      <c r="F133" t="s">
        <v>93</v>
      </c>
      <c r="G133" t="s">
        <v>93</v>
      </c>
      <c r="H133" t="s">
        <v>149</v>
      </c>
      <c r="I133" t="s">
        <v>149</v>
      </c>
      <c r="J133" t="s">
        <v>161</v>
      </c>
      <c r="K133" t="s">
        <v>157</v>
      </c>
      <c r="L133" t="s">
        <v>151</v>
      </c>
      <c r="M133">
        <v>166.9949017555621</v>
      </c>
      <c r="N133">
        <v>0</v>
      </c>
      <c r="O133" t="s">
        <v>152</v>
      </c>
      <c r="P133" s="2">
        <v>44656.074522685187</v>
      </c>
      <c r="Q133">
        <v>11</v>
      </c>
      <c r="R133" t="s">
        <v>101</v>
      </c>
      <c r="S133">
        <v>5.7684814325238021</v>
      </c>
      <c r="T133">
        <v>503.34169471838698</v>
      </c>
      <c r="U133">
        <v>9.5307193003074352E-3</v>
      </c>
      <c r="V133">
        <v>56.945111868168738</v>
      </c>
      <c r="W133" t="s">
        <v>17</v>
      </c>
      <c r="X133">
        <v>96.416825589707358</v>
      </c>
      <c r="Y133">
        <v>0.50334169471838686</v>
      </c>
      <c r="Z133">
        <v>556.17866819711276</v>
      </c>
      <c r="AA133">
        <v>73.954690737881478</v>
      </c>
      <c r="AB133">
        <v>56.945111868168738</v>
      </c>
      <c r="AC133">
        <v>73.954690737881478</v>
      </c>
      <c r="AD133" s="2">
        <v>44197</v>
      </c>
    </row>
    <row r="134" spans="1:30" x14ac:dyDescent="0.25">
      <c r="A134">
        <v>-1</v>
      </c>
      <c r="B134" t="s">
        <v>110</v>
      </c>
      <c r="C134">
        <v>2021</v>
      </c>
      <c r="D134">
        <v>1</v>
      </c>
      <c r="E134" t="s">
        <v>158</v>
      </c>
      <c r="F134" t="s">
        <v>93</v>
      </c>
      <c r="G134" t="s">
        <v>93</v>
      </c>
      <c r="H134" t="s">
        <v>149</v>
      </c>
      <c r="I134" t="s">
        <v>149</v>
      </c>
      <c r="J134" t="s">
        <v>161</v>
      </c>
      <c r="K134" t="s">
        <v>158</v>
      </c>
      <c r="L134" t="s">
        <v>151</v>
      </c>
      <c r="M134">
        <v>260.78070384117473</v>
      </c>
      <c r="N134">
        <v>0</v>
      </c>
      <c r="O134" t="s">
        <v>152</v>
      </c>
      <c r="P134" s="2">
        <v>44656.074522685187</v>
      </c>
      <c r="Q134">
        <v>31</v>
      </c>
      <c r="R134" t="s">
        <v>153</v>
      </c>
      <c r="S134">
        <v>3.4551909080596581</v>
      </c>
      <c r="T134">
        <v>310.90267356974431</v>
      </c>
      <c r="U134">
        <v>5.7086869497443033E-3</v>
      </c>
      <c r="V134">
        <v>34.915529474147952</v>
      </c>
      <c r="W134" t="s">
        <v>17</v>
      </c>
      <c r="X134">
        <v>99.426884060610121</v>
      </c>
      <c r="Y134">
        <v>0.31090267356974433</v>
      </c>
      <c r="Z134">
        <v>343.53886582292182</v>
      </c>
      <c r="AA134">
        <v>45.344843472919408</v>
      </c>
      <c r="AB134">
        <v>34.915529474147952</v>
      </c>
      <c r="AC134">
        <v>45.344843472919408</v>
      </c>
      <c r="AD134" s="2">
        <v>44197</v>
      </c>
    </row>
    <row r="135" spans="1:30" x14ac:dyDescent="0.25">
      <c r="A135">
        <v>-1</v>
      </c>
      <c r="B135" t="s">
        <v>110</v>
      </c>
      <c r="C135">
        <v>2021</v>
      </c>
      <c r="D135">
        <v>1</v>
      </c>
      <c r="E135" t="s">
        <v>158</v>
      </c>
      <c r="F135" t="s">
        <v>93</v>
      </c>
      <c r="G135" t="s">
        <v>93</v>
      </c>
      <c r="H135" t="s">
        <v>149</v>
      </c>
      <c r="I135" t="s">
        <v>149</v>
      </c>
      <c r="J135" t="s">
        <v>161</v>
      </c>
      <c r="K135" t="s">
        <v>158</v>
      </c>
      <c r="L135" t="s">
        <v>151</v>
      </c>
      <c r="M135">
        <v>334.7541838996824</v>
      </c>
      <c r="N135">
        <v>1</v>
      </c>
      <c r="O135" t="s">
        <v>152</v>
      </c>
      <c r="P135" s="2">
        <v>44656.074522685187</v>
      </c>
      <c r="Q135">
        <v>31</v>
      </c>
      <c r="R135" t="s">
        <v>153</v>
      </c>
      <c r="S135">
        <v>3.4551909080596581</v>
      </c>
      <c r="T135">
        <v>310.90267356974431</v>
      </c>
      <c r="U135">
        <v>5.7086869497443033E-3</v>
      </c>
      <c r="V135">
        <v>34.915529474147952</v>
      </c>
      <c r="W135" t="s">
        <v>17</v>
      </c>
      <c r="X135">
        <v>99.426884060610121</v>
      </c>
      <c r="Y135">
        <v>0.31090267356974433</v>
      </c>
      <c r="Z135">
        <v>343.53886582292182</v>
      </c>
      <c r="AA135">
        <v>45.344843472919408</v>
      </c>
      <c r="AB135">
        <v>34.915529474147952</v>
      </c>
      <c r="AC135">
        <v>45.344843472919408</v>
      </c>
      <c r="AD135" s="2">
        <v>44197</v>
      </c>
    </row>
    <row r="136" spans="1:30" x14ac:dyDescent="0.25">
      <c r="A136">
        <v>-1</v>
      </c>
      <c r="B136" t="s">
        <v>110</v>
      </c>
      <c r="C136">
        <v>2021</v>
      </c>
      <c r="D136">
        <v>1</v>
      </c>
      <c r="E136" t="s">
        <v>158</v>
      </c>
      <c r="F136" t="s">
        <v>93</v>
      </c>
      <c r="G136" t="s">
        <v>93</v>
      </c>
      <c r="H136" t="s">
        <v>149</v>
      </c>
      <c r="I136" t="s">
        <v>149</v>
      </c>
      <c r="J136" t="s">
        <v>161</v>
      </c>
      <c r="K136" t="s">
        <v>158</v>
      </c>
      <c r="L136" t="s">
        <v>151</v>
      </c>
      <c r="M136">
        <v>459.20096188338528</v>
      </c>
      <c r="N136">
        <v>1</v>
      </c>
      <c r="O136" t="s">
        <v>152</v>
      </c>
      <c r="P136" s="2">
        <v>44656.074522685187</v>
      </c>
      <c r="Q136">
        <v>31</v>
      </c>
      <c r="R136" t="s">
        <v>153</v>
      </c>
      <c r="S136">
        <v>3.4551909080596581</v>
      </c>
      <c r="T136">
        <v>310.90267356974431</v>
      </c>
      <c r="U136">
        <v>5.7086869497443033E-3</v>
      </c>
      <c r="V136">
        <v>34.915529474147952</v>
      </c>
      <c r="W136" t="s">
        <v>17</v>
      </c>
      <c r="X136">
        <v>99.426884060610121</v>
      </c>
      <c r="Y136">
        <v>0.31090267356974433</v>
      </c>
      <c r="Z136">
        <v>343.53886582292182</v>
      </c>
      <c r="AA136">
        <v>45.344843472919408</v>
      </c>
      <c r="AB136">
        <v>34.915529474147952</v>
      </c>
      <c r="AC136">
        <v>45.344843472919408</v>
      </c>
      <c r="AD136" s="2">
        <v>44197</v>
      </c>
    </row>
    <row r="137" spans="1:30" x14ac:dyDescent="0.25">
      <c r="A137">
        <v>-1</v>
      </c>
      <c r="B137" t="s">
        <v>110</v>
      </c>
      <c r="C137">
        <v>2021</v>
      </c>
      <c r="D137">
        <v>1</v>
      </c>
      <c r="E137" t="s">
        <v>158</v>
      </c>
      <c r="F137" t="s">
        <v>93</v>
      </c>
      <c r="G137" t="s">
        <v>93</v>
      </c>
      <c r="H137" t="s">
        <v>149</v>
      </c>
      <c r="I137" t="s">
        <v>149</v>
      </c>
      <c r="J137" t="s">
        <v>161</v>
      </c>
      <c r="K137" t="s">
        <v>158</v>
      </c>
      <c r="L137" t="s">
        <v>151</v>
      </c>
      <c r="M137">
        <v>260.78070384117473</v>
      </c>
      <c r="N137">
        <v>0</v>
      </c>
      <c r="O137" t="s">
        <v>152</v>
      </c>
      <c r="P137" s="2">
        <v>44656.074522685187</v>
      </c>
      <c r="Q137">
        <v>13</v>
      </c>
      <c r="R137" t="s">
        <v>154</v>
      </c>
      <c r="S137">
        <v>443.73878767289563</v>
      </c>
      <c r="T137">
        <v>37895.761093931411</v>
      </c>
      <c r="U137">
        <v>0.73314786177941604</v>
      </c>
      <c r="V137">
        <v>4407.1514477243672</v>
      </c>
      <c r="W137" t="s">
        <v>17</v>
      </c>
      <c r="X137">
        <v>94.365807830692859</v>
      </c>
      <c r="Y137">
        <v>37.895761093931412</v>
      </c>
      <c r="Z137">
        <v>41873.769164565092</v>
      </c>
      <c r="AA137">
        <v>5723.5733087329436</v>
      </c>
      <c r="AB137">
        <v>4407.1514477243672</v>
      </c>
      <c r="AC137">
        <v>5723.5733087329436</v>
      </c>
      <c r="AD137" s="2">
        <v>44197</v>
      </c>
    </row>
    <row r="138" spans="1:30" x14ac:dyDescent="0.25">
      <c r="A138">
        <v>-1</v>
      </c>
      <c r="B138" t="s">
        <v>110</v>
      </c>
      <c r="C138">
        <v>2021</v>
      </c>
      <c r="D138">
        <v>1</v>
      </c>
      <c r="E138" t="s">
        <v>158</v>
      </c>
      <c r="F138" t="s">
        <v>93</v>
      </c>
      <c r="G138" t="s">
        <v>93</v>
      </c>
      <c r="H138" t="s">
        <v>149</v>
      </c>
      <c r="I138" t="s">
        <v>149</v>
      </c>
      <c r="J138" t="s">
        <v>161</v>
      </c>
      <c r="K138" t="s">
        <v>158</v>
      </c>
      <c r="L138" t="s">
        <v>151</v>
      </c>
      <c r="M138">
        <v>334.7541838996824</v>
      </c>
      <c r="N138">
        <v>1</v>
      </c>
      <c r="O138" t="s">
        <v>152</v>
      </c>
      <c r="P138" s="2">
        <v>44656.074522685187</v>
      </c>
      <c r="Q138">
        <v>13</v>
      </c>
      <c r="R138" t="s">
        <v>154</v>
      </c>
      <c r="S138">
        <v>443.73878767289563</v>
      </c>
      <c r="T138">
        <v>37895.761093931411</v>
      </c>
      <c r="U138">
        <v>0.73314786177941604</v>
      </c>
      <c r="V138">
        <v>4407.1514477243672</v>
      </c>
      <c r="W138" t="s">
        <v>17</v>
      </c>
      <c r="X138">
        <v>94.365807830692859</v>
      </c>
      <c r="Y138">
        <v>37.895761093931412</v>
      </c>
      <c r="Z138">
        <v>41873.769164565092</v>
      </c>
      <c r="AA138">
        <v>5723.5733087329436</v>
      </c>
      <c r="AB138">
        <v>4407.1514477243672</v>
      </c>
      <c r="AC138">
        <v>5723.5733087329436</v>
      </c>
      <c r="AD138" s="2">
        <v>44197</v>
      </c>
    </row>
    <row r="139" spans="1:30" x14ac:dyDescent="0.25">
      <c r="A139">
        <v>-1</v>
      </c>
      <c r="B139" t="s">
        <v>110</v>
      </c>
      <c r="C139">
        <v>2021</v>
      </c>
      <c r="D139">
        <v>1</v>
      </c>
      <c r="E139" t="s">
        <v>158</v>
      </c>
      <c r="F139" t="s">
        <v>93</v>
      </c>
      <c r="G139" t="s">
        <v>93</v>
      </c>
      <c r="H139" t="s">
        <v>149</v>
      </c>
      <c r="I139" t="s">
        <v>149</v>
      </c>
      <c r="J139" t="s">
        <v>161</v>
      </c>
      <c r="K139" t="s">
        <v>158</v>
      </c>
      <c r="L139" t="s">
        <v>151</v>
      </c>
      <c r="M139">
        <v>459.20096188338528</v>
      </c>
      <c r="N139">
        <v>1</v>
      </c>
      <c r="O139" t="s">
        <v>152</v>
      </c>
      <c r="P139" s="2">
        <v>44656.074522685187</v>
      </c>
      <c r="Q139">
        <v>13</v>
      </c>
      <c r="R139" t="s">
        <v>154</v>
      </c>
      <c r="S139">
        <v>443.73878767289563</v>
      </c>
      <c r="T139">
        <v>37895.761093931411</v>
      </c>
      <c r="U139">
        <v>0.73314786177941604</v>
      </c>
      <c r="V139">
        <v>4407.1514477243672</v>
      </c>
      <c r="W139" t="s">
        <v>17</v>
      </c>
      <c r="X139">
        <v>94.365807830692859</v>
      </c>
      <c r="Y139">
        <v>37.895761093931412</v>
      </c>
      <c r="Z139">
        <v>41873.769164565092</v>
      </c>
      <c r="AA139">
        <v>5723.5733087329436</v>
      </c>
      <c r="AB139">
        <v>4407.1514477243672</v>
      </c>
      <c r="AC139">
        <v>5723.5733087329436</v>
      </c>
      <c r="AD139" s="2">
        <v>44197</v>
      </c>
    </row>
    <row r="140" spans="1:30" x14ac:dyDescent="0.25">
      <c r="A140">
        <v>-1</v>
      </c>
      <c r="B140" t="s">
        <v>110</v>
      </c>
      <c r="C140">
        <v>2021</v>
      </c>
      <c r="D140">
        <v>1</v>
      </c>
      <c r="E140" t="s">
        <v>158</v>
      </c>
      <c r="F140" t="s">
        <v>93</v>
      </c>
      <c r="G140" t="s">
        <v>93</v>
      </c>
      <c r="H140" t="s">
        <v>149</v>
      </c>
      <c r="I140" t="s">
        <v>149</v>
      </c>
      <c r="J140" t="s">
        <v>161</v>
      </c>
      <c r="K140" t="s">
        <v>158</v>
      </c>
      <c r="L140" t="s">
        <v>151</v>
      </c>
      <c r="M140">
        <v>260.78070384117473</v>
      </c>
      <c r="N140">
        <v>0</v>
      </c>
      <c r="O140" t="s">
        <v>152</v>
      </c>
      <c r="P140" s="2">
        <v>44656.074522685187</v>
      </c>
      <c r="Q140">
        <v>5</v>
      </c>
      <c r="R140" t="s">
        <v>100</v>
      </c>
      <c r="S140">
        <v>14.911555523316199</v>
      </c>
      <c r="T140">
        <v>1211.570616281206</v>
      </c>
      <c r="U140">
        <v>2.4636960643123158E-2</v>
      </c>
      <c r="V140">
        <v>144.88248033448389</v>
      </c>
      <c r="W140" t="s">
        <v>17</v>
      </c>
      <c r="X140">
        <v>89.779504230518498</v>
      </c>
      <c r="Y140">
        <v>1.2115706162812061</v>
      </c>
      <c r="Z140">
        <v>1338.7520621891781</v>
      </c>
      <c r="AA140">
        <v>188.1590653694596</v>
      </c>
      <c r="AB140">
        <v>144.88248033448389</v>
      </c>
      <c r="AC140">
        <v>188.1590653694596</v>
      </c>
      <c r="AD140" s="2">
        <v>44197</v>
      </c>
    </row>
    <row r="141" spans="1:30" x14ac:dyDescent="0.25">
      <c r="A141">
        <v>-1</v>
      </c>
      <c r="B141" t="s">
        <v>110</v>
      </c>
      <c r="C141">
        <v>2021</v>
      </c>
      <c r="D141">
        <v>1</v>
      </c>
      <c r="E141" t="s">
        <v>158</v>
      </c>
      <c r="F141" t="s">
        <v>93</v>
      </c>
      <c r="G141" t="s">
        <v>93</v>
      </c>
      <c r="H141" t="s">
        <v>149</v>
      </c>
      <c r="I141" t="s">
        <v>149</v>
      </c>
      <c r="J141" t="s">
        <v>161</v>
      </c>
      <c r="K141" t="s">
        <v>158</v>
      </c>
      <c r="L141" t="s">
        <v>151</v>
      </c>
      <c r="M141">
        <v>334.7541838996824</v>
      </c>
      <c r="N141">
        <v>1</v>
      </c>
      <c r="O141" t="s">
        <v>152</v>
      </c>
      <c r="P141" s="2">
        <v>44656.074522685187</v>
      </c>
      <c r="Q141">
        <v>5</v>
      </c>
      <c r="R141" t="s">
        <v>100</v>
      </c>
      <c r="S141">
        <v>14.911555523316199</v>
      </c>
      <c r="T141">
        <v>1211.570616281206</v>
      </c>
      <c r="U141">
        <v>2.4636960643123158E-2</v>
      </c>
      <c r="V141">
        <v>144.88248033448389</v>
      </c>
      <c r="W141" t="s">
        <v>17</v>
      </c>
      <c r="X141">
        <v>89.779504230518498</v>
      </c>
      <c r="Y141">
        <v>1.2115706162812061</v>
      </c>
      <c r="Z141">
        <v>1338.7520621891781</v>
      </c>
      <c r="AA141">
        <v>188.1590653694596</v>
      </c>
      <c r="AB141">
        <v>144.88248033448389</v>
      </c>
      <c r="AC141">
        <v>188.1590653694596</v>
      </c>
      <c r="AD141" s="2">
        <v>44197</v>
      </c>
    </row>
    <row r="142" spans="1:30" x14ac:dyDescent="0.25">
      <c r="A142">
        <v>-1</v>
      </c>
      <c r="B142" t="s">
        <v>110</v>
      </c>
      <c r="C142">
        <v>2021</v>
      </c>
      <c r="D142">
        <v>1</v>
      </c>
      <c r="E142" t="s">
        <v>158</v>
      </c>
      <c r="F142" t="s">
        <v>93</v>
      </c>
      <c r="G142" t="s">
        <v>93</v>
      </c>
      <c r="H142" t="s">
        <v>149</v>
      </c>
      <c r="I142" t="s">
        <v>149</v>
      </c>
      <c r="J142" t="s">
        <v>161</v>
      </c>
      <c r="K142" t="s">
        <v>158</v>
      </c>
      <c r="L142" t="s">
        <v>151</v>
      </c>
      <c r="M142">
        <v>459.20096188338528</v>
      </c>
      <c r="N142">
        <v>1</v>
      </c>
      <c r="O142" t="s">
        <v>152</v>
      </c>
      <c r="P142" s="2">
        <v>44656.074522685187</v>
      </c>
      <c r="Q142">
        <v>5</v>
      </c>
      <c r="R142" t="s">
        <v>100</v>
      </c>
      <c r="S142">
        <v>14.911555523316199</v>
      </c>
      <c r="T142">
        <v>1211.570616281206</v>
      </c>
      <c r="U142">
        <v>2.4636960643123158E-2</v>
      </c>
      <c r="V142">
        <v>144.88248033448389</v>
      </c>
      <c r="W142" t="s">
        <v>17</v>
      </c>
      <c r="X142">
        <v>89.779504230518498</v>
      </c>
      <c r="Y142">
        <v>1.2115706162812061</v>
      </c>
      <c r="Z142">
        <v>1338.7520621891781</v>
      </c>
      <c r="AA142">
        <v>188.1590653694596</v>
      </c>
      <c r="AB142">
        <v>144.88248033448389</v>
      </c>
      <c r="AC142">
        <v>188.1590653694596</v>
      </c>
      <c r="AD142" s="2">
        <v>44197</v>
      </c>
    </row>
    <row r="143" spans="1:30" x14ac:dyDescent="0.25">
      <c r="A143">
        <v>-1</v>
      </c>
      <c r="B143" t="s">
        <v>110</v>
      </c>
      <c r="C143">
        <v>2021</v>
      </c>
      <c r="D143">
        <v>1</v>
      </c>
      <c r="E143" t="s">
        <v>158</v>
      </c>
      <c r="F143" t="s">
        <v>93</v>
      </c>
      <c r="G143" t="s">
        <v>93</v>
      </c>
      <c r="H143" t="s">
        <v>149</v>
      </c>
      <c r="I143" t="s">
        <v>149</v>
      </c>
      <c r="J143" t="s">
        <v>161</v>
      </c>
      <c r="K143" t="s">
        <v>158</v>
      </c>
      <c r="L143" t="s">
        <v>151</v>
      </c>
      <c r="M143">
        <v>260.78070384117473</v>
      </c>
      <c r="N143">
        <v>0</v>
      </c>
      <c r="O143" t="s">
        <v>152</v>
      </c>
      <c r="P143" s="2">
        <v>44656.074522685187</v>
      </c>
      <c r="Q143">
        <v>11</v>
      </c>
      <c r="R143" t="s">
        <v>101</v>
      </c>
      <c r="S143">
        <v>11.346715503782679</v>
      </c>
      <c r="T143">
        <v>990.0829322185399</v>
      </c>
      <c r="U143">
        <v>1.8747110779844391E-2</v>
      </c>
      <c r="V143">
        <v>112.01214587536479</v>
      </c>
      <c r="W143" t="s">
        <v>17</v>
      </c>
      <c r="X143">
        <v>96.416825589707358</v>
      </c>
      <c r="Y143">
        <v>0.9900829322185396</v>
      </c>
      <c r="Z143">
        <v>1094.0142897442429</v>
      </c>
      <c r="AA143">
        <v>145.4703193186555</v>
      </c>
      <c r="AB143">
        <v>112.01214587536479</v>
      </c>
      <c r="AC143">
        <v>145.4703193186555</v>
      </c>
      <c r="AD143" s="2">
        <v>44197</v>
      </c>
    </row>
    <row r="144" spans="1:30" x14ac:dyDescent="0.25">
      <c r="A144">
        <v>-1</v>
      </c>
      <c r="B144" t="s">
        <v>110</v>
      </c>
      <c r="C144">
        <v>2021</v>
      </c>
      <c r="D144">
        <v>1</v>
      </c>
      <c r="E144" t="s">
        <v>158</v>
      </c>
      <c r="F144" t="s">
        <v>93</v>
      </c>
      <c r="G144" t="s">
        <v>93</v>
      </c>
      <c r="H144" t="s">
        <v>149</v>
      </c>
      <c r="I144" t="s">
        <v>149</v>
      </c>
      <c r="J144" t="s">
        <v>161</v>
      </c>
      <c r="K144" t="s">
        <v>158</v>
      </c>
      <c r="L144" t="s">
        <v>151</v>
      </c>
      <c r="M144">
        <v>334.7541838996824</v>
      </c>
      <c r="N144">
        <v>1</v>
      </c>
      <c r="O144" t="s">
        <v>152</v>
      </c>
      <c r="P144" s="2">
        <v>44656.074522685187</v>
      </c>
      <c r="Q144">
        <v>11</v>
      </c>
      <c r="R144" t="s">
        <v>101</v>
      </c>
      <c r="S144">
        <v>11.346715503782679</v>
      </c>
      <c r="T144">
        <v>990.0829322185399</v>
      </c>
      <c r="U144">
        <v>1.8747110779844391E-2</v>
      </c>
      <c r="V144">
        <v>112.01214587536479</v>
      </c>
      <c r="W144" t="s">
        <v>17</v>
      </c>
      <c r="X144">
        <v>96.416825589707358</v>
      </c>
      <c r="Y144">
        <v>0.9900829322185396</v>
      </c>
      <c r="Z144">
        <v>1094.0142897442429</v>
      </c>
      <c r="AA144">
        <v>145.4703193186555</v>
      </c>
      <c r="AB144">
        <v>112.01214587536479</v>
      </c>
      <c r="AC144">
        <v>145.4703193186555</v>
      </c>
      <c r="AD144" s="2">
        <v>44197</v>
      </c>
    </row>
    <row r="145" spans="1:30" x14ac:dyDescent="0.25">
      <c r="A145">
        <v>-1</v>
      </c>
      <c r="B145" t="s">
        <v>110</v>
      </c>
      <c r="C145">
        <v>2021</v>
      </c>
      <c r="D145">
        <v>1</v>
      </c>
      <c r="E145" t="s">
        <v>158</v>
      </c>
      <c r="F145" t="s">
        <v>93</v>
      </c>
      <c r="G145" t="s">
        <v>93</v>
      </c>
      <c r="H145" t="s">
        <v>149</v>
      </c>
      <c r="I145" t="s">
        <v>149</v>
      </c>
      <c r="J145" t="s">
        <v>161</v>
      </c>
      <c r="K145" t="s">
        <v>158</v>
      </c>
      <c r="L145" t="s">
        <v>151</v>
      </c>
      <c r="M145">
        <v>459.20096188338528</v>
      </c>
      <c r="N145">
        <v>1</v>
      </c>
      <c r="O145" t="s">
        <v>152</v>
      </c>
      <c r="P145" s="2">
        <v>44656.074522685187</v>
      </c>
      <c r="Q145">
        <v>11</v>
      </c>
      <c r="R145" t="s">
        <v>101</v>
      </c>
      <c r="S145">
        <v>11.346715503782679</v>
      </c>
      <c r="T145">
        <v>990.0829322185399</v>
      </c>
      <c r="U145">
        <v>1.8747110779844391E-2</v>
      </c>
      <c r="V145">
        <v>112.01214587536479</v>
      </c>
      <c r="W145" t="s">
        <v>17</v>
      </c>
      <c r="X145">
        <v>96.416825589707358</v>
      </c>
      <c r="Y145">
        <v>0.9900829322185396</v>
      </c>
      <c r="Z145">
        <v>1094.0142897442429</v>
      </c>
      <c r="AA145">
        <v>145.4703193186555</v>
      </c>
      <c r="AB145">
        <v>112.01214587536479</v>
      </c>
      <c r="AC145">
        <v>145.4703193186555</v>
      </c>
      <c r="AD145" s="2">
        <v>44197</v>
      </c>
    </row>
    <row r="146" spans="1:30" x14ac:dyDescent="0.25">
      <c r="A146">
        <v>-1</v>
      </c>
      <c r="B146" t="s">
        <v>110</v>
      </c>
      <c r="C146">
        <v>2021</v>
      </c>
      <c r="D146">
        <v>1</v>
      </c>
      <c r="E146" t="s">
        <v>159</v>
      </c>
      <c r="F146" t="s">
        <v>93</v>
      </c>
      <c r="G146" t="s">
        <v>93</v>
      </c>
      <c r="H146" t="s">
        <v>149</v>
      </c>
      <c r="I146" t="s">
        <v>149</v>
      </c>
      <c r="J146" t="s">
        <v>161</v>
      </c>
      <c r="K146" t="s">
        <v>159</v>
      </c>
      <c r="L146" t="s">
        <v>151</v>
      </c>
      <c r="M146">
        <v>1113.934878728606</v>
      </c>
      <c r="N146">
        <v>2</v>
      </c>
      <c r="O146" t="s">
        <v>152</v>
      </c>
      <c r="P146" s="2">
        <v>44656.074522685187</v>
      </c>
      <c r="Q146">
        <v>31</v>
      </c>
      <c r="R146" t="s">
        <v>153</v>
      </c>
      <c r="S146">
        <v>5.1974218223258859</v>
      </c>
      <c r="T146">
        <v>467.67092853294508</v>
      </c>
      <c r="U146">
        <v>8.5872112189859188E-3</v>
      </c>
      <c r="V146">
        <v>52.521189032911721</v>
      </c>
      <c r="W146" t="s">
        <v>17</v>
      </c>
      <c r="X146">
        <v>99.426884060610107</v>
      </c>
      <c r="Y146">
        <v>0.46767092853294512</v>
      </c>
      <c r="Z146">
        <v>516.76345694248073</v>
      </c>
      <c r="AA146">
        <v>68.209336406378853</v>
      </c>
      <c r="AB146">
        <v>52.521189032911721</v>
      </c>
      <c r="AC146">
        <v>68.209336406378853</v>
      </c>
      <c r="AD146" s="2">
        <v>44197</v>
      </c>
    </row>
    <row r="147" spans="1:30" x14ac:dyDescent="0.25">
      <c r="A147">
        <v>-1</v>
      </c>
      <c r="B147" t="s">
        <v>110</v>
      </c>
      <c r="C147">
        <v>2021</v>
      </c>
      <c r="D147">
        <v>1</v>
      </c>
      <c r="E147" t="s">
        <v>159</v>
      </c>
      <c r="F147" t="s">
        <v>93</v>
      </c>
      <c r="G147" t="s">
        <v>93</v>
      </c>
      <c r="H147" t="s">
        <v>149</v>
      </c>
      <c r="I147" t="s">
        <v>149</v>
      </c>
      <c r="J147" t="s">
        <v>161</v>
      </c>
      <c r="K147" t="s">
        <v>159</v>
      </c>
      <c r="L147" t="s">
        <v>151</v>
      </c>
      <c r="M147">
        <v>1306.0945500587791</v>
      </c>
      <c r="N147">
        <v>2</v>
      </c>
      <c r="O147" t="s">
        <v>152</v>
      </c>
      <c r="P147" s="2">
        <v>44656.074522685187</v>
      </c>
      <c r="Q147">
        <v>31</v>
      </c>
      <c r="R147" t="s">
        <v>153</v>
      </c>
      <c r="S147">
        <v>5.1974218223258859</v>
      </c>
      <c r="T147">
        <v>467.67092853294508</v>
      </c>
      <c r="U147">
        <v>8.5872112189859188E-3</v>
      </c>
      <c r="V147">
        <v>52.521189032911721</v>
      </c>
      <c r="W147" t="s">
        <v>17</v>
      </c>
      <c r="X147">
        <v>99.426884060610107</v>
      </c>
      <c r="Y147">
        <v>0.46767092853294512</v>
      </c>
      <c r="Z147">
        <v>516.76345694248073</v>
      </c>
      <c r="AA147">
        <v>68.209336406378853</v>
      </c>
      <c r="AB147">
        <v>52.521189032911721</v>
      </c>
      <c r="AC147">
        <v>68.209336406378853</v>
      </c>
      <c r="AD147" s="2">
        <v>44197</v>
      </c>
    </row>
    <row r="148" spans="1:30" x14ac:dyDescent="0.25">
      <c r="A148">
        <v>-1</v>
      </c>
      <c r="B148" t="s">
        <v>110</v>
      </c>
      <c r="C148">
        <v>2021</v>
      </c>
      <c r="D148">
        <v>1</v>
      </c>
      <c r="E148" t="s">
        <v>159</v>
      </c>
      <c r="F148" t="s">
        <v>93</v>
      </c>
      <c r="G148" t="s">
        <v>93</v>
      </c>
      <c r="H148" t="s">
        <v>149</v>
      </c>
      <c r="I148" t="s">
        <v>149</v>
      </c>
      <c r="J148" t="s">
        <v>161</v>
      </c>
      <c r="K148" t="s">
        <v>159</v>
      </c>
      <c r="L148" t="s">
        <v>151</v>
      </c>
      <c r="M148">
        <v>1495.286919907574</v>
      </c>
      <c r="N148">
        <v>2</v>
      </c>
      <c r="O148" t="s">
        <v>152</v>
      </c>
      <c r="P148" s="2">
        <v>44656.074522685187</v>
      </c>
      <c r="Q148">
        <v>31</v>
      </c>
      <c r="R148" t="s">
        <v>153</v>
      </c>
      <c r="S148">
        <v>5.1974218223258859</v>
      </c>
      <c r="T148">
        <v>467.67092853294508</v>
      </c>
      <c r="U148">
        <v>8.5872112189859188E-3</v>
      </c>
      <c r="V148">
        <v>52.521189032911721</v>
      </c>
      <c r="W148" t="s">
        <v>17</v>
      </c>
      <c r="X148">
        <v>99.426884060610107</v>
      </c>
      <c r="Y148">
        <v>0.46767092853294512</v>
      </c>
      <c r="Z148">
        <v>516.76345694248073</v>
      </c>
      <c r="AA148">
        <v>68.209336406378853</v>
      </c>
      <c r="AB148">
        <v>52.521189032911721</v>
      </c>
      <c r="AC148">
        <v>68.209336406378853</v>
      </c>
      <c r="AD148" s="2">
        <v>44197</v>
      </c>
    </row>
    <row r="149" spans="1:30" x14ac:dyDescent="0.25">
      <c r="A149">
        <v>-1</v>
      </c>
      <c r="B149" t="s">
        <v>110</v>
      </c>
      <c r="C149">
        <v>2021</v>
      </c>
      <c r="D149">
        <v>1</v>
      </c>
      <c r="E149" t="s">
        <v>159</v>
      </c>
      <c r="F149" t="s">
        <v>93</v>
      </c>
      <c r="G149" t="s">
        <v>93</v>
      </c>
      <c r="H149" t="s">
        <v>149</v>
      </c>
      <c r="I149" t="s">
        <v>149</v>
      </c>
      <c r="J149" t="s">
        <v>161</v>
      </c>
      <c r="K149" t="s">
        <v>159</v>
      </c>
      <c r="L149" t="s">
        <v>151</v>
      </c>
      <c r="M149">
        <v>1113.934878728606</v>
      </c>
      <c r="N149">
        <v>2</v>
      </c>
      <c r="O149" t="s">
        <v>152</v>
      </c>
      <c r="P149" s="2">
        <v>44656.074522685187</v>
      </c>
      <c r="Q149">
        <v>13</v>
      </c>
      <c r="R149" t="s">
        <v>154</v>
      </c>
      <c r="S149">
        <v>1296.9214083286779</v>
      </c>
      <c r="T149">
        <v>110758.45793281931</v>
      </c>
      <c r="U149">
        <v>2.142781257411809</v>
      </c>
      <c r="V149">
        <v>12880.841659742029</v>
      </c>
      <c r="W149" t="s">
        <v>17</v>
      </c>
      <c r="X149">
        <v>94.365807830692859</v>
      </c>
      <c r="Y149">
        <v>110.7584579328193</v>
      </c>
      <c r="Z149">
        <v>122385.0363898556</v>
      </c>
      <c r="AA149">
        <v>16728.365791872769</v>
      </c>
      <c r="AB149">
        <v>12880.841659742029</v>
      </c>
      <c r="AC149">
        <v>16728.365791872769</v>
      </c>
      <c r="AD149" s="2">
        <v>44197</v>
      </c>
    </row>
    <row r="150" spans="1:30" x14ac:dyDescent="0.25">
      <c r="A150">
        <v>-1</v>
      </c>
      <c r="B150" t="s">
        <v>110</v>
      </c>
      <c r="C150">
        <v>2021</v>
      </c>
      <c r="D150">
        <v>1</v>
      </c>
      <c r="E150" t="s">
        <v>159</v>
      </c>
      <c r="F150" t="s">
        <v>93</v>
      </c>
      <c r="G150" t="s">
        <v>93</v>
      </c>
      <c r="H150" t="s">
        <v>149</v>
      </c>
      <c r="I150" t="s">
        <v>149</v>
      </c>
      <c r="J150" t="s">
        <v>161</v>
      </c>
      <c r="K150" t="s">
        <v>159</v>
      </c>
      <c r="L150" t="s">
        <v>151</v>
      </c>
      <c r="M150">
        <v>1306.0945500587791</v>
      </c>
      <c r="N150">
        <v>2</v>
      </c>
      <c r="O150" t="s">
        <v>152</v>
      </c>
      <c r="P150" s="2">
        <v>44656.074522685187</v>
      </c>
      <c r="Q150">
        <v>13</v>
      </c>
      <c r="R150" t="s">
        <v>154</v>
      </c>
      <c r="S150">
        <v>1296.9214083286779</v>
      </c>
      <c r="T150">
        <v>110758.45793281931</v>
      </c>
      <c r="U150">
        <v>2.142781257411809</v>
      </c>
      <c r="V150">
        <v>12880.841659742029</v>
      </c>
      <c r="W150" t="s">
        <v>17</v>
      </c>
      <c r="X150">
        <v>94.365807830692859</v>
      </c>
      <c r="Y150">
        <v>110.7584579328193</v>
      </c>
      <c r="Z150">
        <v>122385.0363898556</v>
      </c>
      <c r="AA150">
        <v>16728.365791872769</v>
      </c>
      <c r="AB150">
        <v>12880.841659742029</v>
      </c>
      <c r="AC150">
        <v>16728.365791872769</v>
      </c>
      <c r="AD150" s="2">
        <v>44197</v>
      </c>
    </row>
    <row r="151" spans="1:30" x14ac:dyDescent="0.25">
      <c r="A151">
        <v>-1</v>
      </c>
      <c r="B151" t="s">
        <v>110</v>
      </c>
      <c r="C151">
        <v>2021</v>
      </c>
      <c r="D151">
        <v>1</v>
      </c>
      <c r="E151" t="s">
        <v>159</v>
      </c>
      <c r="F151" t="s">
        <v>93</v>
      </c>
      <c r="G151" t="s">
        <v>93</v>
      </c>
      <c r="H151" t="s">
        <v>149</v>
      </c>
      <c r="I151" t="s">
        <v>149</v>
      </c>
      <c r="J151" t="s">
        <v>161</v>
      </c>
      <c r="K151" t="s">
        <v>159</v>
      </c>
      <c r="L151" t="s">
        <v>151</v>
      </c>
      <c r="M151">
        <v>1495.286919907574</v>
      </c>
      <c r="N151">
        <v>2</v>
      </c>
      <c r="O151" t="s">
        <v>152</v>
      </c>
      <c r="P151" s="2">
        <v>44656.074522685187</v>
      </c>
      <c r="Q151">
        <v>13</v>
      </c>
      <c r="R151" t="s">
        <v>154</v>
      </c>
      <c r="S151">
        <v>1296.9214083286779</v>
      </c>
      <c r="T151">
        <v>110758.45793281931</v>
      </c>
      <c r="U151">
        <v>2.142781257411809</v>
      </c>
      <c r="V151">
        <v>12880.841659742029</v>
      </c>
      <c r="W151" t="s">
        <v>17</v>
      </c>
      <c r="X151">
        <v>94.365807830692859</v>
      </c>
      <c r="Y151">
        <v>110.7584579328193</v>
      </c>
      <c r="Z151">
        <v>122385.0363898556</v>
      </c>
      <c r="AA151">
        <v>16728.365791872769</v>
      </c>
      <c r="AB151">
        <v>12880.841659742029</v>
      </c>
      <c r="AC151">
        <v>16728.365791872769</v>
      </c>
      <c r="AD151" s="2">
        <v>44197</v>
      </c>
    </row>
    <row r="152" spans="1:30" x14ac:dyDescent="0.25">
      <c r="A152">
        <v>-1</v>
      </c>
      <c r="B152" t="s">
        <v>110</v>
      </c>
      <c r="C152">
        <v>2021</v>
      </c>
      <c r="D152">
        <v>1</v>
      </c>
      <c r="E152" t="s">
        <v>159</v>
      </c>
      <c r="F152" t="s">
        <v>93</v>
      </c>
      <c r="G152" t="s">
        <v>93</v>
      </c>
      <c r="H152" t="s">
        <v>149</v>
      </c>
      <c r="I152" t="s">
        <v>149</v>
      </c>
      <c r="J152" t="s">
        <v>161</v>
      </c>
      <c r="K152" t="s">
        <v>159</v>
      </c>
      <c r="L152" t="s">
        <v>151</v>
      </c>
      <c r="M152">
        <v>1113.934878728606</v>
      </c>
      <c r="N152">
        <v>2</v>
      </c>
      <c r="O152" t="s">
        <v>152</v>
      </c>
      <c r="P152" s="2">
        <v>44656.074522685187</v>
      </c>
      <c r="Q152">
        <v>5</v>
      </c>
      <c r="R152" t="s">
        <v>100</v>
      </c>
      <c r="S152">
        <v>25.326441209218231</v>
      </c>
      <c r="T152">
        <v>2057.784778796723</v>
      </c>
      <c r="U152">
        <v>4.1844496660742581E-2</v>
      </c>
      <c r="V152">
        <v>246.07477165608211</v>
      </c>
      <c r="W152" t="s">
        <v>17</v>
      </c>
      <c r="X152">
        <v>89.779504230518469</v>
      </c>
      <c r="Y152">
        <v>2.0577847787967221</v>
      </c>
      <c r="Z152">
        <v>2273.7953356869862</v>
      </c>
      <c r="AA152">
        <v>319.57762552737938</v>
      </c>
      <c r="AB152">
        <v>246.07477165608211</v>
      </c>
      <c r="AC152">
        <v>319.57762552737938</v>
      </c>
      <c r="AD152" s="2">
        <v>44197</v>
      </c>
    </row>
    <row r="153" spans="1:30" x14ac:dyDescent="0.25">
      <c r="A153">
        <v>-1</v>
      </c>
      <c r="B153" t="s">
        <v>110</v>
      </c>
      <c r="C153">
        <v>2021</v>
      </c>
      <c r="D153">
        <v>1</v>
      </c>
      <c r="E153" t="s">
        <v>159</v>
      </c>
      <c r="F153" t="s">
        <v>93</v>
      </c>
      <c r="G153" t="s">
        <v>93</v>
      </c>
      <c r="H153" t="s">
        <v>149</v>
      </c>
      <c r="I153" t="s">
        <v>149</v>
      </c>
      <c r="J153" t="s">
        <v>161</v>
      </c>
      <c r="K153" t="s">
        <v>159</v>
      </c>
      <c r="L153" t="s">
        <v>151</v>
      </c>
      <c r="M153">
        <v>1306.0945500587791</v>
      </c>
      <c r="N153">
        <v>2</v>
      </c>
      <c r="O153" t="s">
        <v>152</v>
      </c>
      <c r="P153" s="2">
        <v>44656.074522685187</v>
      </c>
      <c r="Q153">
        <v>5</v>
      </c>
      <c r="R153" t="s">
        <v>100</v>
      </c>
      <c r="S153">
        <v>25.326441209218231</v>
      </c>
      <c r="T153">
        <v>2057.784778796723</v>
      </c>
      <c r="U153">
        <v>4.1844496660742581E-2</v>
      </c>
      <c r="V153">
        <v>246.07477165608211</v>
      </c>
      <c r="W153" t="s">
        <v>17</v>
      </c>
      <c r="X153">
        <v>89.779504230518469</v>
      </c>
      <c r="Y153">
        <v>2.0577847787967221</v>
      </c>
      <c r="Z153">
        <v>2273.7953356869862</v>
      </c>
      <c r="AA153">
        <v>319.57762552737938</v>
      </c>
      <c r="AB153">
        <v>246.07477165608211</v>
      </c>
      <c r="AC153">
        <v>319.57762552737938</v>
      </c>
      <c r="AD153" s="2">
        <v>44197</v>
      </c>
    </row>
    <row r="154" spans="1:30" x14ac:dyDescent="0.25">
      <c r="A154">
        <v>-1</v>
      </c>
      <c r="B154" t="s">
        <v>110</v>
      </c>
      <c r="C154">
        <v>2021</v>
      </c>
      <c r="D154">
        <v>1</v>
      </c>
      <c r="E154" t="s">
        <v>159</v>
      </c>
      <c r="F154" t="s">
        <v>93</v>
      </c>
      <c r="G154" t="s">
        <v>93</v>
      </c>
      <c r="H154" t="s">
        <v>149</v>
      </c>
      <c r="I154" t="s">
        <v>149</v>
      </c>
      <c r="J154" t="s">
        <v>161</v>
      </c>
      <c r="K154" t="s">
        <v>159</v>
      </c>
      <c r="L154" t="s">
        <v>151</v>
      </c>
      <c r="M154">
        <v>1495.286919907574</v>
      </c>
      <c r="N154">
        <v>2</v>
      </c>
      <c r="O154" t="s">
        <v>152</v>
      </c>
      <c r="P154" s="2">
        <v>44656.074522685187</v>
      </c>
      <c r="Q154">
        <v>5</v>
      </c>
      <c r="R154" t="s">
        <v>100</v>
      </c>
      <c r="S154">
        <v>25.326441209218231</v>
      </c>
      <c r="T154">
        <v>2057.784778796723</v>
      </c>
      <c r="U154">
        <v>4.1844496660742581E-2</v>
      </c>
      <c r="V154">
        <v>246.07477165608211</v>
      </c>
      <c r="W154" t="s">
        <v>17</v>
      </c>
      <c r="X154">
        <v>89.779504230518469</v>
      </c>
      <c r="Y154">
        <v>2.0577847787967221</v>
      </c>
      <c r="Z154">
        <v>2273.7953356869862</v>
      </c>
      <c r="AA154">
        <v>319.57762552737938</v>
      </c>
      <c r="AB154">
        <v>246.07477165608211</v>
      </c>
      <c r="AC154">
        <v>319.57762552737938</v>
      </c>
      <c r="AD154" s="2">
        <v>44197</v>
      </c>
    </row>
    <row r="155" spans="1:30" x14ac:dyDescent="0.25">
      <c r="A155">
        <v>-1</v>
      </c>
      <c r="B155" t="s">
        <v>110</v>
      </c>
      <c r="C155">
        <v>2021</v>
      </c>
      <c r="D155">
        <v>1</v>
      </c>
      <c r="E155" t="s">
        <v>159</v>
      </c>
      <c r="F155" t="s">
        <v>93</v>
      </c>
      <c r="G155" t="s">
        <v>93</v>
      </c>
      <c r="H155" t="s">
        <v>149</v>
      </c>
      <c r="I155" t="s">
        <v>149</v>
      </c>
      <c r="J155" t="s">
        <v>161</v>
      </c>
      <c r="K155" t="s">
        <v>159</v>
      </c>
      <c r="L155" t="s">
        <v>151</v>
      </c>
      <c r="M155">
        <v>1113.934878728606</v>
      </c>
      <c r="N155">
        <v>2</v>
      </c>
      <c r="O155" t="s">
        <v>152</v>
      </c>
      <c r="P155" s="2">
        <v>44656.074522685187</v>
      </c>
      <c r="Q155">
        <v>11</v>
      </c>
      <c r="R155" t="s">
        <v>101</v>
      </c>
      <c r="S155">
        <v>19.18388287744957</v>
      </c>
      <c r="T155">
        <v>1673.9324260232279</v>
      </c>
      <c r="U155">
        <v>3.1695725284661663E-2</v>
      </c>
      <c r="V155">
        <v>189.37884594078659</v>
      </c>
      <c r="W155" t="s">
        <v>17</v>
      </c>
      <c r="X155">
        <v>96.416825589707358</v>
      </c>
      <c r="Y155">
        <v>1.673932426023228</v>
      </c>
      <c r="Z155">
        <v>1849.6490895284289</v>
      </c>
      <c r="AA155">
        <v>245.94655316985271</v>
      </c>
      <c r="AB155">
        <v>189.37884594078659</v>
      </c>
      <c r="AC155">
        <v>245.94655316985271</v>
      </c>
      <c r="AD155" s="2">
        <v>44197</v>
      </c>
    </row>
    <row r="156" spans="1:30" x14ac:dyDescent="0.25">
      <c r="A156">
        <v>-1</v>
      </c>
      <c r="B156" t="s">
        <v>110</v>
      </c>
      <c r="C156">
        <v>2021</v>
      </c>
      <c r="D156">
        <v>1</v>
      </c>
      <c r="E156" t="s">
        <v>159</v>
      </c>
      <c r="F156" t="s">
        <v>93</v>
      </c>
      <c r="G156" t="s">
        <v>93</v>
      </c>
      <c r="H156" t="s">
        <v>149</v>
      </c>
      <c r="I156" t="s">
        <v>149</v>
      </c>
      <c r="J156" t="s">
        <v>161</v>
      </c>
      <c r="K156" t="s">
        <v>159</v>
      </c>
      <c r="L156" t="s">
        <v>151</v>
      </c>
      <c r="M156">
        <v>1306.0945500587791</v>
      </c>
      <c r="N156">
        <v>2</v>
      </c>
      <c r="O156" t="s">
        <v>152</v>
      </c>
      <c r="P156" s="2">
        <v>44656.074522685187</v>
      </c>
      <c r="Q156">
        <v>11</v>
      </c>
      <c r="R156" t="s">
        <v>101</v>
      </c>
      <c r="S156">
        <v>19.18388287744957</v>
      </c>
      <c r="T156">
        <v>1673.9324260232279</v>
      </c>
      <c r="U156">
        <v>3.1695725284661663E-2</v>
      </c>
      <c r="V156">
        <v>189.37884594078659</v>
      </c>
      <c r="W156" t="s">
        <v>17</v>
      </c>
      <c r="X156">
        <v>96.416825589707358</v>
      </c>
      <c r="Y156">
        <v>1.673932426023228</v>
      </c>
      <c r="Z156">
        <v>1849.6490895284289</v>
      </c>
      <c r="AA156">
        <v>245.94655316985271</v>
      </c>
      <c r="AB156">
        <v>189.37884594078659</v>
      </c>
      <c r="AC156">
        <v>245.94655316985271</v>
      </c>
      <c r="AD156" s="2">
        <v>44197</v>
      </c>
    </row>
    <row r="157" spans="1:30" x14ac:dyDescent="0.25">
      <c r="A157">
        <v>-1</v>
      </c>
      <c r="B157" t="s">
        <v>110</v>
      </c>
      <c r="C157">
        <v>2021</v>
      </c>
      <c r="D157">
        <v>1</v>
      </c>
      <c r="E157" t="s">
        <v>159</v>
      </c>
      <c r="F157" t="s">
        <v>93</v>
      </c>
      <c r="G157" t="s">
        <v>93</v>
      </c>
      <c r="H157" t="s">
        <v>149</v>
      </c>
      <c r="I157" t="s">
        <v>149</v>
      </c>
      <c r="J157" t="s">
        <v>161</v>
      </c>
      <c r="K157" t="s">
        <v>159</v>
      </c>
      <c r="L157" t="s">
        <v>151</v>
      </c>
      <c r="M157">
        <v>1495.286919907574</v>
      </c>
      <c r="N157">
        <v>2</v>
      </c>
      <c r="O157" t="s">
        <v>152</v>
      </c>
      <c r="P157" s="2">
        <v>44656.074522685187</v>
      </c>
      <c r="Q157">
        <v>11</v>
      </c>
      <c r="R157" t="s">
        <v>101</v>
      </c>
      <c r="S157">
        <v>19.18388287744957</v>
      </c>
      <c r="T157">
        <v>1673.9324260232279</v>
      </c>
      <c r="U157">
        <v>3.1695725284661663E-2</v>
      </c>
      <c r="V157">
        <v>189.37884594078659</v>
      </c>
      <c r="W157" t="s">
        <v>17</v>
      </c>
      <c r="X157">
        <v>96.416825589707358</v>
      </c>
      <c r="Y157">
        <v>1.673932426023228</v>
      </c>
      <c r="Z157">
        <v>1849.6490895284289</v>
      </c>
      <c r="AA157">
        <v>245.94655316985271</v>
      </c>
      <c r="AB157">
        <v>189.37884594078659</v>
      </c>
      <c r="AC157">
        <v>245.94655316985271</v>
      </c>
      <c r="AD157" s="2">
        <v>44197</v>
      </c>
    </row>
    <row r="158" spans="1:30" x14ac:dyDescent="0.25">
      <c r="A158">
        <v>-1</v>
      </c>
      <c r="B158" t="s">
        <v>110</v>
      </c>
      <c r="C158">
        <v>2021</v>
      </c>
      <c r="D158">
        <v>1</v>
      </c>
      <c r="E158" t="s">
        <v>160</v>
      </c>
      <c r="F158" t="s">
        <v>93</v>
      </c>
      <c r="G158" t="s">
        <v>93</v>
      </c>
      <c r="H158" t="s">
        <v>149</v>
      </c>
      <c r="I158" t="s">
        <v>149</v>
      </c>
      <c r="J158" t="s">
        <v>161</v>
      </c>
      <c r="K158" t="s">
        <v>160</v>
      </c>
      <c r="L158" t="s">
        <v>151</v>
      </c>
      <c r="M158">
        <v>559.28757421062789</v>
      </c>
      <c r="N158">
        <v>1</v>
      </c>
      <c r="O158" t="s">
        <v>152</v>
      </c>
      <c r="P158" s="2">
        <v>44656.074522685187</v>
      </c>
      <c r="Q158">
        <v>31</v>
      </c>
      <c r="R158" t="s">
        <v>153</v>
      </c>
      <c r="S158">
        <v>3.3438853931375681</v>
      </c>
      <c r="T158">
        <v>300.88725529238832</v>
      </c>
      <c r="U158">
        <v>5.5247873165899866E-3</v>
      </c>
      <c r="V158">
        <v>33.790760658094342</v>
      </c>
      <c r="W158" t="s">
        <v>17</v>
      </c>
      <c r="X158">
        <v>99.426884060610135</v>
      </c>
      <c r="Y158">
        <v>0.30088725529238841</v>
      </c>
      <c r="Z158">
        <v>332.47210529545669</v>
      </c>
      <c r="AA158">
        <v>43.884104750771883</v>
      </c>
      <c r="AB158">
        <v>33.790760658094342</v>
      </c>
      <c r="AC158">
        <v>43.884104750771883</v>
      </c>
      <c r="AD158" s="2">
        <v>44197</v>
      </c>
    </row>
    <row r="159" spans="1:30" x14ac:dyDescent="0.25">
      <c r="A159">
        <v>-1</v>
      </c>
      <c r="B159" t="s">
        <v>110</v>
      </c>
      <c r="C159">
        <v>2021</v>
      </c>
      <c r="D159">
        <v>1</v>
      </c>
      <c r="E159" t="s">
        <v>160</v>
      </c>
      <c r="F159" t="s">
        <v>93</v>
      </c>
      <c r="G159" t="s">
        <v>93</v>
      </c>
      <c r="H159" t="s">
        <v>149</v>
      </c>
      <c r="I159" t="s">
        <v>149</v>
      </c>
      <c r="J159" t="s">
        <v>161</v>
      </c>
      <c r="K159" t="s">
        <v>160</v>
      </c>
      <c r="L159" t="s">
        <v>151</v>
      </c>
      <c r="M159">
        <v>571.67631573717165</v>
      </c>
      <c r="N159">
        <v>1</v>
      </c>
      <c r="O159" t="s">
        <v>152</v>
      </c>
      <c r="P159" s="2">
        <v>44656.074522685187</v>
      </c>
      <c r="Q159">
        <v>31</v>
      </c>
      <c r="R159" t="s">
        <v>153</v>
      </c>
      <c r="S159">
        <v>3.3438853931375681</v>
      </c>
      <c r="T159">
        <v>300.88725529238832</v>
      </c>
      <c r="U159">
        <v>5.5247873165899866E-3</v>
      </c>
      <c r="V159">
        <v>33.790760658094342</v>
      </c>
      <c r="W159" t="s">
        <v>17</v>
      </c>
      <c r="X159">
        <v>99.426884060610135</v>
      </c>
      <c r="Y159">
        <v>0.30088725529238841</v>
      </c>
      <c r="Z159">
        <v>332.47210529545669</v>
      </c>
      <c r="AA159">
        <v>43.884104750771883</v>
      </c>
      <c r="AB159">
        <v>33.790760658094342</v>
      </c>
      <c r="AC159">
        <v>43.884104750771883</v>
      </c>
      <c r="AD159" s="2">
        <v>44197</v>
      </c>
    </row>
    <row r="160" spans="1:30" x14ac:dyDescent="0.25">
      <c r="A160">
        <v>-1</v>
      </c>
      <c r="B160" t="s">
        <v>110</v>
      </c>
      <c r="C160">
        <v>2021</v>
      </c>
      <c r="D160">
        <v>1</v>
      </c>
      <c r="E160" t="s">
        <v>160</v>
      </c>
      <c r="F160" t="s">
        <v>93</v>
      </c>
      <c r="G160" t="s">
        <v>93</v>
      </c>
      <c r="H160" t="s">
        <v>149</v>
      </c>
      <c r="I160" t="s">
        <v>149</v>
      </c>
      <c r="J160" t="s">
        <v>161</v>
      </c>
      <c r="K160" t="s">
        <v>160</v>
      </c>
      <c r="L160" t="s">
        <v>151</v>
      </c>
      <c r="M160">
        <v>807.21972090635632</v>
      </c>
      <c r="N160">
        <v>1</v>
      </c>
      <c r="O160" t="s">
        <v>152</v>
      </c>
      <c r="P160" s="2">
        <v>44656.074522685187</v>
      </c>
      <c r="Q160">
        <v>31</v>
      </c>
      <c r="R160" t="s">
        <v>153</v>
      </c>
      <c r="S160">
        <v>3.3438853931375681</v>
      </c>
      <c r="T160">
        <v>300.88725529238832</v>
      </c>
      <c r="U160">
        <v>5.5247873165899866E-3</v>
      </c>
      <c r="V160">
        <v>33.790760658094342</v>
      </c>
      <c r="W160" t="s">
        <v>17</v>
      </c>
      <c r="X160">
        <v>99.426884060610135</v>
      </c>
      <c r="Y160">
        <v>0.30088725529238841</v>
      </c>
      <c r="Z160">
        <v>332.47210529545669</v>
      </c>
      <c r="AA160">
        <v>43.884104750771883</v>
      </c>
      <c r="AB160">
        <v>33.790760658094342</v>
      </c>
      <c r="AC160">
        <v>43.884104750771883</v>
      </c>
      <c r="AD160" s="2">
        <v>44197</v>
      </c>
    </row>
    <row r="161" spans="1:30" x14ac:dyDescent="0.25">
      <c r="A161">
        <v>-1</v>
      </c>
      <c r="B161" t="s">
        <v>110</v>
      </c>
      <c r="C161">
        <v>2021</v>
      </c>
      <c r="D161">
        <v>1</v>
      </c>
      <c r="E161" t="s">
        <v>160</v>
      </c>
      <c r="F161" t="s">
        <v>93</v>
      </c>
      <c r="G161" t="s">
        <v>93</v>
      </c>
      <c r="H161" t="s">
        <v>149</v>
      </c>
      <c r="I161" t="s">
        <v>149</v>
      </c>
      <c r="J161" t="s">
        <v>161</v>
      </c>
      <c r="K161" t="s">
        <v>160</v>
      </c>
      <c r="L161" t="s">
        <v>151</v>
      </c>
      <c r="M161">
        <v>559.28757421062789</v>
      </c>
      <c r="N161">
        <v>1</v>
      </c>
      <c r="O161" t="s">
        <v>152</v>
      </c>
      <c r="P161" s="2">
        <v>44656.074522685187</v>
      </c>
      <c r="Q161">
        <v>13</v>
      </c>
      <c r="R161" t="s">
        <v>154</v>
      </c>
      <c r="S161">
        <v>549.40285500089908</v>
      </c>
      <c r="T161">
        <v>46919.584034167223</v>
      </c>
      <c r="U161">
        <v>0.90772666169615346</v>
      </c>
      <c r="V161">
        <v>5456.5921552613709</v>
      </c>
      <c r="W161" t="s">
        <v>17</v>
      </c>
      <c r="X161">
        <v>94.365807830692859</v>
      </c>
      <c r="Y161">
        <v>46.919584034167222</v>
      </c>
      <c r="Z161">
        <v>51844.84423664886</v>
      </c>
      <c r="AA161">
        <v>7086.483318521261</v>
      </c>
      <c r="AB161">
        <v>5456.5921552613709</v>
      </c>
      <c r="AC161">
        <v>7086.483318521261</v>
      </c>
      <c r="AD161" s="2">
        <v>44197</v>
      </c>
    </row>
    <row r="162" spans="1:30" x14ac:dyDescent="0.25">
      <c r="A162">
        <v>-1</v>
      </c>
      <c r="B162" t="s">
        <v>110</v>
      </c>
      <c r="C162">
        <v>2021</v>
      </c>
      <c r="D162">
        <v>1</v>
      </c>
      <c r="E162" t="s">
        <v>160</v>
      </c>
      <c r="F162" t="s">
        <v>93</v>
      </c>
      <c r="G162" t="s">
        <v>93</v>
      </c>
      <c r="H162" t="s">
        <v>149</v>
      </c>
      <c r="I162" t="s">
        <v>149</v>
      </c>
      <c r="J162" t="s">
        <v>161</v>
      </c>
      <c r="K162" t="s">
        <v>160</v>
      </c>
      <c r="L162" t="s">
        <v>151</v>
      </c>
      <c r="M162">
        <v>571.67631573717165</v>
      </c>
      <c r="N162">
        <v>1</v>
      </c>
      <c r="O162" t="s">
        <v>152</v>
      </c>
      <c r="P162" s="2">
        <v>44656.074522685187</v>
      </c>
      <c r="Q162">
        <v>13</v>
      </c>
      <c r="R162" t="s">
        <v>154</v>
      </c>
      <c r="S162">
        <v>549.40285500089908</v>
      </c>
      <c r="T162">
        <v>46919.584034167223</v>
      </c>
      <c r="U162">
        <v>0.90772666169615346</v>
      </c>
      <c r="V162">
        <v>5456.5921552613709</v>
      </c>
      <c r="W162" t="s">
        <v>17</v>
      </c>
      <c r="X162">
        <v>94.365807830692859</v>
      </c>
      <c r="Y162">
        <v>46.919584034167222</v>
      </c>
      <c r="Z162">
        <v>51844.84423664886</v>
      </c>
      <c r="AA162">
        <v>7086.483318521261</v>
      </c>
      <c r="AB162">
        <v>5456.5921552613709</v>
      </c>
      <c r="AC162">
        <v>7086.483318521261</v>
      </c>
      <c r="AD162" s="2">
        <v>44197</v>
      </c>
    </row>
    <row r="163" spans="1:30" x14ac:dyDescent="0.25">
      <c r="A163">
        <v>-1</v>
      </c>
      <c r="B163" t="s">
        <v>110</v>
      </c>
      <c r="C163">
        <v>2021</v>
      </c>
      <c r="D163">
        <v>1</v>
      </c>
      <c r="E163" t="s">
        <v>160</v>
      </c>
      <c r="F163" t="s">
        <v>93</v>
      </c>
      <c r="G163" t="s">
        <v>93</v>
      </c>
      <c r="H163" t="s">
        <v>149</v>
      </c>
      <c r="I163" t="s">
        <v>149</v>
      </c>
      <c r="J163" t="s">
        <v>161</v>
      </c>
      <c r="K163" t="s">
        <v>160</v>
      </c>
      <c r="L163" t="s">
        <v>151</v>
      </c>
      <c r="M163">
        <v>807.21972090635632</v>
      </c>
      <c r="N163">
        <v>1</v>
      </c>
      <c r="O163" t="s">
        <v>152</v>
      </c>
      <c r="P163" s="2">
        <v>44656.074522685187</v>
      </c>
      <c r="Q163">
        <v>13</v>
      </c>
      <c r="R163" t="s">
        <v>154</v>
      </c>
      <c r="S163">
        <v>549.40285500089908</v>
      </c>
      <c r="T163">
        <v>46919.584034167223</v>
      </c>
      <c r="U163">
        <v>0.90772666169615346</v>
      </c>
      <c r="V163">
        <v>5456.5921552613709</v>
      </c>
      <c r="W163" t="s">
        <v>17</v>
      </c>
      <c r="X163">
        <v>94.365807830692859</v>
      </c>
      <c r="Y163">
        <v>46.919584034167222</v>
      </c>
      <c r="Z163">
        <v>51844.84423664886</v>
      </c>
      <c r="AA163">
        <v>7086.483318521261</v>
      </c>
      <c r="AB163">
        <v>5456.5921552613709</v>
      </c>
      <c r="AC163">
        <v>7086.483318521261</v>
      </c>
      <c r="AD163" s="2">
        <v>44197</v>
      </c>
    </row>
    <row r="164" spans="1:30" x14ac:dyDescent="0.25">
      <c r="A164">
        <v>-1</v>
      </c>
      <c r="B164" t="s">
        <v>110</v>
      </c>
      <c r="C164">
        <v>2021</v>
      </c>
      <c r="D164">
        <v>1</v>
      </c>
      <c r="E164" t="s">
        <v>160</v>
      </c>
      <c r="F164" t="s">
        <v>93</v>
      </c>
      <c r="G164" t="s">
        <v>93</v>
      </c>
      <c r="H164" t="s">
        <v>149</v>
      </c>
      <c r="I164" t="s">
        <v>149</v>
      </c>
      <c r="J164" t="s">
        <v>161</v>
      </c>
      <c r="K164" t="s">
        <v>160</v>
      </c>
      <c r="L164" t="s">
        <v>151</v>
      </c>
      <c r="M164">
        <v>559.28757421062789</v>
      </c>
      <c r="N164">
        <v>1</v>
      </c>
      <c r="O164" t="s">
        <v>152</v>
      </c>
      <c r="P164" s="2">
        <v>44656.074522685187</v>
      </c>
      <c r="Q164">
        <v>5</v>
      </c>
      <c r="R164" t="s">
        <v>100</v>
      </c>
      <c r="S164">
        <v>20.97186197629668</v>
      </c>
      <c r="T164">
        <v>1703.973250775613</v>
      </c>
      <c r="U164">
        <v>3.4649834976312827E-2</v>
      </c>
      <c r="V164">
        <v>203.76515217391551</v>
      </c>
      <c r="W164" t="s">
        <v>17</v>
      </c>
      <c r="X164">
        <v>89.779504230518484</v>
      </c>
      <c r="Y164">
        <v>1.7039732507756129</v>
      </c>
      <c r="Z164">
        <v>1882.8433710227771</v>
      </c>
      <c r="AA164">
        <v>264.63006775833179</v>
      </c>
      <c r="AB164">
        <v>203.76515217391551</v>
      </c>
      <c r="AC164">
        <v>264.63006775833179</v>
      </c>
      <c r="AD164" s="2">
        <v>44197</v>
      </c>
    </row>
    <row r="165" spans="1:30" x14ac:dyDescent="0.25">
      <c r="A165">
        <v>-1</v>
      </c>
      <c r="B165" t="s">
        <v>110</v>
      </c>
      <c r="C165">
        <v>2021</v>
      </c>
      <c r="D165">
        <v>1</v>
      </c>
      <c r="E165" t="s">
        <v>160</v>
      </c>
      <c r="F165" t="s">
        <v>93</v>
      </c>
      <c r="G165" t="s">
        <v>93</v>
      </c>
      <c r="H165" t="s">
        <v>149</v>
      </c>
      <c r="I165" t="s">
        <v>149</v>
      </c>
      <c r="J165" t="s">
        <v>161</v>
      </c>
      <c r="K165" t="s">
        <v>160</v>
      </c>
      <c r="L165" t="s">
        <v>151</v>
      </c>
      <c r="M165">
        <v>571.67631573717165</v>
      </c>
      <c r="N165">
        <v>1</v>
      </c>
      <c r="O165" t="s">
        <v>152</v>
      </c>
      <c r="P165" s="2">
        <v>44656.074522685187</v>
      </c>
      <c r="Q165">
        <v>5</v>
      </c>
      <c r="R165" t="s">
        <v>100</v>
      </c>
      <c r="S165">
        <v>20.97186197629668</v>
      </c>
      <c r="T165">
        <v>1703.973250775613</v>
      </c>
      <c r="U165">
        <v>3.4649834976312827E-2</v>
      </c>
      <c r="V165">
        <v>203.76515217391551</v>
      </c>
      <c r="W165" t="s">
        <v>17</v>
      </c>
      <c r="X165">
        <v>89.779504230518484</v>
      </c>
      <c r="Y165">
        <v>1.7039732507756129</v>
      </c>
      <c r="Z165">
        <v>1882.8433710227771</v>
      </c>
      <c r="AA165">
        <v>264.63006775833179</v>
      </c>
      <c r="AB165">
        <v>203.76515217391551</v>
      </c>
      <c r="AC165">
        <v>264.63006775833179</v>
      </c>
      <c r="AD165" s="2">
        <v>44197</v>
      </c>
    </row>
    <row r="166" spans="1:30" x14ac:dyDescent="0.25">
      <c r="A166">
        <v>-1</v>
      </c>
      <c r="B166" t="s">
        <v>110</v>
      </c>
      <c r="C166">
        <v>2021</v>
      </c>
      <c r="D166">
        <v>1</v>
      </c>
      <c r="E166" t="s">
        <v>160</v>
      </c>
      <c r="F166" t="s">
        <v>93</v>
      </c>
      <c r="G166" t="s">
        <v>93</v>
      </c>
      <c r="H166" t="s">
        <v>149</v>
      </c>
      <c r="I166" t="s">
        <v>149</v>
      </c>
      <c r="J166" t="s">
        <v>161</v>
      </c>
      <c r="K166" t="s">
        <v>160</v>
      </c>
      <c r="L166" t="s">
        <v>151</v>
      </c>
      <c r="M166">
        <v>807.21972090635632</v>
      </c>
      <c r="N166">
        <v>1</v>
      </c>
      <c r="O166" t="s">
        <v>152</v>
      </c>
      <c r="P166" s="2">
        <v>44656.074522685187</v>
      </c>
      <c r="Q166">
        <v>5</v>
      </c>
      <c r="R166" t="s">
        <v>100</v>
      </c>
      <c r="S166">
        <v>20.97186197629668</v>
      </c>
      <c r="T166">
        <v>1703.973250775613</v>
      </c>
      <c r="U166">
        <v>3.4649834976312827E-2</v>
      </c>
      <c r="V166">
        <v>203.76515217391551</v>
      </c>
      <c r="W166" t="s">
        <v>17</v>
      </c>
      <c r="X166">
        <v>89.779504230518484</v>
      </c>
      <c r="Y166">
        <v>1.7039732507756129</v>
      </c>
      <c r="Z166">
        <v>1882.8433710227771</v>
      </c>
      <c r="AA166">
        <v>264.63006775833179</v>
      </c>
      <c r="AB166">
        <v>203.76515217391551</v>
      </c>
      <c r="AC166">
        <v>264.63006775833179</v>
      </c>
      <c r="AD166" s="2">
        <v>44197</v>
      </c>
    </row>
    <row r="167" spans="1:30" x14ac:dyDescent="0.25">
      <c r="A167">
        <v>-1</v>
      </c>
      <c r="B167" t="s">
        <v>110</v>
      </c>
      <c r="C167">
        <v>2021</v>
      </c>
      <c r="D167">
        <v>1</v>
      </c>
      <c r="E167" t="s">
        <v>160</v>
      </c>
      <c r="F167" t="s">
        <v>93</v>
      </c>
      <c r="G167" t="s">
        <v>93</v>
      </c>
      <c r="H167" t="s">
        <v>149</v>
      </c>
      <c r="I167" t="s">
        <v>149</v>
      </c>
      <c r="J167" t="s">
        <v>161</v>
      </c>
      <c r="K167" t="s">
        <v>160</v>
      </c>
      <c r="L167" t="s">
        <v>151</v>
      </c>
      <c r="M167">
        <v>559.28757421062789</v>
      </c>
      <c r="N167">
        <v>1</v>
      </c>
      <c r="O167" t="s">
        <v>152</v>
      </c>
      <c r="P167" s="2">
        <v>44656.074522685187</v>
      </c>
      <c r="Q167">
        <v>11</v>
      </c>
      <c r="R167" t="s">
        <v>101</v>
      </c>
      <c r="S167">
        <v>15.699670238039699</v>
      </c>
      <c r="T167">
        <v>1369.9096922770791</v>
      </c>
      <c r="U167">
        <v>2.5939088457927501E-2</v>
      </c>
      <c r="V167">
        <v>154.9835062236445</v>
      </c>
      <c r="W167" t="s">
        <v>17</v>
      </c>
      <c r="X167">
        <v>96.416825589707358</v>
      </c>
      <c r="Y167">
        <v>1.369909692277079</v>
      </c>
      <c r="Z167">
        <v>1513.712367156993</v>
      </c>
      <c r="AA167">
        <v>201.2772808099279</v>
      </c>
      <c r="AB167">
        <v>154.9835062236445</v>
      </c>
      <c r="AC167">
        <v>201.2772808099279</v>
      </c>
      <c r="AD167" s="2">
        <v>44197</v>
      </c>
    </row>
    <row r="168" spans="1:30" x14ac:dyDescent="0.25">
      <c r="A168">
        <v>-1</v>
      </c>
      <c r="B168" t="s">
        <v>110</v>
      </c>
      <c r="C168">
        <v>2021</v>
      </c>
      <c r="D168">
        <v>1</v>
      </c>
      <c r="E168" t="s">
        <v>160</v>
      </c>
      <c r="F168" t="s">
        <v>93</v>
      </c>
      <c r="G168" t="s">
        <v>93</v>
      </c>
      <c r="H168" t="s">
        <v>149</v>
      </c>
      <c r="I168" t="s">
        <v>149</v>
      </c>
      <c r="J168" t="s">
        <v>161</v>
      </c>
      <c r="K168" t="s">
        <v>160</v>
      </c>
      <c r="L168" t="s">
        <v>151</v>
      </c>
      <c r="M168">
        <v>571.67631573717165</v>
      </c>
      <c r="N168">
        <v>1</v>
      </c>
      <c r="O168" t="s">
        <v>152</v>
      </c>
      <c r="P168" s="2">
        <v>44656.074522685187</v>
      </c>
      <c r="Q168">
        <v>11</v>
      </c>
      <c r="R168" t="s">
        <v>101</v>
      </c>
      <c r="S168">
        <v>15.699670238039699</v>
      </c>
      <c r="T168">
        <v>1369.9096922770791</v>
      </c>
      <c r="U168">
        <v>2.5939088457927501E-2</v>
      </c>
      <c r="V168">
        <v>154.9835062236445</v>
      </c>
      <c r="W168" t="s">
        <v>17</v>
      </c>
      <c r="X168">
        <v>96.416825589707358</v>
      </c>
      <c r="Y168">
        <v>1.369909692277079</v>
      </c>
      <c r="Z168">
        <v>1513.712367156993</v>
      </c>
      <c r="AA168">
        <v>201.2772808099279</v>
      </c>
      <c r="AB168">
        <v>154.9835062236445</v>
      </c>
      <c r="AC168">
        <v>201.2772808099279</v>
      </c>
      <c r="AD168" s="2">
        <v>44197</v>
      </c>
    </row>
    <row r="169" spans="1:30" x14ac:dyDescent="0.25">
      <c r="A169">
        <v>-1</v>
      </c>
      <c r="B169" t="s">
        <v>110</v>
      </c>
      <c r="C169">
        <v>2021</v>
      </c>
      <c r="D169">
        <v>1</v>
      </c>
      <c r="E169" t="s">
        <v>160</v>
      </c>
      <c r="F169" t="s">
        <v>93</v>
      </c>
      <c r="G169" t="s">
        <v>93</v>
      </c>
      <c r="H169" t="s">
        <v>149</v>
      </c>
      <c r="I169" t="s">
        <v>149</v>
      </c>
      <c r="J169" t="s">
        <v>161</v>
      </c>
      <c r="K169" t="s">
        <v>160</v>
      </c>
      <c r="L169" t="s">
        <v>151</v>
      </c>
      <c r="M169">
        <v>807.21972090635632</v>
      </c>
      <c r="N169">
        <v>1</v>
      </c>
      <c r="O169" t="s">
        <v>152</v>
      </c>
      <c r="P169" s="2">
        <v>44656.074522685187</v>
      </c>
      <c r="Q169">
        <v>11</v>
      </c>
      <c r="R169" t="s">
        <v>101</v>
      </c>
      <c r="S169">
        <v>15.699670238039699</v>
      </c>
      <c r="T169">
        <v>1369.9096922770791</v>
      </c>
      <c r="U169">
        <v>2.5939088457927501E-2</v>
      </c>
      <c r="V169">
        <v>154.9835062236445</v>
      </c>
      <c r="W169" t="s">
        <v>17</v>
      </c>
      <c r="X169">
        <v>96.416825589707358</v>
      </c>
      <c r="Y169">
        <v>1.369909692277079</v>
      </c>
      <c r="Z169">
        <v>1513.712367156993</v>
      </c>
      <c r="AA169">
        <v>201.2772808099279</v>
      </c>
      <c r="AB169">
        <v>154.9835062236445</v>
      </c>
      <c r="AC169">
        <v>201.2772808099279</v>
      </c>
      <c r="AD169" s="2">
        <v>44197</v>
      </c>
    </row>
    <row r="170" spans="1:30" hidden="1" x14ac:dyDescent="0.25">
      <c r="A170">
        <v>-1</v>
      </c>
      <c r="B170" t="s">
        <v>114</v>
      </c>
      <c r="C170">
        <v>2021</v>
      </c>
      <c r="D170">
        <v>2</v>
      </c>
      <c r="E170" t="s">
        <v>148</v>
      </c>
      <c r="F170" t="s">
        <v>93</v>
      </c>
      <c r="G170" t="s">
        <v>93</v>
      </c>
      <c r="H170" t="s">
        <v>149</v>
      </c>
      <c r="I170" t="s">
        <v>149</v>
      </c>
      <c r="J170" t="s">
        <v>161</v>
      </c>
      <c r="K170" t="s">
        <v>148</v>
      </c>
      <c r="L170" t="s">
        <v>151</v>
      </c>
      <c r="M170">
        <v>1919.29282858645</v>
      </c>
      <c r="N170">
        <v>4</v>
      </c>
      <c r="O170" t="s">
        <v>152</v>
      </c>
      <c r="P170" s="2">
        <v>44656.074522685187</v>
      </c>
      <c r="Q170">
        <v>31</v>
      </c>
      <c r="R170" t="s">
        <v>153</v>
      </c>
      <c r="S170">
        <v>17.116732166113209</v>
      </c>
      <c r="T170">
        <v>1540.186326841872</v>
      </c>
      <c r="U170">
        <v>2.733374484502369E-2</v>
      </c>
      <c r="V170">
        <v>167.1789296167328</v>
      </c>
      <c r="W170" t="s">
        <v>17</v>
      </c>
      <c r="X170">
        <v>99.426884060610107</v>
      </c>
      <c r="Y170">
        <v>1.5401863268418721</v>
      </c>
      <c r="Z170">
        <v>1701.8633445766541</v>
      </c>
      <c r="AA170">
        <v>217.1154930087439</v>
      </c>
      <c r="AB170">
        <v>167.1789296167328</v>
      </c>
      <c r="AC170">
        <v>217.1154930087439</v>
      </c>
      <c r="AD170" s="2">
        <v>44228</v>
      </c>
    </row>
    <row r="171" spans="1:30" hidden="1" x14ac:dyDescent="0.25">
      <c r="A171">
        <v>-1</v>
      </c>
      <c r="B171" t="s">
        <v>114</v>
      </c>
      <c r="C171">
        <v>2021</v>
      </c>
      <c r="D171">
        <v>2</v>
      </c>
      <c r="E171" t="s">
        <v>148</v>
      </c>
      <c r="F171" t="s">
        <v>93</v>
      </c>
      <c r="G171" t="s">
        <v>93</v>
      </c>
      <c r="H171" t="s">
        <v>149</v>
      </c>
      <c r="I171" t="s">
        <v>149</v>
      </c>
      <c r="J171" t="s">
        <v>161</v>
      </c>
      <c r="K171" t="s">
        <v>148</v>
      </c>
      <c r="L171" t="s">
        <v>151</v>
      </c>
      <c r="M171">
        <v>2186.571368769587</v>
      </c>
      <c r="N171">
        <v>4</v>
      </c>
      <c r="O171" t="s">
        <v>152</v>
      </c>
      <c r="P171" s="2">
        <v>44656.074522685187</v>
      </c>
      <c r="Q171">
        <v>31</v>
      </c>
      <c r="R171" t="s">
        <v>153</v>
      </c>
      <c r="S171">
        <v>17.116732166113209</v>
      </c>
      <c r="T171">
        <v>1540.186326841872</v>
      </c>
      <c r="U171">
        <v>2.733374484502369E-2</v>
      </c>
      <c r="V171">
        <v>167.1789296167328</v>
      </c>
      <c r="W171" t="s">
        <v>17</v>
      </c>
      <c r="X171">
        <v>99.426884060610107</v>
      </c>
      <c r="Y171">
        <v>1.5401863268418721</v>
      </c>
      <c r="Z171">
        <v>1701.8633445766541</v>
      </c>
      <c r="AA171">
        <v>217.1154930087439</v>
      </c>
      <c r="AB171">
        <v>167.1789296167328</v>
      </c>
      <c r="AC171">
        <v>217.1154930087439</v>
      </c>
      <c r="AD171" s="2">
        <v>44228</v>
      </c>
    </row>
    <row r="172" spans="1:30" hidden="1" x14ac:dyDescent="0.25">
      <c r="A172">
        <v>-1</v>
      </c>
      <c r="B172" t="s">
        <v>114</v>
      </c>
      <c r="C172">
        <v>2021</v>
      </c>
      <c r="D172">
        <v>2</v>
      </c>
      <c r="E172" t="s">
        <v>148</v>
      </c>
      <c r="F172" t="s">
        <v>93</v>
      </c>
      <c r="G172" t="s">
        <v>93</v>
      </c>
      <c r="H172" t="s">
        <v>149</v>
      </c>
      <c r="I172" t="s">
        <v>149</v>
      </c>
      <c r="J172" t="s">
        <v>161</v>
      </c>
      <c r="K172" t="s">
        <v>148</v>
      </c>
      <c r="L172" t="s">
        <v>151</v>
      </c>
      <c r="M172">
        <v>2211.5283155985389</v>
      </c>
      <c r="N172">
        <v>3</v>
      </c>
      <c r="O172" t="s">
        <v>152</v>
      </c>
      <c r="P172" s="2">
        <v>44656.074522685187</v>
      </c>
      <c r="Q172">
        <v>31</v>
      </c>
      <c r="R172" t="s">
        <v>153</v>
      </c>
      <c r="S172">
        <v>17.116732166113209</v>
      </c>
      <c r="T172">
        <v>1540.186326841872</v>
      </c>
      <c r="U172">
        <v>2.733374484502369E-2</v>
      </c>
      <c r="V172">
        <v>167.1789296167328</v>
      </c>
      <c r="W172" t="s">
        <v>17</v>
      </c>
      <c r="X172">
        <v>99.426884060610107</v>
      </c>
      <c r="Y172">
        <v>1.5401863268418721</v>
      </c>
      <c r="Z172">
        <v>1701.8633445766541</v>
      </c>
      <c r="AA172">
        <v>217.1154930087439</v>
      </c>
      <c r="AB172">
        <v>167.1789296167328</v>
      </c>
      <c r="AC172">
        <v>217.1154930087439</v>
      </c>
      <c r="AD172" s="2">
        <v>44228</v>
      </c>
    </row>
    <row r="173" spans="1:30" hidden="1" x14ac:dyDescent="0.25">
      <c r="A173">
        <v>-1</v>
      </c>
      <c r="B173" t="s">
        <v>114</v>
      </c>
      <c r="C173">
        <v>2021</v>
      </c>
      <c r="D173">
        <v>2</v>
      </c>
      <c r="E173" t="s">
        <v>148</v>
      </c>
      <c r="F173" t="s">
        <v>93</v>
      </c>
      <c r="G173" t="s">
        <v>93</v>
      </c>
      <c r="H173" t="s">
        <v>149</v>
      </c>
      <c r="I173" t="s">
        <v>149</v>
      </c>
      <c r="J173" t="s">
        <v>161</v>
      </c>
      <c r="K173" t="s">
        <v>148</v>
      </c>
      <c r="L173" t="s">
        <v>151</v>
      </c>
      <c r="M173">
        <v>1919.29282858645</v>
      </c>
      <c r="N173">
        <v>4</v>
      </c>
      <c r="O173" t="s">
        <v>152</v>
      </c>
      <c r="P173" s="2">
        <v>44656.074522685187</v>
      </c>
      <c r="Q173">
        <v>13</v>
      </c>
      <c r="R173" t="s">
        <v>154</v>
      </c>
      <c r="S173">
        <v>2136.1119783694812</v>
      </c>
      <c r="T173">
        <v>182426.21887236831</v>
      </c>
      <c r="U173">
        <v>3.411161617212394</v>
      </c>
      <c r="V173">
        <v>20505.421407397582</v>
      </c>
      <c r="W173" t="s">
        <v>17</v>
      </c>
      <c r="X173">
        <v>94.365807830692859</v>
      </c>
      <c r="Y173">
        <v>182.42621887236831</v>
      </c>
      <c r="Z173">
        <v>201575.93245565559</v>
      </c>
      <c r="AA173">
        <v>26630.41741220465</v>
      </c>
      <c r="AB173">
        <v>20505.421407397582</v>
      </c>
      <c r="AC173">
        <v>26630.41741220465</v>
      </c>
      <c r="AD173" s="2">
        <v>44228</v>
      </c>
    </row>
    <row r="174" spans="1:30" hidden="1" x14ac:dyDescent="0.25">
      <c r="A174">
        <v>-1</v>
      </c>
      <c r="B174" t="s">
        <v>114</v>
      </c>
      <c r="C174">
        <v>2021</v>
      </c>
      <c r="D174">
        <v>2</v>
      </c>
      <c r="E174" t="s">
        <v>148</v>
      </c>
      <c r="F174" t="s">
        <v>93</v>
      </c>
      <c r="G174" t="s">
        <v>93</v>
      </c>
      <c r="H174" t="s">
        <v>149</v>
      </c>
      <c r="I174" t="s">
        <v>149</v>
      </c>
      <c r="J174" t="s">
        <v>161</v>
      </c>
      <c r="K174" t="s">
        <v>148</v>
      </c>
      <c r="L174" t="s">
        <v>151</v>
      </c>
      <c r="M174">
        <v>2186.571368769587</v>
      </c>
      <c r="N174">
        <v>4</v>
      </c>
      <c r="O174" t="s">
        <v>152</v>
      </c>
      <c r="P174" s="2">
        <v>44656.074522685187</v>
      </c>
      <c r="Q174">
        <v>13</v>
      </c>
      <c r="R174" t="s">
        <v>154</v>
      </c>
      <c r="S174">
        <v>2136.1119783694812</v>
      </c>
      <c r="T174">
        <v>182426.21887236831</v>
      </c>
      <c r="U174">
        <v>3.411161617212394</v>
      </c>
      <c r="V174">
        <v>20505.421407397582</v>
      </c>
      <c r="W174" t="s">
        <v>17</v>
      </c>
      <c r="X174">
        <v>94.365807830692859</v>
      </c>
      <c r="Y174">
        <v>182.42621887236831</v>
      </c>
      <c r="Z174">
        <v>201575.93245565559</v>
      </c>
      <c r="AA174">
        <v>26630.41741220465</v>
      </c>
      <c r="AB174">
        <v>20505.421407397582</v>
      </c>
      <c r="AC174">
        <v>26630.41741220465</v>
      </c>
      <c r="AD174" s="2">
        <v>44228</v>
      </c>
    </row>
    <row r="175" spans="1:30" hidden="1" x14ac:dyDescent="0.25">
      <c r="A175">
        <v>-1</v>
      </c>
      <c r="B175" t="s">
        <v>114</v>
      </c>
      <c r="C175">
        <v>2021</v>
      </c>
      <c r="D175">
        <v>2</v>
      </c>
      <c r="E175" t="s">
        <v>148</v>
      </c>
      <c r="F175" t="s">
        <v>93</v>
      </c>
      <c r="G175" t="s">
        <v>93</v>
      </c>
      <c r="H175" t="s">
        <v>149</v>
      </c>
      <c r="I175" t="s">
        <v>149</v>
      </c>
      <c r="J175" t="s">
        <v>161</v>
      </c>
      <c r="K175" t="s">
        <v>148</v>
      </c>
      <c r="L175" t="s">
        <v>151</v>
      </c>
      <c r="M175">
        <v>2211.5283155985389</v>
      </c>
      <c r="N175">
        <v>3</v>
      </c>
      <c r="O175" t="s">
        <v>152</v>
      </c>
      <c r="P175" s="2">
        <v>44656.074522685187</v>
      </c>
      <c r="Q175">
        <v>13</v>
      </c>
      <c r="R175" t="s">
        <v>154</v>
      </c>
      <c r="S175">
        <v>2136.1119783694812</v>
      </c>
      <c r="T175">
        <v>182426.21887236831</v>
      </c>
      <c r="U175">
        <v>3.411161617212394</v>
      </c>
      <c r="V175">
        <v>20505.421407397582</v>
      </c>
      <c r="W175" t="s">
        <v>17</v>
      </c>
      <c r="X175">
        <v>94.365807830692859</v>
      </c>
      <c r="Y175">
        <v>182.42621887236831</v>
      </c>
      <c r="Z175">
        <v>201575.93245565559</v>
      </c>
      <c r="AA175">
        <v>26630.41741220465</v>
      </c>
      <c r="AB175">
        <v>20505.421407397582</v>
      </c>
      <c r="AC175">
        <v>26630.41741220465</v>
      </c>
      <c r="AD175" s="2">
        <v>44228</v>
      </c>
    </row>
    <row r="176" spans="1:30" hidden="1" x14ac:dyDescent="0.25">
      <c r="A176">
        <v>-1</v>
      </c>
      <c r="B176" t="s">
        <v>114</v>
      </c>
      <c r="C176">
        <v>2021</v>
      </c>
      <c r="D176">
        <v>2</v>
      </c>
      <c r="E176" t="s">
        <v>148</v>
      </c>
      <c r="F176" t="s">
        <v>93</v>
      </c>
      <c r="G176" t="s">
        <v>93</v>
      </c>
      <c r="H176" t="s">
        <v>149</v>
      </c>
      <c r="I176" t="s">
        <v>149</v>
      </c>
      <c r="J176" t="s">
        <v>161</v>
      </c>
      <c r="K176" t="s">
        <v>148</v>
      </c>
      <c r="L176" t="s">
        <v>151</v>
      </c>
      <c r="M176">
        <v>1919.29282858645</v>
      </c>
      <c r="N176">
        <v>4</v>
      </c>
      <c r="O176" t="s">
        <v>152</v>
      </c>
      <c r="P176" s="2">
        <v>44656.074522685187</v>
      </c>
      <c r="Q176">
        <v>5</v>
      </c>
      <c r="R176" t="s">
        <v>100</v>
      </c>
      <c r="S176">
        <v>72.349772314408625</v>
      </c>
      <c r="T176">
        <v>5878.4516540685408</v>
      </c>
      <c r="U176">
        <v>0.1155355004007559</v>
      </c>
      <c r="V176">
        <v>679.42917583137853</v>
      </c>
      <c r="W176" t="s">
        <v>17</v>
      </c>
      <c r="X176">
        <v>89.779504230518498</v>
      </c>
      <c r="Y176">
        <v>5.8784516540685416</v>
      </c>
      <c r="Z176">
        <v>6495.526689578498</v>
      </c>
      <c r="AA176">
        <v>882.37555302776434</v>
      </c>
      <c r="AB176">
        <v>679.42917583137853</v>
      </c>
      <c r="AC176">
        <v>882.37555302776434</v>
      </c>
      <c r="AD176" s="2">
        <v>44228</v>
      </c>
    </row>
    <row r="177" spans="1:30" hidden="1" x14ac:dyDescent="0.25">
      <c r="A177">
        <v>-1</v>
      </c>
      <c r="B177" t="s">
        <v>114</v>
      </c>
      <c r="C177">
        <v>2021</v>
      </c>
      <c r="D177">
        <v>2</v>
      </c>
      <c r="E177" t="s">
        <v>148</v>
      </c>
      <c r="F177" t="s">
        <v>93</v>
      </c>
      <c r="G177" t="s">
        <v>93</v>
      </c>
      <c r="H177" t="s">
        <v>149</v>
      </c>
      <c r="I177" t="s">
        <v>149</v>
      </c>
      <c r="J177" t="s">
        <v>161</v>
      </c>
      <c r="K177" t="s">
        <v>148</v>
      </c>
      <c r="L177" t="s">
        <v>151</v>
      </c>
      <c r="M177">
        <v>2186.571368769587</v>
      </c>
      <c r="N177">
        <v>4</v>
      </c>
      <c r="O177" t="s">
        <v>152</v>
      </c>
      <c r="P177" s="2">
        <v>44656.074522685187</v>
      </c>
      <c r="Q177">
        <v>5</v>
      </c>
      <c r="R177" t="s">
        <v>100</v>
      </c>
      <c r="S177">
        <v>72.349772314408625</v>
      </c>
      <c r="T177">
        <v>5878.4516540685408</v>
      </c>
      <c r="U177">
        <v>0.1155355004007559</v>
      </c>
      <c r="V177">
        <v>679.42917583137853</v>
      </c>
      <c r="W177" t="s">
        <v>17</v>
      </c>
      <c r="X177">
        <v>89.779504230518498</v>
      </c>
      <c r="Y177">
        <v>5.8784516540685416</v>
      </c>
      <c r="Z177">
        <v>6495.526689578498</v>
      </c>
      <c r="AA177">
        <v>882.37555302776434</v>
      </c>
      <c r="AB177">
        <v>679.42917583137853</v>
      </c>
      <c r="AC177">
        <v>882.37555302776434</v>
      </c>
      <c r="AD177" s="2">
        <v>44228</v>
      </c>
    </row>
    <row r="178" spans="1:30" hidden="1" x14ac:dyDescent="0.25">
      <c r="A178">
        <v>-1</v>
      </c>
      <c r="B178" t="s">
        <v>114</v>
      </c>
      <c r="C178">
        <v>2021</v>
      </c>
      <c r="D178">
        <v>2</v>
      </c>
      <c r="E178" t="s">
        <v>148</v>
      </c>
      <c r="F178" t="s">
        <v>93</v>
      </c>
      <c r="G178" t="s">
        <v>93</v>
      </c>
      <c r="H178" t="s">
        <v>149</v>
      </c>
      <c r="I178" t="s">
        <v>149</v>
      </c>
      <c r="J178" t="s">
        <v>161</v>
      </c>
      <c r="K178" t="s">
        <v>148</v>
      </c>
      <c r="L178" t="s">
        <v>151</v>
      </c>
      <c r="M178">
        <v>2211.5283155985389</v>
      </c>
      <c r="N178">
        <v>3</v>
      </c>
      <c r="O178" t="s">
        <v>152</v>
      </c>
      <c r="P178" s="2">
        <v>44656.074522685187</v>
      </c>
      <c r="Q178">
        <v>5</v>
      </c>
      <c r="R178" t="s">
        <v>100</v>
      </c>
      <c r="S178">
        <v>72.349772314408625</v>
      </c>
      <c r="T178">
        <v>5878.4516540685408</v>
      </c>
      <c r="U178">
        <v>0.1155355004007559</v>
      </c>
      <c r="V178">
        <v>679.42917583137853</v>
      </c>
      <c r="W178" t="s">
        <v>17</v>
      </c>
      <c r="X178">
        <v>89.779504230518498</v>
      </c>
      <c r="Y178">
        <v>5.8784516540685416</v>
      </c>
      <c r="Z178">
        <v>6495.526689578498</v>
      </c>
      <c r="AA178">
        <v>882.37555302776434</v>
      </c>
      <c r="AB178">
        <v>679.42917583137853</v>
      </c>
      <c r="AC178">
        <v>882.37555302776434</v>
      </c>
      <c r="AD178" s="2">
        <v>44228</v>
      </c>
    </row>
    <row r="179" spans="1:30" hidden="1" x14ac:dyDescent="0.25">
      <c r="A179">
        <v>-1</v>
      </c>
      <c r="B179" t="s">
        <v>114</v>
      </c>
      <c r="C179">
        <v>2021</v>
      </c>
      <c r="D179">
        <v>2</v>
      </c>
      <c r="E179" t="s">
        <v>148</v>
      </c>
      <c r="F179" t="s">
        <v>93</v>
      </c>
      <c r="G179" t="s">
        <v>93</v>
      </c>
      <c r="H179" t="s">
        <v>149</v>
      </c>
      <c r="I179" t="s">
        <v>149</v>
      </c>
      <c r="J179" t="s">
        <v>161</v>
      </c>
      <c r="K179" t="s">
        <v>148</v>
      </c>
      <c r="L179" t="s">
        <v>151</v>
      </c>
      <c r="M179">
        <v>1919.29282858645</v>
      </c>
      <c r="N179">
        <v>4</v>
      </c>
      <c r="O179" t="s">
        <v>152</v>
      </c>
      <c r="P179" s="2">
        <v>44656.074522685187</v>
      </c>
      <c r="Q179">
        <v>11</v>
      </c>
      <c r="R179" t="s">
        <v>101</v>
      </c>
      <c r="S179">
        <v>54.584545985159266</v>
      </c>
      <c r="T179">
        <v>4762.8961283807384</v>
      </c>
      <c r="U179">
        <v>8.7166173891158272E-2</v>
      </c>
      <c r="V179">
        <v>520.80932896556317</v>
      </c>
      <c r="W179" t="s">
        <v>17</v>
      </c>
      <c r="X179">
        <v>96.416825589707358</v>
      </c>
      <c r="Y179">
        <v>4.7628961283807394</v>
      </c>
      <c r="Z179">
        <v>5262.8686501444627</v>
      </c>
      <c r="AA179">
        <v>676.37575190332882</v>
      </c>
      <c r="AB179">
        <v>520.80932896556317</v>
      </c>
      <c r="AC179">
        <v>676.37575190332882</v>
      </c>
      <c r="AD179" s="2">
        <v>44228</v>
      </c>
    </row>
    <row r="180" spans="1:30" hidden="1" x14ac:dyDescent="0.25">
      <c r="A180">
        <v>-1</v>
      </c>
      <c r="B180" t="s">
        <v>114</v>
      </c>
      <c r="C180">
        <v>2021</v>
      </c>
      <c r="D180">
        <v>2</v>
      </c>
      <c r="E180" t="s">
        <v>148</v>
      </c>
      <c r="F180" t="s">
        <v>93</v>
      </c>
      <c r="G180" t="s">
        <v>93</v>
      </c>
      <c r="H180" t="s">
        <v>149</v>
      </c>
      <c r="I180" t="s">
        <v>149</v>
      </c>
      <c r="J180" t="s">
        <v>161</v>
      </c>
      <c r="K180" t="s">
        <v>148</v>
      </c>
      <c r="L180" t="s">
        <v>151</v>
      </c>
      <c r="M180">
        <v>2186.571368769587</v>
      </c>
      <c r="N180">
        <v>4</v>
      </c>
      <c r="O180" t="s">
        <v>152</v>
      </c>
      <c r="P180" s="2">
        <v>44656.074522685187</v>
      </c>
      <c r="Q180">
        <v>11</v>
      </c>
      <c r="R180" t="s">
        <v>101</v>
      </c>
      <c r="S180">
        <v>54.584545985159266</v>
      </c>
      <c r="T180">
        <v>4762.8961283807384</v>
      </c>
      <c r="U180">
        <v>8.7166173891158272E-2</v>
      </c>
      <c r="V180">
        <v>520.80932896556317</v>
      </c>
      <c r="W180" t="s">
        <v>17</v>
      </c>
      <c r="X180">
        <v>96.416825589707358</v>
      </c>
      <c r="Y180">
        <v>4.7628961283807394</v>
      </c>
      <c r="Z180">
        <v>5262.8686501444627</v>
      </c>
      <c r="AA180">
        <v>676.37575190332882</v>
      </c>
      <c r="AB180">
        <v>520.80932896556317</v>
      </c>
      <c r="AC180">
        <v>676.37575190332882</v>
      </c>
      <c r="AD180" s="2">
        <v>44228</v>
      </c>
    </row>
    <row r="181" spans="1:30" hidden="1" x14ac:dyDescent="0.25">
      <c r="A181">
        <v>-1</v>
      </c>
      <c r="B181" t="s">
        <v>114</v>
      </c>
      <c r="C181">
        <v>2021</v>
      </c>
      <c r="D181">
        <v>2</v>
      </c>
      <c r="E181" t="s">
        <v>148</v>
      </c>
      <c r="F181" t="s">
        <v>93</v>
      </c>
      <c r="G181" t="s">
        <v>93</v>
      </c>
      <c r="H181" t="s">
        <v>149</v>
      </c>
      <c r="I181" t="s">
        <v>149</v>
      </c>
      <c r="J181" t="s">
        <v>161</v>
      </c>
      <c r="K181" t="s">
        <v>148</v>
      </c>
      <c r="L181" t="s">
        <v>151</v>
      </c>
      <c r="M181">
        <v>2211.5283155985389</v>
      </c>
      <c r="N181">
        <v>3</v>
      </c>
      <c r="O181" t="s">
        <v>152</v>
      </c>
      <c r="P181" s="2">
        <v>44656.074522685187</v>
      </c>
      <c r="Q181">
        <v>11</v>
      </c>
      <c r="R181" t="s">
        <v>101</v>
      </c>
      <c r="S181">
        <v>54.584545985159266</v>
      </c>
      <c r="T181">
        <v>4762.8961283807384</v>
      </c>
      <c r="U181">
        <v>8.7166173891158272E-2</v>
      </c>
      <c r="V181">
        <v>520.80932896556317</v>
      </c>
      <c r="W181" t="s">
        <v>17</v>
      </c>
      <c r="X181">
        <v>96.416825589707358</v>
      </c>
      <c r="Y181">
        <v>4.7628961283807394</v>
      </c>
      <c r="Z181">
        <v>5262.8686501444627</v>
      </c>
      <c r="AA181">
        <v>676.37575190332882</v>
      </c>
      <c r="AB181">
        <v>520.80932896556317</v>
      </c>
      <c r="AC181">
        <v>676.37575190332882</v>
      </c>
      <c r="AD181" s="2">
        <v>44228</v>
      </c>
    </row>
    <row r="182" spans="1:30" hidden="1" x14ac:dyDescent="0.25">
      <c r="A182">
        <v>-1</v>
      </c>
      <c r="B182" t="s">
        <v>114</v>
      </c>
      <c r="C182">
        <v>2021</v>
      </c>
      <c r="D182">
        <v>2</v>
      </c>
      <c r="E182" t="s">
        <v>155</v>
      </c>
      <c r="F182" t="s">
        <v>93</v>
      </c>
      <c r="G182" t="s">
        <v>93</v>
      </c>
      <c r="H182" t="s">
        <v>149</v>
      </c>
      <c r="I182" t="s">
        <v>149</v>
      </c>
      <c r="J182" t="s">
        <v>161</v>
      </c>
      <c r="K182" t="s">
        <v>155</v>
      </c>
      <c r="L182" t="s">
        <v>151</v>
      </c>
      <c r="M182">
        <v>1324.352287473484</v>
      </c>
      <c r="N182">
        <v>2</v>
      </c>
      <c r="O182" t="s">
        <v>152</v>
      </c>
      <c r="P182" s="2">
        <v>44656.074522685187</v>
      </c>
      <c r="Q182">
        <v>31</v>
      </c>
      <c r="R182" t="s">
        <v>153</v>
      </c>
      <c r="S182">
        <v>12.49067190279442</v>
      </c>
      <c r="T182">
        <v>1123.9272713420271</v>
      </c>
      <c r="U182">
        <v>1.9946379683956739E-2</v>
      </c>
      <c r="V182">
        <v>121.9962513076551</v>
      </c>
      <c r="W182" t="s">
        <v>17</v>
      </c>
      <c r="X182">
        <v>99.426884060610107</v>
      </c>
      <c r="Y182">
        <v>1.123927271342027</v>
      </c>
      <c r="Z182">
        <v>1241.908587118261</v>
      </c>
      <c r="AA182">
        <v>158.43669000994171</v>
      </c>
      <c r="AB182">
        <v>121.9962513076551</v>
      </c>
      <c r="AC182">
        <v>158.43669000994171</v>
      </c>
      <c r="AD182" s="2">
        <v>44228</v>
      </c>
    </row>
    <row r="183" spans="1:30" hidden="1" x14ac:dyDescent="0.25">
      <c r="A183">
        <v>-1</v>
      </c>
      <c r="B183" t="s">
        <v>114</v>
      </c>
      <c r="C183">
        <v>2021</v>
      </c>
      <c r="D183">
        <v>2</v>
      </c>
      <c r="E183" t="s">
        <v>155</v>
      </c>
      <c r="F183" t="s">
        <v>93</v>
      </c>
      <c r="G183" t="s">
        <v>93</v>
      </c>
      <c r="H183" t="s">
        <v>149</v>
      </c>
      <c r="I183" t="s">
        <v>149</v>
      </c>
      <c r="J183" t="s">
        <v>161</v>
      </c>
      <c r="K183" t="s">
        <v>155</v>
      </c>
      <c r="L183" t="s">
        <v>151</v>
      </c>
      <c r="M183">
        <v>1502.0027240024231</v>
      </c>
      <c r="N183">
        <v>2</v>
      </c>
      <c r="O183" t="s">
        <v>152</v>
      </c>
      <c r="P183" s="2">
        <v>44656.074522685187</v>
      </c>
      <c r="Q183">
        <v>31</v>
      </c>
      <c r="R183" t="s">
        <v>153</v>
      </c>
      <c r="S183">
        <v>12.49067190279442</v>
      </c>
      <c r="T183">
        <v>1123.9272713420271</v>
      </c>
      <c r="U183">
        <v>1.9946379683956739E-2</v>
      </c>
      <c r="V183">
        <v>121.9962513076551</v>
      </c>
      <c r="W183" t="s">
        <v>17</v>
      </c>
      <c r="X183">
        <v>99.426884060610107</v>
      </c>
      <c r="Y183">
        <v>1.123927271342027</v>
      </c>
      <c r="Z183">
        <v>1241.908587118261</v>
      </c>
      <c r="AA183">
        <v>158.43669000994171</v>
      </c>
      <c r="AB183">
        <v>121.9962513076551</v>
      </c>
      <c r="AC183">
        <v>158.43669000994171</v>
      </c>
      <c r="AD183" s="2">
        <v>44228</v>
      </c>
    </row>
    <row r="184" spans="1:30" hidden="1" x14ac:dyDescent="0.25">
      <c r="A184">
        <v>-1</v>
      </c>
      <c r="B184" t="s">
        <v>114</v>
      </c>
      <c r="C184">
        <v>2021</v>
      </c>
      <c r="D184">
        <v>2</v>
      </c>
      <c r="E184" t="s">
        <v>155</v>
      </c>
      <c r="F184" t="s">
        <v>93</v>
      </c>
      <c r="G184" t="s">
        <v>93</v>
      </c>
      <c r="H184" t="s">
        <v>149</v>
      </c>
      <c r="I184" t="s">
        <v>149</v>
      </c>
      <c r="J184" t="s">
        <v>161</v>
      </c>
      <c r="K184" t="s">
        <v>155</v>
      </c>
      <c r="L184" t="s">
        <v>151</v>
      </c>
      <c r="M184">
        <v>1521.3475014958581</v>
      </c>
      <c r="N184">
        <v>2</v>
      </c>
      <c r="O184" t="s">
        <v>152</v>
      </c>
      <c r="P184" s="2">
        <v>44656.074522685187</v>
      </c>
      <c r="Q184">
        <v>31</v>
      </c>
      <c r="R184" t="s">
        <v>153</v>
      </c>
      <c r="S184">
        <v>12.49067190279442</v>
      </c>
      <c r="T184">
        <v>1123.9272713420271</v>
      </c>
      <c r="U184">
        <v>1.9946379683956739E-2</v>
      </c>
      <c r="V184">
        <v>121.9962513076551</v>
      </c>
      <c r="W184" t="s">
        <v>17</v>
      </c>
      <c r="X184">
        <v>99.426884060610107</v>
      </c>
      <c r="Y184">
        <v>1.123927271342027</v>
      </c>
      <c r="Z184">
        <v>1241.908587118261</v>
      </c>
      <c r="AA184">
        <v>158.43669000994171</v>
      </c>
      <c r="AB184">
        <v>121.9962513076551</v>
      </c>
      <c r="AC184">
        <v>158.43669000994171</v>
      </c>
      <c r="AD184" s="2">
        <v>44228</v>
      </c>
    </row>
    <row r="185" spans="1:30" hidden="1" x14ac:dyDescent="0.25">
      <c r="A185">
        <v>-1</v>
      </c>
      <c r="B185" t="s">
        <v>114</v>
      </c>
      <c r="C185">
        <v>2021</v>
      </c>
      <c r="D185">
        <v>2</v>
      </c>
      <c r="E185" t="s">
        <v>155</v>
      </c>
      <c r="F185" t="s">
        <v>93</v>
      </c>
      <c r="G185" t="s">
        <v>93</v>
      </c>
      <c r="H185" t="s">
        <v>149</v>
      </c>
      <c r="I185" t="s">
        <v>149</v>
      </c>
      <c r="J185" t="s">
        <v>161</v>
      </c>
      <c r="K185" t="s">
        <v>155</v>
      </c>
      <c r="L185" t="s">
        <v>151</v>
      </c>
      <c r="M185">
        <v>1324.352287473484</v>
      </c>
      <c r="N185">
        <v>2</v>
      </c>
      <c r="O185" t="s">
        <v>152</v>
      </c>
      <c r="P185" s="2">
        <v>44656.074522685187</v>
      </c>
      <c r="Q185">
        <v>13</v>
      </c>
      <c r="R185" t="s">
        <v>154</v>
      </c>
      <c r="S185">
        <v>1451.047524231743</v>
      </c>
      <c r="T185">
        <v>123920.9910014941</v>
      </c>
      <c r="U185">
        <v>2.3171807796277619</v>
      </c>
      <c r="V185">
        <v>13929.20468019878</v>
      </c>
      <c r="W185" t="s">
        <v>17</v>
      </c>
      <c r="X185">
        <v>94.365807830692873</v>
      </c>
      <c r="Y185">
        <v>123.9209910014941</v>
      </c>
      <c r="Z185">
        <v>136929.27182485539</v>
      </c>
      <c r="AA185">
        <v>18089.876208050358</v>
      </c>
      <c r="AB185">
        <v>13929.20468019878</v>
      </c>
      <c r="AC185">
        <v>18089.876208050358</v>
      </c>
      <c r="AD185" s="2">
        <v>44228</v>
      </c>
    </row>
    <row r="186" spans="1:30" hidden="1" x14ac:dyDescent="0.25">
      <c r="A186">
        <v>-1</v>
      </c>
      <c r="B186" t="s">
        <v>114</v>
      </c>
      <c r="C186">
        <v>2021</v>
      </c>
      <c r="D186">
        <v>2</v>
      </c>
      <c r="E186" t="s">
        <v>155</v>
      </c>
      <c r="F186" t="s">
        <v>93</v>
      </c>
      <c r="G186" t="s">
        <v>93</v>
      </c>
      <c r="H186" t="s">
        <v>149</v>
      </c>
      <c r="I186" t="s">
        <v>149</v>
      </c>
      <c r="J186" t="s">
        <v>161</v>
      </c>
      <c r="K186" t="s">
        <v>155</v>
      </c>
      <c r="L186" t="s">
        <v>151</v>
      </c>
      <c r="M186">
        <v>1502.0027240024231</v>
      </c>
      <c r="N186">
        <v>2</v>
      </c>
      <c r="O186" t="s">
        <v>152</v>
      </c>
      <c r="P186" s="2">
        <v>44656.074522685187</v>
      </c>
      <c r="Q186">
        <v>13</v>
      </c>
      <c r="R186" t="s">
        <v>154</v>
      </c>
      <c r="S186">
        <v>1451.047524231743</v>
      </c>
      <c r="T186">
        <v>123920.9910014941</v>
      </c>
      <c r="U186">
        <v>2.3171807796277619</v>
      </c>
      <c r="V186">
        <v>13929.20468019878</v>
      </c>
      <c r="W186" t="s">
        <v>17</v>
      </c>
      <c r="X186">
        <v>94.365807830692873</v>
      </c>
      <c r="Y186">
        <v>123.9209910014941</v>
      </c>
      <c r="Z186">
        <v>136929.27182485539</v>
      </c>
      <c r="AA186">
        <v>18089.876208050358</v>
      </c>
      <c r="AB186">
        <v>13929.20468019878</v>
      </c>
      <c r="AC186">
        <v>18089.876208050358</v>
      </c>
      <c r="AD186" s="2">
        <v>44228</v>
      </c>
    </row>
    <row r="187" spans="1:30" hidden="1" x14ac:dyDescent="0.25">
      <c r="A187">
        <v>-1</v>
      </c>
      <c r="B187" t="s">
        <v>114</v>
      </c>
      <c r="C187">
        <v>2021</v>
      </c>
      <c r="D187">
        <v>2</v>
      </c>
      <c r="E187" t="s">
        <v>155</v>
      </c>
      <c r="F187" t="s">
        <v>93</v>
      </c>
      <c r="G187" t="s">
        <v>93</v>
      </c>
      <c r="H187" t="s">
        <v>149</v>
      </c>
      <c r="I187" t="s">
        <v>149</v>
      </c>
      <c r="J187" t="s">
        <v>161</v>
      </c>
      <c r="K187" t="s">
        <v>155</v>
      </c>
      <c r="L187" t="s">
        <v>151</v>
      </c>
      <c r="M187">
        <v>1521.3475014958581</v>
      </c>
      <c r="N187">
        <v>2</v>
      </c>
      <c r="O187" t="s">
        <v>152</v>
      </c>
      <c r="P187" s="2">
        <v>44656.074522685187</v>
      </c>
      <c r="Q187">
        <v>13</v>
      </c>
      <c r="R187" t="s">
        <v>154</v>
      </c>
      <c r="S187">
        <v>1451.047524231743</v>
      </c>
      <c r="T187">
        <v>123920.9910014941</v>
      </c>
      <c r="U187">
        <v>2.3171807796277619</v>
      </c>
      <c r="V187">
        <v>13929.20468019878</v>
      </c>
      <c r="W187" t="s">
        <v>17</v>
      </c>
      <c r="X187">
        <v>94.365807830692873</v>
      </c>
      <c r="Y187">
        <v>123.9209910014941</v>
      </c>
      <c r="Z187">
        <v>136929.27182485539</v>
      </c>
      <c r="AA187">
        <v>18089.876208050358</v>
      </c>
      <c r="AB187">
        <v>13929.20468019878</v>
      </c>
      <c r="AC187">
        <v>18089.876208050358</v>
      </c>
      <c r="AD187" s="2">
        <v>44228</v>
      </c>
    </row>
    <row r="188" spans="1:30" hidden="1" x14ac:dyDescent="0.25">
      <c r="A188">
        <v>-1</v>
      </c>
      <c r="B188" t="s">
        <v>114</v>
      </c>
      <c r="C188">
        <v>2021</v>
      </c>
      <c r="D188">
        <v>2</v>
      </c>
      <c r="E188" t="s">
        <v>155</v>
      </c>
      <c r="F188" t="s">
        <v>93</v>
      </c>
      <c r="G188" t="s">
        <v>93</v>
      </c>
      <c r="H188" t="s">
        <v>149</v>
      </c>
      <c r="I188" t="s">
        <v>149</v>
      </c>
      <c r="J188" t="s">
        <v>161</v>
      </c>
      <c r="K188" t="s">
        <v>155</v>
      </c>
      <c r="L188" t="s">
        <v>151</v>
      </c>
      <c r="M188">
        <v>1324.352287473484</v>
      </c>
      <c r="N188">
        <v>2</v>
      </c>
      <c r="O188" t="s">
        <v>152</v>
      </c>
      <c r="P188" s="2">
        <v>44656.074522685187</v>
      </c>
      <c r="Q188">
        <v>5</v>
      </c>
      <c r="R188" t="s">
        <v>100</v>
      </c>
      <c r="S188">
        <v>48.141828798767733</v>
      </c>
      <c r="T188">
        <v>3911.5453176849969</v>
      </c>
      <c r="U188">
        <v>7.6877785548544811E-2</v>
      </c>
      <c r="V188">
        <v>452.09489978240072</v>
      </c>
      <c r="W188" t="s">
        <v>17</v>
      </c>
      <c r="X188">
        <v>89.779504230518498</v>
      </c>
      <c r="Y188">
        <v>3.9115453176849981</v>
      </c>
      <c r="Z188">
        <v>4322.1495223038646</v>
      </c>
      <c r="AA188">
        <v>587.13623348363728</v>
      </c>
      <c r="AB188">
        <v>452.09489978240072</v>
      </c>
      <c r="AC188">
        <v>587.13623348363728</v>
      </c>
      <c r="AD188" s="2">
        <v>44228</v>
      </c>
    </row>
    <row r="189" spans="1:30" hidden="1" x14ac:dyDescent="0.25">
      <c r="A189">
        <v>-1</v>
      </c>
      <c r="B189" t="s">
        <v>114</v>
      </c>
      <c r="C189">
        <v>2021</v>
      </c>
      <c r="D189">
        <v>2</v>
      </c>
      <c r="E189" t="s">
        <v>155</v>
      </c>
      <c r="F189" t="s">
        <v>93</v>
      </c>
      <c r="G189" t="s">
        <v>93</v>
      </c>
      <c r="H189" t="s">
        <v>149</v>
      </c>
      <c r="I189" t="s">
        <v>149</v>
      </c>
      <c r="J189" t="s">
        <v>161</v>
      </c>
      <c r="K189" t="s">
        <v>155</v>
      </c>
      <c r="L189" t="s">
        <v>151</v>
      </c>
      <c r="M189">
        <v>1502.0027240024231</v>
      </c>
      <c r="N189">
        <v>2</v>
      </c>
      <c r="O189" t="s">
        <v>152</v>
      </c>
      <c r="P189" s="2">
        <v>44656.074522685187</v>
      </c>
      <c r="Q189">
        <v>5</v>
      </c>
      <c r="R189" t="s">
        <v>100</v>
      </c>
      <c r="S189">
        <v>48.141828798767733</v>
      </c>
      <c r="T189">
        <v>3911.5453176849969</v>
      </c>
      <c r="U189">
        <v>7.6877785548544811E-2</v>
      </c>
      <c r="V189">
        <v>452.09489978240072</v>
      </c>
      <c r="W189" t="s">
        <v>17</v>
      </c>
      <c r="X189">
        <v>89.779504230518498</v>
      </c>
      <c r="Y189">
        <v>3.9115453176849981</v>
      </c>
      <c r="Z189">
        <v>4322.1495223038646</v>
      </c>
      <c r="AA189">
        <v>587.13623348363728</v>
      </c>
      <c r="AB189">
        <v>452.09489978240072</v>
      </c>
      <c r="AC189">
        <v>587.13623348363728</v>
      </c>
      <c r="AD189" s="2">
        <v>44228</v>
      </c>
    </row>
    <row r="190" spans="1:30" hidden="1" x14ac:dyDescent="0.25">
      <c r="A190">
        <v>-1</v>
      </c>
      <c r="B190" t="s">
        <v>114</v>
      </c>
      <c r="C190">
        <v>2021</v>
      </c>
      <c r="D190">
        <v>2</v>
      </c>
      <c r="E190" t="s">
        <v>155</v>
      </c>
      <c r="F190" t="s">
        <v>93</v>
      </c>
      <c r="G190" t="s">
        <v>93</v>
      </c>
      <c r="H190" t="s">
        <v>149</v>
      </c>
      <c r="I190" t="s">
        <v>149</v>
      </c>
      <c r="J190" t="s">
        <v>161</v>
      </c>
      <c r="K190" t="s">
        <v>155</v>
      </c>
      <c r="L190" t="s">
        <v>151</v>
      </c>
      <c r="M190">
        <v>1521.3475014958581</v>
      </c>
      <c r="N190">
        <v>2</v>
      </c>
      <c r="O190" t="s">
        <v>152</v>
      </c>
      <c r="P190" s="2">
        <v>44656.074522685187</v>
      </c>
      <c r="Q190">
        <v>5</v>
      </c>
      <c r="R190" t="s">
        <v>100</v>
      </c>
      <c r="S190">
        <v>48.141828798767733</v>
      </c>
      <c r="T190">
        <v>3911.5453176849969</v>
      </c>
      <c r="U190">
        <v>7.6877785548544811E-2</v>
      </c>
      <c r="V190">
        <v>452.09489978240072</v>
      </c>
      <c r="W190" t="s">
        <v>17</v>
      </c>
      <c r="X190">
        <v>89.779504230518498</v>
      </c>
      <c r="Y190">
        <v>3.9115453176849981</v>
      </c>
      <c r="Z190">
        <v>4322.1495223038646</v>
      </c>
      <c r="AA190">
        <v>587.13623348363728</v>
      </c>
      <c r="AB190">
        <v>452.09489978240072</v>
      </c>
      <c r="AC190">
        <v>587.13623348363728</v>
      </c>
      <c r="AD190" s="2">
        <v>44228</v>
      </c>
    </row>
    <row r="191" spans="1:30" hidden="1" x14ac:dyDescent="0.25">
      <c r="A191">
        <v>-1</v>
      </c>
      <c r="B191" t="s">
        <v>114</v>
      </c>
      <c r="C191">
        <v>2021</v>
      </c>
      <c r="D191">
        <v>2</v>
      </c>
      <c r="E191" t="s">
        <v>155</v>
      </c>
      <c r="F191" t="s">
        <v>93</v>
      </c>
      <c r="G191" t="s">
        <v>93</v>
      </c>
      <c r="H191" t="s">
        <v>149</v>
      </c>
      <c r="I191" t="s">
        <v>149</v>
      </c>
      <c r="J191" t="s">
        <v>161</v>
      </c>
      <c r="K191" t="s">
        <v>155</v>
      </c>
      <c r="L191" t="s">
        <v>151</v>
      </c>
      <c r="M191">
        <v>1324.352287473484</v>
      </c>
      <c r="N191">
        <v>2</v>
      </c>
      <c r="O191" t="s">
        <v>152</v>
      </c>
      <c r="P191" s="2">
        <v>44656.074522685187</v>
      </c>
      <c r="Q191">
        <v>11</v>
      </c>
      <c r="R191" t="s">
        <v>101</v>
      </c>
      <c r="S191">
        <v>36.937307399208272</v>
      </c>
      <c r="T191">
        <v>3223.047022362899</v>
      </c>
      <c r="U191">
        <v>5.8985262251809119E-2</v>
      </c>
      <c r="V191">
        <v>352.43114938808361</v>
      </c>
      <c r="W191" t="s">
        <v>17</v>
      </c>
      <c r="X191">
        <v>96.416825589707372</v>
      </c>
      <c r="Y191">
        <v>3.2230470223628989</v>
      </c>
      <c r="Z191">
        <v>3561.377925262871</v>
      </c>
      <c r="AA191">
        <v>457.70279141309561</v>
      </c>
      <c r="AB191">
        <v>352.43114938808361</v>
      </c>
      <c r="AC191">
        <v>457.70279141309561</v>
      </c>
      <c r="AD191" s="2">
        <v>44228</v>
      </c>
    </row>
    <row r="192" spans="1:30" hidden="1" x14ac:dyDescent="0.25">
      <c r="A192">
        <v>-1</v>
      </c>
      <c r="B192" t="s">
        <v>114</v>
      </c>
      <c r="C192">
        <v>2021</v>
      </c>
      <c r="D192">
        <v>2</v>
      </c>
      <c r="E192" t="s">
        <v>155</v>
      </c>
      <c r="F192" t="s">
        <v>93</v>
      </c>
      <c r="G192" t="s">
        <v>93</v>
      </c>
      <c r="H192" t="s">
        <v>149</v>
      </c>
      <c r="I192" t="s">
        <v>149</v>
      </c>
      <c r="J192" t="s">
        <v>161</v>
      </c>
      <c r="K192" t="s">
        <v>155</v>
      </c>
      <c r="L192" t="s">
        <v>151</v>
      </c>
      <c r="M192">
        <v>1502.0027240024231</v>
      </c>
      <c r="N192">
        <v>2</v>
      </c>
      <c r="O192" t="s">
        <v>152</v>
      </c>
      <c r="P192" s="2">
        <v>44656.074522685187</v>
      </c>
      <c r="Q192">
        <v>11</v>
      </c>
      <c r="R192" t="s">
        <v>101</v>
      </c>
      <c r="S192">
        <v>36.937307399208272</v>
      </c>
      <c r="T192">
        <v>3223.047022362899</v>
      </c>
      <c r="U192">
        <v>5.8985262251809119E-2</v>
      </c>
      <c r="V192">
        <v>352.43114938808361</v>
      </c>
      <c r="W192" t="s">
        <v>17</v>
      </c>
      <c r="X192">
        <v>96.416825589707372</v>
      </c>
      <c r="Y192">
        <v>3.2230470223628989</v>
      </c>
      <c r="Z192">
        <v>3561.377925262871</v>
      </c>
      <c r="AA192">
        <v>457.70279141309561</v>
      </c>
      <c r="AB192">
        <v>352.43114938808361</v>
      </c>
      <c r="AC192">
        <v>457.70279141309561</v>
      </c>
      <c r="AD192" s="2">
        <v>44228</v>
      </c>
    </row>
    <row r="193" spans="1:30" hidden="1" x14ac:dyDescent="0.25">
      <c r="A193">
        <v>-1</v>
      </c>
      <c r="B193" t="s">
        <v>114</v>
      </c>
      <c r="C193">
        <v>2021</v>
      </c>
      <c r="D193">
        <v>2</v>
      </c>
      <c r="E193" t="s">
        <v>155</v>
      </c>
      <c r="F193" t="s">
        <v>93</v>
      </c>
      <c r="G193" t="s">
        <v>93</v>
      </c>
      <c r="H193" t="s">
        <v>149</v>
      </c>
      <c r="I193" t="s">
        <v>149</v>
      </c>
      <c r="J193" t="s">
        <v>161</v>
      </c>
      <c r="K193" t="s">
        <v>155</v>
      </c>
      <c r="L193" t="s">
        <v>151</v>
      </c>
      <c r="M193">
        <v>1521.3475014958581</v>
      </c>
      <c r="N193">
        <v>2</v>
      </c>
      <c r="O193" t="s">
        <v>152</v>
      </c>
      <c r="P193" s="2">
        <v>44656.074522685187</v>
      </c>
      <c r="Q193">
        <v>11</v>
      </c>
      <c r="R193" t="s">
        <v>101</v>
      </c>
      <c r="S193">
        <v>36.937307399208272</v>
      </c>
      <c r="T193">
        <v>3223.047022362899</v>
      </c>
      <c r="U193">
        <v>5.8985262251809119E-2</v>
      </c>
      <c r="V193">
        <v>352.43114938808361</v>
      </c>
      <c r="W193" t="s">
        <v>17</v>
      </c>
      <c r="X193">
        <v>96.416825589707372</v>
      </c>
      <c r="Y193">
        <v>3.2230470223628989</v>
      </c>
      <c r="Z193">
        <v>3561.377925262871</v>
      </c>
      <c r="AA193">
        <v>457.70279141309561</v>
      </c>
      <c r="AB193">
        <v>352.43114938808361</v>
      </c>
      <c r="AC193">
        <v>457.70279141309561</v>
      </c>
      <c r="AD193" s="2">
        <v>44228</v>
      </c>
    </row>
    <row r="194" spans="1:30" hidden="1" x14ac:dyDescent="0.25">
      <c r="A194">
        <v>-1</v>
      </c>
      <c r="B194" t="s">
        <v>114</v>
      </c>
      <c r="C194">
        <v>2021</v>
      </c>
      <c r="D194">
        <v>2</v>
      </c>
      <c r="E194" t="s">
        <v>156</v>
      </c>
      <c r="F194" t="s">
        <v>93</v>
      </c>
      <c r="G194" t="s">
        <v>93</v>
      </c>
      <c r="H194" t="s">
        <v>149</v>
      </c>
      <c r="I194" t="s">
        <v>149</v>
      </c>
      <c r="J194" t="s">
        <v>161</v>
      </c>
      <c r="K194" t="s">
        <v>156</v>
      </c>
      <c r="L194" t="s">
        <v>151</v>
      </c>
      <c r="M194">
        <v>374.1001468261407</v>
      </c>
      <c r="N194">
        <v>1</v>
      </c>
      <c r="O194" t="s">
        <v>152</v>
      </c>
      <c r="P194" s="2">
        <v>44656.074522685187</v>
      </c>
      <c r="Q194">
        <v>31</v>
      </c>
      <c r="R194" t="s">
        <v>153</v>
      </c>
      <c r="S194">
        <v>3.7420590661261</v>
      </c>
      <c r="T194">
        <v>336.71545198868569</v>
      </c>
      <c r="U194">
        <v>5.9757018288219632E-3</v>
      </c>
      <c r="V194">
        <v>36.54864860689171</v>
      </c>
      <c r="W194" t="s">
        <v>17</v>
      </c>
      <c r="X194">
        <v>99.426884060610107</v>
      </c>
      <c r="Y194">
        <v>0.33671545198868558</v>
      </c>
      <c r="Z194">
        <v>372.06127291567469</v>
      </c>
      <c r="AA194">
        <v>47.465777411547677</v>
      </c>
      <c r="AB194">
        <v>36.54864860689171</v>
      </c>
      <c r="AC194">
        <v>47.465777411547677</v>
      </c>
      <c r="AD194" s="2">
        <v>44228</v>
      </c>
    </row>
    <row r="195" spans="1:30" hidden="1" x14ac:dyDescent="0.25">
      <c r="A195">
        <v>-1</v>
      </c>
      <c r="B195" t="s">
        <v>114</v>
      </c>
      <c r="C195">
        <v>2021</v>
      </c>
      <c r="D195">
        <v>2</v>
      </c>
      <c r="E195" t="s">
        <v>156</v>
      </c>
      <c r="F195" t="s">
        <v>93</v>
      </c>
      <c r="G195" t="s">
        <v>93</v>
      </c>
      <c r="H195" t="s">
        <v>149</v>
      </c>
      <c r="I195" t="s">
        <v>149</v>
      </c>
      <c r="J195" t="s">
        <v>161</v>
      </c>
      <c r="K195" t="s">
        <v>156</v>
      </c>
      <c r="L195" t="s">
        <v>151</v>
      </c>
      <c r="M195">
        <v>401.70111647401689</v>
      </c>
      <c r="N195">
        <v>1</v>
      </c>
      <c r="O195" t="s">
        <v>152</v>
      </c>
      <c r="P195" s="2">
        <v>44656.074522685187</v>
      </c>
      <c r="Q195">
        <v>31</v>
      </c>
      <c r="R195" t="s">
        <v>153</v>
      </c>
      <c r="S195">
        <v>3.7420590661261</v>
      </c>
      <c r="T195">
        <v>336.71545198868569</v>
      </c>
      <c r="U195">
        <v>5.9757018288219632E-3</v>
      </c>
      <c r="V195">
        <v>36.54864860689171</v>
      </c>
      <c r="W195" t="s">
        <v>17</v>
      </c>
      <c r="X195">
        <v>99.426884060610107</v>
      </c>
      <c r="Y195">
        <v>0.33671545198868558</v>
      </c>
      <c r="Z195">
        <v>372.06127291567469</v>
      </c>
      <c r="AA195">
        <v>47.465777411547677</v>
      </c>
      <c r="AB195">
        <v>36.54864860689171</v>
      </c>
      <c r="AC195">
        <v>47.465777411547677</v>
      </c>
      <c r="AD195" s="2">
        <v>44228</v>
      </c>
    </row>
    <row r="196" spans="1:30" hidden="1" x14ac:dyDescent="0.25">
      <c r="A196">
        <v>-1</v>
      </c>
      <c r="B196" t="s">
        <v>114</v>
      </c>
      <c r="C196">
        <v>2021</v>
      </c>
      <c r="D196">
        <v>2</v>
      </c>
      <c r="E196" t="s">
        <v>156</v>
      </c>
      <c r="F196" t="s">
        <v>93</v>
      </c>
      <c r="G196" t="s">
        <v>93</v>
      </c>
      <c r="H196" t="s">
        <v>149</v>
      </c>
      <c r="I196" t="s">
        <v>149</v>
      </c>
      <c r="J196" t="s">
        <v>161</v>
      </c>
      <c r="K196" t="s">
        <v>156</v>
      </c>
      <c r="L196" t="s">
        <v>151</v>
      </c>
      <c r="M196">
        <v>408.94817471026539</v>
      </c>
      <c r="N196">
        <v>1</v>
      </c>
      <c r="O196" t="s">
        <v>152</v>
      </c>
      <c r="P196" s="2">
        <v>44656.074522685187</v>
      </c>
      <c r="Q196">
        <v>31</v>
      </c>
      <c r="R196" t="s">
        <v>153</v>
      </c>
      <c r="S196">
        <v>3.7420590661261</v>
      </c>
      <c r="T196">
        <v>336.71545198868569</v>
      </c>
      <c r="U196">
        <v>5.9757018288219632E-3</v>
      </c>
      <c r="V196">
        <v>36.54864860689171</v>
      </c>
      <c r="W196" t="s">
        <v>17</v>
      </c>
      <c r="X196">
        <v>99.426884060610107</v>
      </c>
      <c r="Y196">
        <v>0.33671545198868558</v>
      </c>
      <c r="Z196">
        <v>372.06127291567469</v>
      </c>
      <c r="AA196">
        <v>47.465777411547677</v>
      </c>
      <c r="AB196">
        <v>36.54864860689171</v>
      </c>
      <c r="AC196">
        <v>47.465777411547677</v>
      </c>
      <c r="AD196" s="2">
        <v>44228</v>
      </c>
    </row>
    <row r="197" spans="1:30" hidden="1" x14ac:dyDescent="0.25">
      <c r="A197">
        <v>-1</v>
      </c>
      <c r="B197" t="s">
        <v>114</v>
      </c>
      <c r="C197">
        <v>2021</v>
      </c>
      <c r="D197">
        <v>2</v>
      </c>
      <c r="E197" t="s">
        <v>156</v>
      </c>
      <c r="F197" t="s">
        <v>93</v>
      </c>
      <c r="G197" t="s">
        <v>93</v>
      </c>
      <c r="H197" t="s">
        <v>149</v>
      </c>
      <c r="I197" t="s">
        <v>149</v>
      </c>
      <c r="J197" t="s">
        <v>161</v>
      </c>
      <c r="K197" t="s">
        <v>156</v>
      </c>
      <c r="L197" t="s">
        <v>151</v>
      </c>
      <c r="M197">
        <v>374.1001468261407</v>
      </c>
      <c r="N197">
        <v>1</v>
      </c>
      <c r="O197" t="s">
        <v>152</v>
      </c>
      <c r="P197" s="2">
        <v>44656.074522685187</v>
      </c>
      <c r="Q197">
        <v>13</v>
      </c>
      <c r="R197" t="s">
        <v>154</v>
      </c>
      <c r="S197">
        <v>389.84264551979157</v>
      </c>
      <c r="T197">
        <v>33292.973635053262</v>
      </c>
      <c r="U197">
        <v>0.62254052344424138</v>
      </c>
      <c r="V197">
        <v>3742.2606164400931</v>
      </c>
      <c r="W197" t="s">
        <v>17</v>
      </c>
      <c r="X197">
        <v>94.365807830692859</v>
      </c>
      <c r="Y197">
        <v>33.292973635053258</v>
      </c>
      <c r="Z197">
        <v>36787.81617132957</v>
      </c>
      <c r="AA197">
        <v>4860.0787226494713</v>
      </c>
      <c r="AB197">
        <v>3742.2606164400931</v>
      </c>
      <c r="AC197">
        <v>4860.0787226494713</v>
      </c>
      <c r="AD197" s="2">
        <v>44228</v>
      </c>
    </row>
    <row r="198" spans="1:30" hidden="1" x14ac:dyDescent="0.25">
      <c r="A198">
        <v>-1</v>
      </c>
      <c r="B198" t="s">
        <v>114</v>
      </c>
      <c r="C198">
        <v>2021</v>
      </c>
      <c r="D198">
        <v>2</v>
      </c>
      <c r="E198" t="s">
        <v>156</v>
      </c>
      <c r="F198" t="s">
        <v>93</v>
      </c>
      <c r="G198" t="s">
        <v>93</v>
      </c>
      <c r="H198" t="s">
        <v>149</v>
      </c>
      <c r="I198" t="s">
        <v>149</v>
      </c>
      <c r="J198" t="s">
        <v>161</v>
      </c>
      <c r="K198" t="s">
        <v>156</v>
      </c>
      <c r="L198" t="s">
        <v>151</v>
      </c>
      <c r="M198">
        <v>401.70111647401689</v>
      </c>
      <c r="N198">
        <v>1</v>
      </c>
      <c r="O198" t="s">
        <v>152</v>
      </c>
      <c r="P198" s="2">
        <v>44656.074522685187</v>
      </c>
      <c r="Q198">
        <v>13</v>
      </c>
      <c r="R198" t="s">
        <v>154</v>
      </c>
      <c r="S198">
        <v>389.84264551979157</v>
      </c>
      <c r="T198">
        <v>33292.973635053262</v>
      </c>
      <c r="U198">
        <v>0.62254052344424138</v>
      </c>
      <c r="V198">
        <v>3742.2606164400931</v>
      </c>
      <c r="W198" t="s">
        <v>17</v>
      </c>
      <c r="X198">
        <v>94.365807830692859</v>
      </c>
      <c r="Y198">
        <v>33.292973635053258</v>
      </c>
      <c r="Z198">
        <v>36787.81617132957</v>
      </c>
      <c r="AA198">
        <v>4860.0787226494713</v>
      </c>
      <c r="AB198">
        <v>3742.2606164400931</v>
      </c>
      <c r="AC198">
        <v>4860.0787226494713</v>
      </c>
      <c r="AD198" s="2">
        <v>44228</v>
      </c>
    </row>
    <row r="199" spans="1:30" hidden="1" x14ac:dyDescent="0.25">
      <c r="A199">
        <v>-1</v>
      </c>
      <c r="B199" t="s">
        <v>114</v>
      </c>
      <c r="C199">
        <v>2021</v>
      </c>
      <c r="D199">
        <v>2</v>
      </c>
      <c r="E199" t="s">
        <v>156</v>
      </c>
      <c r="F199" t="s">
        <v>93</v>
      </c>
      <c r="G199" t="s">
        <v>93</v>
      </c>
      <c r="H199" t="s">
        <v>149</v>
      </c>
      <c r="I199" t="s">
        <v>149</v>
      </c>
      <c r="J199" t="s">
        <v>161</v>
      </c>
      <c r="K199" t="s">
        <v>156</v>
      </c>
      <c r="L199" t="s">
        <v>151</v>
      </c>
      <c r="M199">
        <v>408.94817471026539</v>
      </c>
      <c r="N199">
        <v>1</v>
      </c>
      <c r="O199" t="s">
        <v>152</v>
      </c>
      <c r="P199" s="2">
        <v>44656.074522685187</v>
      </c>
      <c r="Q199">
        <v>13</v>
      </c>
      <c r="R199" t="s">
        <v>154</v>
      </c>
      <c r="S199">
        <v>389.84264551979157</v>
      </c>
      <c r="T199">
        <v>33292.973635053262</v>
      </c>
      <c r="U199">
        <v>0.62254052344424138</v>
      </c>
      <c r="V199">
        <v>3742.2606164400931</v>
      </c>
      <c r="W199" t="s">
        <v>17</v>
      </c>
      <c r="X199">
        <v>94.365807830692859</v>
      </c>
      <c r="Y199">
        <v>33.292973635053258</v>
      </c>
      <c r="Z199">
        <v>36787.81617132957</v>
      </c>
      <c r="AA199">
        <v>4860.0787226494713</v>
      </c>
      <c r="AB199">
        <v>3742.2606164400931</v>
      </c>
      <c r="AC199">
        <v>4860.0787226494713</v>
      </c>
      <c r="AD199" s="2">
        <v>44228</v>
      </c>
    </row>
    <row r="200" spans="1:30" hidden="1" x14ac:dyDescent="0.25">
      <c r="A200">
        <v>-1</v>
      </c>
      <c r="B200" t="s">
        <v>114</v>
      </c>
      <c r="C200">
        <v>2021</v>
      </c>
      <c r="D200">
        <v>2</v>
      </c>
      <c r="E200" t="s">
        <v>156</v>
      </c>
      <c r="F200" t="s">
        <v>93</v>
      </c>
      <c r="G200" t="s">
        <v>93</v>
      </c>
      <c r="H200" t="s">
        <v>149</v>
      </c>
      <c r="I200" t="s">
        <v>149</v>
      </c>
      <c r="J200" t="s">
        <v>161</v>
      </c>
      <c r="K200" t="s">
        <v>156</v>
      </c>
      <c r="L200" t="s">
        <v>151</v>
      </c>
      <c r="M200">
        <v>374.1001468261407</v>
      </c>
      <c r="N200">
        <v>1</v>
      </c>
      <c r="O200" t="s">
        <v>152</v>
      </c>
      <c r="P200" s="2">
        <v>44656.074522685187</v>
      </c>
      <c r="Q200">
        <v>5</v>
      </c>
      <c r="R200" t="s">
        <v>100</v>
      </c>
      <c r="S200">
        <v>10.72094705992826</v>
      </c>
      <c r="T200">
        <v>871.08178728940493</v>
      </c>
      <c r="U200">
        <v>1.7120302437940702E-2</v>
      </c>
      <c r="V200">
        <v>100.6792971428364</v>
      </c>
      <c r="W200" t="s">
        <v>17</v>
      </c>
      <c r="X200">
        <v>89.779504230518498</v>
      </c>
      <c r="Y200">
        <v>0.871081787289405</v>
      </c>
      <c r="Z200">
        <v>962.52131192199431</v>
      </c>
      <c r="AA200">
        <v>130.75233395173549</v>
      </c>
      <c r="AB200">
        <v>100.6792971428364</v>
      </c>
      <c r="AC200">
        <v>130.75233395173549</v>
      </c>
      <c r="AD200" s="2">
        <v>44228</v>
      </c>
    </row>
    <row r="201" spans="1:30" hidden="1" x14ac:dyDescent="0.25">
      <c r="A201">
        <v>-1</v>
      </c>
      <c r="B201" t="s">
        <v>114</v>
      </c>
      <c r="C201">
        <v>2021</v>
      </c>
      <c r="D201">
        <v>2</v>
      </c>
      <c r="E201" t="s">
        <v>156</v>
      </c>
      <c r="F201" t="s">
        <v>93</v>
      </c>
      <c r="G201" t="s">
        <v>93</v>
      </c>
      <c r="H201" t="s">
        <v>149</v>
      </c>
      <c r="I201" t="s">
        <v>149</v>
      </c>
      <c r="J201" t="s">
        <v>161</v>
      </c>
      <c r="K201" t="s">
        <v>156</v>
      </c>
      <c r="L201" t="s">
        <v>151</v>
      </c>
      <c r="M201">
        <v>401.70111647401689</v>
      </c>
      <c r="N201">
        <v>1</v>
      </c>
      <c r="O201" t="s">
        <v>152</v>
      </c>
      <c r="P201" s="2">
        <v>44656.074522685187</v>
      </c>
      <c r="Q201">
        <v>5</v>
      </c>
      <c r="R201" t="s">
        <v>100</v>
      </c>
      <c r="S201">
        <v>10.72094705992826</v>
      </c>
      <c r="T201">
        <v>871.08178728940493</v>
      </c>
      <c r="U201">
        <v>1.7120302437940702E-2</v>
      </c>
      <c r="V201">
        <v>100.6792971428364</v>
      </c>
      <c r="W201" t="s">
        <v>17</v>
      </c>
      <c r="X201">
        <v>89.779504230518498</v>
      </c>
      <c r="Y201">
        <v>0.871081787289405</v>
      </c>
      <c r="Z201">
        <v>962.52131192199431</v>
      </c>
      <c r="AA201">
        <v>130.75233395173549</v>
      </c>
      <c r="AB201">
        <v>100.6792971428364</v>
      </c>
      <c r="AC201">
        <v>130.75233395173549</v>
      </c>
      <c r="AD201" s="2">
        <v>44228</v>
      </c>
    </row>
    <row r="202" spans="1:30" hidden="1" x14ac:dyDescent="0.25">
      <c r="A202">
        <v>-1</v>
      </c>
      <c r="B202" t="s">
        <v>114</v>
      </c>
      <c r="C202">
        <v>2021</v>
      </c>
      <c r="D202">
        <v>2</v>
      </c>
      <c r="E202" t="s">
        <v>156</v>
      </c>
      <c r="F202" t="s">
        <v>93</v>
      </c>
      <c r="G202" t="s">
        <v>93</v>
      </c>
      <c r="H202" t="s">
        <v>149</v>
      </c>
      <c r="I202" t="s">
        <v>149</v>
      </c>
      <c r="J202" t="s">
        <v>161</v>
      </c>
      <c r="K202" t="s">
        <v>156</v>
      </c>
      <c r="L202" t="s">
        <v>151</v>
      </c>
      <c r="M202">
        <v>408.94817471026539</v>
      </c>
      <c r="N202">
        <v>1</v>
      </c>
      <c r="O202" t="s">
        <v>152</v>
      </c>
      <c r="P202" s="2">
        <v>44656.074522685187</v>
      </c>
      <c r="Q202">
        <v>5</v>
      </c>
      <c r="R202" t="s">
        <v>100</v>
      </c>
      <c r="S202">
        <v>10.72094705992826</v>
      </c>
      <c r="T202">
        <v>871.08178728940493</v>
      </c>
      <c r="U202">
        <v>1.7120302437940702E-2</v>
      </c>
      <c r="V202">
        <v>100.6792971428364</v>
      </c>
      <c r="W202" t="s">
        <v>17</v>
      </c>
      <c r="X202">
        <v>89.779504230518498</v>
      </c>
      <c r="Y202">
        <v>0.871081787289405</v>
      </c>
      <c r="Z202">
        <v>962.52131192199431</v>
      </c>
      <c r="AA202">
        <v>130.75233395173549</v>
      </c>
      <c r="AB202">
        <v>100.6792971428364</v>
      </c>
      <c r="AC202">
        <v>130.75233395173549</v>
      </c>
      <c r="AD202" s="2">
        <v>44228</v>
      </c>
    </row>
    <row r="203" spans="1:30" hidden="1" x14ac:dyDescent="0.25">
      <c r="A203">
        <v>-1</v>
      </c>
      <c r="B203" t="s">
        <v>114</v>
      </c>
      <c r="C203">
        <v>2021</v>
      </c>
      <c r="D203">
        <v>2</v>
      </c>
      <c r="E203" t="s">
        <v>156</v>
      </c>
      <c r="F203" t="s">
        <v>93</v>
      </c>
      <c r="G203" t="s">
        <v>93</v>
      </c>
      <c r="H203" t="s">
        <v>149</v>
      </c>
      <c r="I203" t="s">
        <v>149</v>
      </c>
      <c r="J203" t="s">
        <v>161</v>
      </c>
      <c r="K203" t="s">
        <v>156</v>
      </c>
      <c r="L203" t="s">
        <v>151</v>
      </c>
      <c r="M203">
        <v>374.1001468261407</v>
      </c>
      <c r="N203">
        <v>1</v>
      </c>
      <c r="O203" t="s">
        <v>152</v>
      </c>
      <c r="P203" s="2">
        <v>44656.074522685187</v>
      </c>
      <c r="Q203">
        <v>11</v>
      </c>
      <c r="R203" t="s">
        <v>101</v>
      </c>
      <c r="S203">
        <v>9.8622466195509428</v>
      </c>
      <c r="T203">
        <v>860.55229357713142</v>
      </c>
      <c r="U203">
        <v>1.574904193635672E-2</v>
      </c>
      <c r="V203">
        <v>94.09897895674932</v>
      </c>
      <c r="W203" t="s">
        <v>17</v>
      </c>
      <c r="X203">
        <v>96.416825589707358</v>
      </c>
      <c r="Y203">
        <v>0.86055229357713148</v>
      </c>
      <c r="Z203">
        <v>950.88651223992417</v>
      </c>
      <c r="AA203">
        <v>122.2064661775965</v>
      </c>
      <c r="AB203">
        <v>94.09897895674932</v>
      </c>
      <c r="AC203">
        <v>122.2064661775965</v>
      </c>
      <c r="AD203" s="2">
        <v>44228</v>
      </c>
    </row>
    <row r="204" spans="1:30" hidden="1" x14ac:dyDescent="0.25">
      <c r="A204">
        <v>-1</v>
      </c>
      <c r="B204" t="s">
        <v>114</v>
      </c>
      <c r="C204">
        <v>2021</v>
      </c>
      <c r="D204">
        <v>2</v>
      </c>
      <c r="E204" t="s">
        <v>156</v>
      </c>
      <c r="F204" t="s">
        <v>93</v>
      </c>
      <c r="G204" t="s">
        <v>93</v>
      </c>
      <c r="H204" t="s">
        <v>149</v>
      </c>
      <c r="I204" t="s">
        <v>149</v>
      </c>
      <c r="J204" t="s">
        <v>161</v>
      </c>
      <c r="K204" t="s">
        <v>156</v>
      </c>
      <c r="L204" t="s">
        <v>151</v>
      </c>
      <c r="M204">
        <v>401.70111647401689</v>
      </c>
      <c r="N204">
        <v>1</v>
      </c>
      <c r="O204" t="s">
        <v>152</v>
      </c>
      <c r="P204" s="2">
        <v>44656.074522685187</v>
      </c>
      <c r="Q204">
        <v>11</v>
      </c>
      <c r="R204" t="s">
        <v>101</v>
      </c>
      <c r="S204">
        <v>9.8622466195509428</v>
      </c>
      <c r="T204">
        <v>860.55229357713142</v>
      </c>
      <c r="U204">
        <v>1.574904193635672E-2</v>
      </c>
      <c r="V204">
        <v>94.09897895674932</v>
      </c>
      <c r="W204" t="s">
        <v>17</v>
      </c>
      <c r="X204">
        <v>96.416825589707358</v>
      </c>
      <c r="Y204">
        <v>0.86055229357713148</v>
      </c>
      <c r="Z204">
        <v>950.88651223992417</v>
      </c>
      <c r="AA204">
        <v>122.2064661775965</v>
      </c>
      <c r="AB204">
        <v>94.09897895674932</v>
      </c>
      <c r="AC204">
        <v>122.2064661775965</v>
      </c>
      <c r="AD204" s="2">
        <v>44228</v>
      </c>
    </row>
    <row r="205" spans="1:30" hidden="1" x14ac:dyDescent="0.25">
      <c r="A205">
        <v>-1</v>
      </c>
      <c r="B205" t="s">
        <v>114</v>
      </c>
      <c r="C205">
        <v>2021</v>
      </c>
      <c r="D205">
        <v>2</v>
      </c>
      <c r="E205" t="s">
        <v>156</v>
      </c>
      <c r="F205" t="s">
        <v>93</v>
      </c>
      <c r="G205" t="s">
        <v>93</v>
      </c>
      <c r="H205" t="s">
        <v>149</v>
      </c>
      <c r="I205" t="s">
        <v>149</v>
      </c>
      <c r="J205" t="s">
        <v>161</v>
      </c>
      <c r="K205" t="s">
        <v>156</v>
      </c>
      <c r="L205" t="s">
        <v>151</v>
      </c>
      <c r="M205">
        <v>408.94817471026539</v>
      </c>
      <c r="N205">
        <v>1</v>
      </c>
      <c r="O205" t="s">
        <v>152</v>
      </c>
      <c r="P205" s="2">
        <v>44656.074522685187</v>
      </c>
      <c r="Q205">
        <v>11</v>
      </c>
      <c r="R205" t="s">
        <v>101</v>
      </c>
      <c r="S205">
        <v>9.8622466195509428</v>
      </c>
      <c r="T205">
        <v>860.55229357713142</v>
      </c>
      <c r="U205">
        <v>1.574904193635672E-2</v>
      </c>
      <c r="V205">
        <v>94.09897895674932</v>
      </c>
      <c r="W205" t="s">
        <v>17</v>
      </c>
      <c r="X205">
        <v>96.416825589707358</v>
      </c>
      <c r="Y205">
        <v>0.86055229357713148</v>
      </c>
      <c r="Z205">
        <v>950.88651223992417</v>
      </c>
      <c r="AA205">
        <v>122.2064661775965</v>
      </c>
      <c r="AB205">
        <v>94.09897895674932</v>
      </c>
      <c r="AC205">
        <v>122.2064661775965</v>
      </c>
      <c r="AD205" s="2">
        <v>44228</v>
      </c>
    </row>
    <row r="206" spans="1:30" hidden="1" x14ac:dyDescent="0.25">
      <c r="A206">
        <v>-1</v>
      </c>
      <c r="B206" t="s">
        <v>114</v>
      </c>
      <c r="C206">
        <v>2021</v>
      </c>
      <c r="D206">
        <v>2</v>
      </c>
      <c r="E206" t="s">
        <v>157</v>
      </c>
      <c r="F206" t="s">
        <v>93</v>
      </c>
      <c r="G206" t="s">
        <v>93</v>
      </c>
      <c r="H206" t="s">
        <v>149</v>
      </c>
      <c r="I206" t="s">
        <v>149</v>
      </c>
      <c r="J206" t="s">
        <v>161</v>
      </c>
      <c r="K206" t="s">
        <v>157</v>
      </c>
      <c r="L206" t="s">
        <v>151</v>
      </c>
      <c r="M206">
        <v>141.86267084589741</v>
      </c>
      <c r="N206">
        <v>0</v>
      </c>
      <c r="O206" t="s">
        <v>152</v>
      </c>
      <c r="P206" s="2">
        <v>44656.074522685187</v>
      </c>
      <c r="Q206">
        <v>31</v>
      </c>
      <c r="R206" t="s">
        <v>153</v>
      </c>
      <c r="S206">
        <v>3.187985284906556</v>
      </c>
      <c r="T206">
        <v>286.85915619494841</v>
      </c>
      <c r="U206">
        <v>5.0909002665730924E-3</v>
      </c>
      <c r="V206">
        <v>31.13701624774539</v>
      </c>
      <c r="W206" t="s">
        <v>17</v>
      </c>
      <c r="X206">
        <v>99.426884060610121</v>
      </c>
      <c r="Y206">
        <v>0.28685915619494839</v>
      </c>
      <c r="Z206">
        <v>316.9714433093352</v>
      </c>
      <c r="AA206">
        <v>40.437683438630373</v>
      </c>
      <c r="AB206">
        <v>31.13701624774539</v>
      </c>
      <c r="AC206">
        <v>40.437683438630373</v>
      </c>
      <c r="AD206" s="2">
        <v>44228</v>
      </c>
    </row>
    <row r="207" spans="1:30" hidden="1" x14ac:dyDescent="0.25">
      <c r="A207">
        <v>-1</v>
      </c>
      <c r="B207" t="s">
        <v>114</v>
      </c>
      <c r="C207">
        <v>2021</v>
      </c>
      <c r="D207">
        <v>2</v>
      </c>
      <c r="E207" t="s">
        <v>157</v>
      </c>
      <c r="F207" t="s">
        <v>93</v>
      </c>
      <c r="G207" t="s">
        <v>93</v>
      </c>
      <c r="H207" t="s">
        <v>149</v>
      </c>
      <c r="I207" t="s">
        <v>149</v>
      </c>
      <c r="J207" t="s">
        <v>161</v>
      </c>
      <c r="K207" t="s">
        <v>157</v>
      </c>
      <c r="L207" t="s">
        <v>151</v>
      </c>
      <c r="M207">
        <v>163.21718935435121</v>
      </c>
      <c r="N207">
        <v>0</v>
      </c>
      <c r="O207" t="s">
        <v>152</v>
      </c>
      <c r="P207" s="2">
        <v>44656.074522685187</v>
      </c>
      <c r="Q207">
        <v>31</v>
      </c>
      <c r="R207" t="s">
        <v>153</v>
      </c>
      <c r="S207">
        <v>3.187985284906556</v>
      </c>
      <c r="T207">
        <v>286.85915619494841</v>
      </c>
      <c r="U207">
        <v>5.0909002665730924E-3</v>
      </c>
      <c r="V207">
        <v>31.13701624774539</v>
      </c>
      <c r="W207" t="s">
        <v>17</v>
      </c>
      <c r="X207">
        <v>99.426884060610121</v>
      </c>
      <c r="Y207">
        <v>0.28685915619494839</v>
      </c>
      <c r="Z207">
        <v>316.9714433093352</v>
      </c>
      <c r="AA207">
        <v>40.437683438630373</v>
      </c>
      <c r="AB207">
        <v>31.13701624774539</v>
      </c>
      <c r="AC207">
        <v>40.437683438630373</v>
      </c>
      <c r="AD207" s="2">
        <v>44228</v>
      </c>
    </row>
    <row r="208" spans="1:30" hidden="1" x14ac:dyDescent="0.25">
      <c r="A208">
        <v>-1</v>
      </c>
      <c r="B208" t="s">
        <v>114</v>
      </c>
      <c r="C208">
        <v>2021</v>
      </c>
      <c r="D208">
        <v>2</v>
      </c>
      <c r="E208" t="s">
        <v>157</v>
      </c>
      <c r="F208" t="s">
        <v>93</v>
      </c>
      <c r="G208" t="s">
        <v>93</v>
      </c>
      <c r="H208" t="s">
        <v>149</v>
      </c>
      <c r="I208" t="s">
        <v>149</v>
      </c>
      <c r="J208" t="s">
        <v>161</v>
      </c>
      <c r="K208" t="s">
        <v>157</v>
      </c>
      <c r="L208" t="s">
        <v>151</v>
      </c>
      <c r="M208">
        <v>166.9949017555621</v>
      </c>
      <c r="N208">
        <v>0</v>
      </c>
      <c r="O208" t="s">
        <v>152</v>
      </c>
      <c r="P208" s="2">
        <v>44656.074522685187</v>
      </c>
      <c r="Q208">
        <v>31</v>
      </c>
      <c r="R208" t="s">
        <v>153</v>
      </c>
      <c r="S208">
        <v>3.187985284906556</v>
      </c>
      <c r="T208">
        <v>286.85915619494841</v>
      </c>
      <c r="U208">
        <v>5.0909002665730924E-3</v>
      </c>
      <c r="V208">
        <v>31.13701624774539</v>
      </c>
      <c r="W208" t="s">
        <v>17</v>
      </c>
      <c r="X208">
        <v>99.426884060610121</v>
      </c>
      <c r="Y208">
        <v>0.28685915619494839</v>
      </c>
      <c r="Z208">
        <v>316.9714433093352</v>
      </c>
      <c r="AA208">
        <v>40.437683438630373</v>
      </c>
      <c r="AB208">
        <v>31.13701624774539</v>
      </c>
      <c r="AC208">
        <v>40.437683438630373</v>
      </c>
      <c r="AD208" s="2">
        <v>44228</v>
      </c>
    </row>
    <row r="209" spans="1:30" hidden="1" x14ac:dyDescent="0.25">
      <c r="A209">
        <v>-1</v>
      </c>
      <c r="B209" t="s">
        <v>114</v>
      </c>
      <c r="C209">
        <v>2021</v>
      </c>
      <c r="D209">
        <v>2</v>
      </c>
      <c r="E209" t="s">
        <v>157</v>
      </c>
      <c r="F209" t="s">
        <v>93</v>
      </c>
      <c r="G209" t="s">
        <v>93</v>
      </c>
      <c r="H209" t="s">
        <v>149</v>
      </c>
      <c r="I209" t="s">
        <v>149</v>
      </c>
      <c r="J209" t="s">
        <v>161</v>
      </c>
      <c r="K209" t="s">
        <v>157</v>
      </c>
      <c r="L209" t="s">
        <v>151</v>
      </c>
      <c r="M209">
        <v>141.86267084589741</v>
      </c>
      <c r="N209">
        <v>0</v>
      </c>
      <c r="O209" t="s">
        <v>152</v>
      </c>
      <c r="P209" s="2">
        <v>44656.074522685187</v>
      </c>
      <c r="Q209">
        <v>13</v>
      </c>
      <c r="R209" t="s">
        <v>154</v>
      </c>
      <c r="S209">
        <v>155.15199736677391</v>
      </c>
      <c r="T209">
        <v>13250.14442909534</v>
      </c>
      <c r="U209">
        <v>0.2477625441037784</v>
      </c>
      <c r="V209">
        <v>1489.3681232168281</v>
      </c>
      <c r="W209" t="s">
        <v>17</v>
      </c>
      <c r="X209">
        <v>94.365807830692859</v>
      </c>
      <c r="Y209">
        <v>13.250144429095339</v>
      </c>
      <c r="Z209">
        <v>14641.04356806115</v>
      </c>
      <c r="AA209">
        <v>1934.244315866011</v>
      </c>
      <c r="AB209">
        <v>1489.3681232168281</v>
      </c>
      <c r="AC209">
        <v>1934.244315866011</v>
      </c>
      <c r="AD209" s="2">
        <v>44228</v>
      </c>
    </row>
    <row r="210" spans="1:30" hidden="1" x14ac:dyDescent="0.25">
      <c r="A210">
        <v>-1</v>
      </c>
      <c r="B210" t="s">
        <v>114</v>
      </c>
      <c r="C210">
        <v>2021</v>
      </c>
      <c r="D210">
        <v>2</v>
      </c>
      <c r="E210" t="s">
        <v>157</v>
      </c>
      <c r="F210" t="s">
        <v>93</v>
      </c>
      <c r="G210" t="s">
        <v>93</v>
      </c>
      <c r="H210" t="s">
        <v>149</v>
      </c>
      <c r="I210" t="s">
        <v>149</v>
      </c>
      <c r="J210" t="s">
        <v>161</v>
      </c>
      <c r="K210" t="s">
        <v>157</v>
      </c>
      <c r="L210" t="s">
        <v>151</v>
      </c>
      <c r="M210">
        <v>163.21718935435121</v>
      </c>
      <c r="N210">
        <v>0</v>
      </c>
      <c r="O210" t="s">
        <v>152</v>
      </c>
      <c r="P210" s="2">
        <v>44656.074522685187</v>
      </c>
      <c r="Q210">
        <v>13</v>
      </c>
      <c r="R210" t="s">
        <v>154</v>
      </c>
      <c r="S210">
        <v>155.15199736677391</v>
      </c>
      <c r="T210">
        <v>13250.14442909534</v>
      </c>
      <c r="U210">
        <v>0.2477625441037784</v>
      </c>
      <c r="V210">
        <v>1489.3681232168281</v>
      </c>
      <c r="W210" t="s">
        <v>17</v>
      </c>
      <c r="X210">
        <v>94.365807830692859</v>
      </c>
      <c r="Y210">
        <v>13.250144429095339</v>
      </c>
      <c r="Z210">
        <v>14641.04356806115</v>
      </c>
      <c r="AA210">
        <v>1934.244315866011</v>
      </c>
      <c r="AB210">
        <v>1489.3681232168281</v>
      </c>
      <c r="AC210">
        <v>1934.244315866011</v>
      </c>
      <c r="AD210" s="2">
        <v>44228</v>
      </c>
    </row>
    <row r="211" spans="1:30" hidden="1" x14ac:dyDescent="0.25">
      <c r="A211">
        <v>-1</v>
      </c>
      <c r="B211" t="s">
        <v>114</v>
      </c>
      <c r="C211">
        <v>2021</v>
      </c>
      <c r="D211">
        <v>2</v>
      </c>
      <c r="E211" t="s">
        <v>157</v>
      </c>
      <c r="F211" t="s">
        <v>93</v>
      </c>
      <c r="G211" t="s">
        <v>93</v>
      </c>
      <c r="H211" t="s">
        <v>149</v>
      </c>
      <c r="I211" t="s">
        <v>149</v>
      </c>
      <c r="J211" t="s">
        <v>161</v>
      </c>
      <c r="K211" t="s">
        <v>157</v>
      </c>
      <c r="L211" t="s">
        <v>151</v>
      </c>
      <c r="M211">
        <v>166.9949017555621</v>
      </c>
      <c r="N211">
        <v>0</v>
      </c>
      <c r="O211" t="s">
        <v>152</v>
      </c>
      <c r="P211" s="2">
        <v>44656.074522685187</v>
      </c>
      <c r="Q211">
        <v>13</v>
      </c>
      <c r="R211" t="s">
        <v>154</v>
      </c>
      <c r="S211">
        <v>155.15199736677391</v>
      </c>
      <c r="T211">
        <v>13250.14442909534</v>
      </c>
      <c r="U211">
        <v>0.2477625441037784</v>
      </c>
      <c r="V211">
        <v>1489.3681232168281</v>
      </c>
      <c r="W211" t="s">
        <v>17</v>
      </c>
      <c r="X211">
        <v>94.365807830692859</v>
      </c>
      <c r="Y211">
        <v>13.250144429095339</v>
      </c>
      <c r="Z211">
        <v>14641.04356806115</v>
      </c>
      <c r="AA211">
        <v>1934.244315866011</v>
      </c>
      <c r="AB211">
        <v>1489.3681232168281</v>
      </c>
      <c r="AC211">
        <v>1934.244315866011</v>
      </c>
      <c r="AD211" s="2">
        <v>44228</v>
      </c>
    </row>
    <row r="212" spans="1:30" hidden="1" x14ac:dyDescent="0.25">
      <c r="A212">
        <v>-1</v>
      </c>
      <c r="B212" t="s">
        <v>114</v>
      </c>
      <c r="C212">
        <v>2021</v>
      </c>
      <c r="D212">
        <v>2</v>
      </c>
      <c r="E212" t="s">
        <v>157</v>
      </c>
      <c r="F212" t="s">
        <v>93</v>
      </c>
      <c r="G212" t="s">
        <v>93</v>
      </c>
      <c r="H212" t="s">
        <v>149</v>
      </c>
      <c r="I212" t="s">
        <v>149</v>
      </c>
      <c r="J212" t="s">
        <v>161</v>
      </c>
      <c r="K212" t="s">
        <v>157</v>
      </c>
      <c r="L212" t="s">
        <v>151</v>
      </c>
      <c r="M212">
        <v>141.86267084589741</v>
      </c>
      <c r="N212">
        <v>0</v>
      </c>
      <c r="O212" t="s">
        <v>152</v>
      </c>
      <c r="P212" s="2">
        <v>44656.074522685187</v>
      </c>
      <c r="Q212">
        <v>5</v>
      </c>
      <c r="R212" t="s">
        <v>100</v>
      </c>
      <c r="S212">
        <v>7.9356060202804057</v>
      </c>
      <c r="T212">
        <v>644.77157071389081</v>
      </c>
      <c r="U212">
        <v>1.26723855957976E-2</v>
      </c>
      <c r="V212">
        <v>74.522449561432481</v>
      </c>
      <c r="W212" t="s">
        <v>17</v>
      </c>
      <c r="X212">
        <v>89.779504230518484</v>
      </c>
      <c r="Y212">
        <v>0.64477157071389091</v>
      </c>
      <c r="Z212">
        <v>712.45477426949265</v>
      </c>
      <c r="AA212">
        <v>96.782402027834394</v>
      </c>
      <c r="AB212">
        <v>74.522449561432481</v>
      </c>
      <c r="AC212">
        <v>96.782402027834394</v>
      </c>
      <c r="AD212" s="2">
        <v>44228</v>
      </c>
    </row>
    <row r="213" spans="1:30" hidden="1" x14ac:dyDescent="0.25">
      <c r="A213">
        <v>-1</v>
      </c>
      <c r="B213" t="s">
        <v>114</v>
      </c>
      <c r="C213">
        <v>2021</v>
      </c>
      <c r="D213">
        <v>2</v>
      </c>
      <c r="E213" t="s">
        <v>157</v>
      </c>
      <c r="F213" t="s">
        <v>93</v>
      </c>
      <c r="G213" t="s">
        <v>93</v>
      </c>
      <c r="H213" t="s">
        <v>149</v>
      </c>
      <c r="I213" t="s">
        <v>149</v>
      </c>
      <c r="J213" t="s">
        <v>161</v>
      </c>
      <c r="K213" t="s">
        <v>157</v>
      </c>
      <c r="L213" t="s">
        <v>151</v>
      </c>
      <c r="M213">
        <v>163.21718935435121</v>
      </c>
      <c r="N213">
        <v>0</v>
      </c>
      <c r="O213" t="s">
        <v>152</v>
      </c>
      <c r="P213" s="2">
        <v>44656.074522685187</v>
      </c>
      <c r="Q213">
        <v>5</v>
      </c>
      <c r="R213" t="s">
        <v>100</v>
      </c>
      <c r="S213">
        <v>7.9356060202804057</v>
      </c>
      <c r="T213">
        <v>644.77157071389081</v>
      </c>
      <c r="U213">
        <v>1.26723855957976E-2</v>
      </c>
      <c r="V213">
        <v>74.522449561432481</v>
      </c>
      <c r="W213" t="s">
        <v>17</v>
      </c>
      <c r="X213">
        <v>89.779504230518484</v>
      </c>
      <c r="Y213">
        <v>0.64477157071389091</v>
      </c>
      <c r="Z213">
        <v>712.45477426949265</v>
      </c>
      <c r="AA213">
        <v>96.782402027834394</v>
      </c>
      <c r="AB213">
        <v>74.522449561432481</v>
      </c>
      <c r="AC213">
        <v>96.782402027834394</v>
      </c>
      <c r="AD213" s="2">
        <v>44228</v>
      </c>
    </row>
    <row r="214" spans="1:30" hidden="1" x14ac:dyDescent="0.25">
      <c r="A214">
        <v>-1</v>
      </c>
      <c r="B214" t="s">
        <v>114</v>
      </c>
      <c r="C214">
        <v>2021</v>
      </c>
      <c r="D214">
        <v>2</v>
      </c>
      <c r="E214" t="s">
        <v>157</v>
      </c>
      <c r="F214" t="s">
        <v>93</v>
      </c>
      <c r="G214" t="s">
        <v>93</v>
      </c>
      <c r="H214" t="s">
        <v>149</v>
      </c>
      <c r="I214" t="s">
        <v>149</v>
      </c>
      <c r="J214" t="s">
        <v>161</v>
      </c>
      <c r="K214" t="s">
        <v>157</v>
      </c>
      <c r="L214" t="s">
        <v>151</v>
      </c>
      <c r="M214">
        <v>166.9949017555621</v>
      </c>
      <c r="N214">
        <v>0</v>
      </c>
      <c r="O214" t="s">
        <v>152</v>
      </c>
      <c r="P214" s="2">
        <v>44656.074522685187</v>
      </c>
      <c r="Q214">
        <v>5</v>
      </c>
      <c r="R214" t="s">
        <v>100</v>
      </c>
      <c r="S214">
        <v>7.9356060202804057</v>
      </c>
      <c r="T214">
        <v>644.77157071389081</v>
      </c>
      <c r="U214">
        <v>1.26723855957976E-2</v>
      </c>
      <c r="V214">
        <v>74.522449561432481</v>
      </c>
      <c r="W214" t="s">
        <v>17</v>
      </c>
      <c r="X214">
        <v>89.779504230518484</v>
      </c>
      <c r="Y214">
        <v>0.64477157071389091</v>
      </c>
      <c r="Z214">
        <v>712.45477426949265</v>
      </c>
      <c r="AA214">
        <v>96.782402027834394</v>
      </c>
      <c r="AB214">
        <v>74.522449561432481</v>
      </c>
      <c r="AC214">
        <v>96.782402027834394</v>
      </c>
      <c r="AD214" s="2">
        <v>44228</v>
      </c>
    </row>
    <row r="215" spans="1:30" hidden="1" x14ac:dyDescent="0.25">
      <c r="A215">
        <v>-1</v>
      </c>
      <c r="B215" t="s">
        <v>114</v>
      </c>
      <c r="C215">
        <v>2021</v>
      </c>
      <c r="D215">
        <v>2</v>
      </c>
      <c r="E215" t="s">
        <v>157</v>
      </c>
      <c r="F215" t="s">
        <v>93</v>
      </c>
      <c r="G215" t="s">
        <v>93</v>
      </c>
      <c r="H215" t="s">
        <v>149</v>
      </c>
      <c r="I215" t="s">
        <v>149</v>
      </c>
      <c r="J215" t="s">
        <v>161</v>
      </c>
      <c r="K215" t="s">
        <v>157</v>
      </c>
      <c r="L215" t="s">
        <v>151</v>
      </c>
      <c r="M215">
        <v>141.86267084589741</v>
      </c>
      <c r="N215">
        <v>0</v>
      </c>
      <c r="O215" t="s">
        <v>152</v>
      </c>
      <c r="P215" s="2">
        <v>44656.074522685187</v>
      </c>
      <c r="Q215">
        <v>11</v>
      </c>
      <c r="R215" t="s">
        <v>101</v>
      </c>
      <c r="S215">
        <v>5.9019947219634892</v>
      </c>
      <c r="T215">
        <v>514.99169414372909</v>
      </c>
      <c r="U215">
        <v>9.4249075256436169E-3</v>
      </c>
      <c r="V215">
        <v>56.312896905652089</v>
      </c>
      <c r="W215" t="s">
        <v>17</v>
      </c>
      <c r="X215">
        <v>96.416825589707344</v>
      </c>
      <c r="Y215">
        <v>0.51499169414372903</v>
      </c>
      <c r="Z215">
        <v>569.05159573892718</v>
      </c>
      <c r="AA215">
        <v>73.133632345002709</v>
      </c>
      <c r="AB215">
        <v>56.312896905652089</v>
      </c>
      <c r="AC215">
        <v>73.133632345002709</v>
      </c>
      <c r="AD215" s="2">
        <v>44228</v>
      </c>
    </row>
    <row r="216" spans="1:30" hidden="1" x14ac:dyDescent="0.25">
      <c r="A216">
        <v>-1</v>
      </c>
      <c r="B216" t="s">
        <v>114</v>
      </c>
      <c r="C216">
        <v>2021</v>
      </c>
      <c r="D216">
        <v>2</v>
      </c>
      <c r="E216" t="s">
        <v>157</v>
      </c>
      <c r="F216" t="s">
        <v>93</v>
      </c>
      <c r="G216" t="s">
        <v>93</v>
      </c>
      <c r="H216" t="s">
        <v>149</v>
      </c>
      <c r="I216" t="s">
        <v>149</v>
      </c>
      <c r="J216" t="s">
        <v>161</v>
      </c>
      <c r="K216" t="s">
        <v>157</v>
      </c>
      <c r="L216" t="s">
        <v>151</v>
      </c>
      <c r="M216">
        <v>163.21718935435121</v>
      </c>
      <c r="N216">
        <v>0</v>
      </c>
      <c r="O216" t="s">
        <v>152</v>
      </c>
      <c r="P216" s="2">
        <v>44656.074522685187</v>
      </c>
      <c r="Q216">
        <v>11</v>
      </c>
      <c r="R216" t="s">
        <v>101</v>
      </c>
      <c r="S216">
        <v>5.9019947219634892</v>
      </c>
      <c r="T216">
        <v>514.99169414372909</v>
      </c>
      <c r="U216">
        <v>9.4249075256436169E-3</v>
      </c>
      <c r="V216">
        <v>56.312896905652089</v>
      </c>
      <c r="W216" t="s">
        <v>17</v>
      </c>
      <c r="X216">
        <v>96.416825589707344</v>
      </c>
      <c r="Y216">
        <v>0.51499169414372903</v>
      </c>
      <c r="Z216">
        <v>569.05159573892718</v>
      </c>
      <c r="AA216">
        <v>73.133632345002709</v>
      </c>
      <c r="AB216">
        <v>56.312896905652089</v>
      </c>
      <c r="AC216">
        <v>73.133632345002709</v>
      </c>
      <c r="AD216" s="2">
        <v>44228</v>
      </c>
    </row>
    <row r="217" spans="1:30" hidden="1" x14ac:dyDescent="0.25">
      <c r="A217">
        <v>-1</v>
      </c>
      <c r="B217" t="s">
        <v>114</v>
      </c>
      <c r="C217">
        <v>2021</v>
      </c>
      <c r="D217">
        <v>2</v>
      </c>
      <c r="E217" t="s">
        <v>157</v>
      </c>
      <c r="F217" t="s">
        <v>93</v>
      </c>
      <c r="G217" t="s">
        <v>93</v>
      </c>
      <c r="H217" t="s">
        <v>149</v>
      </c>
      <c r="I217" t="s">
        <v>149</v>
      </c>
      <c r="J217" t="s">
        <v>161</v>
      </c>
      <c r="K217" t="s">
        <v>157</v>
      </c>
      <c r="L217" t="s">
        <v>151</v>
      </c>
      <c r="M217">
        <v>166.9949017555621</v>
      </c>
      <c r="N217">
        <v>0</v>
      </c>
      <c r="O217" t="s">
        <v>152</v>
      </c>
      <c r="P217" s="2">
        <v>44656.074522685187</v>
      </c>
      <c r="Q217">
        <v>11</v>
      </c>
      <c r="R217" t="s">
        <v>101</v>
      </c>
      <c r="S217">
        <v>5.9019947219634892</v>
      </c>
      <c r="T217">
        <v>514.99169414372909</v>
      </c>
      <c r="U217">
        <v>9.4249075256436169E-3</v>
      </c>
      <c r="V217">
        <v>56.312896905652089</v>
      </c>
      <c r="W217" t="s">
        <v>17</v>
      </c>
      <c r="X217">
        <v>96.416825589707344</v>
      </c>
      <c r="Y217">
        <v>0.51499169414372903</v>
      </c>
      <c r="Z217">
        <v>569.05159573892718</v>
      </c>
      <c r="AA217">
        <v>73.133632345002709</v>
      </c>
      <c r="AB217">
        <v>56.312896905652089</v>
      </c>
      <c r="AC217">
        <v>73.133632345002709</v>
      </c>
      <c r="AD217" s="2">
        <v>44228</v>
      </c>
    </row>
    <row r="218" spans="1:30" hidden="1" x14ac:dyDescent="0.25">
      <c r="A218">
        <v>-1</v>
      </c>
      <c r="B218" t="s">
        <v>114</v>
      </c>
      <c r="C218">
        <v>2021</v>
      </c>
      <c r="D218">
        <v>2</v>
      </c>
      <c r="E218" t="s">
        <v>158</v>
      </c>
      <c r="F218" t="s">
        <v>93</v>
      </c>
      <c r="G218" t="s">
        <v>93</v>
      </c>
      <c r="H218" t="s">
        <v>149</v>
      </c>
      <c r="I218" t="s">
        <v>149</v>
      </c>
      <c r="J218" t="s">
        <v>161</v>
      </c>
      <c r="K218" t="s">
        <v>158</v>
      </c>
      <c r="L218" t="s">
        <v>151</v>
      </c>
      <c r="M218">
        <v>260.78070384117473</v>
      </c>
      <c r="N218">
        <v>0</v>
      </c>
      <c r="O218" t="s">
        <v>152</v>
      </c>
      <c r="P218" s="2">
        <v>44656.074522685187</v>
      </c>
      <c r="Q218">
        <v>31</v>
      </c>
      <c r="R218" t="s">
        <v>153</v>
      </c>
      <c r="S218">
        <v>1.9622065102255759</v>
      </c>
      <c r="T218">
        <v>176.56195167163131</v>
      </c>
      <c r="U218">
        <v>3.133451617005077E-3</v>
      </c>
      <c r="V218">
        <v>19.164848808929289</v>
      </c>
      <c r="W218" t="s">
        <v>17</v>
      </c>
      <c r="X218">
        <v>99.426884060610107</v>
      </c>
      <c r="Y218">
        <v>0.1765619516716313</v>
      </c>
      <c r="Z218">
        <v>195.09607919517271</v>
      </c>
      <c r="AA218">
        <v>24.889414037570511</v>
      </c>
      <c r="AB218">
        <v>19.164848808929289</v>
      </c>
      <c r="AC218">
        <v>24.889414037570511</v>
      </c>
      <c r="AD218" s="2">
        <v>44228</v>
      </c>
    </row>
    <row r="219" spans="1:30" hidden="1" x14ac:dyDescent="0.25">
      <c r="A219">
        <v>-1</v>
      </c>
      <c r="B219" t="s">
        <v>114</v>
      </c>
      <c r="C219">
        <v>2021</v>
      </c>
      <c r="D219">
        <v>2</v>
      </c>
      <c r="E219" t="s">
        <v>158</v>
      </c>
      <c r="F219" t="s">
        <v>93</v>
      </c>
      <c r="G219" t="s">
        <v>93</v>
      </c>
      <c r="H219" t="s">
        <v>149</v>
      </c>
      <c r="I219" t="s">
        <v>149</v>
      </c>
      <c r="J219" t="s">
        <v>161</v>
      </c>
      <c r="K219" t="s">
        <v>158</v>
      </c>
      <c r="L219" t="s">
        <v>151</v>
      </c>
      <c r="M219">
        <v>334.7541838996824</v>
      </c>
      <c r="N219">
        <v>1</v>
      </c>
      <c r="O219" t="s">
        <v>152</v>
      </c>
      <c r="P219" s="2">
        <v>44656.074522685187</v>
      </c>
      <c r="Q219">
        <v>31</v>
      </c>
      <c r="R219" t="s">
        <v>153</v>
      </c>
      <c r="S219">
        <v>1.9622065102255759</v>
      </c>
      <c r="T219">
        <v>176.56195167163131</v>
      </c>
      <c r="U219">
        <v>3.133451617005077E-3</v>
      </c>
      <c r="V219">
        <v>19.164848808929289</v>
      </c>
      <c r="W219" t="s">
        <v>17</v>
      </c>
      <c r="X219">
        <v>99.426884060610107</v>
      </c>
      <c r="Y219">
        <v>0.1765619516716313</v>
      </c>
      <c r="Z219">
        <v>195.09607919517271</v>
      </c>
      <c r="AA219">
        <v>24.889414037570511</v>
      </c>
      <c r="AB219">
        <v>19.164848808929289</v>
      </c>
      <c r="AC219">
        <v>24.889414037570511</v>
      </c>
      <c r="AD219" s="2">
        <v>44228</v>
      </c>
    </row>
    <row r="220" spans="1:30" hidden="1" x14ac:dyDescent="0.25">
      <c r="A220">
        <v>-1</v>
      </c>
      <c r="B220" t="s">
        <v>114</v>
      </c>
      <c r="C220">
        <v>2021</v>
      </c>
      <c r="D220">
        <v>2</v>
      </c>
      <c r="E220" t="s">
        <v>158</v>
      </c>
      <c r="F220" t="s">
        <v>93</v>
      </c>
      <c r="G220" t="s">
        <v>93</v>
      </c>
      <c r="H220" t="s">
        <v>149</v>
      </c>
      <c r="I220" t="s">
        <v>149</v>
      </c>
      <c r="J220" t="s">
        <v>161</v>
      </c>
      <c r="K220" t="s">
        <v>158</v>
      </c>
      <c r="L220" t="s">
        <v>151</v>
      </c>
      <c r="M220">
        <v>459.20096188338528</v>
      </c>
      <c r="N220">
        <v>1</v>
      </c>
      <c r="O220" t="s">
        <v>152</v>
      </c>
      <c r="P220" s="2">
        <v>44656.074522685187</v>
      </c>
      <c r="Q220">
        <v>31</v>
      </c>
      <c r="R220" t="s">
        <v>153</v>
      </c>
      <c r="S220">
        <v>1.9622065102255759</v>
      </c>
      <c r="T220">
        <v>176.56195167163131</v>
      </c>
      <c r="U220">
        <v>3.133451617005077E-3</v>
      </c>
      <c r="V220">
        <v>19.164848808929289</v>
      </c>
      <c r="W220" t="s">
        <v>17</v>
      </c>
      <c r="X220">
        <v>99.426884060610107</v>
      </c>
      <c r="Y220">
        <v>0.1765619516716313</v>
      </c>
      <c r="Z220">
        <v>195.09607919517271</v>
      </c>
      <c r="AA220">
        <v>24.889414037570511</v>
      </c>
      <c r="AB220">
        <v>19.164848808929289</v>
      </c>
      <c r="AC220">
        <v>24.889414037570511</v>
      </c>
      <c r="AD220" s="2">
        <v>44228</v>
      </c>
    </row>
    <row r="221" spans="1:30" hidden="1" x14ac:dyDescent="0.25">
      <c r="A221">
        <v>-1</v>
      </c>
      <c r="B221" t="s">
        <v>114</v>
      </c>
      <c r="C221">
        <v>2021</v>
      </c>
      <c r="D221">
        <v>2</v>
      </c>
      <c r="E221" t="s">
        <v>158</v>
      </c>
      <c r="F221" t="s">
        <v>93</v>
      </c>
      <c r="G221" t="s">
        <v>93</v>
      </c>
      <c r="H221" t="s">
        <v>149</v>
      </c>
      <c r="I221" t="s">
        <v>149</v>
      </c>
      <c r="J221" t="s">
        <v>161</v>
      </c>
      <c r="K221" t="s">
        <v>158</v>
      </c>
      <c r="L221" t="s">
        <v>151</v>
      </c>
      <c r="M221">
        <v>260.78070384117473</v>
      </c>
      <c r="N221">
        <v>0</v>
      </c>
      <c r="O221" t="s">
        <v>152</v>
      </c>
      <c r="P221" s="2">
        <v>44656.074522685187</v>
      </c>
      <c r="Q221">
        <v>13</v>
      </c>
      <c r="R221" t="s">
        <v>154</v>
      </c>
      <c r="S221">
        <v>251.9997190257501</v>
      </c>
      <c r="T221">
        <v>21521.04213837014</v>
      </c>
      <c r="U221">
        <v>0.40241887026217538</v>
      </c>
      <c r="V221">
        <v>2419.049415711389</v>
      </c>
      <c r="W221" t="s">
        <v>17</v>
      </c>
      <c r="X221">
        <v>94.365807830692873</v>
      </c>
      <c r="Y221">
        <v>21.521042138370149</v>
      </c>
      <c r="Z221">
        <v>23780.157058972531</v>
      </c>
      <c r="AA221">
        <v>3141.6226178069978</v>
      </c>
      <c r="AB221">
        <v>2419.049415711389</v>
      </c>
      <c r="AC221">
        <v>3141.6226178069978</v>
      </c>
      <c r="AD221" s="2">
        <v>44228</v>
      </c>
    </row>
    <row r="222" spans="1:30" hidden="1" x14ac:dyDescent="0.25">
      <c r="A222">
        <v>-1</v>
      </c>
      <c r="B222" t="s">
        <v>114</v>
      </c>
      <c r="C222">
        <v>2021</v>
      </c>
      <c r="D222">
        <v>2</v>
      </c>
      <c r="E222" t="s">
        <v>158</v>
      </c>
      <c r="F222" t="s">
        <v>93</v>
      </c>
      <c r="G222" t="s">
        <v>93</v>
      </c>
      <c r="H222" t="s">
        <v>149</v>
      </c>
      <c r="I222" t="s">
        <v>149</v>
      </c>
      <c r="J222" t="s">
        <v>161</v>
      </c>
      <c r="K222" t="s">
        <v>158</v>
      </c>
      <c r="L222" t="s">
        <v>151</v>
      </c>
      <c r="M222">
        <v>334.7541838996824</v>
      </c>
      <c r="N222">
        <v>1</v>
      </c>
      <c r="O222" t="s">
        <v>152</v>
      </c>
      <c r="P222" s="2">
        <v>44656.074522685187</v>
      </c>
      <c r="Q222">
        <v>13</v>
      </c>
      <c r="R222" t="s">
        <v>154</v>
      </c>
      <c r="S222">
        <v>251.9997190257501</v>
      </c>
      <c r="T222">
        <v>21521.04213837014</v>
      </c>
      <c r="U222">
        <v>0.40241887026217538</v>
      </c>
      <c r="V222">
        <v>2419.049415711389</v>
      </c>
      <c r="W222" t="s">
        <v>17</v>
      </c>
      <c r="X222">
        <v>94.365807830692873</v>
      </c>
      <c r="Y222">
        <v>21.521042138370149</v>
      </c>
      <c r="Z222">
        <v>23780.157058972531</v>
      </c>
      <c r="AA222">
        <v>3141.6226178069978</v>
      </c>
      <c r="AB222">
        <v>2419.049415711389</v>
      </c>
      <c r="AC222">
        <v>3141.6226178069978</v>
      </c>
      <c r="AD222" s="2">
        <v>44228</v>
      </c>
    </row>
    <row r="223" spans="1:30" hidden="1" x14ac:dyDescent="0.25">
      <c r="A223">
        <v>-1</v>
      </c>
      <c r="B223" t="s">
        <v>114</v>
      </c>
      <c r="C223">
        <v>2021</v>
      </c>
      <c r="D223">
        <v>2</v>
      </c>
      <c r="E223" t="s">
        <v>158</v>
      </c>
      <c r="F223" t="s">
        <v>93</v>
      </c>
      <c r="G223" t="s">
        <v>93</v>
      </c>
      <c r="H223" t="s">
        <v>149</v>
      </c>
      <c r="I223" t="s">
        <v>149</v>
      </c>
      <c r="J223" t="s">
        <v>161</v>
      </c>
      <c r="K223" t="s">
        <v>158</v>
      </c>
      <c r="L223" t="s">
        <v>151</v>
      </c>
      <c r="M223">
        <v>459.20096188338528</v>
      </c>
      <c r="N223">
        <v>1</v>
      </c>
      <c r="O223" t="s">
        <v>152</v>
      </c>
      <c r="P223" s="2">
        <v>44656.074522685187</v>
      </c>
      <c r="Q223">
        <v>13</v>
      </c>
      <c r="R223" t="s">
        <v>154</v>
      </c>
      <c r="S223">
        <v>251.9997190257501</v>
      </c>
      <c r="T223">
        <v>21521.04213837014</v>
      </c>
      <c r="U223">
        <v>0.40241887026217538</v>
      </c>
      <c r="V223">
        <v>2419.049415711389</v>
      </c>
      <c r="W223" t="s">
        <v>17</v>
      </c>
      <c r="X223">
        <v>94.365807830692873</v>
      </c>
      <c r="Y223">
        <v>21.521042138370149</v>
      </c>
      <c r="Z223">
        <v>23780.157058972531</v>
      </c>
      <c r="AA223">
        <v>3141.6226178069978</v>
      </c>
      <c r="AB223">
        <v>2419.049415711389</v>
      </c>
      <c r="AC223">
        <v>3141.6226178069978</v>
      </c>
      <c r="AD223" s="2">
        <v>44228</v>
      </c>
    </row>
    <row r="224" spans="1:30" hidden="1" x14ac:dyDescent="0.25">
      <c r="A224">
        <v>-1</v>
      </c>
      <c r="B224" t="s">
        <v>114</v>
      </c>
      <c r="C224">
        <v>2021</v>
      </c>
      <c r="D224">
        <v>2</v>
      </c>
      <c r="E224" t="s">
        <v>158</v>
      </c>
      <c r="F224" t="s">
        <v>93</v>
      </c>
      <c r="G224" t="s">
        <v>93</v>
      </c>
      <c r="H224" t="s">
        <v>149</v>
      </c>
      <c r="I224" t="s">
        <v>149</v>
      </c>
      <c r="J224" t="s">
        <v>161</v>
      </c>
      <c r="K224" t="s">
        <v>158</v>
      </c>
      <c r="L224" t="s">
        <v>151</v>
      </c>
      <c r="M224">
        <v>260.78070384117473</v>
      </c>
      <c r="N224">
        <v>0</v>
      </c>
      <c r="O224" t="s">
        <v>152</v>
      </c>
      <c r="P224" s="2">
        <v>44656.074522685187</v>
      </c>
      <c r="Q224">
        <v>5</v>
      </c>
      <c r="R224" t="s">
        <v>100</v>
      </c>
      <c r="S224">
        <v>8.4682878903130039</v>
      </c>
      <c r="T224">
        <v>688.05221306861222</v>
      </c>
      <c r="U224">
        <v>1.3523026371019089E-2</v>
      </c>
      <c r="V224">
        <v>79.524809518610795</v>
      </c>
      <c r="W224" t="s">
        <v>17</v>
      </c>
      <c r="X224">
        <v>89.779504230518484</v>
      </c>
      <c r="Y224">
        <v>0.68805221306861242</v>
      </c>
      <c r="Z224">
        <v>760.27868847360469</v>
      </c>
      <c r="AA224">
        <v>103.27897340079321</v>
      </c>
      <c r="AB224">
        <v>79.524809518610795</v>
      </c>
      <c r="AC224">
        <v>103.27897340079321</v>
      </c>
      <c r="AD224" s="2">
        <v>44228</v>
      </c>
    </row>
    <row r="225" spans="1:30" hidden="1" x14ac:dyDescent="0.25">
      <c r="A225">
        <v>-1</v>
      </c>
      <c r="B225" t="s">
        <v>114</v>
      </c>
      <c r="C225">
        <v>2021</v>
      </c>
      <c r="D225">
        <v>2</v>
      </c>
      <c r="E225" t="s">
        <v>158</v>
      </c>
      <c r="F225" t="s">
        <v>93</v>
      </c>
      <c r="G225" t="s">
        <v>93</v>
      </c>
      <c r="H225" t="s">
        <v>149</v>
      </c>
      <c r="I225" t="s">
        <v>149</v>
      </c>
      <c r="J225" t="s">
        <v>161</v>
      </c>
      <c r="K225" t="s">
        <v>158</v>
      </c>
      <c r="L225" t="s">
        <v>151</v>
      </c>
      <c r="M225">
        <v>334.7541838996824</v>
      </c>
      <c r="N225">
        <v>1</v>
      </c>
      <c r="O225" t="s">
        <v>152</v>
      </c>
      <c r="P225" s="2">
        <v>44656.074522685187</v>
      </c>
      <c r="Q225">
        <v>5</v>
      </c>
      <c r="R225" t="s">
        <v>100</v>
      </c>
      <c r="S225">
        <v>8.4682878903130039</v>
      </c>
      <c r="T225">
        <v>688.05221306861222</v>
      </c>
      <c r="U225">
        <v>1.3523026371019089E-2</v>
      </c>
      <c r="V225">
        <v>79.524809518610795</v>
      </c>
      <c r="W225" t="s">
        <v>17</v>
      </c>
      <c r="X225">
        <v>89.779504230518484</v>
      </c>
      <c r="Y225">
        <v>0.68805221306861242</v>
      </c>
      <c r="Z225">
        <v>760.27868847360469</v>
      </c>
      <c r="AA225">
        <v>103.27897340079321</v>
      </c>
      <c r="AB225">
        <v>79.524809518610795</v>
      </c>
      <c r="AC225">
        <v>103.27897340079321</v>
      </c>
      <c r="AD225" s="2">
        <v>44228</v>
      </c>
    </row>
    <row r="226" spans="1:30" hidden="1" x14ac:dyDescent="0.25">
      <c r="A226">
        <v>-1</v>
      </c>
      <c r="B226" t="s">
        <v>114</v>
      </c>
      <c r="C226">
        <v>2021</v>
      </c>
      <c r="D226">
        <v>2</v>
      </c>
      <c r="E226" t="s">
        <v>158</v>
      </c>
      <c r="F226" t="s">
        <v>93</v>
      </c>
      <c r="G226" t="s">
        <v>93</v>
      </c>
      <c r="H226" t="s">
        <v>149</v>
      </c>
      <c r="I226" t="s">
        <v>149</v>
      </c>
      <c r="J226" t="s">
        <v>161</v>
      </c>
      <c r="K226" t="s">
        <v>158</v>
      </c>
      <c r="L226" t="s">
        <v>151</v>
      </c>
      <c r="M226">
        <v>459.20096188338528</v>
      </c>
      <c r="N226">
        <v>1</v>
      </c>
      <c r="O226" t="s">
        <v>152</v>
      </c>
      <c r="P226" s="2">
        <v>44656.074522685187</v>
      </c>
      <c r="Q226">
        <v>5</v>
      </c>
      <c r="R226" t="s">
        <v>100</v>
      </c>
      <c r="S226">
        <v>8.4682878903130039</v>
      </c>
      <c r="T226">
        <v>688.05221306861222</v>
      </c>
      <c r="U226">
        <v>1.3523026371019089E-2</v>
      </c>
      <c r="V226">
        <v>79.524809518610795</v>
      </c>
      <c r="W226" t="s">
        <v>17</v>
      </c>
      <c r="X226">
        <v>89.779504230518484</v>
      </c>
      <c r="Y226">
        <v>0.68805221306861242</v>
      </c>
      <c r="Z226">
        <v>760.27868847360469</v>
      </c>
      <c r="AA226">
        <v>103.27897340079321</v>
      </c>
      <c r="AB226">
        <v>79.524809518610795</v>
      </c>
      <c r="AC226">
        <v>103.27897340079321</v>
      </c>
      <c r="AD226" s="2">
        <v>44228</v>
      </c>
    </row>
    <row r="227" spans="1:30" hidden="1" x14ac:dyDescent="0.25">
      <c r="A227">
        <v>-1</v>
      </c>
      <c r="B227" t="s">
        <v>114</v>
      </c>
      <c r="C227">
        <v>2021</v>
      </c>
      <c r="D227">
        <v>2</v>
      </c>
      <c r="E227" t="s">
        <v>158</v>
      </c>
      <c r="F227" t="s">
        <v>93</v>
      </c>
      <c r="G227" t="s">
        <v>93</v>
      </c>
      <c r="H227" t="s">
        <v>149</v>
      </c>
      <c r="I227" t="s">
        <v>149</v>
      </c>
      <c r="J227" t="s">
        <v>161</v>
      </c>
      <c r="K227" t="s">
        <v>158</v>
      </c>
      <c r="L227" t="s">
        <v>151</v>
      </c>
      <c r="M227">
        <v>260.78070384117473</v>
      </c>
      <c r="N227">
        <v>0</v>
      </c>
      <c r="O227" t="s">
        <v>152</v>
      </c>
      <c r="P227" s="2">
        <v>44656.074522685187</v>
      </c>
      <c r="Q227">
        <v>11</v>
      </c>
      <c r="R227" t="s">
        <v>101</v>
      </c>
      <c r="S227">
        <v>6.4438115356419017</v>
      </c>
      <c r="T227">
        <v>562.26912693326119</v>
      </c>
      <c r="U227">
        <v>1.0290135911184949E-2</v>
      </c>
      <c r="V227">
        <v>61.482551540699063</v>
      </c>
      <c r="W227" t="s">
        <v>17</v>
      </c>
      <c r="X227">
        <v>96.416825589707358</v>
      </c>
      <c r="Y227">
        <v>0.56226912693326137</v>
      </c>
      <c r="Z227">
        <v>621.29185296492949</v>
      </c>
      <c r="AA227">
        <v>79.847469533375403</v>
      </c>
      <c r="AB227">
        <v>61.482551540699063</v>
      </c>
      <c r="AC227">
        <v>79.847469533375403</v>
      </c>
      <c r="AD227" s="2">
        <v>44228</v>
      </c>
    </row>
    <row r="228" spans="1:30" hidden="1" x14ac:dyDescent="0.25">
      <c r="A228">
        <v>-1</v>
      </c>
      <c r="B228" t="s">
        <v>114</v>
      </c>
      <c r="C228">
        <v>2021</v>
      </c>
      <c r="D228">
        <v>2</v>
      </c>
      <c r="E228" t="s">
        <v>158</v>
      </c>
      <c r="F228" t="s">
        <v>93</v>
      </c>
      <c r="G228" t="s">
        <v>93</v>
      </c>
      <c r="H228" t="s">
        <v>149</v>
      </c>
      <c r="I228" t="s">
        <v>149</v>
      </c>
      <c r="J228" t="s">
        <v>161</v>
      </c>
      <c r="K228" t="s">
        <v>158</v>
      </c>
      <c r="L228" t="s">
        <v>151</v>
      </c>
      <c r="M228">
        <v>334.7541838996824</v>
      </c>
      <c r="N228">
        <v>1</v>
      </c>
      <c r="O228" t="s">
        <v>152</v>
      </c>
      <c r="P228" s="2">
        <v>44656.074522685187</v>
      </c>
      <c r="Q228">
        <v>11</v>
      </c>
      <c r="R228" t="s">
        <v>101</v>
      </c>
      <c r="S228">
        <v>6.4438115356419017</v>
      </c>
      <c r="T228">
        <v>562.26912693326119</v>
      </c>
      <c r="U228">
        <v>1.0290135911184949E-2</v>
      </c>
      <c r="V228">
        <v>61.482551540699063</v>
      </c>
      <c r="W228" t="s">
        <v>17</v>
      </c>
      <c r="X228">
        <v>96.416825589707358</v>
      </c>
      <c r="Y228">
        <v>0.56226912693326137</v>
      </c>
      <c r="Z228">
        <v>621.29185296492949</v>
      </c>
      <c r="AA228">
        <v>79.847469533375403</v>
      </c>
      <c r="AB228">
        <v>61.482551540699063</v>
      </c>
      <c r="AC228">
        <v>79.847469533375403</v>
      </c>
      <c r="AD228" s="2">
        <v>44228</v>
      </c>
    </row>
    <row r="229" spans="1:30" hidden="1" x14ac:dyDescent="0.25">
      <c r="A229">
        <v>-1</v>
      </c>
      <c r="B229" t="s">
        <v>114</v>
      </c>
      <c r="C229">
        <v>2021</v>
      </c>
      <c r="D229">
        <v>2</v>
      </c>
      <c r="E229" t="s">
        <v>158</v>
      </c>
      <c r="F229" t="s">
        <v>93</v>
      </c>
      <c r="G229" t="s">
        <v>93</v>
      </c>
      <c r="H229" t="s">
        <v>149</v>
      </c>
      <c r="I229" t="s">
        <v>149</v>
      </c>
      <c r="J229" t="s">
        <v>161</v>
      </c>
      <c r="K229" t="s">
        <v>158</v>
      </c>
      <c r="L229" t="s">
        <v>151</v>
      </c>
      <c r="M229">
        <v>459.20096188338528</v>
      </c>
      <c r="N229">
        <v>1</v>
      </c>
      <c r="O229" t="s">
        <v>152</v>
      </c>
      <c r="P229" s="2">
        <v>44656.074522685187</v>
      </c>
      <c r="Q229">
        <v>11</v>
      </c>
      <c r="R229" t="s">
        <v>101</v>
      </c>
      <c r="S229">
        <v>6.4438115356419017</v>
      </c>
      <c r="T229">
        <v>562.26912693326119</v>
      </c>
      <c r="U229">
        <v>1.0290135911184949E-2</v>
      </c>
      <c r="V229">
        <v>61.482551540699063</v>
      </c>
      <c r="W229" t="s">
        <v>17</v>
      </c>
      <c r="X229">
        <v>96.416825589707358</v>
      </c>
      <c r="Y229">
        <v>0.56226912693326137</v>
      </c>
      <c r="Z229">
        <v>621.29185296492949</v>
      </c>
      <c r="AA229">
        <v>79.847469533375403</v>
      </c>
      <c r="AB229">
        <v>61.482551540699063</v>
      </c>
      <c r="AC229">
        <v>79.847469533375403</v>
      </c>
      <c r="AD229" s="2">
        <v>44228</v>
      </c>
    </row>
    <row r="230" spans="1:30" hidden="1" x14ac:dyDescent="0.25">
      <c r="A230">
        <v>-1</v>
      </c>
      <c r="B230" t="s">
        <v>114</v>
      </c>
      <c r="C230">
        <v>2021</v>
      </c>
      <c r="D230">
        <v>2</v>
      </c>
      <c r="E230" t="s">
        <v>159</v>
      </c>
      <c r="F230" t="s">
        <v>93</v>
      </c>
      <c r="G230" t="s">
        <v>93</v>
      </c>
      <c r="H230" t="s">
        <v>149</v>
      </c>
      <c r="I230" t="s">
        <v>149</v>
      </c>
      <c r="J230" t="s">
        <v>161</v>
      </c>
      <c r="K230" t="s">
        <v>159</v>
      </c>
      <c r="L230" t="s">
        <v>151</v>
      </c>
      <c r="M230">
        <v>1113.934878728606</v>
      </c>
      <c r="N230">
        <v>2</v>
      </c>
      <c r="O230" t="s">
        <v>152</v>
      </c>
      <c r="P230" s="2">
        <v>44656.074522685187</v>
      </c>
      <c r="Q230">
        <v>31</v>
      </c>
      <c r="R230" t="s">
        <v>153</v>
      </c>
      <c r="S230">
        <v>5.9502865759728722</v>
      </c>
      <c r="T230">
        <v>535.41470043257686</v>
      </c>
      <c r="U230">
        <v>9.5020248867599445E-3</v>
      </c>
      <c r="V230">
        <v>58.116381738643817</v>
      </c>
      <c r="W230" t="s">
        <v>17</v>
      </c>
      <c r="X230">
        <v>99.426884060610121</v>
      </c>
      <c r="Y230">
        <v>0.53541470043257688</v>
      </c>
      <c r="Z230">
        <v>591.61845351665954</v>
      </c>
      <c r="AA230">
        <v>75.475820439797175</v>
      </c>
      <c r="AB230">
        <v>58.116381738643817</v>
      </c>
      <c r="AC230">
        <v>75.475820439797175</v>
      </c>
      <c r="AD230" s="2">
        <v>44228</v>
      </c>
    </row>
    <row r="231" spans="1:30" hidden="1" x14ac:dyDescent="0.25">
      <c r="A231">
        <v>-1</v>
      </c>
      <c r="B231" t="s">
        <v>114</v>
      </c>
      <c r="C231">
        <v>2021</v>
      </c>
      <c r="D231">
        <v>2</v>
      </c>
      <c r="E231" t="s">
        <v>159</v>
      </c>
      <c r="F231" t="s">
        <v>93</v>
      </c>
      <c r="G231" t="s">
        <v>93</v>
      </c>
      <c r="H231" t="s">
        <v>149</v>
      </c>
      <c r="I231" t="s">
        <v>149</v>
      </c>
      <c r="J231" t="s">
        <v>161</v>
      </c>
      <c r="K231" t="s">
        <v>159</v>
      </c>
      <c r="L231" t="s">
        <v>151</v>
      </c>
      <c r="M231">
        <v>1306.0945500587791</v>
      </c>
      <c r="N231">
        <v>2</v>
      </c>
      <c r="O231" t="s">
        <v>152</v>
      </c>
      <c r="P231" s="2">
        <v>44656.074522685187</v>
      </c>
      <c r="Q231">
        <v>31</v>
      </c>
      <c r="R231" t="s">
        <v>153</v>
      </c>
      <c r="S231">
        <v>5.9502865759728722</v>
      </c>
      <c r="T231">
        <v>535.41470043257686</v>
      </c>
      <c r="U231">
        <v>9.5020248867599445E-3</v>
      </c>
      <c r="V231">
        <v>58.116381738643817</v>
      </c>
      <c r="W231" t="s">
        <v>17</v>
      </c>
      <c r="X231">
        <v>99.426884060610121</v>
      </c>
      <c r="Y231">
        <v>0.53541470043257688</v>
      </c>
      <c r="Z231">
        <v>591.61845351665954</v>
      </c>
      <c r="AA231">
        <v>75.475820439797175</v>
      </c>
      <c r="AB231">
        <v>58.116381738643817</v>
      </c>
      <c r="AC231">
        <v>75.475820439797175</v>
      </c>
      <c r="AD231" s="2">
        <v>44228</v>
      </c>
    </row>
    <row r="232" spans="1:30" hidden="1" x14ac:dyDescent="0.25">
      <c r="A232">
        <v>-1</v>
      </c>
      <c r="B232" t="s">
        <v>114</v>
      </c>
      <c r="C232">
        <v>2021</v>
      </c>
      <c r="D232">
        <v>2</v>
      </c>
      <c r="E232" t="s">
        <v>159</v>
      </c>
      <c r="F232" t="s">
        <v>93</v>
      </c>
      <c r="G232" t="s">
        <v>93</v>
      </c>
      <c r="H232" t="s">
        <v>149</v>
      </c>
      <c r="I232" t="s">
        <v>149</v>
      </c>
      <c r="J232" t="s">
        <v>161</v>
      </c>
      <c r="K232" t="s">
        <v>159</v>
      </c>
      <c r="L232" t="s">
        <v>151</v>
      </c>
      <c r="M232">
        <v>1495.286919907574</v>
      </c>
      <c r="N232">
        <v>2</v>
      </c>
      <c r="O232" t="s">
        <v>152</v>
      </c>
      <c r="P232" s="2">
        <v>44656.074522685187</v>
      </c>
      <c r="Q232">
        <v>31</v>
      </c>
      <c r="R232" t="s">
        <v>153</v>
      </c>
      <c r="S232">
        <v>5.9502865759728722</v>
      </c>
      <c r="T232">
        <v>535.41470043257686</v>
      </c>
      <c r="U232">
        <v>9.5020248867599445E-3</v>
      </c>
      <c r="V232">
        <v>58.116381738643817</v>
      </c>
      <c r="W232" t="s">
        <v>17</v>
      </c>
      <c r="X232">
        <v>99.426884060610121</v>
      </c>
      <c r="Y232">
        <v>0.53541470043257688</v>
      </c>
      <c r="Z232">
        <v>591.61845351665954</v>
      </c>
      <c r="AA232">
        <v>75.475820439797175</v>
      </c>
      <c r="AB232">
        <v>58.116381738643817</v>
      </c>
      <c r="AC232">
        <v>75.475820439797175</v>
      </c>
      <c r="AD232" s="2">
        <v>44228</v>
      </c>
    </row>
    <row r="233" spans="1:30" hidden="1" x14ac:dyDescent="0.25">
      <c r="A233">
        <v>-1</v>
      </c>
      <c r="B233" t="s">
        <v>114</v>
      </c>
      <c r="C233">
        <v>2021</v>
      </c>
      <c r="D233">
        <v>2</v>
      </c>
      <c r="E233" t="s">
        <v>159</v>
      </c>
      <c r="F233" t="s">
        <v>93</v>
      </c>
      <c r="G233" t="s">
        <v>93</v>
      </c>
      <c r="H233" t="s">
        <v>149</v>
      </c>
      <c r="I233" t="s">
        <v>149</v>
      </c>
      <c r="J233" t="s">
        <v>161</v>
      </c>
      <c r="K233" t="s">
        <v>159</v>
      </c>
      <c r="L233" t="s">
        <v>151</v>
      </c>
      <c r="M233">
        <v>1113.934878728606</v>
      </c>
      <c r="N233">
        <v>2</v>
      </c>
      <c r="O233" t="s">
        <v>152</v>
      </c>
      <c r="P233" s="2">
        <v>44656.074522685187</v>
      </c>
      <c r="Q233">
        <v>13</v>
      </c>
      <c r="R233" t="s">
        <v>154</v>
      </c>
      <c r="S233">
        <v>1484.785016471209</v>
      </c>
      <c r="T233">
        <v>126802.2084684639</v>
      </c>
      <c r="U233">
        <v>2.3710562504615109</v>
      </c>
      <c r="V233">
        <v>14253.06480672975</v>
      </c>
      <c r="W233" t="s">
        <v>17</v>
      </c>
      <c r="X233">
        <v>94.365807830692859</v>
      </c>
      <c r="Y233">
        <v>126.8022084684639</v>
      </c>
      <c r="Z233">
        <v>140112.93753421429</v>
      </c>
      <c r="AA233">
        <v>18510.4737749737</v>
      </c>
      <c r="AB233">
        <v>14253.06480672975</v>
      </c>
      <c r="AC233">
        <v>18510.4737749737</v>
      </c>
      <c r="AD233" s="2">
        <v>44228</v>
      </c>
    </row>
    <row r="234" spans="1:30" hidden="1" x14ac:dyDescent="0.25">
      <c r="A234">
        <v>-1</v>
      </c>
      <c r="B234" t="s">
        <v>114</v>
      </c>
      <c r="C234">
        <v>2021</v>
      </c>
      <c r="D234">
        <v>2</v>
      </c>
      <c r="E234" t="s">
        <v>159</v>
      </c>
      <c r="F234" t="s">
        <v>93</v>
      </c>
      <c r="G234" t="s">
        <v>93</v>
      </c>
      <c r="H234" t="s">
        <v>149</v>
      </c>
      <c r="I234" t="s">
        <v>149</v>
      </c>
      <c r="J234" t="s">
        <v>161</v>
      </c>
      <c r="K234" t="s">
        <v>159</v>
      </c>
      <c r="L234" t="s">
        <v>151</v>
      </c>
      <c r="M234">
        <v>1306.0945500587791</v>
      </c>
      <c r="N234">
        <v>2</v>
      </c>
      <c r="O234" t="s">
        <v>152</v>
      </c>
      <c r="P234" s="2">
        <v>44656.074522685187</v>
      </c>
      <c r="Q234">
        <v>13</v>
      </c>
      <c r="R234" t="s">
        <v>154</v>
      </c>
      <c r="S234">
        <v>1484.785016471209</v>
      </c>
      <c r="T234">
        <v>126802.2084684639</v>
      </c>
      <c r="U234">
        <v>2.3710562504615109</v>
      </c>
      <c r="V234">
        <v>14253.06480672975</v>
      </c>
      <c r="W234" t="s">
        <v>17</v>
      </c>
      <c r="X234">
        <v>94.365807830692859</v>
      </c>
      <c r="Y234">
        <v>126.8022084684639</v>
      </c>
      <c r="Z234">
        <v>140112.93753421429</v>
      </c>
      <c r="AA234">
        <v>18510.4737749737</v>
      </c>
      <c r="AB234">
        <v>14253.06480672975</v>
      </c>
      <c r="AC234">
        <v>18510.4737749737</v>
      </c>
      <c r="AD234" s="2">
        <v>44228</v>
      </c>
    </row>
    <row r="235" spans="1:30" hidden="1" x14ac:dyDescent="0.25">
      <c r="A235">
        <v>-1</v>
      </c>
      <c r="B235" t="s">
        <v>114</v>
      </c>
      <c r="C235">
        <v>2021</v>
      </c>
      <c r="D235">
        <v>2</v>
      </c>
      <c r="E235" t="s">
        <v>159</v>
      </c>
      <c r="F235" t="s">
        <v>93</v>
      </c>
      <c r="G235" t="s">
        <v>93</v>
      </c>
      <c r="H235" t="s">
        <v>149</v>
      </c>
      <c r="I235" t="s">
        <v>149</v>
      </c>
      <c r="J235" t="s">
        <v>161</v>
      </c>
      <c r="K235" t="s">
        <v>159</v>
      </c>
      <c r="L235" t="s">
        <v>151</v>
      </c>
      <c r="M235">
        <v>1495.286919907574</v>
      </c>
      <c r="N235">
        <v>2</v>
      </c>
      <c r="O235" t="s">
        <v>152</v>
      </c>
      <c r="P235" s="2">
        <v>44656.074522685187</v>
      </c>
      <c r="Q235">
        <v>13</v>
      </c>
      <c r="R235" t="s">
        <v>154</v>
      </c>
      <c r="S235">
        <v>1484.785016471209</v>
      </c>
      <c r="T235">
        <v>126802.2084684639</v>
      </c>
      <c r="U235">
        <v>2.3710562504615109</v>
      </c>
      <c r="V235">
        <v>14253.06480672975</v>
      </c>
      <c r="W235" t="s">
        <v>17</v>
      </c>
      <c r="X235">
        <v>94.365807830692859</v>
      </c>
      <c r="Y235">
        <v>126.8022084684639</v>
      </c>
      <c r="Z235">
        <v>140112.93753421429</v>
      </c>
      <c r="AA235">
        <v>18510.4737749737</v>
      </c>
      <c r="AB235">
        <v>14253.06480672975</v>
      </c>
      <c r="AC235">
        <v>18510.4737749737</v>
      </c>
      <c r="AD235" s="2">
        <v>44228</v>
      </c>
    </row>
    <row r="236" spans="1:30" hidden="1" x14ac:dyDescent="0.25">
      <c r="A236">
        <v>-1</v>
      </c>
      <c r="B236" t="s">
        <v>114</v>
      </c>
      <c r="C236">
        <v>2021</v>
      </c>
      <c r="D236">
        <v>2</v>
      </c>
      <c r="E236" t="s">
        <v>159</v>
      </c>
      <c r="F236" t="s">
        <v>93</v>
      </c>
      <c r="G236" t="s">
        <v>93</v>
      </c>
      <c r="H236" t="s">
        <v>149</v>
      </c>
      <c r="I236" t="s">
        <v>149</v>
      </c>
      <c r="J236" t="s">
        <v>161</v>
      </c>
      <c r="K236" t="s">
        <v>159</v>
      </c>
      <c r="L236" t="s">
        <v>151</v>
      </c>
      <c r="M236">
        <v>1113.934878728606</v>
      </c>
      <c r="N236">
        <v>2</v>
      </c>
      <c r="O236" t="s">
        <v>152</v>
      </c>
      <c r="P236" s="2">
        <v>44656.074522685187</v>
      </c>
      <c r="Q236">
        <v>5</v>
      </c>
      <c r="R236" t="s">
        <v>100</v>
      </c>
      <c r="S236">
        <v>28.995064917963148</v>
      </c>
      <c r="T236">
        <v>2355.8621108871198</v>
      </c>
      <c r="U236">
        <v>4.6302278877830332E-2</v>
      </c>
      <c r="V236">
        <v>272.28963451023469</v>
      </c>
      <c r="W236" t="s">
        <v>17</v>
      </c>
      <c r="X236">
        <v>89.779504230518484</v>
      </c>
      <c r="Y236">
        <v>2.3558621108871201</v>
      </c>
      <c r="Z236">
        <v>2603.1625534664308</v>
      </c>
      <c r="AA236">
        <v>353.62290196134381</v>
      </c>
      <c r="AB236">
        <v>272.28963451023469</v>
      </c>
      <c r="AC236">
        <v>353.62290196134381</v>
      </c>
      <c r="AD236" s="2">
        <v>44228</v>
      </c>
    </row>
    <row r="237" spans="1:30" hidden="1" x14ac:dyDescent="0.25">
      <c r="A237">
        <v>-1</v>
      </c>
      <c r="B237" t="s">
        <v>114</v>
      </c>
      <c r="C237">
        <v>2021</v>
      </c>
      <c r="D237">
        <v>2</v>
      </c>
      <c r="E237" t="s">
        <v>159</v>
      </c>
      <c r="F237" t="s">
        <v>93</v>
      </c>
      <c r="G237" t="s">
        <v>93</v>
      </c>
      <c r="H237" t="s">
        <v>149</v>
      </c>
      <c r="I237" t="s">
        <v>149</v>
      </c>
      <c r="J237" t="s">
        <v>161</v>
      </c>
      <c r="K237" t="s">
        <v>159</v>
      </c>
      <c r="L237" t="s">
        <v>151</v>
      </c>
      <c r="M237">
        <v>1306.0945500587791</v>
      </c>
      <c r="N237">
        <v>2</v>
      </c>
      <c r="O237" t="s">
        <v>152</v>
      </c>
      <c r="P237" s="2">
        <v>44656.074522685187</v>
      </c>
      <c r="Q237">
        <v>5</v>
      </c>
      <c r="R237" t="s">
        <v>100</v>
      </c>
      <c r="S237">
        <v>28.995064917963148</v>
      </c>
      <c r="T237">
        <v>2355.8621108871198</v>
      </c>
      <c r="U237">
        <v>4.6302278877830332E-2</v>
      </c>
      <c r="V237">
        <v>272.28963451023469</v>
      </c>
      <c r="W237" t="s">
        <v>17</v>
      </c>
      <c r="X237">
        <v>89.779504230518484</v>
      </c>
      <c r="Y237">
        <v>2.3558621108871201</v>
      </c>
      <c r="Z237">
        <v>2603.1625534664308</v>
      </c>
      <c r="AA237">
        <v>353.62290196134381</v>
      </c>
      <c r="AB237">
        <v>272.28963451023469</v>
      </c>
      <c r="AC237">
        <v>353.62290196134381</v>
      </c>
      <c r="AD237" s="2">
        <v>44228</v>
      </c>
    </row>
    <row r="238" spans="1:30" hidden="1" x14ac:dyDescent="0.25">
      <c r="A238">
        <v>-1</v>
      </c>
      <c r="B238" t="s">
        <v>114</v>
      </c>
      <c r="C238">
        <v>2021</v>
      </c>
      <c r="D238">
        <v>2</v>
      </c>
      <c r="E238" t="s">
        <v>159</v>
      </c>
      <c r="F238" t="s">
        <v>93</v>
      </c>
      <c r="G238" t="s">
        <v>93</v>
      </c>
      <c r="H238" t="s">
        <v>149</v>
      </c>
      <c r="I238" t="s">
        <v>149</v>
      </c>
      <c r="J238" t="s">
        <v>161</v>
      </c>
      <c r="K238" t="s">
        <v>159</v>
      </c>
      <c r="L238" t="s">
        <v>151</v>
      </c>
      <c r="M238">
        <v>1495.286919907574</v>
      </c>
      <c r="N238">
        <v>2</v>
      </c>
      <c r="O238" t="s">
        <v>152</v>
      </c>
      <c r="P238" s="2">
        <v>44656.074522685187</v>
      </c>
      <c r="Q238">
        <v>5</v>
      </c>
      <c r="R238" t="s">
        <v>100</v>
      </c>
      <c r="S238">
        <v>28.995064917963148</v>
      </c>
      <c r="T238">
        <v>2355.8621108871198</v>
      </c>
      <c r="U238">
        <v>4.6302278877830332E-2</v>
      </c>
      <c r="V238">
        <v>272.28963451023469</v>
      </c>
      <c r="W238" t="s">
        <v>17</v>
      </c>
      <c r="X238">
        <v>89.779504230518484</v>
      </c>
      <c r="Y238">
        <v>2.3558621108871201</v>
      </c>
      <c r="Z238">
        <v>2603.1625534664308</v>
      </c>
      <c r="AA238">
        <v>353.62290196134381</v>
      </c>
      <c r="AB238">
        <v>272.28963451023469</v>
      </c>
      <c r="AC238">
        <v>353.62290196134381</v>
      </c>
      <c r="AD238" s="2">
        <v>44228</v>
      </c>
    </row>
    <row r="239" spans="1:30" hidden="1" x14ac:dyDescent="0.25">
      <c r="A239">
        <v>-1</v>
      </c>
      <c r="B239" t="s">
        <v>114</v>
      </c>
      <c r="C239">
        <v>2021</v>
      </c>
      <c r="D239">
        <v>2</v>
      </c>
      <c r="E239" t="s">
        <v>159</v>
      </c>
      <c r="F239" t="s">
        <v>93</v>
      </c>
      <c r="G239" t="s">
        <v>93</v>
      </c>
      <c r="H239" t="s">
        <v>149</v>
      </c>
      <c r="I239" t="s">
        <v>149</v>
      </c>
      <c r="J239" t="s">
        <v>161</v>
      </c>
      <c r="K239" t="s">
        <v>159</v>
      </c>
      <c r="L239" t="s">
        <v>151</v>
      </c>
      <c r="M239">
        <v>1113.934878728606</v>
      </c>
      <c r="N239">
        <v>2</v>
      </c>
      <c r="O239" t="s">
        <v>152</v>
      </c>
      <c r="P239" s="2">
        <v>44656.074522685187</v>
      </c>
      <c r="Q239">
        <v>11</v>
      </c>
      <c r="R239" t="s">
        <v>101</v>
      </c>
      <c r="S239">
        <v>21.962735499048112</v>
      </c>
      <c r="T239">
        <v>1916.407400466559</v>
      </c>
      <c r="U239">
        <v>3.5072337546895427E-2</v>
      </c>
      <c r="V239">
        <v>209.5537726120746</v>
      </c>
      <c r="W239" t="s">
        <v>17</v>
      </c>
      <c r="X239">
        <v>96.416825589707372</v>
      </c>
      <c r="Y239">
        <v>1.916407400466559</v>
      </c>
      <c r="Z239">
        <v>2117.577238084596</v>
      </c>
      <c r="AA239">
        <v>272.14775663905789</v>
      </c>
      <c r="AB239">
        <v>209.5537726120746</v>
      </c>
      <c r="AC239">
        <v>272.14775663905789</v>
      </c>
      <c r="AD239" s="2">
        <v>44228</v>
      </c>
    </row>
    <row r="240" spans="1:30" hidden="1" x14ac:dyDescent="0.25">
      <c r="A240">
        <v>-1</v>
      </c>
      <c r="B240" t="s">
        <v>114</v>
      </c>
      <c r="C240">
        <v>2021</v>
      </c>
      <c r="D240">
        <v>2</v>
      </c>
      <c r="E240" t="s">
        <v>159</v>
      </c>
      <c r="F240" t="s">
        <v>93</v>
      </c>
      <c r="G240" t="s">
        <v>93</v>
      </c>
      <c r="H240" t="s">
        <v>149</v>
      </c>
      <c r="I240" t="s">
        <v>149</v>
      </c>
      <c r="J240" t="s">
        <v>161</v>
      </c>
      <c r="K240" t="s">
        <v>159</v>
      </c>
      <c r="L240" t="s">
        <v>151</v>
      </c>
      <c r="M240">
        <v>1306.0945500587791</v>
      </c>
      <c r="N240">
        <v>2</v>
      </c>
      <c r="O240" t="s">
        <v>152</v>
      </c>
      <c r="P240" s="2">
        <v>44656.074522685187</v>
      </c>
      <c r="Q240">
        <v>11</v>
      </c>
      <c r="R240" t="s">
        <v>101</v>
      </c>
      <c r="S240">
        <v>21.962735499048112</v>
      </c>
      <c r="T240">
        <v>1916.407400466559</v>
      </c>
      <c r="U240">
        <v>3.5072337546895427E-2</v>
      </c>
      <c r="V240">
        <v>209.5537726120746</v>
      </c>
      <c r="W240" t="s">
        <v>17</v>
      </c>
      <c r="X240">
        <v>96.416825589707372</v>
      </c>
      <c r="Y240">
        <v>1.916407400466559</v>
      </c>
      <c r="Z240">
        <v>2117.577238084596</v>
      </c>
      <c r="AA240">
        <v>272.14775663905789</v>
      </c>
      <c r="AB240">
        <v>209.5537726120746</v>
      </c>
      <c r="AC240">
        <v>272.14775663905789</v>
      </c>
      <c r="AD240" s="2">
        <v>44228</v>
      </c>
    </row>
    <row r="241" spans="1:30" hidden="1" x14ac:dyDescent="0.25">
      <c r="A241">
        <v>-1</v>
      </c>
      <c r="B241" t="s">
        <v>114</v>
      </c>
      <c r="C241">
        <v>2021</v>
      </c>
      <c r="D241">
        <v>2</v>
      </c>
      <c r="E241" t="s">
        <v>159</v>
      </c>
      <c r="F241" t="s">
        <v>93</v>
      </c>
      <c r="G241" t="s">
        <v>93</v>
      </c>
      <c r="H241" t="s">
        <v>149</v>
      </c>
      <c r="I241" t="s">
        <v>149</v>
      </c>
      <c r="J241" t="s">
        <v>161</v>
      </c>
      <c r="K241" t="s">
        <v>159</v>
      </c>
      <c r="L241" t="s">
        <v>151</v>
      </c>
      <c r="M241">
        <v>1495.286919907574</v>
      </c>
      <c r="N241">
        <v>2</v>
      </c>
      <c r="O241" t="s">
        <v>152</v>
      </c>
      <c r="P241" s="2">
        <v>44656.074522685187</v>
      </c>
      <c r="Q241">
        <v>11</v>
      </c>
      <c r="R241" t="s">
        <v>101</v>
      </c>
      <c r="S241">
        <v>21.962735499048112</v>
      </c>
      <c r="T241">
        <v>1916.407400466559</v>
      </c>
      <c r="U241">
        <v>3.5072337546895427E-2</v>
      </c>
      <c r="V241">
        <v>209.5537726120746</v>
      </c>
      <c r="W241" t="s">
        <v>17</v>
      </c>
      <c r="X241">
        <v>96.416825589707372</v>
      </c>
      <c r="Y241">
        <v>1.916407400466559</v>
      </c>
      <c r="Z241">
        <v>2117.577238084596</v>
      </c>
      <c r="AA241">
        <v>272.14775663905789</v>
      </c>
      <c r="AB241">
        <v>209.5537726120746</v>
      </c>
      <c r="AC241">
        <v>272.14775663905789</v>
      </c>
      <c r="AD241" s="2">
        <v>44228</v>
      </c>
    </row>
    <row r="242" spans="1:30" hidden="1" x14ac:dyDescent="0.25">
      <c r="A242">
        <v>-1</v>
      </c>
      <c r="B242" t="s">
        <v>114</v>
      </c>
      <c r="C242">
        <v>2021</v>
      </c>
      <c r="D242">
        <v>2</v>
      </c>
      <c r="E242" t="s">
        <v>160</v>
      </c>
      <c r="F242" t="s">
        <v>93</v>
      </c>
      <c r="G242" t="s">
        <v>93</v>
      </c>
      <c r="H242" t="s">
        <v>149</v>
      </c>
      <c r="I242" t="s">
        <v>149</v>
      </c>
      <c r="J242" t="s">
        <v>161</v>
      </c>
      <c r="K242" t="s">
        <v>160</v>
      </c>
      <c r="L242" t="s">
        <v>151</v>
      </c>
      <c r="M242">
        <v>559.28757421062789</v>
      </c>
      <c r="N242">
        <v>1</v>
      </c>
      <c r="O242" t="s">
        <v>152</v>
      </c>
      <c r="P242" s="2">
        <v>44656.074522685187</v>
      </c>
      <c r="Q242">
        <v>31</v>
      </c>
      <c r="R242" t="s">
        <v>153</v>
      </c>
      <c r="S242">
        <v>4.7216408297599139</v>
      </c>
      <c r="T242">
        <v>424.85952199752569</v>
      </c>
      <c r="U242">
        <v>7.5399979644484791E-3</v>
      </c>
      <c r="V242">
        <v>46.116212621276787</v>
      </c>
      <c r="W242" t="s">
        <v>17</v>
      </c>
      <c r="X242">
        <v>99.426884060610121</v>
      </c>
      <c r="Y242">
        <v>0.42485952199752558</v>
      </c>
      <c r="Z242">
        <v>469.45803535638203</v>
      </c>
      <c r="AA242">
        <v>59.891185222437393</v>
      </c>
      <c r="AB242">
        <v>46.116212621276787</v>
      </c>
      <c r="AC242">
        <v>59.891185222437393</v>
      </c>
      <c r="AD242" s="2">
        <v>44228</v>
      </c>
    </row>
    <row r="243" spans="1:30" hidden="1" x14ac:dyDescent="0.25">
      <c r="A243">
        <v>-1</v>
      </c>
      <c r="B243" t="s">
        <v>114</v>
      </c>
      <c r="C243">
        <v>2021</v>
      </c>
      <c r="D243">
        <v>2</v>
      </c>
      <c r="E243" t="s">
        <v>160</v>
      </c>
      <c r="F243" t="s">
        <v>93</v>
      </c>
      <c r="G243" t="s">
        <v>93</v>
      </c>
      <c r="H243" t="s">
        <v>149</v>
      </c>
      <c r="I243" t="s">
        <v>149</v>
      </c>
      <c r="J243" t="s">
        <v>161</v>
      </c>
      <c r="K243" t="s">
        <v>160</v>
      </c>
      <c r="L243" t="s">
        <v>151</v>
      </c>
      <c r="M243">
        <v>571.67631573717165</v>
      </c>
      <c r="N243">
        <v>1</v>
      </c>
      <c r="O243" t="s">
        <v>152</v>
      </c>
      <c r="P243" s="2">
        <v>44656.074522685187</v>
      </c>
      <c r="Q243">
        <v>31</v>
      </c>
      <c r="R243" t="s">
        <v>153</v>
      </c>
      <c r="S243">
        <v>4.7216408297599139</v>
      </c>
      <c r="T243">
        <v>424.85952199752569</v>
      </c>
      <c r="U243">
        <v>7.5399979644484791E-3</v>
      </c>
      <c r="V243">
        <v>46.116212621276787</v>
      </c>
      <c r="W243" t="s">
        <v>17</v>
      </c>
      <c r="X243">
        <v>99.426884060610121</v>
      </c>
      <c r="Y243">
        <v>0.42485952199752558</v>
      </c>
      <c r="Z243">
        <v>469.45803535638203</v>
      </c>
      <c r="AA243">
        <v>59.891185222437393</v>
      </c>
      <c r="AB243">
        <v>46.116212621276787</v>
      </c>
      <c r="AC243">
        <v>59.891185222437393</v>
      </c>
      <c r="AD243" s="2">
        <v>44228</v>
      </c>
    </row>
    <row r="244" spans="1:30" hidden="1" x14ac:dyDescent="0.25">
      <c r="A244">
        <v>-1</v>
      </c>
      <c r="B244" t="s">
        <v>114</v>
      </c>
      <c r="C244">
        <v>2021</v>
      </c>
      <c r="D244">
        <v>2</v>
      </c>
      <c r="E244" t="s">
        <v>160</v>
      </c>
      <c r="F244" t="s">
        <v>93</v>
      </c>
      <c r="G244" t="s">
        <v>93</v>
      </c>
      <c r="H244" t="s">
        <v>149</v>
      </c>
      <c r="I244" t="s">
        <v>149</v>
      </c>
      <c r="J244" t="s">
        <v>161</v>
      </c>
      <c r="K244" t="s">
        <v>160</v>
      </c>
      <c r="L244" t="s">
        <v>151</v>
      </c>
      <c r="M244">
        <v>807.21972090635632</v>
      </c>
      <c r="N244">
        <v>1</v>
      </c>
      <c r="O244" t="s">
        <v>152</v>
      </c>
      <c r="P244" s="2">
        <v>44656.074522685187</v>
      </c>
      <c r="Q244">
        <v>31</v>
      </c>
      <c r="R244" t="s">
        <v>153</v>
      </c>
      <c r="S244">
        <v>4.7216408297599139</v>
      </c>
      <c r="T244">
        <v>424.85952199752569</v>
      </c>
      <c r="U244">
        <v>7.5399979644484791E-3</v>
      </c>
      <c r="V244">
        <v>46.116212621276787</v>
      </c>
      <c r="W244" t="s">
        <v>17</v>
      </c>
      <c r="X244">
        <v>99.426884060610121</v>
      </c>
      <c r="Y244">
        <v>0.42485952199752558</v>
      </c>
      <c r="Z244">
        <v>469.45803535638203</v>
      </c>
      <c r="AA244">
        <v>59.891185222437393</v>
      </c>
      <c r="AB244">
        <v>46.116212621276787</v>
      </c>
      <c r="AC244">
        <v>59.891185222437393</v>
      </c>
      <c r="AD244" s="2">
        <v>44228</v>
      </c>
    </row>
    <row r="245" spans="1:30" hidden="1" x14ac:dyDescent="0.25">
      <c r="A245">
        <v>-1</v>
      </c>
      <c r="B245" t="s">
        <v>114</v>
      </c>
      <c r="C245">
        <v>2021</v>
      </c>
      <c r="D245">
        <v>2</v>
      </c>
      <c r="E245" t="s">
        <v>160</v>
      </c>
      <c r="F245" t="s">
        <v>93</v>
      </c>
      <c r="G245" t="s">
        <v>93</v>
      </c>
      <c r="H245" t="s">
        <v>149</v>
      </c>
      <c r="I245" t="s">
        <v>149</v>
      </c>
      <c r="J245" t="s">
        <v>161</v>
      </c>
      <c r="K245" t="s">
        <v>160</v>
      </c>
      <c r="L245" t="s">
        <v>151</v>
      </c>
      <c r="M245">
        <v>559.28757421062789</v>
      </c>
      <c r="N245">
        <v>1</v>
      </c>
      <c r="O245" t="s">
        <v>152</v>
      </c>
      <c r="P245" s="2">
        <v>44656.074522685187</v>
      </c>
      <c r="Q245">
        <v>13</v>
      </c>
      <c r="R245" t="s">
        <v>154</v>
      </c>
      <c r="S245">
        <v>775.769097075687</v>
      </c>
      <c r="T245">
        <v>66251.500169749124</v>
      </c>
      <c r="U245">
        <v>1.238827268682811</v>
      </c>
      <c r="V245">
        <v>7446.9280690592077</v>
      </c>
      <c r="W245" t="s">
        <v>17</v>
      </c>
      <c r="X245">
        <v>94.365807830692859</v>
      </c>
      <c r="Y245">
        <v>66.251500169749121</v>
      </c>
      <c r="Z245">
        <v>73206.077535634395</v>
      </c>
      <c r="AA245">
        <v>9671.3351546223475</v>
      </c>
      <c r="AB245">
        <v>7446.9280690592077</v>
      </c>
      <c r="AC245">
        <v>9671.3351546223475</v>
      </c>
      <c r="AD245" s="2">
        <v>44228</v>
      </c>
    </row>
    <row r="246" spans="1:30" hidden="1" x14ac:dyDescent="0.25">
      <c r="A246">
        <v>-1</v>
      </c>
      <c r="B246" t="s">
        <v>114</v>
      </c>
      <c r="C246">
        <v>2021</v>
      </c>
      <c r="D246">
        <v>2</v>
      </c>
      <c r="E246" t="s">
        <v>160</v>
      </c>
      <c r="F246" t="s">
        <v>93</v>
      </c>
      <c r="G246" t="s">
        <v>93</v>
      </c>
      <c r="H246" t="s">
        <v>149</v>
      </c>
      <c r="I246" t="s">
        <v>149</v>
      </c>
      <c r="J246" t="s">
        <v>161</v>
      </c>
      <c r="K246" t="s">
        <v>160</v>
      </c>
      <c r="L246" t="s">
        <v>151</v>
      </c>
      <c r="M246">
        <v>571.67631573717165</v>
      </c>
      <c r="N246">
        <v>1</v>
      </c>
      <c r="O246" t="s">
        <v>152</v>
      </c>
      <c r="P246" s="2">
        <v>44656.074522685187</v>
      </c>
      <c r="Q246">
        <v>13</v>
      </c>
      <c r="R246" t="s">
        <v>154</v>
      </c>
      <c r="S246">
        <v>775.769097075687</v>
      </c>
      <c r="T246">
        <v>66251.500169749124</v>
      </c>
      <c r="U246">
        <v>1.238827268682811</v>
      </c>
      <c r="V246">
        <v>7446.9280690592077</v>
      </c>
      <c r="W246" t="s">
        <v>17</v>
      </c>
      <c r="X246">
        <v>94.365807830692859</v>
      </c>
      <c r="Y246">
        <v>66.251500169749121</v>
      </c>
      <c r="Z246">
        <v>73206.077535634395</v>
      </c>
      <c r="AA246">
        <v>9671.3351546223475</v>
      </c>
      <c r="AB246">
        <v>7446.9280690592077</v>
      </c>
      <c r="AC246">
        <v>9671.3351546223475</v>
      </c>
      <c r="AD246" s="2">
        <v>44228</v>
      </c>
    </row>
    <row r="247" spans="1:30" hidden="1" x14ac:dyDescent="0.25">
      <c r="A247">
        <v>-1</v>
      </c>
      <c r="B247" t="s">
        <v>114</v>
      </c>
      <c r="C247">
        <v>2021</v>
      </c>
      <c r="D247">
        <v>2</v>
      </c>
      <c r="E247" t="s">
        <v>160</v>
      </c>
      <c r="F247" t="s">
        <v>93</v>
      </c>
      <c r="G247" t="s">
        <v>93</v>
      </c>
      <c r="H247" t="s">
        <v>149</v>
      </c>
      <c r="I247" t="s">
        <v>149</v>
      </c>
      <c r="J247" t="s">
        <v>161</v>
      </c>
      <c r="K247" t="s">
        <v>160</v>
      </c>
      <c r="L247" t="s">
        <v>151</v>
      </c>
      <c r="M247">
        <v>807.21972090635632</v>
      </c>
      <c r="N247">
        <v>1</v>
      </c>
      <c r="O247" t="s">
        <v>152</v>
      </c>
      <c r="P247" s="2">
        <v>44656.074522685187</v>
      </c>
      <c r="Q247">
        <v>13</v>
      </c>
      <c r="R247" t="s">
        <v>154</v>
      </c>
      <c r="S247">
        <v>775.769097075687</v>
      </c>
      <c r="T247">
        <v>66251.500169749124</v>
      </c>
      <c r="U247">
        <v>1.238827268682811</v>
      </c>
      <c r="V247">
        <v>7446.9280690592077</v>
      </c>
      <c r="W247" t="s">
        <v>17</v>
      </c>
      <c r="X247">
        <v>94.365807830692859</v>
      </c>
      <c r="Y247">
        <v>66.251500169749121</v>
      </c>
      <c r="Z247">
        <v>73206.077535634395</v>
      </c>
      <c r="AA247">
        <v>9671.3351546223475</v>
      </c>
      <c r="AB247">
        <v>7446.9280690592077</v>
      </c>
      <c r="AC247">
        <v>9671.3351546223475</v>
      </c>
      <c r="AD247" s="2">
        <v>44228</v>
      </c>
    </row>
    <row r="248" spans="1:30" hidden="1" x14ac:dyDescent="0.25">
      <c r="A248">
        <v>-1</v>
      </c>
      <c r="B248" t="s">
        <v>114</v>
      </c>
      <c r="C248">
        <v>2021</v>
      </c>
      <c r="D248">
        <v>2</v>
      </c>
      <c r="E248" t="s">
        <v>160</v>
      </c>
      <c r="F248" t="s">
        <v>93</v>
      </c>
      <c r="G248" t="s">
        <v>93</v>
      </c>
      <c r="H248" t="s">
        <v>149</v>
      </c>
      <c r="I248" t="s">
        <v>149</v>
      </c>
      <c r="J248" t="s">
        <v>161</v>
      </c>
      <c r="K248" t="s">
        <v>160</v>
      </c>
      <c r="L248" t="s">
        <v>151</v>
      </c>
      <c r="M248">
        <v>559.28757421062789</v>
      </c>
      <c r="N248">
        <v>1</v>
      </c>
      <c r="O248" t="s">
        <v>152</v>
      </c>
      <c r="P248" s="2">
        <v>44656.074522685187</v>
      </c>
      <c r="Q248">
        <v>5</v>
      </c>
      <c r="R248" t="s">
        <v>100</v>
      </c>
      <c r="S248">
        <v>29.612737322453459</v>
      </c>
      <c r="T248">
        <v>2406.0482725251909</v>
      </c>
      <c r="U248">
        <v>4.7288641212550671E-2</v>
      </c>
      <c r="V248">
        <v>278.09013172386659</v>
      </c>
      <c r="W248" t="s">
        <v>17</v>
      </c>
      <c r="X248">
        <v>89.779504230518484</v>
      </c>
      <c r="Y248">
        <v>2.406048272525191</v>
      </c>
      <c r="Z248">
        <v>2658.6168757184432</v>
      </c>
      <c r="AA248">
        <v>361.15601522580079</v>
      </c>
      <c r="AB248">
        <v>278.09013172386659</v>
      </c>
      <c r="AC248">
        <v>361.15601522580079</v>
      </c>
      <c r="AD248" s="2">
        <v>44228</v>
      </c>
    </row>
    <row r="249" spans="1:30" hidden="1" x14ac:dyDescent="0.25">
      <c r="A249">
        <v>-1</v>
      </c>
      <c r="B249" t="s">
        <v>114</v>
      </c>
      <c r="C249">
        <v>2021</v>
      </c>
      <c r="D249">
        <v>2</v>
      </c>
      <c r="E249" t="s">
        <v>160</v>
      </c>
      <c r="F249" t="s">
        <v>93</v>
      </c>
      <c r="G249" t="s">
        <v>93</v>
      </c>
      <c r="H249" t="s">
        <v>149</v>
      </c>
      <c r="I249" t="s">
        <v>149</v>
      </c>
      <c r="J249" t="s">
        <v>161</v>
      </c>
      <c r="K249" t="s">
        <v>160</v>
      </c>
      <c r="L249" t="s">
        <v>151</v>
      </c>
      <c r="M249">
        <v>571.67631573717165</v>
      </c>
      <c r="N249">
        <v>1</v>
      </c>
      <c r="O249" t="s">
        <v>152</v>
      </c>
      <c r="P249" s="2">
        <v>44656.074522685187</v>
      </c>
      <c r="Q249">
        <v>5</v>
      </c>
      <c r="R249" t="s">
        <v>100</v>
      </c>
      <c r="S249">
        <v>29.612737322453459</v>
      </c>
      <c r="T249">
        <v>2406.0482725251909</v>
      </c>
      <c r="U249">
        <v>4.7288641212550671E-2</v>
      </c>
      <c r="V249">
        <v>278.09013172386659</v>
      </c>
      <c r="W249" t="s">
        <v>17</v>
      </c>
      <c r="X249">
        <v>89.779504230518484</v>
      </c>
      <c r="Y249">
        <v>2.406048272525191</v>
      </c>
      <c r="Z249">
        <v>2658.6168757184432</v>
      </c>
      <c r="AA249">
        <v>361.15601522580079</v>
      </c>
      <c r="AB249">
        <v>278.09013172386659</v>
      </c>
      <c r="AC249">
        <v>361.15601522580079</v>
      </c>
      <c r="AD249" s="2">
        <v>44228</v>
      </c>
    </row>
    <row r="250" spans="1:30" hidden="1" x14ac:dyDescent="0.25">
      <c r="A250">
        <v>-1</v>
      </c>
      <c r="B250" t="s">
        <v>114</v>
      </c>
      <c r="C250">
        <v>2021</v>
      </c>
      <c r="D250">
        <v>2</v>
      </c>
      <c r="E250" t="s">
        <v>160</v>
      </c>
      <c r="F250" t="s">
        <v>93</v>
      </c>
      <c r="G250" t="s">
        <v>93</v>
      </c>
      <c r="H250" t="s">
        <v>149</v>
      </c>
      <c r="I250" t="s">
        <v>149</v>
      </c>
      <c r="J250" t="s">
        <v>161</v>
      </c>
      <c r="K250" t="s">
        <v>160</v>
      </c>
      <c r="L250" t="s">
        <v>151</v>
      </c>
      <c r="M250">
        <v>807.21972090635632</v>
      </c>
      <c r="N250">
        <v>1</v>
      </c>
      <c r="O250" t="s">
        <v>152</v>
      </c>
      <c r="P250" s="2">
        <v>44656.074522685187</v>
      </c>
      <c r="Q250">
        <v>5</v>
      </c>
      <c r="R250" t="s">
        <v>100</v>
      </c>
      <c r="S250">
        <v>29.612737322453459</v>
      </c>
      <c r="T250">
        <v>2406.0482725251909</v>
      </c>
      <c r="U250">
        <v>4.7288641212550671E-2</v>
      </c>
      <c r="V250">
        <v>278.09013172386659</v>
      </c>
      <c r="W250" t="s">
        <v>17</v>
      </c>
      <c r="X250">
        <v>89.779504230518484</v>
      </c>
      <c r="Y250">
        <v>2.406048272525191</v>
      </c>
      <c r="Z250">
        <v>2658.6168757184432</v>
      </c>
      <c r="AA250">
        <v>361.15601522580079</v>
      </c>
      <c r="AB250">
        <v>278.09013172386659</v>
      </c>
      <c r="AC250">
        <v>361.15601522580079</v>
      </c>
      <c r="AD250" s="2">
        <v>44228</v>
      </c>
    </row>
    <row r="251" spans="1:30" hidden="1" x14ac:dyDescent="0.25">
      <c r="A251">
        <v>-1</v>
      </c>
      <c r="B251" t="s">
        <v>114</v>
      </c>
      <c r="C251">
        <v>2021</v>
      </c>
      <c r="D251">
        <v>2</v>
      </c>
      <c r="E251" t="s">
        <v>160</v>
      </c>
      <c r="F251" t="s">
        <v>93</v>
      </c>
      <c r="G251" t="s">
        <v>93</v>
      </c>
      <c r="H251" t="s">
        <v>149</v>
      </c>
      <c r="I251" t="s">
        <v>149</v>
      </c>
      <c r="J251" t="s">
        <v>161</v>
      </c>
      <c r="K251" t="s">
        <v>160</v>
      </c>
      <c r="L251" t="s">
        <v>151</v>
      </c>
      <c r="M251">
        <v>559.28757421062789</v>
      </c>
      <c r="N251">
        <v>1</v>
      </c>
      <c r="O251" t="s">
        <v>152</v>
      </c>
      <c r="P251" s="2">
        <v>44656.074522685187</v>
      </c>
      <c r="Q251">
        <v>11</v>
      </c>
      <c r="R251" t="s">
        <v>101</v>
      </c>
      <c r="S251">
        <v>22.168284882557021</v>
      </c>
      <c r="T251">
        <v>1934.3430697157251</v>
      </c>
      <c r="U251">
        <v>3.5400579780714307E-2</v>
      </c>
      <c r="V251">
        <v>211.51498772456571</v>
      </c>
      <c r="W251" t="s">
        <v>17</v>
      </c>
      <c r="X251">
        <v>96.416825589707358</v>
      </c>
      <c r="Y251">
        <v>1.9343430697157249</v>
      </c>
      <c r="Z251">
        <v>2137.3956571444469</v>
      </c>
      <c r="AA251">
        <v>274.69478925268271</v>
      </c>
      <c r="AB251">
        <v>211.51498772456571</v>
      </c>
      <c r="AC251">
        <v>274.69478925268271</v>
      </c>
      <c r="AD251" s="2">
        <v>44228</v>
      </c>
    </row>
    <row r="252" spans="1:30" hidden="1" x14ac:dyDescent="0.25">
      <c r="A252">
        <v>-1</v>
      </c>
      <c r="B252" t="s">
        <v>114</v>
      </c>
      <c r="C252">
        <v>2021</v>
      </c>
      <c r="D252">
        <v>2</v>
      </c>
      <c r="E252" t="s">
        <v>160</v>
      </c>
      <c r="F252" t="s">
        <v>93</v>
      </c>
      <c r="G252" t="s">
        <v>93</v>
      </c>
      <c r="H252" t="s">
        <v>149</v>
      </c>
      <c r="I252" t="s">
        <v>149</v>
      </c>
      <c r="J252" t="s">
        <v>161</v>
      </c>
      <c r="K252" t="s">
        <v>160</v>
      </c>
      <c r="L252" t="s">
        <v>151</v>
      </c>
      <c r="M252">
        <v>571.67631573717165</v>
      </c>
      <c r="N252">
        <v>1</v>
      </c>
      <c r="O252" t="s">
        <v>152</v>
      </c>
      <c r="P252" s="2">
        <v>44656.074522685187</v>
      </c>
      <c r="Q252">
        <v>11</v>
      </c>
      <c r="R252" t="s">
        <v>101</v>
      </c>
      <c r="S252">
        <v>22.168284882557021</v>
      </c>
      <c r="T252">
        <v>1934.3430697157251</v>
      </c>
      <c r="U252">
        <v>3.5400579780714307E-2</v>
      </c>
      <c r="V252">
        <v>211.51498772456571</v>
      </c>
      <c r="W252" t="s">
        <v>17</v>
      </c>
      <c r="X252">
        <v>96.416825589707358</v>
      </c>
      <c r="Y252">
        <v>1.9343430697157249</v>
      </c>
      <c r="Z252">
        <v>2137.3956571444469</v>
      </c>
      <c r="AA252">
        <v>274.69478925268271</v>
      </c>
      <c r="AB252">
        <v>211.51498772456571</v>
      </c>
      <c r="AC252">
        <v>274.69478925268271</v>
      </c>
      <c r="AD252" s="2">
        <v>44228</v>
      </c>
    </row>
    <row r="253" spans="1:30" hidden="1" x14ac:dyDescent="0.25">
      <c r="A253">
        <v>-1</v>
      </c>
      <c r="B253" t="s">
        <v>114</v>
      </c>
      <c r="C253">
        <v>2021</v>
      </c>
      <c r="D253">
        <v>2</v>
      </c>
      <c r="E253" t="s">
        <v>160</v>
      </c>
      <c r="F253" t="s">
        <v>93</v>
      </c>
      <c r="G253" t="s">
        <v>93</v>
      </c>
      <c r="H253" t="s">
        <v>149</v>
      </c>
      <c r="I253" t="s">
        <v>149</v>
      </c>
      <c r="J253" t="s">
        <v>161</v>
      </c>
      <c r="K253" t="s">
        <v>160</v>
      </c>
      <c r="L253" t="s">
        <v>151</v>
      </c>
      <c r="M253">
        <v>807.21972090635632</v>
      </c>
      <c r="N253">
        <v>1</v>
      </c>
      <c r="O253" t="s">
        <v>152</v>
      </c>
      <c r="P253" s="2">
        <v>44656.074522685187</v>
      </c>
      <c r="Q253">
        <v>11</v>
      </c>
      <c r="R253" t="s">
        <v>101</v>
      </c>
      <c r="S253">
        <v>22.168284882557021</v>
      </c>
      <c r="T253">
        <v>1934.3430697157251</v>
      </c>
      <c r="U253">
        <v>3.5400579780714307E-2</v>
      </c>
      <c r="V253">
        <v>211.51498772456571</v>
      </c>
      <c r="W253" t="s">
        <v>17</v>
      </c>
      <c r="X253">
        <v>96.416825589707358</v>
      </c>
      <c r="Y253">
        <v>1.9343430697157249</v>
      </c>
      <c r="Z253">
        <v>2137.3956571444469</v>
      </c>
      <c r="AA253">
        <v>274.69478925268271</v>
      </c>
      <c r="AB253">
        <v>211.51498772456571</v>
      </c>
      <c r="AC253">
        <v>274.69478925268271</v>
      </c>
      <c r="AD253" s="2">
        <v>44228</v>
      </c>
    </row>
    <row r="254" spans="1:30" hidden="1" x14ac:dyDescent="0.25">
      <c r="A254">
        <v>-1</v>
      </c>
      <c r="B254" t="s">
        <v>118</v>
      </c>
      <c r="C254">
        <v>2021</v>
      </c>
      <c r="D254">
        <v>3</v>
      </c>
      <c r="E254" t="s">
        <v>148</v>
      </c>
      <c r="F254" t="s">
        <v>93</v>
      </c>
      <c r="G254" t="s">
        <v>93</v>
      </c>
      <c r="H254" t="s">
        <v>149</v>
      </c>
      <c r="I254" t="s">
        <v>149</v>
      </c>
      <c r="J254" t="s">
        <v>161</v>
      </c>
      <c r="K254" t="s">
        <v>148</v>
      </c>
      <c r="L254" t="s">
        <v>151</v>
      </c>
      <c r="M254">
        <v>1919.29282858645</v>
      </c>
      <c r="N254">
        <v>4</v>
      </c>
      <c r="O254" t="s">
        <v>152</v>
      </c>
      <c r="P254" s="2">
        <v>44656.074522685187</v>
      </c>
      <c r="Q254">
        <v>31</v>
      </c>
      <c r="R254" t="s">
        <v>153</v>
      </c>
      <c r="S254">
        <v>14.85489517070229</v>
      </c>
      <c r="T254">
        <v>1336.6632255822899</v>
      </c>
      <c r="U254">
        <v>2.806474928077175E-2</v>
      </c>
      <c r="V254">
        <v>171.6499064187166</v>
      </c>
      <c r="W254" t="s">
        <v>17</v>
      </c>
      <c r="X254">
        <v>99.426884060610121</v>
      </c>
      <c r="Y254">
        <v>1.3366632255822899</v>
      </c>
      <c r="Z254">
        <v>1476.975939869933</v>
      </c>
      <c r="AA254">
        <v>222.9219563879436</v>
      </c>
      <c r="AB254">
        <v>171.6499064187166</v>
      </c>
      <c r="AC254">
        <v>222.9219563879436</v>
      </c>
      <c r="AD254" s="2">
        <v>44256</v>
      </c>
    </row>
    <row r="255" spans="1:30" hidden="1" x14ac:dyDescent="0.25">
      <c r="A255">
        <v>-1</v>
      </c>
      <c r="B255" t="s">
        <v>118</v>
      </c>
      <c r="C255">
        <v>2021</v>
      </c>
      <c r="D255">
        <v>3</v>
      </c>
      <c r="E255" t="s">
        <v>148</v>
      </c>
      <c r="F255" t="s">
        <v>93</v>
      </c>
      <c r="G255" t="s">
        <v>93</v>
      </c>
      <c r="H255" t="s">
        <v>149</v>
      </c>
      <c r="I255" t="s">
        <v>149</v>
      </c>
      <c r="J255" t="s">
        <v>161</v>
      </c>
      <c r="K255" t="s">
        <v>148</v>
      </c>
      <c r="L255" t="s">
        <v>151</v>
      </c>
      <c r="M255">
        <v>2186.571368769587</v>
      </c>
      <c r="N255">
        <v>4</v>
      </c>
      <c r="O255" t="s">
        <v>152</v>
      </c>
      <c r="P255" s="2">
        <v>44656.074522685187</v>
      </c>
      <c r="Q255">
        <v>31</v>
      </c>
      <c r="R255" t="s">
        <v>153</v>
      </c>
      <c r="S255">
        <v>14.85489517070229</v>
      </c>
      <c r="T255">
        <v>1336.6632255822899</v>
      </c>
      <c r="U255">
        <v>2.806474928077175E-2</v>
      </c>
      <c r="V255">
        <v>171.6499064187166</v>
      </c>
      <c r="W255" t="s">
        <v>17</v>
      </c>
      <c r="X255">
        <v>99.426884060610121</v>
      </c>
      <c r="Y255">
        <v>1.3366632255822899</v>
      </c>
      <c r="Z255">
        <v>1476.975939869933</v>
      </c>
      <c r="AA255">
        <v>222.9219563879436</v>
      </c>
      <c r="AB255">
        <v>171.6499064187166</v>
      </c>
      <c r="AC255">
        <v>222.9219563879436</v>
      </c>
      <c r="AD255" s="2">
        <v>44256</v>
      </c>
    </row>
    <row r="256" spans="1:30" hidden="1" x14ac:dyDescent="0.25">
      <c r="A256">
        <v>-1</v>
      </c>
      <c r="B256" t="s">
        <v>118</v>
      </c>
      <c r="C256">
        <v>2021</v>
      </c>
      <c r="D256">
        <v>3</v>
      </c>
      <c r="E256" t="s">
        <v>148</v>
      </c>
      <c r="F256" t="s">
        <v>93</v>
      </c>
      <c r="G256" t="s">
        <v>93</v>
      </c>
      <c r="H256" t="s">
        <v>149</v>
      </c>
      <c r="I256" t="s">
        <v>149</v>
      </c>
      <c r="J256" t="s">
        <v>161</v>
      </c>
      <c r="K256" t="s">
        <v>148</v>
      </c>
      <c r="L256" t="s">
        <v>151</v>
      </c>
      <c r="M256">
        <v>2211.5283155985389</v>
      </c>
      <c r="N256">
        <v>3</v>
      </c>
      <c r="O256" t="s">
        <v>152</v>
      </c>
      <c r="P256" s="2">
        <v>44656.074522685187</v>
      </c>
      <c r="Q256">
        <v>31</v>
      </c>
      <c r="R256" t="s">
        <v>153</v>
      </c>
      <c r="S256">
        <v>14.85489517070229</v>
      </c>
      <c r="T256">
        <v>1336.6632255822899</v>
      </c>
      <c r="U256">
        <v>2.806474928077175E-2</v>
      </c>
      <c r="V256">
        <v>171.6499064187166</v>
      </c>
      <c r="W256" t="s">
        <v>17</v>
      </c>
      <c r="X256">
        <v>99.426884060610121</v>
      </c>
      <c r="Y256">
        <v>1.3366632255822899</v>
      </c>
      <c r="Z256">
        <v>1476.975939869933</v>
      </c>
      <c r="AA256">
        <v>222.9219563879436</v>
      </c>
      <c r="AB256">
        <v>171.6499064187166</v>
      </c>
      <c r="AC256">
        <v>222.9219563879436</v>
      </c>
      <c r="AD256" s="2">
        <v>44256</v>
      </c>
    </row>
    <row r="257" spans="1:30" hidden="1" x14ac:dyDescent="0.25">
      <c r="A257">
        <v>-1</v>
      </c>
      <c r="B257" t="s">
        <v>118</v>
      </c>
      <c r="C257">
        <v>2021</v>
      </c>
      <c r="D257">
        <v>3</v>
      </c>
      <c r="E257" t="s">
        <v>148</v>
      </c>
      <c r="F257" t="s">
        <v>93</v>
      </c>
      <c r="G257" t="s">
        <v>93</v>
      </c>
      <c r="H257" t="s">
        <v>149</v>
      </c>
      <c r="I257" t="s">
        <v>149</v>
      </c>
      <c r="J257" t="s">
        <v>161</v>
      </c>
      <c r="K257" t="s">
        <v>148</v>
      </c>
      <c r="L257" t="s">
        <v>151</v>
      </c>
      <c r="M257">
        <v>1919.29282858645</v>
      </c>
      <c r="N257">
        <v>4</v>
      </c>
      <c r="O257" t="s">
        <v>152</v>
      </c>
      <c r="P257" s="2">
        <v>44656.074522685187</v>
      </c>
      <c r="Q257">
        <v>13</v>
      </c>
      <c r="R257" t="s">
        <v>154</v>
      </c>
      <c r="S257">
        <v>1853.8421471816259</v>
      </c>
      <c r="T257">
        <v>158320.07718748919</v>
      </c>
      <c r="U257">
        <v>3.5023885708323181</v>
      </c>
      <c r="V257">
        <v>21053.811468498909</v>
      </c>
      <c r="W257" t="s">
        <v>17</v>
      </c>
      <c r="X257">
        <v>94.365807830692873</v>
      </c>
      <c r="Y257">
        <v>158.3200771874892</v>
      </c>
      <c r="Z257">
        <v>174939.31180938031</v>
      </c>
      <c r="AA257">
        <v>27342.612296751831</v>
      </c>
      <c r="AB257">
        <v>21053.811468498909</v>
      </c>
      <c r="AC257">
        <v>27342.612296751831</v>
      </c>
      <c r="AD257" s="2">
        <v>44256</v>
      </c>
    </row>
    <row r="258" spans="1:30" hidden="1" x14ac:dyDescent="0.25">
      <c r="A258">
        <v>-1</v>
      </c>
      <c r="B258" t="s">
        <v>118</v>
      </c>
      <c r="C258">
        <v>2021</v>
      </c>
      <c r="D258">
        <v>3</v>
      </c>
      <c r="E258" t="s">
        <v>148</v>
      </c>
      <c r="F258" t="s">
        <v>93</v>
      </c>
      <c r="G258" t="s">
        <v>93</v>
      </c>
      <c r="H258" t="s">
        <v>149</v>
      </c>
      <c r="I258" t="s">
        <v>149</v>
      </c>
      <c r="J258" t="s">
        <v>161</v>
      </c>
      <c r="K258" t="s">
        <v>148</v>
      </c>
      <c r="L258" t="s">
        <v>151</v>
      </c>
      <c r="M258">
        <v>2186.571368769587</v>
      </c>
      <c r="N258">
        <v>4</v>
      </c>
      <c r="O258" t="s">
        <v>152</v>
      </c>
      <c r="P258" s="2">
        <v>44656.074522685187</v>
      </c>
      <c r="Q258">
        <v>13</v>
      </c>
      <c r="R258" t="s">
        <v>154</v>
      </c>
      <c r="S258">
        <v>1853.8421471816259</v>
      </c>
      <c r="T258">
        <v>158320.07718748919</v>
      </c>
      <c r="U258">
        <v>3.5023885708323181</v>
      </c>
      <c r="V258">
        <v>21053.811468498909</v>
      </c>
      <c r="W258" t="s">
        <v>17</v>
      </c>
      <c r="X258">
        <v>94.365807830692873</v>
      </c>
      <c r="Y258">
        <v>158.3200771874892</v>
      </c>
      <c r="Z258">
        <v>174939.31180938031</v>
      </c>
      <c r="AA258">
        <v>27342.612296751831</v>
      </c>
      <c r="AB258">
        <v>21053.811468498909</v>
      </c>
      <c r="AC258">
        <v>27342.612296751831</v>
      </c>
      <c r="AD258" s="2">
        <v>44256</v>
      </c>
    </row>
    <row r="259" spans="1:30" hidden="1" x14ac:dyDescent="0.25">
      <c r="A259">
        <v>-1</v>
      </c>
      <c r="B259" t="s">
        <v>118</v>
      </c>
      <c r="C259">
        <v>2021</v>
      </c>
      <c r="D259">
        <v>3</v>
      </c>
      <c r="E259" t="s">
        <v>148</v>
      </c>
      <c r="F259" t="s">
        <v>93</v>
      </c>
      <c r="G259" t="s">
        <v>93</v>
      </c>
      <c r="H259" t="s">
        <v>149</v>
      </c>
      <c r="I259" t="s">
        <v>149</v>
      </c>
      <c r="J259" t="s">
        <v>161</v>
      </c>
      <c r="K259" t="s">
        <v>148</v>
      </c>
      <c r="L259" t="s">
        <v>151</v>
      </c>
      <c r="M259">
        <v>2211.5283155985389</v>
      </c>
      <c r="N259">
        <v>3</v>
      </c>
      <c r="O259" t="s">
        <v>152</v>
      </c>
      <c r="P259" s="2">
        <v>44656.074522685187</v>
      </c>
      <c r="Q259">
        <v>13</v>
      </c>
      <c r="R259" t="s">
        <v>154</v>
      </c>
      <c r="S259">
        <v>1853.8421471816259</v>
      </c>
      <c r="T259">
        <v>158320.07718748919</v>
      </c>
      <c r="U259">
        <v>3.5023885708323181</v>
      </c>
      <c r="V259">
        <v>21053.811468498909</v>
      </c>
      <c r="W259" t="s">
        <v>17</v>
      </c>
      <c r="X259">
        <v>94.365807830692873</v>
      </c>
      <c r="Y259">
        <v>158.3200771874892</v>
      </c>
      <c r="Z259">
        <v>174939.31180938031</v>
      </c>
      <c r="AA259">
        <v>27342.612296751831</v>
      </c>
      <c r="AB259">
        <v>21053.811468498909</v>
      </c>
      <c r="AC259">
        <v>27342.612296751831</v>
      </c>
      <c r="AD259" s="2">
        <v>44256</v>
      </c>
    </row>
    <row r="260" spans="1:30" hidden="1" x14ac:dyDescent="0.25">
      <c r="A260">
        <v>-1</v>
      </c>
      <c r="B260" t="s">
        <v>118</v>
      </c>
      <c r="C260">
        <v>2021</v>
      </c>
      <c r="D260">
        <v>3</v>
      </c>
      <c r="E260" t="s">
        <v>148</v>
      </c>
      <c r="F260" t="s">
        <v>93</v>
      </c>
      <c r="G260" t="s">
        <v>93</v>
      </c>
      <c r="H260" t="s">
        <v>149</v>
      </c>
      <c r="I260" t="s">
        <v>149</v>
      </c>
      <c r="J260" t="s">
        <v>161</v>
      </c>
      <c r="K260" t="s">
        <v>148</v>
      </c>
      <c r="L260" t="s">
        <v>151</v>
      </c>
      <c r="M260">
        <v>1919.29282858645</v>
      </c>
      <c r="N260">
        <v>4</v>
      </c>
      <c r="O260" t="s">
        <v>152</v>
      </c>
      <c r="P260" s="2">
        <v>44656.074522685187</v>
      </c>
      <c r="Q260">
        <v>5</v>
      </c>
      <c r="R260" t="s">
        <v>100</v>
      </c>
      <c r="S260">
        <v>62.789338112238973</v>
      </c>
      <c r="T260">
        <v>5101.6620602446883</v>
      </c>
      <c r="U260">
        <v>0.11862534278269719</v>
      </c>
      <c r="V260">
        <v>697.59960012286786</v>
      </c>
      <c r="W260" t="s">
        <v>17</v>
      </c>
      <c r="X260">
        <v>89.779504230518484</v>
      </c>
      <c r="Y260">
        <v>5.1016620602446876</v>
      </c>
      <c r="Z260">
        <v>5637.1956466792126</v>
      </c>
      <c r="AA260">
        <v>905.97350665307511</v>
      </c>
      <c r="AB260">
        <v>697.59960012286786</v>
      </c>
      <c r="AC260">
        <v>905.97350665307511</v>
      </c>
      <c r="AD260" s="2">
        <v>44256</v>
      </c>
    </row>
    <row r="261" spans="1:30" hidden="1" x14ac:dyDescent="0.25">
      <c r="A261">
        <v>-1</v>
      </c>
      <c r="B261" t="s">
        <v>118</v>
      </c>
      <c r="C261">
        <v>2021</v>
      </c>
      <c r="D261">
        <v>3</v>
      </c>
      <c r="E261" t="s">
        <v>148</v>
      </c>
      <c r="F261" t="s">
        <v>93</v>
      </c>
      <c r="G261" t="s">
        <v>93</v>
      </c>
      <c r="H261" t="s">
        <v>149</v>
      </c>
      <c r="I261" t="s">
        <v>149</v>
      </c>
      <c r="J261" t="s">
        <v>161</v>
      </c>
      <c r="K261" t="s">
        <v>148</v>
      </c>
      <c r="L261" t="s">
        <v>151</v>
      </c>
      <c r="M261">
        <v>2186.571368769587</v>
      </c>
      <c r="N261">
        <v>4</v>
      </c>
      <c r="O261" t="s">
        <v>152</v>
      </c>
      <c r="P261" s="2">
        <v>44656.074522685187</v>
      </c>
      <c r="Q261">
        <v>5</v>
      </c>
      <c r="R261" t="s">
        <v>100</v>
      </c>
      <c r="S261">
        <v>62.789338112238973</v>
      </c>
      <c r="T261">
        <v>5101.6620602446883</v>
      </c>
      <c r="U261">
        <v>0.11862534278269719</v>
      </c>
      <c r="V261">
        <v>697.59960012286786</v>
      </c>
      <c r="W261" t="s">
        <v>17</v>
      </c>
      <c r="X261">
        <v>89.779504230518484</v>
      </c>
      <c r="Y261">
        <v>5.1016620602446876</v>
      </c>
      <c r="Z261">
        <v>5637.1956466792126</v>
      </c>
      <c r="AA261">
        <v>905.97350665307511</v>
      </c>
      <c r="AB261">
        <v>697.59960012286786</v>
      </c>
      <c r="AC261">
        <v>905.97350665307511</v>
      </c>
      <c r="AD261" s="2">
        <v>44256</v>
      </c>
    </row>
    <row r="262" spans="1:30" hidden="1" x14ac:dyDescent="0.25">
      <c r="A262">
        <v>-1</v>
      </c>
      <c r="B262" t="s">
        <v>118</v>
      </c>
      <c r="C262">
        <v>2021</v>
      </c>
      <c r="D262">
        <v>3</v>
      </c>
      <c r="E262" t="s">
        <v>148</v>
      </c>
      <c r="F262" t="s">
        <v>93</v>
      </c>
      <c r="G262" t="s">
        <v>93</v>
      </c>
      <c r="H262" t="s">
        <v>149</v>
      </c>
      <c r="I262" t="s">
        <v>149</v>
      </c>
      <c r="J262" t="s">
        <v>161</v>
      </c>
      <c r="K262" t="s">
        <v>148</v>
      </c>
      <c r="L262" t="s">
        <v>151</v>
      </c>
      <c r="M262">
        <v>2211.5283155985389</v>
      </c>
      <c r="N262">
        <v>3</v>
      </c>
      <c r="O262" t="s">
        <v>152</v>
      </c>
      <c r="P262" s="2">
        <v>44656.074522685187</v>
      </c>
      <c r="Q262">
        <v>5</v>
      </c>
      <c r="R262" t="s">
        <v>100</v>
      </c>
      <c r="S262">
        <v>62.789338112238973</v>
      </c>
      <c r="T262">
        <v>5101.6620602446883</v>
      </c>
      <c r="U262">
        <v>0.11862534278269719</v>
      </c>
      <c r="V262">
        <v>697.59960012286786</v>
      </c>
      <c r="W262" t="s">
        <v>17</v>
      </c>
      <c r="X262">
        <v>89.779504230518484</v>
      </c>
      <c r="Y262">
        <v>5.1016620602446876</v>
      </c>
      <c r="Z262">
        <v>5637.1956466792126</v>
      </c>
      <c r="AA262">
        <v>905.97350665307511</v>
      </c>
      <c r="AB262">
        <v>697.59960012286786</v>
      </c>
      <c r="AC262">
        <v>905.97350665307511</v>
      </c>
      <c r="AD262" s="2">
        <v>44256</v>
      </c>
    </row>
    <row r="263" spans="1:30" hidden="1" x14ac:dyDescent="0.25">
      <c r="A263">
        <v>-1</v>
      </c>
      <c r="B263" t="s">
        <v>118</v>
      </c>
      <c r="C263">
        <v>2021</v>
      </c>
      <c r="D263">
        <v>3</v>
      </c>
      <c r="E263" t="s">
        <v>148</v>
      </c>
      <c r="F263" t="s">
        <v>93</v>
      </c>
      <c r="G263" t="s">
        <v>93</v>
      </c>
      <c r="H263" t="s">
        <v>149</v>
      </c>
      <c r="I263" t="s">
        <v>149</v>
      </c>
      <c r="J263" t="s">
        <v>161</v>
      </c>
      <c r="K263" t="s">
        <v>148</v>
      </c>
      <c r="L263" t="s">
        <v>151</v>
      </c>
      <c r="M263">
        <v>1919.29282858645</v>
      </c>
      <c r="N263">
        <v>4</v>
      </c>
      <c r="O263" t="s">
        <v>152</v>
      </c>
      <c r="P263" s="2">
        <v>44656.074522685187</v>
      </c>
      <c r="Q263">
        <v>11</v>
      </c>
      <c r="R263" t="s">
        <v>101</v>
      </c>
      <c r="S263">
        <v>47.371642009751866</v>
      </c>
      <c r="T263">
        <v>4133.5181277248312</v>
      </c>
      <c r="U263">
        <v>8.9497316591249126E-2</v>
      </c>
      <c r="V263">
        <v>534.73767767194647</v>
      </c>
      <c r="W263" t="s">
        <v>17</v>
      </c>
      <c r="X263">
        <v>96.416825589707358</v>
      </c>
      <c r="Y263">
        <v>4.1335181277248321</v>
      </c>
      <c r="Z263">
        <v>4567.4233455522999</v>
      </c>
      <c r="AA263">
        <v>694.46451645707327</v>
      </c>
      <c r="AB263">
        <v>534.73767767194647</v>
      </c>
      <c r="AC263">
        <v>694.46451645707327</v>
      </c>
      <c r="AD263" s="2">
        <v>44256</v>
      </c>
    </row>
    <row r="264" spans="1:30" hidden="1" x14ac:dyDescent="0.25">
      <c r="A264">
        <v>-1</v>
      </c>
      <c r="B264" t="s">
        <v>118</v>
      </c>
      <c r="C264">
        <v>2021</v>
      </c>
      <c r="D264">
        <v>3</v>
      </c>
      <c r="E264" t="s">
        <v>148</v>
      </c>
      <c r="F264" t="s">
        <v>93</v>
      </c>
      <c r="G264" t="s">
        <v>93</v>
      </c>
      <c r="H264" t="s">
        <v>149</v>
      </c>
      <c r="I264" t="s">
        <v>149</v>
      </c>
      <c r="J264" t="s">
        <v>161</v>
      </c>
      <c r="K264" t="s">
        <v>148</v>
      </c>
      <c r="L264" t="s">
        <v>151</v>
      </c>
      <c r="M264">
        <v>2186.571368769587</v>
      </c>
      <c r="N264">
        <v>4</v>
      </c>
      <c r="O264" t="s">
        <v>152</v>
      </c>
      <c r="P264" s="2">
        <v>44656.074522685187</v>
      </c>
      <c r="Q264">
        <v>11</v>
      </c>
      <c r="R264" t="s">
        <v>101</v>
      </c>
      <c r="S264">
        <v>47.371642009751866</v>
      </c>
      <c r="T264">
        <v>4133.5181277248312</v>
      </c>
      <c r="U264">
        <v>8.9497316591249126E-2</v>
      </c>
      <c r="V264">
        <v>534.73767767194647</v>
      </c>
      <c r="W264" t="s">
        <v>17</v>
      </c>
      <c r="X264">
        <v>96.416825589707358</v>
      </c>
      <c r="Y264">
        <v>4.1335181277248321</v>
      </c>
      <c r="Z264">
        <v>4567.4233455522999</v>
      </c>
      <c r="AA264">
        <v>694.46451645707327</v>
      </c>
      <c r="AB264">
        <v>534.73767767194647</v>
      </c>
      <c r="AC264">
        <v>694.46451645707327</v>
      </c>
      <c r="AD264" s="2">
        <v>44256</v>
      </c>
    </row>
    <row r="265" spans="1:30" hidden="1" x14ac:dyDescent="0.25">
      <c r="A265">
        <v>-1</v>
      </c>
      <c r="B265" t="s">
        <v>118</v>
      </c>
      <c r="C265">
        <v>2021</v>
      </c>
      <c r="D265">
        <v>3</v>
      </c>
      <c r="E265" t="s">
        <v>148</v>
      </c>
      <c r="F265" t="s">
        <v>93</v>
      </c>
      <c r="G265" t="s">
        <v>93</v>
      </c>
      <c r="H265" t="s">
        <v>149</v>
      </c>
      <c r="I265" t="s">
        <v>149</v>
      </c>
      <c r="J265" t="s">
        <v>161</v>
      </c>
      <c r="K265" t="s">
        <v>148</v>
      </c>
      <c r="L265" t="s">
        <v>151</v>
      </c>
      <c r="M265">
        <v>2211.5283155985389</v>
      </c>
      <c r="N265">
        <v>3</v>
      </c>
      <c r="O265" t="s">
        <v>152</v>
      </c>
      <c r="P265" s="2">
        <v>44656.074522685187</v>
      </c>
      <c r="Q265">
        <v>11</v>
      </c>
      <c r="R265" t="s">
        <v>101</v>
      </c>
      <c r="S265">
        <v>47.371642009751866</v>
      </c>
      <c r="T265">
        <v>4133.5181277248312</v>
      </c>
      <c r="U265">
        <v>8.9497316591249126E-2</v>
      </c>
      <c r="V265">
        <v>534.73767767194647</v>
      </c>
      <c r="W265" t="s">
        <v>17</v>
      </c>
      <c r="X265">
        <v>96.416825589707358</v>
      </c>
      <c r="Y265">
        <v>4.1335181277248321</v>
      </c>
      <c r="Z265">
        <v>4567.4233455522999</v>
      </c>
      <c r="AA265">
        <v>694.46451645707327</v>
      </c>
      <c r="AB265">
        <v>534.73767767194647</v>
      </c>
      <c r="AC265">
        <v>694.46451645707327</v>
      </c>
      <c r="AD265" s="2">
        <v>44256</v>
      </c>
    </row>
    <row r="266" spans="1:30" hidden="1" x14ac:dyDescent="0.25">
      <c r="A266">
        <v>-1</v>
      </c>
      <c r="B266" t="s">
        <v>118</v>
      </c>
      <c r="C266">
        <v>2021</v>
      </c>
      <c r="D266">
        <v>3</v>
      </c>
      <c r="E266" t="s">
        <v>155</v>
      </c>
      <c r="F266" t="s">
        <v>93</v>
      </c>
      <c r="G266" t="s">
        <v>93</v>
      </c>
      <c r="H266" t="s">
        <v>149</v>
      </c>
      <c r="I266" t="s">
        <v>149</v>
      </c>
      <c r="J266" t="s">
        <v>161</v>
      </c>
      <c r="K266" t="s">
        <v>155</v>
      </c>
      <c r="L266" t="s">
        <v>151</v>
      </c>
      <c r="M266">
        <v>1324.352287473484</v>
      </c>
      <c r="N266">
        <v>2</v>
      </c>
      <c r="O266" t="s">
        <v>152</v>
      </c>
      <c r="P266" s="2">
        <v>44656.074522685187</v>
      </c>
      <c r="Q266">
        <v>31</v>
      </c>
      <c r="R266" t="s">
        <v>153</v>
      </c>
      <c r="S266">
        <v>11.013328832364939</v>
      </c>
      <c r="T266">
        <v>990.99397688791578</v>
      </c>
      <c r="U266">
        <v>2.0807034238559639E-2</v>
      </c>
      <c r="V266">
        <v>127.2601954918152</v>
      </c>
      <c r="W266" t="s">
        <v>17</v>
      </c>
      <c r="X266">
        <v>99.426884060610121</v>
      </c>
      <c r="Y266">
        <v>0.9909939768879158</v>
      </c>
      <c r="Z266">
        <v>1095.020968936924</v>
      </c>
      <c r="AA266">
        <v>165.27298115820159</v>
      </c>
      <c r="AB266">
        <v>127.2601954918152</v>
      </c>
      <c r="AC266">
        <v>165.27298115820159</v>
      </c>
      <c r="AD266" s="2">
        <v>44256</v>
      </c>
    </row>
    <row r="267" spans="1:30" hidden="1" x14ac:dyDescent="0.25">
      <c r="A267">
        <v>-1</v>
      </c>
      <c r="B267" t="s">
        <v>118</v>
      </c>
      <c r="C267">
        <v>2021</v>
      </c>
      <c r="D267">
        <v>3</v>
      </c>
      <c r="E267" t="s">
        <v>155</v>
      </c>
      <c r="F267" t="s">
        <v>93</v>
      </c>
      <c r="G267" t="s">
        <v>93</v>
      </c>
      <c r="H267" t="s">
        <v>149</v>
      </c>
      <c r="I267" t="s">
        <v>149</v>
      </c>
      <c r="J267" t="s">
        <v>161</v>
      </c>
      <c r="K267" t="s">
        <v>155</v>
      </c>
      <c r="L267" t="s">
        <v>151</v>
      </c>
      <c r="M267">
        <v>1502.0027240024231</v>
      </c>
      <c r="N267">
        <v>2</v>
      </c>
      <c r="O267" t="s">
        <v>152</v>
      </c>
      <c r="P267" s="2">
        <v>44656.074522685187</v>
      </c>
      <c r="Q267">
        <v>31</v>
      </c>
      <c r="R267" t="s">
        <v>153</v>
      </c>
      <c r="S267">
        <v>11.013328832364939</v>
      </c>
      <c r="T267">
        <v>990.99397688791578</v>
      </c>
      <c r="U267">
        <v>2.0807034238559639E-2</v>
      </c>
      <c r="V267">
        <v>127.2601954918152</v>
      </c>
      <c r="W267" t="s">
        <v>17</v>
      </c>
      <c r="X267">
        <v>99.426884060610121</v>
      </c>
      <c r="Y267">
        <v>0.9909939768879158</v>
      </c>
      <c r="Z267">
        <v>1095.020968936924</v>
      </c>
      <c r="AA267">
        <v>165.27298115820159</v>
      </c>
      <c r="AB267">
        <v>127.2601954918152</v>
      </c>
      <c r="AC267">
        <v>165.27298115820159</v>
      </c>
      <c r="AD267" s="2">
        <v>44256</v>
      </c>
    </row>
    <row r="268" spans="1:30" hidden="1" x14ac:dyDescent="0.25">
      <c r="A268">
        <v>-1</v>
      </c>
      <c r="B268" t="s">
        <v>118</v>
      </c>
      <c r="C268">
        <v>2021</v>
      </c>
      <c r="D268">
        <v>3</v>
      </c>
      <c r="E268" t="s">
        <v>155</v>
      </c>
      <c r="F268" t="s">
        <v>93</v>
      </c>
      <c r="G268" t="s">
        <v>93</v>
      </c>
      <c r="H268" t="s">
        <v>149</v>
      </c>
      <c r="I268" t="s">
        <v>149</v>
      </c>
      <c r="J268" t="s">
        <v>161</v>
      </c>
      <c r="K268" t="s">
        <v>155</v>
      </c>
      <c r="L268" t="s">
        <v>151</v>
      </c>
      <c r="M268">
        <v>1521.3475014958581</v>
      </c>
      <c r="N268">
        <v>2</v>
      </c>
      <c r="O268" t="s">
        <v>152</v>
      </c>
      <c r="P268" s="2">
        <v>44656.074522685187</v>
      </c>
      <c r="Q268">
        <v>31</v>
      </c>
      <c r="R268" t="s">
        <v>153</v>
      </c>
      <c r="S268">
        <v>11.013328832364939</v>
      </c>
      <c r="T268">
        <v>990.99397688791578</v>
      </c>
      <c r="U268">
        <v>2.0807034238559639E-2</v>
      </c>
      <c r="V268">
        <v>127.2601954918152</v>
      </c>
      <c r="W268" t="s">
        <v>17</v>
      </c>
      <c r="X268">
        <v>99.426884060610121</v>
      </c>
      <c r="Y268">
        <v>0.9909939768879158</v>
      </c>
      <c r="Z268">
        <v>1095.020968936924</v>
      </c>
      <c r="AA268">
        <v>165.27298115820159</v>
      </c>
      <c r="AB268">
        <v>127.2601954918152</v>
      </c>
      <c r="AC268">
        <v>165.27298115820159</v>
      </c>
      <c r="AD268" s="2">
        <v>44256</v>
      </c>
    </row>
    <row r="269" spans="1:30" hidden="1" x14ac:dyDescent="0.25">
      <c r="A269">
        <v>-1</v>
      </c>
      <c r="B269" t="s">
        <v>118</v>
      </c>
      <c r="C269">
        <v>2021</v>
      </c>
      <c r="D269">
        <v>3</v>
      </c>
      <c r="E269" t="s">
        <v>155</v>
      </c>
      <c r="F269" t="s">
        <v>93</v>
      </c>
      <c r="G269" t="s">
        <v>93</v>
      </c>
      <c r="H269" t="s">
        <v>149</v>
      </c>
      <c r="I269" t="s">
        <v>149</v>
      </c>
      <c r="J269" t="s">
        <v>161</v>
      </c>
      <c r="K269" t="s">
        <v>155</v>
      </c>
      <c r="L269" t="s">
        <v>151</v>
      </c>
      <c r="M269">
        <v>1324.352287473484</v>
      </c>
      <c r="N269">
        <v>2</v>
      </c>
      <c r="O269" t="s">
        <v>152</v>
      </c>
      <c r="P269" s="2">
        <v>44656.074522685187</v>
      </c>
      <c r="Q269">
        <v>13</v>
      </c>
      <c r="R269" t="s">
        <v>154</v>
      </c>
      <c r="S269">
        <v>1279.4238500634999</v>
      </c>
      <c r="T269">
        <v>109264.1479780332</v>
      </c>
      <c r="U269">
        <v>2.4171634443229988</v>
      </c>
      <c r="V269">
        <v>14530.22770492599</v>
      </c>
      <c r="W269" t="s">
        <v>17</v>
      </c>
      <c r="X269">
        <v>94.365807830692859</v>
      </c>
      <c r="Y269">
        <v>109.26414797803319</v>
      </c>
      <c r="Z269">
        <v>120733.86516909739</v>
      </c>
      <c r="AA269">
        <v>18870.425590812982</v>
      </c>
      <c r="AB269">
        <v>14530.22770492599</v>
      </c>
      <c r="AC269">
        <v>18870.425590812982</v>
      </c>
      <c r="AD269" s="2">
        <v>44256</v>
      </c>
    </row>
    <row r="270" spans="1:30" hidden="1" x14ac:dyDescent="0.25">
      <c r="A270">
        <v>-1</v>
      </c>
      <c r="B270" t="s">
        <v>118</v>
      </c>
      <c r="C270">
        <v>2021</v>
      </c>
      <c r="D270">
        <v>3</v>
      </c>
      <c r="E270" t="s">
        <v>155</v>
      </c>
      <c r="F270" t="s">
        <v>93</v>
      </c>
      <c r="G270" t="s">
        <v>93</v>
      </c>
      <c r="H270" t="s">
        <v>149</v>
      </c>
      <c r="I270" t="s">
        <v>149</v>
      </c>
      <c r="J270" t="s">
        <v>161</v>
      </c>
      <c r="K270" t="s">
        <v>155</v>
      </c>
      <c r="L270" t="s">
        <v>151</v>
      </c>
      <c r="M270">
        <v>1502.0027240024231</v>
      </c>
      <c r="N270">
        <v>2</v>
      </c>
      <c r="O270" t="s">
        <v>152</v>
      </c>
      <c r="P270" s="2">
        <v>44656.074522685187</v>
      </c>
      <c r="Q270">
        <v>13</v>
      </c>
      <c r="R270" t="s">
        <v>154</v>
      </c>
      <c r="S270">
        <v>1279.4238500634999</v>
      </c>
      <c r="T270">
        <v>109264.1479780332</v>
      </c>
      <c r="U270">
        <v>2.4171634443229988</v>
      </c>
      <c r="V270">
        <v>14530.22770492599</v>
      </c>
      <c r="W270" t="s">
        <v>17</v>
      </c>
      <c r="X270">
        <v>94.365807830692859</v>
      </c>
      <c r="Y270">
        <v>109.26414797803319</v>
      </c>
      <c r="Z270">
        <v>120733.86516909739</v>
      </c>
      <c r="AA270">
        <v>18870.425590812982</v>
      </c>
      <c r="AB270">
        <v>14530.22770492599</v>
      </c>
      <c r="AC270">
        <v>18870.425590812982</v>
      </c>
      <c r="AD270" s="2">
        <v>44256</v>
      </c>
    </row>
    <row r="271" spans="1:30" hidden="1" x14ac:dyDescent="0.25">
      <c r="A271">
        <v>-1</v>
      </c>
      <c r="B271" t="s">
        <v>118</v>
      </c>
      <c r="C271">
        <v>2021</v>
      </c>
      <c r="D271">
        <v>3</v>
      </c>
      <c r="E271" t="s">
        <v>155</v>
      </c>
      <c r="F271" t="s">
        <v>93</v>
      </c>
      <c r="G271" t="s">
        <v>93</v>
      </c>
      <c r="H271" t="s">
        <v>149</v>
      </c>
      <c r="I271" t="s">
        <v>149</v>
      </c>
      <c r="J271" t="s">
        <v>161</v>
      </c>
      <c r="K271" t="s">
        <v>155</v>
      </c>
      <c r="L271" t="s">
        <v>151</v>
      </c>
      <c r="M271">
        <v>1521.3475014958581</v>
      </c>
      <c r="N271">
        <v>2</v>
      </c>
      <c r="O271" t="s">
        <v>152</v>
      </c>
      <c r="P271" s="2">
        <v>44656.074522685187</v>
      </c>
      <c r="Q271">
        <v>13</v>
      </c>
      <c r="R271" t="s">
        <v>154</v>
      </c>
      <c r="S271">
        <v>1279.4238500634999</v>
      </c>
      <c r="T271">
        <v>109264.1479780332</v>
      </c>
      <c r="U271">
        <v>2.4171634443229988</v>
      </c>
      <c r="V271">
        <v>14530.22770492599</v>
      </c>
      <c r="W271" t="s">
        <v>17</v>
      </c>
      <c r="X271">
        <v>94.365807830692859</v>
      </c>
      <c r="Y271">
        <v>109.26414797803319</v>
      </c>
      <c r="Z271">
        <v>120733.86516909739</v>
      </c>
      <c r="AA271">
        <v>18870.425590812982</v>
      </c>
      <c r="AB271">
        <v>14530.22770492599</v>
      </c>
      <c r="AC271">
        <v>18870.425590812982</v>
      </c>
      <c r="AD271" s="2">
        <v>44256</v>
      </c>
    </row>
    <row r="272" spans="1:30" hidden="1" x14ac:dyDescent="0.25">
      <c r="A272">
        <v>-1</v>
      </c>
      <c r="B272" t="s">
        <v>118</v>
      </c>
      <c r="C272">
        <v>2021</v>
      </c>
      <c r="D272">
        <v>3</v>
      </c>
      <c r="E272" t="s">
        <v>155</v>
      </c>
      <c r="F272" t="s">
        <v>93</v>
      </c>
      <c r="G272" t="s">
        <v>93</v>
      </c>
      <c r="H272" t="s">
        <v>149</v>
      </c>
      <c r="I272" t="s">
        <v>149</v>
      </c>
      <c r="J272" t="s">
        <v>161</v>
      </c>
      <c r="K272" t="s">
        <v>155</v>
      </c>
      <c r="L272" t="s">
        <v>151</v>
      </c>
      <c r="M272">
        <v>1324.352287473484</v>
      </c>
      <c r="N272">
        <v>2</v>
      </c>
      <c r="O272" t="s">
        <v>152</v>
      </c>
      <c r="P272" s="2">
        <v>44656.074522685187</v>
      </c>
      <c r="Q272">
        <v>5</v>
      </c>
      <c r="R272" t="s">
        <v>100</v>
      </c>
      <c r="S272">
        <v>42.447819883382593</v>
      </c>
      <c r="T272">
        <v>3448.9045234407722</v>
      </c>
      <c r="U272">
        <v>8.0194939705264215E-2</v>
      </c>
      <c r="V272">
        <v>471.60207555943788</v>
      </c>
      <c r="W272" t="s">
        <v>17</v>
      </c>
      <c r="X272">
        <v>89.779504230518469</v>
      </c>
      <c r="Y272">
        <v>3.4489045234407718</v>
      </c>
      <c r="Z272">
        <v>3810.944224796433</v>
      </c>
      <c r="AA272">
        <v>612.47022799926992</v>
      </c>
      <c r="AB272">
        <v>471.60207555943788</v>
      </c>
      <c r="AC272">
        <v>612.47022799926992</v>
      </c>
      <c r="AD272" s="2">
        <v>44256</v>
      </c>
    </row>
    <row r="273" spans="1:30" hidden="1" x14ac:dyDescent="0.25">
      <c r="A273">
        <v>-1</v>
      </c>
      <c r="B273" t="s">
        <v>118</v>
      </c>
      <c r="C273">
        <v>2021</v>
      </c>
      <c r="D273">
        <v>3</v>
      </c>
      <c r="E273" t="s">
        <v>155</v>
      </c>
      <c r="F273" t="s">
        <v>93</v>
      </c>
      <c r="G273" t="s">
        <v>93</v>
      </c>
      <c r="H273" t="s">
        <v>149</v>
      </c>
      <c r="I273" t="s">
        <v>149</v>
      </c>
      <c r="J273" t="s">
        <v>161</v>
      </c>
      <c r="K273" t="s">
        <v>155</v>
      </c>
      <c r="L273" t="s">
        <v>151</v>
      </c>
      <c r="M273">
        <v>1502.0027240024231</v>
      </c>
      <c r="N273">
        <v>2</v>
      </c>
      <c r="O273" t="s">
        <v>152</v>
      </c>
      <c r="P273" s="2">
        <v>44656.074522685187</v>
      </c>
      <c r="Q273">
        <v>5</v>
      </c>
      <c r="R273" t="s">
        <v>100</v>
      </c>
      <c r="S273">
        <v>42.447819883382593</v>
      </c>
      <c r="T273">
        <v>3448.9045234407722</v>
      </c>
      <c r="U273">
        <v>8.0194939705264215E-2</v>
      </c>
      <c r="V273">
        <v>471.60207555943788</v>
      </c>
      <c r="W273" t="s">
        <v>17</v>
      </c>
      <c r="X273">
        <v>89.779504230518469</v>
      </c>
      <c r="Y273">
        <v>3.4489045234407718</v>
      </c>
      <c r="Z273">
        <v>3810.944224796433</v>
      </c>
      <c r="AA273">
        <v>612.47022799926992</v>
      </c>
      <c r="AB273">
        <v>471.60207555943788</v>
      </c>
      <c r="AC273">
        <v>612.47022799926992</v>
      </c>
      <c r="AD273" s="2">
        <v>44256</v>
      </c>
    </row>
    <row r="274" spans="1:30" hidden="1" x14ac:dyDescent="0.25">
      <c r="A274">
        <v>-1</v>
      </c>
      <c r="B274" t="s">
        <v>118</v>
      </c>
      <c r="C274">
        <v>2021</v>
      </c>
      <c r="D274">
        <v>3</v>
      </c>
      <c r="E274" t="s">
        <v>155</v>
      </c>
      <c r="F274" t="s">
        <v>93</v>
      </c>
      <c r="G274" t="s">
        <v>93</v>
      </c>
      <c r="H274" t="s">
        <v>149</v>
      </c>
      <c r="I274" t="s">
        <v>149</v>
      </c>
      <c r="J274" t="s">
        <v>161</v>
      </c>
      <c r="K274" t="s">
        <v>155</v>
      </c>
      <c r="L274" t="s">
        <v>151</v>
      </c>
      <c r="M274">
        <v>1521.3475014958581</v>
      </c>
      <c r="N274">
        <v>2</v>
      </c>
      <c r="O274" t="s">
        <v>152</v>
      </c>
      <c r="P274" s="2">
        <v>44656.074522685187</v>
      </c>
      <c r="Q274">
        <v>5</v>
      </c>
      <c r="R274" t="s">
        <v>100</v>
      </c>
      <c r="S274">
        <v>42.447819883382593</v>
      </c>
      <c r="T274">
        <v>3448.9045234407722</v>
      </c>
      <c r="U274">
        <v>8.0194939705264215E-2</v>
      </c>
      <c r="V274">
        <v>471.60207555943788</v>
      </c>
      <c r="W274" t="s">
        <v>17</v>
      </c>
      <c r="X274">
        <v>89.779504230518469</v>
      </c>
      <c r="Y274">
        <v>3.4489045234407718</v>
      </c>
      <c r="Z274">
        <v>3810.944224796433</v>
      </c>
      <c r="AA274">
        <v>612.47022799926992</v>
      </c>
      <c r="AB274">
        <v>471.60207555943788</v>
      </c>
      <c r="AC274">
        <v>612.47022799926992</v>
      </c>
      <c r="AD274" s="2">
        <v>44256</v>
      </c>
    </row>
    <row r="275" spans="1:30" hidden="1" x14ac:dyDescent="0.25">
      <c r="A275">
        <v>-1</v>
      </c>
      <c r="B275" t="s">
        <v>118</v>
      </c>
      <c r="C275">
        <v>2021</v>
      </c>
      <c r="D275">
        <v>3</v>
      </c>
      <c r="E275" t="s">
        <v>155</v>
      </c>
      <c r="F275" t="s">
        <v>93</v>
      </c>
      <c r="G275" t="s">
        <v>93</v>
      </c>
      <c r="H275" t="s">
        <v>149</v>
      </c>
      <c r="I275" t="s">
        <v>149</v>
      </c>
      <c r="J275" t="s">
        <v>161</v>
      </c>
      <c r="K275" t="s">
        <v>155</v>
      </c>
      <c r="L275" t="s">
        <v>151</v>
      </c>
      <c r="M275">
        <v>1324.352287473484</v>
      </c>
      <c r="N275">
        <v>2</v>
      </c>
      <c r="O275" t="s">
        <v>152</v>
      </c>
      <c r="P275" s="2">
        <v>44656.074522685187</v>
      </c>
      <c r="Q275">
        <v>11</v>
      </c>
      <c r="R275" t="s">
        <v>101</v>
      </c>
      <c r="S275">
        <v>32.568521192091907</v>
      </c>
      <c r="T275">
        <v>2841.838851880816</v>
      </c>
      <c r="U275">
        <v>6.1530382489959311E-2</v>
      </c>
      <c r="V275">
        <v>367.63799287100181</v>
      </c>
      <c r="W275" t="s">
        <v>17</v>
      </c>
      <c r="X275">
        <v>96.416825589707358</v>
      </c>
      <c r="Y275">
        <v>2.8418388518808162</v>
      </c>
      <c r="Z275">
        <v>3140.1534274926139</v>
      </c>
      <c r="AA275">
        <v>477.45193879350882</v>
      </c>
      <c r="AB275">
        <v>367.63799287100181</v>
      </c>
      <c r="AC275">
        <v>477.45193879350882</v>
      </c>
      <c r="AD275" s="2">
        <v>44256</v>
      </c>
    </row>
    <row r="276" spans="1:30" hidden="1" x14ac:dyDescent="0.25">
      <c r="A276">
        <v>-1</v>
      </c>
      <c r="B276" t="s">
        <v>118</v>
      </c>
      <c r="C276">
        <v>2021</v>
      </c>
      <c r="D276">
        <v>3</v>
      </c>
      <c r="E276" t="s">
        <v>155</v>
      </c>
      <c r="F276" t="s">
        <v>93</v>
      </c>
      <c r="G276" t="s">
        <v>93</v>
      </c>
      <c r="H276" t="s">
        <v>149</v>
      </c>
      <c r="I276" t="s">
        <v>149</v>
      </c>
      <c r="J276" t="s">
        <v>161</v>
      </c>
      <c r="K276" t="s">
        <v>155</v>
      </c>
      <c r="L276" t="s">
        <v>151</v>
      </c>
      <c r="M276">
        <v>1502.0027240024231</v>
      </c>
      <c r="N276">
        <v>2</v>
      </c>
      <c r="O276" t="s">
        <v>152</v>
      </c>
      <c r="P276" s="2">
        <v>44656.074522685187</v>
      </c>
      <c r="Q276">
        <v>11</v>
      </c>
      <c r="R276" t="s">
        <v>101</v>
      </c>
      <c r="S276">
        <v>32.568521192091907</v>
      </c>
      <c r="T276">
        <v>2841.838851880816</v>
      </c>
      <c r="U276">
        <v>6.1530382489959311E-2</v>
      </c>
      <c r="V276">
        <v>367.63799287100181</v>
      </c>
      <c r="W276" t="s">
        <v>17</v>
      </c>
      <c r="X276">
        <v>96.416825589707358</v>
      </c>
      <c r="Y276">
        <v>2.8418388518808162</v>
      </c>
      <c r="Z276">
        <v>3140.1534274926139</v>
      </c>
      <c r="AA276">
        <v>477.45193879350882</v>
      </c>
      <c r="AB276">
        <v>367.63799287100181</v>
      </c>
      <c r="AC276">
        <v>477.45193879350882</v>
      </c>
      <c r="AD276" s="2">
        <v>44256</v>
      </c>
    </row>
    <row r="277" spans="1:30" hidden="1" x14ac:dyDescent="0.25">
      <c r="A277">
        <v>-1</v>
      </c>
      <c r="B277" t="s">
        <v>118</v>
      </c>
      <c r="C277">
        <v>2021</v>
      </c>
      <c r="D277">
        <v>3</v>
      </c>
      <c r="E277" t="s">
        <v>155</v>
      </c>
      <c r="F277" t="s">
        <v>93</v>
      </c>
      <c r="G277" t="s">
        <v>93</v>
      </c>
      <c r="H277" t="s">
        <v>149</v>
      </c>
      <c r="I277" t="s">
        <v>149</v>
      </c>
      <c r="J277" t="s">
        <v>161</v>
      </c>
      <c r="K277" t="s">
        <v>155</v>
      </c>
      <c r="L277" t="s">
        <v>151</v>
      </c>
      <c r="M277">
        <v>1521.3475014958581</v>
      </c>
      <c r="N277">
        <v>2</v>
      </c>
      <c r="O277" t="s">
        <v>152</v>
      </c>
      <c r="P277" s="2">
        <v>44656.074522685187</v>
      </c>
      <c r="Q277">
        <v>11</v>
      </c>
      <c r="R277" t="s">
        <v>101</v>
      </c>
      <c r="S277">
        <v>32.568521192091907</v>
      </c>
      <c r="T277">
        <v>2841.838851880816</v>
      </c>
      <c r="U277">
        <v>6.1530382489959311E-2</v>
      </c>
      <c r="V277">
        <v>367.63799287100181</v>
      </c>
      <c r="W277" t="s">
        <v>17</v>
      </c>
      <c r="X277">
        <v>96.416825589707358</v>
      </c>
      <c r="Y277">
        <v>2.8418388518808162</v>
      </c>
      <c r="Z277">
        <v>3140.1534274926139</v>
      </c>
      <c r="AA277">
        <v>477.45193879350882</v>
      </c>
      <c r="AB277">
        <v>367.63799287100181</v>
      </c>
      <c r="AC277">
        <v>477.45193879350882</v>
      </c>
      <c r="AD277" s="2">
        <v>44256</v>
      </c>
    </row>
    <row r="278" spans="1:30" hidden="1" x14ac:dyDescent="0.25">
      <c r="A278">
        <v>-1</v>
      </c>
      <c r="B278" t="s">
        <v>118</v>
      </c>
      <c r="C278">
        <v>2021</v>
      </c>
      <c r="D278">
        <v>3</v>
      </c>
      <c r="E278" t="s">
        <v>156</v>
      </c>
      <c r="F278" t="s">
        <v>93</v>
      </c>
      <c r="G278" t="s">
        <v>93</v>
      </c>
      <c r="H278" t="s">
        <v>149</v>
      </c>
      <c r="I278" t="s">
        <v>149</v>
      </c>
      <c r="J278" t="s">
        <v>161</v>
      </c>
      <c r="K278" t="s">
        <v>156</v>
      </c>
      <c r="L278" t="s">
        <v>151</v>
      </c>
      <c r="M278">
        <v>374.1001468261407</v>
      </c>
      <c r="N278">
        <v>1</v>
      </c>
      <c r="O278" t="s">
        <v>152</v>
      </c>
      <c r="P278" s="2">
        <v>44656.074522685187</v>
      </c>
      <c r="Q278">
        <v>31</v>
      </c>
      <c r="R278" t="s">
        <v>153</v>
      </c>
      <c r="S278">
        <v>3.4849413871629471</v>
      </c>
      <c r="T278">
        <v>313.57966124982232</v>
      </c>
      <c r="U278">
        <v>6.5839580262947893E-3</v>
      </c>
      <c r="V278">
        <v>40.268871379248637</v>
      </c>
      <c r="W278" t="s">
        <v>17</v>
      </c>
      <c r="X278">
        <v>99.426884060610121</v>
      </c>
      <c r="Y278">
        <v>0.31357966124982228</v>
      </c>
      <c r="Z278">
        <v>346.49686325947209</v>
      </c>
      <c r="AA278">
        <v>52.297235557465768</v>
      </c>
      <c r="AB278">
        <v>40.268871379248637</v>
      </c>
      <c r="AC278">
        <v>52.297235557465768</v>
      </c>
      <c r="AD278" s="2">
        <v>44256</v>
      </c>
    </row>
    <row r="279" spans="1:30" hidden="1" x14ac:dyDescent="0.25">
      <c r="A279">
        <v>-1</v>
      </c>
      <c r="B279" t="s">
        <v>118</v>
      </c>
      <c r="C279">
        <v>2021</v>
      </c>
      <c r="D279">
        <v>3</v>
      </c>
      <c r="E279" t="s">
        <v>156</v>
      </c>
      <c r="F279" t="s">
        <v>93</v>
      </c>
      <c r="G279" t="s">
        <v>93</v>
      </c>
      <c r="H279" t="s">
        <v>149</v>
      </c>
      <c r="I279" t="s">
        <v>149</v>
      </c>
      <c r="J279" t="s">
        <v>161</v>
      </c>
      <c r="K279" t="s">
        <v>156</v>
      </c>
      <c r="L279" t="s">
        <v>151</v>
      </c>
      <c r="M279">
        <v>401.70111647401689</v>
      </c>
      <c r="N279">
        <v>1</v>
      </c>
      <c r="O279" t="s">
        <v>152</v>
      </c>
      <c r="P279" s="2">
        <v>44656.074522685187</v>
      </c>
      <c r="Q279">
        <v>31</v>
      </c>
      <c r="R279" t="s">
        <v>153</v>
      </c>
      <c r="S279">
        <v>3.4849413871629471</v>
      </c>
      <c r="T279">
        <v>313.57966124982232</v>
      </c>
      <c r="U279">
        <v>6.5839580262947893E-3</v>
      </c>
      <c r="V279">
        <v>40.268871379248637</v>
      </c>
      <c r="W279" t="s">
        <v>17</v>
      </c>
      <c r="X279">
        <v>99.426884060610121</v>
      </c>
      <c r="Y279">
        <v>0.31357966124982228</v>
      </c>
      <c r="Z279">
        <v>346.49686325947209</v>
      </c>
      <c r="AA279">
        <v>52.297235557465768</v>
      </c>
      <c r="AB279">
        <v>40.268871379248637</v>
      </c>
      <c r="AC279">
        <v>52.297235557465768</v>
      </c>
      <c r="AD279" s="2">
        <v>44256</v>
      </c>
    </row>
    <row r="280" spans="1:30" hidden="1" x14ac:dyDescent="0.25">
      <c r="A280">
        <v>-1</v>
      </c>
      <c r="B280" t="s">
        <v>118</v>
      </c>
      <c r="C280">
        <v>2021</v>
      </c>
      <c r="D280">
        <v>3</v>
      </c>
      <c r="E280" t="s">
        <v>156</v>
      </c>
      <c r="F280" t="s">
        <v>93</v>
      </c>
      <c r="G280" t="s">
        <v>93</v>
      </c>
      <c r="H280" t="s">
        <v>149</v>
      </c>
      <c r="I280" t="s">
        <v>149</v>
      </c>
      <c r="J280" t="s">
        <v>161</v>
      </c>
      <c r="K280" t="s">
        <v>156</v>
      </c>
      <c r="L280" t="s">
        <v>151</v>
      </c>
      <c r="M280">
        <v>408.94817471026539</v>
      </c>
      <c r="N280">
        <v>1</v>
      </c>
      <c r="O280" t="s">
        <v>152</v>
      </c>
      <c r="P280" s="2">
        <v>44656.074522685187</v>
      </c>
      <c r="Q280">
        <v>31</v>
      </c>
      <c r="R280" t="s">
        <v>153</v>
      </c>
      <c r="S280">
        <v>3.4849413871629471</v>
      </c>
      <c r="T280">
        <v>313.57966124982232</v>
      </c>
      <c r="U280">
        <v>6.5839580262947893E-3</v>
      </c>
      <c r="V280">
        <v>40.268871379248637</v>
      </c>
      <c r="W280" t="s">
        <v>17</v>
      </c>
      <c r="X280">
        <v>99.426884060610121</v>
      </c>
      <c r="Y280">
        <v>0.31357966124982228</v>
      </c>
      <c r="Z280">
        <v>346.49686325947209</v>
      </c>
      <c r="AA280">
        <v>52.297235557465768</v>
      </c>
      <c r="AB280">
        <v>40.268871379248637</v>
      </c>
      <c r="AC280">
        <v>52.297235557465768</v>
      </c>
      <c r="AD280" s="2">
        <v>44256</v>
      </c>
    </row>
    <row r="281" spans="1:30" hidden="1" x14ac:dyDescent="0.25">
      <c r="A281">
        <v>-1</v>
      </c>
      <c r="B281" t="s">
        <v>118</v>
      </c>
      <c r="C281">
        <v>2021</v>
      </c>
      <c r="D281">
        <v>3</v>
      </c>
      <c r="E281" t="s">
        <v>156</v>
      </c>
      <c r="F281" t="s">
        <v>93</v>
      </c>
      <c r="G281" t="s">
        <v>93</v>
      </c>
      <c r="H281" t="s">
        <v>149</v>
      </c>
      <c r="I281" t="s">
        <v>149</v>
      </c>
      <c r="J281" t="s">
        <v>161</v>
      </c>
      <c r="K281" t="s">
        <v>156</v>
      </c>
      <c r="L281" t="s">
        <v>151</v>
      </c>
      <c r="M281">
        <v>374.1001468261407</v>
      </c>
      <c r="N281">
        <v>1</v>
      </c>
      <c r="O281" t="s">
        <v>152</v>
      </c>
      <c r="P281" s="2">
        <v>44656.074522685187</v>
      </c>
      <c r="Q281">
        <v>13</v>
      </c>
      <c r="R281" t="s">
        <v>154</v>
      </c>
      <c r="S281">
        <v>363.05647394803418</v>
      </c>
      <c r="T281">
        <v>31005.406294303579</v>
      </c>
      <c r="U281">
        <v>0.68590783031630886</v>
      </c>
      <c r="V281">
        <v>4123.1787542108486</v>
      </c>
      <c r="W281" t="s">
        <v>17</v>
      </c>
      <c r="X281">
        <v>94.365807830692859</v>
      </c>
      <c r="Y281">
        <v>31.00540629430358</v>
      </c>
      <c r="Z281">
        <v>34260.117452269144</v>
      </c>
      <c r="AA281">
        <v>5354.7776028712306</v>
      </c>
      <c r="AB281">
        <v>4123.1787542108486</v>
      </c>
      <c r="AC281">
        <v>5354.7776028712306</v>
      </c>
      <c r="AD281" s="2">
        <v>44256</v>
      </c>
    </row>
    <row r="282" spans="1:30" hidden="1" x14ac:dyDescent="0.25">
      <c r="A282">
        <v>-1</v>
      </c>
      <c r="B282" t="s">
        <v>118</v>
      </c>
      <c r="C282">
        <v>2021</v>
      </c>
      <c r="D282">
        <v>3</v>
      </c>
      <c r="E282" t="s">
        <v>156</v>
      </c>
      <c r="F282" t="s">
        <v>93</v>
      </c>
      <c r="G282" t="s">
        <v>93</v>
      </c>
      <c r="H282" t="s">
        <v>149</v>
      </c>
      <c r="I282" t="s">
        <v>149</v>
      </c>
      <c r="J282" t="s">
        <v>161</v>
      </c>
      <c r="K282" t="s">
        <v>156</v>
      </c>
      <c r="L282" t="s">
        <v>151</v>
      </c>
      <c r="M282">
        <v>401.70111647401689</v>
      </c>
      <c r="N282">
        <v>1</v>
      </c>
      <c r="O282" t="s">
        <v>152</v>
      </c>
      <c r="P282" s="2">
        <v>44656.074522685187</v>
      </c>
      <c r="Q282">
        <v>13</v>
      </c>
      <c r="R282" t="s">
        <v>154</v>
      </c>
      <c r="S282">
        <v>363.05647394803418</v>
      </c>
      <c r="T282">
        <v>31005.406294303579</v>
      </c>
      <c r="U282">
        <v>0.68590783031630886</v>
      </c>
      <c r="V282">
        <v>4123.1787542108486</v>
      </c>
      <c r="W282" t="s">
        <v>17</v>
      </c>
      <c r="X282">
        <v>94.365807830692859</v>
      </c>
      <c r="Y282">
        <v>31.00540629430358</v>
      </c>
      <c r="Z282">
        <v>34260.117452269144</v>
      </c>
      <c r="AA282">
        <v>5354.7776028712306</v>
      </c>
      <c r="AB282">
        <v>4123.1787542108486</v>
      </c>
      <c r="AC282">
        <v>5354.7776028712306</v>
      </c>
      <c r="AD282" s="2">
        <v>44256</v>
      </c>
    </row>
    <row r="283" spans="1:30" hidden="1" x14ac:dyDescent="0.25">
      <c r="A283">
        <v>-1</v>
      </c>
      <c r="B283" t="s">
        <v>118</v>
      </c>
      <c r="C283">
        <v>2021</v>
      </c>
      <c r="D283">
        <v>3</v>
      </c>
      <c r="E283" t="s">
        <v>156</v>
      </c>
      <c r="F283" t="s">
        <v>93</v>
      </c>
      <c r="G283" t="s">
        <v>93</v>
      </c>
      <c r="H283" t="s">
        <v>149</v>
      </c>
      <c r="I283" t="s">
        <v>149</v>
      </c>
      <c r="J283" t="s">
        <v>161</v>
      </c>
      <c r="K283" t="s">
        <v>156</v>
      </c>
      <c r="L283" t="s">
        <v>151</v>
      </c>
      <c r="M283">
        <v>408.94817471026539</v>
      </c>
      <c r="N283">
        <v>1</v>
      </c>
      <c r="O283" t="s">
        <v>152</v>
      </c>
      <c r="P283" s="2">
        <v>44656.074522685187</v>
      </c>
      <c r="Q283">
        <v>13</v>
      </c>
      <c r="R283" t="s">
        <v>154</v>
      </c>
      <c r="S283">
        <v>363.05647394803418</v>
      </c>
      <c r="T283">
        <v>31005.406294303579</v>
      </c>
      <c r="U283">
        <v>0.68590783031630886</v>
      </c>
      <c r="V283">
        <v>4123.1787542108486</v>
      </c>
      <c r="W283" t="s">
        <v>17</v>
      </c>
      <c r="X283">
        <v>94.365807830692859</v>
      </c>
      <c r="Y283">
        <v>31.00540629430358</v>
      </c>
      <c r="Z283">
        <v>34260.117452269144</v>
      </c>
      <c r="AA283">
        <v>5354.7776028712306</v>
      </c>
      <c r="AB283">
        <v>4123.1787542108486</v>
      </c>
      <c r="AC283">
        <v>5354.7776028712306</v>
      </c>
      <c r="AD283" s="2">
        <v>44256</v>
      </c>
    </row>
    <row r="284" spans="1:30" hidden="1" x14ac:dyDescent="0.25">
      <c r="A284">
        <v>-1</v>
      </c>
      <c r="B284" t="s">
        <v>118</v>
      </c>
      <c r="C284">
        <v>2021</v>
      </c>
      <c r="D284">
        <v>3</v>
      </c>
      <c r="E284" t="s">
        <v>156</v>
      </c>
      <c r="F284" t="s">
        <v>93</v>
      </c>
      <c r="G284" t="s">
        <v>93</v>
      </c>
      <c r="H284" t="s">
        <v>149</v>
      </c>
      <c r="I284" t="s">
        <v>149</v>
      </c>
      <c r="J284" t="s">
        <v>161</v>
      </c>
      <c r="K284" t="s">
        <v>156</v>
      </c>
      <c r="L284" t="s">
        <v>151</v>
      </c>
      <c r="M284">
        <v>374.1001468261407</v>
      </c>
      <c r="N284">
        <v>1</v>
      </c>
      <c r="O284" t="s">
        <v>152</v>
      </c>
      <c r="P284" s="2">
        <v>44656.074522685187</v>
      </c>
      <c r="Q284">
        <v>5</v>
      </c>
      <c r="R284" t="s">
        <v>100</v>
      </c>
      <c r="S284">
        <v>9.9843084939343694</v>
      </c>
      <c r="T284">
        <v>811.22957133633395</v>
      </c>
      <c r="U284">
        <v>1.886294796457326E-2</v>
      </c>
      <c r="V284">
        <v>110.92726603395</v>
      </c>
      <c r="W284" t="s">
        <v>17</v>
      </c>
      <c r="X284">
        <v>89.779504230518469</v>
      </c>
      <c r="Y284">
        <v>0.81122957133633389</v>
      </c>
      <c r="Z284">
        <v>896.38626666998221</v>
      </c>
      <c r="AA284">
        <v>144.06138445967531</v>
      </c>
      <c r="AB284">
        <v>110.92726603395</v>
      </c>
      <c r="AC284">
        <v>144.06138445967531</v>
      </c>
      <c r="AD284" s="2">
        <v>44256</v>
      </c>
    </row>
    <row r="285" spans="1:30" hidden="1" x14ac:dyDescent="0.25">
      <c r="A285">
        <v>-1</v>
      </c>
      <c r="B285" t="s">
        <v>118</v>
      </c>
      <c r="C285">
        <v>2021</v>
      </c>
      <c r="D285">
        <v>3</v>
      </c>
      <c r="E285" t="s">
        <v>156</v>
      </c>
      <c r="F285" t="s">
        <v>93</v>
      </c>
      <c r="G285" t="s">
        <v>93</v>
      </c>
      <c r="H285" t="s">
        <v>149</v>
      </c>
      <c r="I285" t="s">
        <v>149</v>
      </c>
      <c r="J285" t="s">
        <v>161</v>
      </c>
      <c r="K285" t="s">
        <v>156</v>
      </c>
      <c r="L285" t="s">
        <v>151</v>
      </c>
      <c r="M285">
        <v>401.70111647401689</v>
      </c>
      <c r="N285">
        <v>1</v>
      </c>
      <c r="O285" t="s">
        <v>152</v>
      </c>
      <c r="P285" s="2">
        <v>44656.074522685187</v>
      </c>
      <c r="Q285">
        <v>5</v>
      </c>
      <c r="R285" t="s">
        <v>100</v>
      </c>
      <c r="S285">
        <v>9.9843084939343694</v>
      </c>
      <c r="T285">
        <v>811.22957133633395</v>
      </c>
      <c r="U285">
        <v>1.886294796457326E-2</v>
      </c>
      <c r="V285">
        <v>110.92726603395</v>
      </c>
      <c r="W285" t="s">
        <v>17</v>
      </c>
      <c r="X285">
        <v>89.779504230518469</v>
      </c>
      <c r="Y285">
        <v>0.81122957133633389</v>
      </c>
      <c r="Z285">
        <v>896.38626666998221</v>
      </c>
      <c r="AA285">
        <v>144.06138445967531</v>
      </c>
      <c r="AB285">
        <v>110.92726603395</v>
      </c>
      <c r="AC285">
        <v>144.06138445967531</v>
      </c>
      <c r="AD285" s="2">
        <v>44256</v>
      </c>
    </row>
    <row r="286" spans="1:30" hidden="1" x14ac:dyDescent="0.25">
      <c r="A286">
        <v>-1</v>
      </c>
      <c r="B286" t="s">
        <v>118</v>
      </c>
      <c r="C286">
        <v>2021</v>
      </c>
      <c r="D286">
        <v>3</v>
      </c>
      <c r="E286" t="s">
        <v>156</v>
      </c>
      <c r="F286" t="s">
        <v>93</v>
      </c>
      <c r="G286" t="s">
        <v>93</v>
      </c>
      <c r="H286" t="s">
        <v>149</v>
      </c>
      <c r="I286" t="s">
        <v>149</v>
      </c>
      <c r="J286" t="s">
        <v>161</v>
      </c>
      <c r="K286" t="s">
        <v>156</v>
      </c>
      <c r="L286" t="s">
        <v>151</v>
      </c>
      <c r="M286">
        <v>408.94817471026539</v>
      </c>
      <c r="N286">
        <v>1</v>
      </c>
      <c r="O286" t="s">
        <v>152</v>
      </c>
      <c r="P286" s="2">
        <v>44656.074522685187</v>
      </c>
      <c r="Q286">
        <v>5</v>
      </c>
      <c r="R286" t="s">
        <v>100</v>
      </c>
      <c r="S286">
        <v>9.9843084939343694</v>
      </c>
      <c r="T286">
        <v>811.22957133633395</v>
      </c>
      <c r="U286">
        <v>1.886294796457326E-2</v>
      </c>
      <c r="V286">
        <v>110.92726603395</v>
      </c>
      <c r="W286" t="s">
        <v>17</v>
      </c>
      <c r="X286">
        <v>89.779504230518469</v>
      </c>
      <c r="Y286">
        <v>0.81122957133633389</v>
      </c>
      <c r="Z286">
        <v>896.38626666998221</v>
      </c>
      <c r="AA286">
        <v>144.06138445967531</v>
      </c>
      <c r="AB286">
        <v>110.92726603395</v>
      </c>
      <c r="AC286">
        <v>144.06138445967531</v>
      </c>
      <c r="AD286" s="2">
        <v>44256</v>
      </c>
    </row>
    <row r="287" spans="1:30" hidden="1" x14ac:dyDescent="0.25">
      <c r="A287">
        <v>-1</v>
      </c>
      <c r="B287" t="s">
        <v>118</v>
      </c>
      <c r="C287">
        <v>2021</v>
      </c>
      <c r="D287">
        <v>3</v>
      </c>
      <c r="E287" t="s">
        <v>156</v>
      </c>
      <c r="F287" t="s">
        <v>93</v>
      </c>
      <c r="G287" t="s">
        <v>93</v>
      </c>
      <c r="H287" t="s">
        <v>149</v>
      </c>
      <c r="I287" t="s">
        <v>149</v>
      </c>
      <c r="J287" t="s">
        <v>161</v>
      </c>
      <c r="K287" t="s">
        <v>156</v>
      </c>
      <c r="L287" t="s">
        <v>151</v>
      </c>
      <c r="M287">
        <v>374.1001468261407</v>
      </c>
      <c r="N287">
        <v>1</v>
      </c>
      <c r="O287" t="s">
        <v>152</v>
      </c>
      <c r="P287" s="2">
        <v>44656.074522685187</v>
      </c>
      <c r="Q287">
        <v>11</v>
      </c>
      <c r="R287" t="s">
        <v>101</v>
      </c>
      <c r="S287">
        <v>9.1846095445150766</v>
      </c>
      <c r="T287">
        <v>801.42356138957985</v>
      </c>
      <c r="U287">
        <v>1.7352109264087971E-2</v>
      </c>
      <c r="V287">
        <v>103.6771488129236</v>
      </c>
      <c r="W287" t="s">
        <v>17</v>
      </c>
      <c r="X287">
        <v>96.416825589707372</v>
      </c>
      <c r="Y287">
        <v>0.80142356138957993</v>
      </c>
      <c r="Z287">
        <v>885.55089656307166</v>
      </c>
      <c r="AA287">
        <v>134.64564780899161</v>
      </c>
      <c r="AB287">
        <v>103.6771488129236</v>
      </c>
      <c r="AC287">
        <v>134.64564780899161</v>
      </c>
      <c r="AD287" s="2">
        <v>44256</v>
      </c>
    </row>
    <row r="288" spans="1:30" hidden="1" x14ac:dyDescent="0.25">
      <c r="A288">
        <v>-1</v>
      </c>
      <c r="B288" t="s">
        <v>118</v>
      </c>
      <c r="C288">
        <v>2021</v>
      </c>
      <c r="D288">
        <v>3</v>
      </c>
      <c r="E288" t="s">
        <v>156</v>
      </c>
      <c r="F288" t="s">
        <v>93</v>
      </c>
      <c r="G288" t="s">
        <v>93</v>
      </c>
      <c r="H288" t="s">
        <v>149</v>
      </c>
      <c r="I288" t="s">
        <v>149</v>
      </c>
      <c r="J288" t="s">
        <v>161</v>
      </c>
      <c r="K288" t="s">
        <v>156</v>
      </c>
      <c r="L288" t="s">
        <v>151</v>
      </c>
      <c r="M288">
        <v>401.70111647401689</v>
      </c>
      <c r="N288">
        <v>1</v>
      </c>
      <c r="O288" t="s">
        <v>152</v>
      </c>
      <c r="P288" s="2">
        <v>44656.074522685187</v>
      </c>
      <c r="Q288">
        <v>11</v>
      </c>
      <c r="R288" t="s">
        <v>101</v>
      </c>
      <c r="S288">
        <v>9.1846095445150766</v>
      </c>
      <c r="T288">
        <v>801.42356138957985</v>
      </c>
      <c r="U288">
        <v>1.7352109264087971E-2</v>
      </c>
      <c r="V288">
        <v>103.6771488129236</v>
      </c>
      <c r="W288" t="s">
        <v>17</v>
      </c>
      <c r="X288">
        <v>96.416825589707372</v>
      </c>
      <c r="Y288">
        <v>0.80142356138957993</v>
      </c>
      <c r="Z288">
        <v>885.55089656307166</v>
      </c>
      <c r="AA288">
        <v>134.64564780899161</v>
      </c>
      <c r="AB288">
        <v>103.6771488129236</v>
      </c>
      <c r="AC288">
        <v>134.64564780899161</v>
      </c>
      <c r="AD288" s="2">
        <v>44256</v>
      </c>
    </row>
    <row r="289" spans="1:30" hidden="1" x14ac:dyDescent="0.25">
      <c r="A289">
        <v>-1</v>
      </c>
      <c r="B289" t="s">
        <v>118</v>
      </c>
      <c r="C289">
        <v>2021</v>
      </c>
      <c r="D289">
        <v>3</v>
      </c>
      <c r="E289" t="s">
        <v>156</v>
      </c>
      <c r="F289" t="s">
        <v>93</v>
      </c>
      <c r="G289" t="s">
        <v>93</v>
      </c>
      <c r="H289" t="s">
        <v>149</v>
      </c>
      <c r="I289" t="s">
        <v>149</v>
      </c>
      <c r="J289" t="s">
        <v>161</v>
      </c>
      <c r="K289" t="s">
        <v>156</v>
      </c>
      <c r="L289" t="s">
        <v>151</v>
      </c>
      <c r="M289">
        <v>408.94817471026539</v>
      </c>
      <c r="N289">
        <v>1</v>
      </c>
      <c r="O289" t="s">
        <v>152</v>
      </c>
      <c r="P289" s="2">
        <v>44656.074522685187</v>
      </c>
      <c r="Q289">
        <v>11</v>
      </c>
      <c r="R289" t="s">
        <v>101</v>
      </c>
      <c r="S289">
        <v>9.1846095445150766</v>
      </c>
      <c r="T289">
        <v>801.42356138957985</v>
      </c>
      <c r="U289">
        <v>1.7352109264087971E-2</v>
      </c>
      <c r="V289">
        <v>103.6771488129236</v>
      </c>
      <c r="W289" t="s">
        <v>17</v>
      </c>
      <c r="X289">
        <v>96.416825589707372</v>
      </c>
      <c r="Y289">
        <v>0.80142356138957993</v>
      </c>
      <c r="Z289">
        <v>885.55089656307166</v>
      </c>
      <c r="AA289">
        <v>134.64564780899161</v>
      </c>
      <c r="AB289">
        <v>103.6771488129236</v>
      </c>
      <c r="AC289">
        <v>134.64564780899161</v>
      </c>
      <c r="AD289" s="2">
        <v>44256</v>
      </c>
    </row>
    <row r="290" spans="1:30" hidden="1" x14ac:dyDescent="0.25">
      <c r="A290">
        <v>-1</v>
      </c>
      <c r="B290" t="s">
        <v>118</v>
      </c>
      <c r="C290">
        <v>2021</v>
      </c>
      <c r="D290">
        <v>3</v>
      </c>
      <c r="E290" t="s">
        <v>157</v>
      </c>
      <c r="F290" t="s">
        <v>93</v>
      </c>
      <c r="G290" t="s">
        <v>93</v>
      </c>
      <c r="H290" t="s">
        <v>149</v>
      </c>
      <c r="I290" t="s">
        <v>149</v>
      </c>
      <c r="J290" t="s">
        <v>161</v>
      </c>
      <c r="K290" t="s">
        <v>157</v>
      </c>
      <c r="L290" t="s">
        <v>151</v>
      </c>
      <c r="M290">
        <v>141.86267084589741</v>
      </c>
      <c r="N290">
        <v>0</v>
      </c>
      <c r="O290" t="s">
        <v>152</v>
      </c>
      <c r="P290" s="2">
        <v>44656.074522685187</v>
      </c>
      <c r="Q290">
        <v>31</v>
      </c>
      <c r="R290" t="s">
        <v>153</v>
      </c>
      <c r="S290">
        <v>2.7082030791350191</v>
      </c>
      <c r="T290">
        <v>243.6877151733791</v>
      </c>
      <c r="U290">
        <v>5.1164979317551863E-3</v>
      </c>
      <c r="V290">
        <v>31.293576949182128</v>
      </c>
      <c r="W290" t="s">
        <v>17</v>
      </c>
      <c r="X290">
        <v>99.426884060610107</v>
      </c>
      <c r="Y290">
        <v>0.24368771517337909</v>
      </c>
      <c r="Z290">
        <v>269.26819356174491</v>
      </c>
      <c r="AA290">
        <v>40.64100902491186</v>
      </c>
      <c r="AB290">
        <v>31.293576949182128</v>
      </c>
      <c r="AC290">
        <v>40.64100902491186</v>
      </c>
      <c r="AD290" s="2">
        <v>44256</v>
      </c>
    </row>
    <row r="291" spans="1:30" hidden="1" x14ac:dyDescent="0.25">
      <c r="A291">
        <v>-1</v>
      </c>
      <c r="B291" t="s">
        <v>118</v>
      </c>
      <c r="C291">
        <v>2021</v>
      </c>
      <c r="D291">
        <v>3</v>
      </c>
      <c r="E291" t="s">
        <v>157</v>
      </c>
      <c r="F291" t="s">
        <v>93</v>
      </c>
      <c r="G291" t="s">
        <v>93</v>
      </c>
      <c r="H291" t="s">
        <v>149</v>
      </c>
      <c r="I291" t="s">
        <v>149</v>
      </c>
      <c r="J291" t="s">
        <v>161</v>
      </c>
      <c r="K291" t="s">
        <v>157</v>
      </c>
      <c r="L291" t="s">
        <v>151</v>
      </c>
      <c r="M291">
        <v>163.21718935435121</v>
      </c>
      <c r="N291">
        <v>0</v>
      </c>
      <c r="O291" t="s">
        <v>152</v>
      </c>
      <c r="P291" s="2">
        <v>44656.074522685187</v>
      </c>
      <c r="Q291">
        <v>31</v>
      </c>
      <c r="R291" t="s">
        <v>153</v>
      </c>
      <c r="S291">
        <v>2.7082030791350191</v>
      </c>
      <c r="T291">
        <v>243.6877151733791</v>
      </c>
      <c r="U291">
        <v>5.1164979317551863E-3</v>
      </c>
      <c r="V291">
        <v>31.293576949182128</v>
      </c>
      <c r="W291" t="s">
        <v>17</v>
      </c>
      <c r="X291">
        <v>99.426884060610107</v>
      </c>
      <c r="Y291">
        <v>0.24368771517337909</v>
      </c>
      <c r="Z291">
        <v>269.26819356174491</v>
      </c>
      <c r="AA291">
        <v>40.64100902491186</v>
      </c>
      <c r="AB291">
        <v>31.293576949182128</v>
      </c>
      <c r="AC291">
        <v>40.64100902491186</v>
      </c>
      <c r="AD291" s="2">
        <v>44256</v>
      </c>
    </row>
    <row r="292" spans="1:30" hidden="1" x14ac:dyDescent="0.25">
      <c r="A292">
        <v>-1</v>
      </c>
      <c r="B292" t="s">
        <v>118</v>
      </c>
      <c r="C292">
        <v>2021</v>
      </c>
      <c r="D292">
        <v>3</v>
      </c>
      <c r="E292" t="s">
        <v>157</v>
      </c>
      <c r="F292" t="s">
        <v>93</v>
      </c>
      <c r="G292" t="s">
        <v>93</v>
      </c>
      <c r="H292" t="s">
        <v>149</v>
      </c>
      <c r="I292" t="s">
        <v>149</v>
      </c>
      <c r="J292" t="s">
        <v>161</v>
      </c>
      <c r="K292" t="s">
        <v>157</v>
      </c>
      <c r="L292" t="s">
        <v>151</v>
      </c>
      <c r="M292">
        <v>166.9949017555621</v>
      </c>
      <c r="N292">
        <v>0</v>
      </c>
      <c r="O292" t="s">
        <v>152</v>
      </c>
      <c r="P292" s="2">
        <v>44656.074522685187</v>
      </c>
      <c r="Q292">
        <v>31</v>
      </c>
      <c r="R292" t="s">
        <v>153</v>
      </c>
      <c r="S292">
        <v>2.7082030791350191</v>
      </c>
      <c r="T292">
        <v>243.6877151733791</v>
      </c>
      <c r="U292">
        <v>5.1164979317551863E-3</v>
      </c>
      <c r="V292">
        <v>31.293576949182128</v>
      </c>
      <c r="W292" t="s">
        <v>17</v>
      </c>
      <c r="X292">
        <v>99.426884060610107</v>
      </c>
      <c r="Y292">
        <v>0.24368771517337909</v>
      </c>
      <c r="Z292">
        <v>269.26819356174491</v>
      </c>
      <c r="AA292">
        <v>40.64100902491186</v>
      </c>
      <c r="AB292">
        <v>31.293576949182128</v>
      </c>
      <c r="AC292">
        <v>40.64100902491186</v>
      </c>
      <c r="AD292" s="2">
        <v>44256</v>
      </c>
    </row>
    <row r="293" spans="1:30" hidden="1" x14ac:dyDescent="0.25">
      <c r="A293">
        <v>-1</v>
      </c>
      <c r="B293" t="s">
        <v>118</v>
      </c>
      <c r="C293">
        <v>2021</v>
      </c>
      <c r="D293">
        <v>3</v>
      </c>
      <c r="E293" t="s">
        <v>157</v>
      </c>
      <c r="F293" t="s">
        <v>93</v>
      </c>
      <c r="G293" t="s">
        <v>93</v>
      </c>
      <c r="H293" t="s">
        <v>149</v>
      </c>
      <c r="I293" t="s">
        <v>149</v>
      </c>
      <c r="J293" t="s">
        <v>161</v>
      </c>
      <c r="K293" t="s">
        <v>157</v>
      </c>
      <c r="L293" t="s">
        <v>151</v>
      </c>
      <c r="M293">
        <v>141.86267084589741</v>
      </c>
      <c r="N293">
        <v>0</v>
      </c>
      <c r="O293" t="s">
        <v>152</v>
      </c>
      <c r="P293" s="2">
        <v>44656.074522685187</v>
      </c>
      <c r="Q293">
        <v>13</v>
      </c>
      <c r="R293" t="s">
        <v>154</v>
      </c>
      <c r="S293">
        <v>131.80208798076731</v>
      </c>
      <c r="T293">
        <v>11256.03750799983</v>
      </c>
      <c r="U293">
        <v>0.24900832428342071</v>
      </c>
      <c r="V293">
        <v>1496.8568471270789</v>
      </c>
      <c r="W293" t="s">
        <v>17</v>
      </c>
      <c r="X293">
        <v>94.365807830692859</v>
      </c>
      <c r="Y293">
        <v>11.25603750799983</v>
      </c>
      <c r="Z293">
        <v>12437.610506077161</v>
      </c>
      <c r="AA293">
        <v>1943.969931333869</v>
      </c>
      <c r="AB293">
        <v>1496.8568471270789</v>
      </c>
      <c r="AC293">
        <v>1943.969931333869</v>
      </c>
      <c r="AD293" s="2">
        <v>44256</v>
      </c>
    </row>
    <row r="294" spans="1:30" hidden="1" x14ac:dyDescent="0.25">
      <c r="A294">
        <v>-1</v>
      </c>
      <c r="B294" t="s">
        <v>118</v>
      </c>
      <c r="C294">
        <v>2021</v>
      </c>
      <c r="D294">
        <v>3</v>
      </c>
      <c r="E294" t="s">
        <v>157</v>
      </c>
      <c r="F294" t="s">
        <v>93</v>
      </c>
      <c r="G294" t="s">
        <v>93</v>
      </c>
      <c r="H294" t="s">
        <v>149</v>
      </c>
      <c r="I294" t="s">
        <v>149</v>
      </c>
      <c r="J294" t="s">
        <v>161</v>
      </c>
      <c r="K294" t="s">
        <v>157</v>
      </c>
      <c r="L294" t="s">
        <v>151</v>
      </c>
      <c r="M294">
        <v>163.21718935435121</v>
      </c>
      <c r="N294">
        <v>0</v>
      </c>
      <c r="O294" t="s">
        <v>152</v>
      </c>
      <c r="P294" s="2">
        <v>44656.074522685187</v>
      </c>
      <c r="Q294">
        <v>13</v>
      </c>
      <c r="R294" t="s">
        <v>154</v>
      </c>
      <c r="S294">
        <v>131.80208798076731</v>
      </c>
      <c r="T294">
        <v>11256.03750799983</v>
      </c>
      <c r="U294">
        <v>0.24900832428342071</v>
      </c>
      <c r="V294">
        <v>1496.8568471270789</v>
      </c>
      <c r="W294" t="s">
        <v>17</v>
      </c>
      <c r="X294">
        <v>94.365807830692859</v>
      </c>
      <c r="Y294">
        <v>11.25603750799983</v>
      </c>
      <c r="Z294">
        <v>12437.610506077161</v>
      </c>
      <c r="AA294">
        <v>1943.969931333869</v>
      </c>
      <c r="AB294">
        <v>1496.8568471270789</v>
      </c>
      <c r="AC294">
        <v>1943.969931333869</v>
      </c>
      <c r="AD294" s="2">
        <v>44256</v>
      </c>
    </row>
    <row r="295" spans="1:30" hidden="1" x14ac:dyDescent="0.25">
      <c r="A295">
        <v>-1</v>
      </c>
      <c r="B295" t="s">
        <v>118</v>
      </c>
      <c r="C295">
        <v>2021</v>
      </c>
      <c r="D295">
        <v>3</v>
      </c>
      <c r="E295" t="s">
        <v>157</v>
      </c>
      <c r="F295" t="s">
        <v>93</v>
      </c>
      <c r="G295" t="s">
        <v>93</v>
      </c>
      <c r="H295" t="s">
        <v>149</v>
      </c>
      <c r="I295" t="s">
        <v>149</v>
      </c>
      <c r="J295" t="s">
        <v>161</v>
      </c>
      <c r="K295" t="s">
        <v>157</v>
      </c>
      <c r="L295" t="s">
        <v>151</v>
      </c>
      <c r="M295">
        <v>166.9949017555621</v>
      </c>
      <c r="N295">
        <v>0</v>
      </c>
      <c r="O295" t="s">
        <v>152</v>
      </c>
      <c r="P295" s="2">
        <v>44656.074522685187</v>
      </c>
      <c r="Q295">
        <v>13</v>
      </c>
      <c r="R295" t="s">
        <v>154</v>
      </c>
      <c r="S295">
        <v>131.80208798076731</v>
      </c>
      <c r="T295">
        <v>11256.03750799983</v>
      </c>
      <c r="U295">
        <v>0.24900832428342071</v>
      </c>
      <c r="V295">
        <v>1496.8568471270789</v>
      </c>
      <c r="W295" t="s">
        <v>17</v>
      </c>
      <c r="X295">
        <v>94.365807830692859</v>
      </c>
      <c r="Y295">
        <v>11.25603750799983</v>
      </c>
      <c r="Z295">
        <v>12437.610506077161</v>
      </c>
      <c r="AA295">
        <v>1943.969931333869</v>
      </c>
      <c r="AB295">
        <v>1496.8568471270789</v>
      </c>
      <c r="AC295">
        <v>1943.969931333869</v>
      </c>
      <c r="AD295" s="2">
        <v>44256</v>
      </c>
    </row>
    <row r="296" spans="1:30" hidden="1" x14ac:dyDescent="0.25">
      <c r="A296">
        <v>-1</v>
      </c>
      <c r="B296" t="s">
        <v>118</v>
      </c>
      <c r="C296">
        <v>2021</v>
      </c>
      <c r="D296">
        <v>3</v>
      </c>
      <c r="E296" t="s">
        <v>157</v>
      </c>
      <c r="F296" t="s">
        <v>93</v>
      </c>
      <c r="G296" t="s">
        <v>93</v>
      </c>
      <c r="H296" t="s">
        <v>149</v>
      </c>
      <c r="I296" t="s">
        <v>149</v>
      </c>
      <c r="J296" t="s">
        <v>161</v>
      </c>
      <c r="K296" t="s">
        <v>157</v>
      </c>
      <c r="L296" t="s">
        <v>151</v>
      </c>
      <c r="M296">
        <v>141.86267084589741</v>
      </c>
      <c r="N296">
        <v>0</v>
      </c>
      <c r="O296" t="s">
        <v>152</v>
      </c>
      <c r="P296" s="2">
        <v>44656.074522685187</v>
      </c>
      <c r="Q296">
        <v>5</v>
      </c>
      <c r="R296" t="s">
        <v>100</v>
      </c>
      <c r="S296">
        <v>6.7413211600052048</v>
      </c>
      <c r="T296">
        <v>547.73538680159379</v>
      </c>
      <c r="U296">
        <v>1.273610389051053E-2</v>
      </c>
      <c r="V296">
        <v>74.897157493730518</v>
      </c>
      <c r="W296" t="s">
        <v>17</v>
      </c>
      <c r="X296">
        <v>89.779504230518484</v>
      </c>
      <c r="Y296">
        <v>0.54773538680159373</v>
      </c>
      <c r="Z296">
        <v>605.23247160397102</v>
      </c>
      <c r="AA296">
        <v>97.269035706143526</v>
      </c>
      <c r="AB296">
        <v>74.897157493730518</v>
      </c>
      <c r="AC296">
        <v>97.269035706143526</v>
      </c>
      <c r="AD296" s="2">
        <v>44256</v>
      </c>
    </row>
    <row r="297" spans="1:30" hidden="1" x14ac:dyDescent="0.25">
      <c r="A297">
        <v>-1</v>
      </c>
      <c r="B297" t="s">
        <v>118</v>
      </c>
      <c r="C297">
        <v>2021</v>
      </c>
      <c r="D297">
        <v>3</v>
      </c>
      <c r="E297" t="s">
        <v>157</v>
      </c>
      <c r="F297" t="s">
        <v>93</v>
      </c>
      <c r="G297" t="s">
        <v>93</v>
      </c>
      <c r="H297" t="s">
        <v>149</v>
      </c>
      <c r="I297" t="s">
        <v>149</v>
      </c>
      <c r="J297" t="s">
        <v>161</v>
      </c>
      <c r="K297" t="s">
        <v>157</v>
      </c>
      <c r="L297" t="s">
        <v>151</v>
      </c>
      <c r="M297">
        <v>163.21718935435121</v>
      </c>
      <c r="N297">
        <v>0</v>
      </c>
      <c r="O297" t="s">
        <v>152</v>
      </c>
      <c r="P297" s="2">
        <v>44656.074522685187</v>
      </c>
      <c r="Q297">
        <v>5</v>
      </c>
      <c r="R297" t="s">
        <v>100</v>
      </c>
      <c r="S297">
        <v>6.7413211600052048</v>
      </c>
      <c r="T297">
        <v>547.73538680159379</v>
      </c>
      <c r="U297">
        <v>1.273610389051053E-2</v>
      </c>
      <c r="V297">
        <v>74.897157493730518</v>
      </c>
      <c r="W297" t="s">
        <v>17</v>
      </c>
      <c r="X297">
        <v>89.779504230518484</v>
      </c>
      <c r="Y297">
        <v>0.54773538680159373</v>
      </c>
      <c r="Z297">
        <v>605.23247160397102</v>
      </c>
      <c r="AA297">
        <v>97.269035706143526</v>
      </c>
      <c r="AB297">
        <v>74.897157493730518</v>
      </c>
      <c r="AC297">
        <v>97.269035706143526</v>
      </c>
      <c r="AD297" s="2">
        <v>44256</v>
      </c>
    </row>
    <row r="298" spans="1:30" hidden="1" x14ac:dyDescent="0.25">
      <c r="A298">
        <v>-1</v>
      </c>
      <c r="B298" t="s">
        <v>118</v>
      </c>
      <c r="C298">
        <v>2021</v>
      </c>
      <c r="D298">
        <v>3</v>
      </c>
      <c r="E298" t="s">
        <v>157</v>
      </c>
      <c r="F298" t="s">
        <v>93</v>
      </c>
      <c r="G298" t="s">
        <v>93</v>
      </c>
      <c r="H298" t="s">
        <v>149</v>
      </c>
      <c r="I298" t="s">
        <v>149</v>
      </c>
      <c r="J298" t="s">
        <v>161</v>
      </c>
      <c r="K298" t="s">
        <v>157</v>
      </c>
      <c r="L298" t="s">
        <v>151</v>
      </c>
      <c r="M298">
        <v>166.9949017555621</v>
      </c>
      <c r="N298">
        <v>0</v>
      </c>
      <c r="O298" t="s">
        <v>152</v>
      </c>
      <c r="P298" s="2">
        <v>44656.074522685187</v>
      </c>
      <c r="Q298">
        <v>5</v>
      </c>
      <c r="R298" t="s">
        <v>100</v>
      </c>
      <c r="S298">
        <v>6.7413211600052048</v>
      </c>
      <c r="T298">
        <v>547.73538680159379</v>
      </c>
      <c r="U298">
        <v>1.273610389051053E-2</v>
      </c>
      <c r="V298">
        <v>74.897157493730518</v>
      </c>
      <c r="W298" t="s">
        <v>17</v>
      </c>
      <c r="X298">
        <v>89.779504230518484</v>
      </c>
      <c r="Y298">
        <v>0.54773538680159373</v>
      </c>
      <c r="Z298">
        <v>605.23247160397102</v>
      </c>
      <c r="AA298">
        <v>97.269035706143526</v>
      </c>
      <c r="AB298">
        <v>74.897157493730518</v>
      </c>
      <c r="AC298">
        <v>97.269035706143526</v>
      </c>
      <c r="AD298" s="2">
        <v>44256</v>
      </c>
    </row>
    <row r="299" spans="1:30" hidden="1" x14ac:dyDescent="0.25">
      <c r="A299">
        <v>-1</v>
      </c>
      <c r="B299" t="s">
        <v>118</v>
      </c>
      <c r="C299">
        <v>2021</v>
      </c>
      <c r="D299">
        <v>3</v>
      </c>
      <c r="E299" t="s">
        <v>157</v>
      </c>
      <c r="F299" t="s">
        <v>93</v>
      </c>
      <c r="G299" t="s">
        <v>93</v>
      </c>
      <c r="H299" t="s">
        <v>149</v>
      </c>
      <c r="I299" t="s">
        <v>149</v>
      </c>
      <c r="J299" t="s">
        <v>161</v>
      </c>
      <c r="K299" t="s">
        <v>157</v>
      </c>
      <c r="L299" t="s">
        <v>151</v>
      </c>
      <c r="M299">
        <v>141.86267084589741</v>
      </c>
      <c r="N299">
        <v>0</v>
      </c>
      <c r="O299" t="s">
        <v>152</v>
      </c>
      <c r="P299" s="2">
        <v>44656.074522685187</v>
      </c>
      <c r="Q299">
        <v>11</v>
      </c>
      <c r="R299" t="s">
        <v>101</v>
      </c>
      <c r="S299">
        <v>5.0137622512673099</v>
      </c>
      <c r="T299">
        <v>437.48699167847241</v>
      </c>
      <c r="U299">
        <v>9.4722971059891022E-3</v>
      </c>
      <c r="V299">
        <v>56.596044994387867</v>
      </c>
      <c r="W299" t="s">
        <v>17</v>
      </c>
      <c r="X299">
        <v>96.416825589707344</v>
      </c>
      <c r="Y299">
        <v>0.43748699167847233</v>
      </c>
      <c r="Z299">
        <v>483.41104052869872</v>
      </c>
      <c r="AA299">
        <v>73.501357135568654</v>
      </c>
      <c r="AB299">
        <v>56.596044994387867</v>
      </c>
      <c r="AC299">
        <v>73.501357135568654</v>
      </c>
      <c r="AD299" s="2">
        <v>44256</v>
      </c>
    </row>
    <row r="300" spans="1:30" hidden="1" x14ac:dyDescent="0.25">
      <c r="A300">
        <v>-1</v>
      </c>
      <c r="B300" t="s">
        <v>118</v>
      </c>
      <c r="C300">
        <v>2021</v>
      </c>
      <c r="D300">
        <v>3</v>
      </c>
      <c r="E300" t="s">
        <v>157</v>
      </c>
      <c r="F300" t="s">
        <v>93</v>
      </c>
      <c r="G300" t="s">
        <v>93</v>
      </c>
      <c r="H300" t="s">
        <v>149</v>
      </c>
      <c r="I300" t="s">
        <v>149</v>
      </c>
      <c r="J300" t="s">
        <v>161</v>
      </c>
      <c r="K300" t="s">
        <v>157</v>
      </c>
      <c r="L300" t="s">
        <v>151</v>
      </c>
      <c r="M300">
        <v>163.21718935435121</v>
      </c>
      <c r="N300">
        <v>0</v>
      </c>
      <c r="O300" t="s">
        <v>152</v>
      </c>
      <c r="P300" s="2">
        <v>44656.074522685187</v>
      </c>
      <c r="Q300">
        <v>11</v>
      </c>
      <c r="R300" t="s">
        <v>101</v>
      </c>
      <c r="S300">
        <v>5.0137622512673099</v>
      </c>
      <c r="T300">
        <v>437.48699167847241</v>
      </c>
      <c r="U300">
        <v>9.4722971059891022E-3</v>
      </c>
      <c r="V300">
        <v>56.596044994387867</v>
      </c>
      <c r="W300" t="s">
        <v>17</v>
      </c>
      <c r="X300">
        <v>96.416825589707344</v>
      </c>
      <c r="Y300">
        <v>0.43748699167847233</v>
      </c>
      <c r="Z300">
        <v>483.41104052869872</v>
      </c>
      <c r="AA300">
        <v>73.501357135568654</v>
      </c>
      <c r="AB300">
        <v>56.596044994387867</v>
      </c>
      <c r="AC300">
        <v>73.501357135568654</v>
      </c>
      <c r="AD300" s="2">
        <v>44256</v>
      </c>
    </row>
    <row r="301" spans="1:30" hidden="1" x14ac:dyDescent="0.25">
      <c r="A301">
        <v>-1</v>
      </c>
      <c r="B301" t="s">
        <v>118</v>
      </c>
      <c r="C301">
        <v>2021</v>
      </c>
      <c r="D301">
        <v>3</v>
      </c>
      <c r="E301" t="s">
        <v>157</v>
      </c>
      <c r="F301" t="s">
        <v>93</v>
      </c>
      <c r="G301" t="s">
        <v>93</v>
      </c>
      <c r="H301" t="s">
        <v>149</v>
      </c>
      <c r="I301" t="s">
        <v>149</v>
      </c>
      <c r="J301" t="s">
        <v>161</v>
      </c>
      <c r="K301" t="s">
        <v>157</v>
      </c>
      <c r="L301" t="s">
        <v>151</v>
      </c>
      <c r="M301">
        <v>166.9949017555621</v>
      </c>
      <c r="N301">
        <v>0</v>
      </c>
      <c r="O301" t="s">
        <v>152</v>
      </c>
      <c r="P301" s="2">
        <v>44656.074522685187</v>
      </c>
      <c r="Q301">
        <v>11</v>
      </c>
      <c r="R301" t="s">
        <v>101</v>
      </c>
      <c r="S301">
        <v>5.0137622512673099</v>
      </c>
      <c r="T301">
        <v>437.48699167847241</v>
      </c>
      <c r="U301">
        <v>9.4722971059891022E-3</v>
      </c>
      <c r="V301">
        <v>56.596044994387867</v>
      </c>
      <c r="W301" t="s">
        <v>17</v>
      </c>
      <c r="X301">
        <v>96.416825589707344</v>
      </c>
      <c r="Y301">
        <v>0.43748699167847233</v>
      </c>
      <c r="Z301">
        <v>483.41104052869872</v>
      </c>
      <c r="AA301">
        <v>73.501357135568654</v>
      </c>
      <c r="AB301">
        <v>56.596044994387867</v>
      </c>
      <c r="AC301">
        <v>73.501357135568654</v>
      </c>
      <c r="AD301" s="2">
        <v>44256</v>
      </c>
    </row>
    <row r="302" spans="1:30" hidden="1" x14ac:dyDescent="0.25">
      <c r="A302">
        <v>-1</v>
      </c>
      <c r="B302" t="s">
        <v>118</v>
      </c>
      <c r="C302">
        <v>2021</v>
      </c>
      <c r="D302">
        <v>3</v>
      </c>
      <c r="E302" t="s">
        <v>158</v>
      </c>
      <c r="F302" t="s">
        <v>93</v>
      </c>
      <c r="G302" t="s">
        <v>93</v>
      </c>
      <c r="H302" t="s">
        <v>149</v>
      </c>
      <c r="I302" t="s">
        <v>149</v>
      </c>
      <c r="J302" t="s">
        <v>161</v>
      </c>
      <c r="K302" t="s">
        <v>158</v>
      </c>
      <c r="L302" t="s">
        <v>151</v>
      </c>
      <c r="M302">
        <v>260.78070384117473</v>
      </c>
      <c r="N302">
        <v>0</v>
      </c>
      <c r="O302" t="s">
        <v>152</v>
      </c>
      <c r="P302" s="2">
        <v>44656.074522685187</v>
      </c>
      <c r="Q302">
        <v>31</v>
      </c>
      <c r="R302" t="s">
        <v>153</v>
      </c>
      <c r="S302">
        <v>2.5188092113335849</v>
      </c>
      <c r="T302">
        <v>226.64580304058529</v>
      </c>
      <c r="U302">
        <v>4.7586838001788126E-3</v>
      </c>
      <c r="V302">
        <v>29.1051105001888</v>
      </c>
      <c r="W302" t="s">
        <v>17</v>
      </c>
      <c r="X302">
        <v>99.426884060610121</v>
      </c>
      <c r="Y302">
        <v>0.22664580304058529</v>
      </c>
      <c r="Z302">
        <v>250.4373514260611</v>
      </c>
      <c r="AA302">
        <v>37.798844805439998</v>
      </c>
      <c r="AB302">
        <v>29.1051105001888</v>
      </c>
      <c r="AC302">
        <v>37.798844805439998</v>
      </c>
      <c r="AD302" s="2">
        <v>44256</v>
      </c>
    </row>
    <row r="303" spans="1:30" hidden="1" x14ac:dyDescent="0.25">
      <c r="A303">
        <v>-1</v>
      </c>
      <c r="B303" t="s">
        <v>118</v>
      </c>
      <c r="C303">
        <v>2021</v>
      </c>
      <c r="D303">
        <v>3</v>
      </c>
      <c r="E303" t="s">
        <v>158</v>
      </c>
      <c r="F303" t="s">
        <v>93</v>
      </c>
      <c r="G303" t="s">
        <v>93</v>
      </c>
      <c r="H303" t="s">
        <v>149</v>
      </c>
      <c r="I303" t="s">
        <v>149</v>
      </c>
      <c r="J303" t="s">
        <v>161</v>
      </c>
      <c r="K303" t="s">
        <v>158</v>
      </c>
      <c r="L303" t="s">
        <v>151</v>
      </c>
      <c r="M303">
        <v>334.7541838996824</v>
      </c>
      <c r="N303">
        <v>1</v>
      </c>
      <c r="O303" t="s">
        <v>152</v>
      </c>
      <c r="P303" s="2">
        <v>44656.074522685187</v>
      </c>
      <c r="Q303">
        <v>31</v>
      </c>
      <c r="R303" t="s">
        <v>153</v>
      </c>
      <c r="S303">
        <v>2.5188092113335849</v>
      </c>
      <c r="T303">
        <v>226.64580304058529</v>
      </c>
      <c r="U303">
        <v>4.7586838001788126E-3</v>
      </c>
      <c r="V303">
        <v>29.1051105001888</v>
      </c>
      <c r="W303" t="s">
        <v>17</v>
      </c>
      <c r="X303">
        <v>99.426884060610121</v>
      </c>
      <c r="Y303">
        <v>0.22664580304058529</v>
      </c>
      <c r="Z303">
        <v>250.4373514260611</v>
      </c>
      <c r="AA303">
        <v>37.798844805439998</v>
      </c>
      <c r="AB303">
        <v>29.1051105001888</v>
      </c>
      <c r="AC303">
        <v>37.798844805439998</v>
      </c>
      <c r="AD303" s="2">
        <v>44256</v>
      </c>
    </row>
    <row r="304" spans="1:30" hidden="1" x14ac:dyDescent="0.25">
      <c r="A304">
        <v>-1</v>
      </c>
      <c r="B304" t="s">
        <v>118</v>
      </c>
      <c r="C304">
        <v>2021</v>
      </c>
      <c r="D304">
        <v>3</v>
      </c>
      <c r="E304" t="s">
        <v>158</v>
      </c>
      <c r="F304" t="s">
        <v>93</v>
      </c>
      <c r="G304" t="s">
        <v>93</v>
      </c>
      <c r="H304" t="s">
        <v>149</v>
      </c>
      <c r="I304" t="s">
        <v>149</v>
      </c>
      <c r="J304" t="s">
        <v>161</v>
      </c>
      <c r="K304" t="s">
        <v>158</v>
      </c>
      <c r="L304" t="s">
        <v>151</v>
      </c>
      <c r="M304">
        <v>459.20096188338528</v>
      </c>
      <c r="N304">
        <v>1</v>
      </c>
      <c r="O304" t="s">
        <v>152</v>
      </c>
      <c r="P304" s="2">
        <v>44656.074522685187</v>
      </c>
      <c r="Q304">
        <v>31</v>
      </c>
      <c r="R304" t="s">
        <v>153</v>
      </c>
      <c r="S304">
        <v>2.5188092113335849</v>
      </c>
      <c r="T304">
        <v>226.64580304058529</v>
      </c>
      <c r="U304">
        <v>4.7586838001788126E-3</v>
      </c>
      <c r="V304">
        <v>29.1051105001888</v>
      </c>
      <c r="W304" t="s">
        <v>17</v>
      </c>
      <c r="X304">
        <v>99.426884060610121</v>
      </c>
      <c r="Y304">
        <v>0.22664580304058529</v>
      </c>
      <c r="Z304">
        <v>250.4373514260611</v>
      </c>
      <c r="AA304">
        <v>37.798844805439998</v>
      </c>
      <c r="AB304">
        <v>29.1051105001888</v>
      </c>
      <c r="AC304">
        <v>37.798844805439998</v>
      </c>
      <c r="AD304" s="2">
        <v>44256</v>
      </c>
    </row>
    <row r="305" spans="1:30" hidden="1" x14ac:dyDescent="0.25">
      <c r="A305">
        <v>-1</v>
      </c>
      <c r="B305" t="s">
        <v>118</v>
      </c>
      <c r="C305">
        <v>2021</v>
      </c>
      <c r="D305">
        <v>3</v>
      </c>
      <c r="E305" t="s">
        <v>158</v>
      </c>
      <c r="F305" t="s">
        <v>93</v>
      </c>
      <c r="G305" t="s">
        <v>93</v>
      </c>
      <c r="H305" t="s">
        <v>149</v>
      </c>
      <c r="I305" t="s">
        <v>149</v>
      </c>
      <c r="J305" t="s">
        <v>161</v>
      </c>
      <c r="K305" t="s">
        <v>158</v>
      </c>
      <c r="L305" t="s">
        <v>151</v>
      </c>
      <c r="M305">
        <v>260.78070384117473</v>
      </c>
      <c r="N305">
        <v>0</v>
      </c>
      <c r="O305" t="s">
        <v>152</v>
      </c>
      <c r="P305" s="2">
        <v>44656.074522685187</v>
      </c>
      <c r="Q305">
        <v>13</v>
      </c>
      <c r="R305" t="s">
        <v>154</v>
      </c>
      <c r="S305">
        <v>323.48237060051588</v>
      </c>
      <c r="T305">
        <v>27625.736074738259</v>
      </c>
      <c r="U305">
        <v>0.61114208638498047</v>
      </c>
      <c r="V305">
        <v>3673.7415072584981</v>
      </c>
      <c r="W305" t="s">
        <v>17</v>
      </c>
      <c r="X305">
        <v>94.365807830692859</v>
      </c>
      <c r="Y305">
        <v>27.62573607473826</v>
      </c>
      <c r="Z305">
        <v>30525.675220705249</v>
      </c>
      <c r="AA305">
        <v>4771.0928665694773</v>
      </c>
      <c r="AB305">
        <v>3673.7415072584981</v>
      </c>
      <c r="AC305">
        <v>4771.0928665694773</v>
      </c>
      <c r="AD305" s="2">
        <v>44256</v>
      </c>
    </row>
    <row r="306" spans="1:30" hidden="1" x14ac:dyDescent="0.25">
      <c r="A306">
        <v>-1</v>
      </c>
      <c r="B306" t="s">
        <v>118</v>
      </c>
      <c r="C306">
        <v>2021</v>
      </c>
      <c r="D306">
        <v>3</v>
      </c>
      <c r="E306" t="s">
        <v>158</v>
      </c>
      <c r="F306" t="s">
        <v>93</v>
      </c>
      <c r="G306" t="s">
        <v>93</v>
      </c>
      <c r="H306" t="s">
        <v>149</v>
      </c>
      <c r="I306" t="s">
        <v>149</v>
      </c>
      <c r="J306" t="s">
        <v>161</v>
      </c>
      <c r="K306" t="s">
        <v>158</v>
      </c>
      <c r="L306" t="s">
        <v>151</v>
      </c>
      <c r="M306">
        <v>334.7541838996824</v>
      </c>
      <c r="N306">
        <v>1</v>
      </c>
      <c r="O306" t="s">
        <v>152</v>
      </c>
      <c r="P306" s="2">
        <v>44656.074522685187</v>
      </c>
      <c r="Q306">
        <v>13</v>
      </c>
      <c r="R306" t="s">
        <v>154</v>
      </c>
      <c r="S306">
        <v>323.48237060051588</v>
      </c>
      <c r="T306">
        <v>27625.736074738259</v>
      </c>
      <c r="U306">
        <v>0.61114208638498047</v>
      </c>
      <c r="V306">
        <v>3673.7415072584981</v>
      </c>
      <c r="W306" t="s">
        <v>17</v>
      </c>
      <c r="X306">
        <v>94.365807830692859</v>
      </c>
      <c r="Y306">
        <v>27.62573607473826</v>
      </c>
      <c r="Z306">
        <v>30525.675220705249</v>
      </c>
      <c r="AA306">
        <v>4771.0928665694773</v>
      </c>
      <c r="AB306">
        <v>3673.7415072584981</v>
      </c>
      <c r="AC306">
        <v>4771.0928665694773</v>
      </c>
      <c r="AD306" s="2">
        <v>44256</v>
      </c>
    </row>
    <row r="307" spans="1:30" hidden="1" x14ac:dyDescent="0.25">
      <c r="A307">
        <v>-1</v>
      </c>
      <c r="B307" t="s">
        <v>118</v>
      </c>
      <c r="C307">
        <v>2021</v>
      </c>
      <c r="D307">
        <v>3</v>
      </c>
      <c r="E307" t="s">
        <v>158</v>
      </c>
      <c r="F307" t="s">
        <v>93</v>
      </c>
      <c r="G307" t="s">
        <v>93</v>
      </c>
      <c r="H307" t="s">
        <v>149</v>
      </c>
      <c r="I307" t="s">
        <v>149</v>
      </c>
      <c r="J307" t="s">
        <v>161</v>
      </c>
      <c r="K307" t="s">
        <v>158</v>
      </c>
      <c r="L307" t="s">
        <v>151</v>
      </c>
      <c r="M307">
        <v>459.20096188338528</v>
      </c>
      <c r="N307">
        <v>1</v>
      </c>
      <c r="O307" t="s">
        <v>152</v>
      </c>
      <c r="P307" s="2">
        <v>44656.074522685187</v>
      </c>
      <c r="Q307">
        <v>13</v>
      </c>
      <c r="R307" t="s">
        <v>154</v>
      </c>
      <c r="S307">
        <v>323.48237060051588</v>
      </c>
      <c r="T307">
        <v>27625.736074738259</v>
      </c>
      <c r="U307">
        <v>0.61114208638498047</v>
      </c>
      <c r="V307">
        <v>3673.7415072584981</v>
      </c>
      <c r="W307" t="s">
        <v>17</v>
      </c>
      <c r="X307">
        <v>94.365807830692859</v>
      </c>
      <c r="Y307">
        <v>27.62573607473826</v>
      </c>
      <c r="Z307">
        <v>30525.675220705249</v>
      </c>
      <c r="AA307">
        <v>4771.0928665694773</v>
      </c>
      <c r="AB307">
        <v>3673.7415072584981</v>
      </c>
      <c r="AC307">
        <v>4771.0928665694773</v>
      </c>
      <c r="AD307" s="2">
        <v>44256</v>
      </c>
    </row>
    <row r="308" spans="1:30" hidden="1" x14ac:dyDescent="0.25">
      <c r="A308">
        <v>-1</v>
      </c>
      <c r="B308" t="s">
        <v>118</v>
      </c>
      <c r="C308">
        <v>2021</v>
      </c>
      <c r="D308">
        <v>3</v>
      </c>
      <c r="E308" t="s">
        <v>158</v>
      </c>
      <c r="F308" t="s">
        <v>93</v>
      </c>
      <c r="G308" t="s">
        <v>93</v>
      </c>
      <c r="H308" t="s">
        <v>149</v>
      </c>
      <c r="I308" t="s">
        <v>149</v>
      </c>
      <c r="J308" t="s">
        <v>161</v>
      </c>
      <c r="K308" t="s">
        <v>158</v>
      </c>
      <c r="L308" t="s">
        <v>151</v>
      </c>
      <c r="M308">
        <v>260.78070384117473</v>
      </c>
      <c r="N308">
        <v>0</v>
      </c>
      <c r="O308" t="s">
        <v>152</v>
      </c>
      <c r="P308" s="2">
        <v>44656.074522685187</v>
      </c>
      <c r="Q308">
        <v>5</v>
      </c>
      <c r="R308" t="s">
        <v>100</v>
      </c>
      <c r="S308">
        <v>10.87041625394105</v>
      </c>
      <c r="T308">
        <v>883.2262267626686</v>
      </c>
      <c r="U308">
        <v>2.0537035316558119E-2</v>
      </c>
      <c r="V308">
        <v>120.7720651293228</v>
      </c>
      <c r="W308" t="s">
        <v>17</v>
      </c>
      <c r="X308">
        <v>89.779504230518484</v>
      </c>
      <c r="Y308">
        <v>0.88322622676266849</v>
      </c>
      <c r="Z308">
        <v>975.94058205819726</v>
      </c>
      <c r="AA308">
        <v>156.84683783028939</v>
      </c>
      <c r="AB308">
        <v>120.7720651293228</v>
      </c>
      <c r="AC308">
        <v>156.84683783028939</v>
      </c>
      <c r="AD308" s="2">
        <v>44256</v>
      </c>
    </row>
    <row r="309" spans="1:30" hidden="1" x14ac:dyDescent="0.25">
      <c r="A309">
        <v>-1</v>
      </c>
      <c r="B309" t="s">
        <v>118</v>
      </c>
      <c r="C309">
        <v>2021</v>
      </c>
      <c r="D309">
        <v>3</v>
      </c>
      <c r="E309" t="s">
        <v>158</v>
      </c>
      <c r="F309" t="s">
        <v>93</v>
      </c>
      <c r="G309" t="s">
        <v>93</v>
      </c>
      <c r="H309" t="s">
        <v>149</v>
      </c>
      <c r="I309" t="s">
        <v>149</v>
      </c>
      <c r="J309" t="s">
        <v>161</v>
      </c>
      <c r="K309" t="s">
        <v>158</v>
      </c>
      <c r="L309" t="s">
        <v>151</v>
      </c>
      <c r="M309">
        <v>334.7541838996824</v>
      </c>
      <c r="N309">
        <v>1</v>
      </c>
      <c r="O309" t="s">
        <v>152</v>
      </c>
      <c r="P309" s="2">
        <v>44656.074522685187</v>
      </c>
      <c r="Q309">
        <v>5</v>
      </c>
      <c r="R309" t="s">
        <v>100</v>
      </c>
      <c r="S309">
        <v>10.87041625394105</v>
      </c>
      <c r="T309">
        <v>883.2262267626686</v>
      </c>
      <c r="U309">
        <v>2.0537035316558119E-2</v>
      </c>
      <c r="V309">
        <v>120.7720651293228</v>
      </c>
      <c r="W309" t="s">
        <v>17</v>
      </c>
      <c r="X309">
        <v>89.779504230518484</v>
      </c>
      <c r="Y309">
        <v>0.88322622676266849</v>
      </c>
      <c r="Z309">
        <v>975.94058205819726</v>
      </c>
      <c r="AA309">
        <v>156.84683783028939</v>
      </c>
      <c r="AB309">
        <v>120.7720651293228</v>
      </c>
      <c r="AC309">
        <v>156.84683783028939</v>
      </c>
      <c r="AD309" s="2">
        <v>44256</v>
      </c>
    </row>
    <row r="310" spans="1:30" hidden="1" x14ac:dyDescent="0.25">
      <c r="A310">
        <v>-1</v>
      </c>
      <c r="B310" t="s">
        <v>118</v>
      </c>
      <c r="C310">
        <v>2021</v>
      </c>
      <c r="D310">
        <v>3</v>
      </c>
      <c r="E310" t="s">
        <v>158</v>
      </c>
      <c r="F310" t="s">
        <v>93</v>
      </c>
      <c r="G310" t="s">
        <v>93</v>
      </c>
      <c r="H310" t="s">
        <v>149</v>
      </c>
      <c r="I310" t="s">
        <v>149</v>
      </c>
      <c r="J310" t="s">
        <v>161</v>
      </c>
      <c r="K310" t="s">
        <v>158</v>
      </c>
      <c r="L310" t="s">
        <v>151</v>
      </c>
      <c r="M310">
        <v>459.20096188338528</v>
      </c>
      <c r="N310">
        <v>1</v>
      </c>
      <c r="O310" t="s">
        <v>152</v>
      </c>
      <c r="P310" s="2">
        <v>44656.074522685187</v>
      </c>
      <c r="Q310">
        <v>5</v>
      </c>
      <c r="R310" t="s">
        <v>100</v>
      </c>
      <c r="S310">
        <v>10.87041625394105</v>
      </c>
      <c r="T310">
        <v>883.2262267626686</v>
      </c>
      <c r="U310">
        <v>2.0537035316558119E-2</v>
      </c>
      <c r="V310">
        <v>120.7720651293228</v>
      </c>
      <c r="W310" t="s">
        <v>17</v>
      </c>
      <c r="X310">
        <v>89.779504230518484</v>
      </c>
      <c r="Y310">
        <v>0.88322622676266849</v>
      </c>
      <c r="Z310">
        <v>975.94058205819726</v>
      </c>
      <c r="AA310">
        <v>156.84683783028939</v>
      </c>
      <c r="AB310">
        <v>120.7720651293228</v>
      </c>
      <c r="AC310">
        <v>156.84683783028939</v>
      </c>
      <c r="AD310" s="2">
        <v>44256</v>
      </c>
    </row>
    <row r="311" spans="1:30" hidden="1" x14ac:dyDescent="0.25">
      <c r="A311">
        <v>-1</v>
      </c>
      <c r="B311" t="s">
        <v>118</v>
      </c>
      <c r="C311">
        <v>2021</v>
      </c>
      <c r="D311">
        <v>3</v>
      </c>
      <c r="E311" t="s">
        <v>158</v>
      </c>
      <c r="F311" t="s">
        <v>93</v>
      </c>
      <c r="G311" t="s">
        <v>93</v>
      </c>
      <c r="H311" t="s">
        <v>149</v>
      </c>
      <c r="I311" t="s">
        <v>149</v>
      </c>
      <c r="J311" t="s">
        <v>161</v>
      </c>
      <c r="K311" t="s">
        <v>158</v>
      </c>
      <c r="L311" t="s">
        <v>151</v>
      </c>
      <c r="M311">
        <v>260.78070384117473</v>
      </c>
      <c r="N311">
        <v>0</v>
      </c>
      <c r="O311" t="s">
        <v>152</v>
      </c>
      <c r="P311" s="2">
        <v>44656.074522685187</v>
      </c>
      <c r="Q311">
        <v>11</v>
      </c>
      <c r="R311" t="s">
        <v>101</v>
      </c>
      <c r="S311">
        <v>8.2716736324590752</v>
      </c>
      <c r="T311">
        <v>721.763305129988</v>
      </c>
      <c r="U311">
        <v>1.5627336575567339E-2</v>
      </c>
      <c r="V311">
        <v>93.371801377940187</v>
      </c>
      <c r="W311" t="s">
        <v>17</v>
      </c>
      <c r="X311">
        <v>96.416825589707372</v>
      </c>
      <c r="Y311">
        <v>0.72176330512998799</v>
      </c>
      <c r="Z311">
        <v>797.52851395578784</v>
      </c>
      <c r="AA311">
        <v>121.2620797116106</v>
      </c>
      <c r="AB311">
        <v>93.371801377940187</v>
      </c>
      <c r="AC311">
        <v>121.2620797116106</v>
      </c>
      <c r="AD311" s="2">
        <v>44256</v>
      </c>
    </row>
    <row r="312" spans="1:30" hidden="1" x14ac:dyDescent="0.25">
      <c r="A312">
        <v>-1</v>
      </c>
      <c r="B312" t="s">
        <v>118</v>
      </c>
      <c r="C312">
        <v>2021</v>
      </c>
      <c r="D312">
        <v>3</v>
      </c>
      <c r="E312" t="s">
        <v>158</v>
      </c>
      <c r="F312" t="s">
        <v>93</v>
      </c>
      <c r="G312" t="s">
        <v>93</v>
      </c>
      <c r="H312" t="s">
        <v>149</v>
      </c>
      <c r="I312" t="s">
        <v>149</v>
      </c>
      <c r="J312" t="s">
        <v>161</v>
      </c>
      <c r="K312" t="s">
        <v>158</v>
      </c>
      <c r="L312" t="s">
        <v>151</v>
      </c>
      <c r="M312">
        <v>334.7541838996824</v>
      </c>
      <c r="N312">
        <v>1</v>
      </c>
      <c r="O312" t="s">
        <v>152</v>
      </c>
      <c r="P312" s="2">
        <v>44656.074522685187</v>
      </c>
      <c r="Q312">
        <v>11</v>
      </c>
      <c r="R312" t="s">
        <v>101</v>
      </c>
      <c r="S312">
        <v>8.2716736324590752</v>
      </c>
      <c r="T312">
        <v>721.763305129988</v>
      </c>
      <c r="U312">
        <v>1.5627336575567339E-2</v>
      </c>
      <c r="V312">
        <v>93.371801377940187</v>
      </c>
      <c r="W312" t="s">
        <v>17</v>
      </c>
      <c r="X312">
        <v>96.416825589707372</v>
      </c>
      <c r="Y312">
        <v>0.72176330512998799</v>
      </c>
      <c r="Z312">
        <v>797.52851395578784</v>
      </c>
      <c r="AA312">
        <v>121.2620797116106</v>
      </c>
      <c r="AB312">
        <v>93.371801377940187</v>
      </c>
      <c r="AC312">
        <v>121.2620797116106</v>
      </c>
      <c r="AD312" s="2">
        <v>44256</v>
      </c>
    </row>
    <row r="313" spans="1:30" hidden="1" x14ac:dyDescent="0.25">
      <c r="A313">
        <v>-1</v>
      </c>
      <c r="B313" t="s">
        <v>118</v>
      </c>
      <c r="C313">
        <v>2021</v>
      </c>
      <c r="D313">
        <v>3</v>
      </c>
      <c r="E313" t="s">
        <v>158</v>
      </c>
      <c r="F313" t="s">
        <v>93</v>
      </c>
      <c r="G313" t="s">
        <v>93</v>
      </c>
      <c r="H313" t="s">
        <v>149</v>
      </c>
      <c r="I313" t="s">
        <v>149</v>
      </c>
      <c r="J313" t="s">
        <v>161</v>
      </c>
      <c r="K313" t="s">
        <v>158</v>
      </c>
      <c r="L313" t="s">
        <v>151</v>
      </c>
      <c r="M313">
        <v>459.20096188338528</v>
      </c>
      <c r="N313">
        <v>1</v>
      </c>
      <c r="O313" t="s">
        <v>152</v>
      </c>
      <c r="P313" s="2">
        <v>44656.074522685187</v>
      </c>
      <c r="Q313">
        <v>11</v>
      </c>
      <c r="R313" t="s">
        <v>101</v>
      </c>
      <c r="S313">
        <v>8.2716736324590752</v>
      </c>
      <c r="T313">
        <v>721.763305129988</v>
      </c>
      <c r="U313">
        <v>1.5627336575567339E-2</v>
      </c>
      <c r="V313">
        <v>93.371801377940187</v>
      </c>
      <c r="W313" t="s">
        <v>17</v>
      </c>
      <c r="X313">
        <v>96.416825589707372</v>
      </c>
      <c r="Y313">
        <v>0.72176330512998799</v>
      </c>
      <c r="Z313">
        <v>797.52851395578784</v>
      </c>
      <c r="AA313">
        <v>121.2620797116106</v>
      </c>
      <c r="AB313">
        <v>93.371801377940187</v>
      </c>
      <c r="AC313">
        <v>121.2620797116106</v>
      </c>
      <c r="AD313" s="2">
        <v>44256</v>
      </c>
    </row>
    <row r="314" spans="1:30" hidden="1" x14ac:dyDescent="0.25">
      <c r="A314">
        <v>-1</v>
      </c>
      <c r="B314" t="s">
        <v>118</v>
      </c>
      <c r="C314">
        <v>2021</v>
      </c>
      <c r="D314">
        <v>3</v>
      </c>
      <c r="E314" t="s">
        <v>159</v>
      </c>
      <c r="F314" t="s">
        <v>93</v>
      </c>
      <c r="G314" t="s">
        <v>93</v>
      </c>
      <c r="H314" t="s">
        <v>149</v>
      </c>
      <c r="I314" t="s">
        <v>149</v>
      </c>
      <c r="J314" t="s">
        <v>161</v>
      </c>
      <c r="K314" t="s">
        <v>159</v>
      </c>
      <c r="L314" t="s">
        <v>151</v>
      </c>
      <c r="M314">
        <v>1113.934878728606</v>
      </c>
      <c r="N314">
        <v>2</v>
      </c>
      <c r="O314" t="s">
        <v>152</v>
      </c>
      <c r="P314" s="2">
        <v>44656.074522685187</v>
      </c>
      <c r="Q314">
        <v>31</v>
      </c>
      <c r="R314" t="s">
        <v>153</v>
      </c>
      <c r="S314">
        <v>4.4327491046444107</v>
      </c>
      <c r="T314">
        <v>398.8646603240141</v>
      </c>
      <c r="U314">
        <v>8.3746125985303382E-3</v>
      </c>
      <c r="V314">
        <v>51.22089117737552</v>
      </c>
      <c r="W314" t="s">
        <v>17</v>
      </c>
      <c r="X314">
        <v>99.426884060610107</v>
      </c>
      <c r="Y314">
        <v>0.39886466032401408</v>
      </c>
      <c r="Z314">
        <v>440.73443129725308</v>
      </c>
      <c r="AA314">
        <v>66.520637892695476</v>
      </c>
      <c r="AB314">
        <v>51.22089117737552</v>
      </c>
      <c r="AC314">
        <v>66.520637892695476</v>
      </c>
      <c r="AD314" s="2">
        <v>44256</v>
      </c>
    </row>
    <row r="315" spans="1:30" hidden="1" x14ac:dyDescent="0.25">
      <c r="A315">
        <v>-1</v>
      </c>
      <c r="B315" t="s">
        <v>118</v>
      </c>
      <c r="C315">
        <v>2021</v>
      </c>
      <c r="D315">
        <v>3</v>
      </c>
      <c r="E315" t="s">
        <v>159</v>
      </c>
      <c r="F315" t="s">
        <v>93</v>
      </c>
      <c r="G315" t="s">
        <v>93</v>
      </c>
      <c r="H315" t="s">
        <v>149</v>
      </c>
      <c r="I315" t="s">
        <v>149</v>
      </c>
      <c r="J315" t="s">
        <v>161</v>
      </c>
      <c r="K315" t="s">
        <v>159</v>
      </c>
      <c r="L315" t="s">
        <v>151</v>
      </c>
      <c r="M315">
        <v>1306.0945500587791</v>
      </c>
      <c r="N315">
        <v>2</v>
      </c>
      <c r="O315" t="s">
        <v>152</v>
      </c>
      <c r="P315" s="2">
        <v>44656.074522685187</v>
      </c>
      <c r="Q315">
        <v>31</v>
      </c>
      <c r="R315" t="s">
        <v>153</v>
      </c>
      <c r="S315">
        <v>4.4327491046444107</v>
      </c>
      <c r="T315">
        <v>398.8646603240141</v>
      </c>
      <c r="U315">
        <v>8.3746125985303382E-3</v>
      </c>
      <c r="V315">
        <v>51.22089117737552</v>
      </c>
      <c r="W315" t="s">
        <v>17</v>
      </c>
      <c r="X315">
        <v>99.426884060610107</v>
      </c>
      <c r="Y315">
        <v>0.39886466032401408</v>
      </c>
      <c r="Z315">
        <v>440.73443129725308</v>
      </c>
      <c r="AA315">
        <v>66.520637892695476</v>
      </c>
      <c r="AB315">
        <v>51.22089117737552</v>
      </c>
      <c r="AC315">
        <v>66.520637892695476</v>
      </c>
      <c r="AD315" s="2">
        <v>44256</v>
      </c>
    </row>
    <row r="316" spans="1:30" hidden="1" x14ac:dyDescent="0.25">
      <c r="A316">
        <v>-1</v>
      </c>
      <c r="B316" t="s">
        <v>118</v>
      </c>
      <c r="C316">
        <v>2021</v>
      </c>
      <c r="D316">
        <v>3</v>
      </c>
      <c r="E316" t="s">
        <v>159</v>
      </c>
      <c r="F316" t="s">
        <v>93</v>
      </c>
      <c r="G316" t="s">
        <v>93</v>
      </c>
      <c r="H316" t="s">
        <v>149</v>
      </c>
      <c r="I316" t="s">
        <v>149</v>
      </c>
      <c r="J316" t="s">
        <v>161</v>
      </c>
      <c r="K316" t="s">
        <v>159</v>
      </c>
      <c r="L316" t="s">
        <v>151</v>
      </c>
      <c r="M316">
        <v>1495.286919907574</v>
      </c>
      <c r="N316">
        <v>2</v>
      </c>
      <c r="O316" t="s">
        <v>152</v>
      </c>
      <c r="P316" s="2">
        <v>44656.074522685187</v>
      </c>
      <c r="Q316">
        <v>31</v>
      </c>
      <c r="R316" t="s">
        <v>153</v>
      </c>
      <c r="S316">
        <v>4.4327491046444107</v>
      </c>
      <c r="T316">
        <v>398.8646603240141</v>
      </c>
      <c r="U316">
        <v>8.3746125985303382E-3</v>
      </c>
      <c r="V316">
        <v>51.22089117737552</v>
      </c>
      <c r="W316" t="s">
        <v>17</v>
      </c>
      <c r="X316">
        <v>99.426884060610107</v>
      </c>
      <c r="Y316">
        <v>0.39886466032401408</v>
      </c>
      <c r="Z316">
        <v>440.73443129725308</v>
      </c>
      <c r="AA316">
        <v>66.520637892695476</v>
      </c>
      <c r="AB316">
        <v>51.22089117737552</v>
      </c>
      <c r="AC316">
        <v>66.520637892695476</v>
      </c>
      <c r="AD316" s="2">
        <v>44256</v>
      </c>
    </row>
    <row r="317" spans="1:30" hidden="1" x14ac:dyDescent="0.25">
      <c r="A317">
        <v>-1</v>
      </c>
      <c r="B317" t="s">
        <v>118</v>
      </c>
      <c r="C317">
        <v>2021</v>
      </c>
      <c r="D317">
        <v>3</v>
      </c>
      <c r="E317" t="s">
        <v>159</v>
      </c>
      <c r="F317" t="s">
        <v>93</v>
      </c>
      <c r="G317" t="s">
        <v>93</v>
      </c>
      <c r="H317" t="s">
        <v>149</v>
      </c>
      <c r="I317" t="s">
        <v>149</v>
      </c>
      <c r="J317" t="s">
        <v>161</v>
      </c>
      <c r="K317" t="s">
        <v>159</v>
      </c>
      <c r="L317" t="s">
        <v>151</v>
      </c>
      <c r="M317">
        <v>1113.934878728606</v>
      </c>
      <c r="N317">
        <v>2</v>
      </c>
      <c r="O317" t="s">
        <v>152</v>
      </c>
      <c r="P317" s="2">
        <v>44656.074522685187</v>
      </c>
      <c r="Q317">
        <v>13</v>
      </c>
      <c r="R317" t="s">
        <v>154</v>
      </c>
      <c r="S317">
        <v>1106.111339062033</v>
      </c>
      <c r="T317">
        <v>94463.076505456702</v>
      </c>
      <c r="U317">
        <v>2.0897311661019988</v>
      </c>
      <c r="V317">
        <v>12561.94311429653</v>
      </c>
      <c r="W317" t="s">
        <v>17</v>
      </c>
      <c r="X317">
        <v>94.365807830692859</v>
      </c>
      <c r="Y317">
        <v>94.463076505456684</v>
      </c>
      <c r="Z317">
        <v>104379.0900612781</v>
      </c>
      <c r="AA317">
        <v>16314.211836748729</v>
      </c>
      <c r="AB317">
        <v>12561.94311429653</v>
      </c>
      <c r="AC317">
        <v>16314.211836748729</v>
      </c>
      <c r="AD317" s="2">
        <v>44256</v>
      </c>
    </row>
    <row r="318" spans="1:30" hidden="1" x14ac:dyDescent="0.25">
      <c r="A318">
        <v>-1</v>
      </c>
      <c r="B318" t="s">
        <v>118</v>
      </c>
      <c r="C318">
        <v>2021</v>
      </c>
      <c r="D318">
        <v>3</v>
      </c>
      <c r="E318" t="s">
        <v>159</v>
      </c>
      <c r="F318" t="s">
        <v>93</v>
      </c>
      <c r="G318" t="s">
        <v>93</v>
      </c>
      <c r="H318" t="s">
        <v>149</v>
      </c>
      <c r="I318" t="s">
        <v>149</v>
      </c>
      <c r="J318" t="s">
        <v>161</v>
      </c>
      <c r="K318" t="s">
        <v>159</v>
      </c>
      <c r="L318" t="s">
        <v>151</v>
      </c>
      <c r="M318">
        <v>1306.0945500587791</v>
      </c>
      <c r="N318">
        <v>2</v>
      </c>
      <c r="O318" t="s">
        <v>152</v>
      </c>
      <c r="P318" s="2">
        <v>44656.074522685187</v>
      </c>
      <c r="Q318">
        <v>13</v>
      </c>
      <c r="R318" t="s">
        <v>154</v>
      </c>
      <c r="S318">
        <v>1106.111339062033</v>
      </c>
      <c r="T318">
        <v>94463.076505456702</v>
      </c>
      <c r="U318">
        <v>2.0897311661019988</v>
      </c>
      <c r="V318">
        <v>12561.94311429653</v>
      </c>
      <c r="W318" t="s">
        <v>17</v>
      </c>
      <c r="X318">
        <v>94.365807830692859</v>
      </c>
      <c r="Y318">
        <v>94.463076505456684</v>
      </c>
      <c r="Z318">
        <v>104379.0900612781</v>
      </c>
      <c r="AA318">
        <v>16314.211836748729</v>
      </c>
      <c r="AB318">
        <v>12561.94311429653</v>
      </c>
      <c r="AC318">
        <v>16314.211836748729</v>
      </c>
      <c r="AD318" s="2">
        <v>44256</v>
      </c>
    </row>
    <row r="319" spans="1:30" hidden="1" x14ac:dyDescent="0.25">
      <c r="A319">
        <v>-1</v>
      </c>
      <c r="B319" t="s">
        <v>118</v>
      </c>
      <c r="C319">
        <v>2021</v>
      </c>
      <c r="D319">
        <v>3</v>
      </c>
      <c r="E319" t="s">
        <v>159</v>
      </c>
      <c r="F319" t="s">
        <v>93</v>
      </c>
      <c r="G319" t="s">
        <v>93</v>
      </c>
      <c r="H319" t="s">
        <v>149</v>
      </c>
      <c r="I319" t="s">
        <v>149</v>
      </c>
      <c r="J319" t="s">
        <v>161</v>
      </c>
      <c r="K319" t="s">
        <v>159</v>
      </c>
      <c r="L319" t="s">
        <v>151</v>
      </c>
      <c r="M319">
        <v>1495.286919907574</v>
      </c>
      <c r="N319">
        <v>2</v>
      </c>
      <c r="O319" t="s">
        <v>152</v>
      </c>
      <c r="P319" s="2">
        <v>44656.074522685187</v>
      </c>
      <c r="Q319">
        <v>13</v>
      </c>
      <c r="R319" t="s">
        <v>154</v>
      </c>
      <c r="S319">
        <v>1106.111339062033</v>
      </c>
      <c r="T319">
        <v>94463.076505456702</v>
      </c>
      <c r="U319">
        <v>2.0897311661019988</v>
      </c>
      <c r="V319">
        <v>12561.94311429653</v>
      </c>
      <c r="W319" t="s">
        <v>17</v>
      </c>
      <c r="X319">
        <v>94.365807830692859</v>
      </c>
      <c r="Y319">
        <v>94.463076505456684</v>
      </c>
      <c r="Z319">
        <v>104379.0900612781</v>
      </c>
      <c r="AA319">
        <v>16314.211836748729</v>
      </c>
      <c r="AB319">
        <v>12561.94311429653</v>
      </c>
      <c r="AC319">
        <v>16314.211836748729</v>
      </c>
      <c r="AD319" s="2">
        <v>44256</v>
      </c>
    </row>
    <row r="320" spans="1:30" hidden="1" x14ac:dyDescent="0.25">
      <c r="A320">
        <v>-1</v>
      </c>
      <c r="B320" t="s">
        <v>118</v>
      </c>
      <c r="C320">
        <v>2021</v>
      </c>
      <c r="D320">
        <v>3</v>
      </c>
      <c r="E320" t="s">
        <v>159</v>
      </c>
      <c r="F320" t="s">
        <v>93</v>
      </c>
      <c r="G320" t="s">
        <v>93</v>
      </c>
      <c r="H320" t="s">
        <v>149</v>
      </c>
      <c r="I320" t="s">
        <v>149</v>
      </c>
      <c r="J320" t="s">
        <v>161</v>
      </c>
      <c r="K320" t="s">
        <v>159</v>
      </c>
      <c r="L320" t="s">
        <v>151</v>
      </c>
      <c r="M320">
        <v>1113.934878728606</v>
      </c>
      <c r="N320">
        <v>2</v>
      </c>
      <c r="O320" t="s">
        <v>152</v>
      </c>
      <c r="P320" s="2">
        <v>44656.074522685187</v>
      </c>
      <c r="Q320">
        <v>5</v>
      </c>
      <c r="R320" t="s">
        <v>100</v>
      </c>
      <c r="S320">
        <v>21.600278644258989</v>
      </c>
      <c r="T320">
        <v>1755.032388669978</v>
      </c>
      <c r="U320">
        <v>4.0808527935056273E-2</v>
      </c>
      <c r="V320">
        <v>239.9825543286058</v>
      </c>
      <c r="W320" t="s">
        <v>17</v>
      </c>
      <c r="X320">
        <v>89.779504230518498</v>
      </c>
      <c r="Y320">
        <v>1.755032388669979</v>
      </c>
      <c r="Z320">
        <v>1939.262307922628</v>
      </c>
      <c r="AA320">
        <v>311.66565497221529</v>
      </c>
      <c r="AB320">
        <v>239.9825543286058</v>
      </c>
      <c r="AC320">
        <v>311.66565497221529</v>
      </c>
      <c r="AD320" s="2">
        <v>44256</v>
      </c>
    </row>
    <row r="321" spans="1:30" hidden="1" x14ac:dyDescent="0.25">
      <c r="A321">
        <v>-1</v>
      </c>
      <c r="B321" t="s">
        <v>118</v>
      </c>
      <c r="C321">
        <v>2021</v>
      </c>
      <c r="D321">
        <v>3</v>
      </c>
      <c r="E321" t="s">
        <v>159</v>
      </c>
      <c r="F321" t="s">
        <v>93</v>
      </c>
      <c r="G321" t="s">
        <v>93</v>
      </c>
      <c r="H321" t="s">
        <v>149</v>
      </c>
      <c r="I321" t="s">
        <v>149</v>
      </c>
      <c r="J321" t="s">
        <v>161</v>
      </c>
      <c r="K321" t="s">
        <v>159</v>
      </c>
      <c r="L321" t="s">
        <v>151</v>
      </c>
      <c r="M321">
        <v>1306.0945500587791</v>
      </c>
      <c r="N321">
        <v>2</v>
      </c>
      <c r="O321" t="s">
        <v>152</v>
      </c>
      <c r="P321" s="2">
        <v>44656.074522685187</v>
      </c>
      <c r="Q321">
        <v>5</v>
      </c>
      <c r="R321" t="s">
        <v>100</v>
      </c>
      <c r="S321">
        <v>21.600278644258989</v>
      </c>
      <c r="T321">
        <v>1755.032388669978</v>
      </c>
      <c r="U321">
        <v>4.0808527935056273E-2</v>
      </c>
      <c r="V321">
        <v>239.9825543286058</v>
      </c>
      <c r="W321" t="s">
        <v>17</v>
      </c>
      <c r="X321">
        <v>89.779504230518498</v>
      </c>
      <c r="Y321">
        <v>1.755032388669979</v>
      </c>
      <c r="Z321">
        <v>1939.262307922628</v>
      </c>
      <c r="AA321">
        <v>311.66565497221529</v>
      </c>
      <c r="AB321">
        <v>239.9825543286058</v>
      </c>
      <c r="AC321">
        <v>311.66565497221529</v>
      </c>
      <c r="AD321" s="2">
        <v>44256</v>
      </c>
    </row>
    <row r="322" spans="1:30" hidden="1" x14ac:dyDescent="0.25">
      <c r="A322">
        <v>-1</v>
      </c>
      <c r="B322" t="s">
        <v>118</v>
      </c>
      <c r="C322">
        <v>2021</v>
      </c>
      <c r="D322">
        <v>3</v>
      </c>
      <c r="E322" t="s">
        <v>159</v>
      </c>
      <c r="F322" t="s">
        <v>93</v>
      </c>
      <c r="G322" t="s">
        <v>93</v>
      </c>
      <c r="H322" t="s">
        <v>149</v>
      </c>
      <c r="I322" t="s">
        <v>149</v>
      </c>
      <c r="J322" t="s">
        <v>161</v>
      </c>
      <c r="K322" t="s">
        <v>159</v>
      </c>
      <c r="L322" t="s">
        <v>151</v>
      </c>
      <c r="M322">
        <v>1495.286919907574</v>
      </c>
      <c r="N322">
        <v>2</v>
      </c>
      <c r="O322" t="s">
        <v>152</v>
      </c>
      <c r="P322" s="2">
        <v>44656.074522685187</v>
      </c>
      <c r="Q322">
        <v>5</v>
      </c>
      <c r="R322" t="s">
        <v>100</v>
      </c>
      <c r="S322">
        <v>21.600278644258989</v>
      </c>
      <c r="T322">
        <v>1755.032388669978</v>
      </c>
      <c r="U322">
        <v>4.0808527935056273E-2</v>
      </c>
      <c r="V322">
        <v>239.9825543286058</v>
      </c>
      <c r="W322" t="s">
        <v>17</v>
      </c>
      <c r="X322">
        <v>89.779504230518498</v>
      </c>
      <c r="Y322">
        <v>1.755032388669979</v>
      </c>
      <c r="Z322">
        <v>1939.262307922628</v>
      </c>
      <c r="AA322">
        <v>311.66565497221529</v>
      </c>
      <c r="AB322">
        <v>239.9825543286058</v>
      </c>
      <c r="AC322">
        <v>311.66565497221529</v>
      </c>
      <c r="AD322" s="2">
        <v>44256</v>
      </c>
    </row>
    <row r="323" spans="1:30" hidden="1" x14ac:dyDescent="0.25">
      <c r="A323">
        <v>-1</v>
      </c>
      <c r="B323" t="s">
        <v>118</v>
      </c>
      <c r="C323">
        <v>2021</v>
      </c>
      <c r="D323">
        <v>3</v>
      </c>
      <c r="E323" t="s">
        <v>159</v>
      </c>
      <c r="F323" t="s">
        <v>93</v>
      </c>
      <c r="G323" t="s">
        <v>93</v>
      </c>
      <c r="H323" t="s">
        <v>149</v>
      </c>
      <c r="I323" t="s">
        <v>149</v>
      </c>
      <c r="J323" t="s">
        <v>161</v>
      </c>
      <c r="K323" t="s">
        <v>159</v>
      </c>
      <c r="L323" t="s">
        <v>151</v>
      </c>
      <c r="M323">
        <v>1113.934878728606</v>
      </c>
      <c r="N323">
        <v>2</v>
      </c>
      <c r="O323" t="s">
        <v>152</v>
      </c>
      <c r="P323" s="2">
        <v>44656.074522685187</v>
      </c>
      <c r="Q323">
        <v>11</v>
      </c>
      <c r="R323" t="s">
        <v>101</v>
      </c>
      <c r="S323">
        <v>16.361446608650091</v>
      </c>
      <c r="T323">
        <v>1427.6544633756801</v>
      </c>
      <c r="U323">
        <v>3.091101563935101E-2</v>
      </c>
      <c r="V323">
        <v>184.69028287138579</v>
      </c>
      <c r="W323" t="s">
        <v>17</v>
      </c>
      <c r="X323">
        <v>96.416825589707372</v>
      </c>
      <c r="Y323">
        <v>1.42765446337568</v>
      </c>
      <c r="Z323">
        <v>1577.518744061525</v>
      </c>
      <c r="AA323">
        <v>239.85751022257901</v>
      </c>
      <c r="AB323">
        <v>184.69028287138579</v>
      </c>
      <c r="AC323">
        <v>239.85751022257901</v>
      </c>
      <c r="AD323" s="2">
        <v>44256</v>
      </c>
    </row>
    <row r="324" spans="1:30" hidden="1" x14ac:dyDescent="0.25">
      <c r="A324">
        <v>-1</v>
      </c>
      <c r="B324" t="s">
        <v>118</v>
      </c>
      <c r="C324">
        <v>2021</v>
      </c>
      <c r="D324">
        <v>3</v>
      </c>
      <c r="E324" t="s">
        <v>159</v>
      </c>
      <c r="F324" t="s">
        <v>93</v>
      </c>
      <c r="G324" t="s">
        <v>93</v>
      </c>
      <c r="H324" t="s">
        <v>149</v>
      </c>
      <c r="I324" t="s">
        <v>149</v>
      </c>
      <c r="J324" t="s">
        <v>161</v>
      </c>
      <c r="K324" t="s">
        <v>159</v>
      </c>
      <c r="L324" t="s">
        <v>151</v>
      </c>
      <c r="M324">
        <v>1306.0945500587791</v>
      </c>
      <c r="N324">
        <v>2</v>
      </c>
      <c r="O324" t="s">
        <v>152</v>
      </c>
      <c r="P324" s="2">
        <v>44656.074522685187</v>
      </c>
      <c r="Q324">
        <v>11</v>
      </c>
      <c r="R324" t="s">
        <v>101</v>
      </c>
      <c r="S324">
        <v>16.361446608650091</v>
      </c>
      <c r="T324">
        <v>1427.6544633756801</v>
      </c>
      <c r="U324">
        <v>3.091101563935101E-2</v>
      </c>
      <c r="V324">
        <v>184.69028287138579</v>
      </c>
      <c r="W324" t="s">
        <v>17</v>
      </c>
      <c r="X324">
        <v>96.416825589707372</v>
      </c>
      <c r="Y324">
        <v>1.42765446337568</v>
      </c>
      <c r="Z324">
        <v>1577.518744061525</v>
      </c>
      <c r="AA324">
        <v>239.85751022257901</v>
      </c>
      <c r="AB324">
        <v>184.69028287138579</v>
      </c>
      <c r="AC324">
        <v>239.85751022257901</v>
      </c>
      <c r="AD324" s="2">
        <v>44256</v>
      </c>
    </row>
    <row r="325" spans="1:30" hidden="1" x14ac:dyDescent="0.25">
      <c r="A325">
        <v>-1</v>
      </c>
      <c r="B325" t="s">
        <v>118</v>
      </c>
      <c r="C325">
        <v>2021</v>
      </c>
      <c r="D325">
        <v>3</v>
      </c>
      <c r="E325" t="s">
        <v>159</v>
      </c>
      <c r="F325" t="s">
        <v>93</v>
      </c>
      <c r="G325" t="s">
        <v>93</v>
      </c>
      <c r="H325" t="s">
        <v>149</v>
      </c>
      <c r="I325" t="s">
        <v>149</v>
      </c>
      <c r="J325" t="s">
        <v>161</v>
      </c>
      <c r="K325" t="s">
        <v>159</v>
      </c>
      <c r="L325" t="s">
        <v>151</v>
      </c>
      <c r="M325">
        <v>1495.286919907574</v>
      </c>
      <c r="N325">
        <v>2</v>
      </c>
      <c r="O325" t="s">
        <v>152</v>
      </c>
      <c r="P325" s="2">
        <v>44656.074522685187</v>
      </c>
      <c r="Q325">
        <v>11</v>
      </c>
      <c r="R325" t="s">
        <v>101</v>
      </c>
      <c r="S325">
        <v>16.361446608650091</v>
      </c>
      <c r="T325">
        <v>1427.6544633756801</v>
      </c>
      <c r="U325">
        <v>3.091101563935101E-2</v>
      </c>
      <c r="V325">
        <v>184.69028287138579</v>
      </c>
      <c r="W325" t="s">
        <v>17</v>
      </c>
      <c r="X325">
        <v>96.416825589707372</v>
      </c>
      <c r="Y325">
        <v>1.42765446337568</v>
      </c>
      <c r="Z325">
        <v>1577.518744061525</v>
      </c>
      <c r="AA325">
        <v>239.85751022257901</v>
      </c>
      <c r="AB325">
        <v>184.69028287138579</v>
      </c>
      <c r="AC325">
        <v>239.85751022257901</v>
      </c>
      <c r="AD325" s="2">
        <v>44256</v>
      </c>
    </row>
    <row r="326" spans="1:30" hidden="1" x14ac:dyDescent="0.25">
      <c r="A326">
        <v>-1</v>
      </c>
      <c r="B326" t="s">
        <v>118</v>
      </c>
      <c r="C326">
        <v>2021</v>
      </c>
      <c r="D326">
        <v>3</v>
      </c>
      <c r="E326" t="s">
        <v>160</v>
      </c>
      <c r="F326" t="s">
        <v>93</v>
      </c>
      <c r="G326" t="s">
        <v>93</v>
      </c>
      <c r="H326" t="s">
        <v>149</v>
      </c>
      <c r="I326" t="s">
        <v>149</v>
      </c>
      <c r="J326" t="s">
        <v>161</v>
      </c>
      <c r="K326" t="s">
        <v>160</v>
      </c>
      <c r="L326" t="s">
        <v>151</v>
      </c>
      <c r="M326">
        <v>559.28757421062789</v>
      </c>
      <c r="N326">
        <v>1</v>
      </c>
      <c r="O326" t="s">
        <v>152</v>
      </c>
      <c r="P326" s="2">
        <v>44656.074522685187</v>
      </c>
      <c r="Q326">
        <v>31</v>
      </c>
      <c r="R326" t="s">
        <v>153</v>
      </c>
      <c r="S326">
        <v>3.2714203798257131</v>
      </c>
      <c r="T326">
        <v>294.36675701069572</v>
      </c>
      <c r="U326">
        <v>6.1805614712712384E-3</v>
      </c>
      <c r="V326">
        <v>37.801613246040723</v>
      </c>
      <c r="W326" t="s">
        <v>17</v>
      </c>
      <c r="X326">
        <v>99.426884060610121</v>
      </c>
      <c r="Y326">
        <v>0.29436675701069581</v>
      </c>
      <c r="Z326">
        <v>325.26713481844831</v>
      </c>
      <c r="AA326">
        <v>49.093004215637301</v>
      </c>
      <c r="AB326">
        <v>37.801613246040723</v>
      </c>
      <c r="AC326">
        <v>49.093004215637301</v>
      </c>
      <c r="AD326" s="2">
        <v>44256</v>
      </c>
    </row>
    <row r="327" spans="1:30" hidden="1" x14ac:dyDescent="0.25">
      <c r="A327">
        <v>-1</v>
      </c>
      <c r="B327" t="s">
        <v>118</v>
      </c>
      <c r="C327">
        <v>2021</v>
      </c>
      <c r="D327">
        <v>3</v>
      </c>
      <c r="E327" t="s">
        <v>160</v>
      </c>
      <c r="F327" t="s">
        <v>93</v>
      </c>
      <c r="G327" t="s">
        <v>93</v>
      </c>
      <c r="H327" t="s">
        <v>149</v>
      </c>
      <c r="I327" t="s">
        <v>149</v>
      </c>
      <c r="J327" t="s">
        <v>161</v>
      </c>
      <c r="K327" t="s">
        <v>160</v>
      </c>
      <c r="L327" t="s">
        <v>151</v>
      </c>
      <c r="M327">
        <v>571.67631573717165</v>
      </c>
      <c r="N327">
        <v>1</v>
      </c>
      <c r="O327" t="s">
        <v>152</v>
      </c>
      <c r="P327" s="2">
        <v>44656.074522685187</v>
      </c>
      <c r="Q327">
        <v>31</v>
      </c>
      <c r="R327" t="s">
        <v>153</v>
      </c>
      <c r="S327">
        <v>3.2714203798257131</v>
      </c>
      <c r="T327">
        <v>294.36675701069572</v>
      </c>
      <c r="U327">
        <v>6.1805614712712384E-3</v>
      </c>
      <c r="V327">
        <v>37.801613246040723</v>
      </c>
      <c r="W327" t="s">
        <v>17</v>
      </c>
      <c r="X327">
        <v>99.426884060610121</v>
      </c>
      <c r="Y327">
        <v>0.29436675701069581</v>
      </c>
      <c r="Z327">
        <v>325.26713481844831</v>
      </c>
      <c r="AA327">
        <v>49.093004215637301</v>
      </c>
      <c r="AB327">
        <v>37.801613246040723</v>
      </c>
      <c r="AC327">
        <v>49.093004215637301</v>
      </c>
      <c r="AD327" s="2">
        <v>44256</v>
      </c>
    </row>
    <row r="328" spans="1:30" hidden="1" x14ac:dyDescent="0.25">
      <c r="A328">
        <v>-1</v>
      </c>
      <c r="B328" t="s">
        <v>118</v>
      </c>
      <c r="C328">
        <v>2021</v>
      </c>
      <c r="D328">
        <v>3</v>
      </c>
      <c r="E328" t="s">
        <v>160</v>
      </c>
      <c r="F328" t="s">
        <v>93</v>
      </c>
      <c r="G328" t="s">
        <v>93</v>
      </c>
      <c r="H328" t="s">
        <v>149</v>
      </c>
      <c r="I328" t="s">
        <v>149</v>
      </c>
      <c r="J328" t="s">
        <v>161</v>
      </c>
      <c r="K328" t="s">
        <v>160</v>
      </c>
      <c r="L328" t="s">
        <v>151</v>
      </c>
      <c r="M328">
        <v>807.21972090635632</v>
      </c>
      <c r="N328">
        <v>1</v>
      </c>
      <c r="O328" t="s">
        <v>152</v>
      </c>
      <c r="P328" s="2">
        <v>44656.074522685187</v>
      </c>
      <c r="Q328">
        <v>31</v>
      </c>
      <c r="R328" t="s">
        <v>153</v>
      </c>
      <c r="S328">
        <v>3.2714203798257131</v>
      </c>
      <c r="T328">
        <v>294.36675701069572</v>
      </c>
      <c r="U328">
        <v>6.1805614712712384E-3</v>
      </c>
      <c r="V328">
        <v>37.801613246040723</v>
      </c>
      <c r="W328" t="s">
        <v>17</v>
      </c>
      <c r="X328">
        <v>99.426884060610121</v>
      </c>
      <c r="Y328">
        <v>0.29436675701069581</v>
      </c>
      <c r="Z328">
        <v>325.26713481844831</v>
      </c>
      <c r="AA328">
        <v>49.093004215637301</v>
      </c>
      <c r="AB328">
        <v>37.801613246040723</v>
      </c>
      <c r="AC328">
        <v>49.093004215637301</v>
      </c>
      <c r="AD328" s="2">
        <v>44256</v>
      </c>
    </row>
    <row r="329" spans="1:30" hidden="1" x14ac:dyDescent="0.25">
      <c r="A329">
        <v>-1</v>
      </c>
      <c r="B329" t="s">
        <v>118</v>
      </c>
      <c r="C329">
        <v>2021</v>
      </c>
      <c r="D329">
        <v>3</v>
      </c>
      <c r="E329" t="s">
        <v>160</v>
      </c>
      <c r="F329" t="s">
        <v>93</v>
      </c>
      <c r="G329" t="s">
        <v>93</v>
      </c>
      <c r="H329" t="s">
        <v>149</v>
      </c>
      <c r="I329" t="s">
        <v>149</v>
      </c>
      <c r="J329" t="s">
        <v>161</v>
      </c>
      <c r="K329" t="s">
        <v>160</v>
      </c>
      <c r="L329" t="s">
        <v>151</v>
      </c>
      <c r="M329">
        <v>559.28757421062789</v>
      </c>
      <c r="N329">
        <v>1</v>
      </c>
      <c r="O329" t="s">
        <v>152</v>
      </c>
      <c r="P329" s="2">
        <v>44656.074522685187</v>
      </c>
      <c r="Q329">
        <v>13</v>
      </c>
      <c r="R329" t="s">
        <v>154</v>
      </c>
      <c r="S329">
        <v>537.49679946355434</v>
      </c>
      <c r="T329">
        <v>45902.794317450163</v>
      </c>
      <c r="U329">
        <v>1.015470842629228</v>
      </c>
      <c r="V329">
        <v>6104.2717677076034</v>
      </c>
      <c r="W329" t="s">
        <v>17</v>
      </c>
      <c r="X329">
        <v>94.365807830692873</v>
      </c>
      <c r="Y329">
        <v>45.902794317450159</v>
      </c>
      <c r="Z329">
        <v>50721.31968779023</v>
      </c>
      <c r="AA329">
        <v>7927.6256723475362</v>
      </c>
      <c r="AB329">
        <v>6104.2717677076034</v>
      </c>
      <c r="AC329">
        <v>7927.6256723475362</v>
      </c>
      <c r="AD329" s="2">
        <v>44256</v>
      </c>
    </row>
    <row r="330" spans="1:30" hidden="1" x14ac:dyDescent="0.25">
      <c r="A330">
        <v>-1</v>
      </c>
      <c r="B330" t="s">
        <v>118</v>
      </c>
      <c r="C330">
        <v>2021</v>
      </c>
      <c r="D330">
        <v>3</v>
      </c>
      <c r="E330" t="s">
        <v>160</v>
      </c>
      <c r="F330" t="s">
        <v>93</v>
      </c>
      <c r="G330" t="s">
        <v>93</v>
      </c>
      <c r="H330" t="s">
        <v>149</v>
      </c>
      <c r="I330" t="s">
        <v>149</v>
      </c>
      <c r="J330" t="s">
        <v>161</v>
      </c>
      <c r="K330" t="s">
        <v>160</v>
      </c>
      <c r="L330" t="s">
        <v>151</v>
      </c>
      <c r="M330">
        <v>571.67631573717165</v>
      </c>
      <c r="N330">
        <v>1</v>
      </c>
      <c r="O330" t="s">
        <v>152</v>
      </c>
      <c r="P330" s="2">
        <v>44656.074522685187</v>
      </c>
      <c r="Q330">
        <v>13</v>
      </c>
      <c r="R330" t="s">
        <v>154</v>
      </c>
      <c r="S330">
        <v>537.49679946355434</v>
      </c>
      <c r="T330">
        <v>45902.794317450163</v>
      </c>
      <c r="U330">
        <v>1.015470842629228</v>
      </c>
      <c r="V330">
        <v>6104.2717677076034</v>
      </c>
      <c r="W330" t="s">
        <v>17</v>
      </c>
      <c r="X330">
        <v>94.365807830692873</v>
      </c>
      <c r="Y330">
        <v>45.902794317450159</v>
      </c>
      <c r="Z330">
        <v>50721.31968779023</v>
      </c>
      <c r="AA330">
        <v>7927.6256723475362</v>
      </c>
      <c r="AB330">
        <v>6104.2717677076034</v>
      </c>
      <c r="AC330">
        <v>7927.6256723475362</v>
      </c>
      <c r="AD330" s="2">
        <v>44256</v>
      </c>
    </row>
    <row r="331" spans="1:30" hidden="1" x14ac:dyDescent="0.25">
      <c r="A331">
        <v>-1</v>
      </c>
      <c r="B331" t="s">
        <v>118</v>
      </c>
      <c r="C331">
        <v>2021</v>
      </c>
      <c r="D331">
        <v>3</v>
      </c>
      <c r="E331" t="s">
        <v>160</v>
      </c>
      <c r="F331" t="s">
        <v>93</v>
      </c>
      <c r="G331" t="s">
        <v>93</v>
      </c>
      <c r="H331" t="s">
        <v>149</v>
      </c>
      <c r="I331" t="s">
        <v>149</v>
      </c>
      <c r="J331" t="s">
        <v>161</v>
      </c>
      <c r="K331" t="s">
        <v>160</v>
      </c>
      <c r="L331" t="s">
        <v>151</v>
      </c>
      <c r="M331">
        <v>807.21972090635632</v>
      </c>
      <c r="N331">
        <v>1</v>
      </c>
      <c r="O331" t="s">
        <v>152</v>
      </c>
      <c r="P331" s="2">
        <v>44656.074522685187</v>
      </c>
      <c r="Q331">
        <v>13</v>
      </c>
      <c r="R331" t="s">
        <v>154</v>
      </c>
      <c r="S331">
        <v>537.49679946355434</v>
      </c>
      <c r="T331">
        <v>45902.794317450163</v>
      </c>
      <c r="U331">
        <v>1.015470842629228</v>
      </c>
      <c r="V331">
        <v>6104.2717677076034</v>
      </c>
      <c r="W331" t="s">
        <v>17</v>
      </c>
      <c r="X331">
        <v>94.365807830692873</v>
      </c>
      <c r="Y331">
        <v>45.902794317450159</v>
      </c>
      <c r="Z331">
        <v>50721.31968779023</v>
      </c>
      <c r="AA331">
        <v>7927.6256723475362</v>
      </c>
      <c r="AB331">
        <v>6104.2717677076034</v>
      </c>
      <c r="AC331">
        <v>7927.6256723475362</v>
      </c>
      <c r="AD331" s="2">
        <v>44256</v>
      </c>
    </row>
    <row r="332" spans="1:30" hidden="1" x14ac:dyDescent="0.25">
      <c r="A332">
        <v>-1</v>
      </c>
      <c r="B332" t="s">
        <v>118</v>
      </c>
      <c r="C332">
        <v>2021</v>
      </c>
      <c r="D332">
        <v>3</v>
      </c>
      <c r="E332" t="s">
        <v>160</v>
      </c>
      <c r="F332" t="s">
        <v>93</v>
      </c>
      <c r="G332" t="s">
        <v>93</v>
      </c>
      <c r="H332" t="s">
        <v>149</v>
      </c>
      <c r="I332" t="s">
        <v>149</v>
      </c>
      <c r="J332" t="s">
        <v>161</v>
      </c>
      <c r="K332" t="s">
        <v>160</v>
      </c>
      <c r="L332" t="s">
        <v>151</v>
      </c>
      <c r="M332">
        <v>559.28757421062789</v>
      </c>
      <c r="N332">
        <v>1</v>
      </c>
      <c r="O332" t="s">
        <v>152</v>
      </c>
      <c r="P332" s="2">
        <v>44656.074522685187</v>
      </c>
      <c r="Q332">
        <v>5</v>
      </c>
      <c r="R332" t="s">
        <v>100</v>
      </c>
      <c r="S332">
        <v>20.517382806524431</v>
      </c>
      <c r="T332">
        <v>1667.046613112162</v>
      </c>
      <c r="U332">
        <v>3.8762656871411803E-2</v>
      </c>
      <c r="V332">
        <v>227.95140818038581</v>
      </c>
      <c r="W332" t="s">
        <v>17</v>
      </c>
      <c r="X332">
        <v>89.779504230518498</v>
      </c>
      <c r="Y332">
        <v>1.667046613112162</v>
      </c>
      <c r="Z332">
        <v>1842.040456477527</v>
      </c>
      <c r="AA332">
        <v>296.04078984465679</v>
      </c>
      <c r="AB332">
        <v>227.95140818038581</v>
      </c>
      <c r="AC332">
        <v>296.04078984465679</v>
      </c>
      <c r="AD332" s="2">
        <v>44256</v>
      </c>
    </row>
    <row r="333" spans="1:30" hidden="1" x14ac:dyDescent="0.25">
      <c r="A333">
        <v>-1</v>
      </c>
      <c r="B333" t="s">
        <v>118</v>
      </c>
      <c r="C333">
        <v>2021</v>
      </c>
      <c r="D333">
        <v>3</v>
      </c>
      <c r="E333" t="s">
        <v>160</v>
      </c>
      <c r="F333" t="s">
        <v>93</v>
      </c>
      <c r="G333" t="s">
        <v>93</v>
      </c>
      <c r="H333" t="s">
        <v>149</v>
      </c>
      <c r="I333" t="s">
        <v>149</v>
      </c>
      <c r="J333" t="s">
        <v>161</v>
      </c>
      <c r="K333" t="s">
        <v>160</v>
      </c>
      <c r="L333" t="s">
        <v>151</v>
      </c>
      <c r="M333">
        <v>571.67631573717165</v>
      </c>
      <c r="N333">
        <v>1</v>
      </c>
      <c r="O333" t="s">
        <v>152</v>
      </c>
      <c r="P333" s="2">
        <v>44656.074522685187</v>
      </c>
      <c r="Q333">
        <v>5</v>
      </c>
      <c r="R333" t="s">
        <v>100</v>
      </c>
      <c r="S333">
        <v>20.517382806524431</v>
      </c>
      <c r="T333">
        <v>1667.046613112162</v>
      </c>
      <c r="U333">
        <v>3.8762656871411803E-2</v>
      </c>
      <c r="V333">
        <v>227.95140818038581</v>
      </c>
      <c r="W333" t="s">
        <v>17</v>
      </c>
      <c r="X333">
        <v>89.779504230518498</v>
      </c>
      <c r="Y333">
        <v>1.667046613112162</v>
      </c>
      <c r="Z333">
        <v>1842.040456477527</v>
      </c>
      <c r="AA333">
        <v>296.04078984465679</v>
      </c>
      <c r="AB333">
        <v>227.95140818038581</v>
      </c>
      <c r="AC333">
        <v>296.04078984465679</v>
      </c>
      <c r="AD333" s="2">
        <v>44256</v>
      </c>
    </row>
    <row r="334" spans="1:30" hidden="1" x14ac:dyDescent="0.25">
      <c r="A334">
        <v>-1</v>
      </c>
      <c r="B334" t="s">
        <v>118</v>
      </c>
      <c r="C334">
        <v>2021</v>
      </c>
      <c r="D334">
        <v>3</v>
      </c>
      <c r="E334" t="s">
        <v>160</v>
      </c>
      <c r="F334" t="s">
        <v>93</v>
      </c>
      <c r="G334" t="s">
        <v>93</v>
      </c>
      <c r="H334" t="s">
        <v>149</v>
      </c>
      <c r="I334" t="s">
        <v>149</v>
      </c>
      <c r="J334" t="s">
        <v>161</v>
      </c>
      <c r="K334" t="s">
        <v>160</v>
      </c>
      <c r="L334" t="s">
        <v>151</v>
      </c>
      <c r="M334">
        <v>807.21972090635632</v>
      </c>
      <c r="N334">
        <v>1</v>
      </c>
      <c r="O334" t="s">
        <v>152</v>
      </c>
      <c r="P334" s="2">
        <v>44656.074522685187</v>
      </c>
      <c r="Q334">
        <v>5</v>
      </c>
      <c r="R334" t="s">
        <v>100</v>
      </c>
      <c r="S334">
        <v>20.517382806524431</v>
      </c>
      <c r="T334">
        <v>1667.046613112162</v>
      </c>
      <c r="U334">
        <v>3.8762656871411803E-2</v>
      </c>
      <c r="V334">
        <v>227.95140818038581</v>
      </c>
      <c r="W334" t="s">
        <v>17</v>
      </c>
      <c r="X334">
        <v>89.779504230518498</v>
      </c>
      <c r="Y334">
        <v>1.667046613112162</v>
      </c>
      <c r="Z334">
        <v>1842.040456477527</v>
      </c>
      <c r="AA334">
        <v>296.04078984465679</v>
      </c>
      <c r="AB334">
        <v>227.95140818038581</v>
      </c>
      <c r="AC334">
        <v>296.04078984465679</v>
      </c>
      <c r="AD334" s="2">
        <v>44256</v>
      </c>
    </row>
    <row r="335" spans="1:30" hidden="1" x14ac:dyDescent="0.25">
      <c r="A335">
        <v>-1</v>
      </c>
      <c r="B335" t="s">
        <v>118</v>
      </c>
      <c r="C335">
        <v>2021</v>
      </c>
      <c r="D335">
        <v>3</v>
      </c>
      <c r="E335" t="s">
        <v>160</v>
      </c>
      <c r="F335" t="s">
        <v>93</v>
      </c>
      <c r="G335" t="s">
        <v>93</v>
      </c>
      <c r="H335" t="s">
        <v>149</v>
      </c>
      <c r="I335" t="s">
        <v>149</v>
      </c>
      <c r="J335" t="s">
        <v>161</v>
      </c>
      <c r="K335" t="s">
        <v>160</v>
      </c>
      <c r="L335" t="s">
        <v>151</v>
      </c>
      <c r="M335">
        <v>559.28757421062789</v>
      </c>
      <c r="N335">
        <v>1</v>
      </c>
      <c r="O335" t="s">
        <v>152</v>
      </c>
      <c r="P335" s="2">
        <v>44656.074522685187</v>
      </c>
      <c r="Q335">
        <v>11</v>
      </c>
      <c r="R335" t="s">
        <v>101</v>
      </c>
      <c r="S335">
        <v>15.359444219789779</v>
      </c>
      <c r="T335">
        <v>1340.2225133173499</v>
      </c>
      <c r="U335">
        <v>2.9017973278637411E-2</v>
      </c>
      <c r="V335">
        <v>173.379540669741</v>
      </c>
      <c r="W335" t="s">
        <v>17</v>
      </c>
      <c r="X335">
        <v>96.416825589707372</v>
      </c>
      <c r="Y335">
        <v>1.34022251331735</v>
      </c>
      <c r="Z335">
        <v>1480.9088544943099</v>
      </c>
      <c r="AA335">
        <v>225.16823463602731</v>
      </c>
      <c r="AB335">
        <v>173.379540669741</v>
      </c>
      <c r="AC335">
        <v>225.16823463602731</v>
      </c>
      <c r="AD335" s="2">
        <v>44256</v>
      </c>
    </row>
    <row r="336" spans="1:30" hidden="1" x14ac:dyDescent="0.25">
      <c r="A336">
        <v>-1</v>
      </c>
      <c r="B336" t="s">
        <v>118</v>
      </c>
      <c r="C336">
        <v>2021</v>
      </c>
      <c r="D336">
        <v>3</v>
      </c>
      <c r="E336" t="s">
        <v>160</v>
      </c>
      <c r="F336" t="s">
        <v>93</v>
      </c>
      <c r="G336" t="s">
        <v>93</v>
      </c>
      <c r="H336" t="s">
        <v>149</v>
      </c>
      <c r="I336" t="s">
        <v>149</v>
      </c>
      <c r="J336" t="s">
        <v>161</v>
      </c>
      <c r="K336" t="s">
        <v>160</v>
      </c>
      <c r="L336" t="s">
        <v>151</v>
      </c>
      <c r="M336">
        <v>571.67631573717165</v>
      </c>
      <c r="N336">
        <v>1</v>
      </c>
      <c r="O336" t="s">
        <v>152</v>
      </c>
      <c r="P336" s="2">
        <v>44656.074522685187</v>
      </c>
      <c r="Q336">
        <v>11</v>
      </c>
      <c r="R336" t="s">
        <v>101</v>
      </c>
      <c r="S336">
        <v>15.359444219789779</v>
      </c>
      <c r="T336">
        <v>1340.2225133173499</v>
      </c>
      <c r="U336">
        <v>2.9017973278637411E-2</v>
      </c>
      <c r="V336">
        <v>173.379540669741</v>
      </c>
      <c r="W336" t="s">
        <v>17</v>
      </c>
      <c r="X336">
        <v>96.416825589707372</v>
      </c>
      <c r="Y336">
        <v>1.34022251331735</v>
      </c>
      <c r="Z336">
        <v>1480.9088544943099</v>
      </c>
      <c r="AA336">
        <v>225.16823463602731</v>
      </c>
      <c r="AB336">
        <v>173.379540669741</v>
      </c>
      <c r="AC336">
        <v>225.16823463602731</v>
      </c>
      <c r="AD336" s="2">
        <v>44256</v>
      </c>
    </row>
    <row r="337" spans="1:30" hidden="1" x14ac:dyDescent="0.25">
      <c r="A337">
        <v>-1</v>
      </c>
      <c r="B337" t="s">
        <v>118</v>
      </c>
      <c r="C337">
        <v>2021</v>
      </c>
      <c r="D337">
        <v>3</v>
      </c>
      <c r="E337" t="s">
        <v>160</v>
      </c>
      <c r="F337" t="s">
        <v>93</v>
      </c>
      <c r="G337" t="s">
        <v>93</v>
      </c>
      <c r="H337" t="s">
        <v>149</v>
      </c>
      <c r="I337" t="s">
        <v>149</v>
      </c>
      <c r="J337" t="s">
        <v>161</v>
      </c>
      <c r="K337" t="s">
        <v>160</v>
      </c>
      <c r="L337" t="s">
        <v>151</v>
      </c>
      <c r="M337">
        <v>807.21972090635632</v>
      </c>
      <c r="N337">
        <v>1</v>
      </c>
      <c r="O337" t="s">
        <v>152</v>
      </c>
      <c r="P337" s="2">
        <v>44656.074522685187</v>
      </c>
      <c r="Q337">
        <v>11</v>
      </c>
      <c r="R337" t="s">
        <v>101</v>
      </c>
      <c r="S337">
        <v>15.359444219789779</v>
      </c>
      <c r="T337">
        <v>1340.2225133173499</v>
      </c>
      <c r="U337">
        <v>2.9017973278637411E-2</v>
      </c>
      <c r="V337">
        <v>173.379540669741</v>
      </c>
      <c r="W337" t="s">
        <v>17</v>
      </c>
      <c r="X337">
        <v>96.416825589707372</v>
      </c>
      <c r="Y337">
        <v>1.34022251331735</v>
      </c>
      <c r="Z337">
        <v>1480.9088544943099</v>
      </c>
      <c r="AA337">
        <v>225.16823463602731</v>
      </c>
      <c r="AB337">
        <v>173.379540669741</v>
      </c>
      <c r="AC337">
        <v>225.16823463602731</v>
      </c>
      <c r="AD337" s="2">
        <v>44256</v>
      </c>
    </row>
  </sheetData>
  <autoFilter ref="A1:AD337" xr:uid="{00000000-0001-0000-0800-000000000000}">
    <filterColumn colId="1">
      <filters>
        <filter val="01-01-2021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122</v>
      </c>
      <c r="B1" s="1" t="s">
        <v>58</v>
      </c>
      <c r="C1" s="1" t="s">
        <v>123</v>
      </c>
      <c r="D1" s="1" t="s">
        <v>35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K451"/>
  <sheetViews>
    <sheetView workbookViewId="0"/>
  </sheetViews>
  <sheetFormatPr baseColWidth="10" defaultColWidth="9.140625" defaultRowHeight="15" x14ac:dyDescent="0.25"/>
  <sheetData>
    <row r="1" spans="1:63" x14ac:dyDescent="0.25">
      <c r="A1" s="1" t="s">
        <v>80</v>
      </c>
      <c r="B1" s="1" t="s">
        <v>58</v>
      </c>
      <c r="C1" s="1" t="s">
        <v>123</v>
      </c>
      <c r="D1" s="1" t="s">
        <v>35</v>
      </c>
      <c r="E1" s="1" t="s">
        <v>57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130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20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</row>
    <row r="2" spans="1:63" x14ac:dyDescent="0.25">
      <c r="A2">
        <v>4730</v>
      </c>
      <c r="B2" t="s">
        <v>110</v>
      </c>
      <c r="C2">
        <v>2021</v>
      </c>
      <c r="D2">
        <v>1</v>
      </c>
      <c r="E2" t="s">
        <v>218</v>
      </c>
      <c r="F2" t="s">
        <v>219</v>
      </c>
      <c r="G2" t="s">
        <v>220</v>
      </c>
      <c r="H2" t="s">
        <v>17</v>
      </c>
      <c r="I2" t="s">
        <v>221</v>
      </c>
      <c r="J2" t="s">
        <v>222</v>
      </c>
      <c r="K2">
        <v>-276.44111803999999</v>
      </c>
      <c r="L2" t="s">
        <v>223</v>
      </c>
      <c r="M2" t="s">
        <v>224</v>
      </c>
      <c r="N2">
        <v>8.7524974586199993E-3</v>
      </c>
      <c r="O2">
        <v>2.4195500000000001</v>
      </c>
      <c r="P2" t="s">
        <v>21</v>
      </c>
      <c r="Q2">
        <v>1</v>
      </c>
      <c r="W2">
        <v>1</v>
      </c>
      <c r="X2">
        <v>0</v>
      </c>
      <c r="AA2" t="s">
        <v>225</v>
      </c>
      <c r="AB2" t="s">
        <v>226</v>
      </c>
      <c r="AC2" t="s">
        <v>227</v>
      </c>
      <c r="AD2" t="s">
        <v>153</v>
      </c>
      <c r="AE2">
        <v>109.354</v>
      </c>
      <c r="AF2">
        <v>1.0727760310708341</v>
      </c>
      <c r="AG2">
        <v>117.31235010172</v>
      </c>
      <c r="AH2">
        <v>694.38</v>
      </c>
      <c r="AI2">
        <v>0.875</v>
      </c>
      <c r="AJ2">
        <v>71.276930955678296</v>
      </c>
      <c r="AK2">
        <v>1.0034000000000001</v>
      </c>
      <c r="AL2">
        <v>71.519000000000005</v>
      </c>
      <c r="AM2">
        <v>8.9176000000000002</v>
      </c>
      <c r="AN2">
        <v>9.5665875346772715</v>
      </c>
      <c r="AO2">
        <v>0.91300000000000003</v>
      </c>
      <c r="AP2">
        <v>6064.9193587765631</v>
      </c>
      <c r="AQ2">
        <v>1</v>
      </c>
      <c r="AR2">
        <v>6064.9193999999998</v>
      </c>
      <c r="AT2" t="s">
        <v>228</v>
      </c>
      <c r="AU2" t="s">
        <v>229</v>
      </c>
      <c r="AV2" t="s">
        <v>227</v>
      </c>
      <c r="AW2" t="s">
        <v>153</v>
      </c>
      <c r="AX2">
        <v>109.354</v>
      </c>
      <c r="AY2">
        <v>1.0833851741009131</v>
      </c>
      <c r="AZ2">
        <v>118.47250232863119</v>
      </c>
      <c r="BA2">
        <v>801.49</v>
      </c>
      <c r="BB2">
        <v>0.90500000000000003</v>
      </c>
      <c r="BC2">
        <v>85.933845931694037</v>
      </c>
      <c r="BD2">
        <v>1.0470999999999999</v>
      </c>
      <c r="BE2">
        <v>89.980999999999995</v>
      </c>
      <c r="BF2">
        <v>8.9176000000000002</v>
      </c>
      <c r="BG2">
        <v>0.77</v>
      </c>
      <c r="BH2">
        <v>5962.3807969390264</v>
      </c>
      <c r="BI2">
        <v>1</v>
      </c>
      <c r="BJ2">
        <v>5962.3807999999999</v>
      </c>
    </row>
    <row r="3" spans="1:63" x14ac:dyDescent="0.25">
      <c r="A3">
        <v>4732</v>
      </c>
      <c r="B3" t="s">
        <v>110</v>
      </c>
      <c r="C3">
        <v>2021</v>
      </c>
      <c r="D3">
        <v>1</v>
      </c>
      <c r="E3" t="s">
        <v>218</v>
      </c>
      <c r="F3" t="s">
        <v>219</v>
      </c>
      <c r="G3" t="s">
        <v>220</v>
      </c>
      <c r="H3" t="s">
        <v>17</v>
      </c>
      <c r="I3" t="s">
        <v>221</v>
      </c>
      <c r="J3" t="s">
        <v>222</v>
      </c>
      <c r="K3">
        <v>-276.44111803999999</v>
      </c>
      <c r="L3" t="s">
        <v>223</v>
      </c>
      <c r="M3" t="s">
        <v>230</v>
      </c>
      <c r="N3">
        <v>0.16047331440265999</v>
      </c>
      <c r="O3">
        <v>44.361421999999997</v>
      </c>
      <c r="P3" t="s">
        <v>21</v>
      </c>
      <c r="Q3">
        <v>1</v>
      </c>
      <c r="W3">
        <v>1</v>
      </c>
      <c r="X3">
        <v>0</v>
      </c>
      <c r="AA3" t="s">
        <v>225</v>
      </c>
      <c r="AB3" t="s">
        <v>226</v>
      </c>
      <c r="AC3" t="s">
        <v>227</v>
      </c>
      <c r="AD3" t="s">
        <v>154</v>
      </c>
      <c r="AE3">
        <v>109.354</v>
      </c>
      <c r="AF3">
        <v>1.0727760310708341</v>
      </c>
      <c r="AG3">
        <v>117.31235010172</v>
      </c>
      <c r="AH3">
        <v>694.38</v>
      </c>
      <c r="AI3">
        <v>0.875</v>
      </c>
      <c r="AJ3">
        <v>71.276930955678296</v>
      </c>
      <c r="AK3">
        <v>1.0179</v>
      </c>
      <c r="AL3">
        <v>72.552999999999997</v>
      </c>
      <c r="AM3">
        <v>8.9176000000000002</v>
      </c>
      <c r="AN3">
        <v>9.5665875346772715</v>
      </c>
      <c r="AO3">
        <v>0.91300000000000003</v>
      </c>
      <c r="AP3">
        <v>6064.9193587765631</v>
      </c>
      <c r="AQ3">
        <v>0.98975009761811794</v>
      </c>
      <c r="AR3">
        <v>6002.7545</v>
      </c>
      <c r="AT3" t="s">
        <v>228</v>
      </c>
      <c r="AU3" t="s">
        <v>229</v>
      </c>
      <c r="AV3" t="s">
        <v>227</v>
      </c>
      <c r="AW3" t="s">
        <v>154</v>
      </c>
      <c r="AX3">
        <v>109.354</v>
      </c>
      <c r="AY3">
        <v>1.0833851741009131</v>
      </c>
      <c r="AZ3">
        <v>118.47250232863119</v>
      </c>
      <c r="BA3">
        <v>801.49</v>
      </c>
      <c r="BB3">
        <v>0.90500000000000003</v>
      </c>
      <c r="BC3">
        <v>85.933845931694037</v>
      </c>
      <c r="BD3">
        <v>0.99380000000000002</v>
      </c>
      <c r="BE3">
        <v>85.400999999999996</v>
      </c>
      <c r="BF3">
        <v>8.9176000000000002</v>
      </c>
      <c r="BG3">
        <v>0.77</v>
      </c>
      <c r="BH3">
        <v>5962.3807969390264</v>
      </c>
      <c r="BI3">
        <v>0.98418586489652482</v>
      </c>
      <c r="BJ3">
        <v>5868.0909000000001</v>
      </c>
    </row>
    <row r="4" spans="1:63" x14ac:dyDescent="0.25">
      <c r="A4">
        <v>4734</v>
      </c>
      <c r="B4" t="s">
        <v>110</v>
      </c>
      <c r="C4">
        <v>2021</v>
      </c>
      <c r="D4">
        <v>1</v>
      </c>
      <c r="E4" t="s">
        <v>218</v>
      </c>
      <c r="F4" t="s">
        <v>219</v>
      </c>
      <c r="G4" t="s">
        <v>220</v>
      </c>
      <c r="H4" t="s">
        <v>17</v>
      </c>
      <c r="I4" t="s">
        <v>221</v>
      </c>
      <c r="J4" t="s">
        <v>222</v>
      </c>
      <c r="K4">
        <v>-276.44111803999999</v>
      </c>
      <c r="L4" t="s">
        <v>223</v>
      </c>
      <c r="M4" t="s">
        <v>231</v>
      </c>
      <c r="N4">
        <v>4.5018334813739999E-2</v>
      </c>
      <c r="O4">
        <v>12.444919000000001</v>
      </c>
      <c r="P4" t="s">
        <v>21</v>
      </c>
      <c r="Q4">
        <v>1</v>
      </c>
      <c r="W4">
        <v>1</v>
      </c>
      <c r="X4">
        <v>0</v>
      </c>
      <c r="AA4" t="s">
        <v>225</v>
      </c>
      <c r="AB4" t="s">
        <v>226</v>
      </c>
      <c r="AC4" t="s">
        <v>227</v>
      </c>
      <c r="AD4" t="s">
        <v>100</v>
      </c>
      <c r="AE4">
        <v>109.354</v>
      </c>
      <c r="AF4">
        <v>1.0727760310708341</v>
      </c>
      <c r="AG4">
        <v>117.31235010172</v>
      </c>
      <c r="AH4">
        <v>694.38</v>
      </c>
      <c r="AI4">
        <v>0.875</v>
      </c>
      <c r="AJ4">
        <v>71.276930955678296</v>
      </c>
      <c r="AK4">
        <v>0.96660000000000001</v>
      </c>
      <c r="AL4">
        <v>68.896000000000001</v>
      </c>
      <c r="AM4">
        <v>8.9176000000000002</v>
      </c>
      <c r="AN4">
        <v>9.5665875346772715</v>
      </c>
      <c r="AO4">
        <v>0.91300000000000003</v>
      </c>
      <c r="AP4">
        <v>6064.9193587765631</v>
      </c>
      <c r="AQ4">
        <v>0.98316430020283985</v>
      </c>
      <c r="AR4">
        <v>5962.8122000000003</v>
      </c>
      <c r="AT4" t="s">
        <v>228</v>
      </c>
      <c r="AU4" t="s">
        <v>229</v>
      </c>
      <c r="AV4" t="s">
        <v>227</v>
      </c>
      <c r="AW4" t="s">
        <v>100</v>
      </c>
      <c r="AX4">
        <v>109.354</v>
      </c>
      <c r="AY4">
        <v>1.0833851741009131</v>
      </c>
      <c r="AZ4">
        <v>118.47250232863119</v>
      </c>
      <c r="BA4">
        <v>801.49</v>
      </c>
      <c r="BB4">
        <v>0.90500000000000003</v>
      </c>
      <c r="BC4">
        <v>85.933845931694037</v>
      </c>
      <c r="BD4">
        <v>0.94550000000000001</v>
      </c>
      <c r="BE4">
        <v>81.25</v>
      </c>
      <c r="BF4">
        <v>8.9176000000000002</v>
      </c>
      <c r="BG4">
        <v>0.77</v>
      </c>
      <c r="BH4">
        <v>5962.3807969390264</v>
      </c>
      <c r="BI4">
        <v>1.0003042596348879</v>
      </c>
      <c r="BJ4">
        <v>5964.1949000000004</v>
      </c>
    </row>
    <row r="5" spans="1:63" x14ac:dyDescent="0.25">
      <c r="A5">
        <v>4736</v>
      </c>
      <c r="B5" t="s">
        <v>110</v>
      </c>
      <c r="C5">
        <v>2021</v>
      </c>
      <c r="D5">
        <v>1</v>
      </c>
      <c r="E5" t="s">
        <v>218</v>
      </c>
      <c r="F5" t="s">
        <v>219</v>
      </c>
      <c r="G5" t="s">
        <v>220</v>
      </c>
      <c r="H5" t="s">
        <v>17</v>
      </c>
      <c r="I5" t="s">
        <v>221</v>
      </c>
      <c r="J5" t="s">
        <v>222</v>
      </c>
      <c r="K5">
        <v>-276.44111803999999</v>
      </c>
      <c r="L5" t="s">
        <v>223</v>
      </c>
      <c r="M5" t="s">
        <v>232</v>
      </c>
      <c r="N5">
        <v>0.87398007306502001</v>
      </c>
      <c r="O5">
        <v>241.604029</v>
      </c>
      <c r="P5" t="s">
        <v>21</v>
      </c>
      <c r="Q5">
        <v>1</v>
      </c>
      <c r="W5">
        <v>1</v>
      </c>
      <c r="X5">
        <v>0</v>
      </c>
      <c r="AA5" t="s">
        <v>225</v>
      </c>
      <c r="AB5" t="s">
        <v>226</v>
      </c>
      <c r="AC5" t="s">
        <v>227</v>
      </c>
      <c r="AD5" t="s">
        <v>101</v>
      </c>
      <c r="AE5">
        <v>109.354</v>
      </c>
      <c r="AF5">
        <v>1.0727760310708341</v>
      </c>
      <c r="AG5">
        <v>117.31235010172</v>
      </c>
      <c r="AH5">
        <v>694.38</v>
      </c>
      <c r="AI5">
        <v>0.875</v>
      </c>
      <c r="AJ5">
        <v>71.276930955678296</v>
      </c>
      <c r="AK5">
        <v>1.0077</v>
      </c>
      <c r="AL5">
        <v>71.825999999999993</v>
      </c>
      <c r="AM5">
        <v>8.9176000000000002</v>
      </c>
      <c r="AN5">
        <v>9.5665875346772715</v>
      </c>
      <c r="AO5">
        <v>0.91300000000000003</v>
      </c>
      <c r="AP5">
        <v>6064.9193587765631</v>
      </c>
      <c r="AQ5">
        <v>1.0255267423014589</v>
      </c>
      <c r="AR5">
        <v>6219.7370000000001</v>
      </c>
      <c r="AT5" t="s">
        <v>228</v>
      </c>
      <c r="AU5" t="s">
        <v>229</v>
      </c>
      <c r="AV5" t="s">
        <v>227</v>
      </c>
      <c r="AW5" t="s">
        <v>101</v>
      </c>
      <c r="AX5">
        <v>109.354</v>
      </c>
      <c r="AY5">
        <v>1.0833851741009131</v>
      </c>
      <c r="AZ5">
        <v>118.47250232863119</v>
      </c>
      <c r="BA5">
        <v>801.49</v>
      </c>
      <c r="BB5">
        <v>0.90500000000000003</v>
      </c>
      <c r="BC5">
        <v>85.933845931694037</v>
      </c>
      <c r="BD5">
        <v>1.0154000000000001</v>
      </c>
      <c r="BE5">
        <v>87.257000000000005</v>
      </c>
      <c r="BF5">
        <v>8.9176000000000002</v>
      </c>
      <c r="BG5">
        <v>0.77</v>
      </c>
      <c r="BH5">
        <v>5962.3807969390264</v>
      </c>
      <c r="BI5">
        <v>1.0150931928687199</v>
      </c>
      <c r="BJ5">
        <v>6052.3721999999998</v>
      </c>
    </row>
    <row r="6" spans="1:63" x14ac:dyDescent="0.25">
      <c r="A6">
        <v>2354</v>
      </c>
      <c r="B6" t="s">
        <v>110</v>
      </c>
      <c r="C6">
        <v>2021</v>
      </c>
      <c r="D6">
        <v>1</v>
      </c>
      <c r="E6" t="s">
        <v>218</v>
      </c>
      <c r="F6" t="s">
        <v>219</v>
      </c>
      <c r="G6" t="s">
        <v>220</v>
      </c>
      <c r="H6" t="s">
        <v>17</v>
      </c>
      <c r="I6" t="s">
        <v>233</v>
      </c>
      <c r="J6" t="s">
        <v>234</v>
      </c>
      <c r="K6">
        <v>-1096.34941643</v>
      </c>
      <c r="L6" t="s">
        <v>234</v>
      </c>
      <c r="M6" t="s">
        <v>224</v>
      </c>
      <c r="N6">
        <v>8.5771088379299996E-3</v>
      </c>
      <c r="O6">
        <v>9.4035080000000004</v>
      </c>
      <c r="P6" t="s">
        <v>21</v>
      </c>
      <c r="Q6">
        <v>1</v>
      </c>
      <c r="W6">
        <v>1</v>
      </c>
      <c r="X6">
        <v>0</v>
      </c>
      <c r="AA6" t="s">
        <v>225</v>
      </c>
      <c r="AB6" t="s">
        <v>226</v>
      </c>
      <c r="AC6" t="s">
        <v>227</v>
      </c>
      <c r="AD6" t="s">
        <v>153</v>
      </c>
      <c r="AE6">
        <v>109.354</v>
      </c>
      <c r="AF6">
        <v>1.0727760310708341</v>
      </c>
      <c r="AG6">
        <v>117.31235010172</v>
      </c>
      <c r="AH6">
        <v>694.38</v>
      </c>
      <c r="AI6">
        <v>0.875</v>
      </c>
      <c r="AJ6">
        <v>71.276930955678296</v>
      </c>
      <c r="AK6">
        <v>1.0034000000000001</v>
      </c>
      <c r="AL6">
        <v>71.519000000000005</v>
      </c>
      <c r="AM6">
        <v>8.9176000000000002</v>
      </c>
      <c r="AN6">
        <v>9.5665875346772715</v>
      </c>
      <c r="AO6">
        <v>0.91300000000000003</v>
      </c>
      <c r="AP6">
        <v>6064.9193587765631</v>
      </c>
      <c r="AQ6">
        <v>1</v>
      </c>
      <c r="AR6">
        <v>6064.9193999999998</v>
      </c>
      <c r="AT6" t="s">
        <v>228</v>
      </c>
      <c r="AU6" t="s">
        <v>229</v>
      </c>
      <c r="AV6" t="s">
        <v>227</v>
      </c>
      <c r="AW6" t="s">
        <v>153</v>
      </c>
      <c r="AX6">
        <v>109.354</v>
      </c>
      <c r="AY6">
        <v>1.0833851741009131</v>
      </c>
      <c r="AZ6">
        <v>118.47250232863119</v>
      </c>
      <c r="BA6">
        <v>801.49</v>
      </c>
      <c r="BB6">
        <v>0.90500000000000003</v>
      </c>
      <c r="BC6">
        <v>85.933845931694037</v>
      </c>
      <c r="BD6">
        <v>1.0470999999999999</v>
      </c>
      <c r="BE6">
        <v>89.980999999999995</v>
      </c>
      <c r="BF6">
        <v>8.9176000000000002</v>
      </c>
      <c r="BG6">
        <v>0.77</v>
      </c>
      <c r="BH6">
        <v>5962.3807969390264</v>
      </c>
      <c r="BI6">
        <v>1</v>
      </c>
      <c r="BJ6">
        <v>5962.3807999999999</v>
      </c>
    </row>
    <row r="7" spans="1:63" x14ac:dyDescent="0.25">
      <c r="A7">
        <v>2356</v>
      </c>
      <c r="B7" t="s">
        <v>110</v>
      </c>
      <c r="C7">
        <v>2021</v>
      </c>
      <c r="D7">
        <v>1</v>
      </c>
      <c r="E7" t="s">
        <v>218</v>
      </c>
      <c r="F7" t="s">
        <v>219</v>
      </c>
      <c r="G7" t="s">
        <v>220</v>
      </c>
      <c r="H7" t="s">
        <v>17</v>
      </c>
      <c r="I7" t="s">
        <v>233</v>
      </c>
      <c r="J7" t="s">
        <v>234</v>
      </c>
      <c r="K7">
        <v>-1096.34941643</v>
      </c>
      <c r="L7" t="s">
        <v>234</v>
      </c>
      <c r="M7" t="s">
        <v>235</v>
      </c>
      <c r="N7">
        <v>0.60124209651893001</v>
      </c>
      <c r="O7">
        <v>659.17142200000001</v>
      </c>
      <c r="P7" t="s">
        <v>21</v>
      </c>
      <c r="Q7">
        <v>1</v>
      </c>
      <c r="W7">
        <v>1</v>
      </c>
      <c r="X7">
        <v>0</v>
      </c>
      <c r="AA7" t="s">
        <v>225</v>
      </c>
      <c r="AB7" t="s">
        <v>226</v>
      </c>
      <c r="AC7" t="s">
        <v>227</v>
      </c>
      <c r="AD7" t="s">
        <v>154</v>
      </c>
      <c r="AE7">
        <v>109.354</v>
      </c>
      <c r="AF7">
        <v>1.0727760310708341</v>
      </c>
      <c r="AG7">
        <v>117.31235010172</v>
      </c>
      <c r="AH7">
        <v>694.38</v>
      </c>
      <c r="AI7">
        <v>0.875</v>
      </c>
      <c r="AJ7">
        <v>71.276930955678296</v>
      </c>
      <c r="AK7">
        <v>1.0179</v>
      </c>
      <c r="AL7">
        <v>72.552999999999997</v>
      </c>
      <c r="AM7">
        <v>8.9176000000000002</v>
      </c>
      <c r="AN7">
        <v>9.5665875346772715</v>
      </c>
      <c r="AO7">
        <v>0.91300000000000003</v>
      </c>
      <c r="AP7">
        <v>6064.9193587765631</v>
      </c>
      <c r="AQ7">
        <v>0.98975009761811794</v>
      </c>
      <c r="AR7">
        <v>6002.7545</v>
      </c>
      <c r="AT7" t="s">
        <v>228</v>
      </c>
      <c r="AU7" t="s">
        <v>229</v>
      </c>
      <c r="AV7" t="s">
        <v>227</v>
      </c>
      <c r="AW7" t="s">
        <v>154</v>
      </c>
      <c r="AX7">
        <v>109.354</v>
      </c>
      <c r="AY7">
        <v>1.0833851741009131</v>
      </c>
      <c r="AZ7">
        <v>118.47250232863119</v>
      </c>
      <c r="BA7">
        <v>801.49</v>
      </c>
      <c r="BB7">
        <v>0.90500000000000003</v>
      </c>
      <c r="BC7">
        <v>85.933845931694037</v>
      </c>
      <c r="BD7">
        <v>0.99380000000000002</v>
      </c>
      <c r="BE7">
        <v>85.400999999999996</v>
      </c>
      <c r="BF7">
        <v>8.9176000000000002</v>
      </c>
      <c r="BG7">
        <v>0.77</v>
      </c>
      <c r="BH7">
        <v>5962.3807969390264</v>
      </c>
      <c r="BI7">
        <v>0.98418586489652482</v>
      </c>
      <c r="BJ7">
        <v>5868.0909000000001</v>
      </c>
    </row>
    <row r="8" spans="1:63" x14ac:dyDescent="0.25">
      <c r="A8">
        <v>2358</v>
      </c>
      <c r="B8" t="s">
        <v>110</v>
      </c>
      <c r="C8">
        <v>2021</v>
      </c>
      <c r="D8">
        <v>1</v>
      </c>
      <c r="E8" t="s">
        <v>218</v>
      </c>
      <c r="F8" t="s">
        <v>219</v>
      </c>
      <c r="G8" t="s">
        <v>220</v>
      </c>
      <c r="H8" t="s">
        <v>17</v>
      </c>
      <c r="I8" t="s">
        <v>233</v>
      </c>
      <c r="J8" t="s">
        <v>234</v>
      </c>
      <c r="K8">
        <v>-1096.34941643</v>
      </c>
      <c r="L8" t="s">
        <v>234</v>
      </c>
      <c r="M8" t="s">
        <v>236</v>
      </c>
      <c r="N8">
        <v>1.9808691721710001E-2</v>
      </c>
      <c r="O8">
        <v>21.717248000000001</v>
      </c>
      <c r="P8" t="s">
        <v>21</v>
      </c>
      <c r="Q8">
        <v>1</v>
      </c>
      <c r="W8">
        <v>1</v>
      </c>
      <c r="X8">
        <v>0</v>
      </c>
      <c r="AA8" t="s">
        <v>225</v>
      </c>
      <c r="AB8" t="s">
        <v>226</v>
      </c>
      <c r="AC8" t="s">
        <v>227</v>
      </c>
      <c r="AD8" t="s">
        <v>100</v>
      </c>
      <c r="AE8">
        <v>109.354</v>
      </c>
      <c r="AF8">
        <v>1.0727760310708341</v>
      </c>
      <c r="AG8">
        <v>117.31235010172</v>
      </c>
      <c r="AH8">
        <v>694.38</v>
      </c>
      <c r="AI8">
        <v>0.875</v>
      </c>
      <c r="AJ8">
        <v>71.276930955678296</v>
      </c>
      <c r="AK8">
        <v>0.96660000000000001</v>
      </c>
      <c r="AL8">
        <v>68.896000000000001</v>
      </c>
      <c r="AM8">
        <v>8.9176000000000002</v>
      </c>
      <c r="AN8">
        <v>9.5665875346772715</v>
      </c>
      <c r="AO8">
        <v>0.91300000000000003</v>
      </c>
      <c r="AP8">
        <v>6064.9193587765631</v>
      </c>
      <c r="AQ8">
        <v>0.98316430020283985</v>
      </c>
      <c r="AR8">
        <v>5962.8122000000003</v>
      </c>
      <c r="AT8" t="s">
        <v>228</v>
      </c>
      <c r="AU8" t="s">
        <v>229</v>
      </c>
      <c r="AV8" t="s">
        <v>227</v>
      </c>
      <c r="AW8" t="s">
        <v>100</v>
      </c>
      <c r="AX8">
        <v>109.354</v>
      </c>
      <c r="AY8">
        <v>1.0833851741009131</v>
      </c>
      <c r="AZ8">
        <v>118.47250232863119</v>
      </c>
      <c r="BA8">
        <v>801.49</v>
      </c>
      <c r="BB8">
        <v>0.90500000000000003</v>
      </c>
      <c r="BC8">
        <v>85.933845931694037</v>
      </c>
      <c r="BD8">
        <v>0.94550000000000001</v>
      </c>
      <c r="BE8">
        <v>81.25</v>
      </c>
      <c r="BF8">
        <v>8.9176000000000002</v>
      </c>
      <c r="BG8">
        <v>0.77</v>
      </c>
      <c r="BH8">
        <v>5962.3807969390264</v>
      </c>
      <c r="BI8">
        <v>1.0003042596348879</v>
      </c>
      <c r="BJ8">
        <v>5964.1949000000004</v>
      </c>
    </row>
    <row r="9" spans="1:63" x14ac:dyDescent="0.25">
      <c r="A9">
        <v>2360</v>
      </c>
      <c r="B9" t="s">
        <v>110</v>
      </c>
      <c r="C9">
        <v>2021</v>
      </c>
      <c r="D9">
        <v>1</v>
      </c>
      <c r="E9" t="s">
        <v>218</v>
      </c>
      <c r="F9" t="s">
        <v>219</v>
      </c>
      <c r="G9" t="s">
        <v>220</v>
      </c>
      <c r="H9" t="s">
        <v>17</v>
      </c>
      <c r="I9" t="s">
        <v>233</v>
      </c>
      <c r="J9" t="s">
        <v>234</v>
      </c>
      <c r="K9">
        <v>-1096.34941643</v>
      </c>
      <c r="L9" t="s">
        <v>234</v>
      </c>
      <c r="M9" t="s">
        <v>237</v>
      </c>
      <c r="N9">
        <v>0.39660634608572998</v>
      </c>
      <c r="O9">
        <v>434.81913600000001</v>
      </c>
      <c r="P9" t="s">
        <v>21</v>
      </c>
      <c r="Q9">
        <v>1</v>
      </c>
      <c r="W9">
        <v>1</v>
      </c>
      <c r="X9">
        <v>0</v>
      </c>
      <c r="AA9" t="s">
        <v>225</v>
      </c>
      <c r="AB9" t="s">
        <v>226</v>
      </c>
      <c r="AC9" t="s">
        <v>227</v>
      </c>
      <c r="AD9" t="s">
        <v>101</v>
      </c>
      <c r="AE9">
        <v>109.354</v>
      </c>
      <c r="AF9">
        <v>1.0727760310708341</v>
      </c>
      <c r="AG9">
        <v>117.31235010172</v>
      </c>
      <c r="AH9">
        <v>694.38</v>
      </c>
      <c r="AI9">
        <v>0.875</v>
      </c>
      <c r="AJ9">
        <v>71.276930955678296</v>
      </c>
      <c r="AK9">
        <v>1.0077</v>
      </c>
      <c r="AL9">
        <v>71.825999999999993</v>
      </c>
      <c r="AM9">
        <v>8.9176000000000002</v>
      </c>
      <c r="AN9">
        <v>9.5665875346772715</v>
      </c>
      <c r="AO9">
        <v>0.91300000000000003</v>
      </c>
      <c r="AP9">
        <v>6064.9193587765631</v>
      </c>
      <c r="AQ9">
        <v>1.0255267423014589</v>
      </c>
      <c r="AR9">
        <v>6219.7370000000001</v>
      </c>
      <c r="AT9" t="s">
        <v>228</v>
      </c>
      <c r="AU9" t="s">
        <v>229</v>
      </c>
      <c r="AV9" t="s">
        <v>227</v>
      </c>
      <c r="AW9" t="s">
        <v>101</v>
      </c>
      <c r="AX9">
        <v>109.354</v>
      </c>
      <c r="AY9">
        <v>1.0833851741009131</v>
      </c>
      <c r="AZ9">
        <v>118.47250232863119</v>
      </c>
      <c r="BA9">
        <v>801.49</v>
      </c>
      <c r="BB9">
        <v>0.90500000000000003</v>
      </c>
      <c r="BC9">
        <v>85.933845931694037</v>
      </c>
      <c r="BD9">
        <v>1.0154000000000001</v>
      </c>
      <c r="BE9">
        <v>87.257000000000005</v>
      </c>
      <c r="BF9">
        <v>8.9176000000000002</v>
      </c>
      <c r="BG9">
        <v>0.77</v>
      </c>
      <c r="BH9">
        <v>5962.3807969390264</v>
      </c>
      <c r="BI9">
        <v>1.0150931928687199</v>
      </c>
      <c r="BJ9">
        <v>6052.3721999999998</v>
      </c>
    </row>
    <row r="10" spans="1:63" x14ac:dyDescent="0.25">
      <c r="A10">
        <v>2354</v>
      </c>
      <c r="B10" t="s">
        <v>110</v>
      </c>
      <c r="C10">
        <v>2021</v>
      </c>
      <c r="D10">
        <v>1</v>
      </c>
      <c r="E10" t="s">
        <v>218</v>
      </c>
      <c r="F10" t="s">
        <v>219</v>
      </c>
      <c r="G10" t="s">
        <v>220</v>
      </c>
      <c r="H10" t="s">
        <v>17</v>
      </c>
      <c r="I10" t="s">
        <v>238</v>
      </c>
      <c r="J10" t="s">
        <v>239</v>
      </c>
      <c r="K10">
        <v>-204.53825117</v>
      </c>
      <c r="L10" t="s">
        <v>240</v>
      </c>
      <c r="M10" t="s">
        <v>224</v>
      </c>
      <c r="N10">
        <v>1.1109205873409999E-2</v>
      </c>
      <c r="O10">
        <v>2.2722579999999999</v>
      </c>
      <c r="P10" t="s">
        <v>21</v>
      </c>
      <c r="Q10">
        <v>1</v>
      </c>
      <c r="W10">
        <v>1</v>
      </c>
      <c r="X10">
        <v>0</v>
      </c>
      <c r="AA10" t="s">
        <v>225</v>
      </c>
      <c r="AB10" t="s">
        <v>226</v>
      </c>
      <c r="AC10" t="s">
        <v>227</v>
      </c>
      <c r="AD10" t="s">
        <v>153</v>
      </c>
      <c r="AE10">
        <v>109.354</v>
      </c>
      <c r="AF10">
        <v>1.0727760310708341</v>
      </c>
      <c r="AG10">
        <v>117.31235010172</v>
      </c>
      <c r="AH10">
        <v>694.38</v>
      </c>
      <c r="AI10">
        <v>0.875</v>
      </c>
      <c r="AJ10">
        <v>71.276930955678296</v>
      </c>
      <c r="AK10">
        <v>1.0034000000000001</v>
      </c>
      <c r="AL10">
        <v>71.519000000000005</v>
      </c>
      <c r="AM10">
        <v>8.9176000000000002</v>
      </c>
      <c r="AN10">
        <v>9.5665875346772715</v>
      </c>
      <c r="AO10">
        <v>0.91300000000000003</v>
      </c>
      <c r="AP10">
        <v>6064.9193587765631</v>
      </c>
      <c r="AQ10">
        <v>1</v>
      </c>
      <c r="AR10">
        <v>6064.9193999999998</v>
      </c>
      <c r="AT10" t="s">
        <v>228</v>
      </c>
      <c r="AU10" t="s">
        <v>229</v>
      </c>
      <c r="AV10" t="s">
        <v>227</v>
      </c>
      <c r="AW10" t="s">
        <v>153</v>
      </c>
      <c r="AX10">
        <v>109.354</v>
      </c>
      <c r="AY10">
        <v>1.0833851741009131</v>
      </c>
      <c r="AZ10">
        <v>118.47250232863119</v>
      </c>
      <c r="BA10">
        <v>801.49</v>
      </c>
      <c r="BB10">
        <v>0.90500000000000003</v>
      </c>
      <c r="BC10">
        <v>85.933845931694037</v>
      </c>
      <c r="BD10">
        <v>1.0470999999999999</v>
      </c>
      <c r="BE10">
        <v>89.980999999999995</v>
      </c>
      <c r="BF10">
        <v>8.9176000000000002</v>
      </c>
      <c r="BG10">
        <v>0.77</v>
      </c>
      <c r="BH10">
        <v>5962.3807969390264</v>
      </c>
      <c r="BI10">
        <v>1</v>
      </c>
      <c r="BJ10">
        <v>5962.3807999999999</v>
      </c>
    </row>
    <row r="11" spans="1:63" x14ac:dyDescent="0.25">
      <c r="A11">
        <v>2356</v>
      </c>
      <c r="B11" t="s">
        <v>110</v>
      </c>
      <c r="C11">
        <v>2021</v>
      </c>
      <c r="D11">
        <v>1</v>
      </c>
      <c r="E11" t="s">
        <v>218</v>
      </c>
      <c r="F11" t="s">
        <v>219</v>
      </c>
      <c r="G11" t="s">
        <v>220</v>
      </c>
      <c r="H11" t="s">
        <v>17</v>
      </c>
      <c r="I11" t="s">
        <v>238</v>
      </c>
      <c r="J11" t="s">
        <v>239</v>
      </c>
      <c r="K11">
        <v>-204.53825117</v>
      </c>
      <c r="L11" t="s">
        <v>240</v>
      </c>
      <c r="M11" t="s">
        <v>235</v>
      </c>
      <c r="N11">
        <v>0.58148407621825005</v>
      </c>
      <c r="O11">
        <v>118.93573600000001</v>
      </c>
      <c r="P11" t="s">
        <v>21</v>
      </c>
      <c r="Q11">
        <v>1</v>
      </c>
      <c r="W11">
        <v>1</v>
      </c>
      <c r="X11">
        <v>0</v>
      </c>
      <c r="AA11" t="s">
        <v>225</v>
      </c>
      <c r="AB11" t="s">
        <v>226</v>
      </c>
      <c r="AC11" t="s">
        <v>227</v>
      </c>
      <c r="AD11" t="s">
        <v>154</v>
      </c>
      <c r="AE11">
        <v>109.354</v>
      </c>
      <c r="AF11">
        <v>1.0727760310708341</v>
      </c>
      <c r="AG11">
        <v>117.31235010172</v>
      </c>
      <c r="AH11">
        <v>694.38</v>
      </c>
      <c r="AI11">
        <v>0.875</v>
      </c>
      <c r="AJ11">
        <v>71.276930955678296</v>
      </c>
      <c r="AK11">
        <v>1.0179</v>
      </c>
      <c r="AL11">
        <v>72.552999999999997</v>
      </c>
      <c r="AM11">
        <v>8.9176000000000002</v>
      </c>
      <c r="AN11">
        <v>9.5665875346772715</v>
      </c>
      <c r="AO11">
        <v>0.91300000000000003</v>
      </c>
      <c r="AP11">
        <v>6064.9193587765631</v>
      </c>
      <c r="AQ11">
        <v>0.98975009761811794</v>
      </c>
      <c r="AR11">
        <v>6002.7545</v>
      </c>
      <c r="AT11" t="s">
        <v>228</v>
      </c>
      <c r="AU11" t="s">
        <v>229</v>
      </c>
      <c r="AV11" t="s">
        <v>227</v>
      </c>
      <c r="AW11" t="s">
        <v>154</v>
      </c>
      <c r="AX11">
        <v>109.354</v>
      </c>
      <c r="AY11">
        <v>1.0833851741009131</v>
      </c>
      <c r="AZ11">
        <v>118.47250232863119</v>
      </c>
      <c r="BA11">
        <v>801.49</v>
      </c>
      <c r="BB11">
        <v>0.90500000000000003</v>
      </c>
      <c r="BC11">
        <v>85.933845931694037</v>
      </c>
      <c r="BD11">
        <v>0.99380000000000002</v>
      </c>
      <c r="BE11">
        <v>85.400999999999996</v>
      </c>
      <c r="BF11">
        <v>8.9176000000000002</v>
      </c>
      <c r="BG11">
        <v>0.77</v>
      </c>
      <c r="BH11">
        <v>5962.3807969390264</v>
      </c>
      <c r="BI11">
        <v>0.98418586489652482</v>
      </c>
      <c r="BJ11">
        <v>5868.0909000000001</v>
      </c>
    </row>
    <row r="12" spans="1:63" x14ac:dyDescent="0.25">
      <c r="A12">
        <v>2358</v>
      </c>
      <c r="B12" t="s">
        <v>110</v>
      </c>
      <c r="C12">
        <v>2021</v>
      </c>
      <c r="D12">
        <v>1</v>
      </c>
      <c r="E12" t="s">
        <v>218</v>
      </c>
      <c r="F12" t="s">
        <v>219</v>
      </c>
      <c r="G12" t="s">
        <v>220</v>
      </c>
      <c r="H12" t="s">
        <v>17</v>
      </c>
      <c r="I12" t="s">
        <v>238</v>
      </c>
      <c r="J12" t="s">
        <v>239</v>
      </c>
      <c r="K12">
        <v>-204.53825117</v>
      </c>
      <c r="L12" t="s">
        <v>240</v>
      </c>
      <c r="M12" t="s">
        <v>236</v>
      </c>
      <c r="N12">
        <v>1.8083569973560001E-2</v>
      </c>
      <c r="O12">
        <v>3.698782</v>
      </c>
      <c r="P12" t="s">
        <v>21</v>
      </c>
      <c r="Q12">
        <v>1</v>
      </c>
      <c r="W12">
        <v>1</v>
      </c>
      <c r="X12">
        <v>0</v>
      </c>
      <c r="AA12" t="s">
        <v>225</v>
      </c>
      <c r="AB12" t="s">
        <v>226</v>
      </c>
      <c r="AC12" t="s">
        <v>227</v>
      </c>
      <c r="AD12" t="s">
        <v>100</v>
      </c>
      <c r="AE12">
        <v>109.354</v>
      </c>
      <c r="AF12">
        <v>1.0727760310708341</v>
      </c>
      <c r="AG12">
        <v>117.31235010172</v>
      </c>
      <c r="AH12">
        <v>694.38</v>
      </c>
      <c r="AI12">
        <v>0.875</v>
      </c>
      <c r="AJ12">
        <v>71.276930955678296</v>
      </c>
      <c r="AK12">
        <v>0.96660000000000001</v>
      </c>
      <c r="AL12">
        <v>68.896000000000001</v>
      </c>
      <c r="AM12">
        <v>8.9176000000000002</v>
      </c>
      <c r="AN12">
        <v>9.5665875346772715</v>
      </c>
      <c r="AO12">
        <v>0.91300000000000003</v>
      </c>
      <c r="AP12">
        <v>6064.9193587765631</v>
      </c>
      <c r="AQ12">
        <v>0.98316430020283985</v>
      </c>
      <c r="AR12">
        <v>5962.8122000000003</v>
      </c>
      <c r="AT12" t="s">
        <v>228</v>
      </c>
      <c r="AU12" t="s">
        <v>229</v>
      </c>
      <c r="AV12" t="s">
        <v>227</v>
      </c>
      <c r="AW12" t="s">
        <v>100</v>
      </c>
      <c r="AX12">
        <v>109.354</v>
      </c>
      <c r="AY12">
        <v>1.0833851741009131</v>
      </c>
      <c r="AZ12">
        <v>118.47250232863119</v>
      </c>
      <c r="BA12">
        <v>801.49</v>
      </c>
      <c r="BB12">
        <v>0.90500000000000003</v>
      </c>
      <c r="BC12">
        <v>85.933845931694037</v>
      </c>
      <c r="BD12">
        <v>0.94550000000000001</v>
      </c>
      <c r="BE12">
        <v>81.25</v>
      </c>
      <c r="BF12">
        <v>8.9176000000000002</v>
      </c>
      <c r="BG12">
        <v>0.77</v>
      </c>
      <c r="BH12">
        <v>5962.3807969390264</v>
      </c>
      <c r="BI12">
        <v>1.0003042596348879</v>
      </c>
      <c r="BJ12">
        <v>5964.1949000000004</v>
      </c>
    </row>
    <row r="13" spans="1:63" x14ac:dyDescent="0.25">
      <c r="A13">
        <v>2360</v>
      </c>
      <c r="B13" t="s">
        <v>110</v>
      </c>
      <c r="C13">
        <v>2021</v>
      </c>
      <c r="D13">
        <v>1</v>
      </c>
      <c r="E13" t="s">
        <v>218</v>
      </c>
      <c r="F13" t="s">
        <v>219</v>
      </c>
      <c r="G13" t="s">
        <v>220</v>
      </c>
      <c r="H13" t="s">
        <v>17</v>
      </c>
      <c r="I13" t="s">
        <v>238</v>
      </c>
      <c r="J13" t="s">
        <v>239</v>
      </c>
      <c r="K13">
        <v>-204.53825117</v>
      </c>
      <c r="L13" t="s">
        <v>240</v>
      </c>
      <c r="M13" t="s">
        <v>237</v>
      </c>
      <c r="N13">
        <v>0.41680683696206</v>
      </c>
      <c r="O13">
        <v>85.252942000000004</v>
      </c>
      <c r="P13" t="s">
        <v>21</v>
      </c>
      <c r="Q13">
        <v>1</v>
      </c>
      <c r="W13">
        <v>1</v>
      </c>
      <c r="X13">
        <v>0</v>
      </c>
      <c r="AA13" t="s">
        <v>225</v>
      </c>
      <c r="AB13" t="s">
        <v>226</v>
      </c>
      <c r="AC13" t="s">
        <v>227</v>
      </c>
      <c r="AD13" t="s">
        <v>101</v>
      </c>
      <c r="AE13">
        <v>109.354</v>
      </c>
      <c r="AF13">
        <v>1.0727760310708341</v>
      </c>
      <c r="AG13">
        <v>117.31235010172</v>
      </c>
      <c r="AH13">
        <v>694.38</v>
      </c>
      <c r="AI13">
        <v>0.875</v>
      </c>
      <c r="AJ13">
        <v>71.276930955678296</v>
      </c>
      <c r="AK13">
        <v>1.0077</v>
      </c>
      <c r="AL13">
        <v>71.825999999999993</v>
      </c>
      <c r="AM13">
        <v>8.9176000000000002</v>
      </c>
      <c r="AN13">
        <v>9.5665875346772715</v>
      </c>
      <c r="AO13">
        <v>0.91300000000000003</v>
      </c>
      <c r="AP13">
        <v>6064.9193587765631</v>
      </c>
      <c r="AQ13">
        <v>1.0255267423014589</v>
      </c>
      <c r="AR13">
        <v>6219.7370000000001</v>
      </c>
      <c r="AT13" t="s">
        <v>228</v>
      </c>
      <c r="AU13" t="s">
        <v>229</v>
      </c>
      <c r="AV13" t="s">
        <v>227</v>
      </c>
      <c r="AW13" t="s">
        <v>101</v>
      </c>
      <c r="AX13">
        <v>109.354</v>
      </c>
      <c r="AY13">
        <v>1.0833851741009131</v>
      </c>
      <c r="AZ13">
        <v>118.47250232863119</v>
      </c>
      <c r="BA13">
        <v>801.49</v>
      </c>
      <c r="BB13">
        <v>0.90500000000000003</v>
      </c>
      <c r="BC13">
        <v>85.933845931694037</v>
      </c>
      <c r="BD13">
        <v>1.0154000000000001</v>
      </c>
      <c r="BE13">
        <v>87.257000000000005</v>
      </c>
      <c r="BF13">
        <v>8.9176000000000002</v>
      </c>
      <c r="BG13">
        <v>0.77</v>
      </c>
      <c r="BH13">
        <v>5962.3807969390264</v>
      </c>
      <c r="BI13">
        <v>1.0150931928687199</v>
      </c>
      <c r="BJ13">
        <v>6052.3721999999998</v>
      </c>
    </row>
    <row r="14" spans="1:63" x14ac:dyDescent="0.25">
      <c r="A14">
        <v>3548</v>
      </c>
      <c r="B14" t="s">
        <v>110</v>
      </c>
      <c r="C14">
        <v>2021</v>
      </c>
      <c r="D14">
        <v>1</v>
      </c>
      <c r="E14" t="s">
        <v>218</v>
      </c>
      <c r="F14" t="s">
        <v>219</v>
      </c>
      <c r="G14" t="s">
        <v>220</v>
      </c>
      <c r="H14" t="s">
        <v>17</v>
      </c>
      <c r="I14" t="s">
        <v>241</v>
      </c>
      <c r="J14" t="s">
        <v>242</v>
      </c>
      <c r="K14">
        <v>-85.228445769999993</v>
      </c>
      <c r="L14" t="s">
        <v>242</v>
      </c>
      <c r="M14" t="s">
        <v>235</v>
      </c>
      <c r="N14">
        <v>0.67001574769252004</v>
      </c>
      <c r="O14">
        <v>57.104401000000003</v>
      </c>
      <c r="P14" t="s">
        <v>21</v>
      </c>
      <c r="Q14">
        <v>1</v>
      </c>
      <c r="W14">
        <v>1</v>
      </c>
      <c r="X14">
        <v>0</v>
      </c>
      <c r="AA14" t="s">
        <v>225</v>
      </c>
      <c r="AB14" t="s">
        <v>226</v>
      </c>
      <c r="AC14" t="s">
        <v>227</v>
      </c>
      <c r="AD14" t="s">
        <v>154</v>
      </c>
      <c r="AE14">
        <v>109.354</v>
      </c>
      <c r="AF14">
        <v>1.0727760310708341</v>
      </c>
      <c r="AG14">
        <v>117.31235010172</v>
      </c>
      <c r="AH14">
        <v>694.38</v>
      </c>
      <c r="AI14">
        <v>0.875</v>
      </c>
      <c r="AJ14">
        <v>71.276930955678296</v>
      </c>
      <c r="AK14">
        <v>1.0179</v>
      </c>
      <c r="AL14">
        <v>72.552999999999997</v>
      </c>
      <c r="AM14">
        <v>8.9176000000000002</v>
      </c>
      <c r="AN14">
        <v>9.5665875346772715</v>
      </c>
      <c r="AO14">
        <v>0.91300000000000003</v>
      </c>
      <c r="AP14">
        <v>6064.9193587765631</v>
      </c>
      <c r="AQ14">
        <v>0.98975009761811794</v>
      </c>
      <c r="AR14">
        <v>6002.7545</v>
      </c>
      <c r="AT14" t="s">
        <v>228</v>
      </c>
      <c r="AU14" t="s">
        <v>229</v>
      </c>
      <c r="AV14" t="s">
        <v>227</v>
      </c>
      <c r="AW14" t="s">
        <v>154</v>
      </c>
      <c r="AX14">
        <v>109.354</v>
      </c>
      <c r="AY14">
        <v>1.0833851741009131</v>
      </c>
      <c r="AZ14">
        <v>118.47250232863119</v>
      </c>
      <c r="BA14">
        <v>801.49</v>
      </c>
      <c r="BB14">
        <v>0.90500000000000003</v>
      </c>
      <c r="BC14">
        <v>85.933845931694037</v>
      </c>
      <c r="BD14">
        <v>0.99380000000000002</v>
      </c>
      <c r="BE14">
        <v>85.400999999999996</v>
      </c>
      <c r="BF14">
        <v>8.9176000000000002</v>
      </c>
      <c r="BG14">
        <v>0.77</v>
      </c>
      <c r="BH14">
        <v>5962.3807969390264</v>
      </c>
      <c r="BI14">
        <v>0.98418586489652482</v>
      </c>
      <c r="BJ14">
        <v>5868.0909000000001</v>
      </c>
    </row>
    <row r="15" spans="1:63" x14ac:dyDescent="0.25">
      <c r="A15">
        <v>3550</v>
      </c>
      <c r="B15" t="s">
        <v>110</v>
      </c>
      <c r="C15">
        <v>2021</v>
      </c>
      <c r="D15">
        <v>1</v>
      </c>
      <c r="E15" t="s">
        <v>218</v>
      </c>
      <c r="F15" t="s">
        <v>219</v>
      </c>
      <c r="G15" t="s">
        <v>220</v>
      </c>
      <c r="H15" t="s">
        <v>17</v>
      </c>
      <c r="I15" t="s">
        <v>241</v>
      </c>
      <c r="J15" t="s">
        <v>242</v>
      </c>
      <c r="K15">
        <v>-85.228445769999993</v>
      </c>
      <c r="L15" t="s">
        <v>242</v>
      </c>
      <c r="M15" t="s">
        <v>236</v>
      </c>
      <c r="N15">
        <v>1.442552100634E-2</v>
      </c>
      <c r="O15">
        <v>1.229465</v>
      </c>
      <c r="P15" t="s">
        <v>21</v>
      </c>
      <c r="Q15">
        <v>1</v>
      </c>
      <c r="W15">
        <v>1</v>
      </c>
      <c r="X15">
        <v>0</v>
      </c>
      <c r="AA15" t="s">
        <v>225</v>
      </c>
      <c r="AB15" t="s">
        <v>226</v>
      </c>
      <c r="AC15" t="s">
        <v>227</v>
      </c>
      <c r="AD15" t="s">
        <v>100</v>
      </c>
      <c r="AE15">
        <v>109.354</v>
      </c>
      <c r="AF15">
        <v>1.0727760310708341</v>
      </c>
      <c r="AG15">
        <v>117.31235010172</v>
      </c>
      <c r="AH15">
        <v>694.38</v>
      </c>
      <c r="AI15">
        <v>0.875</v>
      </c>
      <c r="AJ15">
        <v>71.276930955678296</v>
      </c>
      <c r="AK15">
        <v>0.96660000000000001</v>
      </c>
      <c r="AL15">
        <v>68.896000000000001</v>
      </c>
      <c r="AM15">
        <v>8.9176000000000002</v>
      </c>
      <c r="AN15">
        <v>9.5665875346772715</v>
      </c>
      <c r="AO15">
        <v>0.91300000000000003</v>
      </c>
      <c r="AP15">
        <v>6064.9193587765631</v>
      </c>
      <c r="AQ15">
        <v>0.98316430020283985</v>
      </c>
      <c r="AR15">
        <v>5962.8122000000003</v>
      </c>
      <c r="AT15" t="s">
        <v>228</v>
      </c>
      <c r="AU15" t="s">
        <v>229</v>
      </c>
      <c r="AV15" t="s">
        <v>227</v>
      </c>
      <c r="AW15" t="s">
        <v>100</v>
      </c>
      <c r="AX15">
        <v>109.354</v>
      </c>
      <c r="AY15">
        <v>1.0833851741009131</v>
      </c>
      <c r="AZ15">
        <v>118.47250232863119</v>
      </c>
      <c r="BA15">
        <v>801.49</v>
      </c>
      <c r="BB15">
        <v>0.90500000000000003</v>
      </c>
      <c r="BC15">
        <v>85.933845931694037</v>
      </c>
      <c r="BD15">
        <v>0.94550000000000001</v>
      </c>
      <c r="BE15">
        <v>81.25</v>
      </c>
      <c r="BF15">
        <v>8.9176000000000002</v>
      </c>
      <c r="BG15">
        <v>0.77</v>
      </c>
      <c r="BH15">
        <v>5962.3807969390264</v>
      </c>
      <c r="BI15">
        <v>1.0003042596348879</v>
      </c>
      <c r="BJ15">
        <v>5964.1949000000004</v>
      </c>
    </row>
    <row r="16" spans="1:63" x14ac:dyDescent="0.25">
      <c r="A16">
        <v>3552</v>
      </c>
      <c r="B16" t="s">
        <v>110</v>
      </c>
      <c r="C16">
        <v>2021</v>
      </c>
      <c r="D16">
        <v>1</v>
      </c>
      <c r="E16" t="s">
        <v>218</v>
      </c>
      <c r="F16" t="s">
        <v>219</v>
      </c>
      <c r="G16" t="s">
        <v>220</v>
      </c>
      <c r="H16" t="s">
        <v>17</v>
      </c>
      <c r="I16" t="s">
        <v>241</v>
      </c>
      <c r="J16" t="s">
        <v>242</v>
      </c>
      <c r="K16">
        <v>-85.228445769999993</v>
      </c>
      <c r="L16" t="s">
        <v>242</v>
      </c>
      <c r="M16" t="s">
        <v>237</v>
      </c>
      <c r="N16">
        <v>0.37405093967954001</v>
      </c>
      <c r="O16">
        <v>31.87978</v>
      </c>
      <c r="P16" t="s">
        <v>21</v>
      </c>
      <c r="Q16">
        <v>1</v>
      </c>
      <c r="W16">
        <v>1</v>
      </c>
      <c r="X16">
        <v>0</v>
      </c>
      <c r="AA16" t="s">
        <v>225</v>
      </c>
      <c r="AB16" t="s">
        <v>226</v>
      </c>
      <c r="AC16" t="s">
        <v>227</v>
      </c>
      <c r="AD16" t="s">
        <v>101</v>
      </c>
      <c r="AE16">
        <v>109.354</v>
      </c>
      <c r="AF16">
        <v>1.0727760310708341</v>
      </c>
      <c r="AG16">
        <v>117.31235010172</v>
      </c>
      <c r="AH16">
        <v>694.38</v>
      </c>
      <c r="AI16">
        <v>0.875</v>
      </c>
      <c r="AJ16">
        <v>71.276930955678296</v>
      </c>
      <c r="AK16">
        <v>1.0077</v>
      </c>
      <c r="AL16">
        <v>71.825999999999993</v>
      </c>
      <c r="AM16">
        <v>8.9176000000000002</v>
      </c>
      <c r="AN16">
        <v>9.5665875346772715</v>
      </c>
      <c r="AO16">
        <v>0.91300000000000003</v>
      </c>
      <c r="AP16">
        <v>6064.9193587765631</v>
      </c>
      <c r="AQ16">
        <v>1.0255267423014589</v>
      </c>
      <c r="AR16">
        <v>6219.7370000000001</v>
      </c>
      <c r="AT16" t="s">
        <v>228</v>
      </c>
      <c r="AU16" t="s">
        <v>229</v>
      </c>
      <c r="AV16" t="s">
        <v>227</v>
      </c>
      <c r="AW16" t="s">
        <v>101</v>
      </c>
      <c r="AX16">
        <v>109.354</v>
      </c>
      <c r="AY16">
        <v>1.0833851741009131</v>
      </c>
      <c r="AZ16">
        <v>118.47250232863119</v>
      </c>
      <c r="BA16">
        <v>801.49</v>
      </c>
      <c r="BB16">
        <v>0.90500000000000003</v>
      </c>
      <c r="BC16">
        <v>85.933845931694037</v>
      </c>
      <c r="BD16">
        <v>1.0154000000000001</v>
      </c>
      <c r="BE16">
        <v>87.257000000000005</v>
      </c>
      <c r="BF16">
        <v>8.9176000000000002</v>
      </c>
      <c r="BG16">
        <v>0.77</v>
      </c>
      <c r="BH16">
        <v>5962.3807969390264</v>
      </c>
      <c r="BI16">
        <v>1.0150931928687199</v>
      </c>
      <c r="BJ16">
        <v>6052.3721999999998</v>
      </c>
    </row>
    <row r="17" spans="1:62" x14ac:dyDescent="0.25">
      <c r="A17">
        <v>2354</v>
      </c>
      <c r="B17" t="s">
        <v>110</v>
      </c>
      <c r="C17">
        <v>2021</v>
      </c>
      <c r="D17">
        <v>1</v>
      </c>
      <c r="E17" t="s">
        <v>218</v>
      </c>
      <c r="F17" t="s">
        <v>219</v>
      </c>
      <c r="G17" t="s">
        <v>220</v>
      </c>
      <c r="H17" t="s">
        <v>17</v>
      </c>
      <c r="I17" t="s">
        <v>243</v>
      </c>
      <c r="J17" t="s">
        <v>244</v>
      </c>
      <c r="K17">
        <v>-229.28177454999999</v>
      </c>
      <c r="L17" t="s">
        <v>245</v>
      </c>
      <c r="M17" t="s">
        <v>224</v>
      </c>
      <c r="N17">
        <v>1.1026262910890001E-2</v>
      </c>
      <c r="O17">
        <v>2.5281210000000001</v>
      </c>
      <c r="P17" t="s">
        <v>21</v>
      </c>
      <c r="Q17">
        <v>1</v>
      </c>
      <c r="W17">
        <v>1</v>
      </c>
      <c r="X17">
        <v>0</v>
      </c>
      <c r="AA17" t="s">
        <v>225</v>
      </c>
      <c r="AB17" t="s">
        <v>226</v>
      </c>
      <c r="AC17" t="s">
        <v>227</v>
      </c>
      <c r="AD17" t="s">
        <v>153</v>
      </c>
      <c r="AE17">
        <v>109.354</v>
      </c>
      <c r="AF17">
        <v>1.0727760310708341</v>
      </c>
      <c r="AG17">
        <v>117.31235010172</v>
      </c>
      <c r="AH17">
        <v>694.38</v>
      </c>
      <c r="AI17">
        <v>0.875</v>
      </c>
      <c r="AJ17">
        <v>71.276930955678296</v>
      </c>
      <c r="AK17">
        <v>1.0034000000000001</v>
      </c>
      <c r="AL17">
        <v>71.519000000000005</v>
      </c>
      <c r="AM17">
        <v>8.9176000000000002</v>
      </c>
      <c r="AN17">
        <v>9.5665875346772715</v>
      </c>
      <c r="AO17">
        <v>0.91300000000000003</v>
      </c>
      <c r="AP17">
        <v>6064.9193587765631</v>
      </c>
      <c r="AQ17">
        <v>1</v>
      </c>
      <c r="AR17">
        <v>6064.9193999999998</v>
      </c>
      <c r="AT17" t="s">
        <v>228</v>
      </c>
      <c r="AU17" t="s">
        <v>229</v>
      </c>
      <c r="AV17" t="s">
        <v>227</v>
      </c>
      <c r="AW17" t="s">
        <v>153</v>
      </c>
      <c r="AX17">
        <v>109.354</v>
      </c>
      <c r="AY17">
        <v>1.0833851741009131</v>
      </c>
      <c r="AZ17">
        <v>118.47250232863119</v>
      </c>
      <c r="BA17">
        <v>801.49</v>
      </c>
      <c r="BB17">
        <v>0.90500000000000003</v>
      </c>
      <c r="BC17">
        <v>85.933845931694037</v>
      </c>
      <c r="BD17">
        <v>1.0470999999999999</v>
      </c>
      <c r="BE17">
        <v>89.980999999999995</v>
      </c>
      <c r="BF17">
        <v>8.9176000000000002</v>
      </c>
      <c r="BG17">
        <v>0.77</v>
      </c>
      <c r="BH17">
        <v>5962.3807969390264</v>
      </c>
      <c r="BI17">
        <v>1</v>
      </c>
      <c r="BJ17">
        <v>5962.3807999999999</v>
      </c>
    </row>
    <row r="18" spans="1:62" x14ac:dyDescent="0.25">
      <c r="A18">
        <v>2356</v>
      </c>
      <c r="B18" t="s">
        <v>110</v>
      </c>
      <c r="C18">
        <v>2021</v>
      </c>
      <c r="D18">
        <v>1</v>
      </c>
      <c r="E18" t="s">
        <v>218</v>
      </c>
      <c r="F18" t="s">
        <v>219</v>
      </c>
      <c r="G18" t="s">
        <v>220</v>
      </c>
      <c r="H18" t="s">
        <v>17</v>
      </c>
      <c r="I18" t="s">
        <v>243</v>
      </c>
      <c r="J18" t="s">
        <v>244</v>
      </c>
      <c r="K18">
        <v>-229.28177454999999</v>
      </c>
      <c r="L18" t="s">
        <v>245</v>
      </c>
      <c r="M18" t="s">
        <v>235</v>
      </c>
      <c r="N18">
        <v>0.60074557881113</v>
      </c>
      <c r="O18">
        <v>137.74001200000001</v>
      </c>
      <c r="P18" t="s">
        <v>21</v>
      </c>
      <c r="Q18">
        <v>1</v>
      </c>
      <c r="W18">
        <v>1</v>
      </c>
      <c r="X18">
        <v>0</v>
      </c>
      <c r="AA18" t="s">
        <v>225</v>
      </c>
      <c r="AB18" t="s">
        <v>226</v>
      </c>
      <c r="AC18" t="s">
        <v>227</v>
      </c>
      <c r="AD18" t="s">
        <v>154</v>
      </c>
      <c r="AE18">
        <v>109.354</v>
      </c>
      <c r="AF18">
        <v>1.0727760310708341</v>
      </c>
      <c r="AG18">
        <v>117.31235010172</v>
      </c>
      <c r="AH18">
        <v>694.38</v>
      </c>
      <c r="AI18">
        <v>0.875</v>
      </c>
      <c r="AJ18">
        <v>71.276930955678296</v>
      </c>
      <c r="AK18">
        <v>1.0179</v>
      </c>
      <c r="AL18">
        <v>72.552999999999997</v>
      </c>
      <c r="AM18">
        <v>8.9176000000000002</v>
      </c>
      <c r="AN18">
        <v>9.5665875346772715</v>
      </c>
      <c r="AO18">
        <v>0.91300000000000003</v>
      </c>
      <c r="AP18">
        <v>6064.9193587765631</v>
      </c>
      <c r="AQ18">
        <v>0.98975009761811794</v>
      </c>
      <c r="AR18">
        <v>6002.7545</v>
      </c>
      <c r="AT18" t="s">
        <v>228</v>
      </c>
      <c r="AU18" t="s">
        <v>229</v>
      </c>
      <c r="AV18" t="s">
        <v>227</v>
      </c>
      <c r="AW18" t="s">
        <v>154</v>
      </c>
      <c r="AX18">
        <v>109.354</v>
      </c>
      <c r="AY18">
        <v>1.0833851741009131</v>
      </c>
      <c r="AZ18">
        <v>118.47250232863119</v>
      </c>
      <c r="BA18">
        <v>801.49</v>
      </c>
      <c r="BB18">
        <v>0.90500000000000003</v>
      </c>
      <c r="BC18">
        <v>85.933845931694037</v>
      </c>
      <c r="BD18">
        <v>0.99380000000000002</v>
      </c>
      <c r="BE18">
        <v>85.400999999999996</v>
      </c>
      <c r="BF18">
        <v>8.9176000000000002</v>
      </c>
      <c r="BG18">
        <v>0.77</v>
      </c>
      <c r="BH18">
        <v>5962.3807969390264</v>
      </c>
      <c r="BI18">
        <v>0.98418586489652482</v>
      </c>
      <c r="BJ18">
        <v>5868.0909000000001</v>
      </c>
    </row>
    <row r="19" spans="1:62" x14ac:dyDescent="0.25">
      <c r="A19">
        <v>2358</v>
      </c>
      <c r="B19" t="s">
        <v>110</v>
      </c>
      <c r="C19">
        <v>2021</v>
      </c>
      <c r="D19">
        <v>1</v>
      </c>
      <c r="E19" t="s">
        <v>218</v>
      </c>
      <c r="F19" t="s">
        <v>219</v>
      </c>
      <c r="G19" t="s">
        <v>220</v>
      </c>
      <c r="H19" t="s">
        <v>17</v>
      </c>
      <c r="I19" t="s">
        <v>243</v>
      </c>
      <c r="J19" t="s">
        <v>244</v>
      </c>
      <c r="K19">
        <v>-229.28177454999999</v>
      </c>
      <c r="L19" t="s">
        <v>245</v>
      </c>
      <c r="M19" t="s">
        <v>236</v>
      </c>
      <c r="N19">
        <v>1.775192921592E-2</v>
      </c>
      <c r="O19">
        <v>4.0701939999999999</v>
      </c>
      <c r="P19" t="s">
        <v>21</v>
      </c>
      <c r="Q19">
        <v>1</v>
      </c>
      <c r="W19">
        <v>1</v>
      </c>
      <c r="X19">
        <v>0</v>
      </c>
      <c r="AA19" t="s">
        <v>225</v>
      </c>
      <c r="AB19" t="s">
        <v>226</v>
      </c>
      <c r="AC19" t="s">
        <v>227</v>
      </c>
      <c r="AD19" t="s">
        <v>100</v>
      </c>
      <c r="AE19">
        <v>109.354</v>
      </c>
      <c r="AF19">
        <v>1.0727760310708341</v>
      </c>
      <c r="AG19">
        <v>117.31235010172</v>
      </c>
      <c r="AH19">
        <v>694.38</v>
      </c>
      <c r="AI19">
        <v>0.875</v>
      </c>
      <c r="AJ19">
        <v>71.276930955678296</v>
      </c>
      <c r="AK19">
        <v>0.96660000000000001</v>
      </c>
      <c r="AL19">
        <v>68.896000000000001</v>
      </c>
      <c r="AM19">
        <v>8.9176000000000002</v>
      </c>
      <c r="AN19">
        <v>9.5665875346772715</v>
      </c>
      <c r="AO19">
        <v>0.91300000000000003</v>
      </c>
      <c r="AP19">
        <v>6064.9193587765631</v>
      </c>
      <c r="AQ19">
        <v>0.98316430020283985</v>
      </c>
      <c r="AR19">
        <v>5962.8122000000003</v>
      </c>
      <c r="AT19" t="s">
        <v>228</v>
      </c>
      <c r="AU19" t="s">
        <v>229</v>
      </c>
      <c r="AV19" t="s">
        <v>227</v>
      </c>
      <c r="AW19" t="s">
        <v>100</v>
      </c>
      <c r="AX19">
        <v>109.354</v>
      </c>
      <c r="AY19">
        <v>1.0833851741009131</v>
      </c>
      <c r="AZ19">
        <v>118.47250232863119</v>
      </c>
      <c r="BA19">
        <v>801.49</v>
      </c>
      <c r="BB19">
        <v>0.90500000000000003</v>
      </c>
      <c r="BC19">
        <v>85.933845931694037</v>
      </c>
      <c r="BD19">
        <v>0.94550000000000001</v>
      </c>
      <c r="BE19">
        <v>81.25</v>
      </c>
      <c r="BF19">
        <v>8.9176000000000002</v>
      </c>
      <c r="BG19">
        <v>0.77</v>
      </c>
      <c r="BH19">
        <v>5962.3807969390264</v>
      </c>
      <c r="BI19">
        <v>1.0003042596348879</v>
      </c>
      <c r="BJ19">
        <v>5964.1949000000004</v>
      </c>
    </row>
    <row r="20" spans="1:62" x14ac:dyDescent="0.25">
      <c r="A20">
        <v>2360</v>
      </c>
      <c r="B20" t="s">
        <v>110</v>
      </c>
      <c r="C20">
        <v>2021</v>
      </c>
      <c r="D20">
        <v>1</v>
      </c>
      <c r="E20" t="s">
        <v>218</v>
      </c>
      <c r="F20" t="s">
        <v>219</v>
      </c>
      <c r="G20" t="s">
        <v>220</v>
      </c>
      <c r="H20" t="s">
        <v>17</v>
      </c>
      <c r="I20" t="s">
        <v>243</v>
      </c>
      <c r="J20" t="s">
        <v>244</v>
      </c>
      <c r="K20">
        <v>-229.28177454999999</v>
      </c>
      <c r="L20" t="s">
        <v>245</v>
      </c>
      <c r="M20" t="s">
        <v>237</v>
      </c>
      <c r="N20">
        <v>0.39766766032624001</v>
      </c>
      <c r="O20">
        <v>91.177947000000003</v>
      </c>
      <c r="P20" t="s">
        <v>21</v>
      </c>
      <c r="Q20">
        <v>1</v>
      </c>
      <c r="W20">
        <v>1</v>
      </c>
      <c r="X20">
        <v>0</v>
      </c>
      <c r="AA20" t="s">
        <v>225</v>
      </c>
      <c r="AB20" t="s">
        <v>226</v>
      </c>
      <c r="AC20" t="s">
        <v>227</v>
      </c>
      <c r="AD20" t="s">
        <v>101</v>
      </c>
      <c r="AE20">
        <v>109.354</v>
      </c>
      <c r="AF20">
        <v>1.0727760310708341</v>
      </c>
      <c r="AG20">
        <v>117.31235010172</v>
      </c>
      <c r="AH20">
        <v>694.38</v>
      </c>
      <c r="AI20">
        <v>0.875</v>
      </c>
      <c r="AJ20">
        <v>71.276930955678296</v>
      </c>
      <c r="AK20">
        <v>1.0077</v>
      </c>
      <c r="AL20">
        <v>71.825999999999993</v>
      </c>
      <c r="AM20">
        <v>8.9176000000000002</v>
      </c>
      <c r="AN20">
        <v>9.5665875346772715</v>
      </c>
      <c r="AO20">
        <v>0.91300000000000003</v>
      </c>
      <c r="AP20">
        <v>6064.9193587765631</v>
      </c>
      <c r="AQ20">
        <v>1.0255267423014589</v>
      </c>
      <c r="AR20">
        <v>6219.7370000000001</v>
      </c>
      <c r="AT20" t="s">
        <v>228</v>
      </c>
      <c r="AU20" t="s">
        <v>229</v>
      </c>
      <c r="AV20" t="s">
        <v>227</v>
      </c>
      <c r="AW20" t="s">
        <v>101</v>
      </c>
      <c r="AX20">
        <v>109.354</v>
      </c>
      <c r="AY20">
        <v>1.0833851741009131</v>
      </c>
      <c r="AZ20">
        <v>118.47250232863119</v>
      </c>
      <c r="BA20">
        <v>801.49</v>
      </c>
      <c r="BB20">
        <v>0.90500000000000003</v>
      </c>
      <c r="BC20">
        <v>85.933845931694037</v>
      </c>
      <c r="BD20">
        <v>1.0154000000000001</v>
      </c>
      <c r="BE20">
        <v>87.257000000000005</v>
      </c>
      <c r="BF20">
        <v>8.9176000000000002</v>
      </c>
      <c r="BG20">
        <v>0.77</v>
      </c>
      <c r="BH20">
        <v>5962.3807969390264</v>
      </c>
      <c r="BI20">
        <v>1.0150931928687199</v>
      </c>
      <c r="BJ20">
        <v>6052.3721999999998</v>
      </c>
    </row>
    <row r="21" spans="1:62" x14ac:dyDescent="0.25">
      <c r="A21">
        <v>4730</v>
      </c>
      <c r="B21" t="s">
        <v>110</v>
      </c>
      <c r="C21">
        <v>2021</v>
      </c>
      <c r="D21">
        <v>1</v>
      </c>
      <c r="E21" t="s">
        <v>218</v>
      </c>
      <c r="F21" t="s">
        <v>219</v>
      </c>
      <c r="G21" t="s">
        <v>220</v>
      </c>
      <c r="H21" t="s">
        <v>17</v>
      </c>
      <c r="I21" t="s">
        <v>246</v>
      </c>
      <c r="J21" t="s">
        <v>247</v>
      </c>
      <c r="K21">
        <v>-677.62450389000003</v>
      </c>
      <c r="L21" t="s">
        <v>248</v>
      </c>
      <c r="M21" t="s">
        <v>224</v>
      </c>
      <c r="N21">
        <v>4.9724862092599999E-3</v>
      </c>
      <c r="O21">
        <v>3.3694790000000001</v>
      </c>
      <c r="P21" t="s">
        <v>21</v>
      </c>
      <c r="Q21">
        <v>1</v>
      </c>
      <c r="W21">
        <v>1</v>
      </c>
      <c r="X21">
        <v>0</v>
      </c>
      <c r="AA21" t="s">
        <v>225</v>
      </c>
      <c r="AB21" t="s">
        <v>226</v>
      </c>
      <c r="AC21" t="s">
        <v>227</v>
      </c>
      <c r="AD21" t="s">
        <v>153</v>
      </c>
      <c r="AE21">
        <v>109.354</v>
      </c>
      <c r="AF21">
        <v>1.0727760310708341</v>
      </c>
      <c r="AG21">
        <v>117.31235010172</v>
      </c>
      <c r="AH21">
        <v>694.38</v>
      </c>
      <c r="AI21">
        <v>0.875</v>
      </c>
      <c r="AJ21">
        <v>71.276930955678296</v>
      </c>
      <c r="AK21">
        <v>1.0034000000000001</v>
      </c>
      <c r="AL21">
        <v>71.519000000000005</v>
      </c>
      <c r="AM21">
        <v>8.9176000000000002</v>
      </c>
      <c r="AN21">
        <v>9.5665875346772715</v>
      </c>
      <c r="AO21">
        <v>0.91300000000000003</v>
      </c>
      <c r="AP21">
        <v>6064.9193587765631</v>
      </c>
      <c r="AQ21">
        <v>1</v>
      </c>
      <c r="AR21">
        <v>6064.9193999999998</v>
      </c>
      <c r="AT21" t="s">
        <v>228</v>
      </c>
      <c r="AU21" t="s">
        <v>229</v>
      </c>
      <c r="AV21" t="s">
        <v>227</v>
      </c>
      <c r="AW21" t="s">
        <v>153</v>
      </c>
      <c r="AX21">
        <v>109.354</v>
      </c>
      <c r="AY21">
        <v>1.0833851741009131</v>
      </c>
      <c r="AZ21">
        <v>118.47250232863119</v>
      </c>
      <c r="BA21">
        <v>801.49</v>
      </c>
      <c r="BB21">
        <v>0.90500000000000003</v>
      </c>
      <c r="BC21">
        <v>85.933845931694037</v>
      </c>
      <c r="BD21">
        <v>1.0470999999999999</v>
      </c>
      <c r="BE21">
        <v>89.980999999999995</v>
      </c>
      <c r="BF21">
        <v>8.9176000000000002</v>
      </c>
      <c r="BG21">
        <v>0.77</v>
      </c>
      <c r="BH21">
        <v>5962.3807969390264</v>
      </c>
      <c r="BI21">
        <v>1</v>
      </c>
      <c r="BJ21">
        <v>5962.3807999999999</v>
      </c>
    </row>
    <row r="22" spans="1:62" x14ac:dyDescent="0.25">
      <c r="A22">
        <v>4732</v>
      </c>
      <c r="B22" t="s">
        <v>110</v>
      </c>
      <c r="C22">
        <v>2021</v>
      </c>
      <c r="D22">
        <v>1</v>
      </c>
      <c r="E22" t="s">
        <v>218</v>
      </c>
      <c r="F22" t="s">
        <v>219</v>
      </c>
      <c r="G22" t="s">
        <v>220</v>
      </c>
      <c r="H22" t="s">
        <v>17</v>
      </c>
      <c r="I22" t="s">
        <v>246</v>
      </c>
      <c r="J22" t="s">
        <v>247</v>
      </c>
      <c r="K22">
        <v>-677.62450389000003</v>
      </c>
      <c r="L22" t="s">
        <v>248</v>
      </c>
      <c r="M22" t="s">
        <v>235</v>
      </c>
      <c r="N22">
        <v>0.99209122360516</v>
      </c>
      <c r="O22">
        <v>672.26532299999997</v>
      </c>
      <c r="P22" t="s">
        <v>21</v>
      </c>
      <c r="Q22">
        <v>1</v>
      </c>
      <c r="W22">
        <v>1</v>
      </c>
      <c r="X22">
        <v>0</v>
      </c>
      <c r="AA22" t="s">
        <v>225</v>
      </c>
      <c r="AB22" t="s">
        <v>226</v>
      </c>
      <c r="AC22" t="s">
        <v>227</v>
      </c>
      <c r="AD22" t="s">
        <v>154</v>
      </c>
      <c r="AE22">
        <v>109.354</v>
      </c>
      <c r="AF22">
        <v>1.0727760310708341</v>
      </c>
      <c r="AG22">
        <v>117.31235010172</v>
      </c>
      <c r="AH22">
        <v>694.38</v>
      </c>
      <c r="AI22">
        <v>0.875</v>
      </c>
      <c r="AJ22">
        <v>71.276930955678296</v>
      </c>
      <c r="AK22">
        <v>1.0179</v>
      </c>
      <c r="AL22">
        <v>72.552999999999997</v>
      </c>
      <c r="AM22">
        <v>8.9176000000000002</v>
      </c>
      <c r="AN22">
        <v>9.5665875346772715</v>
      </c>
      <c r="AO22">
        <v>0.91300000000000003</v>
      </c>
      <c r="AP22">
        <v>6064.9193587765631</v>
      </c>
      <c r="AQ22">
        <v>0.98975009761811794</v>
      </c>
      <c r="AR22">
        <v>6002.7545</v>
      </c>
      <c r="AT22" t="s">
        <v>228</v>
      </c>
      <c r="AU22" t="s">
        <v>229</v>
      </c>
      <c r="AV22" t="s">
        <v>227</v>
      </c>
      <c r="AW22" t="s">
        <v>154</v>
      </c>
      <c r="AX22">
        <v>109.354</v>
      </c>
      <c r="AY22">
        <v>1.0833851741009131</v>
      </c>
      <c r="AZ22">
        <v>118.47250232863119</v>
      </c>
      <c r="BA22">
        <v>801.49</v>
      </c>
      <c r="BB22">
        <v>0.90500000000000003</v>
      </c>
      <c r="BC22">
        <v>85.933845931694037</v>
      </c>
      <c r="BD22">
        <v>0.99380000000000002</v>
      </c>
      <c r="BE22">
        <v>85.400999999999996</v>
      </c>
      <c r="BF22">
        <v>8.9176000000000002</v>
      </c>
      <c r="BG22">
        <v>0.77</v>
      </c>
      <c r="BH22">
        <v>5962.3807969390264</v>
      </c>
      <c r="BI22">
        <v>0.98418586489652482</v>
      </c>
      <c r="BJ22">
        <v>5868.0909000000001</v>
      </c>
    </row>
    <row r="23" spans="1:62" x14ac:dyDescent="0.25">
      <c r="A23">
        <v>4734</v>
      </c>
      <c r="B23" t="s">
        <v>110</v>
      </c>
      <c r="C23">
        <v>2021</v>
      </c>
      <c r="D23">
        <v>1</v>
      </c>
      <c r="E23" t="s">
        <v>218</v>
      </c>
      <c r="F23" t="s">
        <v>219</v>
      </c>
      <c r="G23" t="s">
        <v>220</v>
      </c>
      <c r="H23" t="s">
        <v>17</v>
      </c>
      <c r="I23" t="s">
        <v>246</v>
      </c>
      <c r="J23" t="s">
        <v>247</v>
      </c>
      <c r="K23">
        <v>-677.62450389000003</v>
      </c>
      <c r="L23" t="s">
        <v>248</v>
      </c>
      <c r="M23" t="s">
        <v>236</v>
      </c>
      <c r="N23">
        <v>4.7995598170700003E-3</v>
      </c>
      <c r="O23">
        <v>3.2522989999999998</v>
      </c>
      <c r="P23" t="s">
        <v>21</v>
      </c>
      <c r="Q23">
        <v>1</v>
      </c>
      <c r="W23">
        <v>1</v>
      </c>
      <c r="X23">
        <v>0</v>
      </c>
      <c r="AA23" t="s">
        <v>225</v>
      </c>
      <c r="AB23" t="s">
        <v>226</v>
      </c>
      <c r="AC23" t="s">
        <v>227</v>
      </c>
      <c r="AD23" t="s">
        <v>100</v>
      </c>
      <c r="AE23">
        <v>109.354</v>
      </c>
      <c r="AF23">
        <v>1.0727760310708341</v>
      </c>
      <c r="AG23">
        <v>117.31235010172</v>
      </c>
      <c r="AH23">
        <v>694.38</v>
      </c>
      <c r="AI23">
        <v>0.875</v>
      </c>
      <c r="AJ23">
        <v>71.276930955678296</v>
      </c>
      <c r="AK23">
        <v>0.96660000000000001</v>
      </c>
      <c r="AL23">
        <v>68.896000000000001</v>
      </c>
      <c r="AM23">
        <v>8.9176000000000002</v>
      </c>
      <c r="AN23">
        <v>9.5665875346772715</v>
      </c>
      <c r="AO23">
        <v>0.91300000000000003</v>
      </c>
      <c r="AP23">
        <v>6064.9193587765631</v>
      </c>
      <c r="AQ23">
        <v>0.98316430020283985</v>
      </c>
      <c r="AR23">
        <v>5962.8122000000003</v>
      </c>
      <c r="AT23" t="s">
        <v>228</v>
      </c>
      <c r="AU23" t="s">
        <v>229</v>
      </c>
      <c r="AV23" t="s">
        <v>227</v>
      </c>
      <c r="AW23" t="s">
        <v>100</v>
      </c>
      <c r="AX23">
        <v>109.354</v>
      </c>
      <c r="AY23">
        <v>1.0833851741009131</v>
      </c>
      <c r="AZ23">
        <v>118.47250232863119</v>
      </c>
      <c r="BA23">
        <v>801.49</v>
      </c>
      <c r="BB23">
        <v>0.90500000000000003</v>
      </c>
      <c r="BC23">
        <v>85.933845931694037</v>
      </c>
      <c r="BD23">
        <v>0.94550000000000001</v>
      </c>
      <c r="BE23">
        <v>81.25</v>
      </c>
      <c r="BF23">
        <v>8.9176000000000002</v>
      </c>
      <c r="BG23">
        <v>0.77</v>
      </c>
      <c r="BH23">
        <v>5962.3807969390264</v>
      </c>
      <c r="BI23">
        <v>1.0003042596348879</v>
      </c>
      <c r="BJ23">
        <v>5964.1949000000004</v>
      </c>
    </row>
    <row r="24" spans="1:62" x14ac:dyDescent="0.25">
      <c r="A24">
        <v>4736</v>
      </c>
      <c r="B24" t="s">
        <v>110</v>
      </c>
      <c r="C24">
        <v>2021</v>
      </c>
      <c r="D24">
        <v>1</v>
      </c>
      <c r="E24" t="s">
        <v>218</v>
      </c>
      <c r="F24" t="s">
        <v>219</v>
      </c>
      <c r="G24" t="s">
        <v>220</v>
      </c>
      <c r="H24" t="s">
        <v>17</v>
      </c>
      <c r="I24" t="s">
        <v>246</v>
      </c>
      <c r="J24" t="s">
        <v>247</v>
      </c>
      <c r="K24">
        <v>-677.62450389000003</v>
      </c>
      <c r="L24" t="s">
        <v>248</v>
      </c>
      <c r="M24" t="s">
        <v>237</v>
      </c>
      <c r="N24">
        <v>2.2580780904460002E-2</v>
      </c>
      <c r="O24">
        <v>15.30129</v>
      </c>
      <c r="P24" t="s">
        <v>21</v>
      </c>
      <c r="Q24">
        <v>1</v>
      </c>
      <c r="W24">
        <v>1</v>
      </c>
      <c r="X24">
        <v>0</v>
      </c>
      <c r="AA24" t="s">
        <v>225</v>
      </c>
      <c r="AB24" t="s">
        <v>226</v>
      </c>
      <c r="AC24" t="s">
        <v>227</v>
      </c>
      <c r="AD24" t="s">
        <v>101</v>
      </c>
      <c r="AE24">
        <v>109.354</v>
      </c>
      <c r="AF24">
        <v>1.0727760310708341</v>
      </c>
      <c r="AG24">
        <v>117.31235010172</v>
      </c>
      <c r="AH24">
        <v>694.38</v>
      </c>
      <c r="AI24">
        <v>0.875</v>
      </c>
      <c r="AJ24">
        <v>71.276930955678296</v>
      </c>
      <c r="AK24">
        <v>1.0077</v>
      </c>
      <c r="AL24">
        <v>71.825999999999993</v>
      </c>
      <c r="AM24">
        <v>8.9176000000000002</v>
      </c>
      <c r="AN24">
        <v>9.5665875346772715</v>
      </c>
      <c r="AO24">
        <v>0.91300000000000003</v>
      </c>
      <c r="AP24">
        <v>6064.9193587765631</v>
      </c>
      <c r="AQ24">
        <v>1.0255267423014589</v>
      </c>
      <c r="AR24">
        <v>6219.7370000000001</v>
      </c>
      <c r="AT24" t="s">
        <v>228</v>
      </c>
      <c r="AU24" t="s">
        <v>229</v>
      </c>
      <c r="AV24" t="s">
        <v>227</v>
      </c>
      <c r="AW24" t="s">
        <v>101</v>
      </c>
      <c r="AX24">
        <v>109.354</v>
      </c>
      <c r="AY24">
        <v>1.0833851741009131</v>
      </c>
      <c r="AZ24">
        <v>118.47250232863119</v>
      </c>
      <c r="BA24">
        <v>801.49</v>
      </c>
      <c r="BB24">
        <v>0.90500000000000003</v>
      </c>
      <c r="BC24">
        <v>85.933845931694037</v>
      </c>
      <c r="BD24">
        <v>1.0154000000000001</v>
      </c>
      <c r="BE24">
        <v>87.257000000000005</v>
      </c>
      <c r="BF24">
        <v>8.9176000000000002</v>
      </c>
      <c r="BG24">
        <v>0.77</v>
      </c>
      <c r="BH24">
        <v>5962.3807969390264</v>
      </c>
      <c r="BI24">
        <v>1.0150931928687199</v>
      </c>
      <c r="BJ24">
        <v>6052.3721999999998</v>
      </c>
    </row>
    <row r="25" spans="1:62" x14ac:dyDescent="0.25">
      <c r="A25">
        <v>1178</v>
      </c>
      <c r="B25" t="s">
        <v>110</v>
      </c>
      <c r="C25">
        <v>2021</v>
      </c>
      <c r="D25">
        <v>1</v>
      </c>
      <c r="E25" t="s">
        <v>218</v>
      </c>
      <c r="F25" t="s">
        <v>219</v>
      </c>
      <c r="G25" t="s">
        <v>220</v>
      </c>
      <c r="H25" t="s">
        <v>17</v>
      </c>
      <c r="I25" t="s">
        <v>249</v>
      </c>
      <c r="J25" t="s">
        <v>250</v>
      </c>
      <c r="K25">
        <v>-784.87587350000001</v>
      </c>
      <c r="L25" t="s">
        <v>250</v>
      </c>
      <c r="M25" t="s">
        <v>231</v>
      </c>
      <c r="N25">
        <v>4.9898993999990003E-2</v>
      </c>
      <c r="O25">
        <v>39.164516999999996</v>
      </c>
      <c r="P25" t="s">
        <v>21</v>
      </c>
      <c r="Q25">
        <v>1</v>
      </c>
      <c r="W25">
        <v>1</v>
      </c>
      <c r="X25">
        <v>0</v>
      </c>
      <c r="AA25" t="s">
        <v>225</v>
      </c>
      <c r="AB25" t="s">
        <v>226</v>
      </c>
      <c r="AC25" t="s">
        <v>227</v>
      </c>
      <c r="AD25" t="s">
        <v>100</v>
      </c>
      <c r="AE25">
        <v>109.354</v>
      </c>
      <c r="AF25">
        <v>1.0727760310708341</v>
      </c>
      <c r="AG25">
        <v>117.31235010172</v>
      </c>
      <c r="AH25">
        <v>694.38</v>
      </c>
      <c r="AI25">
        <v>0.875</v>
      </c>
      <c r="AJ25">
        <v>71.276930955678296</v>
      </c>
      <c r="AK25">
        <v>0.96660000000000001</v>
      </c>
      <c r="AL25">
        <v>68.896000000000001</v>
      </c>
      <c r="AM25">
        <v>8.9176000000000002</v>
      </c>
      <c r="AN25">
        <v>9.5665875346772715</v>
      </c>
      <c r="AO25">
        <v>0.91300000000000003</v>
      </c>
      <c r="AP25">
        <v>6064.9193587765631</v>
      </c>
      <c r="AQ25">
        <v>0.98316430020283985</v>
      </c>
      <c r="AR25">
        <v>5962.8122000000003</v>
      </c>
      <c r="AT25" t="s">
        <v>228</v>
      </c>
      <c r="AU25" t="s">
        <v>229</v>
      </c>
      <c r="AV25" t="s">
        <v>227</v>
      </c>
      <c r="AW25" t="s">
        <v>100</v>
      </c>
      <c r="AX25">
        <v>109.354</v>
      </c>
      <c r="AY25">
        <v>1.0833851741009131</v>
      </c>
      <c r="AZ25">
        <v>118.47250232863119</v>
      </c>
      <c r="BA25">
        <v>801.49</v>
      </c>
      <c r="BB25">
        <v>0.90500000000000003</v>
      </c>
      <c r="BC25">
        <v>85.933845931694037</v>
      </c>
      <c r="BD25">
        <v>0.94550000000000001</v>
      </c>
      <c r="BE25">
        <v>81.25</v>
      </c>
      <c r="BF25">
        <v>8.9176000000000002</v>
      </c>
      <c r="BG25">
        <v>0.77</v>
      </c>
      <c r="BH25">
        <v>5962.3807969390264</v>
      </c>
      <c r="BI25">
        <v>1.0003042596348879</v>
      </c>
      <c r="BJ25">
        <v>5964.1949000000004</v>
      </c>
    </row>
    <row r="26" spans="1:62" x14ac:dyDescent="0.25">
      <c r="A26">
        <v>1180</v>
      </c>
      <c r="B26" t="s">
        <v>110</v>
      </c>
      <c r="C26">
        <v>2021</v>
      </c>
      <c r="D26">
        <v>1</v>
      </c>
      <c r="E26" t="s">
        <v>218</v>
      </c>
      <c r="F26" t="s">
        <v>219</v>
      </c>
      <c r="G26" t="s">
        <v>220</v>
      </c>
      <c r="H26" t="s">
        <v>17</v>
      </c>
      <c r="I26" t="s">
        <v>249</v>
      </c>
      <c r="J26" t="s">
        <v>250</v>
      </c>
      <c r="K26">
        <v>-784.87587350000001</v>
      </c>
      <c r="L26" t="s">
        <v>250</v>
      </c>
      <c r="M26" t="s">
        <v>232</v>
      </c>
      <c r="N26">
        <v>0.97472100599996003</v>
      </c>
      <c r="O26">
        <v>765.03500099999997</v>
      </c>
      <c r="P26" t="s">
        <v>21</v>
      </c>
      <c r="Q26">
        <v>1</v>
      </c>
      <c r="W26">
        <v>1</v>
      </c>
      <c r="X26">
        <v>0</v>
      </c>
      <c r="AA26" t="s">
        <v>225</v>
      </c>
      <c r="AB26" t="s">
        <v>226</v>
      </c>
      <c r="AC26" t="s">
        <v>227</v>
      </c>
      <c r="AD26" t="s">
        <v>101</v>
      </c>
      <c r="AE26">
        <v>109.354</v>
      </c>
      <c r="AF26">
        <v>1.0727760310708341</v>
      </c>
      <c r="AG26">
        <v>117.31235010172</v>
      </c>
      <c r="AH26">
        <v>694.38</v>
      </c>
      <c r="AI26">
        <v>0.875</v>
      </c>
      <c r="AJ26">
        <v>71.276930955678296</v>
      </c>
      <c r="AK26">
        <v>1.0077</v>
      </c>
      <c r="AL26">
        <v>71.825999999999993</v>
      </c>
      <c r="AM26">
        <v>8.9176000000000002</v>
      </c>
      <c r="AN26">
        <v>9.5665875346772715</v>
      </c>
      <c r="AO26">
        <v>0.91300000000000003</v>
      </c>
      <c r="AP26">
        <v>6064.9193587765631</v>
      </c>
      <c r="AQ26">
        <v>1.0255267423014589</v>
      </c>
      <c r="AR26">
        <v>6219.7370000000001</v>
      </c>
      <c r="AT26" t="s">
        <v>228</v>
      </c>
      <c r="AU26" t="s">
        <v>229</v>
      </c>
      <c r="AV26" t="s">
        <v>227</v>
      </c>
      <c r="AW26" t="s">
        <v>101</v>
      </c>
      <c r="AX26">
        <v>109.354</v>
      </c>
      <c r="AY26">
        <v>1.0833851741009131</v>
      </c>
      <c r="AZ26">
        <v>118.47250232863119</v>
      </c>
      <c r="BA26">
        <v>801.49</v>
      </c>
      <c r="BB26">
        <v>0.90500000000000003</v>
      </c>
      <c r="BC26">
        <v>85.933845931694037</v>
      </c>
      <c r="BD26">
        <v>1.0154000000000001</v>
      </c>
      <c r="BE26">
        <v>87.257000000000005</v>
      </c>
      <c r="BF26">
        <v>8.9176000000000002</v>
      </c>
      <c r="BG26">
        <v>0.77</v>
      </c>
      <c r="BH26">
        <v>5962.3807969390264</v>
      </c>
      <c r="BI26">
        <v>1.0150931928687199</v>
      </c>
      <c r="BJ26">
        <v>6052.3721999999998</v>
      </c>
    </row>
    <row r="27" spans="1:62" x14ac:dyDescent="0.25">
      <c r="A27">
        <v>4738</v>
      </c>
      <c r="B27" t="s">
        <v>110</v>
      </c>
      <c r="C27">
        <v>2021</v>
      </c>
      <c r="D27">
        <v>1</v>
      </c>
      <c r="E27" t="s">
        <v>218</v>
      </c>
      <c r="F27" t="s">
        <v>251</v>
      </c>
      <c r="G27" t="s">
        <v>252</v>
      </c>
      <c r="H27" t="s">
        <v>17</v>
      </c>
      <c r="I27" t="s">
        <v>253</v>
      </c>
      <c r="J27" t="s">
        <v>222</v>
      </c>
      <c r="K27">
        <v>-346.05522665000001</v>
      </c>
      <c r="L27" t="s">
        <v>223</v>
      </c>
      <c r="M27" t="s">
        <v>224</v>
      </c>
      <c r="N27">
        <v>8.7524974586199993E-3</v>
      </c>
      <c r="O27">
        <v>3.0288469999999998</v>
      </c>
      <c r="P27" t="s">
        <v>21</v>
      </c>
      <c r="Q27">
        <v>1</v>
      </c>
      <c r="W27">
        <v>1</v>
      </c>
      <c r="X27">
        <v>0</v>
      </c>
      <c r="AA27" t="s">
        <v>225</v>
      </c>
      <c r="AB27" t="s">
        <v>226</v>
      </c>
      <c r="AC27" t="s">
        <v>227</v>
      </c>
      <c r="AD27" t="s">
        <v>153</v>
      </c>
      <c r="AE27">
        <v>109.354</v>
      </c>
      <c r="AF27">
        <v>1.0727760310708341</v>
      </c>
      <c r="AG27">
        <v>117.31235010172</v>
      </c>
      <c r="AH27">
        <v>694.38</v>
      </c>
      <c r="AI27">
        <v>0.875</v>
      </c>
      <c r="AJ27">
        <v>71.276930955678296</v>
      </c>
      <c r="AK27">
        <v>1.0034000000000001</v>
      </c>
      <c r="AL27">
        <v>71.519000000000005</v>
      </c>
      <c r="AM27">
        <v>8.9176000000000002</v>
      </c>
      <c r="AN27">
        <v>9.5665875346772715</v>
      </c>
      <c r="AO27">
        <v>0.91300000000000003</v>
      </c>
      <c r="AP27">
        <v>6064.9193587765631</v>
      </c>
      <c r="AQ27">
        <v>1</v>
      </c>
      <c r="AR27">
        <v>6064.9193999999998</v>
      </c>
      <c r="AT27" t="s">
        <v>228</v>
      </c>
      <c r="AU27" t="s">
        <v>229</v>
      </c>
      <c r="AV27" t="s">
        <v>227</v>
      </c>
      <c r="AW27" t="s">
        <v>153</v>
      </c>
      <c r="AX27">
        <v>109.354</v>
      </c>
      <c r="AY27">
        <v>1.0833851741009131</v>
      </c>
      <c r="AZ27">
        <v>118.47250232863119</v>
      </c>
      <c r="BA27">
        <v>801.49</v>
      </c>
      <c r="BB27">
        <v>0.90500000000000003</v>
      </c>
      <c r="BC27">
        <v>85.933845931694037</v>
      </c>
      <c r="BD27">
        <v>1.0470999999999999</v>
      </c>
      <c r="BE27">
        <v>89.980999999999995</v>
      </c>
      <c r="BF27">
        <v>8.9176000000000002</v>
      </c>
      <c r="BG27">
        <v>0.77</v>
      </c>
      <c r="BH27">
        <v>5962.3807969390264</v>
      </c>
      <c r="BI27">
        <v>1</v>
      </c>
      <c r="BJ27">
        <v>5962.3807999999999</v>
      </c>
    </row>
    <row r="28" spans="1:62" x14ac:dyDescent="0.25">
      <c r="A28">
        <v>4740</v>
      </c>
      <c r="B28" t="s">
        <v>110</v>
      </c>
      <c r="C28">
        <v>2021</v>
      </c>
      <c r="D28">
        <v>1</v>
      </c>
      <c r="E28" t="s">
        <v>218</v>
      </c>
      <c r="F28" t="s">
        <v>251</v>
      </c>
      <c r="G28" t="s">
        <v>252</v>
      </c>
      <c r="H28" t="s">
        <v>17</v>
      </c>
      <c r="I28" t="s">
        <v>253</v>
      </c>
      <c r="J28" t="s">
        <v>222</v>
      </c>
      <c r="K28">
        <v>-346.05522665000001</v>
      </c>
      <c r="L28" t="s">
        <v>223</v>
      </c>
      <c r="M28" t="s">
        <v>230</v>
      </c>
      <c r="N28">
        <v>0.16047331440265999</v>
      </c>
      <c r="O28">
        <v>55.532629</v>
      </c>
      <c r="P28" t="s">
        <v>21</v>
      </c>
      <c r="Q28">
        <v>1</v>
      </c>
      <c r="W28">
        <v>1</v>
      </c>
      <c r="X28">
        <v>0</v>
      </c>
      <c r="AA28" t="s">
        <v>225</v>
      </c>
      <c r="AB28" t="s">
        <v>226</v>
      </c>
      <c r="AC28" t="s">
        <v>227</v>
      </c>
      <c r="AD28" t="s">
        <v>154</v>
      </c>
      <c r="AE28">
        <v>109.354</v>
      </c>
      <c r="AF28">
        <v>1.0727760310708341</v>
      </c>
      <c r="AG28">
        <v>117.31235010172</v>
      </c>
      <c r="AH28">
        <v>694.38</v>
      </c>
      <c r="AI28">
        <v>0.875</v>
      </c>
      <c r="AJ28">
        <v>71.276930955678296</v>
      </c>
      <c r="AK28">
        <v>1.0179</v>
      </c>
      <c r="AL28">
        <v>72.552999999999997</v>
      </c>
      <c r="AM28">
        <v>8.9176000000000002</v>
      </c>
      <c r="AN28">
        <v>9.5665875346772715</v>
      </c>
      <c r="AO28">
        <v>0.91300000000000003</v>
      </c>
      <c r="AP28">
        <v>6064.9193587765631</v>
      </c>
      <c r="AQ28">
        <v>0.98975009761811794</v>
      </c>
      <c r="AR28">
        <v>6002.7545</v>
      </c>
      <c r="AT28" t="s">
        <v>228</v>
      </c>
      <c r="AU28" t="s">
        <v>229</v>
      </c>
      <c r="AV28" t="s">
        <v>227</v>
      </c>
      <c r="AW28" t="s">
        <v>154</v>
      </c>
      <c r="AX28">
        <v>109.354</v>
      </c>
      <c r="AY28">
        <v>1.0833851741009131</v>
      </c>
      <c r="AZ28">
        <v>118.47250232863119</v>
      </c>
      <c r="BA28">
        <v>801.49</v>
      </c>
      <c r="BB28">
        <v>0.90500000000000003</v>
      </c>
      <c r="BC28">
        <v>85.933845931694037</v>
      </c>
      <c r="BD28">
        <v>0.99380000000000002</v>
      </c>
      <c r="BE28">
        <v>85.400999999999996</v>
      </c>
      <c r="BF28">
        <v>8.9176000000000002</v>
      </c>
      <c r="BG28">
        <v>0.77</v>
      </c>
      <c r="BH28">
        <v>5962.3807969390264</v>
      </c>
      <c r="BI28">
        <v>0.98418586489652482</v>
      </c>
      <c r="BJ28">
        <v>5868.0909000000001</v>
      </c>
    </row>
    <row r="29" spans="1:62" x14ac:dyDescent="0.25">
      <c r="A29">
        <v>4742</v>
      </c>
      <c r="B29" t="s">
        <v>110</v>
      </c>
      <c r="C29">
        <v>2021</v>
      </c>
      <c r="D29">
        <v>1</v>
      </c>
      <c r="E29" t="s">
        <v>218</v>
      </c>
      <c r="F29" t="s">
        <v>251</v>
      </c>
      <c r="G29" t="s">
        <v>252</v>
      </c>
      <c r="H29" t="s">
        <v>17</v>
      </c>
      <c r="I29" t="s">
        <v>253</v>
      </c>
      <c r="J29" t="s">
        <v>222</v>
      </c>
      <c r="K29">
        <v>-346.05522665000001</v>
      </c>
      <c r="L29" t="s">
        <v>223</v>
      </c>
      <c r="M29" t="s">
        <v>231</v>
      </c>
      <c r="N29">
        <v>4.5018334813739999E-2</v>
      </c>
      <c r="O29">
        <v>15.57883</v>
      </c>
      <c r="P29" t="s">
        <v>21</v>
      </c>
      <c r="Q29">
        <v>1</v>
      </c>
      <c r="W29">
        <v>1</v>
      </c>
      <c r="X29">
        <v>0</v>
      </c>
      <c r="AA29" t="s">
        <v>225</v>
      </c>
      <c r="AB29" t="s">
        <v>226</v>
      </c>
      <c r="AC29" t="s">
        <v>227</v>
      </c>
      <c r="AD29" t="s">
        <v>100</v>
      </c>
      <c r="AE29">
        <v>109.354</v>
      </c>
      <c r="AF29">
        <v>1.0727760310708341</v>
      </c>
      <c r="AG29">
        <v>117.31235010172</v>
      </c>
      <c r="AH29">
        <v>694.38</v>
      </c>
      <c r="AI29">
        <v>0.875</v>
      </c>
      <c r="AJ29">
        <v>71.276930955678296</v>
      </c>
      <c r="AK29">
        <v>0.96660000000000001</v>
      </c>
      <c r="AL29">
        <v>68.896000000000001</v>
      </c>
      <c r="AM29">
        <v>8.9176000000000002</v>
      </c>
      <c r="AN29">
        <v>9.5665875346772715</v>
      </c>
      <c r="AO29">
        <v>0.91300000000000003</v>
      </c>
      <c r="AP29">
        <v>6064.9193587765631</v>
      </c>
      <c r="AQ29">
        <v>0.98316430020283985</v>
      </c>
      <c r="AR29">
        <v>5962.8122000000003</v>
      </c>
      <c r="AT29" t="s">
        <v>228</v>
      </c>
      <c r="AU29" t="s">
        <v>229</v>
      </c>
      <c r="AV29" t="s">
        <v>227</v>
      </c>
      <c r="AW29" t="s">
        <v>100</v>
      </c>
      <c r="AX29">
        <v>109.354</v>
      </c>
      <c r="AY29">
        <v>1.0833851741009131</v>
      </c>
      <c r="AZ29">
        <v>118.47250232863119</v>
      </c>
      <c r="BA29">
        <v>801.49</v>
      </c>
      <c r="BB29">
        <v>0.90500000000000003</v>
      </c>
      <c r="BC29">
        <v>85.933845931694037</v>
      </c>
      <c r="BD29">
        <v>0.94550000000000001</v>
      </c>
      <c r="BE29">
        <v>81.25</v>
      </c>
      <c r="BF29">
        <v>8.9176000000000002</v>
      </c>
      <c r="BG29">
        <v>0.77</v>
      </c>
      <c r="BH29">
        <v>5962.3807969390264</v>
      </c>
      <c r="BI29">
        <v>1.0003042596348879</v>
      </c>
      <c r="BJ29">
        <v>5964.1949000000004</v>
      </c>
    </row>
    <row r="30" spans="1:62" x14ac:dyDescent="0.25">
      <c r="A30">
        <v>4744</v>
      </c>
      <c r="B30" t="s">
        <v>110</v>
      </c>
      <c r="C30">
        <v>2021</v>
      </c>
      <c r="D30">
        <v>1</v>
      </c>
      <c r="E30" t="s">
        <v>218</v>
      </c>
      <c r="F30" t="s">
        <v>251</v>
      </c>
      <c r="G30" t="s">
        <v>252</v>
      </c>
      <c r="H30" t="s">
        <v>17</v>
      </c>
      <c r="I30" t="s">
        <v>253</v>
      </c>
      <c r="J30" t="s">
        <v>222</v>
      </c>
      <c r="K30">
        <v>-346.05522665000001</v>
      </c>
      <c r="L30" t="s">
        <v>223</v>
      </c>
      <c r="M30" t="s">
        <v>232</v>
      </c>
      <c r="N30">
        <v>0.87398007306502001</v>
      </c>
      <c r="O30">
        <v>302.44537200000002</v>
      </c>
      <c r="P30" t="s">
        <v>21</v>
      </c>
      <c r="Q30">
        <v>1</v>
      </c>
      <c r="W30">
        <v>1</v>
      </c>
      <c r="X30">
        <v>0</v>
      </c>
      <c r="AA30" t="s">
        <v>225</v>
      </c>
      <c r="AB30" t="s">
        <v>226</v>
      </c>
      <c r="AC30" t="s">
        <v>227</v>
      </c>
      <c r="AD30" t="s">
        <v>101</v>
      </c>
      <c r="AE30">
        <v>109.354</v>
      </c>
      <c r="AF30">
        <v>1.0727760310708341</v>
      </c>
      <c r="AG30">
        <v>117.31235010172</v>
      </c>
      <c r="AH30">
        <v>694.38</v>
      </c>
      <c r="AI30">
        <v>0.875</v>
      </c>
      <c r="AJ30">
        <v>71.276930955678296</v>
      </c>
      <c r="AK30">
        <v>1.0077</v>
      </c>
      <c r="AL30">
        <v>71.825999999999993</v>
      </c>
      <c r="AM30">
        <v>8.9176000000000002</v>
      </c>
      <c r="AN30">
        <v>9.5665875346772715</v>
      </c>
      <c r="AO30">
        <v>0.91300000000000003</v>
      </c>
      <c r="AP30">
        <v>6064.9193587765631</v>
      </c>
      <c r="AQ30">
        <v>1.0255267423014589</v>
      </c>
      <c r="AR30">
        <v>6219.7370000000001</v>
      </c>
      <c r="AT30" t="s">
        <v>228</v>
      </c>
      <c r="AU30" t="s">
        <v>229</v>
      </c>
      <c r="AV30" t="s">
        <v>227</v>
      </c>
      <c r="AW30" t="s">
        <v>101</v>
      </c>
      <c r="AX30">
        <v>109.354</v>
      </c>
      <c r="AY30">
        <v>1.0833851741009131</v>
      </c>
      <c r="AZ30">
        <v>118.47250232863119</v>
      </c>
      <c r="BA30">
        <v>801.49</v>
      </c>
      <c r="BB30">
        <v>0.90500000000000003</v>
      </c>
      <c r="BC30">
        <v>85.933845931694037</v>
      </c>
      <c r="BD30">
        <v>1.0154000000000001</v>
      </c>
      <c r="BE30">
        <v>87.257000000000005</v>
      </c>
      <c r="BF30">
        <v>8.9176000000000002</v>
      </c>
      <c r="BG30">
        <v>0.77</v>
      </c>
      <c r="BH30">
        <v>5962.3807969390264</v>
      </c>
      <c r="BI30">
        <v>1.0150931928687199</v>
      </c>
      <c r="BJ30">
        <v>6052.3721999999998</v>
      </c>
    </row>
    <row r="31" spans="1:62" x14ac:dyDescent="0.25">
      <c r="A31">
        <v>2362</v>
      </c>
      <c r="B31" t="s">
        <v>110</v>
      </c>
      <c r="C31">
        <v>2021</v>
      </c>
      <c r="D31">
        <v>1</v>
      </c>
      <c r="E31" t="s">
        <v>218</v>
      </c>
      <c r="F31" t="s">
        <v>251</v>
      </c>
      <c r="G31" t="s">
        <v>252</v>
      </c>
      <c r="H31" t="s">
        <v>17</v>
      </c>
      <c r="I31" t="s">
        <v>254</v>
      </c>
      <c r="J31" t="s">
        <v>234</v>
      </c>
      <c r="K31">
        <v>-1274.7150420800001</v>
      </c>
      <c r="L31" t="s">
        <v>234</v>
      </c>
      <c r="M31" t="s">
        <v>224</v>
      </c>
      <c r="N31">
        <v>8.5771088379299996E-3</v>
      </c>
      <c r="O31">
        <v>10.93337</v>
      </c>
      <c r="P31" t="s">
        <v>21</v>
      </c>
      <c r="Q31">
        <v>1</v>
      </c>
      <c r="W31">
        <v>1</v>
      </c>
      <c r="X31">
        <v>0</v>
      </c>
      <c r="AA31" t="s">
        <v>225</v>
      </c>
      <c r="AB31" t="s">
        <v>226</v>
      </c>
      <c r="AC31" t="s">
        <v>227</v>
      </c>
      <c r="AD31" t="s">
        <v>153</v>
      </c>
      <c r="AE31">
        <v>109.354</v>
      </c>
      <c r="AF31">
        <v>1.0727760310708341</v>
      </c>
      <c r="AG31">
        <v>117.31235010172</v>
      </c>
      <c r="AH31">
        <v>694.38</v>
      </c>
      <c r="AI31">
        <v>0.875</v>
      </c>
      <c r="AJ31">
        <v>71.276930955678296</v>
      </c>
      <c r="AK31">
        <v>1.0034000000000001</v>
      </c>
      <c r="AL31">
        <v>71.519000000000005</v>
      </c>
      <c r="AM31">
        <v>8.9176000000000002</v>
      </c>
      <c r="AN31">
        <v>9.5665875346772715</v>
      </c>
      <c r="AO31">
        <v>0.91300000000000003</v>
      </c>
      <c r="AP31">
        <v>6064.9193587765631</v>
      </c>
      <c r="AQ31">
        <v>1</v>
      </c>
      <c r="AR31">
        <v>6064.9193999999998</v>
      </c>
      <c r="AT31" t="s">
        <v>228</v>
      </c>
      <c r="AU31" t="s">
        <v>229</v>
      </c>
      <c r="AV31" t="s">
        <v>227</v>
      </c>
      <c r="AW31" t="s">
        <v>153</v>
      </c>
      <c r="AX31">
        <v>109.354</v>
      </c>
      <c r="AY31">
        <v>1.0833851741009131</v>
      </c>
      <c r="AZ31">
        <v>118.47250232863119</v>
      </c>
      <c r="BA31">
        <v>801.49</v>
      </c>
      <c r="BB31">
        <v>0.90500000000000003</v>
      </c>
      <c r="BC31">
        <v>85.933845931694037</v>
      </c>
      <c r="BD31">
        <v>1.0470999999999999</v>
      </c>
      <c r="BE31">
        <v>89.980999999999995</v>
      </c>
      <c r="BF31">
        <v>8.9176000000000002</v>
      </c>
      <c r="BG31">
        <v>0.77</v>
      </c>
      <c r="BH31">
        <v>5962.3807969390264</v>
      </c>
      <c r="BI31">
        <v>1</v>
      </c>
      <c r="BJ31">
        <v>5962.3807999999999</v>
      </c>
    </row>
    <row r="32" spans="1:62" x14ac:dyDescent="0.25">
      <c r="A32">
        <v>2364</v>
      </c>
      <c r="B32" t="s">
        <v>110</v>
      </c>
      <c r="C32">
        <v>2021</v>
      </c>
      <c r="D32">
        <v>1</v>
      </c>
      <c r="E32" t="s">
        <v>218</v>
      </c>
      <c r="F32" t="s">
        <v>251</v>
      </c>
      <c r="G32" t="s">
        <v>252</v>
      </c>
      <c r="H32" t="s">
        <v>17</v>
      </c>
      <c r="I32" t="s">
        <v>254</v>
      </c>
      <c r="J32" t="s">
        <v>234</v>
      </c>
      <c r="K32">
        <v>-1274.7150420800001</v>
      </c>
      <c r="L32" t="s">
        <v>234</v>
      </c>
      <c r="M32" t="s">
        <v>235</v>
      </c>
      <c r="N32">
        <v>0.60124209651893001</v>
      </c>
      <c r="O32">
        <v>766.41234399999996</v>
      </c>
      <c r="P32" t="s">
        <v>21</v>
      </c>
      <c r="Q32">
        <v>1</v>
      </c>
      <c r="W32">
        <v>1</v>
      </c>
      <c r="X32">
        <v>0</v>
      </c>
      <c r="AA32" t="s">
        <v>225</v>
      </c>
      <c r="AB32" t="s">
        <v>226</v>
      </c>
      <c r="AC32" t="s">
        <v>227</v>
      </c>
      <c r="AD32" t="s">
        <v>154</v>
      </c>
      <c r="AE32">
        <v>109.354</v>
      </c>
      <c r="AF32">
        <v>1.0727760310708341</v>
      </c>
      <c r="AG32">
        <v>117.31235010172</v>
      </c>
      <c r="AH32">
        <v>694.38</v>
      </c>
      <c r="AI32">
        <v>0.875</v>
      </c>
      <c r="AJ32">
        <v>71.276930955678296</v>
      </c>
      <c r="AK32">
        <v>1.0179</v>
      </c>
      <c r="AL32">
        <v>72.552999999999997</v>
      </c>
      <c r="AM32">
        <v>8.9176000000000002</v>
      </c>
      <c r="AN32">
        <v>9.5665875346772715</v>
      </c>
      <c r="AO32">
        <v>0.91300000000000003</v>
      </c>
      <c r="AP32">
        <v>6064.9193587765631</v>
      </c>
      <c r="AQ32">
        <v>0.98975009761811794</v>
      </c>
      <c r="AR32">
        <v>6002.7545</v>
      </c>
      <c r="AT32" t="s">
        <v>228</v>
      </c>
      <c r="AU32" t="s">
        <v>229</v>
      </c>
      <c r="AV32" t="s">
        <v>227</v>
      </c>
      <c r="AW32" t="s">
        <v>154</v>
      </c>
      <c r="AX32">
        <v>109.354</v>
      </c>
      <c r="AY32">
        <v>1.0833851741009131</v>
      </c>
      <c r="AZ32">
        <v>118.47250232863119</v>
      </c>
      <c r="BA32">
        <v>801.49</v>
      </c>
      <c r="BB32">
        <v>0.90500000000000003</v>
      </c>
      <c r="BC32">
        <v>85.933845931694037</v>
      </c>
      <c r="BD32">
        <v>0.99380000000000002</v>
      </c>
      <c r="BE32">
        <v>85.400999999999996</v>
      </c>
      <c r="BF32">
        <v>8.9176000000000002</v>
      </c>
      <c r="BG32">
        <v>0.77</v>
      </c>
      <c r="BH32">
        <v>5962.3807969390264</v>
      </c>
      <c r="BI32">
        <v>0.98418586489652482</v>
      </c>
      <c r="BJ32">
        <v>5868.0909000000001</v>
      </c>
    </row>
    <row r="33" spans="1:62" x14ac:dyDescent="0.25">
      <c r="A33">
        <v>2366</v>
      </c>
      <c r="B33" t="s">
        <v>110</v>
      </c>
      <c r="C33">
        <v>2021</v>
      </c>
      <c r="D33">
        <v>1</v>
      </c>
      <c r="E33" t="s">
        <v>218</v>
      </c>
      <c r="F33" t="s">
        <v>251</v>
      </c>
      <c r="G33" t="s">
        <v>252</v>
      </c>
      <c r="H33" t="s">
        <v>17</v>
      </c>
      <c r="I33" t="s">
        <v>254</v>
      </c>
      <c r="J33" t="s">
        <v>234</v>
      </c>
      <c r="K33">
        <v>-1274.7150420800001</v>
      </c>
      <c r="L33" t="s">
        <v>234</v>
      </c>
      <c r="M33" t="s">
        <v>236</v>
      </c>
      <c r="N33">
        <v>1.9808691721710001E-2</v>
      </c>
      <c r="O33">
        <v>25.250437000000002</v>
      </c>
      <c r="P33" t="s">
        <v>21</v>
      </c>
      <c r="Q33">
        <v>1</v>
      </c>
      <c r="W33">
        <v>1</v>
      </c>
      <c r="X33">
        <v>0</v>
      </c>
      <c r="AA33" t="s">
        <v>225</v>
      </c>
      <c r="AB33" t="s">
        <v>226</v>
      </c>
      <c r="AC33" t="s">
        <v>227</v>
      </c>
      <c r="AD33" t="s">
        <v>100</v>
      </c>
      <c r="AE33">
        <v>109.354</v>
      </c>
      <c r="AF33">
        <v>1.0727760310708341</v>
      </c>
      <c r="AG33">
        <v>117.31235010172</v>
      </c>
      <c r="AH33">
        <v>694.38</v>
      </c>
      <c r="AI33">
        <v>0.875</v>
      </c>
      <c r="AJ33">
        <v>71.276930955678296</v>
      </c>
      <c r="AK33">
        <v>0.96660000000000001</v>
      </c>
      <c r="AL33">
        <v>68.896000000000001</v>
      </c>
      <c r="AM33">
        <v>8.9176000000000002</v>
      </c>
      <c r="AN33">
        <v>9.5665875346772715</v>
      </c>
      <c r="AO33">
        <v>0.91300000000000003</v>
      </c>
      <c r="AP33">
        <v>6064.9193587765631</v>
      </c>
      <c r="AQ33">
        <v>0.98316430020283985</v>
      </c>
      <c r="AR33">
        <v>5962.8122000000003</v>
      </c>
      <c r="AT33" t="s">
        <v>228</v>
      </c>
      <c r="AU33" t="s">
        <v>229</v>
      </c>
      <c r="AV33" t="s">
        <v>227</v>
      </c>
      <c r="AW33" t="s">
        <v>100</v>
      </c>
      <c r="AX33">
        <v>109.354</v>
      </c>
      <c r="AY33">
        <v>1.0833851741009131</v>
      </c>
      <c r="AZ33">
        <v>118.47250232863119</v>
      </c>
      <c r="BA33">
        <v>801.49</v>
      </c>
      <c r="BB33">
        <v>0.90500000000000003</v>
      </c>
      <c r="BC33">
        <v>85.933845931694037</v>
      </c>
      <c r="BD33">
        <v>0.94550000000000001</v>
      </c>
      <c r="BE33">
        <v>81.25</v>
      </c>
      <c r="BF33">
        <v>8.9176000000000002</v>
      </c>
      <c r="BG33">
        <v>0.77</v>
      </c>
      <c r="BH33">
        <v>5962.3807969390264</v>
      </c>
      <c r="BI33">
        <v>1.0003042596348879</v>
      </c>
      <c r="BJ33">
        <v>5964.1949000000004</v>
      </c>
    </row>
    <row r="34" spans="1:62" x14ac:dyDescent="0.25">
      <c r="A34">
        <v>2368</v>
      </c>
      <c r="B34" t="s">
        <v>110</v>
      </c>
      <c r="C34">
        <v>2021</v>
      </c>
      <c r="D34">
        <v>1</v>
      </c>
      <c r="E34" t="s">
        <v>218</v>
      </c>
      <c r="F34" t="s">
        <v>251</v>
      </c>
      <c r="G34" t="s">
        <v>252</v>
      </c>
      <c r="H34" t="s">
        <v>17</v>
      </c>
      <c r="I34" t="s">
        <v>254</v>
      </c>
      <c r="J34" t="s">
        <v>234</v>
      </c>
      <c r="K34">
        <v>-1274.7150420800001</v>
      </c>
      <c r="L34" t="s">
        <v>234</v>
      </c>
      <c r="M34" t="s">
        <v>237</v>
      </c>
      <c r="N34">
        <v>0.39660634608572998</v>
      </c>
      <c r="O34">
        <v>505.56007499999998</v>
      </c>
      <c r="P34" t="s">
        <v>21</v>
      </c>
      <c r="Q34">
        <v>1</v>
      </c>
      <c r="W34">
        <v>1</v>
      </c>
      <c r="X34">
        <v>0</v>
      </c>
      <c r="AA34" t="s">
        <v>225</v>
      </c>
      <c r="AB34" t="s">
        <v>226</v>
      </c>
      <c r="AC34" t="s">
        <v>227</v>
      </c>
      <c r="AD34" t="s">
        <v>101</v>
      </c>
      <c r="AE34">
        <v>109.354</v>
      </c>
      <c r="AF34">
        <v>1.0727760310708341</v>
      </c>
      <c r="AG34">
        <v>117.31235010172</v>
      </c>
      <c r="AH34">
        <v>694.38</v>
      </c>
      <c r="AI34">
        <v>0.875</v>
      </c>
      <c r="AJ34">
        <v>71.276930955678296</v>
      </c>
      <c r="AK34">
        <v>1.0077</v>
      </c>
      <c r="AL34">
        <v>71.825999999999993</v>
      </c>
      <c r="AM34">
        <v>8.9176000000000002</v>
      </c>
      <c r="AN34">
        <v>9.5665875346772715</v>
      </c>
      <c r="AO34">
        <v>0.91300000000000003</v>
      </c>
      <c r="AP34">
        <v>6064.9193587765631</v>
      </c>
      <c r="AQ34">
        <v>1.0255267423014589</v>
      </c>
      <c r="AR34">
        <v>6219.7370000000001</v>
      </c>
      <c r="AT34" t="s">
        <v>228</v>
      </c>
      <c r="AU34" t="s">
        <v>229</v>
      </c>
      <c r="AV34" t="s">
        <v>227</v>
      </c>
      <c r="AW34" t="s">
        <v>101</v>
      </c>
      <c r="AX34">
        <v>109.354</v>
      </c>
      <c r="AY34">
        <v>1.0833851741009131</v>
      </c>
      <c r="AZ34">
        <v>118.47250232863119</v>
      </c>
      <c r="BA34">
        <v>801.49</v>
      </c>
      <c r="BB34">
        <v>0.90500000000000003</v>
      </c>
      <c r="BC34">
        <v>85.933845931694037</v>
      </c>
      <c r="BD34">
        <v>1.0154000000000001</v>
      </c>
      <c r="BE34">
        <v>87.257000000000005</v>
      </c>
      <c r="BF34">
        <v>8.9176000000000002</v>
      </c>
      <c r="BG34">
        <v>0.77</v>
      </c>
      <c r="BH34">
        <v>5962.3807969390264</v>
      </c>
      <c r="BI34">
        <v>1.0150931928687199</v>
      </c>
      <c r="BJ34">
        <v>6052.3721999999998</v>
      </c>
    </row>
    <row r="35" spans="1:62" x14ac:dyDescent="0.25">
      <c r="A35">
        <v>2362</v>
      </c>
      <c r="B35" t="s">
        <v>110</v>
      </c>
      <c r="C35">
        <v>2021</v>
      </c>
      <c r="D35">
        <v>1</v>
      </c>
      <c r="E35" t="s">
        <v>218</v>
      </c>
      <c r="F35" t="s">
        <v>251</v>
      </c>
      <c r="G35" t="s">
        <v>252</v>
      </c>
      <c r="H35" t="s">
        <v>17</v>
      </c>
      <c r="I35" t="s">
        <v>255</v>
      </c>
      <c r="J35" t="s">
        <v>239</v>
      </c>
      <c r="K35">
        <v>-239.50810949999999</v>
      </c>
      <c r="L35" t="s">
        <v>240</v>
      </c>
      <c r="M35" t="s">
        <v>224</v>
      </c>
      <c r="N35">
        <v>1.1109205873409999E-2</v>
      </c>
      <c r="O35">
        <v>2.6607449999999999</v>
      </c>
      <c r="P35" t="s">
        <v>21</v>
      </c>
      <c r="Q35">
        <v>1</v>
      </c>
      <c r="W35">
        <v>1</v>
      </c>
      <c r="X35">
        <v>0</v>
      </c>
      <c r="AA35" t="s">
        <v>225</v>
      </c>
      <c r="AB35" t="s">
        <v>226</v>
      </c>
      <c r="AC35" t="s">
        <v>227</v>
      </c>
      <c r="AD35" t="s">
        <v>153</v>
      </c>
      <c r="AE35">
        <v>109.354</v>
      </c>
      <c r="AF35">
        <v>1.0727760310708341</v>
      </c>
      <c r="AG35">
        <v>117.31235010172</v>
      </c>
      <c r="AH35">
        <v>694.38</v>
      </c>
      <c r="AI35">
        <v>0.875</v>
      </c>
      <c r="AJ35">
        <v>71.276930955678296</v>
      </c>
      <c r="AK35">
        <v>1.0034000000000001</v>
      </c>
      <c r="AL35">
        <v>71.519000000000005</v>
      </c>
      <c r="AM35">
        <v>8.9176000000000002</v>
      </c>
      <c r="AN35">
        <v>9.5665875346772715</v>
      </c>
      <c r="AO35">
        <v>0.91300000000000003</v>
      </c>
      <c r="AP35">
        <v>6064.9193587765631</v>
      </c>
      <c r="AQ35">
        <v>1</v>
      </c>
      <c r="AR35">
        <v>6064.9193999999998</v>
      </c>
      <c r="AT35" t="s">
        <v>228</v>
      </c>
      <c r="AU35" t="s">
        <v>229</v>
      </c>
      <c r="AV35" t="s">
        <v>227</v>
      </c>
      <c r="AW35" t="s">
        <v>153</v>
      </c>
      <c r="AX35">
        <v>109.354</v>
      </c>
      <c r="AY35">
        <v>1.0833851741009131</v>
      </c>
      <c r="AZ35">
        <v>118.47250232863119</v>
      </c>
      <c r="BA35">
        <v>801.49</v>
      </c>
      <c r="BB35">
        <v>0.90500000000000003</v>
      </c>
      <c r="BC35">
        <v>85.933845931694037</v>
      </c>
      <c r="BD35">
        <v>1.0470999999999999</v>
      </c>
      <c r="BE35">
        <v>89.980999999999995</v>
      </c>
      <c r="BF35">
        <v>8.9176000000000002</v>
      </c>
      <c r="BG35">
        <v>0.77</v>
      </c>
      <c r="BH35">
        <v>5962.3807969390264</v>
      </c>
      <c r="BI35">
        <v>1</v>
      </c>
      <c r="BJ35">
        <v>5962.3807999999999</v>
      </c>
    </row>
    <row r="36" spans="1:62" x14ac:dyDescent="0.25">
      <c r="A36">
        <v>2364</v>
      </c>
      <c r="B36" t="s">
        <v>110</v>
      </c>
      <c r="C36">
        <v>2021</v>
      </c>
      <c r="D36">
        <v>1</v>
      </c>
      <c r="E36" t="s">
        <v>218</v>
      </c>
      <c r="F36" t="s">
        <v>251</v>
      </c>
      <c r="G36" t="s">
        <v>252</v>
      </c>
      <c r="H36" t="s">
        <v>17</v>
      </c>
      <c r="I36" t="s">
        <v>255</v>
      </c>
      <c r="J36" t="s">
        <v>239</v>
      </c>
      <c r="K36">
        <v>-239.50810949999999</v>
      </c>
      <c r="L36" t="s">
        <v>240</v>
      </c>
      <c r="M36" t="s">
        <v>235</v>
      </c>
      <c r="N36">
        <v>0.58148407621825005</v>
      </c>
      <c r="O36">
        <v>139.270152</v>
      </c>
      <c r="P36" t="s">
        <v>21</v>
      </c>
      <c r="Q36">
        <v>1</v>
      </c>
      <c r="W36">
        <v>1</v>
      </c>
      <c r="X36">
        <v>0</v>
      </c>
      <c r="AA36" t="s">
        <v>225</v>
      </c>
      <c r="AB36" t="s">
        <v>226</v>
      </c>
      <c r="AC36" t="s">
        <v>227</v>
      </c>
      <c r="AD36" t="s">
        <v>154</v>
      </c>
      <c r="AE36">
        <v>109.354</v>
      </c>
      <c r="AF36">
        <v>1.0727760310708341</v>
      </c>
      <c r="AG36">
        <v>117.31235010172</v>
      </c>
      <c r="AH36">
        <v>694.38</v>
      </c>
      <c r="AI36">
        <v>0.875</v>
      </c>
      <c r="AJ36">
        <v>71.276930955678296</v>
      </c>
      <c r="AK36">
        <v>1.0179</v>
      </c>
      <c r="AL36">
        <v>72.552999999999997</v>
      </c>
      <c r="AM36">
        <v>8.9176000000000002</v>
      </c>
      <c r="AN36">
        <v>9.5665875346772715</v>
      </c>
      <c r="AO36">
        <v>0.91300000000000003</v>
      </c>
      <c r="AP36">
        <v>6064.9193587765631</v>
      </c>
      <c r="AQ36">
        <v>0.98975009761811794</v>
      </c>
      <c r="AR36">
        <v>6002.7545</v>
      </c>
      <c r="AT36" t="s">
        <v>228</v>
      </c>
      <c r="AU36" t="s">
        <v>229</v>
      </c>
      <c r="AV36" t="s">
        <v>227</v>
      </c>
      <c r="AW36" t="s">
        <v>154</v>
      </c>
      <c r="AX36">
        <v>109.354</v>
      </c>
      <c r="AY36">
        <v>1.0833851741009131</v>
      </c>
      <c r="AZ36">
        <v>118.47250232863119</v>
      </c>
      <c r="BA36">
        <v>801.49</v>
      </c>
      <c r="BB36">
        <v>0.90500000000000003</v>
      </c>
      <c r="BC36">
        <v>85.933845931694037</v>
      </c>
      <c r="BD36">
        <v>0.99380000000000002</v>
      </c>
      <c r="BE36">
        <v>85.400999999999996</v>
      </c>
      <c r="BF36">
        <v>8.9176000000000002</v>
      </c>
      <c r="BG36">
        <v>0.77</v>
      </c>
      <c r="BH36">
        <v>5962.3807969390264</v>
      </c>
      <c r="BI36">
        <v>0.98418586489652482</v>
      </c>
      <c r="BJ36">
        <v>5868.0909000000001</v>
      </c>
    </row>
    <row r="37" spans="1:62" x14ac:dyDescent="0.25">
      <c r="A37">
        <v>2366</v>
      </c>
      <c r="B37" t="s">
        <v>110</v>
      </c>
      <c r="C37">
        <v>2021</v>
      </c>
      <c r="D37">
        <v>1</v>
      </c>
      <c r="E37" t="s">
        <v>218</v>
      </c>
      <c r="F37" t="s">
        <v>251</v>
      </c>
      <c r="G37" t="s">
        <v>252</v>
      </c>
      <c r="H37" t="s">
        <v>17</v>
      </c>
      <c r="I37" t="s">
        <v>255</v>
      </c>
      <c r="J37" t="s">
        <v>239</v>
      </c>
      <c r="K37">
        <v>-239.50810949999999</v>
      </c>
      <c r="L37" t="s">
        <v>240</v>
      </c>
      <c r="M37" t="s">
        <v>236</v>
      </c>
      <c r="N37">
        <v>1.8083569973560001E-2</v>
      </c>
      <c r="O37">
        <v>4.331162</v>
      </c>
      <c r="P37" t="s">
        <v>21</v>
      </c>
      <c r="Q37">
        <v>1</v>
      </c>
      <c r="W37">
        <v>1</v>
      </c>
      <c r="X37">
        <v>0</v>
      </c>
      <c r="AA37" t="s">
        <v>225</v>
      </c>
      <c r="AB37" t="s">
        <v>226</v>
      </c>
      <c r="AC37" t="s">
        <v>227</v>
      </c>
      <c r="AD37" t="s">
        <v>100</v>
      </c>
      <c r="AE37">
        <v>109.354</v>
      </c>
      <c r="AF37">
        <v>1.0727760310708341</v>
      </c>
      <c r="AG37">
        <v>117.31235010172</v>
      </c>
      <c r="AH37">
        <v>694.38</v>
      </c>
      <c r="AI37">
        <v>0.875</v>
      </c>
      <c r="AJ37">
        <v>71.276930955678296</v>
      </c>
      <c r="AK37">
        <v>0.96660000000000001</v>
      </c>
      <c r="AL37">
        <v>68.896000000000001</v>
      </c>
      <c r="AM37">
        <v>8.9176000000000002</v>
      </c>
      <c r="AN37">
        <v>9.5665875346772715</v>
      </c>
      <c r="AO37">
        <v>0.91300000000000003</v>
      </c>
      <c r="AP37">
        <v>6064.9193587765631</v>
      </c>
      <c r="AQ37">
        <v>0.98316430020283985</v>
      </c>
      <c r="AR37">
        <v>5962.8122000000003</v>
      </c>
      <c r="AT37" t="s">
        <v>228</v>
      </c>
      <c r="AU37" t="s">
        <v>229</v>
      </c>
      <c r="AV37" t="s">
        <v>227</v>
      </c>
      <c r="AW37" t="s">
        <v>100</v>
      </c>
      <c r="AX37">
        <v>109.354</v>
      </c>
      <c r="AY37">
        <v>1.0833851741009131</v>
      </c>
      <c r="AZ37">
        <v>118.47250232863119</v>
      </c>
      <c r="BA37">
        <v>801.49</v>
      </c>
      <c r="BB37">
        <v>0.90500000000000003</v>
      </c>
      <c r="BC37">
        <v>85.933845931694037</v>
      </c>
      <c r="BD37">
        <v>0.94550000000000001</v>
      </c>
      <c r="BE37">
        <v>81.25</v>
      </c>
      <c r="BF37">
        <v>8.9176000000000002</v>
      </c>
      <c r="BG37">
        <v>0.77</v>
      </c>
      <c r="BH37">
        <v>5962.3807969390264</v>
      </c>
      <c r="BI37">
        <v>1.0003042596348879</v>
      </c>
      <c r="BJ37">
        <v>5964.1949000000004</v>
      </c>
    </row>
    <row r="38" spans="1:62" x14ac:dyDescent="0.25">
      <c r="A38">
        <v>2368</v>
      </c>
      <c r="B38" t="s">
        <v>110</v>
      </c>
      <c r="C38">
        <v>2021</v>
      </c>
      <c r="D38">
        <v>1</v>
      </c>
      <c r="E38" t="s">
        <v>218</v>
      </c>
      <c r="F38" t="s">
        <v>251</v>
      </c>
      <c r="G38" t="s">
        <v>252</v>
      </c>
      <c r="H38" t="s">
        <v>17</v>
      </c>
      <c r="I38" t="s">
        <v>255</v>
      </c>
      <c r="J38" t="s">
        <v>239</v>
      </c>
      <c r="K38">
        <v>-239.50810949999999</v>
      </c>
      <c r="L38" t="s">
        <v>240</v>
      </c>
      <c r="M38" t="s">
        <v>237</v>
      </c>
      <c r="N38">
        <v>0.41680683696206</v>
      </c>
      <c r="O38">
        <v>99.828618000000006</v>
      </c>
      <c r="P38" t="s">
        <v>21</v>
      </c>
      <c r="Q38">
        <v>1</v>
      </c>
      <c r="W38">
        <v>1</v>
      </c>
      <c r="X38">
        <v>0</v>
      </c>
      <c r="AA38" t="s">
        <v>225</v>
      </c>
      <c r="AB38" t="s">
        <v>226</v>
      </c>
      <c r="AC38" t="s">
        <v>227</v>
      </c>
      <c r="AD38" t="s">
        <v>101</v>
      </c>
      <c r="AE38">
        <v>109.354</v>
      </c>
      <c r="AF38">
        <v>1.0727760310708341</v>
      </c>
      <c r="AG38">
        <v>117.31235010172</v>
      </c>
      <c r="AH38">
        <v>694.38</v>
      </c>
      <c r="AI38">
        <v>0.875</v>
      </c>
      <c r="AJ38">
        <v>71.276930955678296</v>
      </c>
      <c r="AK38">
        <v>1.0077</v>
      </c>
      <c r="AL38">
        <v>71.825999999999993</v>
      </c>
      <c r="AM38">
        <v>8.9176000000000002</v>
      </c>
      <c r="AN38">
        <v>9.5665875346772715</v>
      </c>
      <c r="AO38">
        <v>0.91300000000000003</v>
      </c>
      <c r="AP38">
        <v>6064.9193587765631</v>
      </c>
      <c r="AQ38">
        <v>1.0255267423014589</v>
      </c>
      <c r="AR38">
        <v>6219.7370000000001</v>
      </c>
      <c r="AT38" t="s">
        <v>228</v>
      </c>
      <c r="AU38" t="s">
        <v>229</v>
      </c>
      <c r="AV38" t="s">
        <v>227</v>
      </c>
      <c r="AW38" t="s">
        <v>101</v>
      </c>
      <c r="AX38">
        <v>109.354</v>
      </c>
      <c r="AY38">
        <v>1.0833851741009131</v>
      </c>
      <c r="AZ38">
        <v>118.47250232863119</v>
      </c>
      <c r="BA38">
        <v>801.49</v>
      </c>
      <c r="BB38">
        <v>0.90500000000000003</v>
      </c>
      <c r="BC38">
        <v>85.933845931694037</v>
      </c>
      <c r="BD38">
        <v>1.0154000000000001</v>
      </c>
      <c r="BE38">
        <v>87.257000000000005</v>
      </c>
      <c r="BF38">
        <v>8.9176000000000002</v>
      </c>
      <c r="BG38">
        <v>0.77</v>
      </c>
      <c r="BH38">
        <v>5962.3807969390264</v>
      </c>
      <c r="BI38">
        <v>1.0150931928687199</v>
      </c>
      <c r="BJ38">
        <v>6052.3721999999998</v>
      </c>
    </row>
    <row r="39" spans="1:62" x14ac:dyDescent="0.25">
      <c r="A39">
        <v>3554</v>
      </c>
      <c r="B39" t="s">
        <v>110</v>
      </c>
      <c r="C39">
        <v>2021</v>
      </c>
      <c r="D39">
        <v>1</v>
      </c>
      <c r="E39" t="s">
        <v>218</v>
      </c>
      <c r="F39" t="s">
        <v>251</v>
      </c>
      <c r="G39" t="s">
        <v>252</v>
      </c>
      <c r="H39" t="s">
        <v>17</v>
      </c>
      <c r="I39" t="s">
        <v>256</v>
      </c>
      <c r="J39" t="s">
        <v>242</v>
      </c>
      <c r="K39">
        <v>-94.21344646</v>
      </c>
      <c r="L39" t="s">
        <v>242</v>
      </c>
      <c r="M39" t="s">
        <v>235</v>
      </c>
      <c r="N39">
        <v>0.67001574769252004</v>
      </c>
      <c r="O39">
        <v>63.124493000000001</v>
      </c>
      <c r="P39" t="s">
        <v>21</v>
      </c>
      <c r="Q39">
        <v>1</v>
      </c>
      <c r="W39">
        <v>1</v>
      </c>
      <c r="X39">
        <v>0</v>
      </c>
      <c r="AA39" t="s">
        <v>225</v>
      </c>
      <c r="AB39" t="s">
        <v>226</v>
      </c>
      <c r="AC39" t="s">
        <v>227</v>
      </c>
      <c r="AD39" t="s">
        <v>154</v>
      </c>
      <c r="AE39">
        <v>109.354</v>
      </c>
      <c r="AF39">
        <v>1.0727760310708341</v>
      </c>
      <c r="AG39">
        <v>117.31235010172</v>
      </c>
      <c r="AH39">
        <v>694.38</v>
      </c>
      <c r="AI39">
        <v>0.875</v>
      </c>
      <c r="AJ39">
        <v>71.276930955678296</v>
      </c>
      <c r="AK39">
        <v>1.0179</v>
      </c>
      <c r="AL39">
        <v>72.552999999999997</v>
      </c>
      <c r="AM39">
        <v>8.9176000000000002</v>
      </c>
      <c r="AN39">
        <v>9.5665875346772715</v>
      </c>
      <c r="AO39">
        <v>0.91300000000000003</v>
      </c>
      <c r="AP39">
        <v>6064.9193587765631</v>
      </c>
      <c r="AQ39">
        <v>0.98975009761811794</v>
      </c>
      <c r="AR39">
        <v>6002.7545</v>
      </c>
      <c r="AT39" t="s">
        <v>228</v>
      </c>
      <c r="AU39" t="s">
        <v>229</v>
      </c>
      <c r="AV39" t="s">
        <v>227</v>
      </c>
      <c r="AW39" t="s">
        <v>154</v>
      </c>
      <c r="AX39">
        <v>109.354</v>
      </c>
      <c r="AY39">
        <v>1.0833851741009131</v>
      </c>
      <c r="AZ39">
        <v>118.47250232863119</v>
      </c>
      <c r="BA39">
        <v>801.49</v>
      </c>
      <c r="BB39">
        <v>0.90500000000000003</v>
      </c>
      <c r="BC39">
        <v>85.933845931694037</v>
      </c>
      <c r="BD39">
        <v>0.99380000000000002</v>
      </c>
      <c r="BE39">
        <v>85.400999999999996</v>
      </c>
      <c r="BF39">
        <v>8.9176000000000002</v>
      </c>
      <c r="BG39">
        <v>0.77</v>
      </c>
      <c r="BH39">
        <v>5962.3807969390264</v>
      </c>
      <c r="BI39">
        <v>0.98418586489652482</v>
      </c>
      <c r="BJ39">
        <v>5868.0909000000001</v>
      </c>
    </row>
    <row r="40" spans="1:62" x14ac:dyDescent="0.25">
      <c r="A40">
        <v>3556</v>
      </c>
      <c r="B40" t="s">
        <v>110</v>
      </c>
      <c r="C40">
        <v>2021</v>
      </c>
      <c r="D40">
        <v>1</v>
      </c>
      <c r="E40" t="s">
        <v>218</v>
      </c>
      <c r="F40" t="s">
        <v>251</v>
      </c>
      <c r="G40" t="s">
        <v>252</v>
      </c>
      <c r="H40" t="s">
        <v>17</v>
      </c>
      <c r="I40" t="s">
        <v>256</v>
      </c>
      <c r="J40" t="s">
        <v>242</v>
      </c>
      <c r="K40">
        <v>-94.21344646</v>
      </c>
      <c r="L40" t="s">
        <v>242</v>
      </c>
      <c r="M40" t="s">
        <v>236</v>
      </c>
      <c r="N40">
        <v>1.442552100634E-2</v>
      </c>
      <c r="O40">
        <v>1.359078</v>
      </c>
      <c r="P40" t="s">
        <v>21</v>
      </c>
      <c r="Q40">
        <v>1</v>
      </c>
      <c r="W40">
        <v>1</v>
      </c>
      <c r="X40">
        <v>0</v>
      </c>
      <c r="AA40" t="s">
        <v>225</v>
      </c>
      <c r="AB40" t="s">
        <v>226</v>
      </c>
      <c r="AC40" t="s">
        <v>227</v>
      </c>
      <c r="AD40" t="s">
        <v>100</v>
      </c>
      <c r="AE40">
        <v>109.354</v>
      </c>
      <c r="AF40">
        <v>1.0727760310708341</v>
      </c>
      <c r="AG40">
        <v>117.31235010172</v>
      </c>
      <c r="AH40">
        <v>694.38</v>
      </c>
      <c r="AI40">
        <v>0.875</v>
      </c>
      <c r="AJ40">
        <v>71.276930955678296</v>
      </c>
      <c r="AK40">
        <v>0.96660000000000001</v>
      </c>
      <c r="AL40">
        <v>68.896000000000001</v>
      </c>
      <c r="AM40">
        <v>8.9176000000000002</v>
      </c>
      <c r="AN40">
        <v>9.5665875346772715</v>
      </c>
      <c r="AO40">
        <v>0.91300000000000003</v>
      </c>
      <c r="AP40">
        <v>6064.9193587765631</v>
      </c>
      <c r="AQ40">
        <v>0.98316430020283985</v>
      </c>
      <c r="AR40">
        <v>5962.8122000000003</v>
      </c>
      <c r="AT40" t="s">
        <v>228</v>
      </c>
      <c r="AU40" t="s">
        <v>229</v>
      </c>
      <c r="AV40" t="s">
        <v>227</v>
      </c>
      <c r="AW40" t="s">
        <v>100</v>
      </c>
      <c r="AX40">
        <v>109.354</v>
      </c>
      <c r="AY40">
        <v>1.0833851741009131</v>
      </c>
      <c r="AZ40">
        <v>118.47250232863119</v>
      </c>
      <c r="BA40">
        <v>801.49</v>
      </c>
      <c r="BB40">
        <v>0.90500000000000003</v>
      </c>
      <c r="BC40">
        <v>85.933845931694037</v>
      </c>
      <c r="BD40">
        <v>0.94550000000000001</v>
      </c>
      <c r="BE40">
        <v>81.25</v>
      </c>
      <c r="BF40">
        <v>8.9176000000000002</v>
      </c>
      <c r="BG40">
        <v>0.77</v>
      </c>
      <c r="BH40">
        <v>5962.3807969390264</v>
      </c>
      <c r="BI40">
        <v>1.0003042596348879</v>
      </c>
      <c r="BJ40">
        <v>5964.1949000000004</v>
      </c>
    </row>
    <row r="41" spans="1:62" x14ac:dyDescent="0.25">
      <c r="A41">
        <v>3558</v>
      </c>
      <c r="B41" t="s">
        <v>110</v>
      </c>
      <c r="C41">
        <v>2021</v>
      </c>
      <c r="D41">
        <v>1</v>
      </c>
      <c r="E41" t="s">
        <v>218</v>
      </c>
      <c r="F41" t="s">
        <v>251</v>
      </c>
      <c r="G41" t="s">
        <v>252</v>
      </c>
      <c r="H41" t="s">
        <v>17</v>
      </c>
      <c r="I41" t="s">
        <v>256</v>
      </c>
      <c r="J41" t="s">
        <v>242</v>
      </c>
      <c r="K41">
        <v>-94.21344646</v>
      </c>
      <c r="L41" t="s">
        <v>242</v>
      </c>
      <c r="M41" t="s">
        <v>237</v>
      </c>
      <c r="N41">
        <v>0.37405093967954001</v>
      </c>
      <c r="O41">
        <v>35.240628000000001</v>
      </c>
      <c r="P41" t="s">
        <v>21</v>
      </c>
      <c r="Q41">
        <v>1</v>
      </c>
      <c r="W41">
        <v>1</v>
      </c>
      <c r="X41">
        <v>0</v>
      </c>
      <c r="AA41" t="s">
        <v>225</v>
      </c>
      <c r="AB41" t="s">
        <v>226</v>
      </c>
      <c r="AC41" t="s">
        <v>227</v>
      </c>
      <c r="AD41" t="s">
        <v>101</v>
      </c>
      <c r="AE41">
        <v>109.354</v>
      </c>
      <c r="AF41">
        <v>1.0727760310708341</v>
      </c>
      <c r="AG41">
        <v>117.31235010172</v>
      </c>
      <c r="AH41">
        <v>694.38</v>
      </c>
      <c r="AI41">
        <v>0.875</v>
      </c>
      <c r="AJ41">
        <v>71.276930955678296</v>
      </c>
      <c r="AK41">
        <v>1.0077</v>
      </c>
      <c r="AL41">
        <v>71.825999999999993</v>
      </c>
      <c r="AM41">
        <v>8.9176000000000002</v>
      </c>
      <c r="AN41">
        <v>9.5665875346772715</v>
      </c>
      <c r="AO41">
        <v>0.91300000000000003</v>
      </c>
      <c r="AP41">
        <v>6064.9193587765631</v>
      </c>
      <c r="AQ41">
        <v>1.0255267423014589</v>
      </c>
      <c r="AR41">
        <v>6219.7370000000001</v>
      </c>
      <c r="AT41" t="s">
        <v>228</v>
      </c>
      <c r="AU41" t="s">
        <v>229</v>
      </c>
      <c r="AV41" t="s">
        <v>227</v>
      </c>
      <c r="AW41" t="s">
        <v>101</v>
      </c>
      <c r="AX41">
        <v>109.354</v>
      </c>
      <c r="AY41">
        <v>1.0833851741009131</v>
      </c>
      <c r="AZ41">
        <v>118.47250232863119</v>
      </c>
      <c r="BA41">
        <v>801.49</v>
      </c>
      <c r="BB41">
        <v>0.90500000000000003</v>
      </c>
      <c r="BC41">
        <v>85.933845931694037</v>
      </c>
      <c r="BD41">
        <v>1.0154000000000001</v>
      </c>
      <c r="BE41">
        <v>87.257000000000005</v>
      </c>
      <c r="BF41">
        <v>8.9176000000000002</v>
      </c>
      <c r="BG41">
        <v>0.77</v>
      </c>
      <c r="BH41">
        <v>5962.3807969390264</v>
      </c>
      <c r="BI41">
        <v>1.0150931928687199</v>
      </c>
      <c r="BJ41">
        <v>6052.3721999999998</v>
      </c>
    </row>
    <row r="42" spans="1:62" x14ac:dyDescent="0.25">
      <c r="A42">
        <v>2362</v>
      </c>
      <c r="B42" t="s">
        <v>110</v>
      </c>
      <c r="C42">
        <v>2021</v>
      </c>
      <c r="D42">
        <v>1</v>
      </c>
      <c r="E42" t="s">
        <v>218</v>
      </c>
      <c r="F42" t="s">
        <v>251</v>
      </c>
      <c r="G42" t="s">
        <v>252</v>
      </c>
      <c r="H42" t="s">
        <v>17</v>
      </c>
      <c r="I42" t="s">
        <v>257</v>
      </c>
      <c r="J42" t="s">
        <v>244</v>
      </c>
      <c r="K42">
        <v>-274.50729923</v>
      </c>
      <c r="L42" t="s">
        <v>245</v>
      </c>
      <c r="M42" t="s">
        <v>224</v>
      </c>
      <c r="N42">
        <v>1.1026262910890001E-2</v>
      </c>
      <c r="O42">
        <v>3.0267900000000001</v>
      </c>
      <c r="P42" t="s">
        <v>21</v>
      </c>
      <c r="Q42">
        <v>1</v>
      </c>
      <c r="W42">
        <v>1</v>
      </c>
      <c r="X42">
        <v>0</v>
      </c>
      <c r="AA42" t="s">
        <v>225</v>
      </c>
      <c r="AB42" t="s">
        <v>226</v>
      </c>
      <c r="AC42" t="s">
        <v>227</v>
      </c>
      <c r="AD42" t="s">
        <v>153</v>
      </c>
      <c r="AE42">
        <v>109.354</v>
      </c>
      <c r="AF42">
        <v>1.0727760310708341</v>
      </c>
      <c r="AG42">
        <v>117.31235010172</v>
      </c>
      <c r="AH42">
        <v>694.38</v>
      </c>
      <c r="AI42">
        <v>0.875</v>
      </c>
      <c r="AJ42">
        <v>71.276930955678296</v>
      </c>
      <c r="AK42">
        <v>1.0034000000000001</v>
      </c>
      <c r="AL42">
        <v>71.519000000000005</v>
      </c>
      <c r="AM42">
        <v>8.9176000000000002</v>
      </c>
      <c r="AN42">
        <v>9.5665875346772715</v>
      </c>
      <c r="AO42">
        <v>0.91300000000000003</v>
      </c>
      <c r="AP42">
        <v>6064.9193587765631</v>
      </c>
      <c r="AQ42">
        <v>1</v>
      </c>
      <c r="AR42">
        <v>6064.9193999999998</v>
      </c>
      <c r="AT42" t="s">
        <v>228</v>
      </c>
      <c r="AU42" t="s">
        <v>229</v>
      </c>
      <c r="AV42" t="s">
        <v>227</v>
      </c>
      <c r="AW42" t="s">
        <v>153</v>
      </c>
      <c r="AX42">
        <v>109.354</v>
      </c>
      <c r="AY42">
        <v>1.0833851741009131</v>
      </c>
      <c r="AZ42">
        <v>118.47250232863119</v>
      </c>
      <c r="BA42">
        <v>801.49</v>
      </c>
      <c r="BB42">
        <v>0.90500000000000003</v>
      </c>
      <c r="BC42">
        <v>85.933845931694037</v>
      </c>
      <c r="BD42">
        <v>1.0470999999999999</v>
      </c>
      <c r="BE42">
        <v>89.980999999999995</v>
      </c>
      <c r="BF42">
        <v>8.9176000000000002</v>
      </c>
      <c r="BG42">
        <v>0.77</v>
      </c>
      <c r="BH42">
        <v>5962.3807969390264</v>
      </c>
      <c r="BI42">
        <v>1</v>
      </c>
      <c r="BJ42">
        <v>5962.3807999999999</v>
      </c>
    </row>
    <row r="43" spans="1:62" x14ac:dyDescent="0.25">
      <c r="A43">
        <v>2364</v>
      </c>
      <c r="B43" t="s">
        <v>110</v>
      </c>
      <c r="C43">
        <v>2021</v>
      </c>
      <c r="D43">
        <v>1</v>
      </c>
      <c r="E43" t="s">
        <v>218</v>
      </c>
      <c r="F43" t="s">
        <v>251</v>
      </c>
      <c r="G43" t="s">
        <v>252</v>
      </c>
      <c r="H43" t="s">
        <v>17</v>
      </c>
      <c r="I43" t="s">
        <v>257</v>
      </c>
      <c r="J43" t="s">
        <v>244</v>
      </c>
      <c r="K43">
        <v>-274.50729923</v>
      </c>
      <c r="L43" t="s">
        <v>245</v>
      </c>
      <c r="M43" t="s">
        <v>235</v>
      </c>
      <c r="N43">
        <v>0.60074557881113</v>
      </c>
      <c r="O43">
        <v>164.90904599999999</v>
      </c>
      <c r="P43" t="s">
        <v>21</v>
      </c>
      <c r="Q43">
        <v>1</v>
      </c>
      <c r="W43">
        <v>1</v>
      </c>
      <c r="X43">
        <v>0</v>
      </c>
      <c r="AA43" t="s">
        <v>225</v>
      </c>
      <c r="AB43" t="s">
        <v>226</v>
      </c>
      <c r="AC43" t="s">
        <v>227</v>
      </c>
      <c r="AD43" t="s">
        <v>154</v>
      </c>
      <c r="AE43">
        <v>109.354</v>
      </c>
      <c r="AF43">
        <v>1.0727760310708341</v>
      </c>
      <c r="AG43">
        <v>117.31235010172</v>
      </c>
      <c r="AH43">
        <v>694.38</v>
      </c>
      <c r="AI43">
        <v>0.875</v>
      </c>
      <c r="AJ43">
        <v>71.276930955678296</v>
      </c>
      <c r="AK43">
        <v>1.0179</v>
      </c>
      <c r="AL43">
        <v>72.552999999999997</v>
      </c>
      <c r="AM43">
        <v>8.9176000000000002</v>
      </c>
      <c r="AN43">
        <v>9.5665875346772715</v>
      </c>
      <c r="AO43">
        <v>0.91300000000000003</v>
      </c>
      <c r="AP43">
        <v>6064.9193587765631</v>
      </c>
      <c r="AQ43">
        <v>0.98975009761811794</v>
      </c>
      <c r="AR43">
        <v>6002.7545</v>
      </c>
      <c r="AT43" t="s">
        <v>228</v>
      </c>
      <c r="AU43" t="s">
        <v>229</v>
      </c>
      <c r="AV43" t="s">
        <v>227</v>
      </c>
      <c r="AW43" t="s">
        <v>154</v>
      </c>
      <c r="AX43">
        <v>109.354</v>
      </c>
      <c r="AY43">
        <v>1.0833851741009131</v>
      </c>
      <c r="AZ43">
        <v>118.47250232863119</v>
      </c>
      <c r="BA43">
        <v>801.49</v>
      </c>
      <c r="BB43">
        <v>0.90500000000000003</v>
      </c>
      <c r="BC43">
        <v>85.933845931694037</v>
      </c>
      <c r="BD43">
        <v>0.99380000000000002</v>
      </c>
      <c r="BE43">
        <v>85.400999999999996</v>
      </c>
      <c r="BF43">
        <v>8.9176000000000002</v>
      </c>
      <c r="BG43">
        <v>0.77</v>
      </c>
      <c r="BH43">
        <v>5962.3807969390264</v>
      </c>
      <c r="BI43">
        <v>0.98418586489652482</v>
      </c>
      <c r="BJ43">
        <v>5868.0909000000001</v>
      </c>
    </row>
    <row r="44" spans="1:62" x14ac:dyDescent="0.25">
      <c r="A44">
        <v>2366</v>
      </c>
      <c r="B44" t="s">
        <v>110</v>
      </c>
      <c r="C44">
        <v>2021</v>
      </c>
      <c r="D44">
        <v>1</v>
      </c>
      <c r="E44" t="s">
        <v>218</v>
      </c>
      <c r="F44" t="s">
        <v>251</v>
      </c>
      <c r="G44" t="s">
        <v>252</v>
      </c>
      <c r="H44" t="s">
        <v>17</v>
      </c>
      <c r="I44" t="s">
        <v>257</v>
      </c>
      <c r="J44" t="s">
        <v>244</v>
      </c>
      <c r="K44">
        <v>-274.50729923</v>
      </c>
      <c r="L44" t="s">
        <v>245</v>
      </c>
      <c r="M44" t="s">
        <v>236</v>
      </c>
      <c r="N44">
        <v>1.775192921592E-2</v>
      </c>
      <c r="O44">
        <v>4.8730339999999996</v>
      </c>
      <c r="P44" t="s">
        <v>21</v>
      </c>
      <c r="Q44">
        <v>1</v>
      </c>
      <c r="W44">
        <v>1</v>
      </c>
      <c r="X44">
        <v>0</v>
      </c>
      <c r="AA44" t="s">
        <v>225</v>
      </c>
      <c r="AB44" t="s">
        <v>226</v>
      </c>
      <c r="AC44" t="s">
        <v>227</v>
      </c>
      <c r="AD44" t="s">
        <v>100</v>
      </c>
      <c r="AE44">
        <v>109.354</v>
      </c>
      <c r="AF44">
        <v>1.0727760310708341</v>
      </c>
      <c r="AG44">
        <v>117.31235010172</v>
      </c>
      <c r="AH44">
        <v>694.38</v>
      </c>
      <c r="AI44">
        <v>0.875</v>
      </c>
      <c r="AJ44">
        <v>71.276930955678296</v>
      </c>
      <c r="AK44">
        <v>0.96660000000000001</v>
      </c>
      <c r="AL44">
        <v>68.896000000000001</v>
      </c>
      <c r="AM44">
        <v>8.9176000000000002</v>
      </c>
      <c r="AN44">
        <v>9.5665875346772715</v>
      </c>
      <c r="AO44">
        <v>0.91300000000000003</v>
      </c>
      <c r="AP44">
        <v>6064.9193587765631</v>
      </c>
      <c r="AQ44">
        <v>0.98316430020283985</v>
      </c>
      <c r="AR44">
        <v>5962.8122000000003</v>
      </c>
      <c r="AT44" t="s">
        <v>228</v>
      </c>
      <c r="AU44" t="s">
        <v>229</v>
      </c>
      <c r="AV44" t="s">
        <v>227</v>
      </c>
      <c r="AW44" t="s">
        <v>100</v>
      </c>
      <c r="AX44">
        <v>109.354</v>
      </c>
      <c r="AY44">
        <v>1.0833851741009131</v>
      </c>
      <c r="AZ44">
        <v>118.47250232863119</v>
      </c>
      <c r="BA44">
        <v>801.49</v>
      </c>
      <c r="BB44">
        <v>0.90500000000000003</v>
      </c>
      <c r="BC44">
        <v>85.933845931694037</v>
      </c>
      <c r="BD44">
        <v>0.94550000000000001</v>
      </c>
      <c r="BE44">
        <v>81.25</v>
      </c>
      <c r="BF44">
        <v>8.9176000000000002</v>
      </c>
      <c r="BG44">
        <v>0.77</v>
      </c>
      <c r="BH44">
        <v>5962.3807969390264</v>
      </c>
      <c r="BI44">
        <v>1.0003042596348879</v>
      </c>
      <c r="BJ44">
        <v>5964.1949000000004</v>
      </c>
    </row>
    <row r="45" spans="1:62" x14ac:dyDescent="0.25">
      <c r="A45">
        <v>2368</v>
      </c>
      <c r="B45" t="s">
        <v>110</v>
      </c>
      <c r="C45">
        <v>2021</v>
      </c>
      <c r="D45">
        <v>1</v>
      </c>
      <c r="E45" t="s">
        <v>218</v>
      </c>
      <c r="F45" t="s">
        <v>251</v>
      </c>
      <c r="G45" t="s">
        <v>252</v>
      </c>
      <c r="H45" t="s">
        <v>17</v>
      </c>
      <c r="I45" t="s">
        <v>257</v>
      </c>
      <c r="J45" t="s">
        <v>244</v>
      </c>
      <c r="K45">
        <v>-274.50729923</v>
      </c>
      <c r="L45" t="s">
        <v>245</v>
      </c>
      <c r="M45" t="s">
        <v>237</v>
      </c>
      <c r="N45">
        <v>0.39766766032624001</v>
      </c>
      <c r="O45">
        <v>109.16267499999999</v>
      </c>
      <c r="P45" t="s">
        <v>21</v>
      </c>
      <c r="Q45">
        <v>1</v>
      </c>
      <c r="W45">
        <v>1</v>
      </c>
      <c r="X45">
        <v>0</v>
      </c>
      <c r="AA45" t="s">
        <v>225</v>
      </c>
      <c r="AB45" t="s">
        <v>226</v>
      </c>
      <c r="AC45" t="s">
        <v>227</v>
      </c>
      <c r="AD45" t="s">
        <v>101</v>
      </c>
      <c r="AE45">
        <v>109.354</v>
      </c>
      <c r="AF45">
        <v>1.0727760310708341</v>
      </c>
      <c r="AG45">
        <v>117.31235010172</v>
      </c>
      <c r="AH45">
        <v>694.38</v>
      </c>
      <c r="AI45">
        <v>0.875</v>
      </c>
      <c r="AJ45">
        <v>71.276930955678296</v>
      </c>
      <c r="AK45">
        <v>1.0077</v>
      </c>
      <c r="AL45">
        <v>71.825999999999993</v>
      </c>
      <c r="AM45">
        <v>8.9176000000000002</v>
      </c>
      <c r="AN45">
        <v>9.5665875346772715</v>
      </c>
      <c r="AO45">
        <v>0.91300000000000003</v>
      </c>
      <c r="AP45">
        <v>6064.9193587765631</v>
      </c>
      <c r="AQ45">
        <v>1.0255267423014589</v>
      </c>
      <c r="AR45">
        <v>6219.7370000000001</v>
      </c>
      <c r="AT45" t="s">
        <v>228</v>
      </c>
      <c r="AU45" t="s">
        <v>229</v>
      </c>
      <c r="AV45" t="s">
        <v>227</v>
      </c>
      <c r="AW45" t="s">
        <v>101</v>
      </c>
      <c r="AX45">
        <v>109.354</v>
      </c>
      <c r="AY45">
        <v>1.0833851741009131</v>
      </c>
      <c r="AZ45">
        <v>118.47250232863119</v>
      </c>
      <c r="BA45">
        <v>801.49</v>
      </c>
      <c r="BB45">
        <v>0.90500000000000003</v>
      </c>
      <c r="BC45">
        <v>85.933845931694037</v>
      </c>
      <c r="BD45">
        <v>1.0154000000000001</v>
      </c>
      <c r="BE45">
        <v>87.257000000000005</v>
      </c>
      <c r="BF45">
        <v>8.9176000000000002</v>
      </c>
      <c r="BG45">
        <v>0.77</v>
      </c>
      <c r="BH45">
        <v>5962.3807969390264</v>
      </c>
      <c r="BI45">
        <v>1.0150931928687199</v>
      </c>
      <c r="BJ45">
        <v>6052.3721999999998</v>
      </c>
    </row>
    <row r="46" spans="1:62" x14ac:dyDescent="0.25">
      <c r="A46">
        <v>4738</v>
      </c>
      <c r="B46" t="s">
        <v>110</v>
      </c>
      <c r="C46">
        <v>2021</v>
      </c>
      <c r="D46">
        <v>1</v>
      </c>
      <c r="E46" t="s">
        <v>218</v>
      </c>
      <c r="F46" t="s">
        <v>251</v>
      </c>
      <c r="G46" t="s">
        <v>252</v>
      </c>
      <c r="H46" t="s">
        <v>17</v>
      </c>
      <c r="I46" t="s">
        <v>258</v>
      </c>
      <c r="J46" t="s">
        <v>247</v>
      </c>
      <c r="K46">
        <v>-729.29432581000003</v>
      </c>
      <c r="L46" t="s">
        <v>248</v>
      </c>
      <c r="M46" t="s">
        <v>224</v>
      </c>
      <c r="N46">
        <v>4.9724862092599999E-3</v>
      </c>
      <c r="O46">
        <v>3.6264059999999998</v>
      </c>
      <c r="P46" t="s">
        <v>21</v>
      </c>
      <c r="Q46">
        <v>1</v>
      </c>
      <c r="W46">
        <v>1</v>
      </c>
      <c r="X46">
        <v>0</v>
      </c>
      <c r="AA46" t="s">
        <v>225</v>
      </c>
      <c r="AB46" t="s">
        <v>226</v>
      </c>
      <c r="AC46" t="s">
        <v>227</v>
      </c>
      <c r="AD46" t="s">
        <v>153</v>
      </c>
      <c r="AE46">
        <v>109.354</v>
      </c>
      <c r="AF46">
        <v>1.0727760310708341</v>
      </c>
      <c r="AG46">
        <v>117.31235010172</v>
      </c>
      <c r="AH46">
        <v>694.38</v>
      </c>
      <c r="AI46">
        <v>0.875</v>
      </c>
      <c r="AJ46">
        <v>71.276930955678296</v>
      </c>
      <c r="AK46">
        <v>1.0034000000000001</v>
      </c>
      <c r="AL46">
        <v>71.519000000000005</v>
      </c>
      <c r="AM46">
        <v>8.9176000000000002</v>
      </c>
      <c r="AN46">
        <v>9.5665875346772715</v>
      </c>
      <c r="AO46">
        <v>0.91300000000000003</v>
      </c>
      <c r="AP46">
        <v>6064.9193587765631</v>
      </c>
      <c r="AQ46">
        <v>1</v>
      </c>
      <c r="AR46">
        <v>6064.9193999999998</v>
      </c>
      <c r="AT46" t="s">
        <v>228</v>
      </c>
      <c r="AU46" t="s">
        <v>229</v>
      </c>
      <c r="AV46" t="s">
        <v>227</v>
      </c>
      <c r="AW46" t="s">
        <v>153</v>
      </c>
      <c r="AX46">
        <v>109.354</v>
      </c>
      <c r="AY46">
        <v>1.0833851741009131</v>
      </c>
      <c r="AZ46">
        <v>118.47250232863119</v>
      </c>
      <c r="BA46">
        <v>801.49</v>
      </c>
      <c r="BB46">
        <v>0.90500000000000003</v>
      </c>
      <c r="BC46">
        <v>85.933845931694037</v>
      </c>
      <c r="BD46">
        <v>1.0470999999999999</v>
      </c>
      <c r="BE46">
        <v>89.980999999999995</v>
      </c>
      <c r="BF46">
        <v>8.9176000000000002</v>
      </c>
      <c r="BG46">
        <v>0.77</v>
      </c>
      <c r="BH46">
        <v>5962.3807969390264</v>
      </c>
      <c r="BI46">
        <v>1</v>
      </c>
      <c r="BJ46">
        <v>5962.3807999999999</v>
      </c>
    </row>
    <row r="47" spans="1:62" x14ac:dyDescent="0.25">
      <c r="A47">
        <v>4740</v>
      </c>
      <c r="B47" t="s">
        <v>110</v>
      </c>
      <c r="C47">
        <v>2021</v>
      </c>
      <c r="D47">
        <v>1</v>
      </c>
      <c r="E47" t="s">
        <v>218</v>
      </c>
      <c r="F47" t="s">
        <v>251</v>
      </c>
      <c r="G47" t="s">
        <v>252</v>
      </c>
      <c r="H47" t="s">
        <v>17</v>
      </c>
      <c r="I47" t="s">
        <v>258</v>
      </c>
      <c r="J47" t="s">
        <v>247</v>
      </c>
      <c r="K47">
        <v>-729.29432581000003</v>
      </c>
      <c r="L47" t="s">
        <v>248</v>
      </c>
      <c r="M47" t="s">
        <v>235</v>
      </c>
      <c r="N47">
        <v>0.99209122360516</v>
      </c>
      <c r="O47">
        <v>723.52650000000006</v>
      </c>
      <c r="P47" t="s">
        <v>21</v>
      </c>
      <c r="Q47">
        <v>1</v>
      </c>
      <c r="W47">
        <v>1</v>
      </c>
      <c r="X47">
        <v>0</v>
      </c>
      <c r="AA47" t="s">
        <v>225</v>
      </c>
      <c r="AB47" t="s">
        <v>226</v>
      </c>
      <c r="AC47" t="s">
        <v>227</v>
      </c>
      <c r="AD47" t="s">
        <v>154</v>
      </c>
      <c r="AE47">
        <v>109.354</v>
      </c>
      <c r="AF47">
        <v>1.0727760310708341</v>
      </c>
      <c r="AG47">
        <v>117.31235010172</v>
      </c>
      <c r="AH47">
        <v>694.38</v>
      </c>
      <c r="AI47">
        <v>0.875</v>
      </c>
      <c r="AJ47">
        <v>71.276930955678296</v>
      </c>
      <c r="AK47">
        <v>1.0179</v>
      </c>
      <c r="AL47">
        <v>72.552999999999997</v>
      </c>
      <c r="AM47">
        <v>8.9176000000000002</v>
      </c>
      <c r="AN47">
        <v>9.5665875346772715</v>
      </c>
      <c r="AO47">
        <v>0.91300000000000003</v>
      </c>
      <c r="AP47">
        <v>6064.9193587765631</v>
      </c>
      <c r="AQ47">
        <v>0.98975009761811794</v>
      </c>
      <c r="AR47">
        <v>6002.7545</v>
      </c>
      <c r="AT47" t="s">
        <v>228</v>
      </c>
      <c r="AU47" t="s">
        <v>229</v>
      </c>
      <c r="AV47" t="s">
        <v>227</v>
      </c>
      <c r="AW47" t="s">
        <v>154</v>
      </c>
      <c r="AX47">
        <v>109.354</v>
      </c>
      <c r="AY47">
        <v>1.0833851741009131</v>
      </c>
      <c r="AZ47">
        <v>118.47250232863119</v>
      </c>
      <c r="BA47">
        <v>801.49</v>
      </c>
      <c r="BB47">
        <v>0.90500000000000003</v>
      </c>
      <c r="BC47">
        <v>85.933845931694037</v>
      </c>
      <c r="BD47">
        <v>0.99380000000000002</v>
      </c>
      <c r="BE47">
        <v>85.400999999999996</v>
      </c>
      <c r="BF47">
        <v>8.9176000000000002</v>
      </c>
      <c r="BG47">
        <v>0.77</v>
      </c>
      <c r="BH47">
        <v>5962.3807969390264</v>
      </c>
      <c r="BI47">
        <v>0.98418586489652482</v>
      </c>
      <c r="BJ47">
        <v>5868.0909000000001</v>
      </c>
    </row>
    <row r="48" spans="1:62" x14ac:dyDescent="0.25">
      <c r="A48">
        <v>4742</v>
      </c>
      <c r="B48" t="s">
        <v>110</v>
      </c>
      <c r="C48">
        <v>2021</v>
      </c>
      <c r="D48">
        <v>1</v>
      </c>
      <c r="E48" t="s">
        <v>218</v>
      </c>
      <c r="F48" t="s">
        <v>251</v>
      </c>
      <c r="G48" t="s">
        <v>252</v>
      </c>
      <c r="H48" t="s">
        <v>17</v>
      </c>
      <c r="I48" t="s">
        <v>258</v>
      </c>
      <c r="J48" t="s">
        <v>247</v>
      </c>
      <c r="K48">
        <v>-729.29432581000003</v>
      </c>
      <c r="L48" t="s">
        <v>248</v>
      </c>
      <c r="M48" t="s">
        <v>236</v>
      </c>
      <c r="N48">
        <v>4.7995598170700003E-3</v>
      </c>
      <c r="O48">
        <v>3.500292</v>
      </c>
      <c r="P48" t="s">
        <v>21</v>
      </c>
      <c r="Q48">
        <v>1</v>
      </c>
      <c r="W48">
        <v>1</v>
      </c>
      <c r="X48">
        <v>0</v>
      </c>
      <c r="AA48" t="s">
        <v>225</v>
      </c>
      <c r="AB48" t="s">
        <v>226</v>
      </c>
      <c r="AC48" t="s">
        <v>227</v>
      </c>
      <c r="AD48" t="s">
        <v>100</v>
      </c>
      <c r="AE48">
        <v>109.354</v>
      </c>
      <c r="AF48">
        <v>1.0727760310708341</v>
      </c>
      <c r="AG48">
        <v>117.31235010172</v>
      </c>
      <c r="AH48">
        <v>694.38</v>
      </c>
      <c r="AI48">
        <v>0.875</v>
      </c>
      <c r="AJ48">
        <v>71.276930955678296</v>
      </c>
      <c r="AK48">
        <v>0.96660000000000001</v>
      </c>
      <c r="AL48">
        <v>68.896000000000001</v>
      </c>
      <c r="AM48">
        <v>8.9176000000000002</v>
      </c>
      <c r="AN48">
        <v>9.5665875346772715</v>
      </c>
      <c r="AO48">
        <v>0.91300000000000003</v>
      </c>
      <c r="AP48">
        <v>6064.9193587765631</v>
      </c>
      <c r="AQ48">
        <v>0.98316430020283985</v>
      </c>
      <c r="AR48">
        <v>5962.8122000000003</v>
      </c>
      <c r="AT48" t="s">
        <v>228</v>
      </c>
      <c r="AU48" t="s">
        <v>229</v>
      </c>
      <c r="AV48" t="s">
        <v>227</v>
      </c>
      <c r="AW48" t="s">
        <v>100</v>
      </c>
      <c r="AX48">
        <v>109.354</v>
      </c>
      <c r="AY48">
        <v>1.0833851741009131</v>
      </c>
      <c r="AZ48">
        <v>118.47250232863119</v>
      </c>
      <c r="BA48">
        <v>801.49</v>
      </c>
      <c r="BB48">
        <v>0.90500000000000003</v>
      </c>
      <c r="BC48">
        <v>85.933845931694037</v>
      </c>
      <c r="BD48">
        <v>0.94550000000000001</v>
      </c>
      <c r="BE48">
        <v>81.25</v>
      </c>
      <c r="BF48">
        <v>8.9176000000000002</v>
      </c>
      <c r="BG48">
        <v>0.77</v>
      </c>
      <c r="BH48">
        <v>5962.3807969390264</v>
      </c>
      <c r="BI48">
        <v>1.0003042596348879</v>
      </c>
      <c r="BJ48">
        <v>5964.1949000000004</v>
      </c>
    </row>
    <row r="49" spans="1:62" x14ac:dyDescent="0.25">
      <c r="A49">
        <v>4744</v>
      </c>
      <c r="B49" t="s">
        <v>110</v>
      </c>
      <c r="C49">
        <v>2021</v>
      </c>
      <c r="D49">
        <v>1</v>
      </c>
      <c r="E49" t="s">
        <v>218</v>
      </c>
      <c r="F49" t="s">
        <v>251</v>
      </c>
      <c r="G49" t="s">
        <v>252</v>
      </c>
      <c r="H49" t="s">
        <v>17</v>
      </c>
      <c r="I49" t="s">
        <v>258</v>
      </c>
      <c r="J49" t="s">
        <v>247</v>
      </c>
      <c r="K49">
        <v>-729.29432581000003</v>
      </c>
      <c r="L49" t="s">
        <v>248</v>
      </c>
      <c r="M49" t="s">
        <v>237</v>
      </c>
      <c r="N49">
        <v>2.2580780904460002E-2</v>
      </c>
      <c r="O49">
        <v>16.468035</v>
      </c>
      <c r="P49" t="s">
        <v>21</v>
      </c>
      <c r="Q49">
        <v>1</v>
      </c>
      <c r="W49">
        <v>1</v>
      </c>
      <c r="X49">
        <v>0</v>
      </c>
      <c r="AA49" t="s">
        <v>225</v>
      </c>
      <c r="AB49" t="s">
        <v>226</v>
      </c>
      <c r="AC49" t="s">
        <v>227</v>
      </c>
      <c r="AD49" t="s">
        <v>101</v>
      </c>
      <c r="AE49">
        <v>109.354</v>
      </c>
      <c r="AF49">
        <v>1.0727760310708341</v>
      </c>
      <c r="AG49">
        <v>117.31235010172</v>
      </c>
      <c r="AH49">
        <v>694.38</v>
      </c>
      <c r="AI49">
        <v>0.875</v>
      </c>
      <c r="AJ49">
        <v>71.276930955678296</v>
      </c>
      <c r="AK49">
        <v>1.0077</v>
      </c>
      <c r="AL49">
        <v>71.825999999999993</v>
      </c>
      <c r="AM49">
        <v>8.9176000000000002</v>
      </c>
      <c r="AN49">
        <v>9.5665875346772715</v>
      </c>
      <c r="AO49">
        <v>0.91300000000000003</v>
      </c>
      <c r="AP49">
        <v>6064.9193587765631</v>
      </c>
      <c r="AQ49">
        <v>1.0255267423014589</v>
      </c>
      <c r="AR49">
        <v>6219.7370000000001</v>
      </c>
      <c r="AT49" t="s">
        <v>228</v>
      </c>
      <c r="AU49" t="s">
        <v>229</v>
      </c>
      <c r="AV49" t="s">
        <v>227</v>
      </c>
      <c r="AW49" t="s">
        <v>101</v>
      </c>
      <c r="AX49">
        <v>109.354</v>
      </c>
      <c r="AY49">
        <v>1.0833851741009131</v>
      </c>
      <c r="AZ49">
        <v>118.47250232863119</v>
      </c>
      <c r="BA49">
        <v>801.49</v>
      </c>
      <c r="BB49">
        <v>0.90500000000000003</v>
      </c>
      <c r="BC49">
        <v>85.933845931694037</v>
      </c>
      <c r="BD49">
        <v>1.0154000000000001</v>
      </c>
      <c r="BE49">
        <v>87.257000000000005</v>
      </c>
      <c r="BF49">
        <v>8.9176000000000002</v>
      </c>
      <c r="BG49">
        <v>0.77</v>
      </c>
      <c r="BH49">
        <v>5962.3807969390264</v>
      </c>
      <c r="BI49">
        <v>1.0150931928687199</v>
      </c>
      <c r="BJ49">
        <v>6052.3721999999998</v>
      </c>
    </row>
    <row r="50" spans="1:62" x14ac:dyDescent="0.25">
      <c r="A50">
        <v>1182</v>
      </c>
      <c r="B50" t="s">
        <v>110</v>
      </c>
      <c r="C50">
        <v>2021</v>
      </c>
      <c r="D50">
        <v>1</v>
      </c>
      <c r="E50" t="s">
        <v>218</v>
      </c>
      <c r="F50" t="s">
        <v>251</v>
      </c>
      <c r="G50" t="s">
        <v>252</v>
      </c>
      <c r="H50" t="s">
        <v>17</v>
      </c>
      <c r="I50" t="s">
        <v>259</v>
      </c>
      <c r="J50" t="s">
        <v>250</v>
      </c>
      <c r="K50">
        <v>-857.20040647999997</v>
      </c>
      <c r="L50" t="s">
        <v>250</v>
      </c>
      <c r="M50" t="s">
        <v>231</v>
      </c>
      <c r="N50">
        <v>4.9898993999990003E-2</v>
      </c>
      <c r="O50">
        <v>42.773437999999999</v>
      </c>
      <c r="P50" t="s">
        <v>21</v>
      </c>
      <c r="Q50">
        <v>1</v>
      </c>
      <c r="W50">
        <v>1</v>
      </c>
      <c r="X50">
        <v>0</v>
      </c>
      <c r="AA50" t="s">
        <v>225</v>
      </c>
      <c r="AB50" t="s">
        <v>226</v>
      </c>
      <c r="AC50" t="s">
        <v>227</v>
      </c>
      <c r="AD50" t="s">
        <v>100</v>
      </c>
      <c r="AE50">
        <v>109.354</v>
      </c>
      <c r="AF50">
        <v>1.0727760310708341</v>
      </c>
      <c r="AG50">
        <v>117.31235010172</v>
      </c>
      <c r="AH50">
        <v>694.38</v>
      </c>
      <c r="AI50">
        <v>0.875</v>
      </c>
      <c r="AJ50">
        <v>71.276930955678296</v>
      </c>
      <c r="AK50">
        <v>0.96660000000000001</v>
      </c>
      <c r="AL50">
        <v>68.896000000000001</v>
      </c>
      <c r="AM50">
        <v>8.9176000000000002</v>
      </c>
      <c r="AN50">
        <v>9.5665875346772715</v>
      </c>
      <c r="AO50">
        <v>0.91300000000000003</v>
      </c>
      <c r="AP50">
        <v>6064.9193587765631</v>
      </c>
      <c r="AQ50">
        <v>0.98316430020283985</v>
      </c>
      <c r="AR50">
        <v>5962.8122000000003</v>
      </c>
      <c r="AT50" t="s">
        <v>228</v>
      </c>
      <c r="AU50" t="s">
        <v>229</v>
      </c>
      <c r="AV50" t="s">
        <v>227</v>
      </c>
      <c r="AW50" t="s">
        <v>100</v>
      </c>
      <c r="AX50">
        <v>109.354</v>
      </c>
      <c r="AY50">
        <v>1.0833851741009131</v>
      </c>
      <c r="AZ50">
        <v>118.47250232863119</v>
      </c>
      <c r="BA50">
        <v>801.49</v>
      </c>
      <c r="BB50">
        <v>0.90500000000000003</v>
      </c>
      <c r="BC50">
        <v>85.933845931694037</v>
      </c>
      <c r="BD50">
        <v>0.94550000000000001</v>
      </c>
      <c r="BE50">
        <v>81.25</v>
      </c>
      <c r="BF50">
        <v>8.9176000000000002</v>
      </c>
      <c r="BG50">
        <v>0.77</v>
      </c>
      <c r="BH50">
        <v>5962.3807969390264</v>
      </c>
      <c r="BI50">
        <v>1.0003042596348879</v>
      </c>
      <c r="BJ50">
        <v>5964.1949000000004</v>
      </c>
    </row>
    <row r="51" spans="1:62" x14ac:dyDescent="0.25">
      <c r="A51">
        <v>1184</v>
      </c>
      <c r="B51" t="s">
        <v>110</v>
      </c>
      <c r="C51">
        <v>2021</v>
      </c>
      <c r="D51">
        <v>1</v>
      </c>
      <c r="E51" t="s">
        <v>218</v>
      </c>
      <c r="F51" t="s">
        <v>251</v>
      </c>
      <c r="G51" t="s">
        <v>252</v>
      </c>
      <c r="H51" t="s">
        <v>17</v>
      </c>
      <c r="I51" t="s">
        <v>259</v>
      </c>
      <c r="J51" t="s">
        <v>250</v>
      </c>
      <c r="K51">
        <v>-857.20040647999997</v>
      </c>
      <c r="L51" t="s">
        <v>250</v>
      </c>
      <c r="M51" t="s">
        <v>232</v>
      </c>
      <c r="N51">
        <v>0.97472100599996003</v>
      </c>
      <c r="O51">
        <v>835.53124300000002</v>
      </c>
      <c r="P51" t="s">
        <v>21</v>
      </c>
      <c r="Q51">
        <v>1</v>
      </c>
      <c r="W51">
        <v>1</v>
      </c>
      <c r="X51">
        <v>0</v>
      </c>
      <c r="AA51" t="s">
        <v>225</v>
      </c>
      <c r="AB51" t="s">
        <v>226</v>
      </c>
      <c r="AC51" t="s">
        <v>227</v>
      </c>
      <c r="AD51" t="s">
        <v>101</v>
      </c>
      <c r="AE51">
        <v>109.354</v>
      </c>
      <c r="AF51">
        <v>1.0727760310708341</v>
      </c>
      <c r="AG51">
        <v>117.31235010172</v>
      </c>
      <c r="AH51">
        <v>694.38</v>
      </c>
      <c r="AI51">
        <v>0.875</v>
      </c>
      <c r="AJ51">
        <v>71.276930955678296</v>
      </c>
      <c r="AK51">
        <v>1.0077</v>
      </c>
      <c r="AL51">
        <v>71.825999999999993</v>
      </c>
      <c r="AM51">
        <v>8.9176000000000002</v>
      </c>
      <c r="AN51">
        <v>9.5665875346772715</v>
      </c>
      <c r="AO51">
        <v>0.91300000000000003</v>
      </c>
      <c r="AP51">
        <v>6064.9193587765631</v>
      </c>
      <c r="AQ51">
        <v>1.0255267423014589</v>
      </c>
      <c r="AR51">
        <v>6219.7370000000001</v>
      </c>
      <c r="AT51" t="s">
        <v>228</v>
      </c>
      <c r="AU51" t="s">
        <v>229</v>
      </c>
      <c r="AV51" t="s">
        <v>227</v>
      </c>
      <c r="AW51" t="s">
        <v>101</v>
      </c>
      <c r="AX51">
        <v>109.354</v>
      </c>
      <c r="AY51">
        <v>1.0833851741009131</v>
      </c>
      <c r="AZ51">
        <v>118.47250232863119</v>
      </c>
      <c r="BA51">
        <v>801.49</v>
      </c>
      <c r="BB51">
        <v>0.90500000000000003</v>
      </c>
      <c r="BC51">
        <v>85.933845931694037</v>
      </c>
      <c r="BD51">
        <v>1.0154000000000001</v>
      </c>
      <c r="BE51">
        <v>87.257000000000005</v>
      </c>
      <c r="BF51">
        <v>8.9176000000000002</v>
      </c>
      <c r="BG51">
        <v>0.77</v>
      </c>
      <c r="BH51">
        <v>5962.3807969390264</v>
      </c>
      <c r="BI51">
        <v>1.0150931928687199</v>
      </c>
      <c r="BJ51">
        <v>6052.3721999999998</v>
      </c>
    </row>
    <row r="52" spans="1:62" x14ac:dyDescent="0.25">
      <c r="A52">
        <v>4746</v>
      </c>
      <c r="B52" t="s">
        <v>110</v>
      </c>
      <c r="C52">
        <v>2021</v>
      </c>
      <c r="D52">
        <v>1</v>
      </c>
      <c r="E52" t="s">
        <v>218</v>
      </c>
      <c r="F52" t="s">
        <v>260</v>
      </c>
      <c r="G52" t="s">
        <v>261</v>
      </c>
      <c r="H52" t="s">
        <v>17</v>
      </c>
      <c r="I52" t="s">
        <v>262</v>
      </c>
      <c r="J52" t="s">
        <v>222</v>
      </c>
      <c r="K52">
        <v>-189.43264973999999</v>
      </c>
      <c r="L52" t="s">
        <v>223</v>
      </c>
      <c r="M52" t="s">
        <v>224</v>
      </c>
      <c r="N52">
        <v>8.7524974586199993E-3</v>
      </c>
      <c r="O52">
        <v>1.6580090000000001</v>
      </c>
      <c r="P52" t="s">
        <v>21</v>
      </c>
      <c r="Q52">
        <v>1</v>
      </c>
      <c r="W52">
        <v>1</v>
      </c>
      <c r="X52">
        <v>0</v>
      </c>
      <c r="AA52" t="s">
        <v>225</v>
      </c>
      <c r="AB52" t="s">
        <v>226</v>
      </c>
      <c r="AC52" t="s">
        <v>227</v>
      </c>
      <c r="AD52" t="s">
        <v>153</v>
      </c>
      <c r="AE52">
        <v>109.354</v>
      </c>
      <c r="AF52">
        <v>1.0727760310708341</v>
      </c>
      <c r="AG52">
        <v>117.31235010172</v>
      </c>
      <c r="AH52">
        <v>694.38</v>
      </c>
      <c r="AI52">
        <v>0.875</v>
      </c>
      <c r="AJ52">
        <v>71.276930955678296</v>
      </c>
      <c r="AK52">
        <v>1.0034000000000001</v>
      </c>
      <c r="AL52">
        <v>71.519000000000005</v>
      </c>
      <c r="AM52">
        <v>8.9176000000000002</v>
      </c>
      <c r="AN52">
        <v>9.5665875346772715</v>
      </c>
      <c r="AO52">
        <v>0.91300000000000003</v>
      </c>
      <c r="AP52">
        <v>6064.9193587765631</v>
      </c>
      <c r="AQ52">
        <v>1</v>
      </c>
      <c r="AR52">
        <v>6064.9193999999998</v>
      </c>
      <c r="AT52" t="s">
        <v>228</v>
      </c>
      <c r="AU52" t="s">
        <v>229</v>
      </c>
      <c r="AV52" t="s">
        <v>227</v>
      </c>
      <c r="AW52" t="s">
        <v>153</v>
      </c>
      <c r="AX52">
        <v>109.354</v>
      </c>
      <c r="AY52">
        <v>1.0833851741009131</v>
      </c>
      <c r="AZ52">
        <v>118.47250232863119</v>
      </c>
      <c r="BA52">
        <v>801.49</v>
      </c>
      <c r="BB52">
        <v>0.90500000000000003</v>
      </c>
      <c r="BC52">
        <v>85.933845931694037</v>
      </c>
      <c r="BD52">
        <v>1.0470999999999999</v>
      </c>
      <c r="BE52">
        <v>89.980999999999995</v>
      </c>
      <c r="BF52">
        <v>8.9176000000000002</v>
      </c>
      <c r="BG52">
        <v>0.77</v>
      </c>
      <c r="BH52">
        <v>5962.3807969390264</v>
      </c>
      <c r="BI52">
        <v>1</v>
      </c>
      <c r="BJ52">
        <v>5962.3807999999999</v>
      </c>
    </row>
    <row r="53" spans="1:62" x14ac:dyDescent="0.25">
      <c r="A53">
        <v>4748</v>
      </c>
      <c r="B53" t="s">
        <v>110</v>
      </c>
      <c r="C53">
        <v>2021</v>
      </c>
      <c r="D53">
        <v>1</v>
      </c>
      <c r="E53" t="s">
        <v>218</v>
      </c>
      <c r="F53" t="s">
        <v>260</v>
      </c>
      <c r="G53" t="s">
        <v>261</v>
      </c>
      <c r="H53" t="s">
        <v>17</v>
      </c>
      <c r="I53" t="s">
        <v>262</v>
      </c>
      <c r="J53" t="s">
        <v>222</v>
      </c>
      <c r="K53">
        <v>-189.43264973999999</v>
      </c>
      <c r="L53" t="s">
        <v>223</v>
      </c>
      <c r="M53" t="s">
        <v>230</v>
      </c>
      <c r="N53">
        <v>0.16047331440265999</v>
      </c>
      <c r="O53">
        <v>30.398885</v>
      </c>
      <c r="P53" t="s">
        <v>21</v>
      </c>
      <c r="Q53">
        <v>1</v>
      </c>
      <c r="W53">
        <v>1</v>
      </c>
      <c r="X53">
        <v>0</v>
      </c>
      <c r="AA53" t="s">
        <v>225</v>
      </c>
      <c r="AB53" t="s">
        <v>226</v>
      </c>
      <c r="AC53" t="s">
        <v>227</v>
      </c>
      <c r="AD53" t="s">
        <v>154</v>
      </c>
      <c r="AE53">
        <v>109.354</v>
      </c>
      <c r="AF53">
        <v>1.0727760310708341</v>
      </c>
      <c r="AG53">
        <v>117.31235010172</v>
      </c>
      <c r="AH53">
        <v>694.38</v>
      </c>
      <c r="AI53">
        <v>0.875</v>
      </c>
      <c r="AJ53">
        <v>71.276930955678296</v>
      </c>
      <c r="AK53">
        <v>1.0179</v>
      </c>
      <c r="AL53">
        <v>72.552999999999997</v>
      </c>
      <c r="AM53">
        <v>8.9176000000000002</v>
      </c>
      <c r="AN53">
        <v>9.5665875346772715</v>
      </c>
      <c r="AO53">
        <v>0.91300000000000003</v>
      </c>
      <c r="AP53">
        <v>6064.9193587765631</v>
      </c>
      <c r="AQ53">
        <v>0.98975009761811794</v>
      </c>
      <c r="AR53">
        <v>6002.7545</v>
      </c>
      <c r="AT53" t="s">
        <v>228</v>
      </c>
      <c r="AU53" t="s">
        <v>229</v>
      </c>
      <c r="AV53" t="s">
        <v>227</v>
      </c>
      <c r="AW53" t="s">
        <v>154</v>
      </c>
      <c r="AX53">
        <v>109.354</v>
      </c>
      <c r="AY53">
        <v>1.0833851741009131</v>
      </c>
      <c r="AZ53">
        <v>118.47250232863119</v>
      </c>
      <c r="BA53">
        <v>801.49</v>
      </c>
      <c r="BB53">
        <v>0.90500000000000003</v>
      </c>
      <c r="BC53">
        <v>85.933845931694037</v>
      </c>
      <c r="BD53">
        <v>0.99380000000000002</v>
      </c>
      <c r="BE53">
        <v>85.400999999999996</v>
      </c>
      <c r="BF53">
        <v>8.9176000000000002</v>
      </c>
      <c r="BG53">
        <v>0.77</v>
      </c>
      <c r="BH53">
        <v>5962.3807969390264</v>
      </c>
      <c r="BI53">
        <v>0.98418586489652482</v>
      </c>
      <c r="BJ53">
        <v>5868.0909000000001</v>
      </c>
    </row>
    <row r="54" spans="1:62" x14ac:dyDescent="0.25">
      <c r="A54">
        <v>4750</v>
      </c>
      <c r="B54" t="s">
        <v>110</v>
      </c>
      <c r="C54">
        <v>2021</v>
      </c>
      <c r="D54">
        <v>1</v>
      </c>
      <c r="E54" t="s">
        <v>218</v>
      </c>
      <c r="F54" t="s">
        <v>260</v>
      </c>
      <c r="G54" t="s">
        <v>261</v>
      </c>
      <c r="H54" t="s">
        <v>17</v>
      </c>
      <c r="I54" t="s">
        <v>262</v>
      </c>
      <c r="J54" t="s">
        <v>222</v>
      </c>
      <c r="K54">
        <v>-189.43264973999999</v>
      </c>
      <c r="L54" t="s">
        <v>223</v>
      </c>
      <c r="M54" t="s">
        <v>231</v>
      </c>
      <c r="N54">
        <v>4.5018334813739999E-2</v>
      </c>
      <c r="O54">
        <v>8.5279419999999995</v>
      </c>
      <c r="P54" t="s">
        <v>21</v>
      </c>
      <c r="Q54">
        <v>1</v>
      </c>
      <c r="W54">
        <v>1</v>
      </c>
      <c r="X54">
        <v>0</v>
      </c>
      <c r="AA54" t="s">
        <v>225</v>
      </c>
      <c r="AB54" t="s">
        <v>226</v>
      </c>
      <c r="AC54" t="s">
        <v>227</v>
      </c>
      <c r="AD54" t="s">
        <v>100</v>
      </c>
      <c r="AE54">
        <v>109.354</v>
      </c>
      <c r="AF54">
        <v>1.0727760310708341</v>
      </c>
      <c r="AG54">
        <v>117.31235010172</v>
      </c>
      <c r="AH54">
        <v>694.38</v>
      </c>
      <c r="AI54">
        <v>0.875</v>
      </c>
      <c r="AJ54">
        <v>71.276930955678296</v>
      </c>
      <c r="AK54">
        <v>0.96660000000000001</v>
      </c>
      <c r="AL54">
        <v>68.896000000000001</v>
      </c>
      <c r="AM54">
        <v>8.9176000000000002</v>
      </c>
      <c r="AN54">
        <v>9.5665875346772715</v>
      </c>
      <c r="AO54">
        <v>0.91300000000000003</v>
      </c>
      <c r="AP54">
        <v>6064.9193587765631</v>
      </c>
      <c r="AQ54">
        <v>0.98316430020283985</v>
      </c>
      <c r="AR54">
        <v>5962.8122000000003</v>
      </c>
      <c r="AT54" t="s">
        <v>228</v>
      </c>
      <c r="AU54" t="s">
        <v>229</v>
      </c>
      <c r="AV54" t="s">
        <v>227</v>
      </c>
      <c r="AW54" t="s">
        <v>100</v>
      </c>
      <c r="AX54">
        <v>109.354</v>
      </c>
      <c r="AY54">
        <v>1.0833851741009131</v>
      </c>
      <c r="AZ54">
        <v>118.47250232863119</v>
      </c>
      <c r="BA54">
        <v>801.49</v>
      </c>
      <c r="BB54">
        <v>0.90500000000000003</v>
      </c>
      <c r="BC54">
        <v>85.933845931694037</v>
      </c>
      <c r="BD54">
        <v>0.94550000000000001</v>
      </c>
      <c r="BE54">
        <v>81.25</v>
      </c>
      <c r="BF54">
        <v>8.9176000000000002</v>
      </c>
      <c r="BG54">
        <v>0.77</v>
      </c>
      <c r="BH54">
        <v>5962.3807969390264</v>
      </c>
      <c r="BI54">
        <v>1.0003042596348879</v>
      </c>
      <c r="BJ54">
        <v>5964.1949000000004</v>
      </c>
    </row>
    <row r="55" spans="1:62" x14ac:dyDescent="0.25">
      <c r="A55">
        <v>4752</v>
      </c>
      <c r="B55" t="s">
        <v>110</v>
      </c>
      <c r="C55">
        <v>2021</v>
      </c>
      <c r="D55">
        <v>1</v>
      </c>
      <c r="E55" t="s">
        <v>218</v>
      </c>
      <c r="F55" t="s">
        <v>260</v>
      </c>
      <c r="G55" t="s">
        <v>261</v>
      </c>
      <c r="H55" t="s">
        <v>17</v>
      </c>
      <c r="I55" t="s">
        <v>262</v>
      </c>
      <c r="J55" t="s">
        <v>222</v>
      </c>
      <c r="K55">
        <v>-189.43264973999999</v>
      </c>
      <c r="L55" t="s">
        <v>223</v>
      </c>
      <c r="M55" t="s">
        <v>232</v>
      </c>
      <c r="N55">
        <v>0.87398007306502001</v>
      </c>
      <c r="O55">
        <v>165.560361</v>
      </c>
      <c r="P55" t="s">
        <v>21</v>
      </c>
      <c r="Q55">
        <v>1</v>
      </c>
      <c r="W55">
        <v>1</v>
      </c>
      <c r="X55">
        <v>0</v>
      </c>
      <c r="AA55" t="s">
        <v>225</v>
      </c>
      <c r="AB55" t="s">
        <v>226</v>
      </c>
      <c r="AC55" t="s">
        <v>227</v>
      </c>
      <c r="AD55" t="s">
        <v>101</v>
      </c>
      <c r="AE55">
        <v>109.354</v>
      </c>
      <c r="AF55">
        <v>1.0727760310708341</v>
      </c>
      <c r="AG55">
        <v>117.31235010172</v>
      </c>
      <c r="AH55">
        <v>694.38</v>
      </c>
      <c r="AI55">
        <v>0.875</v>
      </c>
      <c r="AJ55">
        <v>71.276930955678296</v>
      </c>
      <c r="AK55">
        <v>1.0077</v>
      </c>
      <c r="AL55">
        <v>71.825999999999993</v>
      </c>
      <c r="AM55">
        <v>8.9176000000000002</v>
      </c>
      <c r="AN55">
        <v>9.5665875346772715</v>
      </c>
      <c r="AO55">
        <v>0.91300000000000003</v>
      </c>
      <c r="AP55">
        <v>6064.9193587765631</v>
      </c>
      <c r="AQ55">
        <v>1.0255267423014589</v>
      </c>
      <c r="AR55">
        <v>6219.7370000000001</v>
      </c>
      <c r="AT55" t="s">
        <v>228</v>
      </c>
      <c r="AU55" t="s">
        <v>229</v>
      </c>
      <c r="AV55" t="s">
        <v>227</v>
      </c>
      <c r="AW55" t="s">
        <v>101</v>
      </c>
      <c r="AX55">
        <v>109.354</v>
      </c>
      <c r="AY55">
        <v>1.0833851741009131</v>
      </c>
      <c r="AZ55">
        <v>118.47250232863119</v>
      </c>
      <c r="BA55">
        <v>801.49</v>
      </c>
      <c r="BB55">
        <v>0.90500000000000003</v>
      </c>
      <c r="BC55">
        <v>85.933845931694037</v>
      </c>
      <c r="BD55">
        <v>1.0154000000000001</v>
      </c>
      <c r="BE55">
        <v>87.257000000000005</v>
      </c>
      <c r="BF55">
        <v>8.9176000000000002</v>
      </c>
      <c r="BG55">
        <v>0.77</v>
      </c>
      <c r="BH55">
        <v>5962.3807969390264</v>
      </c>
      <c r="BI55">
        <v>1.0150931928687199</v>
      </c>
      <c r="BJ55">
        <v>6052.3721999999998</v>
      </c>
    </row>
    <row r="56" spans="1:62" x14ac:dyDescent="0.25">
      <c r="A56">
        <v>2370</v>
      </c>
      <c r="B56" t="s">
        <v>110</v>
      </c>
      <c r="C56">
        <v>2021</v>
      </c>
      <c r="D56">
        <v>1</v>
      </c>
      <c r="E56" t="s">
        <v>218</v>
      </c>
      <c r="F56" t="s">
        <v>260</v>
      </c>
      <c r="G56" t="s">
        <v>261</v>
      </c>
      <c r="H56" t="s">
        <v>17</v>
      </c>
      <c r="I56" t="s">
        <v>263</v>
      </c>
      <c r="J56" t="s">
        <v>234</v>
      </c>
      <c r="K56">
        <v>-745.76699694000001</v>
      </c>
      <c r="L56" t="s">
        <v>234</v>
      </c>
      <c r="M56" t="s">
        <v>224</v>
      </c>
      <c r="N56">
        <v>8.5771088379299996E-3</v>
      </c>
      <c r="O56">
        <v>6.3965249999999996</v>
      </c>
      <c r="P56" t="s">
        <v>21</v>
      </c>
      <c r="Q56">
        <v>1</v>
      </c>
      <c r="W56">
        <v>1</v>
      </c>
      <c r="X56">
        <v>0</v>
      </c>
      <c r="AA56" t="s">
        <v>225</v>
      </c>
      <c r="AB56" t="s">
        <v>226</v>
      </c>
      <c r="AC56" t="s">
        <v>227</v>
      </c>
      <c r="AD56" t="s">
        <v>153</v>
      </c>
      <c r="AE56">
        <v>109.354</v>
      </c>
      <c r="AF56">
        <v>1.0727760310708341</v>
      </c>
      <c r="AG56">
        <v>117.31235010172</v>
      </c>
      <c r="AH56">
        <v>694.38</v>
      </c>
      <c r="AI56">
        <v>0.875</v>
      </c>
      <c r="AJ56">
        <v>71.276930955678296</v>
      </c>
      <c r="AK56">
        <v>1.0034000000000001</v>
      </c>
      <c r="AL56">
        <v>71.519000000000005</v>
      </c>
      <c r="AM56">
        <v>8.9176000000000002</v>
      </c>
      <c r="AN56">
        <v>9.5665875346772715</v>
      </c>
      <c r="AO56">
        <v>0.91300000000000003</v>
      </c>
      <c r="AP56">
        <v>6064.9193587765631</v>
      </c>
      <c r="AQ56">
        <v>1</v>
      </c>
      <c r="AR56">
        <v>6064.9193999999998</v>
      </c>
      <c r="AT56" t="s">
        <v>228</v>
      </c>
      <c r="AU56" t="s">
        <v>229</v>
      </c>
      <c r="AV56" t="s">
        <v>227</v>
      </c>
      <c r="AW56" t="s">
        <v>153</v>
      </c>
      <c r="AX56">
        <v>109.354</v>
      </c>
      <c r="AY56">
        <v>1.0833851741009131</v>
      </c>
      <c r="AZ56">
        <v>118.47250232863119</v>
      </c>
      <c r="BA56">
        <v>801.49</v>
      </c>
      <c r="BB56">
        <v>0.90500000000000003</v>
      </c>
      <c r="BC56">
        <v>85.933845931694037</v>
      </c>
      <c r="BD56">
        <v>1.0470999999999999</v>
      </c>
      <c r="BE56">
        <v>89.980999999999995</v>
      </c>
      <c r="BF56">
        <v>8.9176000000000002</v>
      </c>
      <c r="BG56">
        <v>0.77</v>
      </c>
      <c r="BH56">
        <v>5962.3807969390264</v>
      </c>
      <c r="BI56">
        <v>1</v>
      </c>
      <c r="BJ56">
        <v>5962.3807999999999</v>
      </c>
    </row>
    <row r="57" spans="1:62" x14ac:dyDescent="0.25">
      <c r="A57">
        <v>2372</v>
      </c>
      <c r="B57" t="s">
        <v>110</v>
      </c>
      <c r="C57">
        <v>2021</v>
      </c>
      <c r="D57">
        <v>1</v>
      </c>
      <c r="E57" t="s">
        <v>218</v>
      </c>
      <c r="F57" t="s">
        <v>260</v>
      </c>
      <c r="G57" t="s">
        <v>261</v>
      </c>
      <c r="H57" t="s">
        <v>17</v>
      </c>
      <c r="I57" t="s">
        <v>263</v>
      </c>
      <c r="J57" t="s">
        <v>234</v>
      </c>
      <c r="K57">
        <v>-745.76699694000001</v>
      </c>
      <c r="L57" t="s">
        <v>234</v>
      </c>
      <c r="M57" t="s">
        <v>235</v>
      </c>
      <c r="N57">
        <v>0.60124209651893001</v>
      </c>
      <c r="O57">
        <v>448.38651299999998</v>
      </c>
      <c r="P57" t="s">
        <v>21</v>
      </c>
      <c r="Q57">
        <v>1</v>
      </c>
      <c r="W57">
        <v>1</v>
      </c>
      <c r="X57">
        <v>0</v>
      </c>
      <c r="AA57" t="s">
        <v>225</v>
      </c>
      <c r="AB57" t="s">
        <v>226</v>
      </c>
      <c r="AC57" t="s">
        <v>227</v>
      </c>
      <c r="AD57" t="s">
        <v>154</v>
      </c>
      <c r="AE57">
        <v>109.354</v>
      </c>
      <c r="AF57">
        <v>1.0727760310708341</v>
      </c>
      <c r="AG57">
        <v>117.31235010172</v>
      </c>
      <c r="AH57">
        <v>694.38</v>
      </c>
      <c r="AI57">
        <v>0.875</v>
      </c>
      <c r="AJ57">
        <v>71.276930955678296</v>
      </c>
      <c r="AK57">
        <v>1.0179</v>
      </c>
      <c r="AL57">
        <v>72.552999999999997</v>
      </c>
      <c r="AM57">
        <v>8.9176000000000002</v>
      </c>
      <c r="AN57">
        <v>9.5665875346772715</v>
      </c>
      <c r="AO57">
        <v>0.91300000000000003</v>
      </c>
      <c r="AP57">
        <v>6064.9193587765631</v>
      </c>
      <c r="AQ57">
        <v>0.98975009761811794</v>
      </c>
      <c r="AR57">
        <v>6002.7545</v>
      </c>
      <c r="AT57" t="s">
        <v>228</v>
      </c>
      <c r="AU57" t="s">
        <v>229</v>
      </c>
      <c r="AV57" t="s">
        <v>227</v>
      </c>
      <c r="AW57" t="s">
        <v>154</v>
      </c>
      <c r="AX57">
        <v>109.354</v>
      </c>
      <c r="AY57">
        <v>1.0833851741009131</v>
      </c>
      <c r="AZ57">
        <v>118.47250232863119</v>
      </c>
      <c r="BA57">
        <v>801.49</v>
      </c>
      <c r="BB57">
        <v>0.90500000000000003</v>
      </c>
      <c r="BC57">
        <v>85.933845931694037</v>
      </c>
      <c r="BD57">
        <v>0.99380000000000002</v>
      </c>
      <c r="BE57">
        <v>85.400999999999996</v>
      </c>
      <c r="BF57">
        <v>8.9176000000000002</v>
      </c>
      <c r="BG57">
        <v>0.77</v>
      </c>
      <c r="BH57">
        <v>5962.3807969390264</v>
      </c>
      <c r="BI57">
        <v>0.98418586489652482</v>
      </c>
      <c r="BJ57">
        <v>5868.0909000000001</v>
      </c>
    </row>
    <row r="58" spans="1:62" x14ac:dyDescent="0.25">
      <c r="A58">
        <v>2374</v>
      </c>
      <c r="B58" t="s">
        <v>110</v>
      </c>
      <c r="C58">
        <v>2021</v>
      </c>
      <c r="D58">
        <v>1</v>
      </c>
      <c r="E58" t="s">
        <v>218</v>
      </c>
      <c r="F58" t="s">
        <v>260</v>
      </c>
      <c r="G58" t="s">
        <v>261</v>
      </c>
      <c r="H58" t="s">
        <v>17</v>
      </c>
      <c r="I58" t="s">
        <v>263</v>
      </c>
      <c r="J58" t="s">
        <v>234</v>
      </c>
      <c r="K58">
        <v>-745.76699694000001</v>
      </c>
      <c r="L58" t="s">
        <v>234</v>
      </c>
      <c r="M58" t="s">
        <v>236</v>
      </c>
      <c r="N58">
        <v>1.9808691721710001E-2</v>
      </c>
      <c r="O58">
        <v>14.772669</v>
      </c>
      <c r="P58" t="s">
        <v>21</v>
      </c>
      <c r="Q58">
        <v>1</v>
      </c>
      <c r="W58">
        <v>1</v>
      </c>
      <c r="X58">
        <v>0</v>
      </c>
      <c r="AA58" t="s">
        <v>225</v>
      </c>
      <c r="AB58" t="s">
        <v>226</v>
      </c>
      <c r="AC58" t="s">
        <v>227</v>
      </c>
      <c r="AD58" t="s">
        <v>100</v>
      </c>
      <c r="AE58">
        <v>109.354</v>
      </c>
      <c r="AF58">
        <v>1.0727760310708341</v>
      </c>
      <c r="AG58">
        <v>117.31235010172</v>
      </c>
      <c r="AH58">
        <v>694.38</v>
      </c>
      <c r="AI58">
        <v>0.875</v>
      </c>
      <c r="AJ58">
        <v>71.276930955678296</v>
      </c>
      <c r="AK58">
        <v>0.96660000000000001</v>
      </c>
      <c r="AL58">
        <v>68.896000000000001</v>
      </c>
      <c r="AM58">
        <v>8.9176000000000002</v>
      </c>
      <c r="AN58">
        <v>9.5665875346772715</v>
      </c>
      <c r="AO58">
        <v>0.91300000000000003</v>
      </c>
      <c r="AP58">
        <v>6064.9193587765631</v>
      </c>
      <c r="AQ58">
        <v>0.98316430020283985</v>
      </c>
      <c r="AR58">
        <v>5962.8122000000003</v>
      </c>
      <c r="AT58" t="s">
        <v>228</v>
      </c>
      <c r="AU58" t="s">
        <v>229</v>
      </c>
      <c r="AV58" t="s">
        <v>227</v>
      </c>
      <c r="AW58" t="s">
        <v>100</v>
      </c>
      <c r="AX58">
        <v>109.354</v>
      </c>
      <c r="AY58">
        <v>1.0833851741009131</v>
      </c>
      <c r="AZ58">
        <v>118.47250232863119</v>
      </c>
      <c r="BA58">
        <v>801.49</v>
      </c>
      <c r="BB58">
        <v>0.90500000000000003</v>
      </c>
      <c r="BC58">
        <v>85.933845931694037</v>
      </c>
      <c r="BD58">
        <v>0.94550000000000001</v>
      </c>
      <c r="BE58">
        <v>81.25</v>
      </c>
      <c r="BF58">
        <v>8.9176000000000002</v>
      </c>
      <c r="BG58">
        <v>0.77</v>
      </c>
      <c r="BH58">
        <v>5962.3807969390264</v>
      </c>
      <c r="BI58">
        <v>1.0003042596348879</v>
      </c>
      <c r="BJ58">
        <v>5964.1949000000004</v>
      </c>
    </row>
    <row r="59" spans="1:62" x14ac:dyDescent="0.25">
      <c r="A59">
        <v>2376</v>
      </c>
      <c r="B59" t="s">
        <v>110</v>
      </c>
      <c r="C59">
        <v>2021</v>
      </c>
      <c r="D59">
        <v>1</v>
      </c>
      <c r="E59" t="s">
        <v>218</v>
      </c>
      <c r="F59" t="s">
        <v>260</v>
      </c>
      <c r="G59" t="s">
        <v>261</v>
      </c>
      <c r="H59" t="s">
        <v>17</v>
      </c>
      <c r="I59" t="s">
        <v>263</v>
      </c>
      <c r="J59" t="s">
        <v>234</v>
      </c>
      <c r="K59">
        <v>-745.76699694000001</v>
      </c>
      <c r="L59" t="s">
        <v>234</v>
      </c>
      <c r="M59" t="s">
        <v>237</v>
      </c>
      <c r="N59">
        <v>0.39660634608572998</v>
      </c>
      <c r="O59">
        <v>295.77592399999997</v>
      </c>
      <c r="P59" t="s">
        <v>21</v>
      </c>
      <c r="Q59">
        <v>1</v>
      </c>
      <c r="W59">
        <v>1</v>
      </c>
      <c r="X59">
        <v>0</v>
      </c>
      <c r="AA59" t="s">
        <v>225</v>
      </c>
      <c r="AB59" t="s">
        <v>226</v>
      </c>
      <c r="AC59" t="s">
        <v>227</v>
      </c>
      <c r="AD59" t="s">
        <v>101</v>
      </c>
      <c r="AE59">
        <v>109.354</v>
      </c>
      <c r="AF59">
        <v>1.0727760310708341</v>
      </c>
      <c r="AG59">
        <v>117.31235010172</v>
      </c>
      <c r="AH59">
        <v>694.38</v>
      </c>
      <c r="AI59">
        <v>0.875</v>
      </c>
      <c r="AJ59">
        <v>71.276930955678296</v>
      </c>
      <c r="AK59">
        <v>1.0077</v>
      </c>
      <c r="AL59">
        <v>71.825999999999993</v>
      </c>
      <c r="AM59">
        <v>8.9176000000000002</v>
      </c>
      <c r="AN59">
        <v>9.5665875346772715</v>
      </c>
      <c r="AO59">
        <v>0.91300000000000003</v>
      </c>
      <c r="AP59">
        <v>6064.9193587765631</v>
      </c>
      <c r="AQ59">
        <v>1.0255267423014589</v>
      </c>
      <c r="AR59">
        <v>6219.7370000000001</v>
      </c>
      <c r="AT59" t="s">
        <v>228</v>
      </c>
      <c r="AU59" t="s">
        <v>229</v>
      </c>
      <c r="AV59" t="s">
        <v>227</v>
      </c>
      <c r="AW59" t="s">
        <v>101</v>
      </c>
      <c r="AX59">
        <v>109.354</v>
      </c>
      <c r="AY59">
        <v>1.0833851741009131</v>
      </c>
      <c r="AZ59">
        <v>118.47250232863119</v>
      </c>
      <c r="BA59">
        <v>801.49</v>
      </c>
      <c r="BB59">
        <v>0.90500000000000003</v>
      </c>
      <c r="BC59">
        <v>85.933845931694037</v>
      </c>
      <c r="BD59">
        <v>1.0154000000000001</v>
      </c>
      <c r="BE59">
        <v>87.257000000000005</v>
      </c>
      <c r="BF59">
        <v>8.9176000000000002</v>
      </c>
      <c r="BG59">
        <v>0.77</v>
      </c>
      <c r="BH59">
        <v>5962.3807969390264</v>
      </c>
      <c r="BI59">
        <v>1.0150931928687199</v>
      </c>
      <c r="BJ59">
        <v>6052.3721999999998</v>
      </c>
    </row>
    <row r="60" spans="1:62" x14ac:dyDescent="0.25">
      <c r="A60">
        <v>2370</v>
      </c>
      <c r="B60" t="s">
        <v>110</v>
      </c>
      <c r="C60">
        <v>2021</v>
      </c>
      <c r="D60">
        <v>1</v>
      </c>
      <c r="E60" t="s">
        <v>218</v>
      </c>
      <c r="F60" t="s">
        <v>260</v>
      </c>
      <c r="G60" t="s">
        <v>261</v>
      </c>
      <c r="H60" t="s">
        <v>17</v>
      </c>
      <c r="I60" t="s">
        <v>264</v>
      </c>
      <c r="J60" t="s">
        <v>239</v>
      </c>
      <c r="K60">
        <v>-138.81623006999999</v>
      </c>
      <c r="L60" t="s">
        <v>240</v>
      </c>
      <c r="M60" t="s">
        <v>224</v>
      </c>
      <c r="N60">
        <v>1.1109205873409999E-2</v>
      </c>
      <c r="O60">
        <v>1.542138</v>
      </c>
      <c r="P60" t="s">
        <v>21</v>
      </c>
      <c r="Q60">
        <v>1</v>
      </c>
      <c r="W60">
        <v>1</v>
      </c>
      <c r="X60">
        <v>0</v>
      </c>
      <c r="AA60" t="s">
        <v>225</v>
      </c>
      <c r="AB60" t="s">
        <v>226</v>
      </c>
      <c r="AC60" t="s">
        <v>227</v>
      </c>
      <c r="AD60" t="s">
        <v>153</v>
      </c>
      <c r="AE60">
        <v>109.354</v>
      </c>
      <c r="AF60">
        <v>1.0727760310708341</v>
      </c>
      <c r="AG60">
        <v>117.31235010172</v>
      </c>
      <c r="AH60">
        <v>694.38</v>
      </c>
      <c r="AI60">
        <v>0.875</v>
      </c>
      <c r="AJ60">
        <v>71.276930955678296</v>
      </c>
      <c r="AK60">
        <v>1.0034000000000001</v>
      </c>
      <c r="AL60">
        <v>71.519000000000005</v>
      </c>
      <c r="AM60">
        <v>8.9176000000000002</v>
      </c>
      <c r="AN60">
        <v>9.5665875346772715</v>
      </c>
      <c r="AO60">
        <v>0.91300000000000003</v>
      </c>
      <c r="AP60">
        <v>6064.9193587765631</v>
      </c>
      <c r="AQ60">
        <v>1</v>
      </c>
      <c r="AR60">
        <v>6064.9193999999998</v>
      </c>
      <c r="AT60" t="s">
        <v>228</v>
      </c>
      <c r="AU60" t="s">
        <v>229</v>
      </c>
      <c r="AV60" t="s">
        <v>227</v>
      </c>
      <c r="AW60" t="s">
        <v>153</v>
      </c>
      <c r="AX60">
        <v>109.354</v>
      </c>
      <c r="AY60">
        <v>1.0833851741009131</v>
      </c>
      <c r="AZ60">
        <v>118.47250232863119</v>
      </c>
      <c r="BA60">
        <v>801.49</v>
      </c>
      <c r="BB60">
        <v>0.90500000000000003</v>
      </c>
      <c r="BC60">
        <v>85.933845931694037</v>
      </c>
      <c r="BD60">
        <v>1.0470999999999999</v>
      </c>
      <c r="BE60">
        <v>89.980999999999995</v>
      </c>
      <c r="BF60">
        <v>8.9176000000000002</v>
      </c>
      <c r="BG60">
        <v>0.77</v>
      </c>
      <c r="BH60">
        <v>5962.3807969390264</v>
      </c>
      <c r="BI60">
        <v>1</v>
      </c>
      <c r="BJ60">
        <v>5962.3807999999999</v>
      </c>
    </row>
    <row r="61" spans="1:62" x14ac:dyDescent="0.25">
      <c r="A61">
        <v>2372</v>
      </c>
      <c r="B61" t="s">
        <v>110</v>
      </c>
      <c r="C61">
        <v>2021</v>
      </c>
      <c r="D61">
        <v>1</v>
      </c>
      <c r="E61" t="s">
        <v>218</v>
      </c>
      <c r="F61" t="s">
        <v>260</v>
      </c>
      <c r="G61" t="s">
        <v>261</v>
      </c>
      <c r="H61" t="s">
        <v>17</v>
      </c>
      <c r="I61" t="s">
        <v>264</v>
      </c>
      <c r="J61" t="s">
        <v>239</v>
      </c>
      <c r="K61">
        <v>-138.81623006999999</v>
      </c>
      <c r="L61" t="s">
        <v>240</v>
      </c>
      <c r="M61" t="s">
        <v>235</v>
      </c>
      <c r="N61">
        <v>0.58148407621825005</v>
      </c>
      <c r="O61">
        <v>80.719426999999996</v>
      </c>
      <c r="P61" t="s">
        <v>21</v>
      </c>
      <c r="Q61">
        <v>1</v>
      </c>
      <c r="W61">
        <v>1</v>
      </c>
      <c r="X61">
        <v>0</v>
      </c>
      <c r="AA61" t="s">
        <v>225</v>
      </c>
      <c r="AB61" t="s">
        <v>226</v>
      </c>
      <c r="AC61" t="s">
        <v>227</v>
      </c>
      <c r="AD61" t="s">
        <v>154</v>
      </c>
      <c r="AE61">
        <v>109.354</v>
      </c>
      <c r="AF61">
        <v>1.0727760310708341</v>
      </c>
      <c r="AG61">
        <v>117.31235010172</v>
      </c>
      <c r="AH61">
        <v>694.38</v>
      </c>
      <c r="AI61">
        <v>0.875</v>
      </c>
      <c r="AJ61">
        <v>71.276930955678296</v>
      </c>
      <c r="AK61">
        <v>1.0179</v>
      </c>
      <c r="AL61">
        <v>72.552999999999997</v>
      </c>
      <c r="AM61">
        <v>8.9176000000000002</v>
      </c>
      <c r="AN61">
        <v>9.5665875346772715</v>
      </c>
      <c r="AO61">
        <v>0.91300000000000003</v>
      </c>
      <c r="AP61">
        <v>6064.9193587765631</v>
      </c>
      <c r="AQ61">
        <v>0.98975009761811794</v>
      </c>
      <c r="AR61">
        <v>6002.7545</v>
      </c>
      <c r="AT61" t="s">
        <v>228</v>
      </c>
      <c r="AU61" t="s">
        <v>229</v>
      </c>
      <c r="AV61" t="s">
        <v>227</v>
      </c>
      <c r="AW61" t="s">
        <v>154</v>
      </c>
      <c r="AX61">
        <v>109.354</v>
      </c>
      <c r="AY61">
        <v>1.0833851741009131</v>
      </c>
      <c r="AZ61">
        <v>118.47250232863119</v>
      </c>
      <c r="BA61">
        <v>801.49</v>
      </c>
      <c r="BB61">
        <v>0.90500000000000003</v>
      </c>
      <c r="BC61">
        <v>85.933845931694037</v>
      </c>
      <c r="BD61">
        <v>0.99380000000000002</v>
      </c>
      <c r="BE61">
        <v>85.400999999999996</v>
      </c>
      <c r="BF61">
        <v>8.9176000000000002</v>
      </c>
      <c r="BG61">
        <v>0.77</v>
      </c>
      <c r="BH61">
        <v>5962.3807969390264</v>
      </c>
      <c r="BI61">
        <v>0.98418586489652482</v>
      </c>
      <c r="BJ61">
        <v>5868.0909000000001</v>
      </c>
    </row>
    <row r="62" spans="1:62" x14ac:dyDescent="0.25">
      <c r="A62">
        <v>2374</v>
      </c>
      <c r="B62" t="s">
        <v>110</v>
      </c>
      <c r="C62">
        <v>2021</v>
      </c>
      <c r="D62">
        <v>1</v>
      </c>
      <c r="E62" t="s">
        <v>218</v>
      </c>
      <c r="F62" t="s">
        <v>260</v>
      </c>
      <c r="G62" t="s">
        <v>261</v>
      </c>
      <c r="H62" t="s">
        <v>17</v>
      </c>
      <c r="I62" t="s">
        <v>264</v>
      </c>
      <c r="J62" t="s">
        <v>239</v>
      </c>
      <c r="K62">
        <v>-138.81623006999999</v>
      </c>
      <c r="L62" t="s">
        <v>240</v>
      </c>
      <c r="M62" t="s">
        <v>236</v>
      </c>
      <c r="N62">
        <v>1.8083569973560001E-2</v>
      </c>
      <c r="O62">
        <v>2.5102929999999999</v>
      </c>
      <c r="P62" t="s">
        <v>21</v>
      </c>
      <c r="Q62">
        <v>1</v>
      </c>
      <c r="W62">
        <v>1</v>
      </c>
      <c r="X62">
        <v>0</v>
      </c>
      <c r="AA62" t="s">
        <v>225</v>
      </c>
      <c r="AB62" t="s">
        <v>226</v>
      </c>
      <c r="AC62" t="s">
        <v>227</v>
      </c>
      <c r="AD62" t="s">
        <v>100</v>
      </c>
      <c r="AE62">
        <v>109.354</v>
      </c>
      <c r="AF62">
        <v>1.0727760310708341</v>
      </c>
      <c r="AG62">
        <v>117.31235010172</v>
      </c>
      <c r="AH62">
        <v>694.38</v>
      </c>
      <c r="AI62">
        <v>0.875</v>
      </c>
      <c r="AJ62">
        <v>71.276930955678296</v>
      </c>
      <c r="AK62">
        <v>0.96660000000000001</v>
      </c>
      <c r="AL62">
        <v>68.896000000000001</v>
      </c>
      <c r="AM62">
        <v>8.9176000000000002</v>
      </c>
      <c r="AN62">
        <v>9.5665875346772715</v>
      </c>
      <c r="AO62">
        <v>0.91300000000000003</v>
      </c>
      <c r="AP62">
        <v>6064.9193587765631</v>
      </c>
      <c r="AQ62">
        <v>0.98316430020283985</v>
      </c>
      <c r="AR62">
        <v>5962.8122000000003</v>
      </c>
      <c r="AT62" t="s">
        <v>228</v>
      </c>
      <c r="AU62" t="s">
        <v>229</v>
      </c>
      <c r="AV62" t="s">
        <v>227</v>
      </c>
      <c r="AW62" t="s">
        <v>100</v>
      </c>
      <c r="AX62">
        <v>109.354</v>
      </c>
      <c r="AY62">
        <v>1.0833851741009131</v>
      </c>
      <c r="AZ62">
        <v>118.47250232863119</v>
      </c>
      <c r="BA62">
        <v>801.49</v>
      </c>
      <c r="BB62">
        <v>0.90500000000000003</v>
      </c>
      <c r="BC62">
        <v>85.933845931694037</v>
      </c>
      <c r="BD62">
        <v>0.94550000000000001</v>
      </c>
      <c r="BE62">
        <v>81.25</v>
      </c>
      <c r="BF62">
        <v>8.9176000000000002</v>
      </c>
      <c r="BG62">
        <v>0.77</v>
      </c>
      <c r="BH62">
        <v>5962.3807969390264</v>
      </c>
      <c r="BI62">
        <v>1.0003042596348879</v>
      </c>
      <c r="BJ62">
        <v>5964.1949000000004</v>
      </c>
    </row>
    <row r="63" spans="1:62" x14ac:dyDescent="0.25">
      <c r="A63">
        <v>2376</v>
      </c>
      <c r="B63" t="s">
        <v>110</v>
      </c>
      <c r="C63">
        <v>2021</v>
      </c>
      <c r="D63">
        <v>1</v>
      </c>
      <c r="E63" t="s">
        <v>218</v>
      </c>
      <c r="F63" t="s">
        <v>260</v>
      </c>
      <c r="G63" t="s">
        <v>261</v>
      </c>
      <c r="H63" t="s">
        <v>17</v>
      </c>
      <c r="I63" t="s">
        <v>264</v>
      </c>
      <c r="J63" t="s">
        <v>239</v>
      </c>
      <c r="K63">
        <v>-138.81623006999999</v>
      </c>
      <c r="L63" t="s">
        <v>240</v>
      </c>
      <c r="M63" t="s">
        <v>237</v>
      </c>
      <c r="N63">
        <v>0.41680683696206</v>
      </c>
      <c r="O63">
        <v>57.859554000000003</v>
      </c>
      <c r="P63" t="s">
        <v>21</v>
      </c>
      <c r="Q63">
        <v>1</v>
      </c>
      <c r="W63">
        <v>1</v>
      </c>
      <c r="X63">
        <v>0</v>
      </c>
      <c r="AA63" t="s">
        <v>225</v>
      </c>
      <c r="AB63" t="s">
        <v>226</v>
      </c>
      <c r="AC63" t="s">
        <v>227</v>
      </c>
      <c r="AD63" t="s">
        <v>101</v>
      </c>
      <c r="AE63">
        <v>109.354</v>
      </c>
      <c r="AF63">
        <v>1.0727760310708341</v>
      </c>
      <c r="AG63">
        <v>117.31235010172</v>
      </c>
      <c r="AH63">
        <v>694.38</v>
      </c>
      <c r="AI63">
        <v>0.875</v>
      </c>
      <c r="AJ63">
        <v>71.276930955678296</v>
      </c>
      <c r="AK63">
        <v>1.0077</v>
      </c>
      <c r="AL63">
        <v>71.825999999999993</v>
      </c>
      <c r="AM63">
        <v>8.9176000000000002</v>
      </c>
      <c r="AN63">
        <v>9.5665875346772715</v>
      </c>
      <c r="AO63">
        <v>0.91300000000000003</v>
      </c>
      <c r="AP63">
        <v>6064.9193587765631</v>
      </c>
      <c r="AQ63">
        <v>1.0255267423014589</v>
      </c>
      <c r="AR63">
        <v>6219.7370000000001</v>
      </c>
      <c r="AT63" t="s">
        <v>228</v>
      </c>
      <c r="AU63" t="s">
        <v>229</v>
      </c>
      <c r="AV63" t="s">
        <v>227</v>
      </c>
      <c r="AW63" t="s">
        <v>101</v>
      </c>
      <c r="AX63">
        <v>109.354</v>
      </c>
      <c r="AY63">
        <v>1.0833851741009131</v>
      </c>
      <c r="AZ63">
        <v>118.47250232863119</v>
      </c>
      <c r="BA63">
        <v>801.49</v>
      </c>
      <c r="BB63">
        <v>0.90500000000000003</v>
      </c>
      <c r="BC63">
        <v>85.933845931694037</v>
      </c>
      <c r="BD63">
        <v>1.0154000000000001</v>
      </c>
      <c r="BE63">
        <v>87.257000000000005</v>
      </c>
      <c r="BF63">
        <v>8.9176000000000002</v>
      </c>
      <c r="BG63">
        <v>0.77</v>
      </c>
      <c r="BH63">
        <v>5962.3807969390264</v>
      </c>
      <c r="BI63">
        <v>1.0150931928687199</v>
      </c>
      <c r="BJ63">
        <v>6052.3721999999998</v>
      </c>
    </row>
    <row r="64" spans="1:62" x14ac:dyDescent="0.25">
      <c r="A64">
        <v>3560</v>
      </c>
      <c r="B64" t="s">
        <v>110</v>
      </c>
      <c r="C64">
        <v>2021</v>
      </c>
      <c r="D64">
        <v>1</v>
      </c>
      <c r="E64" t="s">
        <v>218</v>
      </c>
      <c r="F64" t="s">
        <v>260</v>
      </c>
      <c r="G64" t="s">
        <v>261</v>
      </c>
      <c r="H64" t="s">
        <v>17</v>
      </c>
      <c r="I64" t="s">
        <v>265</v>
      </c>
      <c r="J64" t="s">
        <v>242</v>
      </c>
      <c r="K64">
        <v>-53.678003590000003</v>
      </c>
      <c r="L64" t="s">
        <v>242</v>
      </c>
      <c r="M64" t="s">
        <v>235</v>
      </c>
      <c r="N64">
        <v>0.67001574769252004</v>
      </c>
      <c r="O64">
        <v>35.965108000000001</v>
      </c>
      <c r="P64" t="s">
        <v>21</v>
      </c>
      <c r="Q64">
        <v>1</v>
      </c>
      <c r="W64">
        <v>1</v>
      </c>
      <c r="X64">
        <v>0</v>
      </c>
      <c r="AA64" t="s">
        <v>225</v>
      </c>
      <c r="AB64" t="s">
        <v>226</v>
      </c>
      <c r="AC64" t="s">
        <v>227</v>
      </c>
      <c r="AD64" t="s">
        <v>154</v>
      </c>
      <c r="AE64">
        <v>109.354</v>
      </c>
      <c r="AF64">
        <v>1.0727760310708341</v>
      </c>
      <c r="AG64">
        <v>117.31235010172</v>
      </c>
      <c r="AH64">
        <v>694.38</v>
      </c>
      <c r="AI64">
        <v>0.875</v>
      </c>
      <c r="AJ64">
        <v>71.276930955678296</v>
      </c>
      <c r="AK64">
        <v>1.0179</v>
      </c>
      <c r="AL64">
        <v>72.552999999999997</v>
      </c>
      <c r="AM64">
        <v>8.9176000000000002</v>
      </c>
      <c r="AN64">
        <v>9.5665875346772715</v>
      </c>
      <c r="AO64">
        <v>0.91300000000000003</v>
      </c>
      <c r="AP64">
        <v>6064.9193587765631</v>
      </c>
      <c r="AQ64">
        <v>0.98975009761811794</v>
      </c>
      <c r="AR64">
        <v>6002.7545</v>
      </c>
      <c r="AT64" t="s">
        <v>228</v>
      </c>
      <c r="AU64" t="s">
        <v>229</v>
      </c>
      <c r="AV64" t="s">
        <v>227</v>
      </c>
      <c r="AW64" t="s">
        <v>154</v>
      </c>
      <c r="AX64">
        <v>109.354</v>
      </c>
      <c r="AY64">
        <v>1.0833851741009131</v>
      </c>
      <c r="AZ64">
        <v>118.47250232863119</v>
      </c>
      <c r="BA64">
        <v>801.49</v>
      </c>
      <c r="BB64">
        <v>0.90500000000000003</v>
      </c>
      <c r="BC64">
        <v>85.933845931694037</v>
      </c>
      <c r="BD64">
        <v>0.99380000000000002</v>
      </c>
      <c r="BE64">
        <v>85.400999999999996</v>
      </c>
      <c r="BF64">
        <v>8.9176000000000002</v>
      </c>
      <c r="BG64">
        <v>0.77</v>
      </c>
      <c r="BH64">
        <v>5962.3807969390264</v>
      </c>
      <c r="BI64">
        <v>0.98418586489652482</v>
      </c>
      <c r="BJ64">
        <v>5868.0909000000001</v>
      </c>
    </row>
    <row r="65" spans="1:62" x14ac:dyDescent="0.25">
      <c r="A65">
        <v>3562</v>
      </c>
      <c r="B65" t="s">
        <v>110</v>
      </c>
      <c r="C65">
        <v>2021</v>
      </c>
      <c r="D65">
        <v>1</v>
      </c>
      <c r="E65" t="s">
        <v>218</v>
      </c>
      <c r="F65" t="s">
        <v>260</v>
      </c>
      <c r="G65" t="s">
        <v>261</v>
      </c>
      <c r="H65" t="s">
        <v>17</v>
      </c>
      <c r="I65" t="s">
        <v>265</v>
      </c>
      <c r="J65" t="s">
        <v>242</v>
      </c>
      <c r="K65">
        <v>-53.678003590000003</v>
      </c>
      <c r="L65" t="s">
        <v>242</v>
      </c>
      <c r="M65" t="s">
        <v>236</v>
      </c>
      <c r="N65">
        <v>1.442552100634E-2</v>
      </c>
      <c r="O65">
        <v>0.77433300000000005</v>
      </c>
      <c r="P65" t="s">
        <v>21</v>
      </c>
      <c r="Q65">
        <v>1</v>
      </c>
      <c r="W65">
        <v>1</v>
      </c>
      <c r="X65">
        <v>0</v>
      </c>
      <c r="AA65" t="s">
        <v>225</v>
      </c>
      <c r="AB65" t="s">
        <v>226</v>
      </c>
      <c r="AC65" t="s">
        <v>227</v>
      </c>
      <c r="AD65" t="s">
        <v>100</v>
      </c>
      <c r="AE65">
        <v>109.354</v>
      </c>
      <c r="AF65">
        <v>1.0727760310708341</v>
      </c>
      <c r="AG65">
        <v>117.31235010172</v>
      </c>
      <c r="AH65">
        <v>694.38</v>
      </c>
      <c r="AI65">
        <v>0.875</v>
      </c>
      <c r="AJ65">
        <v>71.276930955678296</v>
      </c>
      <c r="AK65">
        <v>0.96660000000000001</v>
      </c>
      <c r="AL65">
        <v>68.896000000000001</v>
      </c>
      <c r="AM65">
        <v>8.9176000000000002</v>
      </c>
      <c r="AN65">
        <v>9.5665875346772715</v>
      </c>
      <c r="AO65">
        <v>0.91300000000000003</v>
      </c>
      <c r="AP65">
        <v>6064.9193587765631</v>
      </c>
      <c r="AQ65">
        <v>0.98316430020283985</v>
      </c>
      <c r="AR65">
        <v>5962.8122000000003</v>
      </c>
      <c r="AT65" t="s">
        <v>228</v>
      </c>
      <c r="AU65" t="s">
        <v>229</v>
      </c>
      <c r="AV65" t="s">
        <v>227</v>
      </c>
      <c r="AW65" t="s">
        <v>100</v>
      </c>
      <c r="AX65">
        <v>109.354</v>
      </c>
      <c r="AY65">
        <v>1.0833851741009131</v>
      </c>
      <c r="AZ65">
        <v>118.47250232863119</v>
      </c>
      <c r="BA65">
        <v>801.49</v>
      </c>
      <c r="BB65">
        <v>0.90500000000000003</v>
      </c>
      <c r="BC65">
        <v>85.933845931694037</v>
      </c>
      <c r="BD65">
        <v>0.94550000000000001</v>
      </c>
      <c r="BE65">
        <v>81.25</v>
      </c>
      <c r="BF65">
        <v>8.9176000000000002</v>
      </c>
      <c r="BG65">
        <v>0.77</v>
      </c>
      <c r="BH65">
        <v>5962.3807969390264</v>
      </c>
      <c r="BI65">
        <v>1.0003042596348879</v>
      </c>
      <c r="BJ65">
        <v>5964.1949000000004</v>
      </c>
    </row>
    <row r="66" spans="1:62" x14ac:dyDescent="0.25">
      <c r="A66">
        <v>3564</v>
      </c>
      <c r="B66" t="s">
        <v>110</v>
      </c>
      <c r="C66">
        <v>2021</v>
      </c>
      <c r="D66">
        <v>1</v>
      </c>
      <c r="E66" t="s">
        <v>218</v>
      </c>
      <c r="F66" t="s">
        <v>260</v>
      </c>
      <c r="G66" t="s">
        <v>261</v>
      </c>
      <c r="H66" t="s">
        <v>17</v>
      </c>
      <c r="I66" t="s">
        <v>265</v>
      </c>
      <c r="J66" t="s">
        <v>242</v>
      </c>
      <c r="K66">
        <v>-53.678003590000003</v>
      </c>
      <c r="L66" t="s">
        <v>242</v>
      </c>
      <c r="M66" t="s">
        <v>237</v>
      </c>
      <c r="N66">
        <v>0.37405093967954001</v>
      </c>
      <c r="O66">
        <v>20.078308</v>
      </c>
      <c r="P66" t="s">
        <v>21</v>
      </c>
      <c r="Q66">
        <v>1</v>
      </c>
      <c r="W66">
        <v>1</v>
      </c>
      <c r="X66">
        <v>0</v>
      </c>
      <c r="AA66" t="s">
        <v>225</v>
      </c>
      <c r="AB66" t="s">
        <v>226</v>
      </c>
      <c r="AC66" t="s">
        <v>227</v>
      </c>
      <c r="AD66" t="s">
        <v>101</v>
      </c>
      <c r="AE66">
        <v>109.354</v>
      </c>
      <c r="AF66">
        <v>1.0727760310708341</v>
      </c>
      <c r="AG66">
        <v>117.31235010172</v>
      </c>
      <c r="AH66">
        <v>694.38</v>
      </c>
      <c r="AI66">
        <v>0.875</v>
      </c>
      <c r="AJ66">
        <v>71.276930955678296</v>
      </c>
      <c r="AK66">
        <v>1.0077</v>
      </c>
      <c r="AL66">
        <v>71.825999999999993</v>
      </c>
      <c r="AM66">
        <v>8.9176000000000002</v>
      </c>
      <c r="AN66">
        <v>9.5665875346772715</v>
      </c>
      <c r="AO66">
        <v>0.91300000000000003</v>
      </c>
      <c r="AP66">
        <v>6064.9193587765631</v>
      </c>
      <c r="AQ66">
        <v>1.0255267423014589</v>
      </c>
      <c r="AR66">
        <v>6219.7370000000001</v>
      </c>
      <c r="AT66" t="s">
        <v>228</v>
      </c>
      <c r="AU66" t="s">
        <v>229</v>
      </c>
      <c r="AV66" t="s">
        <v>227</v>
      </c>
      <c r="AW66" t="s">
        <v>101</v>
      </c>
      <c r="AX66">
        <v>109.354</v>
      </c>
      <c r="AY66">
        <v>1.0833851741009131</v>
      </c>
      <c r="AZ66">
        <v>118.47250232863119</v>
      </c>
      <c r="BA66">
        <v>801.49</v>
      </c>
      <c r="BB66">
        <v>0.90500000000000003</v>
      </c>
      <c r="BC66">
        <v>85.933845931694037</v>
      </c>
      <c r="BD66">
        <v>1.0154000000000001</v>
      </c>
      <c r="BE66">
        <v>87.257000000000005</v>
      </c>
      <c r="BF66">
        <v>8.9176000000000002</v>
      </c>
      <c r="BG66">
        <v>0.77</v>
      </c>
      <c r="BH66">
        <v>5962.3807969390264</v>
      </c>
      <c r="BI66">
        <v>1.0150931928687199</v>
      </c>
      <c r="BJ66">
        <v>6052.3721999999998</v>
      </c>
    </row>
    <row r="67" spans="1:62" x14ac:dyDescent="0.25">
      <c r="A67">
        <v>2370</v>
      </c>
      <c r="B67" t="s">
        <v>110</v>
      </c>
      <c r="C67">
        <v>2021</v>
      </c>
      <c r="D67">
        <v>1</v>
      </c>
      <c r="E67" t="s">
        <v>218</v>
      </c>
      <c r="F67" t="s">
        <v>260</v>
      </c>
      <c r="G67" t="s">
        <v>261</v>
      </c>
      <c r="H67" t="s">
        <v>17</v>
      </c>
      <c r="I67" t="s">
        <v>266</v>
      </c>
      <c r="J67" t="s">
        <v>244</v>
      </c>
      <c r="K67">
        <v>-150.64432187</v>
      </c>
      <c r="L67" t="s">
        <v>245</v>
      </c>
      <c r="M67" t="s">
        <v>224</v>
      </c>
      <c r="N67">
        <v>1.1026262910890001E-2</v>
      </c>
      <c r="O67">
        <v>1.661044</v>
      </c>
      <c r="P67" t="s">
        <v>21</v>
      </c>
      <c r="Q67">
        <v>1</v>
      </c>
      <c r="W67">
        <v>1</v>
      </c>
      <c r="X67">
        <v>0</v>
      </c>
      <c r="AA67" t="s">
        <v>225</v>
      </c>
      <c r="AB67" t="s">
        <v>226</v>
      </c>
      <c r="AC67" t="s">
        <v>227</v>
      </c>
      <c r="AD67" t="s">
        <v>153</v>
      </c>
      <c r="AE67">
        <v>109.354</v>
      </c>
      <c r="AF67">
        <v>1.0727760310708341</v>
      </c>
      <c r="AG67">
        <v>117.31235010172</v>
      </c>
      <c r="AH67">
        <v>694.38</v>
      </c>
      <c r="AI67">
        <v>0.875</v>
      </c>
      <c r="AJ67">
        <v>71.276930955678296</v>
      </c>
      <c r="AK67">
        <v>1.0034000000000001</v>
      </c>
      <c r="AL67">
        <v>71.519000000000005</v>
      </c>
      <c r="AM67">
        <v>8.9176000000000002</v>
      </c>
      <c r="AN67">
        <v>9.5665875346772715</v>
      </c>
      <c r="AO67">
        <v>0.91300000000000003</v>
      </c>
      <c r="AP67">
        <v>6064.9193587765631</v>
      </c>
      <c r="AQ67">
        <v>1</v>
      </c>
      <c r="AR67">
        <v>6064.9193999999998</v>
      </c>
      <c r="AT67" t="s">
        <v>228</v>
      </c>
      <c r="AU67" t="s">
        <v>229</v>
      </c>
      <c r="AV67" t="s">
        <v>227</v>
      </c>
      <c r="AW67" t="s">
        <v>153</v>
      </c>
      <c r="AX67">
        <v>109.354</v>
      </c>
      <c r="AY67">
        <v>1.0833851741009131</v>
      </c>
      <c r="AZ67">
        <v>118.47250232863119</v>
      </c>
      <c r="BA67">
        <v>801.49</v>
      </c>
      <c r="BB67">
        <v>0.90500000000000003</v>
      </c>
      <c r="BC67">
        <v>85.933845931694037</v>
      </c>
      <c r="BD67">
        <v>1.0470999999999999</v>
      </c>
      <c r="BE67">
        <v>89.980999999999995</v>
      </c>
      <c r="BF67">
        <v>8.9176000000000002</v>
      </c>
      <c r="BG67">
        <v>0.77</v>
      </c>
      <c r="BH67">
        <v>5962.3807969390264</v>
      </c>
      <c r="BI67">
        <v>1</v>
      </c>
      <c r="BJ67">
        <v>5962.3807999999999</v>
      </c>
    </row>
    <row r="68" spans="1:62" x14ac:dyDescent="0.25">
      <c r="A68">
        <v>2372</v>
      </c>
      <c r="B68" t="s">
        <v>110</v>
      </c>
      <c r="C68">
        <v>2021</v>
      </c>
      <c r="D68">
        <v>1</v>
      </c>
      <c r="E68" t="s">
        <v>218</v>
      </c>
      <c r="F68" t="s">
        <v>260</v>
      </c>
      <c r="G68" t="s">
        <v>261</v>
      </c>
      <c r="H68" t="s">
        <v>17</v>
      </c>
      <c r="I68" t="s">
        <v>266</v>
      </c>
      <c r="J68" t="s">
        <v>244</v>
      </c>
      <c r="K68">
        <v>-150.64432187</v>
      </c>
      <c r="L68" t="s">
        <v>245</v>
      </c>
      <c r="M68" t="s">
        <v>235</v>
      </c>
      <c r="N68">
        <v>0.60074557881113</v>
      </c>
      <c r="O68">
        <v>90.498909999999995</v>
      </c>
      <c r="P68" t="s">
        <v>21</v>
      </c>
      <c r="Q68">
        <v>1</v>
      </c>
      <c r="W68">
        <v>1</v>
      </c>
      <c r="X68">
        <v>0</v>
      </c>
      <c r="AA68" t="s">
        <v>225</v>
      </c>
      <c r="AB68" t="s">
        <v>226</v>
      </c>
      <c r="AC68" t="s">
        <v>227</v>
      </c>
      <c r="AD68" t="s">
        <v>154</v>
      </c>
      <c r="AE68">
        <v>109.354</v>
      </c>
      <c r="AF68">
        <v>1.0727760310708341</v>
      </c>
      <c r="AG68">
        <v>117.31235010172</v>
      </c>
      <c r="AH68">
        <v>694.38</v>
      </c>
      <c r="AI68">
        <v>0.875</v>
      </c>
      <c r="AJ68">
        <v>71.276930955678296</v>
      </c>
      <c r="AK68">
        <v>1.0179</v>
      </c>
      <c r="AL68">
        <v>72.552999999999997</v>
      </c>
      <c r="AM68">
        <v>8.9176000000000002</v>
      </c>
      <c r="AN68">
        <v>9.5665875346772715</v>
      </c>
      <c r="AO68">
        <v>0.91300000000000003</v>
      </c>
      <c r="AP68">
        <v>6064.9193587765631</v>
      </c>
      <c r="AQ68">
        <v>0.98975009761811794</v>
      </c>
      <c r="AR68">
        <v>6002.7545</v>
      </c>
      <c r="AT68" t="s">
        <v>228</v>
      </c>
      <c r="AU68" t="s">
        <v>229</v>
      </c>
      <c r="AV68" t="s">
        <v>227</v>
      </c>
      <c r="AW68" t="s">
        <v>154</v>
      </c>
      <c r="AX68">
        <v>109.354</v>
      </c>
      <c r="AY68">
        <v>1.0833851741009131</v>
      </c>
      <c r="AZ68">
        <v>118.47250232863119</v>
      </c>
      <c r="BA68">
        <v>801.49</v>
      </c>
      <c r="BB68">
        <v>0.90500000000000003</v>
      </c>
      <c r="BC68">
        <v>85.933845931694037</v>
      </c>
      <c r="BD68">
        <v>0.99380000000000002</v>
      </c>
      <c r="BE68">
        <v>85.400999999999996</v>
      </c>
      <c r="BF68">
        <v>8.9176000000000002</v>
      </c>
      <c r="BG68">
        <v>0.77</v>
      </c>
      <c r="BH68">
        <v>5962.3807969390264</v>
      </c>
      <c r="BI68">
        <v>0.98418586489652482</v>
      </c>
      <c r="BJ68">
        <v>5868.0909000000001</v>
      </c>
    </row>
    <row r="69" spans="1:62" x14ac:dyDescent="0.25">
      <c r="A69">
        <v>2374</v>
      </c>
      <c r="B69" t="s">
        <v>110</v>
      </c>
      <c r="C69">
        <v>2021</v>
      </c>
      <c r="D69">
        <v>1</v>
      </c>
      <c r="E69" t="s">
        <v>218</v>
      </c>
      <c r="F69" t="s">
        <v>260</v>
      </c>
      <c r="G69" t="s">
        <v>261</v>
      </c>
      <c r="H69" t="s">
        <v>17</v>
      </c>
      <c r="I69" t="s">
        <v>266</v>
      </c>
      <c r="J69" t="s">
        <v>244</v>
      </c>
      <c r="K69">
        <v>-150.64432187</v>
      </c>
      <c r="L69" t="s">
        <v>245</v>
      </c>
      <c r="M69" t="s">
        <v>236</v>
      </c>
      <c r="N69">
        <v>1.775192921592E-2</v>
      </c>
      <c r="O69">
        <v>2.6742270000000001</v>
      </c>
      <c r="P69" t="s">
        <v>21</v>
      </c>
      <c r="Q69">
        <v>1</v>
      </c>
      <c r="W69">
        <v>1</v>
      </c>
      <c r="X69">
        <v>0</v>
      </c>
      <c r="AA69" t="s">
        <v>225</v>
      </c>
      <c r="AB69" t="s">
        <v>226</v>
      </c>
      <c r="AC69" t="s">
        <v>227</v>
      </c>
      <c r="AD69" t="s">
        <v>100</v>
      </c>
      <c r="AE69">
        <v>109.354</v>
      </c>
      <c r="AF69">
        <v>1.0727760310708341</v>
      </c>
      <c r="AG69">
        <v>117.31235010172</v>
      </c>
      <c r="AH69">
        <v>694.38</v>
      </c>
      <c r="AI69">
        <v>0.875</v>
      </c>
      <c r="AJ69">
        <v>71.276930955678296</v>
      </c>
      <c r="AK69">
        <v>0.96660000000000001</v>
      </c>
      <c r="AL69">
        <v>68.896000000000001</v>
      </c>
      <c r="AM69">
        <v>8.9176000000000002</v>
      </c>
      <c r="AN69">
        <v>9.5665875346772715</v>
      </c>
      <c r="AO69">
        <v>0.91300000000000003</v>
      </c>
      <c r="AP69">
        <v>6064.9193587765631</v>
      </c>
      <c r="AQ69">
        <v>0.98316430020283985</v>
      </c>
      <c r="AR69">
        <v>5962.8122000000003</v>
      </c>
      <c r="AT69" t="s">
        <v>228</v>
      </c>
      <c r="AU69" t="s">
        <v>229</v>
      </c>
      <c r="AV69" t="s">
        <v>227</v>
      </c>
      <c r="AW69" t="s">
        <v>100</v>
      </c>
      <c r="AX69">
        <v>109.354</v>
      </c>
      <c r="AY69">
        <v>1.0833851741009131</v>
      </c>
      <c r="AZ69">
        <v>118.47250232863119</v>
      </c>
      <c r="BA69">
        <v>801.49</v>
      </c>
      <c r="BB69">
        <v>0.90500000000000003</v>
      </c>
      <c r="BC69">
        <v>85.933845931694037</v>
      </c>
      <c r="BD69">
        <v>0.94550000000000001</v>
      </c>
      <c r="BE69">
        <v>81.25</v>
      </c>
      <c r="BF69">
        <v>8.9176000000000002</v>
      </c>
      <c r="BG69">
        <v>0.77</v>
      </c>
      <c r="BH69">
        <v>5962.3807969390264</v>
      </c>
      <c r="BI69">
        <v>1.0003042596348879</v>
      </c>
      <c r="BJ69">
        <v>5964.1949000000004</v>
      </c>
    </row>
    <row r="70" spans="1:62" x14ac:dyDescent="0.25">
      <c r="A70">
        <v>2376</v>
      </c>
      <c r="B70" t="s">
        <v>110</v>
      </c>
      <c r="C70">
        <v>2021</v>
      </c>
      <c r="D70">
        <v>1</v>
      </c>
      <c r="E70" t="s">
        <v>218</v>
      </c>
      <c r="F70" t="s">
        <v>260</v>
      </c>
      <c r="G70" t="s">
        <v>261</v>
      </c>
      <c r="H70" t="s">
        <v>17</v>
      </c>
      <c r="I70" t="s">
        <v>266</v>
      </c>
      <c r="J70" t="s">
        <v>244</v>
      </c>
      <c r="K70">
        <v>-150.64432187</v>
      </c>
      <c r="L70" t="s">
        <v>245</v>
      </c>
      <c r="M70" t="s">
        <v>237</v>
      </c>
      <c r="N70">
        <v>0.39766766032624001</v>
      </c>
      <c r="O70">
        <v>59.906374999999997</v>
      </c>
      <c r="P70" t="s">
        <v>21</v>
      </c>
      <c r="Q70">
        <v>1</v>
      </c>
      <c r="W70">
        <v>1</v>
      </c>
      <c r="X70">
        <v>0</v>
      </c>
      <c r="AA70" t="s">
        <v>225</v>
      </c>
      <c r="AB70" t="s">
        <v>226</v>
      </c>
      <c r="AC70" t="s">
        <v>227</v>
      </c>
      <c r="AD70" t="s">
        <v>101</v>
      </c>
      <c r="AE70">
        <v>109.354</v>
      </c>
      <c r="AF70">
        <v>1.0727760310708341</v>
      </c>
      <c r="AG70">
        <v>117.31235010172</v>
      </c>
      <c r="AH70">
        <v>694.38</v>
      </c>
      <c r="AI70">
        <v>0.875</v>
      </c>
      <c r="AJ70">
        <v>71.276930955678296</v>
      </c>
      <c r="AK70">
        <v>1.0077</v>
      </c>
      <c r="AL70">
        <v>71.825999999999993</v>
      </c>
      <c r="AM70">
        <v>8.9176000000000002</v>
      </c>
      <c r="AN70">
        <v>9.5665875346772715</v>
      </c>
      <c r="AO70">
        <v>0.91300000000000003</v>
      </c>
      <c r="AP70">
        <v>6064.9193587765631</v>
      </c>
      <c r="AQ70">
        <v>1.0255267423014589</v>
      </c>
      <c r="AR70">
        <v>6219.7370000000001</v>
      </c>
      <c r="AT70" t="s">
        <v>228</v>
      </c>
      <c r="AU70" t="s">
        <v>229</v>
      </c>
      <c r="AV70" t="s">
        <v>227</v>
      </c>
      <c r="AW70" t="s">
        <v>101</v>
      </c>
      <c r="AX70">
        <v>109.354</v>
      </c>
      <c r="AY70">
        <v>1.0833851741009131</v>
      </c>
      <c r="AZ70">
        <v>118.47250232863119</v>
      </c>
      <c r="BA70">
        <v>801.49</v>
      </c>
      <c r="BB70">
        <v>0.90500000000000003</v>
      </c>
      <c r="BC70">
        <v>85.933845931694037</v>
      </c>
      <c r="BD70">
        <v>1.0154000000000001</v>
      </c>
      <c r="BE70">
        <v>87.257000000000005</v>
      </c>
      <c r="BF70">
        <v>8.9176000000000002</v>
      </c>
      <c r="BG70">
        <v>0.77</v>
      </c>
      <c r="BH70">
        <v>5962.3807969390264</v>
      </c>
      <c r="BI70">
        <v>1.0150931928687199</v>
      </c>
      <c r="BJ70">
        <v>6052.3721999999998</v>
      </c>
    </row>
    <row r="71" spans="1:62" x14ac:dyDescent="0.25">
      <c r="A71">
        <v>4746</v>
      </c>
      <c r="B71" t="s">
        <v>110</v>
      </c>
      <c r="C71">
        <v>2021</v>
      </c>
      <c r="D71">
        <v>1</v>
      </c>
      <c r="E71" t="s">
        <v>218</v>
      </c>
      <c r="F71" t="s">
        <v>260</v>
      </c>
      <c r="G71" t="s">
        <v>261</v>
      </c>
      <c r="H71" t="s">
        <v>17</v>
      </c>
      <c r="I71" t="s">
        <v>267</v>
      </c>
      <c r="J71" t="s">
        <v>247</v>
      </c>
      <c r="K71">
        <v>-457.94948291999998</v>
      </c>
      <c r="L71" t="s">
        <v>248</v>
      </c>
      <c r="M71" t="s">
        <v>224</v>
      </c>
      <c r="N71">
        <v>4.9724862092599999E-3</v>
      </c>
      <c r="O71">
        <v>2.2771469999999998</v>
      </c>
      <c r="P71" t="s">
        <v>21</v>
      </c>
      <c r="Q71">
        <v>1</v>
      </c>
      <c r="W71">
        <v>1</v>
      </c>
      <c r="X71">
        <v>0</v>
      </c>
      <c r="AA71" t="s">
        <v>225</v>
      </c>
      <c r="AB71" t="s">
        <v>226</v>
      </c>
      <c r="AC71" t="s">
        <v>227</v>
      </c>
      <c r="AD71" t="s">
        <v>153</v>
      </c>
      <c r="AE71">
        <v>109.354</v>
      </c>
      <c r="AF71">
        <v>1.0727760310708341</v>
      </c>
      <c r="AG71">
        <v>117.31235010172</v>
      </c>
      <c r="AH71">
        <v>694.38</v>
      </c>
      <c r="AI71">
        <v>0.875</v>
      </c>
      <c r="AJ71">
        <v>71.276930955678296</v>
      </c>
      <c r="AK71">
        <v>1.0034000000000001</v>
      </c>
      <c r="AL71">
        <v>71.519000000000005</v>
      </c>
      <c r="AM71">
        <v>8.9176000000000002</v>
      </c>
      <c r="AN71">
        <v>9.5665875346772715</v>
      </c>
      <c r="AO71">
        <v>0.91300000000000003</v>
      </c>
      <c r="AP71">
        <v>6064.9193587765631</v>
      </c>
      <c r="AQ71">
        <v>1</v>
      </c>
      <c r="AR71">
        <v>6064.9193999999998</v>
      </c>
      <c r="AT71" t="s">
        <v>228</v>
      </c>
      <c r="AU71" t="s">
        <v>229</v>
      </c>
      <c r="AV71" t="s">
        <v>227</v>
      </c>
      <c r="AW71" t="s">
        <v>153</v>
      </c>
      <c r="AX71">
        <v>109.354</v>
      </c>
      <c r="AY71">
        <v>1.0833851741009131</v>
      </c>
      <c r="AZ71">
        <v>118.47250232863119</v>
      </c>
      <c r="BA71">
        <v>801.49</v>
      </c>
      <c r="BB71">
        <v>0.90500000000000003</v>
      </c>
      <c r="BC71">
        <v>85.933845931694037</v>
      </c>
      <c r="BD71">
        <v>1.0470999999999999</v>
      </c>
      <c r="BE71">
        <v>89.980999999999995</v>
      </c>
      <c r="BF71">
        <v>8.9176000000000002</v>
      </c>
      <c r="BG71">
        <v>0.77</v>
      </c>
      <c r="BH71">
        <v>5962.3807969390264</v>
      </c>
      <c r="BI71">
        <v>1</v>
      </c>
      <c r="BJ71">
        <v>5962.3807999999999</v>
      </c>
    </row>
    <row r="72" spans="1:62" x14ac:dyDescent="0.25">
      <c r="A72">
        <v>4748</v>
      </c>
      <c r="B72" t="s">
        <v>110</v>
      </c>
      <c r="C72">
        <v>2021</v>
      </c>
      <c r="D72">
        <v>1</v>
      </c>
      <c r="E72" t="s">
        <v>218</v>
      </c>
      <c r="F72" t="s">
        <v>260</v>
      </c>
      <c r="G72" t="s">
        <v>261</v>
      </c>
      <c r="H72" t="s">
        <v>17</v>
      </c>
      <c r="I72" t="s">
        <v>267</v>
      </c>
      <c r="J72" t="s">
        <v>247</v>
      </c>
      <c r="K72">
        <v>-457.94948291999998</v>
      </c>
      <c r="L72" t="s">
        <v>248</v>
      </c>
      <c r="M72" t="s">
        <v>235</v>
      </c>
      <c r="N72">
        <v>0.99209122360516</v>
      </c>
      <c r="O72">
        <v>454.32766299999997</v>
      </c>
      <c r="P72" t="s">
        <v>21</v>
      </c>
      <c r="Q72">
        <v>1</v>
      </c>
      <c r="W72">
        <v>1</v>
      </c>
      <c r="X72">
        <v>0</v>
      </c>
      <c r="AA72" t="s">
        <v>225</v>
      </c>
      <c r="AB72" t="s">
        <v>226</v>
      </c>
      <c r="AC72" t="s">
        <v>227</v>
      </c>
      <c r="AD72" t="s">
        <v>154</v>
      </c>
      <c r="AE72">
        <v>109.354</v>
      </c>
      <c r="AF72">
        <v>1.0727760310708341</v>
      </c>
      <c r="AG72">
        <v>117.31235010172</v>
      </c>
      <c r="AH72">
        <v>694.38</v>
      </c>
      <c r="AI72">
        <v>0.875</v>
      </c>
      <c r="AJ72">
        <v>71.276930955678296</v>
      </c>
      <c r="AK72">
        <v>1.0179</v>
      </c>
      <c r="AL72">
        <v>72.552999999999997</v>
      </c>
      <c r="AM72">
        <v>8.9176000000000002</v>
      </c>
      <c r="AN72">
        <v>9.5665875346772715</v>
      </c>
      <c r="AO72">
        <v>0.91300000000000003</v>
      </c>
      <c r="AP72">
        <v>6064.9193587765631</v>
      </c>
      <c r="AQ72">
        <v>0.98975009761811794</v>
      </c>
      <c r="AR72">
        <v>6002.7545</v>
      </c>
      <c r="AT72" t="s">
        <v>228</v>
      </c>
      <c r="AU72" t="s">
        <v>229</v>
      </c>
      <c r="AV72" t="s">
        <v>227</v>
      </c>
      <c r="AW72" t="s">
        <v>154</v>
      </c>
      <c r="AX72">
        <v>109.354</v>
      </c>
      <c r="AY72">
        <v>1.0833851741009131</v>
      </c>
      <c r="AZ72">
        <v>118.47250232863119</v>
      </c>
      <c r="BA72">
        <v>801.49</v>
      </c>
      <c r="BB72">
        <v>0.90500000000000003</v>
      </c>
      <c r="BC72">
        <v>85.933845931694037</v>
      </c>
      <c r="BD72">
        <v>0.99380000000000002</v>
      </c>
      <c r="BE72">
        <v>85.400999999999996</v>
      </c>
      <c r="BF72">
        <v>8.9176000000000002</v>
      </c>
      <c r="BG72">
        <v>0.77</v>
      </c>
      <c r="BH72">
        <v>5962.3807969390264</v>
      </c>
      <c r="BI72">
        <v>0.98418586489652482</v>
      </c>
      <c r="BJ72">
        <v>5868.0909000000001</v>
      </c>
    </row>
    <row r="73" spans="1:62" x14ac:dyDescent="0.25">
      <c r="A73">
        <v>4750</v>
      </c>
      <c r="B73" t="s">
        <v>110</v>
      </c>
      <c r="C73">
        <v>2021</v>
      </c>
      <c r="D73">
        <v>1</v>
      </c>
      <c r="E73" t="s">
        <v>218</v>
      </c>
      <c r="F73" t="s">
        <v>260</v>
      </c>
      <c r="G73" t="s">
        <v>261</v>
      </c>
      <c r="H73" t="s">
        <v>17</v>
      </c>
      <c r="I73" t="s">
        <v>267</v>
      </c>
      <c r="J73" t="s">
        <v>247</v>
      </c>
      <c r="K73">
        <v>-457.94948291999998</v>
      </c>
      <c r="L73" t="s">
        <v>248</v>
      </c>
      <c r="M73" t="s">
        <v>236</v>
      </c>
      <c r="N73">
        <v>4.7995598170700003E-3</v>
      </c>
      <c r="O73">
        <v>2.197956</v>
      </c>
      <c r="P73" t="s">
        <v>21</v>
      </c>
      <c r="Q73">
        <v>1</v>
      </c>
      <c r="W73">
        <v>1</v>
      </c>
      <c r="X73">
        <v>0</v>
      </c>
      <c r="AA73" t="s">
        <v>225</v>
      </c>
      <c r="AB73" t="s">
        <v>226</v>
      </c>
      <c r="AC73" t="s">
        <v>227</v>
      </c>
      <c r="AD73" t="s">
        <v>100</v>
      </c>
      <c r="AE73">
        <v>109.354</v>
      </c>
      <c r="AF73">
        <v>1.0727760310708341</v>
      </c>
      <c r="AG73">
        <v>117.31235010172</v>
      </c>
      <c r="AH73">
        <v>694.38</v>
      </c>
      <c r="AI73">
        <v>0.875</v>
      </c>
      <c r="AJ73">
        <v>71.276930955678296</v>
      </c>
      <c r="AK73">
        <v>0.96660000000000001</v>
      </c>
      <c r="AL73">
        <v>68.896000000000001</v>
      </c>
      <c r="AM73">
        <v>8.9176000000000002</v>
      </c>
      <c r="AN73">
        <v>9.5665875346772715</v>
      </c>
      <c r="AO73">
        <v>0.91300000000000003</v>
      </c>
      <c r="AP73">
        <v>6064.9193587765631</v>
      </c>
      <c r="AQ73">
        <v>0.98316430020283985</v>
      </c>
      <c r="AR73">
        <v>5962.8122000000003</v>
      </c>
      <c r="AT73" t="s">
        <v>228</v>
      </c>
      <c r="AU73" t="s">
        <v>229</v>
      </c>
      <c r="AV73" t="s">
        <v>227</v>
      </c>
      <c r="AW73" t="s">
        <v>100</v>
      </c>
      <c r="AX73">
        <v>109.354</v>
      </c>
      <c r="AY73">
        <v>1.0833851741009131</v>
      </c>
      <c r="AZ73">
        <v>118.47250232863119</v>
      </c>
      <c r="BA73">
        <v>801.49</v>
      </c>
      <c r="BB73">
        <v>0.90500000000000003</v>
      </c>
      <c r="BC73">
        <v>85.933845931694037</v>
      </c>
      <c r="BD73">
        <v>0.94550000000000001</v>
      </c>
      <c r="BE73">
        <v>81.25</v>
      </c>
      <c r="BF73">
        <v>8.9176000000000002</v>
      </c>
      <c r="BG73">
        <v>0.77</v>
      </c>
      <c r="BH73">
        <v>5962.3807969390264</v>
      </c>
      <c r="BI73">
        <v>1.0003042596348879</v>
      </c>
      <c r="BJ73">
        <v>5964.1949000000004</v>
      </c>
    </row>
    <row r="74" spans="1:62" x14ac:dyDescent="0.25">
      <c r="A74">
        <v>4752</v>
      </c>
      <c r="B74" t="s">
        <v>110</v>
      </c>
      <c r="C74">
        <v>2021</v>
      </c>
      <c r="D74">
        <v>1</v>
      </c>
      <c r="E74" t="s">
        <v>218</v>
      </c>
      <c r="F74" t="s">
        <v>260</v>
      </c>
      <c r="G74" t="s">
        <v>261</v>
      </c>
      <c r="H74" t="s">
        <v>17</v>
      </c>
      <c r="I74" t="s">
        <v>267</v>
      </c>
      <c r="J74" t="s">
        <v>247</v>
      </c>
      <c r="K74">
        <v>-457.94948291999998</v>
      </c>
      <c r="L74" t="s">
        <v>248</v>
      </c>
      <c r="M74" t="s">
        <v>237</v>
      </c>
      <c r="N74">
        <v>2.2580780904460002E-2</v>
      </c>
      <c r="O74">
        <v>10.340857</v>
      </c>
      <c r="P74" t="s">
        <v>21</v>
      </c>
      <c r="Q74">
        <v>1</v>
      </c>
      <c r="W74">
        <v>1</v>
      </c>
      <c r="X74">
        <v>0</v>
      </c>
      <c r="AA74" t="s">
        <v>225</v>
      </c>
      <c r="AB74" t="s">
        <v>226</v>
      </c>
      <c r="AC74" t="s">
        <v>227</v>
      </c>
      <c r="AD74" t="s">
        <v>101</v>
      </c>
      <c r="AE74">
        <v>109.354</v>
      </c>
      <c r="AF74">
        <v>1.0727760310708341</v>
      </c>
      <c r="AG74">
        <v>117.31235010172</v>
      </c>
      <c r="AH74">
        <v>694.38</v>
      </c>
      <c r="AI74">
        <v>0.875</v>
      </c>
      <c r="AJ74">
        <v>71.276930955678296</v>
      </c>
      <c r="AK74">
        <v>1.0077</v>
      </c>
      <c r="AL74">
        <v>71.825999999999993</v>
      </c>
      <c r="AM74">
        <v>8.9176000000000002</v>
      </c>
      <c r="AN74">
        <v>9.5665875346772715</v>
      </c>
      <c r="AO74">
        <v>0.91300000000000003</v>
      </c>
      <c r="AP74">
        <v>6064.9193587765631</v>
      </c>
      <c r="AQ74">
        <v>1.0255267423014589</v>
      </c>
      <c r="AR74">
        <v>6219.7370000000001</v>
      </c>
      <c r="AT74" t="s">
        <v>228</v>
      </c>
      <c r="AU74" t="s">
        <v>229</v>
      </c>
      <c r="AV74" t="s">
        <v>227</v>
      </c>
      <c r="AW74" t="s">
        <v>101</v>
      </c>
      <c r="AX74">
        <v>109.354</v>
      </c>
      <c r="AY74">
        <v>1.0833851741009131</v>
      </c>
      <c r="AZ74">
        <v>118.47250232863119</v>
      </c>
      <c r="BA74">
        <v>801.49</v>
      </c>
      <c r="BB74">
        <v>0.90500000000000003</v>
      </c>
      <c r="BC74">
        <v>85.933845931694037</v>
      </c>
      <c r="BD74">
        <v>1.0154000000000001</v>
      </c>
      <c r="BE74">
        <v>87.257000000000005</v>
      </c>
      <c r="BF74">
        <v>8.9176000000000002</v>
      </c>
      <c r="BG74">
        <v>0.77</v>
      </c>
      <c r="BH74">
        <v>5962.3807969390264</v>
      </c>
      <c r="BI74">
        <v>1.0150931928687199</v>
      </c>
      <c r="BJ74">
        <v>6052.3721999999998</v>
      </c>
    </row>
    <row r="75" spans="1:62" x14ac:dyDescent="0.25">
      <c r="A75">
        <v>1186</v>
      </c>
      <c r="B75" t="s">
        <v>110</v>
      </c>
      <c r="C75">
        <v>2021</v>
      </c>
      <c r="D75">
        <v>1</v>
      </c>
      <c r="E75" t="s">
        <v>218</v>
      </c>
      <c r="F75" t="s">
        <v>260</v>
      </c>
      <c r="G75" t="s">
        <v>261</v>
      </c>
      <c r="H75" t="s">
        <v>17</v>
      </c>
      <c r="I75" t="s">
        <v>268</v>
      </c>
      <c r="J75" t="s">
        <v>250</v>
      </c>
      <c r="K75">
        <v>-529.53040662000001</v>
      </c>
      <c r="L75" t="s">
        <v>250</v>
      </c>
      <c r="M75" t="s">
        <v>231</v>
      </c>
      <c r="N75">
        <v>4.9898993999990003E-2</v>
      </c>
      <c r="O75">
        <v>26.423034999999999</v>
      </c>
      <c r="P75" t="s">
        <v>21</v>
      </c>
      <c r="Q75">
        <v>1</v>
      </c>
      <c r="W75">
        <v>1</v>
      </c>
      <c r="X75">
        <v>0</v>
      </c>
      <c r="AA75" t="s">
        <v>225</v>
      </c>
      <c r="AB75" t="s">
        <v>226</v>
      </c>
      <c r="AC75" t="s">
        <v>227</v>
      </c>
      <c r="AD75" t="s">
        <v>100</v>
      </c>
      <c r="AE75">
        <v>109.354</v>
      </c>
      <c r="AF75">
        <v>1.0727760310708341</v>
      </c>
      <c r="AG75">
        <v>117.31235010172</v>
      </c>
      <c r="AH75">
        <v>694.38</v>
      </c>
      <c r="AI75">
        <v>0.875</v>
      </c>
      <c r="AJ75">
        <v>71.276930955678296</v>
      </c>
      <c r="AK75">
        <v>0.96660000000000001</v>
      </c>
      <c r="AL75">
        <v>68.896000000000001</v>
      </c>
      <c r="AM75">
        <v>8.9176000000000002</v>
      </c>
      <c r="AN75">
        <v>9.5665875346772715</v>
      </c>
      <c r="AO75">
        <v>0.91300000000000003</v>
      </c>
      <c r="AP75">
        <v>6064.9193587765631</v>
      </c>
      <c r="AQ75">
        <v>0.98316430020283985</v>
      </c>
      <c r="AR75">
        <v>5962.8122000000003</v>
      </c>
      <c r="AT75" t="s">
        <v>228</v>
      </c>
      <c r="AU75" t="s">
        <v>229</v>
      </c>
      <c r="AV75" t="s">
        <v>227</v>
      </c>
      <c r="AW75" t="s">
        <v>100</v>
      </c>
      <c r="AX75">
        <v>109.354</v>
      </c>
      <c r="AY75">
        <v>1.0833851741009131</v>
      </c>
      <c r="AZ75">
        <v>118.47250232863119</v>
      </c>
      <c r="BA75">
        <v>801.49</v>
      </c>
      <c r="BB75">
        <v>0.90500000000000003</v>
      </c>
      <c r="BC75">
        <v>85.933845931694037</v>
      </c>
      <c r="BD75">
        <v>0.94550000000000001</v>
      </c>
      <c r="BE75">
        <v>81.25</v>
      </c>
      <c r="BF75">
        <v>8.9176000000000002</v>
      </c>
      <c r="BG75">
        <v>0.77</v>
      </c>
      <c r="BH75">
        <v>5962.3807969390264</v>
      </c>
      <c r="BI75">
        <v>1.0003042596348879</v>
      </c>
      <c r="BJ75">
        <v>5964.1949000000004</v>
      </c>
    </row>
    <row r="76" spans="1:62" x14ac:dyDescent="0.25">
      <c r="A76">
        <v>1188</v>
      </c>
      <c r="B76" t="s">
        <v>110</v>
      </c>
      <c r="C76">
        <v>2021</v>
      </c>
      <c r="D76">
        <v>1</v>
      </c>
      <c r="E76" t="s">
        <v>218</v>
      </c>
      <c r="F76" t="s">
        <v>260</v>
      </c>
      <c r="G76" t="s">
        <v>261</v>
      </c>
      <c r="H76" t="s">
        <v>17</v>
      </c>
      <c r="I76" t="s">
        <v>268</v>
      </c>
      <c r="J76" t="s">
        <v>250</v>
      </c>
      <c r="K76">
        <v>-529.53040662000001</v>
      </c>
      <c r="L76" t="s">
        <v>250</v>
      </c>
      <c r="M76" t="s">
        <v>232</v>
      </c>
      <c r="N76">
        <v>0.97472100599996003</v>
      </c>
      <c r="O76">
        <v>516.14441099999999</v>
      </c>
      <c r="P76" t="s">
        <v>21</v>
      </c>
      <c r="Q76">
        <v>1</v>
      </c>
      <c r="W76">
        <v>1</v>
      </c>
      <c r="X76">
        <v>0</v>
      </c>
      <c r="AA76" t="s">
        <v>225</v>
      </c>
      <c r="AB76" t="s">
        <v>226</v>
      </c>
      <c r="AC76" t="s">
        <v>227</v>
      </c>
      <c r="AD76" t="s">
        <v>101</v>
      </c>
      <c r="AE76">
        <v>109.354</v>
      </c>
      <c r="AF76">
        <v>1.0727760310708341</v>
      </c>
      <c r="AG76">
        <v>117.31235010172</v>
      </c>
      <c r="AH76">
        <v>694.38</v>
      </c>
      <c r="AI76">
        <v>0.875</v>
      </c>
      <c r="AJ76">
        <v>71.276930955678296</v>
      </c>
      <c r="AK76">
        <v>1.0077</v>
      </c>
      <c r="AL76">
        <v>71.825999999999993</v>
      </c>
      <c r="AM76">
        <v>8.9176000000000002</v>
      </c>
      <c r="AN76">
        <v>9.5665875346772715</v>
      </c>
      <c r="AO76">
        <v>0.91300000000000003</v>
      </c>
      <c r="AP76">
        <v>6064.9193587765631</v>
      </c>
      <c r="AQ76">
        <v>1.0255267423014589</v>
      </c>
      <c r="AR76">
        <v>6219.7370000000001</v>
      </c>
      <c r="AT76" t="s">
        <v>228</v>
      </c>
      <c r="AU76" t="s">
        <v>229</v>
      </c>
      <c r="AV76" t="s">
        <v>227</v>
      </c>
      <c r="AW76" t="s">
        <v>101</v>
      </c>
      <c r="AX76">
        <v>109.354</v>
      </c>
      <c r="AY76">
        <v>1.0833851741009131</v>
      </c>
      <c r="AZ76">
        <v>118.47250232863119</v>
      </c>
      <c r="BA76">
        <v>801.49</v>
      </c>
      <c r="BB76">
        <v>0.90500000000000003</v>
      </c>
      <c r="BC76">
        <v>85.933845931694037</v>
      </c>
      <c r="BD76">
        <v>1.0154000000000001</v>
      </c>
      <c r="BE76">
        <v>87.257000000000005</v>
      </c>
      <c r="BF76">
        <v>8.9176000000000002</v>
      </c>
      <c r="BG76">
        <v>0.77</v>
      </c>
      <c r="BH76">
        <v>5962.3807969390264</v>
      </c>
      <c r="BI76">
        <v>1.0150931928687199</v>
      </c>
      <c r="BJ76">
        <v>6052.3721999999998</v>
      </c>
    </row>
    <row r="77" spans="1:62" x14ac:dyDescent="0.25">
      <c r="A77">
        <v>4842</v>
      </c>
      <c r="B77" t="s">
        <v>114</v>
      </c>
      <c r="C77">
        <v>2021</v>
      </c>
      <c r="D77">
        <v>1</v>
      </c>
      <c r="E77" t="s">
        <v>218</v>
      </c>
      <c r="F77" t="s">
        <v>219</v>
      </c>
      <c r="G77" t="s">
        <v>220</v>
      </c>
      <c r="H77" t="s">
        <v>17</v>
      </c>
      <c r="I77" t="s">
        <v>221</v>
      </c>
      <c r="J77" t="s">
        <v>222</v>
      </c>
      <c r="K77">
        <v>-382.2566903</v>
      </c>
      <c r="L77" t="s">
        <v>223</v>
      </c>
      <c r="M77" t="s">
        <v>224</v>
      </c>
      <c r="N77">
        <v>8.7524974586199993E-3</v>
      </c>
      <c r="O77">
        <v>3.345701</v>
      </c>
      <c r="P77" t="s">
        <v>21</v>
      </c>
      <c r="Q77">
        <v>1</v>
      </c>
      <c r="W77">
        <v>1</v>
      </c>
      <c r="X77">
        <v>0</v>
      </c>
      <c r="AA77" t="s">
        <v>225</v>
      </c>
      <c r="AB77" t="s">
        <v>226</v>
      </c>
      <c r="AC77" t="s">
        <v>227</v>
      </c>
      <c r="AD77" t="s">
        <v>153</v>
      </c>
      <c r="AE77">
        <v>109.354</v>
      </c>
      <c r="AF77">
        <v>1.0727760310708341</v>
      </c>
      <c r="AG77">
        <v>117.31235010172</v>
      </c>
      <c r="AH77">
        <v>694.38</v>
      </c>
      <c r="AI77">
        <v>0.875</v>
      </c>
      <c r="AJ77">
        <v>71.276930955678296</v>
      </c>
      <c r="AK77">
        <v>1.0034000000000001</v>
      </c>
      <c r="AL77">
        <v>71.519000000000005</v>
      </c>
      <c r="AM77">
        <v>8.9176000000000002</v>
      </c>
      <c r="AN77">
        <v>9.5665875346772715</v>
      </c>
      <c r="AO77">
        <v>0.91300000000000003</v>
      </c>
      <c r="AP77">
        <v>6064.9193587765631</v>
      </c>
      <c r="AQ77">
        <v>1</v>
      </c>
      <c r="AR77">
        <v>6064.9193999999998</v>
      </c>
      <c r="AT77" t="s">
        <v>228</v>
      </c>
      <c r="AU77" t="s">
        <v>229</v>
      </c>
      <c r="AV77" t="s">
        <v>227</v>
      </c>
      <c r="AW77" t="s">
        <v>153</v>
      </c>
      <c r="AX77">
        <v>109.354</v>
      </c>
      <c r="AY77">
        <v>1.0833851741009131</v>
      </c>
      <c r="AZ77">
        <v>118.47250232863119</v>
      </c>
      <c r="BA77">
        <v>801.49</v>
      </c>
      <c r="BB77">
        <v>0.90500000000000003</v>
      </c>
      <c r="BC77">
        <v>85.933845931694037</v>
      </c>
      <c r="BD77">
        <v>1.0470999999999999</v>
      </c>
      <c r="BE77">
        <v>89.980999999999995</v>
      </c>
      <c r="BF77">
        <v>8.9176000000000002</v>
      </c>
      <c r="BG77">
        <v>0.77</v>
      </c>
      <c r="BH77">
        <v>5962.3807969390264</v>
      </c>
      <c r="BI77">
        <v>1</v>
      </c>
      <c r="BJ77">
        <v>5962.3807999999999</v>
      </c>
    </row>
    <row r="78" spans="1:62" x14ac:dyDescent="0.25">
      <c r="A78">
        <v>4844</v>
      </c>
      <c r="B78" t="s">
        <v>114</v>
      </c>
      <c r="C78">
        <v>2021</v>
      </c>
      <c r="D78">
        <v>1</v>
      </c>
      <c r="E78" t="s">
        <v>218</v>
      </c>
      <c r="F78" t="s">
        <v>219</v>
      </c>
      <c r="G78" t="s">
        <v>220</v>
      </c>
      <c r="H78" t="s">
        <v>17</v>
      </c>
      <c r="I78" t="s">
        <v>221</v>
      </c>
      <c r="J78" t="s">
        <v>222</v>
      </c>
      <c r="K78">
        <v>-382.2566903</v>
      </c>
      <c r="L78" t="s">
        <v>223</v>
      </c>
      <c r="M78" t="s">
        <v>230</v>
      </c>
      <c r="N78">
        <v>0.16047331440265999</v>
      </c>
      <c r="O78">
        <v>61.341997999999997</v>
      </c>
      <c r="P78" t="s">
        <v>21</v>
      </c>
      <c r="Q78">
        <v>1</v>
      </c>
      <c r="W78">
        <v>1</v>
      </c>
      <c r="X78">
        <v>0</v>
      </c>
      <c r="AA78" t="s">
        <v>225</v>
      </c>
      <c r="AB78" t="s">
        <v>226</v>
      </c>
      <c r="AC78" t="s">
        <v>227</v>
      </c>
      <c r="AD78" t="s">
        <v>154</v>
      </c>
      <c r="AE78">
        <v>109.354</v>
      </c>
      <c r="AF78">
        <v>1.0727760310708341</v>
      </c>
      <c r="AG78">
        <v>117.31235010172</v>
      </c>
      <c r="AH78">
        <v>694.38</v>
      </c>
      <c r="AI78">
        <v>0.875</v>
      </c>
      <c r="AJ78">
        <v>71.276930955678296</v>
      </c>
      <c r="AK78">
        <v>1.0179</v>
      </c>
      <c r="AL78">
        <v>72.552999999999997</v>
      </c>
      <c r="AM78">
        <v>8.9176000000000002</v>
      </c>
      <c r="AN78">
        <v>9.5665875346772715</v>
      </c>
      <c r="AO78">
        <v>0.91300000000000003</v>
      </c>
      <c r="AP78">
        <v>6064.9193587765631</v>
      </c>
      <c r="AQ78">
        <v>0.98975009761811794</v>
      </c>
      <c r="AR78">
        <v>6002.7545</v>
      </c>
      <c r="AT78" t="s">
        <v>228</v>
      </c>
      <c r="AU78" t="s">
        <v>229</v>
      </c>
      <c r="AV78" t="s">
        <v>227</v>
      </c>
      <c r="AW78" t="s">
        <v>154</v>
      </c>
      <c r="AX78">
        <v>109.354</v>
      </c>
      <c r="AY78">
        <v>1.0833851741009131</v>
      </c>
      <c r="AZ78">
        <v>118.47250232863119</v>
      </c>
      <c r="BA78">
        <v>801.49</v>
      </c>
      <c r="BB78">
        <v>0.90500000000000003</v>
      </c>
      <c r="BC78">
        <v>85.933845931694037</v>
      </c>
      <c r="BD78">
        <v>0.99380000000000002</v>
      </c>
      <c r="BE78">
        <v>85.400999999999996</v>
      </c>
      <c r="BF78">
        <v>8.9176000000000002</v>
      </c>
      <c r="BG78">
        <v>0.77</v>
      </c>
      <c r="BH78">
        <v>5962.3807969390264</v>
      </c>
      <c r="BI78">
        <v>0.98418586489652482</v>
      </c>
      <c r="BJ78">
        <v>5868.0909000000001</v>
      </c>
    </row>
    <row r="79" spans="1:62" x14ac:dyDescent="0.25">
      <c r="A79">
        <v>4846</v>
      </c>
      <c r="B79" t="s">
        <v>114</v>
      </c>
      <c r="C79">
        <v>2021</v>
      </c>
      <c r="D79">
        <v>1</v>
      </c>
      <c r="E79" t="s">
        <v>218</v>
      </c>
      <c r="F79" t="s">
        <v>219</v>
      </c>
      <c r="G79" t="s">
        <v>220</v>
      </c>
      <c r="H79" t="s">
        <v>17</v>
      </c>
      <c r="I79" t="s">
        <v>221</v>
      </c>
      <c r="J79" t="s">
        <v>222</v>
      </c>
      <c r="K79">
        <v>-382.2566903</v>
      </c>
      <c r="L79" t="s">
        <v>223</v>
      </c>
      <c r="M79" t="s">
        <v>231</v>
      </c>
      <c r="N79">
        <v>4.5018334813739999E-2</v>
      </c>
      <c r="O79">
        <v>17.208559999999999</v>
      </c>
      <c r="P79" t="s">
        <v>21</v>
      </c>
      <c r="Q79">
        <v>1</v>
      </c>
      <c r="W79">
        <v>1</v>
      </c>
      <c r="X79">
        <v>0</v>
      </c>
      <c r="AA79" t="s">
        <v>225</v>
      </c>
      <c r="AB79" t="s">
        <v>226</v>
      </c>
      <c r="AC79" t="s">
        <v>227</v>
      </c>
      <c r="AD79" t="s">
        <v>100</v>
      </c>
      <c r="AE79">
        <v>109.354</v>
      </c>
      <c r="AF79">
        <v>1.0727760310708341</v>
      </c>
      <c r="AG79">
        <v>117.31235010172</v>
      </c>
      <c r="AH79">
        <v>694.38</v>
      </c>
      <c r="AI79">
        <v>0.875</v>
      </c>
      <c r="AJ79">
        <v>71.276930955678296</v>
      </c>
      <c r="AK79">
        <v>0.96660000000000001</v>
      </c>
      <c r="AL79">
        <v>68.896000000000001</v>
      </c>
      <c r="AM79">
        <v>8.9176000000000002</v>
      </c>
      <c r="AN79">
        <v>9.5665875346772715</v>
      </c>
      <c r="AO79">
        <v>0.91300000000000003</v>
      </c>
      <c r="AP79">
        <v>6064.9193587765631</v>
      </c>
      <c r="AQ79">
        <v>0.98316430020283985</v>
      </c>
      <c r="AR79">
        <v>5962.8122000000003</v>
      </c>
      <c r="AT79" t="s">
        <v>228</v>
      </c>
      <c r="AU79" t="s">
        <v>229</v>
      </c>
      <c r="AV79" t="s">
        <v>227</v>
      </c>
      <c r="AW79" t="s">
        <v>100</v>
      </c>
      <c r="AX79">
        <v>109.354</v>
      </c>
      <c r="AY79">
        <v>1.0833851741009131</v>
      </c>
      <c r="AZ79">
        <v>118.47250232863119</v>
      </c>
      <c r="BA79">
        <v>801.49</v>
      </c>
      <c r="BB79">
        <v>0.90500000000000003</v>
      </c>
      <c r="BC79">
        <v>85.933845931694037</v>
      </c>
      <c r="BD79">
        <v>0.94550000000000001</v>
      </c>
      <c r="BE79">
        <v>81.25</v>
      </c>
      <c r="BF79">
        <v>8.9176000000000002</v>
      </c>
      <c r="BG79">
        <v>0.77</v>
      </c>
      <c r="BH79">
        <v>5962.3807969390264</v>
      </c>
      <c r="BI79">
        <v>1.0003042596348879</v>
      </c>
      <c r="BJ79">
        <v>5964.1949000000004</v>
      </c>
    </row>
    <row r="80" spans="1:62" x14ac:dyDescent="0.25">
      <c r="A80">
        <v>4848</v>
      </c>
      <c r="B80" t="s">
        <v>114</v>
      </c>
      <c r="C80">
        <v>2021</v>
      </c>
      <c r="D80">
        <v>1</v>
      </c>
      <c r="E80" t="s">
        <v>218</v>
      </c>
      <c r="F80" t="s">
        <v>219</v>
      </c>
      <c r="G80" t="s">
        <v>220</v>
      </c>
      <c r="H80" t="s">
        <v>17</v>
      </c>
      <c r="I80" t="s">
        <v>221</v>
      </c>
      <c r="J80" t="s">
        <v>222</v>
      </c>
      <c r="K80">
        <v>-382.2566903</v>
      </c>
      <c r="L80" t="s">
        <v>223</v>
      </c>
      <c r="M80" t="s">
        <v>232</v>
      </c>
      <c r="N80">
        <v>0.87398007306502001</v>
      </c>
      <c r="O80">
        <v>334.08472999999998</v>
      </c>
      <c r="P80" t="s">
        <v>21</v>
      </c>
      <c r="Q80">
        <v>1</v>
      </c>
      <c r="W80">
        <v>1</v>
      </c>
      <c r="X80">
        <v>0</v>
      </c>
      <c r="AA80" t="s">
        <v>225</v>
      </c>
      <c r="AB80" t="s">
        <v>226</v>
      </c>
      <c r="AC80" t="s">
        <v>227</v>
      </c>
      <c r="AD80" t="s">
        <v>101</v>
      </c>
      <c r="AE80">
        <v>109.354</v>
      </c>
      <c r="AF80">
        <v>1.0727760310708341</v>
      </c>
      <c r="AG80">
        <v>117.31235010172</v>
      </c>
      <c r="AH80">
        <v>694.38</v>
      </c>
      <c r="AI80">
        <v>0.875</v>
      </c>
      <c r="AJ80">
        <v>71.276930955678296</v>
      </c>
      <c r="AK80">
        <v>1.0077</v>
      </c>
      <c r="AL80">
        <v>71.825999999999993</v>
      </c>
      <c r="AM80">
        <v>8.9176000000000002</v>
      </c>
      <c r="AN80">
        <v>9.5665875346772715</v>
      </c>
      <c r="AO80">
        <v>0.91300000000000003</v>
      </c>
      <c r="AP80">
        <v>6064.9193587765631</v>
      </c>
      <c r="AQ80">
        <v>1.0255267423014589</v>
      </c>
      <c r="AR80">
        <v>6219.7370000000001</v>
      </c>
      <c r="AT80" t="s">
        <v>228</v>
      </c>
      <c r="AU80" t="s">
        <v>229</v>
      </c>
      <c r="AV80" t="s">
        <v>227</v>
      </c>
      <c r="AW80" t="s">
        <v>101</v>
      </c>
      <c r="AX80">
        <v>109.354</v>
      </c>
      <c r="AY80">
        <v>1.0833851741009131</v>
      </c>
      <c r="AZ80">
        <v>118.47250232863119</v>
      </c>
      <c r="BA80">
        <v>801.49</v>
      </c>
      <c r="BB80">
        <v>0.90500000000000003</v>
      </c>
      <c r="BC80">
        <v>85.933845931694037</v>
      </c>
      <c r="BD80">
        <v>1.0154000000000001</v>
      </c>
      <c r="BE80">
        <v>87.257000000000005</v>
      </c>
      <c r="BF80">
        <v>8.9176000000000002</v>
      </c>
      <c r="BG80">
        <v>0.77</v>
      </c>
      <c r="BH80">
        <v>5962.3807969390264</v>
      </c>
      <c r="BI80">
        <v>1.0150931928687199</v>
      </c>
      <c r="BJ80">
        <v>6052.3721999999998</v>
      </c>
    </row>
    <row r="81" spans="1:62" x14ac:dyDescent="0.25">
      <c r="A81">
        <v>2410</v>
      </c>
      <c r="B81" t="s">
        <v>114</v>
      </c>
      <c r="C81">
        <v>2021</v>
      </c>
      <c r="D81">
        <v>1</v>
      </c>
      <c r="E81" t="s">
        <v>218</v>
      </c>
      <c r="F81" t="s">
        <v>219</v>
      </c>
      <c r="G81" t="s">
        <v>220</v>
      </c>
      <c r="H81" t="s">
        <v>17</v>
      </c>
      <c r="I81" t="s">
        <v>233</v>
      </c>
      <c r="J81" t="s">
        <v>234</v>
      </c>
      <c r="K81">
        <v>-1089.57416842</v>
      </c>
      <c r="L81" t="s">
        <v>234</v>
      </c>
      <c r="M81" t="s">
        <v>224</v>
      </c>
      <c r="N81">
        <v>8.5771088379299996E-3</v>
      </c>
      <c r="O81">
        <v>9.3453959999999991</v>
      </c>
      <c r="P81" t="s">
        <v>21</v>
      </c>
      <c r="Q81">
        <v>1</v>
      </c>
      <c r="W81">
        <v>1</v>
      </c>
      <c r="X81">
        <v>0</v>
      </c>
      <c r="AA81" t="s">
        <v>225</v>
      </c>
      <c r="AB81" t="s">
        <v>226</v>
      </c>
      <c r="AC81" t="s">
        <v>227</v>
      </c>
      <c r="AD81" t="s">
        <v>153</v>
      </c>
      <c r="AE81">
        <v>109.354</v>
      </c>
      <c r="AF81">
        <v>1.0727760310708341</v>
      </c>
      <c r="AG81">
        <v>117.31235010172</v>
      </c>
      <c r="AH81">
        <v>694.38</v>
      </c>
      <c r="AI81">
        <v>0.875</v>
      </c>
      <c r="AJ81">
        <v>71.276930955678296</v>
      </c>
      <c r="AK81">
        <v>1.0034000000000001</v>
      </c>
      <c r="AL81">
        <v>71.519000000000005</v>
      </c>
      <c r="AM81">
        <v>8.9176000000000002</v>
      </c>
      <c r="AN81">
        <v>9.5665875346772715</v>
      </c>
      <c r="AO81">
        <v>0.91300000000000003</v>
      </c>
      <c r="AP81">
        <v>6064.9193587765631</v>
      </c>
      <c r="AQ81">
        <v>1</v>
      </c>
      <c r="AR81">
        <v>6064.9193999999998</v>
      </c>
      <c r="AT81" t="s">
        <v>228</v>
      </c>
      <c r="AU81" t="s">
        <v>229</v>
      </c>
      <c r="AV81" t="s">
        <v>227</v>
      </c>
      <c r="AW81" t="s">
        <v>153</v>
      </c>
      <c r="AX81">
        <v>109.354</v>
      </c>
      <c r="AY81">
        <v>1.0833851741009131</v>
      </c>
      <c r="AZ81">
        <v>118.47250232863119</v>
      </c>
      <c r="BA81">
        <v>801.49</v>
      </c>
      <c r="BB81">
        <v>0.90500000000000003</v>
      </c>
      <c r="BC81">
        <v>85.933845931694037</v>
      </c>
      <c r="BD81">
        <v>1.0470999999999999</v>
      </c>
      <c r="BE81">
        <v>89.980999999999995</v>
      </c>
      <c r="BF81">
        <v>8.9176000000000002</v>
      </c>
      <c r="BG81">
        <v>0.77</v>
      </c>
      <c r="BH81">
        <v>5962.3807969390264</v>
      </c>
      <c r="BI81">
        <v>1</v>
      </c>
      <c r="BJ81">
        <v>5962.3807999999999</v>
      </c>
    </row>
    <row r="82" spans="1:62" x14ac:dyDescent="0.25">
      <c r="A82">
        <v>2412</v>
      </c>
      <c r="B82" t="s">
        <v>114</v>
      </c>
      <c r="C82">
        <v>2021</v>
      </c>
      <c r="D82">
        <v>1</v>
      </c>
      <c r="E82" t="s">
        <v>218</v>
      </c>
      <c r="F82" t="s">
        <v>219</v>
      </c>
      <c r="G82" t="s">
        <v>220</v>
      </c>
      <c r="H82" t="s">
        <v>17</v>
      </c>
      <c r="I82" t="s">
        <v>233</v>
      </c>
      <c r="J82" t="s">
        <v>234</v>
      </c>
      <c r="K82">
        <v>-1089.57416842</v>
      </c>
      <c r="L82" t="s">
        <v>234</v>
      </c>
      <c r="M82" t="s">
        <v>235</v>
      </c>
      <c r="N82">
        <v>0.60124209651893001</v>
      </c>
      <c r="O82">
        <v>655.09785699999998</v>
      </c>
      <c r="P82" t="s">
        <v>21</v>
      </c>
      <c r="Q82">
        <v>1</v>
      </c>
      <c r="W82">
        <v>1</v>
      </c>
      <c r="X82">
        <v>0</v>
      </c>
      <c r="AA82" t="s">
        <v>225</v>
      </c>
      <c r="AB82" t="s">
        <v>226</v>
      </c>
      <c r="AC82" t="s">
        <v>227</v>
      </c>
      <c r="AD82" t="s">
        <v>154</v>
      </c>
      <c r="AE82">
        <v>109.354</v>
      </c>
      <c r="AF82">
        <v>1.0727760310708341</v>
      </c>
      <c r="AG82">
        <v>117.31235010172</v>
      </c>
      <c r="AH82">
        <v>694.38</v>
      </c>
      <c r="AI82">
        <v>0.875</v>
      </c>
      <c r="AJ82">
        <v>71.276930955678296</v>
      </c>
      <c r="AK82">
        <v>1.0179</v>
      </c>
      <c r="AL82">
        <v>72.552999999999997</v>
      </c>
      <c r="AM82">
        <v>8.9176000000000002</v>
      </c>
      <c r="AN82">
        <v>9.5665875346772715</v>
      </c>
      <c r="AO82">
        <v>0.91300000000000003</v>
      </c>
      <c r="AP82">
        <v>6064.9193587765631</v>
      </c>
      <c r="AQ82">
        <v>0.98975009761811794</v>
      </c>
      <c r="AR82">
        <v>6002.7545</v>
      </c>
      <c r="AT82" t="s">
        <v>228</v>
      </c>
      <c r="AU82" t="s">
        <v>229</v>
      </c>
      <c r="AV82" t="s">
        <v>227</v>
      </c>
      <c r="AW82" t="s">
        <v>154</v>
      </c>
      <c r="AX82">
        <v>109.354</v>
      </c>
      <c r="AY82">
        <v>1.0833851741009131</v>
      </c>
      <c r="AZ82">
        <v>118.47250232863119</v>
      </c>
      <c r="BA82">
        <v>801.49</v>
      </c>
      <c r="BB82">
        <v>0.90500000000000003</v>
      </c>
      <c r="BC82">
        <v>85.933845931694037</v>
      </c>
      <c r="BD82">
        <v>0.99380000000000002</v>
      </c>
      <c r="BE82">
        <v>85.400999999999996</v>
      </c>
      <c r="BF82">
        <v>8.9176000000000002</v>
      </c>
      <c r="BG82">
        <v>0.77</v>
      </c>
      <c r="BH82">
        <v>5962.3807969390264</v>
      </c>
      <c r="BI82">
        <v>0.98418586489652482</v>
      </c>
      <c r="BJ82">
        <v>5868.0909000000001</v>
      </c>
    </row>
    <row r="83" spans="1:62" x14ac:dyDescent="0.25">
      <c r="A83">
        <v>2414</v>
      </c>
      <c r="B83" t="s">
        <v>114</v>
      </c>
      <c r="C83">
        <v>2021</v>
      </c>
      <c r="D83">
        <v>1</v>
      </c>
      <c r="E83" t="s">
        <v>218</v>
      </c>
      <c r="F83" t="s">
        <v>219</v>
      </c>
      <c r="G83" t="s">
        <v>220</v>
      </c>
      <c r="H83" t="s">
        <v>17</v>
      </c>
      <c r="I83" t="s">
        <v>233</v>
      </c>
      <c r="J83" t="s">
        <v>234</v>
      </c>
      <c r="K83">
        <v>-1089.57416842</v>
      </c>
      <c r="L83" t="s">
        <v>234</v>
      </c>
      <c r="M83" t="s">
        <v>236</v>
      </c>
      <c r="N83">
        <v>1.9808691721710001E-2</v>
      </c>
      <c r="O83">
        <v>21.583038999999999</v>
      </c>
      <c r="P83" t="s">
        <v>21</v>
      </c>
      <c r="Q83">
        <v>1</v>
      </c>
      <c r="W83">
        <v>1</v>
      </c>
      <c r="X83">
        <v>0</v>
      </c>
      <c r="AA83" t="s">
        <v>225</v>
      </c>
      <c r="AB83" t="s">
        <v>226</v>
      </c>
      <c r="AC83" t="s">
        <v>227</v>
      </c>
      <c r="AD83" t="s">
        <v>100</v>
      </c>
      <c r="AE83">
        <v>109.354</v>
      </c>
      <c r="AF83">
        <v>1.0727760310708341</v>
      </c>
      <c r="AG83">
        <v>117.31235010172</v>
      </c>
      <c r="AH83">
        <v>694.38</v>
      </c>
      <c r="AI83">
        <v>0.875</v>
      </c>
      <c r="AJ83">
        <v>71.276930955678296</v>
      </c>
      <c r="AK83">
        <v>0.96660000000000001</v>
      </c>
      <c r="AL83">
        <v>68.896000000000001</v>
      </c>
      <c r="AM83">
        <v>8.9176000000000002</v>
      </c>
      <c r="AN83">
        <v>9.5665875346772715</v>
      </c>
      <c r="AO83">
        <v>0.91300000000000003</v>
      </c>
      <c r="AP83">
        <v>6064.9193587765631</v>
      </c>
      <c r="AQ83">
        <v>0.98316430020283985</v>
      </c>
      <c r="AR83">
        <v>5962.8122000000003</v>
      </c>
      <c r="AT83" t="s">
        <v>228</v>
      </c>
      <c r="AU83" t="s">
        <v>229</v>
      </c>
      <c r="AV83" t="s">
        <v>227</v>
      </c>
      <c r="AW83" t="s">
        <v>100</v>
      </c>
      <c r="AX83">
        <v>109.354</v>
      </c>
      <c r="AY83">
        <v>1.0833851741009131</v>
      </c>
      <c r="AZ83">
        <v>118.47250232863119</v>
      </c>
      <c r="BA83">
        <v>801.49</v>
      </c>
      <c r="BB83">
        <v>0.90500000000000003</v>
      </c>
      <c r="BC83">
        <v>85.933845931694037</v>
      </c>
      <c r="BD83">
        <v>0.94550000000000001</v>
      </c>
      <c r="BE83">
        <v>81.25</v>
      </c>
      <c r="BF83">
        <v>8.9176000000000002</v>
      </c>
      <c r="BG83">
        <v>0.77</v>
      </c>
      <c r="BH83">
        <v>5962.3807969390264</v>
      </c>
      <c r="BI83">
        <v>1.0003042596348879</v>
      </c>
      <c r="BJ83">
        <v>5964.1949000000004</v>
      </c>
    </row>
    <row r="84" spans="1:62" x14ac:dyDescent="0.25">
      <c r="A84">
        <v>2416</v>
      </c>
      <c r="B84" t="s">
        <v>114</v>
      </c>
      <c r="C84">
        <v>2021</v>
      </c>
      <c r="D84">
        <v>1</v>
      </c>
      <c r="E84" t="s">
        <v>218</v>
      </c>
      <c r="F84" t="s">
        <v>219</v>
      </c>
      <c r="G84" t="s">
        <v>220</v>
      </c>
      <c r="H84" t="s">
        <v>17</v>
      </c>
      <c r="I84" t="s">
        <v>233</v>
      </c>
      <c r="J84" t="s">
        <v>234</v>
      </c>
      <c r="K84">
        <v>-1089.57416842</v>
      </c>
      <c r="L84" t="s">
        <v>234</v>
      </c>
      <c r="M84" t="s">
        <v>237</v>
      </c>
      <c r="N84">
        <v>0.39660634608572998</v>
      </c>
      <c r="O84">
        <v>432.13202999999999</v>
      </c>
      <c r="P84" t="s">
        <v>21</v>
      </c>
      <c r="Q84">
        <v>1</v>
      </c>
      <c r="W84">
        <v>1</v>
      </c>
      <c r="X84">
        <v>0</v>
      </c>
      <c r="AA84" t="s">
        <v>225</v>
      </c>
      <c r="AB84" t="s">
        <v>226</v>
      </c>
      <c r="AC84" t="s">
        <v>227</v>
      </c>
      <c r="AD84" t="s">
        <v>101</v>
      </c>
      <c r="AE84">
        <v>109.354</v>
      </c>
      <c r="AF84">
        <v>1.0727760310708341</v>
      </c>
      <c r="AG84">
        <v>117.31235010172</v>
      </c>
      <c r="AH84">
        <v>694.38</v>
      </c>
      <c r="AI84">
        <v>0.875</v>
      </c>
      <c r="AJ84">
        <v>71.276930955678296</v>
      </c>
      <c r="AK84">
        <v>1.0077</v>
      </c>
      <c r="AL84">
        <v>71.825999999999993</v>
      </c>
      <c r="AM84">
        <v>8.9176000000000002</v>
      </c>
      <c r="AN84">
        <v>9.5665875346772715</v>
      </c>
      <c r="AO84">
        <v>0.91300000000000003</v>
      </c>
      <c r="AP84">
        <v>6064.9193587765631</v>
      </c>
      <c r="AQ84">
        <v>1.0255267423014589</v>
      </c>
      <c r="AR84">
        <v>6219.7370000000001</v>
      </c>
      <c r="AT84" t="s">
        <v>228</v>
      </c>
      <c r="AU84" t="s">
        <v>229</v>
      </c>
      <c r="AV84" t="s">
        <v>227</v>
      </c>
      <c r="AW84" t="s">
        <v>101</v>
      </c>
      <c r="AX84">
        <v>109.354</v>
      </c>
      <c r="AY84">
        <v>1.0833851741009131</v>
      </c>
      <c r="AZ84">
        <v>118.47250232863119</v>
      </c>
      <c r="BA84">
        <v>801.49</v>
      </c>
      <c r="BB84">
        <v>0.90500000000000003</v>
      </c>
      <c r="BC84">
        <v>85.933845931694037</v>
      </c>
      <c r="BD84">
        <v>1.0154000000000001</v>
      </c>
      <c r="BE84">
        <v>87.257000000000005</v>
      </c>
      <c r="BF84">
        <v>8.9176000000000002</v>
      </c>
      <c r="BG84">
        <v>0.77</v>
      </c>
      <c r="BH84">
        <v>5962.3807969390264</v>
      </c>
      <c r="BI84">
        <v>1.0150931928687199</v>
      </c>
      <c r="BJ84">
        <v>6052.3721999999998</v>
      </c>
    </row>
    <row r="85" spans="1:62" x14ac:dyDescent="0.25">
      <c r="A85">
        <v>2410</v>
      </c>
      <c r="B85" t="s">
        <v>114</v>
      </c>
      <c r="C85">
        <v>2021</v>
      </c>
      <c r="D85">
        <v>1</v>
      </c>
      <c r="E85" t="s">
        <v>218</v>
      </c>
      <c r="F85" t="s">
        <v>219</v>
      </c>
      <c r="G85" t="s">
        <v>220</v>
      </c>
      <c r="H85" t="s">
        <v>17</v>
      </c>
      <c r="I85" t="s">
        <v>238</v>
      </c>
      <c r="J85" t="s">
        <v>239</v>
      </c>
      <c r="K85">
        <v>-197.37780796999999</v>
      </c>
      <c r="L85" t="s">
        <v>240</v>
      </c>
      <c r="M85" t="s">
        <v>224</v>
      </c>
      <c r="N85">
        <v>1.1109205873409999E-2</v>
      </c>
      <c r="O85">
        <v>2.1927110000000001</v>
      </c>
      <c r="P85" t="s">
        <v>21</v>
      </c>
      <c r="Q85">
        <v>1</v>
      </c>
      <c r="W85">
        <v>1</v>
      </c>
      <c r="X85">
        <v>0</v>
      </c>
      <c r="AA85" t="s">
        <v>225</v>
      </c>
      <c r="AB85" t="s">
        <v>226</v>
      </c>
      <c r="AC85" t="s">
        <v>227</v>
      </c>
      <c r="AD85" t="s">
        <v>153</v>
      </c>
      <c r="AE85">
        <v>109.354</v>
      </c>
      <c r="AF85">
        <v>1.0727760310708341</v>
      </c>
      <c r="AG85">
        <v>117.31235010172</v>
      </c>
      <c r="AH85">
        <v>694.38</v>
      </c>
      <c r="AI85">
        <v>0.875</v>
      </c>
      <c r="AJ85">
        <v>71.276930955678296</v>
      </c>
      <c r="AK85">
        <v>1.0034000000000001</v>
      </c>
      <c r="AL85">
        <v>71.519000000000005</v>
      </c>
      <c r="AM85">
        <v>8.9176000000000002</v>
      </c>
      <c r="AN85">
        <v>9.5665875346772715</v>
      </c>
      <c r="AO85">
        <v>0.91300000000000003</v>
      </c>
      <c r="AP85">
        <v>6064.9193587765631</v>
      </c>
      <c r="AQ85">
        <v>1</v>
      </c>
      <c r="AR85">
        <v>6064.9193999999998</v>
      </c>
      <c r="AT85" t="s">
        <v>228</v>
      </c>
      <c r="AU85" t="s">
        <v>229</v>
      </c>
      <c r="AV85" t="s">
        <v>227</v>
      </c>
      <c r="AW85" t="s">
        <v>153</v>
      </c>
      <c r="AX85">
        <v>109.354</v>
      </c>
      <c r="AY85">
        <v>1.0833851741009131</v>
      </c>
      <c r="AZ85">
        <v>118.47250232863119</v>
      </c>
      <c r="BA85">
        <v>801.49</v>
      </c>
      <c r="BB85">
        <v>0.90500000000000003</v>
      </c>
      <c r="BC85">
        <v>85.933845931694037</v>
      </c>
      <c r="BD85">
        <v>1.0470999999999999</v>
      </c>
      <c r="BE85">
        <v>89.980999999999995</v>
      </c>
      <c r="BF85">
        <v>8.9176000000000002</v>
      </c>
      <c r="BG85">
        <v>0.77</v>
      </c>
      <c r="BH85">
        <v>5962.3807969390264</v>
      </c>
      <c r="BI85">
        <v>1</v>
      </c>
      <c r="BJ85">
        <v>5962.3807999999999</v>
      </c>
    </row>
    <row r="86" spans="1:62" x14ac:dyDescent="0.25">
      <c r="A86">
        <v>2412</v>
      </c>
      <c r="B86" t="s">
        <v>114</v>
      </c>
      <c r="C86">
        <v>2021</v>
      </c>
      <c r="D86">
        <v>1</v>
      </c>
      <c r="E86" t="s">
        <v>218</v>
      </c>
      <c r="F86" t="s">
        <v>219</v>
      </c>
      <c r="G86" t="s">
        <v>220</v>
      </c>
      <c r="H86" t="s">
        <v>17</v>
      </c>
      <c r="I86" t="s">
        <v>238</v>
      </c>
      <c r="J86" t="s">
        <v>239</v>
      </c>
      <c r="K86">
        <v>-197.37780796999999</v>
      </c>
      <c r="L86" t="s">
        <v>240</v>
      </c>
      <c r="M86" t="s">
        <v>235</v>
      </c>
      <c r="N86">
        <v>0.58148407621825005</v>
      </c>
      <c r="O86">
        <v>114.772052</v>
      </c>
      <c r="P86" t="s">
        <v>21</v>
      </c>
      <c r="Q86">
        <v>1</v>
      </c>
      <c r="W86">
        <v>1</v>
      </c>
      <c r="X86">
        <v>0</v>
      </c>
      <c r="AA86" t="s">
        <v>225</v>
      </c>
      <c r="AB86" t="s">
        <v>226</v>
      </c>
      <c r="AC86" t="s">
        <v>227</v>
      </c>
      <c r="AD86" t="s">
        <v>154</v>
      </c>
      <c r="AE86">
        <v>109.354</v>
      </c>
      <c r="AF86">
        <v>1.0727760310708341</v>
      </c>
      <c r="AG86">
        <v>117.31235010172</v>
      </c>
      <c r="AH86">
        <v>694.38</v>
      </c>
      <c r="AI86">
        <v>0.875</v>
      </c>
      <c r="AJ86">
        <v>71.276930955678296</v>
      </c>
      <c r="AK86">
        <v>1.0179</v>
      </c>
      <c r="AL86">
        <v>72.552999999999997</v>
      </c>
      <c r="AM86">
        <v>8.9176000000000002</v>
      </c>
      <c r="AN86">
        <v>9.5665875346772715</v>
      </c>
      <c r="AO86">
        <v>0.91300000000000003</v>
      </c>
      <c r="AP86">
        <v>6064.9193587765631</v>
      </c>
      <c r="AQ86">
        <v>0.98975009761811794</v>
      </c>
      <c r="AR86">
        <v>6002.7545</v>
      </c>
      <c r="AT86" t="s">
        <v>228</v>
      </c>
      <c r="AU86" t="s">
        <v>229</v>
      </c>
      <c r="AV86" t="s">
        <v>227</v>
      </c>
      <c r="AW86" t="s">
        <v>154</v>
      </c>
      <c r="AX86">
        <v>109.354</v>
      </c>
      <c r="AY86">
        <v>1.0833851741009131</v>
      </c>
      <c r="AZ86">
        <v>118.47250232863119</v>
      </c>
      <c r="BA86">
        <v>801.49</v>
      </c>
      <c r="BB86">
        <v>0.90500000000000003</v>
      </c>
      <c r="BC86">
        <v>85.933845931694037</v>
      </c>
      <c r="BD86">
        <v>0.99380000000000002</v>
      </c>
      <c r="BE86">
        <v>85.400999999999996</v>
      </c>
      <c r="BF86">
        <v>8.9176000000000002</v>
      </c>
      <c r="BG86">
        <v>0.77</v>
      </c>
      <c r="BH86">
        <v>5962.3807969390264</v>
      </c>
      <c r="BI86">
        <v>0.98418586489652482</v>
      </c>
      <c r="BJ86">
        <v>5868.0909000000001</v>
      </c>
    </row>
    <row r="87" spans="1:62" x14ac:dyDescent="0.25">
      <c r="A87">
        <v>2414</v>
      </c>
      <c r="B87" t="s">
        <v>114</v>
      </c>
      <c r="C87">
        <v>2021</v>
      </c>
      <c r="D87">
        <v>1</v>
      </c>
      <c r="E87" t="s">
        <v>218</v>
      </c>
      <c r="F87" t="s">
        <v>219</v>
      </c>
      <c r="G87" t="s">
        <v>220</v>
      </c>
      <c r="H87" t="s">
        <v>17</v>
      </c>
      <c r="I87" t="s">
        <v>238</v>
      </c>
      <c r="J87" t="s">
        <v>239</v>
      </c>
      <c r="K87">
        <v>-197.37780796999999</v>
      </c>
      <c r="L87" t="s">
        <v>240</v>
      </c>
      <c r="M87" t="s">
        <v>236</v>
      </c>
      <c r="N87">
        <v>1.8083569973560001E-2</v>
      </c>
      <c r="O87">
        <v>3.5692949999999999</v>
      </c>
      <c r="P87" t="s">
        <v>21</v>
      </c>
      <c r="Q87">
        <v>1</v>
      </c>
      <c r="W87">
        <v>1</v>
      </c>
      <c r="X87">
        <v>0</v>
      </c>
      <c r="AA87" t="s">
        <v>225</v>
      </c>
      <c r="AB87" t="s">
        <v>226</v>
      </c>
      <c r="AC87" t="s">
        <v>227</v>
      </c>
      <c r="AD87" t="s">
        <v>100</v>
      </c>
      <c r="AE87">
        <v>109.354</v>
      </c>
      <c r="AF87">
        <v>1.0727760310708341</v>
      </c>
      <c r="AG87">
        <v>117.31235010172</v>
      </c>
      <c r="AH87">
        <v>694.38</v>
      </c>
      <c r="AI87">
        <v>0.875</v>
      </c>
      <c r="AJ87">
        <v>71.276930955678296</v>
      </c>
      <c r="AK87">
        <v>0.96660000000000001</v>
      </c>
      <c r="AL87">
        <v>68.896000000000001</v>
      </c>
      <c r="AM87">
        <v>8.9176000000000002</v>
      </c>
      <c r="AN87">
        <v>9.5665875346772715</v>
      </c>
      <c r="AO87">
        <v>0.91300000000000003</v>
      </c>
      <c r="AP87">
        <v>6064.9193587765631</v>
      </c>
      <c r="AQ87">
        <v>0.98316430020283985</v>
      </c>
      <c r="AR87">
        <v>5962.8122000000003</v>
      </c>
      <c r="AT87" t="s">
        <v>228</v>
      </c>
      <c r="AU87" t="s">
        <v>229</v>
      </c>
      <c r="AV87" t="s">
        <v>227</v>
      </c>
      <c r="AW87" t="s">
        <v>100</v>
      </c>
      <c r="AX87">
        <v>109.354</v>
      </c>
      <c r="AY87">
        <v>1.0833851741009131</v>
      </c>
      <c r="AZ87">
        <v>118.47250232863119</v>
      </c>
      <c r="BA87">
        <v>801.49</v>
      </c>
      <c r="BB87">
        <v>0.90500000000000003</v>
      </c>
      <c r="BC87">
        <v>85.933845931694037</v>
      </c>
      <c r="BD87">
        <v>0.94550000000000001</v>
      </c>
      <c r="BE87">
        <v>81.25</v>
      </c>
      <c r="BF87">
        <v>8.9176000000000002</v>
      </c>
      <c r="BG87">
        <v>0.77</v>
      </c>
      <c r="BH87">
        <v>5962.3807969390264</v>
      </c>
      <c r="BI87">
        <v>1.0003042596348879</v>
      </c>
      <c r="BJ87">
        <v>5964.1949000000004</v>
      </c>
    </row>
    <row r="88" spans="1:62" x14ac:dyDescent="0.25">
      <c r="A88">
        <v>2416</v>
      </c>
      <c r="B88" t="s">
        <v>114</v>
      </c>
      <c r="C88">
        <v>2021</v>
      </c>
      <c r="D88">
        <v>1</v>
      </c>
      <c r="E88" t="s">
        <v>218</v>
      </c>
      <c r="F88" t="s">
        <v>219</v>
      </c>
      <c r="G88" t="s">
        <v>220</v>
      </c>
      <c r="H88" t="s">
        <v>17</v>
      </c>
      <c r="I88" t="s">
        <v>238</v>
      </c>
      <c r="J88" t="s">
        <v>239</v>
      </c>
      <c r="K88">
        <v>-197.37780796999999</v>
      </c>
      <c r="L88" t="s">
        <v>240</v>
      </c>
      <c r="M88" t="s">
        <v>237</v>
      </c>
      <c r="N88">
        <v>0.41680683696206</v>
      </c>
      <c r="O88">
        <v>82.268420000000006</v>
      </c>
      <c r="P88" t="s">
        <v>21</v>
      </c>
      <c r="Q88">
        <v>1</v>
      </c>
      <c r="W88">
        <v>1</v>
      </c>
      <c r="X88">
        <v>0</v>
      </c>
      <c r="AA88" t="s">
        <v>225</v>
      </c>
      <c r="AB88" t="s">
        <v>226</v>
      </c>
      <c r="AC88" t="s">
        <v>227</v>
      </c>
      <c r="AD88" t="s">
        <v>101</v>
      </c>
      <c r="AE88">
        <v>109.354</v>
      </c>
      <c r="AF88">
        <v>1.0727760310708341</v>
      </c>
      <c r="AG88">
        <v>117.31235010172</v>
      </c>
      <c r="AH88">
        <v>694.38</v>
      </c>
      <c r="AI88">
        <v>0.875</v>
      </c>
      <c r="AJ88">
        <v>71.276930955678296</v>
      </c>
      <c r="AK88">
        <v>1.0077</v>
      </c>
      <c r="AL88">
        <v>71.825999999999993</v>
      </c>
      <c r="AM88">
        <v>8.9176000000000002</v>
      </c>
      <c r="AN88">
        <v>9.5665875346772715</v>
      </c>
      <c r="AO88">
        <v>0.91300000000000003</v>
      </c>
      <c r="AP88">
        <v>6064.9193587765631</v>
      </c>
      <c r="AQ88">
        <v>1.0255267423014589</v>
      </c>
      <c r="AR88">
        <v>6219.7370000000001</v>
      </c>
      <c r="AT88" t="s">
        <v>228</v>
      </c>
      <c r="AU88" t="s">
        <v>229</v>
      </c>
      <c r="AV88" t="s">
        <v>227</v>
      </c>
      <c r="AW88" t="s">
        <v>101</v>
      </c>
      <c r="AX88">
        <v>109.354</v>
      </c>
      <c r="AY88">
        <v>1.0833851741009131</v>
      </c>
      <c r="AZ88">
        <v>118.47250232863119</v>
      </c>
      <c r="BA88">
        <v>801.49</v>
      </c>
      <c r="BB88">
        <v>0.90500000000000003</v>
      </c>
      <c r="BC88">
        <v>85.933845931694037</v>
      </c>
      <c r="BD88">
        <v>1.0154000000000001</v>
      </c>
      <c r="BE88">
        <v>87.257000000000005</v>
      </c>
      <c r="BF88">
        <v>8.9176000000000002</v>
      </c>
      <c r="BG88">
        <v>0.77</v>
      </c>
      <c r="BH88">
        <v>5962.3807969390264</v>
      </c>
      <c r="BI88">
        <v>1.0150931928687199</v>
      </c>
      <c r="BJ88">
        <v>6052.3721999999998</v>
      </c>
    </row>
    <row r="89" spans="1:62" x14ac:dyDescent="0.25">
      <c r="A89">
        <v>3632</v>
      </c>
      <c r="B89" t="s">
        <v>114</v>
      </c>
      <c r="C89">
        <v>2021</v>
      </c>
      <c r="D89">
        <v>1</v>
      </c>
      <c r="E89" t="s">
        <v>218</v>
      </c>
      <c r="F89" t="s">
        <v>219</v>
      </c>
      <c r="G89" t="s">
        <v>220</v>
      </c>
      <c r="H89" t="s">
        <v>17</v>
      </c>
      <c r="I89" t="s">
        <v>241</v>
      </c>
      <c r="J89" t="s">
        <v>242</v>
      </c>
      <c r="K89">
        <v>-82.589907109999999</v>
      </c>
      <c r="L89" t="s">
        <v>242</v>
      </c>
      <c r="M89" t="s">
        <v>235</v>
      </c>
      <c r="N89">
        <v>0.67001574769252004</v>
      </c>
      <c r="O89">
        <v>55.336537999999997</v>
      </c>
      <c r="P89" t="s">
        <v>21</v>
      </c>
      <c r="Q89">
        <v>1</v>
      </c>
      <c r="W89">
        <v>1</v>
      </c>
      <c r="X89">
        <v>0</v>
      </c>
      <c r="AA89" t="s">
        <v>225</v>
      </c>
      <c r="AB89" t="s">
        <v>226</v>
      </c>
      <c r="AC89" t="s">
        <v>227</v>
      </c>
      <c r="AD89" t="s">
        <v>154</v>
      </c>
      <c r="AE89">
        <v>109.354</v>
      </c>
      <c r="AF89">
        <v>1.0727760310708341</v>
      </c>
      <c r="AG89">
        <v>117.31235010172</v>
      </c>
      <c r="AH89">
        <v>694.38</v>
      </c>
      <c r="AI89">
        <v>0.875</v>
      </c>
      <c r="AJ89">
        <v>71.276930955678296</v>
      </c>
      <c r="AK89">
        <v>1.0179</v>
      </c>
      <c r="AL89">
        <v>72.552999999999997</v>
      </c>
      <c r="AM89">
        <v>8.9176000000000002</v>
      </c>
      <c r="AN89">
        <v>9.5665875346772715</v>
      </c>
      <c r="AO89">
        <v>0.91300000000000003</v>
      </c>
      <c r="AP89">
        <v>6064.9193587765631</v>
      </c>
      <c r="AQ89">
        <v>0.98975009761811794</v>
      </c>
      <c r="AR89">
        <v>6002.7545</v>
      </c>
      <c r="AT89" t="s">
        <v>228</v>
      </c>
      <c r="AU89" t="s">
        <v>229</v>
      </c>
      <c r="AV89" t="s">
        <v>227</v>
      </c>
      <c r="AW89" t="s">
        <v>154</v>
      </c>
      <c r="AX89">
        <v>109.354</v>
      </c>
      <c r="AY89">
        <v>1.0833851741009131</v>
      </c>
      <c r="AZ89">
        <v>118.47250232863119</v>
      </c>
      <c r="BA89">
        <v>801.49</v>
      </c>
      <c r="BB89">
        <v>0.90500000000000003</v>
      </c>
      <c r="BC89">
        <v>85.933845931694037</v>
      </c>
      <c r="BD89">
        <v>0.99380000000000002</v>
      </c>
      <c r="BE89">
        <v>85.400999999999996</v>
      </c>
      <c r="BF89">
        <v>8.9176000000000002</v>
      </c>
      <c r="BG89">
        <v>0.77</v>
      </c>
      <c r="BH89">
        <v>5962.3807969390264</v>
      </c>
      <c r="BI89">
        <v>0.98418586489652482</v>
      </c>
      <c r="BJ89">
        <v>5868.0909000000001</v>
      </c>
    </row>
    <row r="90" spans="1:62" x14ac:dyDescent="0.25">
      <c r="A90">
        <v>3634</v>
      </c>
      <c r="B90" t="s">
        <v>114</v>
      </c>
      <c r="C90">
        <v>2021</v>
      </c>
      <c r="D90">
        <v>1</v>
      </c>
      <c r="E90" t="s">
        <v>218</v>
      </c>
      <c r="F90" t="s">
        <v>219</v>
      </c>
      <c r="G90" t="s">
        <v>220</v>
      </c>
      <c r="H90" t="s">
        <v>17</v>
      </c>
      <c r="I90" t="s">
        <v>241</v>
      </c>
      <c r="J90" t="s">
        <v>242</v>
      </c>
      <c r="K90">
        <v>-82.589907109999999</v>
      </c>
      <c r="L90" t="s">
        <v>242</v>
      </c>
      <c r="M90" t="s">
        <v>236</v>
      </c>
      <c r="N90">
        <v>1.442552100634E-2</v>
      </c>
      <c r="O90">
        <v>1.1914020000000001</v>
      </c>
      <c r="P90" t="s">
        <v>21</v>
      </c>
      <c r="Q90">
        <v>1</v>
      </c>
      <c r="W90">
        <v>1</v>
      </c>
      <c r="X90">
        <v>0</v>
      </c>
      <c r="AA90" t="s">
        <v>225</v>
      </c>
      <c r="AB90" t="s">
        <v>226</v>
      </c>
      <c r="AC90" t="s">
        <v>227</v>
      </c>
      <c r="AD90" t="s">
        <v>100</v>
      </c>
      <c r="AE90">
        <v>109.354</v>
      </c>
      <c r="AF90">
        <v>1.0727760310708341</v>
      </c>
      <c r="AG90">
        <v>117.31235010172</v>
      </c>
      <c r="AH90">
        <v>694.38</v>
      </c>
      <c r="AI90">
        <v>0.875</v>
      </c>
      <c r="AJ90">
        <v>71.276930955678296</v>
      </c>
      <c r="AK90">
        <v>0.96660000000000001</v>
      </c>
      <c r="AL90">
        <v>68.896000000000001</v>
      </c>
      <c r="AM90">
        <v>8.9176000000000002</v>
      </c>
      <c r="AN90">
        <v>9.5665875346772715</v>
      </c>
      <c r="AO90">
        <v>0.91300000000000003</v>
      </c>
      <c r="AP90">
        <v>6064.9193587765631</v>
      </c>
      <c r="AQ90">
        <v>0.98316430020283985</v>
      </c>
      <c r="AR90">
        <v>5962.8122000000003</v>
      </c>
      <c r="AT90" t="s">
        <v>228</v>
      </c>
      <c r="AU90" t="s">
        <v>229</v>
      </c>
      <c r="AV90" t="s">
        <v>227</v>
      </c>
      <c r="AW90" t="s">
        <v>100</v>
      </c>
      <c r="AX90">
        <v>109.354</v>
      </c>
      <c r="AY90">
        <v>1.0833851741009131</v>
      </c>
      <c r="AZ90">
        <v>118.47250232863119</v>
      </c>
      <c r="BA90">
        <v>801.49</v>
      </c>
      <c r="BB90">
        <v>0.90500000000000003</v>
      </c>
      <c r="BC90">
        <v>85.933845931694037</v>
      </c>
      <c r="BD90">
        <v>0.94550000000000001</v>
      </c>
      <c r="BE90">
        <v>81.25</v>
      </c>
      <c r="BF90">
        <v>8.9176000000000002</v>
      </c>
      <c r="BG90">
        <v>0.77</v>
      </c>
      <c r="BH90">
        <v>5962.3807969390264</v>
      </c>
      <c r="BI90">
        <v>1.0003042596348879</v>
      </c>
      <c r="BJ90">
        <v>5964.1949000000004</v>
      </c>
    </row>
    <row r="91" spans="1:62" x14ac:dyDescent="0.25">
      <c r="A91">
        <v>3636</v>
      </c>
      <c r="B91" t="s">
        <v>114</v>
      </c>
      <c r="C91">
        <v>2021</v>
      </c>
      <c r="D91">
        <v>1</v>
      </c>
      <c r="E91" t="s">
        <v>218</v>
      </c>
      <c r="F91" t="s">
        <v>219</v>
      </c>
      <c r="G91" t="s">
        <v>220</v>
      </c>
      <c r="H91" t="s">
        <v>17</v>
      </c>
      <c r="I91" t="s">
        <v>241</v>
      </c>
      <c r="J91" t="s">
        <v>242</v>
      </c>
      <c r="K91">
        <v>-82.589907109999999</v>
      </c>
      <c r="L91" t="s">
        <v>242</v>
      </c>
      <c r="M91" t="s">
        <v>237</v>
      </c>
      <c r="N91">
        <v>0.37405093967954001</v>
      </c>
      <c r="O91">
        <v>30.892831999999999</v>
      </c>
      <c r="P91" t="s">
        <v>21</v>
      </c>
      <c r="Q91">
        <v>1</v>
      </c>
      <c r="W91">
        <v>1</v>
      </c>
      <c r="X91">
        <v>0</v>
      </c>
      <c r="AA91" t="s">
        <v>225</v>
      </c>
      <c r="AB91" t="s">
        <v>226</v>
      </c>
      <c r="AC91" t="s">
        <v>227</v>
      </c>
      <c r="AD91" t="s">
        <v>101</v>
      </c>
      <c r="AE91">
        <v>109.354</v>
      </c>
      <c r="AF91">
        <v>1.0727760310708341</v>
      </c>
      <c r="AG91">
        <v>117.31235010172</v>
      </c>
      <c r="AH91">
        <v>694.38</v>
      </c>
      <c r="AI91">
        <v>0.875</v>
      </c>
      <c r="AJ91">
        <v>71.276930955678296</v>
      </c>
      <c r="AK91">
        <v>1.0077</v>
      </c>
      <c r="AL91">
        <v>71.825999999999993</v>
      </c>
      <c r="AM91">
        <v>8.9176000000000002</v>
      </c>
      <c r="AN91">
        <v>9.5665875346772715</v>
      </c>
      <c r="AO91">
        <v>0.91300000000000003</v>
      </c>
      <c r="AP91">
        <v>6064.9193587765631</v>
      </c>
      <c r="AQ91">
        <v>1.0255267423014589</v>
      </c>
      <c r="AR91">
        <v>6219.7370000000001</v>
      </c>
      <c r="AT91" t="s">
        <v>228</v>
      </c>
      <c r="AU91" t="s">
        <v>229</v>
      </c>
      <c r="AV91" t="s">
        <v>227</v>
      </c>
      <c r="AW91" t="s">
        <v>101</v>
      </c>
      <c r="AX91">
        <v>109.354</v>
      </c>
      <c r="AY91">
        <v>1.0833851741009131</v>
      </c>
      <c r="AZ91">
        <v>118.47250232863119</v>
      </c>
      <c r="BA91">
        <v>801.49</v>
      </c>
      <c r="BB91">
        <v>0.90500000000000003</v>
      </c>
      <c r="BC91">
        <v>85.933845931694037</v>
      </c>
      <c r="BD91">
        <v>1.0154000000000001</v>
      </c>
      <c r="BE91">
        <v>87.257000000000005</v>
      </c>
      <c r="BF91">
        <v>8.9176000000000002</v>
      </c>
      <c r="BG91">
        <v>0.77</v>
      </c>
      <c r="BH91">
        <v>5962.3807969390264</v>
      </c>
      <c r="BI91">
        <v>1.0150931928687199</v>
      </c>
      <c r="BJ91">
        <v>6052.3721999999998</v>
      </c>
    </row>
    <row r="92" spans="1:62" x14ac:dyDescent="0.25">
      <c r="A92">
        <v>2410</v>
      </c>
      <c r="B92" t="s">
        <v>114</v>
      </c>
      <c r="C92">
        <v>2021</v>
      </c>
      <c r="D92">
        <v>1</v>
      </c>
      <c r="E92" t="s">
        <v>218</v>
      </c>
      <c r="F92" t="s">
        <v>219</v>
      </c>
      <c r="G92" t="s">
        <v>220</v>
      </c>
      <c r="H92" t="s">
        <v>17</v>
      </c>
      <c r="I92" t="s">
        <v>243</v>
      </c>
      <c r="J92" t="s">
        <v>244</v>
      </c>
      <c r="K92">
        <v>-125.80276799000001</v>
      </c>
      <c r="L92" t="s">
        <v>245</v>
      </c>
      <c r="M92" t="s">
        <v>224</v>
      </c>
      <c r="N92">
        <v>1.1026262910890001E-2</v>
      </c>
      <c r="O92">
        <v>1.3871340000000001</v>
      </c>
      <c r="P92" t="s">
        <v>21</v>
      </c>
      <c r="Q92">
        <v>1</v>
      </c>
      <c r="W92">
        <v>1</v>
      </c>
      <c r="X92">
        <v>0</v>
      </c>
      <c r="AA92" t="s">
        <v>225</v>
      </c>
      <c r="AB92" t="s">
        <v>226</v>
      </c>
      <c r="AC92" t="s">
        <v>227</v>
      </c>
      <c r="AD92" t="s">
        <v>153</v>
      </c>
      <c r="AE92">
        <v>109.354</v>
      </c>
      <c r="AF92">
        <v>1.0727760310708341</v>
      </c>
      <c r="AG92">
        <v>117.31235010172</v>
      </c>
      <c r="AH92">
        <v>694.38</v>
      </c>
      <c r="AI92">
        <v>0.875</v>
      </c>
      <c r="AJ92">
        <v>71.276930955678296</v>
      </c>
      <c r="AK92">
        <v>1.0034000000000001</v>
      </c>
      <c r="AL92">
        <v>71.519000000000005</v>
      </c>
      <c r="AM92">
        <v>8.9176000000000002</v>
      </c>
      <c r="AN92">
        <v>9.5665875346772715</v>
      </c>
      <c r="AO92">
        <v>0.91300000000000003</v>
      </c>
      <c r="AP92">
        <v>6064.9193587765631</v>
      </c>
      <c r="AQ92">
        <v>1</v>
      </c>
      <c r="AR92">
        <v>6064.9193999999998</v>
      </c>
      <c r="AT92" t="s">
        <v>228</v>
      </c>
      <c r="AU92" t="s">
        <v>229</v>
      </c>
      <c r="AV92" t="s">
        <v>227</v>
      </c>
      <c r="AW92" t="s">
        <v>153</v>
      </c>
      <c r="AX92">
        <v>109.354</v>
      </c>
      <c r="AY92">
        <v>1.0833851741009131</v>
      </c>
      <c r="AZ92">
        <v>118.47250232863119</v>
      </c>
      <c r="BA92">
        <v>801.49</v>
      </c>
      <c r="BB92">
        <v>0.90500000000000003</v>
      </c>
      <c r="BC92">
        <v>85.933845931694037</v>
      </c>
      <c r="BD92">
        <v>1.0470999999999999</v>
      </c>
      <c r="BE92">
        <v>89.980999999999995</v>
      </c>
      <c r="BF92">
        <v>8.9176000000000002</v>
      </c>
      <c r="BG92">
        <v>0.77</v>
      </c>
      <c r="BH92">
        <v>5962.3807969390264</v>
      </c>
      <c r="BI92">
        <v>1</v>
      </c>
      <c r="BJ92">
        <v>5962.3807999999999</v>
      </c>
    </row>
    <row r="93" spans="1:62" x14ac:dyDescent="0.25">
      <c r="A93">
        <v>2412</v>
      </c>
      <c r="B93" t="s">
        <v>114</v>
      </c>
      <c r="C93">
        <v>2021</v>
      </c>
      <c r="D93">
        <v>1</v>
      </c>
      <c r="E93" t="s">
        <v>218</v>
      </c>
      <c r="F93" t="s">
        <v>219</v>
      </c>
      <c r="G93" t="s">
        <v>220</v>
      </c>
      <c r="H93" t="s">
        <v>17</v>
      </c>
      <c r="I93" t="s">
        <v>243</v>
      </c>
      <c r="J93" t="s">
        <v>244</v>
      </c>
      <c r="K93">
        <v>-125.80276799000001</v>
      </c>
      <c r="L93" t="s">
        <v>245</v>
      </c>
      <c r="M93" t="s">
        <v>235</v>
      </c>
      <c r="N93">
        <v>0.60074557881113</v>
      </c>
      <c r="O93">
        <v>75.575457</v>
      </c>
      <c r="P93" t="s">
        <v>21</v>
      </c>
      <c r="Q93">
        <v>1</v>
      </c>
      <c r="W93">
        <v>1</v>
      </c>
      <c r="X93">
        <v>0</v>
      </c>
      <c r="AA93" t="s">
        <v>225</v>
      </c>
      <c r="AB93" t="s">
        <v>226</v>
      </c>
      <c r="AC93" t="s">
        <v>227</v>
      </c>
      <c r="AD93" t="s">
        <v>154</v>
      </c>
      <c r="AE93">
        <v>109.354</v>
      </c>
      <c r="AF93">
        <v>1.0727760310708341</v>
      </c>
      <c r="AG93">
        <v>117.31235010172</v>
      </c>
      <c r="AH93">
        <v>694.38</v>
      </c>
      <c r="AI93">
        <v>0.875</v>
      </c>
      <c r="AJ93">
        <v>71.276930955678296</v>
      </c>
      <c r="AK93">
        <v>1.0179</v>
      </c>
      <c r="AL93">
        <v>72.552999999999997</v>
      </c>
      <c r="AM93">
        <v>8.9176000000000002</v>
      </c>
      <c r="AN93">
        <v>9.5665875346772715</v>
      </c>
      <c r="AO93">
        <v>0.91300000000000003</v>
      </c>
      <c r="AP93">
        <v>6064.9193587765631</v>
      </c>
      <c r="AQ93">
        <v>0.98975009761811794</v>
      </c>
      <c r="AR93">
        <v>6002.7545</v>
      </c>
      <c r="AT93" t="s">
        <v>228</v>
      </c>
      <c r="AU93" t="s">
        <v>229</v>
      </c>
      <c r="AV93" t="s">
        <v>227</v>
      </c>
      <c r="AW93" t="s">
        <v>154</v>
      </c>
      <c r="AX93">
        <v>109.354</v>
      </c>
      <c r="AY93">
        <v>1.0833851741009131</v>
      </c>
      <c r="AZ93">
        <v>118.47250232863119</v>
      </c>
      <c r="BA93">
        <v>801.49</v>
      </c>
      <c r="BB93">
        <v>0.90500000000000003</v>
      </c>
      <c r="BC93">
        <v>85.933845931694037</v>
      </c>
      <c r="BD93">
        <v>0.99380000000000002</v>
      </c>
      <c r="BE93">
        <v>85.400999999999996</v>
      </c>
      <c r="BF93">
        <v>8.9176000000000002</v>
      </c>
      <c r="BG93">
        <v>0.77</v>
      </c>
      <c r="BH93">
        <v>5962.3807969390264</v>
      </c>
      <c r="BI93">
        <v>0.98418586489652482</v>
      </c>
      <c r="BJ93">
        <v>5868.0909000000001</v>
      </c>
    </row>
    <row r="94" spans="1:62" x14ac:dyDescent="0.25">
      <c r="A94">
        <v>2414</v>
      </c>
      <c r="B94" t="s">
        <v>114</v>
      </c>
      <c r="C94">
        <v>2021</v>
      </c>
      <c r="D94">
        <v>1</v>
      </c>
      <c r="E94" t="s">
        <v>218</v>
      </c>
      <c r="F94" t="s">
        <v>219</v>
      </c>
      <c r="G94" t="s">
        <v>220</v>
      </c>
      <c r="H94" t="s">
        <v>17</v>
      </c>
      <c r="I94" t="s">
        <v>243</v>
      </c>
      <c r="J94" t="s">
        <v>244</v>
      </c>
      <c r="K94">
        <v>-125.80276799000001</v>
      </c>
      <c r="L94" t="s">
        <v>245</v>
      </c>
      <c r="M94" t="s">
        <v>236</v>
      </c>
      <c r="N94">
        <v>1.775192921592E-2</v>
      </c>
      <c r="O94">
        <v>2.2332420000000002</v>
      </c>
      <c r="P94" t="s">
        <v>21</v>
      </c>
      <c r="Q94">
        <v>1</v>
      </c>
      <c r="W94">
        <v>1</v>
      </c>
      <c r="X94">
        <v>0</v>
      </c>
      <c r="AA94" t="s">
        <v>225</v>
      </c>
      <c r="AB94" t="s">
        <v>226</v>
      </c>
      <c r="AC94" t="s">
        <v>227</v>
      </c>
      <c r="AD94" t="s">
        <v>100</v>
      </c>
      <c r="AE94">
        <v>109.354</v>
      </c>
      <c r="AF94">
        <v>1.0727760310708341</v>
      </c>
      <c r="AG94">
        <v>117.31235010172</v>
      </c>
      <c r="AH94">
        <v>694.38</v>
      </c>
      <c r="AI94">
        <v>0.875</v>
      </c>
      <c r="AJ94">
        <v>71.276930955678296</v>
      </c>
      <c r="AK94">
        <v>0.96660000000000001</v>
      </c>
      <c r="AL94">
        <v>68.896000000000001</v>
      </c>
      <c r="AM94">
        <v>8.9176000000000002</v>
      </c>
      <c r="AN94">
        <v>9.5665875346772715</v>
      </c>
      <c r="AO94">
        <v>0.91300000000000003</v>
      </c>
      <c r="AP94">
        <v>6064.9193587765631</v>
      </c>
      <c r="AQ94">
        <v>0.98316430020283985</v>
      </c>
      <c r="AR94">
        <v>5962.8122000000003</v>
      </c>
      <c r="AT94" t="s">
        <v>228</v>
      </c>
      <c r="AU94" t="s">
        <v>229</v>
      </c>
      <c r="AV94" t="s">
        <v>227</v>
      </c>
      <c r="AW94" t="s">
        <v>100</v>
      </c>
      <c r="AX94">
        <v>109.354</v>
      </c>
      <c r="AY94">
        <v>1.0833851741009131</v>
      </c>
      <c r="AZ94">
        <v>118.47250232863119</v>
      </c>
      <c r="BA94">
        <v>801.49</v>
      </c>
      <c r="BB94">
        <v>0.90500000000000003</v>
      </c>
      <c r="BC94">
        <v>85.933845931694037</v>
      </c>
      <c r="BD94">
        <v>0.94550000000000001</v>
      </c>
      <c r="BE94">
        <v>81.25</v>
      </c>
      <c r="BF94">
        <v>8.9176000000000002</v>
      </c>
      <c r="BG94">
        <v>0.77</v>
      </c>
      <c r="BH94">
        <v>5962.3807969390264</v>
      </c>
      <c r="BI94">
        <v>1.0003042596348879</v>
      </c>
      <c r="BJ94">
        <v>5964.1949000000004</v>
      </c>
    </row>
    <row r="95" spans="1:62" x14ac:dyDescent="0.25">
      <c r="A95">
        <v>2416</v>
      </c>
      <c r="B95" t="s">
        <v>114</v>
      </c>
      <c r="C95">
        <v>2021</v>
      </c>
      <c r="D95">
        <v>1</v>
      </c>
      <c r="E95" t="s">
        <v>218</v>
      </c>
      <c r="F95" t="s">
        <v>219</v>
      </c>
      <c r="G95" t="s">
        <v>220</v>
      </c>
      <c r="H95" t="s">
        <v>17</v>
      </c>
      <c r="I95" t="s">
        <v>243</v>
      </c>
      <c r="J95" t="s">
        <v>244</v>
      </c>
      <c r="K95">
        <v>-125.80276799000001</v>
      </c>
      <c r="L95" t="s">
        <v>245</v>
      </c>
      <c r="M95" t="s">
        <v>237</v>
      </c>
      <c r="N95">
        <v>0.39766766032624001</v>
      </c>
      <c r="O95">
        <v>50.027692000000002</v>
      </c>
      <c r="P95" t="s">
        <v>21</v>
      </c>
      <c r="Q95">
        <v>1</v>
      </c>
      <c r="W95">
        <v>1</v>
      </c>
      <c r="X95">
        <v>0</v>
      </c>
      <c r="AA95" t="s">
        <v>225</v>
      </c>
      <c r="AB95" t="s">
        <v>226</v>
      </c>
      <c r="AC95" t="s">
        <v>227</v>
      </c>
      <c r="AD95" t="s">
        <v>101</v>
      </c>
      <c r="AE95">
        <v>109.354</v>
      </c>
      <c r="AF95">
        <v>1.0727760310708341</v>
      </c>
      <c r="AG95">
        <v>117.31235010172</v>
      </c>
      <c r="AH95">
        <v>694.38</v>
      </c>
      <c r="AI95">
        <v>0.875</v>
      </c>
      <c r="AJ95">
        <v>71.276930955678296</v>
      </c>
      <c r="AK95">
        <v>1.0077</v>
      </c>
      <c r="AL95">
        <v>71.825999999999993</v>
      </c>
      <c r="AM95">
        <v>8.9176000000000002</v>
      </c>
      <c r="AN95">
        <v>9.5665875346772715</v>
      </c>
      <c r="AO95">
        <v>0.91300000000000003</v>
      </c>
      <c r="AP95">
        <v>6064.9193587765631</v>
      </c>
      <c r="AQ95">
        <v>1.0255267423014589</v>
      </c>
      <c r="AR95">
        <v>6219.7370000000001</v>
      </c>
      <c r="AT95" t="s">
        <v>228</v>
      </c>
      <c r="AU95" t="s">
        <v>229</v>
      </c>
      <c r="AV95" t="s">
        <v>227</v>
      </c>
      <c r="AW95" t="s">
        <v>101</v>
      </c>
      <c r="AX95">
        <v>109.354</v>
      </c>
      <c r="AY95">
        <v>1.0833851741009131</v>
      </c>
      <c r="AZ95">
        <v>118.47250232863119</v>
      </c>
      <c r="BA95">
        <v>801.49</v>
      </c>
      <c r="BB95">
        <v>0.90500000000000003</v>
      </c>
      <c r="BC95">
        <v>85.933845931694037</v>
      </c>
      <c r="BD95">
        <v>1.0154000000000001</v>
      </c>
      <c r="BE95">
        <v>87.257000000000005</v>
      </c>
      <c r="BF95">
        <v>8.9176000000000002</v>
      </c>
      <c r="BG95">
        <v>0.77</v>
      </c>
      <c r="BH95">
        <v>5962.3807969390264</v>
      </c>
      <c r="BI95">
        <v>1.0150931928687199</v>
      </c>
      <c r="BJ95">
        <v>6052.3721999999998</v>
      </c>
    </row>
    <row r="96" spans="1:62" x14ac:dyDescent="0.25">
      <c r="A96">
        <v>4842</v>
      </c>
      <c r="B96" t="s">
        <v>114</v>
      </c>
      <c r="C96">
        <v>2021</v>
      </c>
      <c r="D96">
        <v>1</v>
      </c>
      <c r="E96" t="s">
        <v>218</v>
      </c>
      <c r="F96" t="s">
        <v>219</v>
      </c>
      <c r="G96" t="s">
        <v>220</v>
      </c>
      <c r="H96" t="s">
        <v>17</v>
      </c>
      <c r="I96" t="s">
        <v>246</v>
      </c>
      <c r="J96" t="s">
        <v>247</v>
      </c>
      <c r="K96">
        <v>-747.10109075000003</v>
      </c>
      <c r="L96" t="s">
        <v>248</v>
      </c>
      <c r="M96" t="s">
        <v>224</v>
      </c>
      <c r="N96">
        <v>4.9724862092599999E-3</v>
      </c>
      <c r="O96">
        <v>3.71495</v>
      </c>
      <c r="P96" t="s">
        <v>21</v>
      </c>
      <c r="Q96">
        <v>1</v>
      </c>
      <c r="W96">
        <v>1</v>
      </c>
      <c r="X96">
        <v>0</v>
      </c>
      <c r="AA96" t="s">
        <v>225</v>
      </c>
      <c r="AB96" t="s">
        <v>226</v>
      </c>
      <c r="AC96" t="s">
        <v>227</v>
      </c>
      <c r="AD96" t="s">
        <v>153</v>
      </c>
      <c r="AE96">
        <v>109.354</v>
      </c>
      <c r="AF96">
        <v>1.0727760310708341</v>
      </c>
      <c r="AG96">
        <v>117.31235010172</v>
      </c>
      <c r="AH96">
        <v>694.38</v>
      </c>
      <c r="AI96">
        <v>0.875</v>
      </c>
      <c r="AJ96">
        <v>71.276930955678296</v>
      </c>
      <c r="AK96">
        <v>1.0034000000000001</v>
      </c>
      <c r="AL96">
        <v>71.519000000000005</v>
      </c>
      <c r="AM96">
        <v>8.9176000000000002</v>
      </c>
      <c r="AN96">
        <v>9.5665875346772715</v>
      </c>
      <c r="AO96">
        <v>0.91300000000000003</v>
      </c>
      <c r="AP96">
        <v>6064.9193587765631</v>
      </c>
      <c r="AQ96">
        <v>1</v>
      </c>
      <c r="AR96">
        <v>6064.9193999999998</v>
      </c>
      <c r="AT96" t="s">
        <v>228</v>
      </c>
      <c r="AU96" t="s">
        <v>229</v>
      </c>
      <c r="AV96" t="s">
        <v>227</v>
      </c>
      <c r="AW96" t="s">
        <v>153</v>
      </c>
      <c r="AX96">
        <v>109.354</v>
      </c>
      <c r="AY96">
        <v>1.0833851741009131</v>
      </c>
      <c r="AZ96">
        <v>118.47250232863119</v>
      </c>
      <c r="BA96">
        <v>801.49</v>
      </c>
      <c r="BB96">
        <v>0.90500000000000003</v>
      </c>
      <c r="BC96">
        <v>85.933845931694037</v>
      </c>
      <c r="BD96">
        <v>1.0470999999999999</v>
      </c>
      <c r="BE96">
        <v>89.980999999999995</v>
      </c>
      <c r="BF96">
        <v>8.9176000000000002</v>
      </c>
      <c r="BG96">
        <v>0.77</v>
      </c>
      <c r="BH96">
        <v>5962.3807969390264</v>
      </c>
      <c r="BI96">
        <v>1</v>
      </c>
      <c r="BJ96">
        <v>5962.3807999999999</v>
      </c>
    </row>
    <row r="97" spans="1:62" x14ac:dyDescent="0.25">
      <c r="A97">
        <v>4844</v>
      </c>
      <c r="B97" t="s">
        <v>114</v>
      </c>
      <c r="C97">
        <v>2021</v>
      </c>
      <c r="D97">
        <v>1</v>
      </c>
      <c r="E97" t="s">
        <v>218</v>
      </c>
      <c r="F97" t="s">
        <v>219</v>
      </c>
      <c r="G97" t="s">
        <v>220</v>
      </c>
      <c r="H97" t="s">
        <v>17</v>
      </c>
      <c r="I97" t="s">
        <v>246</v>
      </c>
      <c r="J97" t="s">
        <v>247</v>
      </c>
      <c r="K97">
        <v>-747.10109075000003</v>
      </c>
      <c r="L97" t="s">
        <v>248</v>
      </c>
      <c r="M97" t="s">
        <v>235</v>
      </c>
      <c r="N97">
        <v>0.99209122360516</v>
      </c>
      <c r="O97">
        <v>741.19243500000005</v>
      </c>
      <c r="P97" t="s">
        <v>21</v>
      </c>
      <c r="Q97">
        <v>1</v>
      </c>
      <c r="W97">
        <v>1</v>
      </c>
      <c r="X97">
        <v>0</v>
      </c>
      <c r="AA97" t="s">
        <v>225</v>
      </c>
      <c r="AB97" t="s">
        <v>226</v>
      </c>
      <c r="AC97" t="s">
        <v>227</v>
      </c>
      <c r="AD97" t="s">
        <v>154</v>
      </c>
      <c r="AE97">
        <v>109.354</v>
      </c>
      <c r="AF97">
        <v>1.0727760310708341</v>
      </c>
      <c r="AG97">
        <v>117.31235010172</v>
      </c>
      <c r="AH97">
        <v>694.38</v>
      </c>
      <c r="AI97">
        <v>0.875</v>
      </c>
      <c r="AJ97">
        <v>71.276930955678296</v>
      </c>
      <c r="AK97">
        <v>1.0179</v>
      </c>
      <c r="AL97">
        <v>72.552999999999997</v>
      </c>
      <c r="AM97">
        <v>8.9176000000000002</v>
      </c>
      <c r="AN97">
        <v>9.5665875346772715</v>
      </c>
      <c r="AO97">
        <v>0.91300000000000003</v>
      </c>
      <c r="AP97">
        <v>6064.9193587765631</v>
      </c>
      <c r="AQ97">
        <v>0.98975009761811794</v>
      </c>
      <c r="AR97">
        <v>6002.7545</v>
      </c>
      <c r="AT97" t="s">
        <v>228</v>
      </c>
      <c r="AU97" t="s">
        <v>229</v>
      </c>
      <c r="AV97" t="s">
        <v>227</v>
      </c>
      <c r="AW97" t="s">
        <v>154</v>
      </c>
      <c r="AX97">
        <v>109.354</v>
      </c>
      <c r="AY97">
        <v>1.0833851741009131</v>
      </c>
      <c r="AZ97">
        <v>118.47250232863119</v>
      </c>
      <c r="BA97">
        <v>801.49</v>
      </c>
      <c r="BB97">
        <v>0.90500000000000003</v>
      </c>
      <c r="BC97">
        <v>85.933845931694037</v>
      </c>
      <c r="BD97">
        <v>0.99380000000000002</v>
      </c>
      <c r="BE97">
        <v>85.400999999999996</v>
      </c>
      <c r="BF97">
        <v>8.9176000000000002</v>
      </c>
      <c r="BG97">
        <v>0.77</v>
      </c>
      <c r="BH97">
        <v>5962.3807969390264</v>
      </c>
      <c r="BI97">
        <v>0.98418586489652482</v>
      </c>
      <c r="BJ97">
        <v>5868.0909000000001</v>
      </c>
    </row>
    <row r="98" spans="1:62" x14ac:dyDescent="0.25">
      <c r="A98">
        <v>4846</v>
      </c>
      <c r="B98" t="s">
        <v>114</v>
      </c>
      <c r="C98">
        <v>2021</v>
      </c>
      <c r="D98">
        <v>1</v>
      </c>
      <c r="E98" t="s">
        <v>218</v>
      </c>
      <c r="F98" t="s">
        <v>219</v>
      </c>
      <c r="G98" t="s">
        <v>220</v>
      </c>
      <c r="H98" t="s">
        <v>17</v>
      </c>
      <c r="I98" t="s">
        <v>246</v>
      </c>
      <c r="J98" t="s">
        <v>247</v>
      </c>
      <c r="K98">
        <v>-747.10109075000003</v>
      </c>
      <c r="L98" t="s">
        <v>248</v>
      </c>
      <c r="M98" t="s">
        <v>236</v>
      </c>
      <c r="N98">
        <v>4.7995598170700003E-3</v>
      </c>
      <c r="O98">
        <v>3.5857559999999999</v>
      </c>
      <c r="P98" t="s">
        <v>21</v>
      </c>
      <c r="Q98">
        <v>1</v>
      </c>
      <c r="W98">
        <v>1</v>
      </c>
      <c r="X98">
        <v>0</v>
      </c>
      <c r="AA98" t="s">
        <v>225</v>
      </c>
      <c r="AB98" t="s">
        <v>226</v>
      </c>
      <c r="AC98" t="s">
        <v>227</v>
      </c>
      <c r="AD98" t="s">
        <v>100</v>
      </c>
      <c r="AE98">
        <v>109.354</v>
      </c>
      <c r="AF98">
        <v>1.0727760310708341</v>
      </c>
      <c r="AG98">
        <v>117.31235010172</v>
      </c>
      <c r="AH98">
        <v>694.38</v>
      </c>
      <c r="AI98">
        <v>0.875</v>
      </c>
      <c r="AJ98">
        <v>71.276930955678296</v>
      </c>
      <c r="AK98">
        <v>0.96660000000000001</v>
      </c>
      <c r="AL98">
        <v>68.896000000000001</v>
      </c>
      <c r="AM98">
        <v>8.9176000000000002</v>
      </c>
      <c r="AN98">
        <v>9.5665875346772715</v>
      </c>
      <c r="AO98">
        <v>0.91300000000000003</v>
      </c>
      <c r="AP98">
        <v>6064.9193587765631</v>
      </c>
      <c r="AQ98">
        <v>0.98316430020283985</v>
      </c>
      <c r="AR98">
        <v>5962.8122000000003</v>
      </c>
      <c r="AT98" t="s">
        <v>228</v>
      </c>
      <c r="AU98" t="s">
        <v>229</v>
      </c>
      <c r="AV98" t="s">
        <v>227</v>
      </c>
      <c r="AW98" t="s">
        <v>100</v>
      </c>
      <c r="AX98">
        <v>109.354</v>
      </c>
      <c r="AY98">
        <v>1.0833851741009131</v>
      </c>
      <c r="AZ98">
        <v>118.47250232863119</v>
      </c>
      <c r="BA98">
        <v>801.49</v>
      </c>
      <c r="BB98">
        <v>0.90500000000000003</v>
      </c>
      <c r="BC98">
        <v>85.933845931694037</v>
      </c>
      <c r="BD98">
        <v>0.94550000000000001</v>
      </c>
      <c r="BE98">
        <v>81.25</v>
      </c>
      <c r="BF98">
        <v>8.9176000000000002</v>
      </c>
      <c r="BG98">
        <v>0.77</v>
      </c>
      <c r="BH98">
        <v>5962.3807969390264</v>
      </c>
      <c r="BI98">
        <v>1.0003042596348879</v>
      </c>
      <c r="BJ98">
        <v>5964.1949000000004</v>
      </c>
    </row>
    <row r="99" spans="1:62" x14ac:dyDescent="0.25">
      <c r="A99">
        <v>4848</v>
      </c>
      <c r="B99" t="s">
        <v>114</v>
      </c>
      <c r="C99">
        <v>2021</v>
      </c>
      <c r="D99">
        <v>1</v>
      </c>
      <c r="E99" t="s">
        <v>218</v>
      </c>
      <c r="F99" t="s">
        <v>219</v>
      </c>
      <c r="G99" t="s">
        <v>220</v>
      </c>
      <c r="H99" t="s">
        <v>17</v>
      </c>
      <c r="I99" t="s">
        <v>246</v>
      </c>
      <c r="J99" t="s">
        <v>247</v>
      </c>
      <c r="K99">
        <v>-747.10109075000003</v>
      </c>
      <c r="L99" t="s">
        <v>248</v>
      </c>
      <c r="M99" t="s">
        <v>237</v>
      </c>
      <c r="N99">
        <v>2.2580780904460002E-2</v>
      </c>
      <c r="O99">
        <v>16.870125999999999</v>
      </c>
      <c r="P99" t="s">
        <v>21</v>
      </c>
      <c r="Q99">
        <v>1</v>
      </c>
      <c r="W99">
        <v>1</v>
      </c>
      <c r="X99">
        <v>0</v>
      </c>
      <c r="AA99" t="s">
        <v>225</v>
      </c>
      <c r="AB99" t="s">
        <v>226</v>
      </c>
      <c r="AC99" t="s">
        <v>227</v>
      </c>
      <c r="AD99" t="s">
        <v>101</v>
      </c>
      <c r="AE99">
        <v>109.354</v>
      </c>
      <c r="AF99">
        <v>1.0727760310708341</v>
      </c>
      <c r="AG99">
        <v>117.31235010172</v>
      </c>
      <c r="AH99">
        <v>694.38</v>
      </c>
      <c r="AI99">
        <v>0.875</v>
      </c>
      <c r="AJ99">
        <v>71.276930955678296</v>
      </c>
      <c r="AK99">
        <v>1.0077</v>
      </c>
      <c r="AL99">
        <v>71.825999999999993</v>
      </c>
      <c r="AM99">
        <v>8.9176000000000002</v>
      </c>
      <c r="AN99">
        <v>9.5665875346772715</v>
      </c>
      <c r="AO99">
        <v>0.91300000000000003</v>
      </c>
      <c r="AP99">
        <v>6064.9193587765631</v>
      </c>
      <c r="AQ99">
        <v>1.0255267423014589</v>
      </c>
      <c r="AR99">
        <v>6219.7370000000001</v>
      </c>
      <c r="AT99" t="s">
        <v>228</v>
      </c>
      <c r="AU99" t="s">
        <v>229</v>
      </c>
      <c r="AV99" t="s">
        <v>227</v>
      </c>
      <c r="AW99" t="s">
        <v>101</v>
      </c>
      <c r="AX99">
        <v>109.354</v>
      </c>
      <c r="AY99">
        <v>1.0833851741009131</v>
      </c>
      <c r="AZ99">
        <v>118.47250232863119</v>
      </c>
      <c r="BA99">
        <v>801.49</v>
      </c>
      <c r="BB99">
        <v>0.90500000000000003</v>
      </c>
      <c r="BC99">
        <v>85.933845931694037</v>
      </c>
      <c r="BD99">
        <v>1.0154000000000001</v>
      </c>
      <c r="BE99">
        <v>87.257000000000005</v>
      </c>
      <c r="BF99">
        <v>8.9176000000000002</v>
      </c>
      <c r="BG99">
        <v>0.77</v>
      </c>
      <c r="BH99">
        <v>5962.3807969390264</v>
      </c>
      <c r="BI99">
        <v>1.0150931928687199</v>
      </c>
      <c r="BJ99">
        <v>6052.3721999999998</v>
      </c>
    </row>
    <row r="100" spans="1:62" x14ac:dyDescent="0.25">
      <c r="A100">
        <v>1206</v>
      </c>
      <c r="B100" t="s">
        <v>114</v>
      </c>
      <c r="C100">
        <v>2021</v>
      </c>
      <c r="D100">
        <v>1</v>
      </c>
      <c r="E100" t="s">
        <v>218</v>
      </c>
      <c r="F100" t="s">
        <v>219</v>
      </c>
      <c r="G100" t="s">
        <v>220</v>
      </c>
      <c r="H100" t="s">
        <v>17</v>
      </c>
      <c r="I100" t="s">
        <v>249</v>
      </c>
      <c r="J100" t="s">
        <v>250</v>
      </c>
      <c r="K100">
        <v>-753.26639003000003</v>
      </c>
      <c r="L100" t="s">
        <v>250</v>
      </c>
      <c r="M100" t="s">
        <v>231</v>
      </c>
      <c r="N100">
        <v>4.9898993999990003E-2</v>
      </c>
      <c r="O100">
        <v>37.587235</v>
      </c>
      <c r="P100" t="s">
        <v>21</v>
      </c>
      <c r="Q100">
        <v>1</v>
      </c>
      <c r="W100">
        <v>1</v>
      </c>
      <c r="X100">
        <v>0</v>
      </c>
      <c r="AA100" t="s">
        <v>225</v>
      </c>
      <c r="AB100" t="s">
        <v>226</v>
      </c>
      <c r="AC100" t="s">
        <v>227</v>
      </c>
      <c r="AD100" t="s">
        <v>100</v>
      </c>
      <c r="AE100">
        <v>109.354</v>
      </c>
      <c r="AF100">
        <v>1.0727760310708341</v>
      </c>
      <c r="AG100">
        <v>117.31235010172</v>
      </c>
      <c r="AH100">
        <v>694.38</v>
      </c>
      <c r="AI100">
        <v>0.875</v>
      </c>
      <c r="AJ100">
        <v>71.276930955678296</v>
      </c>
      <c r="AK100">
        <v>0.96660000000000001</v>
      </c>
      <c r="AL100">
        <v>68.896000000000001</v>
      </c>
      <c r="AM100">
        <v>8.9176000000000002</v>
      </c>
      <c r="AN100">
        <v>9.5665875346772715</v>
      </c>
      <c r="AO100">
        <v>0.91300000000000003</v>
      </c>
      <c r="AP100">
        <v>6064.9193587765631</v>
      </c>
      <c r="AQ100">
        <v>0.98316430020283985</v>
      </c>
      <c r="AR100">
        <v>5962.8122000000003</v>
      </c>
      <c r="AT100" t="s">
        <v>228</v>
      </c>
      <c r="AU100" t="s">
        <v>229</v>
      </c>
      <c r="AV100" t="s">
        <v>227</v>
      </c>
      <c r="AW100" t="s">
        <v>100</v>
      </c>
      <c r="AX100">
        <v>109.354</v>
      </c>
      <c r="AY100">
        <v>1.0833851741009131</v>
      </c>
      <c r="AZ100">
        <v>118.47250232863119</v>
      </c>
      <c r="BA100">
        <v>801.49</v>
      </c>
      <c r="BB100">
        <v>0.90500000000000003</v>
      </c>
      <c r="BC100">
        <v>85.933845931694037</v>
      </c>
      <c r="BD100">
        <v>0.94550000000000001</v>
      </c>
      <c r="BE100">
        <v>81.25</v>
      </c>
      <c r="BF100">
        <v>8.9176000000000002</v>
      </c>
      <c r="BG100">
        <v>0.77</v>
      </c>
      <c r="BH100">
        <v>5962.3807969390264</v>
      </c>
      <c r="BI100">
        <v>1.0003042596348879</v>
      </c>
      <c r="BJ100">
        <v>5964.1949000000004</v>
      </c>
    </row>
    <row r="101" spans="1:62" x14ac:dyDescent="0.25">
      <c r="A101">
        <v>1208</v>
      </c>
      <c r="B101" t="s">
        <v>114</v>
      </c>
      <c r="C101">
        <v>2021</v>
      </c>
      <c r="D101">
        <v>1</v>
      </c>
      <c r="E101" t="s">
        <v>218</v>
      </c>
      <c r="F101" t="s">
        <v>219</v>
      </c>
      <c r="G101" t="s">
        <v>220</v>
      </c>
      <c r="H101" t="s">
        <v>17</v>
      </c>
      <c r="I101" t="s">
        <v>249</v>
      </c>
      <c r="J101" t="s">
        <v>250</v>
      </c>
      <c r="K101">
        <v>-753.26639003000003</v>
      </c>
      <c r="L101" t="s">
        <v>250</v>
      </c>
      <c r="M101" t="s">
        <v>232</v>
      </c>
      <c r="N101">
        <v>0.97472100599996003</v>
      </c>
      <c r="O101">
        <v>734.22457299999996</v>
      </c>
      <c r="P101" t="s">
        <v>21</v>
      </c>
      <c r="Q101">
        <v>1</v>
      </c>
      <c r="W101">
        <v>1</v>
      </c>
      <c r="X101">
        <v>0</v>
      </c>
      <c r="AA101" t="s">
        <v>225</v>
      </c>
      <c r="AB101" t="s">
        <v>226</v>
      </c>
      <c r="AC101" t="s">
        <v>227</v>
      </c>
      <c r="AD101" t="s">
        <v>101</v>
      </c>
      <c r="AE101">
        <v>109.354</v>
      </c>
      <c r="AF101">
        <v>1.0727760310708341</v>
      </c>
      <c r="AG101">
        <v>117.31235010172</v>
      </c>
      <c r="AH101">
        <v>694.38</v>
      </c>
      <c r="AI101">
        <v>0.875</v>
      </c>
      <c r="AJ101">
        <v>71.276930955678296</v>
      </c>
      <c r="AK101">
        <v>1.0077</v>
      </c>
      <c r="AL101">
        <v>71.825999999999993</v>
      </c>
      <c r="AM101">
        <v>8.9176000000000002</v>
      </c>
      <c r="AN101">
        <v>9.5665875346772715</v>
      </c>
      <c r="AO101">
        <v>0.91300000000000003</v>
      </c>
      <c r="AP101">
        <v>6064.9193587765631</v>
      </c>
      <c r="AQ101">
        <v>1.0255267423014589</v>
      </c>
      <c r="AR101">
        <v>6219.7370000000001</v>
      </c>
      <c r="AT101" t="s">
        <v>228</v>
      </c>
      <c r="AU101" t="s">
        <v>229</v>
      </c>
      <c r="AV101" t="s">
        <v>227</v>
      </c>
      <c r="AW101" t="s">
        <v>101</v>
      </c>
      <c r="AX101">
        <v>109.354</v>
      </c>
      <c r="AY101">
        <v>1.0833851741009131</v>
      </c>
      <c r="AZ101">
        <v>118.47250232863119</v>
      </c>
      <c r="BA101">
        <v>801.49</v>
      </c>
      <c r="BB101">
        <v>0.90500000000000003</v>
      </c>
      <c r="BC101">
        <v>85.933845931694037</v>
      </c>
      <c r="BD101">
        <v>1.0154000000000001</v>
      </c>
      <c r="BE101">
        <v>87.257000000000005</v>
      </c>
      <c r="BF101">
        <v>8.9176000000000002</v>
      </c>
      <c r="BG101">
        <v>0.77</v>
      </c>
      <c r="BH101">
        <v>5962.3807969390264</v>
      </c>
      <c r="BI101">
        <v>1.0150931928687199</v>
      </c>
      <c r="BJ101">
        <v>6052.3721999999998</v>
      </c>
    </row>
    <row r="102" spans="1:62" x14ac:dyDescent="0.25">
      <c r="A102">
        <v>4850</v>
      </c>
      <c r="B102" t="s">
        <v>114</v>
      </c>
      <c r="C102">
        <v>2021</v>
      </c>
      <c r="D102">
        <v>1</v>
      </c>
      <c r="E102" t="s">
        <v>218</v>
      </c>
      <c r="F102" t="s">
        <v>251</v>
      </c>
      <c r="G102" t="s">
        <v>252</v>
      </c>
      <c r="H102" t="s">
        <v>17</v>
      </c>
      <c r="I102" t="s">
        <v>253</v>
      </c>
      <c r="J102" t="s">
        <v>222</v>
      </c>
      <c r="K102">
        <v>-487.03400127999998</v>
      </c>
      <c r="L102" t="s">
        <v>223</v>
      </c>
      <c r="M102" t="s">
        <v>224</v>
      </c>
      <c r="N102">
        <v>8.7524974586199993E-3</v>
      </c>
      <c r="O102">
        <v>4.2627639999999998</v>
      </c>
      <c r="P102" t="s">
        <v>21</v>
      </c>
      <c r="Q102">
        <v>1</v>
      </c>
      <c r="W102">
        <v>1</v>
      </c>
      <c r="X102">
        <v>0</v>
      </c>
      <c r="AA102" t="s">
        <v>225</v>
      </c>
      <c r="AB102" t="s">
        <v>226</v>
      </c>
      <c r="AC102" t="s">
        <v>227</v>
      </c>
      <c r="AD102" t="s">
        <v>153</v>
      </c>
      <c r="AE102">
        <v>109.354</v>
      </c>
      <c r="AF102">
        <v>1.0727760310708341</v>
      </c>
      <c r="AG102">
        <v>117.31235010172</v>
      </c>
      <c r="AH102">
        <v>694.38</v>
      </c>
      <c r="AI102">
        <v>0.875</v>
      </c>
      <c r="AJ102">
        <v>71.276930955678296</v>
      </c>
      <c r="AK102">
        <v>1.0034000000000001</v>
      </c>
      <c r="AL102">
        <v>71.519000000000005</v>
      </c>
      <c r="AM102">
        <v>8.9176000000000002</v>
      </c>
      <c r="AN102">
        <v>9.5665875346772715</v>
      </c>
      <c r="AO102">
        <v>0.91300000000000003</v>
      </c>
      <c r="AP102">
        <v>6064.9193587765631</v>
      </c>
      <c r="AQ102">
        <v>1</v>
      </c>
      <c r="AR102">
        <v>6064.9193999999998</v>
      </c>
      <c r="AT102" t="s">
        <v>228</v>
      </c>
      <c r="AU102" t="s">
        <v>229</v>
      </c>
      <c r="AV102" t="s">
        <v>227</v>
      </c>
      <c r="AW102" t="s">
        <v>153</v>
      </c>
      <c r="AX102">
        <v>109.354</v>
      </c>
      <c r="AY102">
        <v>1.0833851741009131</v>
      </c>
      <c r="AZ102">
        <v>118.47250232863119</v>
      </c>
      <c r="BA102">
        <v>801.49</v>
      </c>
      <c r="BB102">
        <v>0.90500000000000003</v>
      </c>
      <c r="BC102">
        <v>85.933845931694037</v>
      </c>
      <c r="BD102">
        <v>1.0470999999999999</v>
      </c>
      <c r="BE102">
        <v>89.980999999999995</v>
      </c>
      <c r="BF102">
        <v>8.9176000000000002</v>
      </c>
      <c r="BG102">
        <v>0.77</v>
      </c>
      <c r="BH102">
        <v>5962.3807969390264</v>
      </c>
      <c r="BI102">
        <v>1</v>
      </c>
      <c r="BJ102">
        <v>5962.3807999999999</v>
      </c>
    </row>
    <row r="103" spans="1:62" x14ac:dyDescent="0.25">
      <c r="A103">
        <v>4852</v>
      </c>
      <c r="B103" t="s">
        <v>114</v>
      </c>
      <c r="C103">
        <v>2021</v>
      </c>
      <c r="D103">
        <v>1</v>
      </c>
      <c r="E103" t="s">
        <v>218</v>
      </c>
      <c r="F103" t="s">
        <v>251</v>
      </c>
      <c r="G103" t="s">
        <v>252</v>
      </c>
      <c r="H103" t="s">
        <v>17</v>
      </c>
      <c r="I103" t="s">
        <v>253</v>
      </c>
      <c r="J103" t="s">
        <v>222</v>
      </c>
      <c r="K103">
        <v>-487.03400127999998</v>
      </c>
      <c r="L103" t="s">
        <v>223</v>
      </c>
      <c r="M103" t="s">
        <v>230</v>
      </c>
      <c r="N103">
        <v>0.16047331440265999</v>
      </c>
      <c r="O103">
        <v>78.155959999999993</v>
      </c>
      <c r="P103" t="s">
        <v>21</v>
      </c>
      <c r="Q103">
        <v>1</v>
      </c>
      <c r="W103">
        <v>1</v>
      </c>
      <c r="X103">
        <v>0</v>
      </c>
      <c r="AA103" t="s">
        <v>225</v>
      </c>
      <c r="AB103" t="s">
        <v>226</v>
      </c>
      <c r="AC103" t="s">
        <v>227</v>
      </c>
      <c r="AD103" t="s">
        <v>154</v>
      </c>
      <c r="AE103">
        <v>109.354</v>
      </c>
      <c r="AF103">
        <v>1.0727760310708341</v>
      </c>
      <c r="AG103">
        <v>117.31235010172</v>
      </c>
      <c r="AH103">
        <v>694.38</v>
      </c>
      <c r="AI103">
        <v>0.875</v>
      </c>
      <c r="AJ103">
        <v>71.276930955678296</v>
      </c>
      <c r="AK103">
        <v>1.0179</v>
      </c>
      <c r="AL103">
        <v>72.552999999999997</v>
      </c>
      <c r="AM103">
        <v>8.9176000000000002</v>
      </c>
      <c r="AN103">
        <v>9.5665875346772715</v>
      </c>
      <c r="AO103">
        <v>0.91300000000000003</v>
      </c>
      <c r="AP103">
        <v>6064.9193587765631</v>
      </c>
      <c r="AQ103">
        <v>0.98975009761811794</v>
      </c>
      <c r="AR103">
        <v>6002.7545</v>
      </c>
      <c r="AT103" t="s">
        <v>228</v>
      </c>
      <c r="AU103" t="s">
        <v>229</v>
      </c>
      <c r="AV103" t="s">
        <v>227</v>
      </c>
      <c r="AW103" t="s">
        <v>154</v>
      </c>
      <c r="AX103">
        <v>109.354</v>
      </c>
      <c r="AY103">
        <v>1.0833851741009131</v>
      </c>
      <c r="AZ103">
        <v>118.47250232863119</v>
      </c>
      <c r="BA103">
        <v>801.49</v>
      </c>
      <c r="BB103">
        <v>0.90500000000000003</v>
      </c>
      <c r="BC103">
        <v>85.933845931694037</v>
      </c>
      <c r="BD103">
        <v>0.99380000000000002</v>
      </c>
      <c r="BE103">
        <v>85.400999999999996</v>
      </c>
      <c r="BF103">
        <v>8.9176000000000002</v>
      </c>
      <c r="BG103">
        <v>0.77</v>
      </c>
      <c r="BH103">
        <v>5962.3807969390264</v>
      </c>
      <c r="BI103">
        <v>0.98418586489652482</v>
      </c>
      <c r="BJ103">
        <v>5868.0909000000001</v>
      </c>
    </row>
    <row r="104" spans="1:62" x14ac:dyDescent="0.25">
      <c r="A104">
        <v>4854</v>
      </c>
      <c r="B104" t="s">
        <v>114</v>
      </c>
      <c r="C104">
        <v>2021</v>
      </c>
      <c r="D104">
        <v>1</v>
      </c>
      <c r="E104" t="s">
        <v>218</v>
      </c>
      <c r="F104" t="s">
        <v>251</v>
      </c>
      <c r="G104" t="s">
        <v>252</v>
      </c>
      <c r="H104" t="s">
        <v>17</v>
      </c>
      <c r="I104" t="s">
        <v>253</v>
      </c>
      <c r="J104" t="s">
        <v>222</v>
      </c>
      <c r="K104">
        <v>-487.03400127999998</v>
      </c>
      <c r="L104" t="s">
        <v>223</v>
      </c>
      <c r="M104" t="s">
        <v>231</v>
      </c>
      <c r="N104">
        <v>4.5018334813739999E-2</v>
      </c>
      <c r="O104">
        <v>21.925460000000001</v>
      </c>
      <c r="P104" t="s">
        <v>21</v>
      </c>
      <c r="Q104">
        <v>1</v>
      </c>
      <c r="W104">
        <v>1</v>
      </c>
      <c r="X104">
        <v>0</v>
      </c>
      <c r="AA104" t="s">
        <v>225</v>
      </c>
      <c r="AB104" t="s">
        <v>226</v>
      </c>
      <c r="AC104" t="s">
        <v>227</v>
      </c>
      <c r="AD104" t="s">
        <v>100</v>
      </c>
      <c r="AE104">
        <v>109.354</v>
      </c>
      <c r="AF104">
        <v>1.0727760310708341</v>
      </c>
      <c r="AG104">
        <v>117.31235010172</v>
      </c>
      <c r="AH104">
        <v>694.38</v>
      </c>
      <c r="AI104">
        <v>0.875</v>
      </c>
      <c r="AJ104">
        <v>71.276930955678296</v>
      </c>
      <c r="AK104">
        <v>0.96660000000000001</v>
      </c>
      <c r="AL104">
        <v>68.896000000000001</v>
      </c>
      <c r="AM104">
        <v>8.9176000000000002</v>
      </c>
      <c r="AN104">
        <v>9.5665875346772715</v>
      </c>
      <c r="AO104">
        <v>0.91300000000000003</v>
      </c>
      <c r="AP104">
        <v>6064.9193587765631</v>
      </c>
      <c r="AQ104">
        <v>0.98316430020283985</v>
      </c>
      <c r="AR104">
        <v>5962.8122000000003</v>
      </c>
      <c r="AT104" t="s">
        <v>228</v>
      </c>
      <c r="AU104" t="s">
        <v>229</v>
      </c>
      <c r="AV104" t="s">
        <v>227</v>
      </c>
      <c r="AW104" t="s">
        <v>100</v>
      </c>
      <c r="AX104">
        <v>109.354</v>
      </c>
      <c r="AY104">
        <v>1.0833851741009131</v>
      </c>
      <c r="AZ104">
        <v>118.47250232863119</v>
      </c>
      <c r="BA104">
        <v>801.49</v>
      </c>
      <c r="BB104">
        <v>0.90500000000000003</v>
      </c>
      <c r="BC104">
        <v>85.933845931694037</v>
      </c>
      <c r="BD104">
        <v>0.94550000000000001</v>
      </c>
      <c r="BE104">
        <v>81.25</v>
      </c>
      <c r="BF104">
        <v>8.9176000000000002</v>
      </c>
      <c r="BG104">
        <v>0.77</v>
      </c>
      <c r="BH104">
        <v>5962.3807969390264</v>
      </c>
      <c r="BI104">
        <v>1.0003042596348879</v>
      </c>
      <c r="BJ104">
        <v>5964.1949000000004</v>
      </c>
    </row>
    <row r="105" spans="1:62" x14ac:dyDescent="0.25">
      <c r="A105">
        <v>4856</v>
      </c>
      <c r="B105" t="s">
        <v>114</v>
      </c>
      <c r="C105">
        <v>2021</v>
      </c>
      <c r="D105">
        <v>1</v>
      </c>
      <c r="E105" t="s">
        <v>218</v>
      </c>
      <c r="F105" t="s">
        <v>251</v>
      </c>
      <c r="G105" t="s">
        <v>252</v>
      </c>
      <c r="H105" t="s">
        <v>17</v>
      </c>
      <c r="I105" t="s">
        <v>253</v>
      </c>
      <c r="J105" t="s">
        <v>222</v>
      </c>
      <c r="K105">
        <v>-487.03400127999998</v>
      </c>
      <c r="L105" t="s">
        <v>223</v>
      </c>
      <c r="M105" t="s">
        <v>232</v>
      </c>
      <c r="N105">
        <v>0.87398007306502001</v>
      </c>
      <c r="O105">
        <v>425.65801199999999</v>
      </c>
      <c r="P105" t="s">
        <v>21</v>
      </c>
      <c r="Q105">
        <v>1</v>
      </c>
      <c r="W105">
        <v>1</v>
      </c>
      <c r="X105">
        <v>0</v>
      </c>
      <c r="AA105" t="s">
        <v>225</v>
      </c>
      <c r="AB105" t="s">
        <v>226</v>
      </c>
      <c r="AC105" t="s">
        <v>227</v>
      </c>
      <c r="AD105" t="s">
        <v>101</v>
      </c>
      <c r="AE105">
        <v>109.354</v>
      </c>
      <c r="AF105">
        <v>1.0727760310708341</v>
      </c>
      <c r="AG105">
        <v>117.31235010172</v>
      </c>
      <c r="AH105">
        <v>694.38</v>
      </c>
      <c r="AI105">
        <v>0.875</v>
      </c>
      <c r="AJ105">
        <v>71.276930955678296</v>
      </c>
      <c r="AK105">
        <v>1.0077</v>
      </c>
      <c r="AL105">
        <v>71.825999999999993</v>
      </c>
      <c r="AM105">
        <v>8.9176000000000002</v>
      </c>
      <c r="AN105">
        <v>9.5665875346772715</v>
      </c>
      <c r="AO105">
        <v>0.91300000000000003</v>
      </c>
      <c r="AP105">
        <v>6064.9193587765631</v>
      </c>
      <c r="AQ105">
        <v>1.0255267423014589</v>
      </c>
      <c r="AR105">
        <v>6219.7370000000001</v>
      </c>
      <c r="AT105" t="s">
        <v>228</v>
      </c>
      <c r="AU105" t="s">
        <v>229</v>
      </c>
      <c r="AV105" t="s">
        <v>227</v>
      </c>
      <c r="AW105" t="s">
        <v>101</v>
      </c>
      <c r="AX105">
        <v>109.354</v>
      </c>
      <c r="AY105">
        <v>1.0833851741009131</v>
      </c>
      <c r="AZ105">
        <v>118.47250232863119</v>
      </c>
      <c r="BA105">
        <v>801.49</v>
      </c>
      <c r="BB105">
        <v>0.90500000000000003</v>
      </c>
      <c r="BC105">
        <v>85.933845931694037</v>
      </c>
      <c r="BD105">
        <v>1.0154000000000001</v>
      </c>
      <c r="BE105">
        <v>87.257000000000005</v>
      </c>
      <c r="BF105">
        <v>8.9176000000000002</v>
      </c>
      <c r="BG105">
        <v>0.77</v>
      </c>
      <c r="BH105">
        <v>5962.3807969390264</v>
      </c>
      <c r="BI105">
        <v>1.0150931928687199</v>
      </c>
      <c r="BJ105">
        <v>6052.3721999999998</v>
      </c>
    </row>
    <row r="106" spans="1:62" x14ac:dyDescent="0.25">
      <c r="A106">
        <v>2418</v>
      </c>
      <c r="B106" t="s">
        <v>114</v>
      </c>
      <c r="C106">
        <v>2021</v>
      </c>
      <c r="D106">
        <v>1</v>
      </c>
      <c r="E106" t="s">
        <v>218</v>
      </c>
      <c r="F106" t="s">
        <v>251</v>
      </c>
      <c r="G106" t="s">
        <v>252</v>
      </c>
      <c r="H106" t="s">
        <v>17</v>
      </c>
      <c r="I106" t="s">
        <v>254</v>
      </c>
      <c r="J106" t="s">
        <v>234</v>
      </c>
      <c r="K106">
        <v>-1292.0884273900001</v>
      </c>
      <c r="L106" t="s">
        <v>234</v>
      </c>
      <c r="M106" t="s">
        <v>224</v>
      </c>
      <c r="N106">
        <v>8.5771088379299996E-3</v>
      </c>
      <c r="O106">
        <v>11.082383</v>
      </c>
      <c r="P106" t="s">
        <v>21</v>
      </c>
      <c r="Q106">
        <v>1</v>
      </c>
      <c r="W106">
        <v>1</v>
      </c>
      <c r="X106">
        <v>0</v>
      </c>
      <c r="AA106" t="s">
        <v>225</v>
      </c>
      <c r="AB106" t="s">
        <v>226</v>
      </c>
      <c r="AC106" t="s">
        <v>227</v>
      </c>
      <c r="AD106" t="s">
        <v>153</v>
      </c>
      <c r="AE106">
        <v>109.354</v>
      </c>
      <c r="AF106">
        <v>1.0727760310708341</v>
      </c>
      <c r="AG106">
        <v>117.31235010172</v>
      </c>
      <c r="AH106">
        <v>694.38</v>
      </c>
      <c r="AI106">
        <v>0.875</v>
      </c>
      <c r="AJ106">
        <v>71.276930955678296</v>
      </c>
      <c r="AK106">
        <v>1.0034000000000001</v>
      </c>
      <c r="AL106">
        <v>71.519000000000005</v>
      </c>
      <c r="AM106">
        <v>8.9176000000000002</v>
      </c>
      <c r="AN106">
        <v>9.5665875346772715</v>
      </c>
      <c r="AO106">
        <v>0.91300000000000003</v>
      </c>
      <c r="AP106">
        <v>6064.9193587765631</v>
      </c>
      <c r="AQ106">
        <v>1</v>
      </c>
      <c r="AR106">
        <v>6064.9193999999998</v>
      </c>
      <c r="AT106" t="s">
        <v>228</v>
      </c>
      <c r="AU106" t="s">
        <v>229</v>
      </c>
      <c r="AV106" t="s">
        <v>227</v>
      </c>
      <c r="AW106" t="s">
        <v>153</v>
      </c>
      <c r="AX106">
        <v>109.354</v>
      </c>
      <c r="AY106">
        <v>1.0833851741009131</v>
      </c>
      <c r="AZ106">
        <v>118.47250232863119</v>
      </c>
      <c r="BA106">
        <v>801.49</v>
      </c>
      <c r="BB106">
        <v>0.90500000000000003</v>
      </c>
      <c r="BC106">
        <v>85.933845931694037</v>
      </c>
      <c r="BD106">
        <v>1.0470999999999999</v>
      </c>
      <c r="BE106">
        <v>89.980999999999995</v>
      </c>
      <c r="BF106">
        <v>8.9176000000000002</v>
      </c>
      <c r="BG106">
        <v>0.77</v>
      </c>
      <c r="BH106">
        <v>5962.3807969390264</v>
      </c>
      <c r="BI106">
        <v>1</v>
      </c>
      <c r="BJ106">
        <v>5962.3807999999999</v>
      </c>
    </row>
    <row r="107" spans="1:62" x14ac:dyDescent="0.25">
      <c r="A107">
        <v>2420</v>
      </c>
      <c r="B107" t="s">
        <v>114</v>
      </c>
      <c r="C107">
        <v>2021</v>
      </c>
      <c r="D107">
        <v>1</v>
      </c>
      <c r="E107" t="s">
        <v>218</v>
      </c>
      <c r="F107" t="s">
        <v>251</v>
      </c>
      <c r="G107" t="s">
        <v>252</v>
      </c>
      <c r="H107" t="s">
        <v>17</v>
      </c>
      <c r="I107" t="s">
        <v>254</v>
      </c>
      <c r="J107" t="s">
        <v>234</v>
      </c>
      <c r="K107">
        <v>-1292.0884273900001</v>
      </c>
      <c r="L107" t="s">
        <v>234</v>
      </c>
      <c r="M107" t="s">
        <v>235</v>
      </c>
      <c r="N107">
        <v>0.60124209651893001</v>
      </c>
      <c r="O107">
        <v>776.85795499999995</v>
      </c>
      <c r="P107" t="s">
        <v>21</v>
      </c>
      <c r="Q107">
        <v>1</v>
      </c>
      <c r="W107">
        <v>1</v>
      </c>
      <c r="X107">
        <v>0</v>
      </c>
      <c r="AA107" t="s">
        <v>225</v>
      </c>
      <c r="AB107" t="s">
        <v>226</v>
      </c>
      <c r="AC107" t="s">
        <v>227</v>
      </c>
      <c r="AD107" t="s">
        <v>154</v>
      </c>
      <c r="AE107">
        <v>109.354</v>
      </c>
      <c r="AF107">
        <v>1.0727760310708341</v>
      </c>
      <c r="AG107">
        <v>117.31235010172</v>
      </c>
      <c r="AH107">
        <v>694.38</v>
      </c>
      <c r="AI107">
        <v>0.875</v>
      </c>
      <c r="AJ107">
        <v>71.276930955678296</v>
      </c>
      <c r="AK107">
        <v>1.0179</v>
      </c>
      <c r="AL107">
        <v>72.552999999999997</v>
      </c>
      <c r="AM107">
        <v>8.9176000000000002</v>
      </c>
      <c r="AN107">
        <v>9.5665875346772715</v>
      </c>
      <c r="AO107">
        <v>0.91300000000000003</v>
      </c>
      <c r="AP107">
        <v>6064.9193587765631</v>
      </c>
      <c r="AQ107">
        <v>0.98975009761811794</v>
      </c>
      <c r="AR107">
        <v>6002.7545</v>
      </c>
      <c r="AT107" t="s">
        <v>228</v>
      </c>
      <c r="AU107" t="s">
        <v>229</v>
      </c>
      <c r="AV107" t="s">
        <v>227</v>
      </c>
      <c r="AW107" t="s">
        <v>154</v>
      </c>
      <c r="AX107">
        <v>109.354</v>
      </c>
      <c r="AY107">
        <v>1.0833851741009131</v>
      </c>
      <c r="AZ107">
        <v>118.47250232863119</v>
      </c>
      <c r="BA107">
        <v>801.49</v>
      </c>
      <c r="BB107">
        <v>0.90500000000000003</v>
      </c>
      <c r="BC107">
        <v>85.933845931694037</v>
      </c>
      <c r="BD107">
        <v>0.99380000000000002</v>
      </c>
      <c r="BE107">
        <v>85.400999999999996</v>
      </c>
      <c r="BF107">
        <v>8.9176000000000002</v>
      </c>
      <c r="BG107">
        <v>0.77</v>
      </c>
      <c r="BH107">
        <v>5962.3807969390264</v>
      </c>
      <c r="BI107">
        <v>0.98418586489652482</v>
      </c>
      <c r="BJ107">
        <v>5868.0909000000001</v>
      </c>
    </row>
    <row r="108" spans="1:62" x14ac:dyDescent="0.25">
      <c r="A108">
        <v>2422</v>
      </c>
      <c r="B108" t="s">
        <v>114</v>
      </c>
      <c r="C108">
        <v>2021</v>
      </c>
      <c r="D108">
        <v>1</v>
      </c>
      <c r="E108" t="s">
        <v>218</v>
      </c>
      <c r="F108" t="s">
        <v>251</v>
      </c>
      <c r="G108" t="s">
        <v>252</v>
      </c>
      <c r="H108" t="s">
        <v>17</v>
      </c>
      <c r="I108" t="s">
        <v>254</v>
      </c>
      <c r="J108" t="s">
        <v>234</v>
      </c>
      <c r="K108">
        <v>-1292.0884273900001</v>
      </c>
      <c r="L108" t="s">
        <v>234</v>
      </c>
      <c r="M108" t="s">
        <v>236</v>
      </c>
      <c r="N108">
        <v>1.9808691721710001E-2</v>
      </c>
      <c r="O108">
        <v>25.594581000000002</v>
      </c>
      <c r="P108" t="s">
        <v>21</v>
      </c>
      <c r="Q108">
        <v>1</v>
      </c>
      <c r="W108">
        <v>1</v>
      </c>
      <c r="X108">
        <v>0</v>
      </c>
      <c r="AA108" t="s">
        <v>225</v>
      </c>
      <c r="AB108" t="s">
        <v>226</v>
      </c>
      <c r="AC108" t="s">
        <v>227</v>
      </c>
      <c r="AD108" t="s">
        <v>100</v>
      </c>
      <c r="AE108">
        <v>109.354</v>
      </c>
      <c r="AF108">
        <v>1.0727760310708341</v>
      </c>
      <c r="AG108">
        <v>117.31235010172</v>
      </c>
      <c r="AH108">
        <v>694.38</v>
      </c>
      <c r="AI108">
        <v>0.875</v>
      </c>
      <c r="AJ108">
        <v>71.276930955678296</v>
      </c>
      <c r="AK108">
        <v>0.96660000000000001</v>
      </c>
      <c r="AL108">
        <v>68.896000000000001</v>
      </c>
      <c r="AM108">
        <v>8.9176000000000002</v>
      </c>
      <c r="AN108">
        <v>9.5665875346772715</v>
      </c>
      <c r="AO108">
        <v>0.91300000000000003</v>
      </c>
      <c r="AP108">
        <v>6064.9193587765631</v>
      </c>
      <c r="AQ108">
        <v>0.98316430020283985</v>
      </c>
      <c r="AR108">
        <v>5962.8122000000003</v>
      </c>
      <c r="AT108" t="s">
        <v>228</v>
      </c>
      <c r="AU108" t="s">
        <v>229</v>
      </c>
      <c r="AV108" t="s">
        <v>227</v>
      </c>
      <c r="AW108" t="s">
        <v>100</v>
      </c>
      <c r="AX108">
        <v>109.354</v>
      </c>
      <c r="AY108">
        <v>1.0833851741009131</v>
      </c>
      <c r="AZ108">
        <v>118.47250232863119</v>
      </c>
      <c r="BA108">
        <v>801.49</v>
      </c>
      <c r="BB108">
        <v>0.90500000000000003</v>
      </c>
      <c r="BC108">
        <v>85.933845931694037</v>
      </c>
      <c r="BD108">
        <v>0.94550000000000001</v>
      </c>
      <c r="BE108">
        <v>81.25</v>
      </c>
      <c r="BF108">
        <v>8.9176000000000002</v>
      </c>
      <c r="BG108">
        <v>0.77</v>
      </c>
      <c r="BH108">
        <v>5962.3807969390264</v>
      </c>
      <c r="BI108">
        <v>1.0003042596348879</v>
      </c>
      <c r="BJ108">
        <v>5964.1949000000004</v>
      </c>
    </row>
    <row r="109" spans="1:62" x14ac:dyDescent="0.25">
      <c r="A109">
        <v>2424</v>
      </c>
      <c r="B109" t="s">
        <v>114</v>
      </c>
      <c r="C109">
        <v>2021</v>
      </c>
      <c r="D109">
        <v>1</v>
      </c>
      <c r="E109" t="s">
        <v>218</v>
      </c>
      <c r="F109" t="s">
        <v>251</v>
      </c>
      <c r="G109" t="s">
        <v>252</v>
      </c>
      <c r="H109" t="s">
        <v>17</v>
      </c>
      <c r="I109" t="s">
        <v>254</v>
      </c>
      <c r="J109" t="s">
        <v>234</v>
      </c>
      <c r="K109">
        <v>-1292.0884273900001</v>
      </c>
      <c r="L109" t="s">
        <v>234</v>
      </c>
      <c r="M109" t="s">
        <v>237</v>
      </c>
      <c r="N109">
        <v>0.39660634608572998</v>
      </c>
      <c r="O109">
        <v>512.45047</v>
      </c>
      <c r="P109" t="s">
        <v>21</v>
      </c>
      <c r="Q109">
        <v>1</v>
      </c>
      <c r="W109">
        <v>1</v>
      </c>
      <c r="X109">
        <v>0</v>
      </c>
      <c r="AA109" t="s">
        <v>225</v>
      </c>
      <c r="AB109" t="s">
        <v>226</v>
      </c>
      <c r="AC109" t="s">
        <v>227</v>
      </c>
      <c r="AD109" t="s">
        <v>101</v>
      </c>
      <c r="AE109">
        <v>109.354</v>
      </c>
      <c r="AF109">
        <v>1.0727760310708341</v>
      </c>
      <c r="AG109">
        <v>117.31235010172</v>
      </c>
      <c r="AH109">
        <v>694.38</v>
      </c>
      <c r="AI109">
        <v>0.875</v>
      </c>
      <c r="AJ109">
        <v>71.276930955678296</v>
      </c>
      <c r="AK109">
        <v>1.0077</v>
      </c>
      <c r="AL109">
        <v>71.825999999999993</v>
      </c>
      <c r="AM109">
        <v>8.9176000000000002</v>
      </c>
      <c r="AN109">
        <v>9.5665875346772715</v>
      </c>
      <c r="AO109">
        <v>0.91300000000000003</v>
      </c>
      <c r="AP109">
        <v>6064.9193587765631</v>
      </c>
      <c r="AQ109">
        <v>1.0255267423014589</v>
      </c>
      <c r="AR109">
        <v>6219.7370000000001</v>
      </c>
      <c r="AT109" t="s">
        <v>228</v>
      </c>
      <c r="AU109" t="s">
        <v>229</v>
      </c>
      <c r="AV109" t="s">
        <v>227</v>
      </c>
      <c r="AW109" t="s">
        <v>101</v>
      </c>
      <c r="AX109">
        <v>109.354</v>
      </c>
      <c r="AY109">
        <v>1.0833851741009131</v>
      </c>
      <c r="AZ109">
        <v>118.47250232863119</v>
      </c>
      <c r="BA109">
        <v>801.49</v>
      </c>
      <c r="BB109">
        <v>0.90500000000000003</v>
      </c>
      <c r="BC109">
        <v>85.933845931694037</v>
      </c>
      <c r="BD109">
        <v>1.0154000000000001</v>
      </c>
      <c r="BE109">
        <v>87.257000000000005</v>
      </c>
      <c r="BF109">
        <v>8.9176000000000002</v>
      </c>
      <c r="BG109">
        <v>0.77</v>
      </c>
      <c r="BH109">
        <v>5962.3807969390264</v>
      </c>
      <c r="BI109">
        <v>1.0150931928687199</v>
      </c>
      <c r="BJ109">
        <v>6052.3721999999998</v>
      </c>
    </row>
    <row r="110" spans="1:62" x14ac:dyDescent="0.25">
      <c r="A110">
        <v>2418</v>
      </c>
      <c r="B110" t="s">
        <v>114</v>
      </c>
      <c r="C110">
        <v>2021</v>
      </c>
      <c r="D110">
        <v>1</v>
      </c>
      <c r="E110" t="s">
        <v>218</v>
      </c>
      <c r="F110" t="s">
        <v>251</v>
      </c>
      <c r="G110" t="s">
        <v>252</v>
      </c>
      <c r="H110" t="s">
        <v>17</v>
      </c>
      <c r="I110" t="s">
        <v>255</v>
      </c>
      <c r="J110" t="s">
        <v>239</v>
      </c>
      <c r="K110">
        <v>-237.42900700999999</v>
      </c>
      <c r="L110" t="s">
        <v>240</v>
      </c>
      <c r="M110" t="s">
        <v>224</v>
      </c>
      <c r="N110">
        <v>1.1109205873409999E-2</v>
      </c>
      <c r="O110">
        <v>2.637648</v>
      </c>
      <c r="P110" t="s">
        <v>21</v>
      </c>
      <c r="Q110">
        <v>1</v>
      </c>
      <c r="W110">
        <v>1</v>
      </c>
      <c r="X110">
        <v>0</v>
      </c>
      <c r="AA110" t="s">
        <v>225</v>
      </c>
      <c r="AB110" t="s">
        <v>226</v>
      </c>
      <c r="AC110" t="s">
        <v>227</v>
      </c>
      <c r="AD110" t="s">
        <v>153</v>
      </c>
      <c r="AE110">
        <v>109.354</v>
      </c>
      <c r="AF110">
        <v>1.0727760310708341</v>
      </c>
      <c r="AG110">
        <v>117.31235010172</v>
      </c>
      <c r="AH110">
        <v>694.38</v>
      </c>
      <c r="AI110">
        <v>0.875</v>
      </c>
      <c r="AJ110">
        <v>71.276930955678296</v>
      </c>
      <c r="AK110">
        <v>1.0034000000000001</v>
      </c>
      <c r="AL110">
        <v>71.519000000000005</v>
      </c>
      <c r="AM110">
        <v>8.9176000000000002</v>
      </c>
      <c r="AN110">
        <v>9.5665875346772715</v>
      </c>
      <c r="AO110">
        <v>0.91300000000000003</v>
      </c>
      <c r="AP110">
        <v>6064.9193587765631</v>
      </c>
      <c r="AQ110">
        <v>1</v>
      </c>
      <c r="AR110">
        <v>6064.9193999999998</v>
      </c>
      <c r="AT110" t="s">
        <v>228</v>
      </c>
      <c r="AU110" t="s">
        <v>229</v>
      </c>
      <c r="AV110" t="s">
        <v>227</v>
      </c>
      <c r="AW110" t="s">
        <v>153</v>
      </c>
      <c r="AX110">
        <v>109.354</v>
      </c>
      <c r="AY110">
        <v>1.0833851741009131</v>
      </c>
      <c r="AZ110">
        <v>118.47250232863119</v>
      </c>
      <c r="BA110">
        <v>801.49</v>
      </c>
      <c r="BB110">
        <v>0.90500000000000003</v>
      </c>
      <c r="BC110">
        <v>85.933845931694037</v>
      </c>
      <c r="BD110">
        <v>1.0470999999999999</v>
      </c>
      <c r="BE110">
        <v>89.980999999999995</v>
      </c>
      <c r="BF110">
        <v>8.9176000000000002</v>
      </c>
      <c r="BG110">
        <v>0.77</v>
      </c>
      <c r="BH110">
        <v>5962.3807969390264</v>
      </c>
      <c r="BI110">
        <v>1</v>
      </c>
      <c r="BJ110">
        <v>5962.3807999999999</v>
      </c>
    </row>
    <row r="111" spans="1:62" x14ac:dyDescent="0.25">
      <c r="A111">
        <v>2420</v>
      </c>
      <c r="B111" t="s">
        <v>114</v>
      </c>
      <c r="C111">
        <v>2021</v>
      </c>
      <c r="D111">
        <v>1</v>
      </c>
      <c r="E111" t="s">
        <v>218</v>
      </c>
      <c r="F111" t="s">
        <v>251</v>
      </c>
      <c r="G111" t="s">
        <v>252</v>
      </c>
      <c r="H111" t="s">
        <v>17</v>
      </c>
      <c r="I111" t="s">
        <v>255</v>
      </c>
      <c r="J111" t="s">
        <v>239</v>
      </c>
      <c r="K111">
        <v>-237.42900700999999</v>
      </c>
      <c r="L111" t="s">
        <v>240</v>
      </c>
      <c r="M111" t="s">
        <v>235</v>
      </c>
      <c r="N111">
        <v>0.58148407621825005</v>
      </c>
      <c r="O111">
        <v>138.06118699999999</v>
      </c>
      <c r="P111" t="s">
        <v>21</v>
      </c>
      <c r="Q111">
        <v>1</v>
      </c>
      <c r="W111">
        <v>1</v>
      </c>
      <c r="X111">
        <v>0</v>
      </c>
      <c r="AA111" t="s">
        <v>225</v>
      </c>
      <c r="AB111" t="s">
        <v>226</v>
      </c>
      <c r="AC111" t="s">
        <v>227</v>
      </c>
      <c r="AD111" t="s">
        <v>154</v>
      </c>
      <c r="AE111">
        <v>109.354</v>
      </c>
      <c r="AF111">
        <v>1.0727760310708341</v>
      </c>
      <c r="AG111">
        <v>117.31235010172</v>
      </c>
      <c r="AH111">
        <v>694.38</v>
      </c>
      <c r="AI111">
        <v>0.875</v>
      </c>
      <c r="AJ111">
        <v>71.276930955678296</v>
      </c>
      <c r="AK111">
        <v>1.0179</v>
      </c>
      <c r="AL111">
        <v>72.552999999999997</v>
      </c>
      <c r="AM111">
        <v>8.9176000000000002</v>
      </c>
      <c r="AN111">
        <v>9.5665875346772715</v>
      </c>
      <c r="AO111">
        <v>0.91300000000000003</v>
      </c>
      <c r="AP111">
        <v>6064.9193587765631</v>
      </c>
      <c r="AQ111">
        <v>0.98975009761811794</v>
      </c>
      <c r="AR111">
        <v>6002.7545</v>
      </c>
      <c r="AT111" t="s">
        <v>228</v>
      </c>
      <c r="AU111" t="s">
        <v>229</v>
      </c>
      <c r="AV111" t="s">
        <v>227</v>
      </c>
      <c r="AW111" t="s">
        <v>154</v>
      </c>
      <c r="AX111">
        <v>109.354</v>
      </c>
      <c r="AY111">
        <v>1.0833851741009131</v>
      </c>
      <c r="AZ111">
        <v>118.47250232863119</v>
      </c>
      <c r="BA111">
        <v>801.49</v>
      </c>
      <c r="BB111">
        <v>0.90500000000000003</v>
      </c>
      <c r="BC111">
        <v>85.933845931694037</v>
      </c>
      <c r="BD111">
        <v>0.99380000000000002</v>
      </c>
      <c r="BE111">
        <v>85.400999999999996</v>
      </c>
      <c r="BF111">
        <v>8.9176000000000002</v>
      </c>
      <c r="BG111">
        <v>0.77</v>
      </c>
      <c r="BH111">
        <v>5962.3807969390264</v>
      </c>
      <c r="BI111">
        <v>0.98418586489652482</v>
      </c>
      <c r="BJ111">
        <v>5868.0909000000001</v>
      </c>
    </row>
    <row r="112" spans="1:62" x14ac:dyDescent="0.25">
      <c r="A112">
        <v>2422</v>
      </c>
      <c r="B112" t="s">
        <v>114</v>
      </c>
      <c r="C112">
        <v>2021</v>
      </c>
      <c r="D112">
        <v>1</v>
      </c>
      <c r="E112" t="s">
        <v>218</v>
      </c>
      <c r="F112" t="s">
        <v>251</v>
      </c>
      <c r="G112" t="s">
        <v>252</v>
      </c>
      <c r="H112" t="s">
        <v>17</v>
      </c>
      <c r="I112" t="s">
        <v>255</v>
      </c>
      <c r="J112" t="s">
        <v>239</v>
      </c>
      <c r="K112">
        <v>-237.42900700999999</v>
      </c>
      <c r="L112" t="s">
        <v>240</v>
      </c>
      <c r="M112" t="s">
        <v>236</v>
      </c>
      <c r="N112">
        <v>1.8083569973560001E-2</v>
      </c>
      <c r="O112">
        <v>4.2935639999999999</v>
      </c>
      <c r="P112" t="s">
        <v>21</v>
      </c>
      <c r="Q112">
        <v>1</v>
      </c>
      <c r="W112">
        <v>1</v>
      </c>
      <c r="X112">
        <v>0</v>
      </c>
      <c r="AA112" t="s">
        <v>225</v>
      </c>
      <c r="AB112" t="s">
        <v>226</v>
      </c>
      <c r="AC112" t="s">
        <v>227</v>
      </c>
      <c r="AD112" t="s">
        <v>100</v>
      </c>
      <c r="AE112">
        <v>109.354</v>
      </c>
      <c r="AF112">
        <v>1.0727760310708341</v>
      </c>
      <c r="AG112">
        <v>117.31235010172</v>
      </c>
      <c r="AH112">
        <v>694.38</v>
      </c>
      <c r="AI112">
        <v>0.875</v>
      </c>
      <c r="AJ112">
        <v>71.276930955678296</v>
      </c>
      <c r="AK112">
        <v>0.96660000000000001</v>
      </c>
      <c r="AL112">
        <v>68.896000000000001</v>
      </c>
      <c r="AM112">
        <v>8.9176000000000002</v>
      </c>
      <c r="AN112">
        <v>9.5665875346772715</v>
      </c>
      <c r="AO112">
        <v>0.91300000000000003</v>
      </c>
      <c r="AP112">
        <v>6064.9193587765631</v>
      </c>
      <c r="AQ112">
        <v>0.98316430020283985</v>
      </c>
      <c r="AR112">
        <v>5962.8122000000003</v>
      </c>
      <c r="AT112" t="s">
        <v>228</v>
      </c>
      <c r="AU112" t="s">
        <v>229</v>
      </c>
      <c r="AV112" t="s">
        <v>227</v>
      </c>
      <c r="AW112" t="s">
        <v>100</v>
      </c>
      <c r="AX112">
        <v>109.354</v>
      </c>
      <c r="AY112">
        <v>1.0833851741009131</v>
      </c>
      <c r="AZ112">
        <v>118.47250232863119</v>
      </c>
      <c r="BA112">
        <v>801.49</v>
      </c>
      <c r="BB112">
        <v>0.90500000000000003</v>
      </c>
      <c r="BC112">
        <v>85.933845931694037</v>
      </c>
      <c r="BD112">
        <v>0.94550000000000001</v>
      </c>
      <c r="BE112">
        <v>81.25</v>
      </c>
      <c r="BF112">
        <v>8.9176000000000002</v>
      </c>
      <c r="BG112">
        <v>0.77</v>
      </c>
      <c r="BH112">
        <v>5962.3807969390264</v>
      </c>
      <c r="BI112">
        <v>1.0003042596348879</v>
      </c>
      <c r="BJ112">
        <v>5964.1949000000004</v>
      </c>
    </row>
    <row r="113" spans="1:62" x14ac:dyDescent="0.25">
      <c r="A113">
        <v>2424</v>
      </c>
      <c r="B113" t="s">
        <v>114</v>
      </c>
      <c r="C113">
        <v>2021</v>
      </c>
      <c r="D113">
        <v>1</v>
      </c>
      <c r="E113" t="s">
        <v>218</v>
      </c>
      <c r="F113" t="s">
        <v>251</v>
      </c>
      <c r="G113" t="s">
        <v>252</v>
      </c>
      <c r="H113" t="s">
        <v>17</v>
      </c>
      <c r="I113" t="s">
        <v>255</v>
      </c>
      <c r="J113" t="s">
        <v>239</v>
      </c>
      <c r="K113">
        <v>-237.42900700999999</v>
      </c>
      <c r="L113" t="s">
        <v>240</v>
      </c>
      <c r="M113" t="s">
        <v>237</v>
      </c>
      <c r="N113">
        <v>0.41680683696206</v>
      </c>
      <c r="O113">
        <v>98.962033000000005</v>
      </c>
      <c r="P113" t="s">
        <v>21</v>
      </c>
      <c r="Q113">
        <v>1</v>
      </c>
      <c r="W113">
        <v>1</v>
      </c>
      <c r="X113">
        <v>0</v>
      </c>
      <c r="AA113" t="s">
        <v>225</v>
      </c>
      <c r="AB113" t="s">
        <v>226</v>
      </c>
      <c r="AC113" t="s">
        <v>227</v>
      </c>
      <c r="AD113" t="s">
        <v>101</v>
      </c>
      <c r="AE113">
        <v>109.354</v>
      </c>
      <c r="AF113">
        <v>1.0727760310708341</v>
      </c>
      <c r="AG113">
        <v>117.31235010172</v>
      </c>
      <c r="AH113">
        <v>694.38</v>
      </c>
      <c r="AI113">
        <v>0.875</v>
      </c>
      <c r="AJ113">
        <v>71.276930955678296</v>
      </c>
      <c r="AK113">
        <v>1.0077</v>
      </c>
      <c r="AL113">
        <v>71.825999999999993</v>
      </c>
      <c r="AM113">
        <v>8.9176000000000002</v>
      </c>
      <c r="AN113">
        <v>9.5665875346772715</v>
      </c>
      <c r="AO113">
        <v>0.91300000000000003</v>
      </c>
      <c r="AP113">
        <v>6064.9193587765631</v>
      </c>
      <c r="AQ113">
        <v>1.0255267423014589</v>
      </c>
      <c r="AR113">
        <v>6219.7370000000001</v>
      </c>
      <c r="AT113" t="s">
        <v>228</v>
      </c>
      <c r="AU113" t="s">
        <v>229</v>
      </c>
      <c r="AV113" t="s">
        <v>227</v>
      </c>
      <c r="AW113" t="s">
        <v>101</v>
      </c>
      <c r="AX113">
        <v>109.354</v>
      </c>
      <c r="AY113">
        <v>1.0833851741009131</v>
      </c>
      <c r="AZ113">
        <v>118.47250232863119</v>
      </c>
      <c r="BA113">
        <v>801.49</v>
      </c>
      <c r="BB113">
        <v>0.90500000000000003</v>
      </c>
      <c r="BC113">
        <v>85.933845931694037</v>
      </c>
      <c r="BD113">
        <v>1.0154000000000001</v>
      </c>
      <c r="BE113">
        <v>87.257000000000005</v>
      </c>
      <c r="BF113">
        <v>8.9176000000000002</v>
      </c>
      <c r="BG113">
        <v>0.77</v>
      </c>
      <c r="BH113">
        <v>5962.3807969390264</v>
      </c>
      <c r="BI113">
        <v>1.0150931928687199</v>
      </c>
      <c r="BJ113">
        <v>6052.3721999999998</v>
      </c>
    </row>
    <row r="114" spans="1:62" x14ac:dyDescent="0.25">
      <c r="A114">
        <v>3638</v>
      </c>
      <c r="B114" t="s">
        <v>114</v>
      </c>
      <c r="C114">
        <v>2021</v>
      </c>
      <c r="D114">
        <v>1</v>
      </c>
      <c r="E114" t="s">
        <v>218</v>
      </c>
      <c r="F114" t="s">
        <v>251</v>
      </c>
      <c r="G114" t="s">
        <v>252</v>
      </c>
      <c r="H114" t="s">
        <v>17</v>
      </c>
      <c r="I114" t="s">
        <v>256</v>
      </c>
      <c r="J114" t="s">
        <v>242</v>
      </c>
      <c r="K114">
        <v>-98.83713564</v>
      </c>
      <c r="L114" t="s">
        <v>242</v>
      </c>
      <c r="M114" t="s">
        <v>235</v>
      </c>
      <c r="N114">
        <v>0.67001574769252004</v>
      </c>
      <c r="O114">
        <v>66.222436999999999</v>
      </c>
      <c r="P114" t="s">
        <v>21</v>
      </c>
      <c r="Q114">
        <v>1</v>
      </c>
      <c r="W114">
        <v>1</v>
      </c>
      <c r="X114">
        <v>0</v>
      </c>
      <c r="AA114" t="s">
        <v>225</v>
      </c>
      <c r="AB114" t="s">
        <v>226</v>
      </c>
      <c r="AC114" t="s">
        <v>227</v>
      </c>
      <c r="AD114" t="s">
        <v>154</v>
      </c>
      <c r="AE114">
        <v>109.354</v>
      </c>
      <c r="AF114">
        <v>1.0727760310708341</v>
      </c>
      <c r="AG114">
        <v>117.31235010172</v>
      </c>
      <c r="AH114">
        <v>694.38</v>
      </c>
      <c r="AI114">
        <v>0.875</v>
      </c>
      <c r="AJ114">
        <v>71.276930955678296</v>
      </c>
      <c r="AK114">
        <v>1.0179</v>
      </c>
      <c r="AL114">
        <v>72.552999999999997</v>
      </c>
      <c r="AM114">
        <v>8.9176000000000002</v>
      </c>
      <c r="AN114">
        <v>9.5665875346772715</v>
      </c>
      <c r="AO114">
        <v>0.91300000000000003</v>
      </c>
      <c r="AP114">
        <v>6064.9193587765631</v>
      </c>
      <c r="AQ114">
        <v>0.98975009761811794</v>
      </c>
      <c r="AR114">
        <v>6002.7545</v>
      </c>
      <c r="AT114" t="s">
        <v>228</v>
      </c>
      <c r="AU114" t="s">
        <v>229</v>
      </c>
      <c r="AV114" t="s">
        <v>227</v>
      </c>
      <c r="AW114" t="s">
        <v>154</v>
      </c>
      <c r="AX114">
        <v>109.354</v>
      </c>
      <c r="AY114">
        <v>1.0833851741009131</v>
      </c>
      <c r="AZ114">
        <v>118.47250232863119</v>
      </c>
      <c r="BA114">
        <v>801.49</v>
      </c>
      <c r="BB114">
        <v>0.90500000000000003</v>
      </c>
      <c r="BC114">
        <v>85.933845931694037</v>
      </c>
      <c r="BD114">
        <v>0.99380000000000002</v>
      </c>
      <c r="BE114">
        <v>85.400999999999996</v>
      </c>
      <c r="BF114">
        <v>8.9176000000000002</v>
      </c>
      <c r="BG114">
        <v>0.77</v>
      </c>
      <c r="BH114">
        <v>5962.3807969390264</v>
      </c>
      <c r="BI114">
        <v>0.98418586489652482</v>
      </c>
      <c r="BJ114">
        <v>5868.0909000000001</v>
      </c>
    </row>
    <row r="115" spans="1:62" x14ac:dyDescent="0.25">
      <c r="A115">
        <v>3640</v>
      </c>
      <c r="B115" t="s">
        <v>114</v>
      </c>
      <c r="C115">
        <v>2021</v>
      </c>
      <c r="D115">
        <v>1</v>
      </c>
      <c r="E115" t="s">
        <v>218</v>
      </c>
      <c r="F115" t="s">
        <v>251</v>
      </c>
      <c r="G115" t="s">
        <v>252</v>
      </c>
      <c r="H115" t="s">
        <v>17</v>
      </c>
      <c r="I115" t="s">
        <v>256</v>
      </c>
      <c r="J115" t="s">
        <v>242</v>
      </c>
      <c r="K115">
        <v>-98.83713564</v>
      </c>
      <c r="L115" t="s">
        <v>242</v>
      </c>
      <c r="M115" t="s">
        <v>236</v>
      </c>
      <c r="N115">
        <v>1.442552100634E-2</v>
      </c>
      <c r="O115">
        <v>1.4257770000000001</v>
      </c>
      <c r="P115" t="s">
        <v>21</v>
      </c>
      <c r="Q115">
        <v>1</v>
      </c>
      <c r="W115">
        <v>1</v>
      </c>
      <c r="X115">
        <v>0</v>
      </c>
      <c r="AA115" t="s">
        <v>225</v>
      </c>
      <c r="AB115" t="s">
        <v>226</v>
      </c>
      <c r="AC115" t="s">
        <v>227</v>
      </c>
      <c r="AD115" t="s">
        <v>100</v>
      </c>
      <c r="AE115">
        <v>109.354</v>
      </c>
      <c r="AF115">
        <v>1.0727760310708341</v>
      </c>
      <c r="AG115">
        <v>117.31235010172</v>
      </c>
      <c r="AH115">
        <v>694.38</v>
      </c>
      <c r="AI115">
        <v>0.875</v>
      </c>
      <c r="AJ115">
        <v>71.276930955678296</v>
      </c>
      <c r="AK115">
        <v>0.96660000000000001</v>
      </c>
      <c r="AL115">
        <v>68.896000000000001</v>
      </c>
      <c r="AM115">
        <v>8.9176000000000002</v>
      </c>
      <c r="AN115">
        <v>9.5665875346772715</v>
      </c>
      <c r="AO115">
        <v>0.91300000000000003</v>
      </c>
      <c r="AP115">
        <v>6064.9193587765631</v>
      </c>
      <c r="AQ115">
        <v>0.98316430020283985</v>
      </c>
      <c r="AR115">
        <v>5962.8122000000003</v>
      </c>
      <c r="AT115" t="s">
        <v>228</v>
      </c>
      <c r="AU115" t="s">
        <v>229</v>
      </c>
      <c r="AV115" t="s">
        <v>227</v>
      </c>
      <c r="AW115" t="s">
        <v>100</v>
      </c>
      <c r="AX115">
        <v>109.354</v>
      </c>
      <c r="AY115">
        <v>1.0833851741009131</v>
      </c>
      <c r="AZ115">
        <v>118.47250232863119</v>
      </c>
      <c r="BA115">
        <v>801.49</v>
      </c>
      <c r="BB115">
        <v>0.90500000000000003</v>
      </c>
      <c r="BC115">
        <v>85.933845931694037</v>
      </c>
      <c r="BD115">
        <v>0.94550000000000001</v>
      </c>
      <c r="BE115">
        <v>81.25</v>
      </c>
      <c r="BF115">
        <v>8.9176000000000002</v>
      </c>
      <c r="BG115">
        <v>0.77</v>
      </c>
      <c r="BH115">
        <v>5962.3807969390264</v>
      </c>
      <c r="BI115">
        <v>1.0003042596348879</v>
      </c>
      <c r="BJ115">
        <v>5964.1949000000004</v>
      </c>
    </row>
    <row r="116" spans="1:62" x14ac:dyDescent="0.25">
      <c r="A116">
        <v>3642</v>
      </c>
      <c r="B116" t="s">
        <v>114</v>
      </c>
      <c r="C116">
        <v>2021</v>
      </c>
      <c r="D116">
        <v>1</v>
      </c>
      <c r="E116" t="s">
        <v>218</v>
      </c>
      <c r="F116" t="s">
        <v>251</v>
      </c>
      <c r="G116" t="s">
        <v>252</v>
      </c>
      <c r="H116" t="s">
        <v>17</v>
      </c>
      <c r="I116" t="s">
        <v>256</v>
      </c>
      <c r="J116" t="s">
        <v>242</v>
      </c>
      <c r="K116">
        <v>-98.83713564</v>
      </c>
      <c r="L116" t="s">
        <v>242</v>
      </c>
      <c r="M116" t="s">
        <v>237</v>
      </c>
      <c r="N116">
        <v>0.37405093967954001</v>
      </c>
      <c r="O116">
        <v>36.970123000000001</v>
      </c>
      <c r="P116" t="s">
        <v>21</v>
      </c>
      <c r="Q116">
        <v>1</v>
      </c>
      <c r="W116">
        <v>1</v>
      </c>
      <c r="X116">
        <v>0</v>
      </c>
      <c r="AA116" t="s">
        <v>225</v>
      </c>
      <c r="AB116" t="s">
        <v>226</v>
      </c>
      <c r="AC116" t="s">
        <v>227</v>
      </c>
      <c r="AD116" t="s">
        <v>101</v>
      </c>
      <c r="AE116">
        <v>109.354</v>
      </c>
      <c r="AF116">
        <v>1.0727760310708341</v>
      </c>
      <c r="AG116">
        <v>117.31235010172</v>
      </c>
      <c r="AH116">
        <v>694.38</v>
      </c>
      <c r="AI116">
        <v>0.875</v>
      </c>
      <c r="AJ116">
        <v>71.276930955678296</v>
      </c>
      <c r="AK116">
        <v>1.0077</v>
      </c>
      <c r="AL116">
        <v>71.825999999999993</v>
      </c>
      <c r="AM116">
        <v>8.9176000000000002</v>
      </c>
      <c r="AN116">
        <v>9.5665875346772715</v>
      </c>
      <c r="AO116">
        <v>0.91300000000000003</v>
      </c>
      <c r="AP116">
        <v>6064.9193587765631</v>
      </c>
      <c r="AQ116">
        <v>1.0255267423014589</v>
      </c>
      <c r="AR116">
        <v>6219.7370000000001</v>
      </c>
      <c r="AT116" t="s">
        <v>228</v>
      </c>
      <c r="AU116" t="s">
        <v>229</v>
      </c>
      <c r="AV116" t="s">
        <v>227</v>
      </c>
      <c r="AW116" t="s">
        <v>101</v>
      </c>
      <c r="AX116">
        <v>109.354</v>
      </c>
      <c r="AY116">
        <v>1.0833851741009131</v>
      </c>
      <c r="AZ116">
        <v>118.47250232863119</v>
      </c>
      <c r="BA116">
        <v>801.49</v>
      </c>
      <c r="BB116">
        <v>0.90500000000000003</v>
      </c>
      <c r="BC116">
        <v>85.933845931694037</v>
      </c>
      <c r="BD116">
        <v>1.0154000000000001</v>
      </c>
      <c r="BE116">
        <v>87.257000000000005</v>
      </c>
      <c r="BF116">
        <v>8.9176000000000002</v>
      </c>
      <c r="BG116">
        <v>0.77</v>
      </c>
      <c r="BH116">
        <v>5962.3807969390264</v>
      </c>
      <c r="BI116">
        <v>1.0150931928687199</v>
      </c>
      <c r="BJ116">
        <v>6052.3721999999998</v>
      </c>
    </row>
    <row r="117" spans="1:62" x14ac:dyDescent="0.25">
      <c r="A117">
        <v>2418</v>
      </c>
      <c r="B117" t="s">
        <v>114</v>
      </c>
      <c r="C117">
        <v>2021</v>
      </c>
      <c r="D117">
        <v>1</v>
      </c>
      <c r="E117" t="s">
        <v>218</v>
      </c>
      <c r="F117" t="s">
        <v>251</v>
      </c>
      <c r="G117" t="s">
        <v>252</v>
      </c>
      <c r="H117" t="s">
        <v>17</v>
      </c>
      <c r="I117" t="s">
        <v>257</v>
      </c>
      <c r="J117" t="s">
        <v>244</v>
      </c>
      <c r="K117">
        <v>-160.01598591999999</v>
      </c>
      <c r="L117" t="s">
        <v>245</v>
      </c>
      <c r="M117" t="s">
        <v>224</v>
      </c>
      <c r="N117">
        <v>1.1026262910890001E-2</v>
      </c>
      <c r="O117">
        <v>1.764378</v>
      </c>
      <c r="P117" t="s">
        <v>21</v>
      </c>
      <c r="Q117">
        <v>1</v>
      </c>
      <c r="W117">
        <v>1</v>
      </c>
      <c r="X117">
        <v>0</v>
      </c>
      <c r="AA117" t="s">
        <v>225</v>
      </c>
      <c r="AB117" t="s">
        <v>226</v>
      </c>
      <c r="AC117" t="s">
        <v>227</v>
      </c>
      <c r="AD117" t="s">
        <v>153</v>
      </c>
      <c r="AE117">
        <v>109.354</v>
      </c>
      <c r="AF117">
        <v>1.0727760310708341</v>
      </c>
      <c r="AG117">
        <v>117.31235010172</v>
      </c>
      <c r="AH117">
        <v>694.38</v>
      </c>
      <c r="AI117">
        <v>0.875</v>
      </c>
      <c r="AJ117">
        <v>71.276930955678296</v>
      </c>
      <c r="AK117">
        <v>1.0034000000000001</v>
      </c>
      <c r="AL117">
        <v>71.519000000000005</v>
      </c>
      <c r="AM117">
        <v>8.9176000000000002</v>
      </c>
      <c r="AN117">
        <v>9.5665875346772715</v>
      </c>
      <c r="AO117">
        <v>0.91300000000000003</v>
      </c>
      <c r="AP117">
        <v>6064.9193587765631</v>
      </c>
      <c r="AQ117">
        <v>1</v>
      </c>
      <c r="AR117">
        <v>6064.9193999999998</v>
      </c>
      <c r="AT117" t="s">
        <v>228</v>
      </c>
      <c r="AU117" t="s">
        <v>229</v>
      </c>
      <c r="AV117" t="s">
        <v>227</v>
      </c>
      <c r="AW117" t="s">
        <v>153</v>
      </c>
      <c r="AX117">
        <v>109.354</v>
      </c>
      <c r="AY117">
        <v>1.0833851741009131</v>
      </c>
      <c r="AZ117">
        <v>118.47250232863119</v>
      </c>
      <c r="BA117">
        <v>801.49</v>
      </c>
      <c r="BB117">
        <v>0.90500000000000003</v>
      </c>
      <c r="BC117">
        <v>85.933845931694037</v>
      </c>
      <c r="BD117">
        <v>1.0470999999999999</v>
      </c>
      <c r="BE117">
        <v>89.980999999999995</v>
      </c>
      <c r="BF117">
        <v>8.9176000000000002</v>
      </c>
      <c r="BG117">
        <v>0.77</v>
      </c>
      <c r="BH117">
        <v>5962.3807969390264</v>
      </c>
      <c r="BI117">
        <v>1</v>
      </c>
      <c r="BJ117">
        <v>5962.3807999999999</v>
      </c>
    </row>
    <row r="118" spans="1:62" x14ac:dyDescent="0.25">
      <c r="A118">
        <v>2420</v>
      </c>
      <c r="B118" t="s">
        <v>114</v>
      </c>
      <c r="C118">
        <v>2021</v>
      </c>
      <c r="D118">
        <v>1</v>
      </c>
      <c r="E118" t="s">
        <v>218</v>
      </c>
      <c r="F118" t="s">
        <v>251</v>
      </c>
      <c r="G118" t="s">
        <v>252</v>
      </c>
      <c r="H118" t="s">
        <v>17</v>
      </c>
      <c r="I118" t="s">
        <v>257</v>
      </c>
      <c r="J118" t="s">
        <v>244</v>
      </c>
      <c r="K118">
        <v>-160.01598591999999</v>
      </c>
      <c r="L118" t="s">
        <v>245</v>
      </c>
      <c r="M118" t="s">
        <v>235</v>
      </c>
      <c r="N118">
        <v>0.60074557881113</v>
      </c>
      <c r="O118">
        <v>96.128895999999997</v>
      </c>
      <c r="P118" t="s">
        <v>21</v>
      </c>
      <c r="Q118">
        <v>1</v>
      </c>
      <c r="W118">
        <v>1</v>
      </c>
      <c r="X118">
        <v>0</v>
      </c>
      <c r="AA118" t="s">
        <v>225</v>
      </c>
      <c r="AB118" t="s">
        <v>226</v>
      </c>
      <c r="AC118" t="s">
        <v>227</v>
      </c>
      <c r="AD118" t="s">
        <v>154</v>
      </c>
      <c r="AE118">
        <v>109.354</v>
      </c>
      <c r="AF118">
        <v>1.0727760310708341</v>
      </c>
      <c r="AG118">
        <v>117.31235010172</v>
      </c>
      <c r="AH118">
        <v>694.38</v>
      </c>
      <c r="AI118">
        <v>0.875</v>
      </c>
      <c r="AJ118">
        <v>71.276930955678296</v>
      </c>
      <c r="AK118">
        <v>1.0179</v>
      </c>
      <c r="AL118">
        <v>72.552999999999997</v>
      </c>
      <c r="AM118">
        <v>8.9176000000000002</v>
      </c>
      <c r="AN118">
        <v>9.5665875346772715</v>
      </c>
      <c r="AO118">
        <v>0.91300000000000003</v>
      </c>
      <c r="AP118">
        <v>6064.9193587765631</v>
      </c>
      <c r="AQ118">
        <v>0.98975009761811794</v>
      </c>
      <c r="AR118">
        <v>6002.7545</v>
      </c>
      <c r="AT118" t="s">
        <v>228</v>
      </c>
      <c r="AU118" t="s">
        <v>229</v>
      </c>
      <c r="AV118" t="s">
        <v>227</v>
      </c>
      <c r="AW118" t="s">
        <v>154</v>
      </c>
      <c r="AX118">
        <v>109.354</v>
      </c>
      <c r="AY118">
        <v>1.0833851741009131</v>
      </c>
      <c r="AZ118">
        <v>118.47250232863119</v>
      </c>
      <c r="BA118">
        <v>801.49</v>
      </c>
      <c r="BB118">
        <v>0.90500000000000003</v>
      </c>
      <c r="BC118">
        <v>85.933845931694037</v>
      </c>
      <c r="BD118">
        <v>0.99380000000000002</v>
      </c>
      <c r="BE118">
        <v>85.400999999999996</v>
      </c>
      <c r="BF118">
        <v>8.9176000000000002</v>
      </c>
      <c r="BG118">
        <v>0.77</v>
      </c>
      <c r="BH118">
        <v>5962.3807969390264</v>
      </c>
      <c r="BI118">
        <v>0.98418586489652482</v>
      </c>
      <c r="BJ118">
        <v>5868.0909000000001</v>
      </c>
    </row>
    <row r="119" spans="1:62" x14ac:dyDescent="0.25">
      <c r="A119">
        <v>2422</v>
      </c>
      <c r="B119" t="s">
        <v>114</v>
      </c>
      <c r="C119">
        <v>2021</v>
      </c>
      <c r="D119">
        <v>1</v>
      </c>
      <c r="E119" t="s">
        <v>218</v>
      </c>
      <c r="F119" t="s">
        <v>251</v>
      </c>
      <c r="G119" t="s">
        <v>252</v>
      </c>
      <c r="H119" t="s">
        <v>17</v>
      </c>
      <c r="I119" t="s">
        <v>257</v>
      </c>
      <c r="J119" t="s">
        <v>244</v>
      </c>
      <c r="K119">
        <v>-160.01598591999999</v>
      </c>
      <c r="L119" t="s">
        <v>245</v>
      </c>
      <c r="M119" t="s">
        <v>236</v>
      </c>
      <c r="N119">
        <v>1.775192921592E-2</v>
      </c>
      <c r="O119">
        <v>2.840592</v>
      </c>
      <c r="P119" t="s">
        <v>21</v>
      </c>
      <c r="Q119">
        <v>1</v>
      </c>
      <c r="W119">
        <v>1</v>
      </c>
      <c r="X119">
        <v>0</v>
      </c>
      <c r="AA119" t="s">
        <v>225</v>
      </c>
      <c r="AB119" t="s">
        <v>226</v>
      </c>
      <c r="AC119" t="s">
        <v>227</v>
      </c>
      <c r="AD119" t="s">
        <v>100</v>
      </c>
      <c r="AE119">
        <v>109.354</v>
      </c>
      <c r="AF119">
        <v>1.0727760310708341</v>
      </c>
      <c r="AG119">
        <v>117.31235010172</v>
      </c>
      <c r="AH119">
        <v>694.38</v>
      </c>
      <c r="AI119">
        <v>0.875</v>
      </c>
      <c r="AJ119">
        <v>71.276930955678296</v>
      </c>
      <c r="AK119">
        <v>0.96660000000000001</v>
      </c>
      <c r="AL119">
        <v>68.896000000000001</v>
      </c>
      <c r="AM119">
        <v>8.9176000000000002</v>
      </c>
      <c r="AN119">
        <v>9.5665875346772715</v>
      </c>
      <c r="AO119">
        <v>0.91300000000000003</v>
      </c>
      <c r="AP119">
        <v>6064.9193587765631</v>
      </c>
      <c r="AQ119">
        <v>0.98316430020283985</v>
      </c>
      <c r="AR119">
        <v>5962.8122000000003</v>
      </c>
      <c r="AT119" t="s">
        <v>228</v>
      </c>
      <c r="AU119" t="s">
        <v>229</v>
      </c>
      <c r="AV119" t="s">
        <v>227</v>
      </c>
      <c r="AW119" t="s">
        <v>100</v>
      </c>
      <c r="AX119">
        <v>109.354</v>
      </c>
      <c r="AY119">
        <v>1.0833851741009131</v>
      </c>
      <c r="AZ119">
        <v>118.47250232863119</v>
      </c>
      <c r="BA119">
        <v>801.49</v>
      </c>
      <c r="BB119">
        <v>0.90500000000000003</v>
      </c>
      <c r="BC119">
        <v>85.933845931694037</v>
      </c>
      <c r="BD119">
        <v>0.94550000000000001</v>
      </c>
      <c r="BE119">
        <v>81.25</v>
      </c>
      <c r="BF119">
        <v>8.9176000000000002</v>
      </c>
      <c r="BG119">
        <v>0.77</v>
      </c>
      <c r="BH119">
        <v>5962.3807969390264</v>
      </c>
      <c r="BI119">
        <v>1.0003042596348879</v>
      </c>
      <c r="BJ119">
        <v>5964.1949000000004</v>
      </c>
    </row>
    <row r="120" spans="1:62" x14ac:dyDescent="0.25">
      <c r="A120">
        <v>2424</v>
      </c>
      <c r="B120" t="s">
        <v>114</v>
      </c>
      <c r="C120">
        <v>2021</v>
      </c>
      <c r="D120">
        <v>1</v>
      </c>
      <c r="E120" t="s">
        <v>218</v>
      </c>
      <c r="F120" t="s">
        <v>251</v>
      </c>
      <c r="G120" t="s">
        <v>252</v>
      </c>
      <c r="H120" t="s">
        <v>17</v>
      </c>
      <c r="I120" t="s">
        <v>257</v>
      </c>
      <c r="J120" t="s">
        <v>244</v>
      </c>
      <c r="K120">
        <v>-160.01598591999999</v>
      </c>
      <c r="L120" t="s">
        <v>245</v>
      </c>
      <c r="M120" t="s">
        <v>237</v>
      </c>
      <c r="N120">
        <v>0.39766766032624001</v>
      </c>
      <c r="O120">
        <v>63.633183000000002</v>
      </c>
      <c r="P120" t="s">
        <v>21</v>
      </c>
      <c r="Q120">
        <v>1</v>
      </c>
      <c r="W120">
        <v>1</v>
      </c>
      <c r="X120">
        <v>0</v>
      </c>
      <c r="AA120" t="s">
        <v>225</v>
      </c>
      <c r="AB120" t="s">
        <v>226</v>
      </c>
      <c r="AC120" t="s">
        <v>227</v>
      </c>
      <c r="AD120" t="s">
        <v>101</v>
      </c>
      <c r="AE120">
        <v>109.354</v>
      </c>
      <c r="AF120">
        <v>1.0727760310708341</v>
      </c>
      <c r="AG120">
        <v>117.31235010172</v>
      </c>
      <c r="AH120">
        <v>694.38</v>
      </c>
      <c r="AI120">
        <v>0.875</v>
      </c>
      <c r="AJ120">
        <v>71.276930955678296</v>
      </c>
      <c r="AK120">
        <v>1.0077</v>
      </c>
      <c r="AL120">
        <v>71.825999999999993</v>
      </c>
      <c r="AM120">
        <v>8.9176000000000002</v>
      </c>
      <c r="AN120">
        <v>9.5665875346772715</v>
      </c>
      <c r="AO120">
        <v>0.91300000000000003</v>
      </c>
      <c r="AP120">
        <v>6064.9193587765631</v>
      </c>
      <c r="AQ120">
        <v>1.0255267423014589</v>
      </c>
      <c r="AR120">
        <v>6219.7370000000001</v>
      </c>
      <c r="AT120" t="s">
        <v>228</v>
      </c>
      <c r="AU120" t="s">
        <v>229</v>
      </c>
      <c r="AV120" t="s">
        <v>227</v>
      </c>
      <c r="AW120" t="s">
        <v>101</v>
      </c>
      <c r="AX120">
        <v>109.354</v>
      </c>
      <c r="AY120">
        <v>1.0833851741009131</v>
      </c>
      <c r="AZ120">
        <v>118.47250232863119</v>
      </c>
      <c r="BA120">
        <v>801.49</v>
      </c>
      <c r="BB120">
        <v>0.90500000000000003</v>
      </c>
      <c r="BC120">
        <v>85.933845931694037</v>
      </c>
      <c r="BD120">
        <v>1.0154000000000001</v>
      </c>
      <c r="BE120">
        <v>87.257000000000005</v>
      </c>
      <c r="BF120">
        <v>8.9176000000000002</v>
      </c>
      <c r="BG120">
        <v>0.77</v>
      </c>
      <c r="BH120">
        <v>5962.3807969390264</v>
      </c>
      <c r="BI120">
        <v>1.0150931928687199</v>
      </c>
      <c r="BJ120">
        <v>6052.3721999999998</v>
      </c>
    </row>
    <row r="121" spans="1:62" x14ac:dyDescent="0.25">
      <c r="A121">
        <v>4850</v>
      </c>
      <c r="B121" t="s">
        <v>114</v>
      </c>
      <c r="C121">
        <v>2021</v>
      </c>
      <c r="D121">
        <v>1</v>
      </c>
      <c r="E121" t="s">
        <v>218</v>
      </c>
      <c r="F121" t="s">
        <v>251</v>
      </c>
      <c r="G121" t="s">
        <v>252</v>
      </c>
      <c r="H121" t="s">
        <v>17</v>
      </c>
      <c r="I121" t="s">
        <v>258</v>
      </c>
      <c r="J121" t="s">
        <v>247</v>
      </c>
      <c r="K121">
        <v>-843.46043897000004</v>
      </c>
      <c r="L121" t="s">
        <v>248</v>
      </c>
      <c r="M121" t="s">
        <v>224</v>
      </c>
      <c r="N121">
        <v>4.9724862092599999E-3</v>
      </c>
      <c r="O121">
        <v>4.1940949999999999</v>
      </c>
      <c r="P121" t="s">
        <v>21</v>
      </c>
      <c r="Q121">
        <v>1</v>
      </c>
      <c r="W121">
        <v>1</v>
      </c>
      <c r="X121">
        <v>0</v>
      </c>
      <c r="AA121" t="s">
        <v>225</v>
      </c>
      <c r="AB121" t="s">
        <v>226</v>
      </c>
      <c r="AC121" t="s">
        <v>227</v>
      </c>
      <c r="AD121" t="s">
        <v>153</v>
      </c>
      <c r="AE121">
        <v>109.354</v>
      </c>
      <c r="AF121">
        <v>1.0727760310708341</v>
      </c>
      <c r="AG121">
        <v>117.31235010172</v>
      </c>
      <c r="AH121">
        <v>694.38</v>
      </c>
      <c r="AI121">
        <v>0.875</v>
      </c>
      <c r="AJ121">
        <v>71.276930955678296</v>
      </c>
      <c r="AK121">
        <v>1.0034000000000001</v>
      </c>
      <c r="AL121">
        <v>71.519000000000005</v>
      </c>
      <c r="AM121">
        <v>8.9176000000000002</v>
      </c>
      <c r="AN121">
        <v>9.5665875346772715</v>
      </c>
      <c r="AO121">
        <v>0.91300000000000003</v>
      </c>
      <c r="AP121">
        <v>6064.9193587765631</v>
      </c>
      <c r="AQ121">
        <v>1</v>
      </c>
      <c r="AR121">
        <v>6064.9193999999998</v>
      </c>
      <c r="AT121" t="s">
        <v>228</v>
      </c>
      <c r="AU121" t="s">
        <v>229</v>
      </c>
      <c r="AV121" t="s">
        <v>227</v>
      </c>
      <c r="AW121" t="s">
        <v>153</v>
      </c>
      <c r="AX121">
        <v>109.354</v>
      </c>
      <c r="AY121">
        <v>1.0833851741009131</v>
      </c>
      <c r="AZ121">
        <v>118.47250232863119</v>
      </c>
      <c r="BA121">
        <v>801.49</v>
      </c>
      <c r="BB121">
        <v>0.90500000000000003</v>
      </c>
      <c r="BC121">
        <v>85.933845931694037</v>
      </c>
      <c r="BD121">
        <v>1.0470999999999999</v>
      </c>
      <c r="BE121">
        <v>89.980999999999995</v>
      </c>
      <c r="BF121">
        <v>8.9176000000000002</v>
      </c>
      <c r="BG121">
        <v>0.77</v>
      </c>
      <c r="BH121">
        <v>5962.3807969390264</v>
      </c>
      <c r="BI121">
        <v>1</v>
      </c>
      <c r="BJ121">
        <v>5962.3807999999999</v>
      </c>
    </row>
    <row r="122" spans="1:62" x14ac:dyDescent="0.25">
      <c r="A122">
        <v>4852</v>
      </c>
      <c r="B122" t="s">
        <v>114</v>
      </c>
      <c r="C122">
        <v>2021</v>
      </c>
      <c r="D122">
        <v>1</v>
      </c>
      <c r="E122" t="s">
        <v>218</v>
      </c>
      <c r="F122" t="s">
        <v>251</v>
      </c>
      <c r="G122" t="s">
        <v>252</v>
      </c>
      <c r="H122" t="s">
        <v>17</v>
      </c>
      <c r="I122" t="s">
        <v>258</v>
      </c>
      <c r="J122" t="s">
        <v>247</v>
      </c>
      <c r="K122">
        <v>-843.46043897000004</v>
      </c>
      <c r="L122" t="s">
        <v>248</v>
      </c>
      <c r="M122" t="s">
        <v>235</v>
      </c>
      <c r="N122">
        <v>0.99209122360516</v>
      </c>
      <c r="O122">
        <v>836.78969900000004</v>
      </c>
      <c r="P122" t="s">
        <v>21</v>
      </c>
      <c r="Q122">
        <v>1</v>
      </c>
      <c r="W122">
        <v>1</v>
      </c>
      <c r="X122">
        <v>0</v>
      </c>
      <c r="AA122" t="s">
        <v>225</v>
      </c>
      <c r="AB122" t="s">
        <v>226</v>
      </c>
      <c r="AC122" t="s">
        <v>227</v>
      </c>
      <c r="AD122" t="s">
        <v>154</v>
      </c>
      <c r="AE122">
        <v>109.354</v>
      </c>
      <c r="AF122">
        <v>1.0727760310708341</v>
      </c>
      <c r="AG122">
        <v>117.31235010172</v>
      </c>
      <c r="AH122">
        <v>694.38</v>
      </c>
      <c r="AI122">
        <v>0.875</v>
      </c>
      <c r="AJ122">
        <v>71.276930955678296</v>
      </c>
      <c r="AK122">
        <v>1.0179</v>
      </c>
      <c r="AL122">
        <v>72.552999999999997</v>
      </c>
      <c r="AM122">
        <v>8.9176000000000002</v>
      </c>
      <c r="AN122">
        <v>9.5665875346772715</v>
      </c>
      <c r="AO122">
        <v>0.91300000000000003</v>
      </c>
      <c r="AP122">
        <v>6064.9193587765631</v>
      </c>
      <c r="AQ122">
        <v>0.98975009761811794</v>
      </c>
      <c r="AR122">
        <v>6002.7545</v>
      </c>
      <c r="AT122" t="s">
        <v>228</v>
      </c>
      <c r="AU122" t="s">
        <v>229</v>
      </c>
      <c r="AV122" t="s">
        <v>227</v>
      </c>
      <c r="AW122" t="s">
        <v>154</v>
      </c>
      <c r="AX122">
        <v>109.354</v>
      </c>
      <c r="AY122">
        <v>1.0833851741009131</v>
      </c>
      <c r="AZ122">
        <v>118.47250232863119</v>
      </c>
      <c r="BA122">
        <v>801.49</v>
      </c>
      <c r="BB122">
        <v>0.90500000000000003</v>
      </c>
      <c r="BC122">
        <v>85.933845931694037</v>
      </c>
      <c r="BD122">
        <v>0.99380000000000002</v>
      </c>
      <c r="BE122">
        <v>85.400999999999996</v>
      </c>
      <c r="BF122">
        <v>8.9176000000000002</v>
      </c>
      <c r="BG122">
        <v>0.77</v>
      </c>
      <c r="BH122">
        <v>5962.3807969390264</v>
      </c>
      <c r="BI122">
        <v>0.98418586489652482</v>
      </c>
      <c r="BJ122">
        <v>5868.0909000000001</v>
      </c>
    </row>
    <row r="123" spans="1:62" x14ac:dyDescent="0.25">
      <c r="A123">
        <v>4854</v>
      </c>
      <c r="B123" t="s">
        <v>114</v>
      </c>
      <c r="C123">
        <v>2021</v>
      </c>
      <c r="D123">
        <v>1</v>
      </c>
      <c r="E123" t="s">
        <v>218</v>
      </c>
      <c r="F123" t="s">
        <v>251</v>
      </c>
      <c r="G123" t="s">
        <v>252</v>
      </c>
      <c r="H123" t="s">
        <v>17</v>
      </c>
      <c r="I123" t="s">
        <v>258</v>
      </c>
      <c r="J123" t="s">
        <v>247</v>
      </c>
      <c r="K123">
        <v>-843.46043897000004</v>
      </c>
      <c r="L123" t="s">
        <v>248</v>
      </c>
      <c r="M123" t="s">
        <v>236</v>
      </c>
      <c r="N123">
        <v>4.7995598170700003E-3</v>
      </c>
      <c r="O123">
        <v>4.0482389999999997</v>
      </c>
      <c r="P123" t="s">
        <v>21</v>
      </c>
      <c r="Q123">
        <v>1</v>
      </c>
      <c r="W123">
        <v>1</v>
      </c>
      <c r="X123">
        <v>0</v>
      </c>
      <c r="AA123" t="s">
        <v>225</v>
      </c>
      <c r="AB123" t="s">
        <v>226</v>
      </c>
      <c r="AC123" t="s">
        <v>227</v>
      </c>
      <c r="AD123" t="s">
        <v>100</v>
      </c>
      <c r="AE123">
        <v>109.354</v>
      </c>
      <c r="AF123">
        <v>1.0727760310708341</v>
      </c>
      <c r="AG123">
        <v>117.31235010172</v>
      </c>
      <c r="AH123">
        <v>694.38</v>
      </c>
      <c r="AI123">
        <v>0.875</v>
      </c>
      <c r="AJ123">
        <v>71.276930955678296</v>
      </c>
      <c r="AK123">
        <v>0.96660000000000001</v>
      </c>
      <c r="AL123">
        <v>68.896000000000001</v>
      </c>
      <c r="AM123">
        <v>8.9176000000000002</v>
      </c>
      <c r="AN123">
        <v>9.5665875346772715</v>
      </c>
      <c r="AO123">
        <v>0.91300000000000003</v>
      </c>
      <c r="AP123">
        <v>6064.9193587765631</v>
      </c>
      <c r="AQ123">
        <v>0.98316430020283985</v>
      </c>
      <c r="AR123">
        <v>5962.8122000000003</v>
      </c>
      <c r="AT123" t="s">
        <v>228</v>
      </c>
      <c r="AU123" t="s">
        <v>229</v>
      </c>
      <c r="AV123" t="s">
        <v>227</v>
      </c>
      <c r="AW123" t="s">
        <v>100</v>
      </c>
      <c r="AX123">
        <v>109.354</v>
      </c>
      <c r="AY123">
        <v>1.0833851741009131</v>
      </c>
      <c r="AZ123">
        <v>118.47250232863119</v>
      </c>
      <c r="BA123">
        <v>801.49</v>
      </c>
      <c r="BB123">
        <v>0.90500000000000003</v>
      </c>
      <c r="BC123">
        <v>85.933845931694037</v>
      </c>
      <c r="BD123">
        <v>0.94550000000000001</v>
      </c>
      <c r="BE123">
        <v>81.25</v>
      </c>
      <c r="BF123">
        <v>8.9176000000000002</v>
      </c>
      <c r="BG123">
        <v>0.77</v>
      </c>
      <c r="BH123">
        <v>5962.3807969390264</v>
      </c>
      <c r="BI123">
        <v>1.0003042596348879</v>
      </c>
      <c r="BJ123">
        <v>5964.1949000000004</v>
      </c>
    </row>
    <row r="124" spans="1:62" x14ac:dyDescent="0.25">
      <c r="A124">
        <v>4856</v>
      </c>
      <c r="B124" t="s">
        <v>114</v>
      </c>
      <c r="C124">
        <v>2021</v>
      </c>
      <c r="D124">
        <v>1</v>
      </c>
      <c r="E124" t="s">
        <v>218</v>
      </c>
      <c r="F124" t="s">
        <v>251</v>
      </c>
      <c r="G124" t="s">
        <v>252</v>
      </c>
      <c r="H124" t="s">
        <v>17</v>
      </c>
      <c r="I124" t="s">
        <v>258</v>
      </c>
      <c r="J124" t="s">
        <v>247</v>
      </c>
      <c r="K124">
        <v>-843.46043897000004</v>
      </c>
      <c r="L124" t="s">
        <v>248</v>
      </c>
      <c r="M124" t="s">
        <v>237</v>
      </c>
      <c r="N124">
        <v>2.2580780904460002E-2</v>
      </c>
      <c r="O124">
        <v>19.045995000000001</v>
      </c>
      <c r="P124" t="s">
        <v>21</v>
      </c>
      <c r="Q124">
        <v>1</v>
      </c>
      <c r="W124">
        <v>1</v>
      </c>
      <c r="X124">
        <v>0</v>
      </c>
      <c r="AA124" t="s">
        <v>225</v>
      </c>
      <c r="AB124" t="s">
        <v>226</v>
      </c>
      <c r="AC124" t="s">
        <v>227</v>
      </c>
      <c r="AD124" t="s">
        <v>101</v>
      </c>
      <c r="AE124">
        <v>109.354</v>
      </c>
      <c r="AF124">
        <v>1.0727760310708341</v>
      </c>
      <c r="AG124">
        <v>117.31235010172</v>
      </c>
      <c r="AH124">
        <v>694.38</v>
      </c>
      <c r="AI124">
        <v>0.875</v>
      </c>
      <c r="AJ124">
        <v>71.276930955678296</v>
      </c>
      <c r="AK124">
        <v>1.0077</v>
      </c>
      <c r="AL124">
        <v>71.825999999999993</v>
      </c>
      <c r="AM124">
        <v>8.9176000000000002</v>
      </c>
      <c r="AN124">
        <v>9.5665875346772715</v>
      </c>
      <c r="AO124">
        <v>0.91300000000000003</v>
      </c>
      <c r="AP124">
        <v>6064.9193587765631</v>
      </c>
      <c r="AQ124">
        <v>1.0255267423014589</v>
      </c>
      <c r="AR124">
        <v>6219.7370000000001</v>
      </c>
      <c r="AT124" t="s">
        <v>228</v>
      </c>
      <c r="AU124" t="s">
        <v>229</v>
      </c>
      <c r="AV124" t="s">
        <v>227</v>
      </c>
      <c r="AW124" t="s">
        <v>101</v>
      </c>
      <c r="AX124">
        <v>109.354</v>
      </c>
      <c r="AY124">
        <v>1.0833851741009131</v>
      </c>
      <c r="AZ124">
        <v>118.47250232863119</v>
      </c>
      <c r="BA124">
        <v>801.49</v>
      </c>
      <c r="BB124">
        <v>0.90500000000000003</v>
      </c>
      <c r="BC124">
        <v>85.933845931694037</v>
      </c>
      <c r="BD124">
        <v>1.0154000000000001</v>
      </c>
      <c r="BE124">
        <v>87.257000000000005</v>
      </c>
      <c r="BF124">
        <v>8.9176000000000002</v>
      </c>
      <c r="BG124">
        <v>0.77</v>
      </c>
      <c r="BH124">
        <v>5962.3807969390264</v>
      </c>
      <c r="BI124">
        <v>1.0150931928687199</v>
      </c>
      <c r="BJ124">
        <v>6052.3721999999998</v>
      </c>
    </row>
    <row r="125" spans="1:62" x14ac:dyDescent="0.25">
      <c r="A125">
        <v>1210</v>
      </c>
      <c r="B125" t="s">
        <v>114</v>
      </c>
      <c r="C125">
        <v>2021</v>
      </c>
      <c r="D125">
        <v>1</v>
      </c>
      <c r="E125" t="s">
        <v>218</v>
      </c>
      <c r="F125" t="s">
        <v>251</v>
      </c>
      <c r="G125" t="s">
        <v>252</v>
      </c>
      <c r="H125" t="s">
        <v>17</v>
      </c>
      <c r="I125" t="s">
        <v>259</v>
      </c>
      <c r="J125" t="s">
        <v>250</v>
      </c>
      <c r="K125">
        <v>-855.75895606999995</v>
      </c>
      <c r="L125" t="s">
        <v>250</v>
      </c>
      <c r="M125" t="s">
        <v>231</v>
      </c>
      <c r="N125">
        <v>4.9898993999990003E-2</v>
      </c>
      <c r="O125">
        <v>42.701511000000004</v>
      </c>
      <c r="P125" t="s">
        <v>21</v>
      </c>
      <c r="Q125">
        <v>1</v>
      </c>
      <c r="W125">
        <v>1</v>
      </c>
      <c r="X125">
        <v>0</v>
      </c>
      <c r="AA125" t="s">
        <v>225</v>
      </c>
      <c r="AB125" t="s">
        <v>226</v>
      </c>
      <c r="AC125" t="s">
        <v>227</v>
      </c>
      <c r="AD125" t="s">
        <v>100</v>
      </c>
      <c r="AE125">
        <v>109.354</v>
      </c>
      <c r="AF125">
        <v>1.0727760310708341</v>
      </c>
      <c r="AG125">
        <v>117.31235010172</v>
      </c>
      <c r="AH125">
        <v>694.38</v>
      </c>
      <c r="AI125">
        <v>0.875</v>
      </c>
      <c r="AJ125">
        <v>71.276930955678296</v>
      </c>
      <c r="AK125">
        <v>0.96660000000000001</v>
      </c>
      <c r="AL125">
        <v>68.896000000000001</v>
      </c>
      <c r="AM125">
        <v>8.9176000000000002</v>
      </c>
      <c r="AN125">
        <v>9.5665875346772715</v>
      </c>
      <c r="AO125">
        <v>0.91300000000000003</v>
      </c>
      <c r="AP125">
        <v>6064.9193587765631</v>
      </c>
      <c r="AQ125">
        <v>0.98316430020283985</v>
      </c>
      <c r="AR125">
        <v>5962.8122000000003</v>
      </c>
      <c r="AT125" t="s">
        <v>228</v>
      </c>
      <c r="AU125" t="s">
        <v>229</v>
      </c>
      <c r="AV125" t="s">
        <v>227</v>
      </c>
      <c r="AW125" t="s">
        <v>100</v>
      </c>
      <c r="AX125">
        <v>109.354</v>
      </c>
      <c r="AY125">
        <v>1.0833851741009131</v>
      </c>
      <c r="AZ125">
        <v>118.47250232863119</v>
      </c>
      <c r="BA125">
        <v>801.49</v>
      </c>
      <c r="BB125">
        <v>0.90500000000000003</v>
      </c>
      <c r="BC125">
        <v>85.933845931694037</v>
      </c>
      <c r="BD125">
        <v>0.94550000000000001</v>
      </c>
      <c r="BE125">
        <v>81.25</v>
      </c>
      <c r="BF125">
        <v>8.9176000000000002</v>
      </c>
      <c r="BG125">
        <v>0.77</v>
      </c>
      <c r="BH125">
        <v>5962.3807969390264</v>
      </c>
      <c r="BI125">
        <v>1.0003042596348879</v>
      </c>
      <c r="BJ125">
        <v>5964.1949000000004</v>
      </c>
    </row>
    <row r="126" spans="1:62" x14ac:dyDescent="0.25">
      <c r="A126">
        <v>1212</v>
      </c>
      <c r="B126" t="s">
        <v>114</v>
      </c>
      <c r="C126">
        <v>2021</v>
      </c>
      <c r="D126">
        <v>1</v>
      </c>
      <c r="E126" t="s">
        <v>218</v>
      </c>
      <c r="F126" t="s">
        <v>251</v>
      </c>
      <c r="G126" t="s">
        <v>252</v>
      </c>
      <c r="H126" t="s">
        <v>17</v>
      </c>
      <c r="I126" t="s">
        <v>259</v>
      </c>
      <c r="J126" t="s">
        <v>250</v>
      </c>
      <c r="K126">
        <v>-855.75895606999995</v>
      </c>
      <c r="L126" t="s">
        <v>250</v>
      </c>
      <c r="M126" t="s">
        <v>232</v>
      </c>
      <c r="N126">
        <v>0.97472100599996003</v>
      </c>
      <c r="O126">
        <v>834.12623099999996</v>
      </c>
      <c r="P126" t="s">
        <v>21</v>
      </c>
      <c r="Q126">
        <v>1</v>
      </c>
      <c r="W126">
        <v>1</v>
      </c>
      <c r="X126">
        <v>0</v>
      </c>
      <c r="AA126" t="s">
        <v>225</v>
      </c>
      <c r="AB126" t="s">
        <v>226</v>
      </c>
      <c r="AC126" t="s">
        <v>227</v>
      </c>
      <c r="AD126" t="s">
        <v>101</v>
      </c>
      <c r="AE126">
        <v>109.354</v>
      </c>
      <c r="AF126">
        <v>1.0727760310708341</v>
      </c>
      <c r="AG126">
        <v>117.31235010172</v>
      </c>
      <c r="AH126">
        <v>694.38</v>
      </c>
      <c r="AI126">
        <v>0.875</v>
      </c>
      <c r="AJ126">
        <v>71.276930955678296</v>
      </c>
      <c r="AK126">
        <v>1.0077</v>
      </c>
      <c r="AL126">
        <v>71.825999999999993</v>
      </c>
      <c r="AM126">
        <v>8.9176000000000002</v>
      </c>
      <c r="AN126">
        <v>9.5665875346772715</v>
      </c>
      <c r="AO126">
        <v>0.91300000000000003</v>
      </c>
      <c r="AP126">
        <v>6064.9193587765631</v>
      </c>
      <c r="AQ126">
        <v>1.0255267423014589</v>
      </c>
      <c r="AR126">
        <v>6219.7370000000001</v>
      </c>
      <c r="AT126" t="s">
        <v>228</v>
      </c>
      <c r="AU126" t="s">
        <v>229</v>
      </c>
      <c r="AV126" t="s">
        <v>227</v>
      </c>
      <c r="AW126" t="s">
        <v>101</v>
      </c>
      <c r="AX126">
        <v>109.354</v>
      </c>
      <c r="AY126">
        <v>1.0833851741009131</v>
      </c>
      <c r="AZ126">
        <v>118.47250232863119</v>
      </c>
      <c r="BA126">
        <v>801.49</v>
      </c>
      <c r="BB126">
        <v>0.90500000000000003</v>
      </c>
      <c r="BC126">
        <v>85.933845931694037</v>
      </c>
      <c r="BD126">
        <v>1.0154000000000001</v>
      </c>
      <c r="BE126">
        <v>87.257000000000005</v>
      </c>
      <c r="BF126">
        <v>8.9176000000000002</v>
      </c>
      <c r="BG126">
        <v>0.77</v>
      </c>
      <c r="BH126">
        <v>5962.3807969390264</v>
      </c>
      <c r="BI126">
        <v>1.0150931928687199</v>
      </c>
      <c r="BJ126">
        <v>6052.3721999999998</v>
      </c>
    </row>
    <row r="127" spans="1:62" x14ac:dyDescent="0.25">
      <c r="A127">
        <v>4858</v>
      </c>
      <c r="B127" t="s">
        <v>114</v>
      </c>
      <c r="C127">
        <v>2021</v>
      </c>
      <c r="D127">
        <v>1</v>
      </c>
      <c r="E127" t="s">
        <v>218</v>
      </c>
      <c r="F127" t="s">
        <v>260</v>
      </c>
      <c r="G127" t="s">
        <v>261</v>
      </c>
      <c r="H127" t="s">
        <v>17</v>
      </c>
      <c r="I127" t="s">
        <v>262</v>
      </c>
      <c r="J127" t="s">
        <v>222</v>
      </c>
      <c r="K127">
        <v>-276.04528281</v>
      </c>
      <c r="L127" t="s">
        <v>223</v>
      </c>
      <c r="M127" t="s">
        <v>224</v>
      </c>
      <c r="N127">
        <v>8.7524974586199993E-3</v>
      </c>
      <c r="O127">
        <v>2.416086</v>
      </c>
      <c r="P127" t="s">
        <v>21</v>
      </c>
      <c r="Q127">
        <v>1</v>
      </c>
      <c r="W127">
        <v>1</v>
      </c>
      <c r="X127">
        <v>0</v>
      </c>
      <c r="AA127" t="s">
        <v>225</v>
      </c>
      <c r="AB127" t="s">
        <v>226</v>
      </c>
      <c r="AC127" t="s">
        <v>227</v>
      </c>
      <c r="AD127" t="s">
        <v>153</v>
      </c>
      <c r="AE127">
        <v>109.354</v>
      </c>
      <c r="AF127">
        <v>1.0727760310708341</v>
      </c>
      <c r="AG127">
        <v>117.31235010172</v>
      </c>
      <c r="AH127">
        <v>694.38</v>
      </c>
      <c r="AI127">
        <v>0.875</v>
      </c>
      <c r="AJ127">
        <v>71.276930955678296</v>
      </c>
      <c r="AK127">
        <v>1.0034000000000001</v>
      </c>
      <c r="AL127">
        <v>71.519000000000005</v>
      </c>
      <c r="AM127">
        <v>8.9176000000000002</v>
      </c>
      <c r="AN127">
        <v>9.5665875346772715</v>
      </c>
      <c r="AO127">
        <v>0.91300000000000003</v>
      </c>
      <c r="AP127">
        <v>6064.9193587765631</v>
      </c>
      <c r="AQ127">
        <v>1</v>
      </c>
      <c r="AR127">
        <v>6064.9193999999998</v>
      </c>
      <c r="AT127" t="s">
        <v>228</v>
      </c>
      <c r="AU127" t="s">
        <v>229</v>
      </c>
      <c r="AV127" t="s">
        <v>227</v>
      </c>
      <c r="AW127" t="s">
        <v>153</v>
      </c>
      <c r="AX127">
        <v>109.354</v>
      </c>
      <c r="AY127">
        <v>1.0833851741009131</v>
      </c>
      <c r="AZ127">
        <v>118.47250232863119</v>
      </c>
      <c r="BA127">
        <v>801.49</v>
      </c>
      <c r="BB127">
        <v>0.90500000000000003</v>
      </c>
      <c r="BC127">
        <v>85.933845931694037</v>
      </c>
      <c r="BD127">
        <v>1.0470999999999999</v>
      </c>
      <c r="BE127">
        <v>89.980999999999995</v>
      </c>
      <c r="BF127">
        <v>8.9176000000000002</v>
      </c>
      <c r="BG127">
        <v>0.77</v>
      </c>
      <c r="BH127">
        <v>5962.3807969390264</v>
      </c>
      <c r="BI127">
        <v>1</v>
      </c>
      <c r="BJ127">
        <v>5962.3807999999999</v>
      </c>
    </row>
    <row r="128" spans="1:62" x14ac:dyDescent="0.25">
      <c r="A128">
        <v>4860</v>
      </c>
      <c r="B128" t="s">
        <v>114</v>
      </c>
      <c r="C128">
        <v>2021</v>
      </c>
      <c r="D128">
        <v>1</v>
      </c>
      <c r="E128" t="s">
        <v>218</v>
      </c>
      <c r="F128" t="s">
        <v>260</v>
      </c>
      <c r="G128" t="s">
        <v>261</v>
      </c>
      <c r="H128" t="s">
        <v>17</v>
      </c>
      <c r="I128" t="s">
        <v>262</v>
      </c>
      <c r="J128" t="s">
        <v>222</v>
      </c>
      <c r="K128">
        <v>-276.04528281</v>
      </c>
      <c r="L128" t="s">
        <v>223</v>
      </c>
      <c r="M128" t="s">
        <v>230</v>
      </c>
      <c r="N128">
        <v>0.16047331440265999</v>
      </c>
      <c r="O128">
        <v>44.297901000000003</v>
      </c>
      <c r="P128" t="s">
        <v>21</v>
      </c>
      <c r="Q128">
        <v>1</v>
      </c>
      <c r="W128">
        <v>1</v>
      </c>
      <c r="X128">
        <v>0</v>
      </c>
      <c r="AA128" t="s">
        <v>225</v>
      </c>
      <c r="AB128" t="s">
        <v>226</v>
      </c>
      <c r="AC128" t="s">
        <v>227</v>
      </c>
      <c r="AD128" t="s">
        <v>154</v>
      </c>
      <c r="AE128">
        <v>109.354</v>
      </c>
      <c r="AF128">
        <v>1.0727760310708341</v>
      </c>
      <c r="AG128">
        <v>117.31235010172</v>
      </c>
      <c r="AH128">
        <v>694.38</v>
      </c>
      <c r="AI128">
        <v>0.875</v>
      </c>
      <c r="AJ128">
        <v>71.276930955678296</v>
      </c>
      <c r="AK128">
        <v>1.0179</v>
      </c>
      <c r="AL128">
        <v>72.552999999999997</v>
      </c>
      <c r="AM128">
        <v>8.9176000000000002</v>
      </c>
      <c r="AN128">
        <v>9.5665875346772715</v>
      </c>
      <c r="AO128">
        <v>0.91300000000000003</v>
      </c>
      <c r="AP128">
        <v>6064.9193587765631</v>
      </c>
      <c r="AQ128">
        <v>0.98975009761811794</v>
      </c>
      <c r="AR128">
        <v>6002.7545</v>
      </c>
      <c r="AT128" t="s">
        <v>228</v>
      </c>
      <c r="AU128" t="s">
        <v>229</v>
      </c>
      <c r="AV128" t="s">
        <v>227</v>
      </c>
      <c r="AW128" t="s">
        <v>154</v>
      </c>
      <c r="AX128">
        <v>109.354</v>
      </c>
      <c r="AY128">
        <v>1.0833851741009131</v>
      </c>
      <c r="AZ128">
        <v>118.47250232863119</v>
      </c>
      <c r="BA128">
        <v>801.49</v>
      </c>
      <c r="BB128">
        <v>0.90500000000000003</v>
      </c>
      <c r="BC128">
        <v>85.933845931694037</v>
      </c>
      <c r="BD128">
        <v>0.99380000000000002</v>
      </c>
      <c r="BE128">
        <v>85.400999999999996</v>
      </c>
      <c r="BF128">
        <v>8.9176000000000002</v>
      </c>
      <c r="BG128">
        <v>0.77</v>
      </c>
      <c r="BH128">
        <v>5962.3807969390264</v>
      </c>
      <c r="BI128">
        <v>0.98418586489652482</v>
      </c>
      <c r="BJ128">
        <v>5868.0909000000001</v>
      </c>
    </row>
    <row r="129" spans="1:62" x14ac:dyDescent="0.25">
      <c r="A129">
        <v>4862</v>
      </c>
      <c r="B129" t="s">
        <v>114</v>
      </c>
      <c r="C129">
        <v>2021</v>
      </c>
      <c r="D129">
        <v>1</v>
      </c>
      <c r="E129" t="s">
        <v>218</v>
      </c>
      <c r="F129" t="s">
        <v>260</v>
      </c>
      <c r="G129" t="s">
        <v>261</v>
      </c>
      <c r="H129" t="s">
        <v>17</v>
      </c>
      <c r="I129" t="s">
        <v>262</v>
      </c>
      <c r="J129" t="s">
        <v>222</v>
      </c>
      <c r="K129">
        <v>-276.04528281</v>
      </c>
      <c r="L129" t="s">
        <v>223</v>
      </c>
      <c r="M129" t="s">
        <v>231</v>
      </c>
      <c r="N129">
        <v>4.5018334813739999E-2</v>
      </c>
      <c r="O129">
        <v>12.427099</v>
      </c>
      <c r="P129" t="s">
        <v>21</v>
      </c>
      <c r="Q129">
        <v>1</v>
      </c>
      <c r="W129">
        <v>1</v>
      </c>
      <c r="X129">
        <v>0</v>
      </c>
      <c r="AA129" t="s">
        <v>225</v>
      </c>
      <c r="AB129" t="s">
        <v>226</v>
      </c>
      <c r="AC129" t="s">
        <v>227</v>
      </c>
      <c r="AD129" t="s">
        <v>100</v>
      </c>
      <c r="AE129">
        <v>109.354</v>
      </c>
      <c r="AF129">
        <v>1.0727760310708341</v>
      </c>
      <c r="AG129">
        <v>117.31235010172</v>
      </c>
      <c r="AH129">
        <v>694.38</v>
      </c>
      <c r="AI129">
        <v>0.875</v>
      </c>
      <c r="AJ129">
        <v>71.276930955678296</v>
      </c>
      <c r="AK129">
        <v>0.96660000000000001</v>
      </c>
      <c r="AL129">
        <v>68.896000000000001</v>
      </c>
      <c r="AM129">
        <v>8.9176000000000002</v>
      </c>
      <c r="AN129">
        <v>9.5665875346772715</v>
      </c>
      <c r="AO129">
        <v>0.91300000000000003</v>
      </c>
      <c r="AP129">
        <v>6064.9193587765631</v>
      </c>
      <c r="AQ129">
        <v>0.98316430020283985</v>
      </c>
      <c r="AR129">
        <v>5962.8122000000003</v>
      </c>
      <c r="AT129" t="s">
        <v>228</v>
      </c>
      <c r="AU129" t="s">
        <v>229</v>
      </c>
      <c r="AV129" t="s">
        <v>227</v>
      </c>
      <c r="AW129" t="s">
        <v>100</v>
      </c>
      <c r="AX129">
        <v>109.354</v>
      </c>
      <c r="AY129">
        <v>1.0833851741009131</v>
      </c>
      <c r="AZ129">
        <v>118.47250232863119</v>
      </c>
      <c r="BA129">
        <v>801.49</v>
      </c>
      <c r="BB129">
        <v>0.90500000000000003</v>
      </c>
      <c r="BC129">
        <v>85.933845931694037</v>
      </c>
      <c r="BD129">
        <v>0.94550000000000001</v>
      </c>
      <c r="BE129">
        <v>81.25</v>
      </c>
      <c r="BF129">
        <v>8.9176000000000002</v>
      </c>
      <c r="BG129">
        <v>0.77</v>
      </c>
      <c r="BH129">
        <v>5962.3807969390264</v>
      </c>
      <c r="BI129">
        <v>1.0003042596348879</v>
      </c>
      <c r="BJ129">
        <v>5964.1949000000004</v>
      </c>
    </row>
    <row r="130" spans="1:62" x14ac:dyDescent="0.25">
      <c r="A130">
        <v>4864</v>
      </c>
      <c r="B130" t="s">
        <v>114</v>
      </c>
      <c r="C130">
        <v>2021</v>
      </c>
      <c r="D130">
        <v>1</v>
      </c>
      <c r="E130" t="s">
        <v>218</v>
      </c>
      <c r="F130" t="s">
        <v>260</v>
      </c>
      <c r="G130" t="s">
        <v>261</v>
      </c>
      <c r="H130" t="s">
        <v>17</v>
      </c>
      <c r="I130" t="s">
        <v>262</v>
      </c>
      <c r="J130" t="s">
        <v>222</v>
      </c>
      <c r="K130">
        <v>-276.04528281</v>
      </c>
      <c r="L130" t="s">
        <v>223</v>
      </c>
      <c r="M130" t="s">
        <v>232</v>
      </c>
      <c r="N130">
        <v>0.87398007306502001</v>
      </c>
      <c r="O130">
        <v>241.25807599999999</v>
      </c>
      <c r="P130" t="s">
        <v>21</v>
      </c>
      <c r="Q130">
        <v>1</v>
      </c>
      <c r="W130">
        <v>1</v>
      </c>
      <c r="X130">
        <v>0</v>
      </c>
      <c r="AA130" t="s">
        <v>225</v>
      </c>
      <c r="AB130" t="s">
        <v>226</v>
      </c>
      <c r="AC130" t="s">
        <v>227</v>
      </c>
      <c r="AD130" t="s">
        <v>101</v>
      </c>
      <c r="AE130">
        <v>109.354</v>
      </c>
      <c r="AF130">
        <v>1.0727760310708341</v>
      </c>
      <c r="AG130">
        <v>117.31235010172</v>
      </c>
      <c r="AH130">
        <v>694.38</v>
      </c>
      <c r="AI130">
        <v>0.875</v>
      </c>
      <c r="AJ130">
        <v>71.276930955678296</v>
      </c>
      <c r="AK130">
        <v>1.0077</v>
      </c>
      <c r="AL130">
        <v>71.825999999999993</v>
      </c>
      <c r="AM130">
        <v>8.9176000000000002</v>
      </c>
      <c r="AN130">
        <v>9.5665875346772715</v>
      </c>
      <c r="AO130">
        <v>0.91300000000000003</v>
      </c>
      <c r="AP130">
        <v>6064.9193587765631</v>
      </c>
      <c r="AQ130">
        <v>1.0255267423014589</v>
      </c>
      <c r="AR130">
        <v>6219.7370000000001</v>
      </c>
      <c r="AT130" t="s">
        <v>228</v>
      </c>
      <c r="AU130" t="s">
        <v>229</v>
      </c>
      <c r="AV130" t="s">
        <v>227</v>
      </c>
      <c r="AW130" t="s">
        <v>101</v>
      </c>
      <c r="AX130">
        <v>109.354</v>
      </c>
      <c r="AY130">
        <v>1.0833851741009131</v>
      </c>
      <c r="AZ130">
        <v>118.47250232863119</v>
      </c>
      <c r="BA130">
        <v>801.49</v>
      </c>
      <c r="BB130">
        <v>0.90500000000000003</v>
      </c>
      <c r="BC130">
        <v>85.933845931694037</v>
      </c>
      <c r="BD130">
        <v>1.0154000000000001</v>
      </c>
      <c r="BE130">
        <v>87.257000000000005</v>
      </c>
      <c r="BF130">
        <v>8.9176000000000002</v>
      </c>
      <c r="BG130">
        <v>0.77</v>
      </c>
      <c r="BH130">
        <v>5962.3807969390264</v>
      </c>
      <c r="BI130">
        <v>1.0150931928687199</v>
      </c>
      <c r="BJ130">
        <v>6052.3721999999998</v>
      </c>
    </row>
    <row r="131" spans="1:62" x14ac:dyDescent="0.25">
      <c r="A131">
        <v>2426</v>
      </c>
      <c r="B131" t="s">
        <v>114</v>
      </c>
      <c r="C131">
        <v>2021</v>
      </c>
      <c r="D131">
        <v>1</v>
      </c>
      <c r="E131" t="s">
        <v>218</v>
      </c>
      <c r="F131" t="s">
        <v>260</v>
      </c>
      <c r="G131" t="s">
        <v>261</v>
      </c>
      <c r="H131" t="s">
        <v>17</v>
      </c>
      <c r="I131" t="s">
        <v>263</v>
      </c>
      <c r="J131" t="s">
        <v>234</v>
      </c>
      <c r="K131">
        <v>-768.10875840999995</v>
      </c>
      <c r="L131" t="s">
        <v>234</v>
      </c>
      <c r="M131" t="s">
        <v>224</v>
      </c>
      <c r="N131">
        <v>8.5771088379299996E-3</v>
      </c>
      <c r="O131">
        <v>6.588152</v>
      </c>
      <c r="P131" t="s">
        <v>21</v>
      </c>
      <c r="Q131">
        <v>1</v>
      </c>
      <c r="W131">
        <v>1</v>
      </c>
      <c r="X131">
        <v>0</v>
      </c>
      <c r="AA131" t="s">
        <v>225</v>
      </c>
      <c r="AB131" t="s">
        <v>226</v>
      </c>
      <c r="AC131" t="s">
        <v>227</v>
      </c>
      <c r="AD131" t="s">
        <v>153</v>
      </c>
      <c r="AE131">
        <v>109.354</v>
      </c>
      <c r="AF131">
        <v>1.0727760310708341</v>
      </c>
      <c r="AG131">
        <v>117.31235010172</v>
      </c>
      <c r="AH131">
        <v>694.38</v>
      </c>
      <c r="AI131">
        <v>0.875</v>
      </c>
      <c r="AJ131">
        <v>71.276930955678296</v>
      </c>
      <c r="AK131">
        <v>1.0034000000000001</v>
      </c>
      <c r="AL131">
        <v>71.519000000000005</v>
      </c>
      <c r="AM131">
        <v>8.9176000000000002</v>
      </c>
      <c r="AN131">
        <v>9.5665875346772715</v>
      </c>
      <c r="AO131">
        <v>0.91300000000000003</v>
      </c>
      <c r="AP131">
        <v>6064.9193587765631</v>
      </c>
      <c r="AQ131">
        <v>1</v>
      </c>
      <c r="AR131">
        <v>6064.9193999999998</v>
      </c>
      <c r="AT131" t="s">
        <v>228</v>
      </c>
      <c r="AU131" t="s">
        <v>229</v>
      </c>
      <c r="AV131" t="s">
        <v>227</v>
      </c>
      <c r="AW131" t="s">
        <v>153</v>
      </c>
      <c r="AX131">
        <v>109.354</v>
      </c>
      <c r="AY131">
        <v>1.0833851741009131</v>
      </c>
      <c r="AZ131">
        <v>118.47250232863119</v>
      </c>
      <c r="BA131">
        <v>801.49</v>
      </c>
      <c r="BB131">
        <v>0.90500000000000003</v>
      </c>
      <c r="BC131">
        <v>85.933845931694037</v>
      </c>
      <c r="BD131">
        <v>1.0470999999999999</v>
      </c>
      <c r="BE131">
        <v>89.980999999999995</v>
      </c>
      <c r="BF131">
        <v>8.9176000000000002</v>
      </c>
      <c r="BG131">
        <v>0.77</v>
      </c>
      <c r="BH131">
        <v>5962.3807969390264</v>
      </c>
      <c r="BI131">
        <v>1</v>
      </c>
      <c r="BJ131">
        <v>5962.3807999999999</v>
      </c>
    </row>
    <row r="132" spans="1:62" x14ac:dyDescent="0.25">
      <c r="A132">
        <v>2428</v>
      </c>
      <c r="B132" t="s">
        <v>114</v>
      </c>
      <c r="C132">
        <v>2021</v>
      </c>
      <c r="D132">
        <v>1</v>
      </c>
      <c r="E132" t="s">
        <v>218</v>
      </c>
      <c r="F132" t="s">
        <v>260</v>
      </c>
      <c r="G132" t="s">
        <v>261</v>
      </c>
      <c r="H132" t="s">
        <v>17</v>
      </c>
      <c r="I132" t="s">
        <v>263</v>
      </c>
      <c r="J132" t="s">
        <v>234</v>
      </c>
      <c r="K132">
        <v>-768.10875840999995</v>
      </c>
      <c r="L132" t="s">
        <v>234</v>
      </c>
      <c r="M132" t="s">
        <v>235</v>
      </c>
      <c r="N132">
        <v>0.60124209651893001</v>
      </c>
      <c r="O132">
        <v>461.81932</v>
      </c>
      <c r="P132" t="s">
        <v>21</v>
      </c>
      <c r="Q132">
        <v>1</v>
      </c>
      <c r="W132">
        <v>1</v>
      </c>
      <c r="X132">
        <v>0</v>
      </c>
      <c r="AA132" t="s">
        <v>225</v>
      </c>
      <c r="AB132" t="s">
        <v>226</v>
      </c>
      <c r="AC132" t="s">
        <v>227</v>
      </c>
      <c r="AD132" t="s">
        <v>154</v>
      </c>
      <c r="AE132">
        <v>109.354</v>
      </c>
      <c r="AF132">
        <v>1.0727760310708341</v>
      </c>
      <c r="AG132">
        <v>117.31235010172</v>
      </c>
      <c r="AH132">
        <v>694.38</v>
      </c>
      <c r="AI132">
        <v>0.875</v>
      </c>
      <c r="AJ132">
        <v>71.276930955678296</v>
      </c>
      <c r="AK132">
        <v>1.0179</v>
      </c>
      <c r="AL132">
        <v>72.552999999999997</v>
      </c>
      <c r="AM132">
        <v>8.9176000000000002</v>
      </c>
      <c r="AN132">
        <v>9.5665875346772715</v>
      </c>
      <c r="AO132">
        <v>0.91300000000000003</v>
      </c>
      <c r="AP132">
        <v>6064.9193587765631</v>
      </c>
      <c r="AQ132">
        <v>0.98975009761811794</v>
      </c>
      <c r="AR132">
        <v>6002.7545</v>
      </c>
      <c r="AT132" t="s">
        <v>228</v>
      </c>
      <c r="AU132" t="s">
        <v>229</v>
      </c>
      <c r="AV132" t="s">
        <v>227</v>
      </c>
      <c r="AW132" t="s">
        <v>154</v>
      </c>
      <c r="AX132">
        <v>109.354</v>
      </c>
      <c r="AY132">
        <v>1.0833851741009131</v>
      </c>
      <c r="AZ132">
        <v>118.47250232863119</v>
      </c>
      <c r="BA132">
        <v>801.49</v>
      </c>
      <c r="BB132">
        <v>0.90500000000000003</v>
      </c>
      <c r="BC132">
        <v>85.933845931694037</v>
      </c>
      <c r="BD132">
        <v>0.99380000000000002</v>
      </c>
      <c r="BE132">
        <v>85.400999999999996</v>
      </c>
      <c r="BF132">
        <v>8.9176000000000002</v>
      </c>
      <c r="BG132">
        <v>0.77</v>
      </c>
      <c r="BH132">
        <v>5962.3807969390264</v>
      </c>
      <c r="BI132">
        <v>0.98418586489652482</v>
      </c>
      <c r="BJ132">
        <v>5868.0909000000001</v>
      </c>
    </row>
    <row r="133" spans="1:62" x14ac:dyDescent="0.25">
      <c r="A133">
        <v>2430</v>
      </c>
      <c r="B133" t="s">
        <v>114</v>
      </c>
      <c r="C133">
        <v>2021</v>
      </c>
      <c r="D133">
        <v>1</v>
      </c>
      <c r="E133" t="s">
        <v>218</v>
      </c>
      <c r="F133" t="s">
        <v>260</v>
      </c>
      <c r="G133" t="s">
        <v>261</v>
      </c>
      <c r="H133" t="s">
        <v>17</v>
      </c>
      <c r="I133" t="s">
        <v>263</v>
      </c>
      <c r="J133" t="s">
        <v>234</v>
      </c>
      <c r="K133">
        <v>-768.10875840999995</v>
      </c>
      <c r="L133" t="s">
        <v>234</v>
      </c>
      <c r="M133" t="s">
        <v>236</v>
      </c>
      <c r="N133">
        <v>1.9808691721710001E-2</v>
      </c>
      <c r="O133">
        <v>15.21523</v>
      </c>
      <c r="P133" t="s">
        <v>21</v>
      </c>
      <c r="Q133">
        <v>1</v>
      </c>
      <c r="W133">
        <v>1</v>
      </c>
      <c r="X133">
        <v>0</v>
      </c>
      <c r="AA133" t="s">
        <v>225</v>
      </c>
      <c r="AB133" t="s">
        <v>226</v>
      </c>
      <c r="AC133" t="s">
        <v>227</v>
      </c>
      <c r="AD133" t="s">
        <v>100</v>
      </c>
      <c r="AE133">
        <v>109.354</v>
      </c>
      <c r="AF133">
        <v>1.0727760310708341</v>
      </c>
      <c r="AG133">
        <v>117.31235010172</v>
      </c>
      <c r="AH133">
        <v>694.38</v>
      </c>
      <c r="AI133">
        <v>0.875</v>
      </c>
      <c r="AJ133">
        <v>71.276930955678296</v>
      </c>
      <c r="AK133">
        <v>0.96660000000000001</v>
      </c>
      <c r="AL133">
        <v>68.896000000000001</v>
      </c>
      <c r="AM133">
        <v>8.9176000000000002</v>
      </c>
      <c r="AN133">
        <v>9.5665875346772715</v>
      </c>
      <c r="AO133">
        <v>0.91300000000000003</v>
      </c>
      <c r="AP133">
        <v>6064.9193587765631</v>
      </c>
      <c r="AQ133">
        <v>0.98316430020283985</v>
      </c>
      <c r="AR133">
        <v>5962.8122000000003</v>
      </c>
      <c r="AT133" t="s">
        <v>228</v>
      </c>
      <c r="AU133" t="s">
        <v>229</v>
      </c>
      <c r="AV133" t="s">
        <v>227</v>
      </c>
      <c r="AW133" t="s">
        <v>100</v>
      </c>
      <c r="AX133">
        <v>109.354</v>
      </c>
      <c r="AY133">
        <v>1.0833851741009131</v>
      </c>
      <c r="AZ133">
        <v>118.47250232863119</v>
      </c>
      <c r="BA133">
        <v>801.49</v>
      </c>
      <c r="BB133">
        <v>0.90500000000000003</v>
      </c>
      <c r="BC133">
        <v>85.933845931694037</v>
      </c>
      <c r="BD133">
        <v>0.94550000000000001</v>
      </c>
      <c r="BE133">
        <v>81.25</v>
      </c>
      <c r="BF133">
        <v>8.9176000000000002</v>
      </c>
      <c r="BG133">
        <v>0.77</v>
      </c>
      <c r="BH133">
        <v>5962.3807969390264</v>
      </c>
      <c r="BI133">
        <v>1.0003042596348879</v>
      </c>
      <c r="BJ133">
        <v>5964.1949000000004</v>
      </c>
    </row>
    <row r="134" spans="1:62" x14ac:dyDescent="0.25">
      <c r="A134">
        <v>2432</v>
      </c>
      <c r="B134" t="s">
        <v>114</v>
      </c>
      <c r="C134">
        <v>2021</v>
      </c>
      <c r="D134">
        <v>1</v>
      </c>
      <c r="E134" t="s">
        <v>218</v>
      </c>
      <c r="F134" t="s">
        <v>260</v>
      </c>
      <c r="G134" t="s">
        <v>261</v>
      </c>
      <c r="H134" t="s">
        <v>17</v>
      </c>
      <c r="I134" t="s">
        <v>263</v>
      </c>
      <c r="J134" t="s">
        <v>234</v>
      </c>
      <c r="K134">
        <v>-768.10875840999995</v>
      </c>
      <c r="L134" t="s">
        <v>234</v>
      </c>
      <c r="M134" t="s">
        <v>237</v>
      </c>
      <c r="N134">
        <v>0.39660634608572998</v>
      </c>
      <c r="O134">
        <v>304.63680799999997</v>
      </c>
      <c r="P134" t="s">
        <v>21</v>
      </c>
      <c r="Q134">
        <v>1</v>
      </c>
      <c r="W134">
        <v>1</v>
      </c>
      <c r="X134">
        <v>0</v>
      </c>
      <c r="AA134" t="s">
        <v>225</v>
      </c>
      <c r="AB134" t="s">
        <v>226</v>
      </c>
      <c r="AC134" t="s">
        <v>227</v>
      </c>
      <c r="AD134" t="s">
        <v>101</v>
      </c>
      <c r="AE134">
        <v>109.354</v>
      </c>
      <c r="AF134">
        <v>1.0727760310708341</v>
      </c>
      <c r="AG134">
        <v>117.31235010172</v>
      </c>
      <c r="AH134">
        <v>694.38</v>
      </c>
      <c r="AI134">
        <v>0.875</v>
      </c>
      <c r="AJ134">
        <v>71.276930955678296</v>
      </c>
      <c r="AK134">
        <v>1.0077</v>
      </c>
      <c r="AL134">
        <v>71.825999999999993</v>
      </c>
      <c r="AM134">
        <v>8.9176000000000002</v>
      </c>
      <c r="AN134">
        <v>9.5665875346772715</v>
      </c>
      <c r="AO134">
        <v>0.91300000000000003</v>
      </c>
      <c r="AP134">
        <v>6064.9193587765631</v>
      </c>
      <c r="AQ134">
        <v>1.0255267423014589</v>
      </c>
      <c r="AR134">
        <v>6219.7370000000001</v>
      </c>
      <c r="AT134" t="s">
        <v>228</v>
      </c>
      <c r="AU134" t="s">
        <v>229</v>
      </c>
      <c r="AV134" t="s">
        <v>227</v>
      </c>
      <c r="AW134" t="s">
        <v>101</v>
      </c>
      <c r="AX134">
        <v>109.354</v>
      </c>
      <c r="AY134">
        <v>1.0833851741009131</v>
      </c>
      <c r="AZ134">
        <v>118.47250232863119</v>
      </c>
      <c r="BA134">
        <v>801.49</v>
      </c>
      <c r="BB134">
        <v>0.90500000000000003</v>
      </c>
      <c r="BC134">
        <v>85.933845931694037</v>
      </c>
      <c r="BD134">
        <v>1.0154000000000001</v>
      </c>
      <c r="BE134">
        <v>87.257000000000005</v>
      </c>
      <c r="BF134">
        <v>8.9176000000000002</v>
      </c>
      <c r="BG134">
        <v>0.77</v>
      </c>
      <c r="BH134">
        <v>5962.3807969390264</v>
      </c>
      <c r="BI134">
        <v>1.0150931928687199</v>
      </c>
      <c r="BJ134">
        <v>6052.3721999999998</v>
      </c>
    </row>
    <row r="135" spans="1:62" x14ac:dyDescent="0.25">
      <c r="A135">
        <v>2426</v>
      </c>
      <c r="B135" t="s">
        <v>114</v>
      </c>
      <c r="C135">
        <v>2021</v>
      </c>
      <c r="D135">
        <v>1</v>
      </c>
      <c r="E135" t="s">
        <v>218</v>
      </c>
      <c r="F135" t="s">
        <v>260</v>
      </c>
      <c r="G135" t="s">
        <v>261</v>
      </c>
      <c r="H135" t="s">
        <v>17</v>
      </c>
      <c r="I135" t="s">
        <v>264</v>
      </c>
      <c r="J135" t="s">
        <v>239</v>
      </c>
      <c r="K135">
        <v>-137.24384037999999</v>
      </c>
      <c r="L135" t="s">
        <v>240</v>
      </c>
      <c r="M135" t="s">
        <v>224</v>
      </c>
      <c r="N135">
        <v>1.1109205873409999E-2</v>
      </c>
      <c r="O135">
        <v>1.52467</v>
      </c>
      <c r="P135" t="s">
        <v>21</v>
      </c>
      <c r="Q135">
        <v>1</v>
      </c>
      <c r="W135">
        <v>1</v>
      </c>
      <c r="X135">
        <v>0</v>
      </c>
      <c r="AA135" t="s">
        <v>225</v>
      </c>
      <c r="AB135" t="s">
        <v>226</v>
      </c>
      <c r="AC135" t="s">
        <v>227</v>
      </c>
      <c r="AD135" t="s">
        <v>153</v>
      </c>
      <c r="AE135">
        <v>109.354</v>
      </c>
      <c r="AF135">
        <v>1.0727760310708341</v>
      </c>
      <c r="AG135">
        <v>117.31235010172</v>
      </c>
      <c r="AH135">
        <v>694.38</v>
      </c>
      <c r="AI135">
        <v>0.875</v>
      </c>
      <c r="AJ135">
        <v>71.276930955678296</v>
      </c>
      <c r="AK135">
        <v>1.0034000000000001</v>
      </c>
      <c r="AL135">
        <v>71.519000000000005</v>
      </c>
      <c r="AM135">
        <v>8.9176000000000002</v>
      </c>
      <c r="AN135">
        <v>9.5665875346772715</v>
      </c>
      <c r="AO135">
        <v>0.91300000000000003</v>
      </c>
      <c r="AP135">
        <v>6064.9193587765631</v>
      </c>
      <c r="AQ135">
        <v>1</v>
      </c>
      <c r="AR135">
        <v>6064.9193999999998</v>
      </c>
      <c r="AT135" t="s">
        <v>228</v>
      </c>
      <c r="AU135" t="s">
        <v>229</v>
      </c>
      <c r="AV135" t="s">
        <v>227</v>
      </c>
      <c r="AW135" t="s">
        <v>153</v>
      </c>
      <c r="AX135">
        <v>109.354</v>
      </c>
      <c r="AY135">
        <v>1.0833851741009131</v>
      </c>
      <c r="AZ135">
        <v>118.47250232863119</v>
      </c>
      <c r="BA135">
        <v>801.49</v>
      </c>
      <c r="BB135">
        <v>0.90500000000000003</v>
      </c>
      <c r="BC135">
        <v>85.933845931694037</v>
      </c>
      <c r="BD135">
        <v>1.0470999999999999</v>
      </c>
      <c r="BE135">
        <v>89.980999999999995</v>
      </c>
      <c r="BF135">
        <v>8.9176000000000002</v>
      </c>
      <c r="BG135">
        <v>0.77</v>
      </c>
      <c r="BH135">
        <v>5962.3807969390264</v>
      </c>
      <c r="BI135">
        <v>1</v>
      </c>
      <c r="BJ135">
        <v>5962.3807999999999</v>
      </c>
    </row>
    <row r="136" spans="1:62" x14ac:dyDescent="0.25">
      <c r="A136">
        <v>2428</v>
      </c>
      <c r="B136" t="s">
        <v>114</v>
      </c>
      <c r="C136">
        <v>2021</v>
      </c>
      <c r="D136">
        <v>1</v>
      </c>
      <c r="E136" t="s">
        <v>218</v>
      </c>
      <c r="F136" t="s">
        <v>260</v>
      </c>
      <c r="G136" t="s">
        <v>261</v>
      </c>
      <c r="H136" t="s">
        <v>17</v>
      </c>
      <c r="I136" t="s">
        <v>264</v>
      </c>
      <c r="J136" t="s">
        <v>239</v>
      </c>
      <c r="K136">
        <v>-137.24384037999999</v>
      </c>
      <c r="L136" t="s">
        <v>240</v>
      </c>
      <c r="M136" t="s">
        <v>235</v>
      </c>
      <c r="N136">
        <v>0.58148407621825005</v>
      </c>
      <c r="O136">
        <v>79.805108000000004</v>
      </c>
      <c r="P136" t="s">
        <v>21</v>
      </c>
      <c r="Q136">
        <v>1</v>
      </c>
      <c r="W136">
        <v>1</v>
      </c>
      <c r="X136">
        <v>0</v>
      </c>
      <c r="AA136" t="s">
        <v>225</v>
      </c>
      <c r="AB136" t="s">
        <v>226</v>
      </c>
      <c r="AC136" t="s">
        <v>227</v>
      </c>
      <c r="AD136" t="s">
        <v>154</v>
      </c>
      <c r="AE136">
        <v>109.354</v>
      </c>
      <c r="AF136">
        <v>1.0727760310708341</v>
      </c>
      <c r="AG136">
        <v>117.31235010172</v>
      </c>
      <c r="AH136">
        <v>694.38</v>
      </c>
      <c r="AI136">
        <v>0.875</v>
      </c>
      <c r="AJ136">
        <v>71.276930955678296</v>
      </c>
      <c r="AK136">
        <v>1.0179</v>
      </c>
      <c r="AL136">
        <v>72.552999999999997</v>
      </c>
      <c r="AM136">
        <v>8.9176000000000002</v>
      </c>
      <c r="AN136">
        <v>9.5665875346772715</v>
      </c>
      <c r="AO136">
        <v>0.91300000000000003</v>
      </c>
      <c r="AP136">
        <v>6064.9193587765631</v>
      </c>
      <c r="AQ136">
        <v>0.98975009761811794</v>
      </c>
      <c r="AR136">
        <v>6002.7545</v>
      </c>
      <c r="AT136" t="s">
        <v>228</v>
      </c>
      <c r="AU136" t="s">
        <v>229</v>
      </c>
      <c r="AV136" t="s">
        <v>227</v>
      </c>
      <c r="AW136" t="s">
        <v>154</v>
      </c>
      <c r="AX136">
        <v>109.354</v>
      </c>
      <c r="AY136">
        <v>1.0833851741009131</v>
      </c>
      <c r="AZ136">
        <v>118.47250232863119</v>
      </c>
      <c r="BA136">
        <v>801.49</v>
      </c>
      <c r="BB136">
        <v>0.90500000000000003</v>
      </c>
      <c r="BC136">
        <v>85.933845931694037</v>
      </c>
      <c r="BD136">
        <v>0.99380000000000002</v>
      </c>
      <c r="BE136">
        <v>85.400999999999996</v>
      </c>
      <c r="BF136">
        <v>8.9176000000000002</v>
      </c>
      <c r="BG136">
        <v>0.77</v>
      </c>
      <c r="BH136">
        <v>5962.3807969390264</v>
      </c>
      <c r="BI136">
        <v>0.98418586489652482</v>
      </c>
      <c r="BJ136">
        <v>5868.0909000000001</v>
      </c>
    </row>
    <row r="137" spans="1:62" x14ac:dyDescent="0.25">
      <c r="A137">
        <v>2430</v>
      </c>
      <c r="B137" t="s">
        <v>114</v>
      </c>
      <c r="C137">
        <v>2021</v>
      </c>
      <c r="D137">
        <v>1</v>
      </c>
      <c r="E137" t="s">
        <v>218</v>
      </c>
      <c r="F137" t="s">
        <v>260</v>
      </c>
      <c r="G137" t="s">
        <v>261</v>
      </c>
      <c r="H137" t="s">
        <v>17</v>
      </c>
      <c r="I137" t="s">
        <v>264</v>
      </c>
      <c r="J137" t="s">
        <v>239</v>
      </c>
      <c r="K137">
        <v>-137.24384037999999</v>
      </c>
      <c r="L137" t="s">
        <v>240</v>
      </c>
      <c r="M137" t="s">
        <v>236</v>
      </c>
      <c r="N137">
        <v>1.8083569973560001E-2</v>
      </c>
      <c r="O137">
        <v>2.481859</v>
      </c>
      <c r="P137" t="s">
        <v>21</v>
      </c>
      <c r="Q137">
        <v>1</v>
      </c>
      <c r="W137">
        <v>1</v>
      </c>
      <c r="X137">
        <v>0</v>
      </c>
      <c r="AA137" t="s">
        <v>225</v>
      </c>
      <c r="AB137" t="s">
        <v>226</v>
      </c>
      <c r="AC137" t="s">
        <v>227</v>
      </c>
      <c r="AD137" t="s">
        <v>100</v>
      </c>
      <c r="AE137">
        <v>109.354</v>
      </c>
      <c r="AF137">
        <v>1.0727760310708341</v>
      </c>
      <c r="AG137">
        <v>117.31235010172</v>
      </c>
      <c r="AH137">
        <v>694.38</v>
      </c>
      <c r="AI137">
        <v>0.875</v>
      </c>
      <c r="AJ137">
        <v>71.276930955678296</v>
      </c>
      <c r="AK137">
        <v>0.96660000000000001</v>
      </c>
      <c r="AL137">
        <v>68.896000000000001</v>
      </c>
      <c r="AM137">
        <v>8.9176000000000002</v>
      </c>
      <c r="AN137">
        <v>9.5665875346772715</v>
      </c>
      <c r="AO137">
        <v>0.91300000000000003</v>
      </c>
      <c r="AP137">
        <v>6064.9193587765631</v>
      </c>
      <c r="AQ137">
        <v>0.98316430020283985</v>
      </c>
      <c r="AR137">
        <v>5962.8122000000003</v>
      </c>
      <c r="AT137" t="s">
        <v>228</v>
      </c>
      <c r="AU137" t="s">
        <v>229</v>
      </c>
      <c r="AV137" t="s">
        <v>227</v>
      </c>
      <c r="AW137" t="s">
        <v>100</v>
      </c>
      <c r="AX137">
        <v>109.354</v>
      </c>
      <c r="AY137">
        <v>1.0833851741009131</v>
      </c>
      <c r="AZ137">
        <v>118.47250232863119</v>
      </c>
      <c r="BA137">
        <v>801.49</v>
      </c>
      <c r="BB137">
        <v>0.90500000000000003</v>
      </c>
      <c r="BC137">
        <v>85.933845931694037</v>
      </c>
      <c r="BD137">
        <v>0.94550000000000001</v>
      </c>
      <c r="BE137">
        <v>81.25</v>
      </c>
      <c r="BF137">
        <v>8.9176000000000002</v>
      </c>
      <c r="BG137">
        <v>0.77</v>
      </c>
      <c r="BH137">
        <v>5962.3807969390264</v>
      </c>
      <c r="BI137">
        <v>1.0003042596348879</v>
      </c>
      <c r="BJ137">
        <v>5964.1949000000004</v>
      </c>
    </row>
    <row r="138" spans="1:62" x14ac:dyDescent="0.25">
      <c r="A138">
        <v>2432</v>
      </c>
      <c r="B138" t="s">
        <v>114</v>
      </c>
      <c r="C138">
        <v>2021</v>
      </c>
      <c r="D138">
        <v>1</v>
      </c>
      <c r="E138" t="s">
        <v>218</v>
      </c>
      <c r="F138" t="s">
        <v>260</v>
      </c>
      <c r="G138" t="s">
        <v>261</v>
      </c>
      <c r="H138" t="s">
        <v>17</v>
      </c>
      <c r="I138" t="s">
        <v>264</v>
      </c>
      <c r="J138" t="s">
        <v>239</v>
      </c>
      <c r="K138">
        <v>-137.24384037999999</v>
      </c>
      <c r="L138" t="s">
        <v>240</v>
      </c>
      <c r="M138" t="s">
        <v>237</v>
      </c>
      <c r="N138">
        <v>0.41680683696206</v>
      </c>
      <c r="O138">
        <v>57.204171000000002</v>
      </c>
      <c r="P138" t="s">
        <v>21</v>
      </c>
      <c r="Q138">
        <v>1</v>
      </c>
      <c r="W138">
        <v>1</v>
      </c>
      <c r="X138">
        <v>0</v>
      </c>
      <c r="AA138" t="s">
        <v>225</v>
      </c>
      <c r="AB138" t="s">
        <v>226</v>
      </c>
      <c r="AC138" t="s">
        <v>227</v>
      </c>
      <c r="AD138" t="s">
        <v>101</v>
      </c>
      <c r="AE138">
        <v>109.354</v>
      </c>
      <c r="AF138">
        <v>1.0727760310708341</v>
      </c>
      <c r="AG138">
        <v>117.31235010172</v>
      </c>
      <c r="AH138">
        <v>694.38</v>
      </c>
      <c r="AI138">
        <v>0.875</v>
      </c>
      <c r="AJ138">
        <v>71.276930955678296</v>
      </c>
      <c r="AK138">
        <v>1.0077</v>
      </c>
      <c r="AL138">
        <v>71.825999999999993</v>
      </c>
      <c r="AM138">
        <v>8.9176000000000002</v>
      </c>
      <c r="AN138">
        <v>9.5665875346772715</v>
      </c>
      <c r="AO138">
        <v>0.91300000000000003</v>
      </c>
      <c r="AP138">
        <v>6064.9193587765631</v>
      </c>
      <c r="AQ138">
        <v>1.0255267423014589</v>
      </c>
      <c r="AR138">
        <v>6219.7370000000001</v>
      </c>
      <c r="AT138" t="s">
        <v>228</v>
      </c>
      <c r="AU138" t="s">
        <v>229</v>
      </c>
      <c r="AV138" t="s">
        <v>227</v>
      </c>
      <c r="AW138" t="s">
        <v>101</v>
      </c>
      <c r="AX138">
        <v>109.354</v>
      </c>
      <c r="AY138">
        <v>1.0833851741009131</v>
      </c>
      <c r="AZ138">
        <v>118.47250232863119</v>
      </c>
      <c r="BA138">
        <v>801.49</v>
      </c>
      <c r="BB138">
        <v>0.90500000000000003</v>
      </c>
      <c r="BC138">
        <v>85.933845931694037</v>
      </c>
      <c r="BD138">
        <v>1.0154000000000001</v>
      </c>
      <c r="BE138">
        <v>87.257000000000005</v>
      </c>
      <c r="BF138">
        <v>8.9176000000000002</v>
      </c>
      <c r="BG138">
        <v>0.77</v>
      </c>
      <c r="BH138">
        <v>5962.3807969390264</v>
      </c>
      <c r="BI138">
        <v>1.0150931928687199</v>
      </c>
      <c r="BJ138">
        <v>6052.3721999999998</v>
      </c>
    </row>
    <row r="139" spans="1:62" x14ac:dyDescent="0.25">
      <c r="A139">
        <v>3644</v>
      </c>
      <c r="B139" t="s">
        <v>114</v>
      </c>
      <c r="C139">
        <v>2021</v>
      </c>
      <c r="D139">
        <v>1</v>
      </c>
      <c r="E139" t="s">
        <v>218</v>
      </c>
      <c r="F139" t="s">
        <v>260</v>
      </c>
      <c r="G139" t="s">
        <v>261</v>
      </c>
      <c r="H139" t="s">
        <v>17</v>
      </c>
      <c r="I139" t="s">
        <v>265</v>
      </c>
      <c r="J139" t="s">
        <v>242</v>
      </c>
      <c r="K139">
        <v>-56.458691350000002</v>
      </c>
      <c r="L139" t="s">
        <v>242</v>
      </c>
      <c r="M139" t="s">
        <v>235</v>
      </c>
      <c r="N139">
        <v>0.67001574769252004</v>
      </c>
      <c r="O139">
        <v>37.828212000000001</v>
      </c>
      <c r="P139" t="s">
        <v>21</v>
      </c>
      <c r="Q139">
        <v>1</v>
      </c>
      <c r="W139">
        <v>1</v>
      </c>
      <c r="X139">
        <v>0</v>
      </c>
      <c r="AA139" t="s">
        <v>225</v>
      </c>
      <c r="AB139" t="s">
        <v>226</v>
      </c>
      <c r="AC139" t="s">
        <v>227</v>
      </c>
      <c r="AD139" t="s">
        <v>154</v>
      </c>
      <c r="AE139">
        <v>109.354</v>
      </c>
      <c r="AF139">
        <v>1.0727760310708341</v>
      </c>
      <c r="AG139">
        <v>117.31235010172</v>
      </c>
      <c r="AH139">
        <v>694.38</v>
      </c>
      <c r="AI139">
        <v>0.875</v>
      </c>
      <c r="AJ139">
        <v>71.276930955678296</v>
      </c>
      <c r="AK139">
        <v>1.0179</v>
      </c>
      <c r="AL139">
        <v>72.552999999999997</v>
      </c>
      <c r="AM139">
        <v>8.9176000000000002</v>
      </c>
      <c r="AN139">
        <v>9.5665875346772715</v>
      </c>
      <c r="AO139">
        <v>0.91300000000000003</v>
      </c>
      <c r="AP139">
        <v>6064.9193587765631</v>
      </c>
      <c r="AQ139">
        <v>0.98975009761811794</v>
      </c>
      <c r="AR139">
        <v>6002.7545</v>
      </c>
      <c r="AT139" t="s">
        <v>228</v>
      </c>
      <c r="AU139" t="s">
        <v>229</v>
      </c>
      <c r="AV139" t="s">
        <v>227</v>
      </c>
      <c r="AW139" t="s">
        <v>154</v>
      </c>
      <c r="AX139">
        <v>109.354</v>
      </c>
      <c r="AY139">
        <v>1.0833851741009131</v>
      </c>
      <c r="AZ139">
        <v>118.47250232863119</v>
      </c>
      <c r="BA139">
        <v>801.49</v>
      </c>
      <c r="BB139">
        <v>0.90500000000000003</v>
      </c>
      <c r="BC139">
        <v>85.933845931694037</v>
      </c>
      <c r="BD139">
        <v>0.99380000000000002</v>
      </c>
      <c r="BE139">
        <v>85.400999999999996</v>
      </c>
      <c r="BF139">
        <v>8.9176000000000002</v>
      </c>
      <c r="BG139">
        <v>0.77</v>
      </c>
      <c r="BH139">
        <v>5962.3807969390264</v>
      </c>
      <c r="BI139">
        <v>0.98418586489652482</v>
      </c>
      <c r="BJ139">
        <v>5868.0909000000001</v>
      </c>
    </row>
    <row r="140" spans="1:62" x14ac:dyDescent="0.25">
      <c r="A140">
        <v>3646</v>
      </c>
      <c r="B140" t="s">
        <v>114</v>
      </c>
      <c r="C140">
        <v>2021</v>
      </c>
      <c r="D140">
        <v>1</v>
      </c>
      <c r="E140" t="s">
        <v>218</v>
      </c>
      <c r="F140" t="s">
        <v>260</v>
      </c>
      <c r="G140" t="s">
        <v>261</v>
      </c>
      <c r="H140" t="s">
        <v>17</v>
      </c>
      <c r="I140" t="s">
        <v>265</v>
      </c>
      <c r="J140" t="s">
        <v>242</v>
      </c>
      <c r="K140">
        <v>-56.458691350000002</v>
      </c>
      <c r="L140" t="s">
        <v>242</v>
      </c>
      <c r="M140" t="s">
        <v>236</v>
      </c>
      <c r="N140">
        <v>1.442552100634E-2</v>
      </c>
      <c r="O140">
        <v>0.814446</v>
      </c>
      <c r="P140" t="s">
        <v>21</v>
      </c>
      <c r="Q140">
        <v>1</v>
      </c>
      <c r="W140">
        <v>1</v>
      </c>
      <c r="X140">
        <v>0</v>
      </c>
      <c r="AA140" t="s">
        <v>225</v>
      </c>
      <c r="AB140" t="s">
        <v>226</v>
      </c>
      <c r="AC140" t="s">
        <v>227</v>
      </c>
      <c r="AD140" t="s">
        <v>100</v>
      </c>
      <c r="AE140">
        <v>109.354</v>
      </c>
      <c r="AF140">
        <v>1.0727760310708341</v>
      </c>
      <c r="AG140">
        <v>117.31235010172</v>
      </c>
      <c r="AH140">
        <v>694.38</v>
      </c>
      <c r="AI140">
        <v>0.875</v>
      </c>
      <c r="AJ140">
        <v>71.276930955678296</v>
      </c>
      <c r="AK140">
        <v>0.96660000000000001</v>
      </c>
      <c r="AL140">
        <v>68.896000000000001</v>
      </c>
      <c r="AM140">
        <v>8.9176000000000002</v>
      </c>
      <c r="AN140">
        <v>9.5665875346772715</v>
      </c>
      <c r="AO140">
        <v>0.91300000000000003</v>
      </c>
      <c r="AP140">
        <v>6064.9193587765631</v>
      </c>
      <c r="AQ140">
        <v>0.98316430020283985</v>
      </c>
      <c r="AR140">
        <v>5962.8122000000003</v>
      </c>
      <c r="AT140" t="s">
        <v>228</v>
      </c>
      <c r="AU140" t="s">
        <v>229</v>
      </c>
      <c r="AV140" t="s">
        <v>227</v>
      </c>
      <c r="AW140" t="s">
        <v>100</v>
      </c>
      <c r="AX140">
        <v>109.354</v>
      </c>
      <c r="AY140">
        <v>1.0833851741009131</v>
      </c>
      <c r="AZ140">
        <v>118.47250232863119</v>
      </c>
      <c r="BA140">
        <v>801.49</v>
      </c>
      <c r="BB140">
        <v>0.90500000000000003</v>
      </c>
      <c r="BC140">
        <v>85.933845931694037</v>
      </c>
      <c r="BD140">
        <v>0.94550000000000001</v>
      </c>
      <c r="BE140">
        <v>81.25</v>
      </c>
      <c r="BF140">
        <v>8.9176000000000002</v>
      </c>
      <c r="BG140">
        <v>0.77</v>
      </c>
      <c r="BH140">
        <v>5962.3807969390264</v>
      </c>
      <c r="BI140">
        <v>1.0003042596348879</v>
      </c>
      <c r="BJ140">
        <v>5964.1949000000004</v>
      </c>
    </row>
    <row r="141" spans="1:62" x14ac:dyDescent="0.25">
      <c r="A141">
        <v>3648</v>
      </c>
      <c r="B141" t="s">
        <v>114</v>
      </c>
      <c r="C141">
        <v>2021</v>
      </c>
      <c r="D141">
        <v>1</v>
      </c>
      <c r="E141" t="s">
        <v>218</v>
      </c>
      <c r="F141" t="s">
        <v>260</v>
      </c>
      <c r="G141" t="s">
        <v>261</v>
      </c>
      <c r="H141" t="s">
        <v>17</v>
      </c>
      <c r="I141" t="s">
        <v>265</v>
      </c>
      <c r="J141" t="s">
        <v>242</v>
      </c>
      <c r="K141">
        <v>-56.458691350000002</v>
      </c>
      <c r="L141" t="s">
        <v>242</v>
      </c>
      <c r="M141" t="s">
        <v>237</v>
      </c>
      <c r="N141">
        <v>0.37405093967954001</v>
      </c>
      <c r="O141">
        <v>21.118427000000001</v>
      </c>
      <c r="P141" t="s">
        <v>21</v>
      </c>
      <c r="Q141">
        <v>1</v>
      </c>
      <c r="W141">
        <v>1</v>
      </c>
      <c r="X141">
        <v>0</v>
      </c>
      <c r="AA141" t="s">
        <v>225</v>
      </c>
      <c r="AB141" t="s">
        <v>226</v>
      </c>
      <c r="AC141" t="s">
        <v>227</v>
      </c>
      <c r="AD141" t="s">
        <v>101</v>
      </c>
      <c r="AE141">
        <v>109.354</v>
      </c>
      <c r="AF141">
        <v>1.0727760310708341</v>
      </c>
      <c r="AG141">
        <v>117.31235010172</v>
      </c>
      <c r="AH141">
        <v>694.38</v>
      </c>
      <c r="AI141">
        <v>0.875</v>
      </c>
      <c r="AJ141">
        <v>71.276930955678296</v>
      </c>
      <c r="AK141">
        <v>1.0077</v>
      </c>
      <c r="AL141">
        <v>71.825999999999993</v>
      </c>
      <c r="AM141">
        <v>8.9176000000000002</v>
      </c>
      <c r="AN141">
        <v>9.5665875346772715</v>
      </c>
      <c r="AO141">
        <v>0.91300000000000003</v>
      </c>
      <c r="AP141">
        <v>6064.9193587765631</v>
      </c>
      <c r="AQ141">
        <v>1.0255267423014589</v>
      </c>
      <c r="AR141">
        <v>6219.7370000000001</v>
      </c>
      <c r="AT141" t="s">
        <v>228</v>
      </c>
      <c r="AU141" t="s">
        <v>229</v>
      </c>
      <c r="AV141" t="s">
        <v>227</v>
      </c>
      <c r="AW141" t="s">
        <v>101</v>
      </c>
      <c r="AX141">
        <v>109.354</v>
      </c>
      <c r="AY141">
        <v>1.0833851741009131</v>
      </c>
      <c r="AZ141">
        <v>118.47250232863119</v>
      </c>
      <c r="BA141">
        <v>801.49</v>
      </c>
      <c r="BB141">
        <v>0.90500000000000003</v>
      </c>
      <c r="BC141">
        <v>85.933845931694037</v>
      </c>
      <c r="BD141">
        <v>1.0154000000000001</v>
      </c>
      <c r="BE141">
        <v>87.257000000000005</v>
      </c>
      <c r="BF141">
        <v>8.9176000000000002</v>
      </c>
      <c r="BG141">
        <v>0.77</v>
      </c>
      <c r="BH141">
        <v>5962.3807969390264</v>
      </c>
      <c r="BI141">
        <v>1.0150931928687199</v>
      </c>
      <c r="BJ141">
        <v>6052.3721999999998</v>
      </c>
    </row>
    <row r="142" spans="1:62" x14ac:dyDescent="0.25">
      <c r="A142">
        <v>2426</v>
      </c>
      <c r="B142" t="s">
        <v>114</v>
      </c>
      <c r="C142">
        <v>2021</v>
      </c>
      <c r="D142">
        <v>1</v>
      </c>
      <c r="E142" t="s">
        <v>218</v>
      </c>
      <c r="F142" t="s">
        <v>260</v>
      </c>
      <c r="G142" t="s">
        <v>261</v>
      </c>
      <c r="H142" t="s">
        <v>17</v>
      </c>
      <c r="I142" t="s">
        <v>266</v>
      </c>
      <c r="J142" t="s">
        <v>244</v>
      </c>
      <c r="K142">
        <v>-85.232765130000004</v>
      </c>
      <c r="L142" t="s">
        <v>245</v>
      </c>
      <c r="M142" t="s">
        <v>224</v>
      </c>
      <c r="N142">
        <v>1.1026262910890001E-2</v>
      </c>
      <c r="O142">
        <v>0.93979900000000005</v>
      </c>
      <c r="P142" t="s">
        <v>21</v>
      </c>
      <c r="Q142">
        <v>1</v>
      </c>
      <c r="W142">
        <v>1</v>
      </c>
      <c r="X142">
        <v>0</v>
      </c>
      <c r="AA142" t="s">
        <v>225</v>
      </c>
      <c r="AB142" t="s">
        <v>226</v>
      </c>
      <c r="AC142" t="s">
        <v>227</v>
      </c>
      <c r="AD142" t="s">
        <v>153</v>
      </c>
      <c r="AE142">
        <v>109.354</v>
      </c>
      <c r="AF142">
        <v>1.0727760310708341</v>
      </c>
      <c r="AG142">
        <v>117.31235010172</v>
      </c>
      <c r="AH142">
        <v>694.38</v>
      </c>
      <c r="AI142">
        <v>0.875</v>
      </c>
      <c r="AJ142">
        <v>71.276930955678296</v>
      </c>
      <c r="AK142">
        <v>1.0034000000000001</v>
      </c>
      <c r="AL142">
        <v>71.519000000000005</v>
      </c>
      <c r="AM142">
        <v>8.9176000000000002</v>
      </c>
      <c r="AN142">
        <v>9.5665875346772715</v>
      </c>
      <c r="AO142">
        <v>0.91300000000000003</v>
      </c>
      <c r="AP142">
        <v>6064.9193587765631</v>
      </c>
      <c r="AQ142">
        <v>1</v>
      </c>
      <c r="AR142">
        <v>6064.9193999999998</v>
      </c>
      <c r="AT142" t="s">
        <v>228</v>
      </c>
      <c r="AU142" t="s">
        <v>229</v>
      </c>
      <c r="AV142" t="s">
        <v>227</v>
      </c>
      <c r="AW142" t="s">
        <v>153</v>
      </c>
      <c r="AX142">
        <v>109.354</v>
      </c>
      <c r="AY142">
        <v>1.0833851741009131</v>
      </c>
      <c r="AZ142">
        <v>118.47250232863119</v>
      </c>
      <c r="BA142">
        <v>801.49</v>
      </c>
      <c r="BB142">
        <v>0.90500000000000003</v>
      </c>
      <c r="BC142">
        <v>85.933845931694037</v>
      </c>
      <c r="BD142">
        <v>1.0470999999999999</v>
      </c>
      <c r="BE142">
        <v>89.980999999999995</v>
      </c>
      <c r="BF142">
        <v>8.9176000000000002</v>
      </c>
      <c r="BG142">
        <v>0.77</v>
      </c>
      <c r="BH142">
        <v>5962.3807969390264</v>
      </c>
      <c r="BI142">
        <v>1</v>
      </c>
      <c r="BJ142">
        <v>5962.3807999999999</v>
      </c>
    </row>
    <row r="143" spans="1:62" x14ac:dyDescent="0.25">
      <c r="A143">
        <v>2428</v>
      </c>
      <c r="B143" t="s">
        <v>114</v>
      </c>
      <c r="C143">
        <v>2021</v>
      </c>
      <c r="D143">
        <v>1</v>
      </c>
      <c r="E143" t="s">
        <v>218</v>
      </c>
      <c r="F143" t="s">
        <v>260</v>
      </c>
      <c r="G143" t="s">
        <v>261</v>
      </c>
      <c r="H143" t="s">
        <v>17</v>
      </c>
      <c r="I143" t="s">
        <v>266</v>
      </c>
      <c r="J143" t="s">
        <v>244</v>
      </c>
      <c r="K143">
        <v>-85.232765130000004</v>
      </c>
      <c r="L143" t="s">
        <v>245</v>
      </c>
      <c r="M143" t="s">
        <v>235</v>
      </c>
      <c r="N143">
        <v>0.60074557881113</v>
      </c>
      <c r="O143">
        <v>51.203206999999999</v>
      </c>
      <c r="P143" t="s">
        <v>21</v>
      </c>
      <c r="Q143">
        <v>1</v>
      </c>
      <c r="W143">
        <v>1</v>
      </c>
      <c r="X143">
        <v>0</v>
      </c>
      <c r="AA143" t="s">
        <v>225</v>
      </c>
      <c r="AB143" t="s">
        <v>226</v>
      </c>
      <c r="AC143" t="s">
        <v>227</v>
      </c>
      <c r="AD143" t="s">
        <v>154</v>
      </c>
      <c r="AE143">
        <v>109.354</v>
      </c>
      <c r="AF143">
        <v>1.0727760310708341</v>
      </c>
      <c r="AG143">
        <v>117.31235010172</v>
      </c>
      <c r="AH143">
        <v>694.38</v>
      </c>
      <c r="AI143">
        <v>0.875</v>
      </c>
      <c r="AJ143">
        <v>71.276930955678296</v>
      </c>
      <c r="AK143">
        <v>1.0179</v>
      </c>
      <c r="AL143">
        <v>72.552999999999997</v>
      </c>
      <c r="AM143">
        <v>8.9176000000000002</v>
      </c>
      <c r="AN143">
        <v>9.5665875346772715</v>
      </c>
      <c r="AO143">
        <v>0.91300000000000003</v>
      </c>
      <c r="AP143">
        <v>6064.9193587765631</v>
      </c>
      <c r="AQ143">
        <v>0.98975009761811794</v>
      </c>
      <c r="AR143">
        <v>6002.7545</v>
      </c>
      <c r="AT143" t="s">
        <v>228</v>
      </c>
      <c r="AU143" t="s">
        <v>229</v>
      </c>
      <c r="AV143" t="s">
        <v>227</v>
      </c>
      <c r="AW143" t="s">
        <v>154</v>
      </c>
      <c r="AX143">
        <v>109.354</v>
      </c>
      <c r="AY143">
        <v>1.0833851741009131</v>
      </c>
      <c r="AZ143">
        <v>118.47250232863119</v>
      </c>
      <c r="BA143">
        <v>801.49</v>
      </c>
      <c r="BB143">
        <v>0.90500000000000003</v>
      </c>
      <c r="BC143">
        <v>85.933845931694037</v>
      </c>
      <c r="BD143">
        <v>0.99380000000000002</v>
      </c>
      <c r="BE143">
        <v>85.400999999999996</v>
      </c>
      <c r="BF143">
        <v>8.9176000000000002</v>
      </c>
      <c r="BG143">
        <v>0.77</v>
      </c>
      <c r="BH143">
        <v>5962.3807969390264</v>
      </c>
      <c r="BI143">
        <v>0.98418586489652482</v>
      </c>
      <c r="BJ143">
        <v>5868.0909000000001</v>
      </c>
    </row>
    <row r="144" spans="1:62" x14ac:dyDescent="0.25">
      <c r="A144">
        <v>2430</v>
      </c>
      <c r="B144" t="s">
        <v>114</v>
      </c>
      <c r="C144">
        <v>2021</v>
      </c>
      <c r="D144">
        <v>1</v>
      </c>
      <c r="E144" t="s">
        <v>218</v>
      </c>
      <c r="F144" t="s">
        <v>260</v>
      </c>
      <c r="G144" t="s">
        <v>261</v>
      </c>
      <c r="H144" t="s">
        <v>17</v>
      </c>
      <c r="I144" t="s">
        <v>266</v>
      </c>
      <c r="J144" t="s">
        <v>244</v>
      </c>
      <c r="K144">
        <v>-85.232765130000004</v>
      </c>
      <c r="L144" t="s">
        <v>245</v>
      </c>
      <c r="M144" t="s">
        <v>236</v>
      </c>
      <c r="N144">
        <v>1.775192921592E-2</v>
      </c>
      <c r="O144">
        <v>1.5130459999999999</v>
      </c>
      <c r="P144" t="s">
        <v>21</v>
      </c>
      <c r="Q144">
        <v>1</v>
      </c>
      <c r="W144">
        <v>1</v>
      </c>
      <c r="X144">
        <v>0</v>
      </c>
      <c r="AA144" t="s">
        <v>225</v>
      </c>
      <c r="AB144" t="s">
        <v>226</v>
      </c>
      <c r="AC144" t="s">
        <v>227</v>
      </c>
      <c r="AD144" t="s">
        <v>100</v>
      </c>
      <c r="AE144">
        <v>109.354</v>
      </c>
      <c r="AF144">
        <v>1.0727760310708341</v>
      </c>
      <c r="AG144">
        <v>117.31235010172</v>
      </c>
      <c r="AH144">
        <v>694.38</v>
      </c>
      <c r="AI144">
        <v>0.875</v>
      </c>
      <c r="AJ144">
        <v>71.276930955678296</v>
      </c>
      <c r="AK144">
        <v>0.96660000000000001</v>
      </c>
      <c r="AL144">
        <v>68.896000000000001</v>
      </c>
      <c r="AM144">
        <v>8.9176000000000002</v>
      </c>
      <c r="AN144">
        <v>9.5665875346772715</v>
      </c>
      <c r="AO144">
        <v>0.91300000000000003</v>
      </c>
      <c r="AP144">
        <v>6064.9193587765631</v>
      </c>
      <c r="AQ144">
        <v>0.98316430020283985</v>
      </c>
      <c r="AR144">
        <v>5962.8122000000003</v>
      </c>
      <c r="AT144" t="s">
        <v>228</v>
      </c>
      <c r="AU144" t="s">
        <v>229</v>
      </c>
      <c r="AV144" t="s">
        <v>227</v>
      </c>
      <c r="AW144" t="s">
        <v>100</v>
      </c>
      <c r="AX144">
        <v>109.354</v>
      </c>
      <c r="AY144">
        <v>1.0833851741009131</v>
      </c>
      <c r="AZ144">
        <v>118.47250232863119</v>
      </c>
      <c r="BA144">
        <v>801.49</v>
      </c>
      <c r="BB144">
        <v>0.90500000000000003</v>
      </c>
      <c r="BC144">
        <v>85.933845931694037</v>
      </c>
      <c r="BD144">
        <v>0.94550000000000001</v>
      </c>
      <c r="BE144">
        <v>81.25</v>
      </c>
      <c r="BF144">
        <v>8.9176000000000002</v>
      </c>
      <c r="BG144">
        <v>0.77</v>
      </c>
      <c r="BH144">
        <v>5962.3807969390264</v>
      </c>
      <c r="BI144">
        <v>1.0003042596348879</v>
      </c>
      <c r="BJ144">
        <v>5964.1949000000004</v>
      </c>
    </row>
    <row r="145" spans="1:62" x14ac:dyDescent="0.25">
      <c r="A145">
        <v>2432</v>
      </c>
      <c r="B145" t="s">
        <v>114</v>
      </c>
      <c r="C145">
        <v>2021</v>
      </c>
      <c r="D145">
        <v>1</v>
      </c>
      <c r="E145" t="s">
        <v>218</v>
      </c>
      <c r="F145" t="s">
        <v>260</v>
      </c>
      <c r="G145" t="s">
        <v>261</v>
      </c>
      <c r="H145" t="s">
        <v>17</v>
      </c>
      <c r="I145" t="s">
        <v>266</v>
      </c>
      <c r="J145" t="s">
        <v>244</v>
      </c>
      <c r="K145">
        <v>-85.232765130000004</v>
      </c>
      <c r="L145" t="s">
        <v>245</v>
      </c>
      <c r="M145" t="s">
        <v>237</v>
      </c>
      <c r="N145">
        <v>0.39766766032624001</v>
      </c>
      <c r="O145">
        <v>33.894314000000001</v>
      </c>
      <c r="P145" t="s">
        <v>21</v>
      </c>
      <c r="Q145">
        <v>1</v>
      </c>
      <c r="W145">
        <v>1</v>
      </c>
      <c r="X145">
        <v>0</v>
      </c>
      <c r="AA145" t="s">
        <v>225</v>
      </c>
      <c r="AB145" t="s">
        <v>226</v>
      </c>
      <c r="AC145" t="s">
        <v>227</v>
      </c>
      <c r="AD145" t="s">
        <v>101</v>
      </c>
      <c r="AE145">
        <v>109.354</v>
      </c>
      <c r="AF145">
        <v>1.0727760310708341</v>
      </c>
      <c r="AG145">
        <v>117.31235010172</v>
      </c>
      <c r="AH145">
        <v>694.38</v>
      </c>
      <c r="AI145">
        <v>0.875</v>
      </c>
      <c r="AJ145">
        <v>71.276930955678296</v>
      </c>
      <c r="AK145">
        <v>1.0077</v>
      </c>
      <c r="AL145">
        <v>71.825999999999993</v>
      </c>
      <c r="AM145">
        <v>8.9176000000000002</v>
      </c>
      <c r="AN145">
        <v>9.5665875346772715</v>
      </c>
      <c r="AO145">
        <v>0.91300000000000003</v>
      </c>
      <c r="AP145">
        <v>6064.9193587765631</v>
      </c>
      <c r="AQ145">
        <v>1.0255267423014589</v>
      </c>
      <c r="AR145">
        <v>6219.7370000000001</v>
      </c>
      <c r="AT145" t="s">
        <v>228</v>
      </c>
      <c r="AU145" t="s">
        <v>229</v>
      </c>
      <c r="AV145" t="s">
        <v>227</v>
      </c>
      <c r="AW145" t="s">
        <v>101</v>
      </c>
      <c r="AX145">
        <v>109.354</v>
      </c>
      <c r="AY145">
        <v>1.0833851741009131</v>
      </c>
      <c r="AZ145">
        <v>118.47250232863119</v>
      </c>
      <c r="BA145">
        <v>801.49</v>
      </c>
      <c r="BB145">
        <v>0.90500000000000003</v>
      </c>
      <c r="BC145">
        <v>85.933845931694037</v>
      </c>
      <c r="BD145">
        <v>1.0154000000000001</v>
      </c>
      <c r="BE145">
        <v>87.257000000000005</v>
      </c>
      <c r="BF145">
        <v>8.9176000000000002</v>
      </c>
      <c r="BG145">
        <v>0.77</v>
      </c>
      <c r="BH145">
        <v>5962.3807969390264</v>
      </c>
      <c r="BI145">
        <v>1.0150931928687199</v>
      </c>
      <c r="BJ145">
        <v>6052.3721999999998</v>
      </c>
    </row>
    <row r="146" spans="1:62" x14ac:dyDescent="0.25">
      <c r="A146">
        <v>4858</v>
      </c>
      <c r="B146" t="s">
        <v>114</v>
      </c>
      <c r="C146">
        <v>2021</v>
      </c>
      <c r="D146">
        <v>1</v>
      </c>
      <c r="E146" t="s">
        <v>218</v>
      </c>
      <c r="F146" t="s">
        <v>260</v>
      </c>
      <c r="G146" t="s">
        <v>261</v>
      </c>
      <c r="H146" t="s">
        <v>17</v>
      </c>
      <c r="I146" t="s">
        <v>267</v>
      </c>
      <c r="J146" t="s">
        <v>247</v>
      </c>
      <c r="K146">
        <v>-540.52212516999998</v>
      </c>
      <c r="L146" t="s">
        <v>248</v>
      </c>
      <c r="M146" t="s">
        <v>224</v>
      </c>
      <c r="N146">
        <v>4.9724862092599999E-3</v>
      </c>
      <c r="O146">
        <v>2.6877390000000001</v>
      </c>
      <c r="P146" t="s">
        <v>21</v>
      </c>
      <c r="Q146">
        <v>1</v>
      </c>
      <c r="W146">
        <v>1</v>
      </c>
      <c r="X146">
        <v>0</v>
      </c>
      <c r="AA146" t="s">
        <v>225</v>
      </c>
      <c r="AB146" t="s">
        <v>226</v>
      </c>
      <c r="AC146" t="s">
        <v>227</v>
      </c>
      <c r="AD146" t="s">
        <v>153</v>
      </c>
      <c r="AE146">
        <v>109.354</v>
      </c>
      <c r="AF146">
        <v>1.0727760310708341</v>
      </c>
      <c r="AG146">
        <v>117.31235010172</v>
      </c>
      <c r="AH146">
        <v>694.38</v>
      </c>
      <c r="AI146">
        <v>0.875</v>
      </c>
      <c r="AJ146">
        <v>71.276930955678296</v>
      </c>
      <c r="AK146">
        <v>1.0034000000000001</v>
      </c>
      <c r="AL146">
        <v>71.519000000000005</v>
      </c>
      <c r="AM146">
        <v>8.9176000000000002</v>
      </c>
      <c r="AN146">
        <v>9.5665875346772715</v>
      </c>
      <c r="AO146">
        <v>0.91300000000000003</v>
      </c>
      <c r="AP146">
        <v>6064.9193587765631</v>
      </c>
      <c r="AQ146">
        <v>1</v>
      </c>
      <c r="AR146">
        <v>6064.9193999999998</v>
      </c>
      <c r="AT146" t="s">
        <v>228</v>
      </c>
      <c r="AU146" t="s">
        <v>229</v>
      </c>
      <c r="AV146" t="s">
        <v>227</v>
      </c>
      <c r="AW146" t="s">
        <v>153</v>
      </c>
      <c r="AX146">
        <v>109.354</v>
      </c>
      <c r="AY146">
        <v>1.0833851741009131</v>
      </c>
      <c r="AZ146">
        <v>118.47250232863119</v>
      </c>
      <c r="BA146">
        <v>801.49</v>
      </c>
      <c r="BB146">
        <v>0.90500000000000003</v>
      </c>
      <c r="BC146">
        <v>85.933845931694037</v>
      </c>
      <c r="BD146">
        <v>1.0470999999999999</v>
      </c>
      <c r="BE146">
        <v>89.980999999999995</v>
      </c>
      <c r="BF146">
        <v>8.9176000000000002</v>
      </c>
      <c r="BG146">
        <v>0.77</v>
      </c>
      <c r="BH146">
        <v>5962.3807969390264</v>
      </c>
      <c r="BI146">
        <v>1</v>
      </c>
      <c r="BJ146">
        <v>5962.3807999999999</v>
      </c>
    </row>
    <row r="147" spans="1:62" x14ac:dyDescent="0.25">
      <c r="A147">
        <v>4860</v>
      </c>
      <c r="B147" t="s">
        <v>114</v>
      </c>
      <c r="C147">
        <v>2021</v>
      </c>
      <c r="D147">
        <v>1</v>
      </c>
      <c r="E147" t="s">
        <v>218</v>
      </c>
      <c r="F147" t="s">
        <v>260</v>
      </c>
      <c r="G147" t="s">
        <v>261</v>
      </c>
      <c r="H147" t="s">
        <v>17</v>
      </c>
      <c r="I147" t="s">
        <v>267</v>
      </c>
      <c r="J147" t="s">
        <v>247</v>
      </c>
      <c r="K147">
        <v>-540.52212516999998</v>
      </c>
      <c r="L147" t="s">
        <v>248</v>
      </c>
      <c r="M147" t="s">
        <v>235</v>
      </c>
      <c r="N147">
        <v>0.99209122360516</v>
      </c>
      <c r="O147">
        <v>536.24725699999999</v>
      </c>
      <c r="P147" t="s">
        <v>21</v>
      </c>
      <c r="Q147">
        <v>1</v>
      </c>
      <c r="W147">
        <v>1</v>
      </c>
      <c r="X147">
        <v>0</v>
      </c>
      <c r="AA147" t="s">
        <v>225</v>
      </c>
      <c r="AB147" t="s">
        <v>226</v>
      </c>
      <c r="AC147" t="s">
        <v>227</v>
      </c>
      <c r="AD147" t="s">
        <v>154</v>
      </c>
      <c r="AE147">
        <v>109.354</v>
      </c>
      <c r="AF147">
        <v>1.0727760310708341</v>
      </c>
      <c r="AG147">
        <v>117.31235010172</v>
      </c>
      <c r="AH147">
        <v>694.38</v>
      </c>
      <c r="AI147">
        <v>0.875</v>
      </c>
      <c r="AJ147">
        <v>71.276930955678296</v>
      </c>
      <c r="AK147">
        <v>1.0179</v>
      </c>
      <c r="AL147">
        <v>72.552999999999997</v>
      </c>
      <c r="AM147">
        <v>8.9176000000000002</v>
      </c>
      <c r="AN147">
        <v>9.5665875346772715</v>
      </c>
      <c r="AO147">
        <v>0.91300000000000003</v>
      </c>
      <c r="AP147">
        <v>6064.9193587765631</v>
      </c>
      <c r="AQ147">
        <v>0.98975009761811794</v>
      </c>
      <c r="AR147">
        <v>6002.7545</v>
      </c>
      <c r="AT147" t="s">
        <v>228</v>
      </c>
      <c r="AU147" t="s">
        <v>229</v>
      </c>
      <c r="AV147" t="s">
        <v>227</v>
      </c>
      <c r="AW147" t="s">
        <v>154</v>
      </c>
      <c r="AX147">
        <v>109.354</v>
      </c>
      <c r="AY147">
        <v>1.0833851741009131</v>
      </c>
      <c r="AZ147">
        <v>118.47250232863119</v>
      </c>
      <c r="BA147">
        <v>801.49</v>
      </c>
      <c r="BB147">
        <v>0.90500000000000003</v>
      </c>
      <c r="BC147">
        <v>85.933845931694037</v>
      </c>
      <c r="BD147">
        <v>0.99380000000000002</v>
      </c>
      <c r="BE147">
        <v>85.400999999999996</v>
      </c>
      <c r="BF147">
        <v>8.9176000000000002</v>
      </c>
      <c r="BG147">
        <v>0.77</v>
      </c>
      <c r="BH147">
        <v>5962.3807969390264</v>
      </c>
      <c r="BI147">
        <v>0.98418586489652482</v>
      </c>
      <c r="BJ147">
        <v>5868.0909000000001</v>
      </c>
    </row>
    <row r="148" spans="1:62" x14ac:dyDescent="0.25">
      <c r="A148">
        <v>4862</v>
      </c>
      <c r="B148" t="s">
        <v>114</v>
      </c>
      <c r="C148">
        <v>2021</v>
      </c>
      <c r="D148">
        <v>1</v>
      </c>
      <c r="E148" t="s">
        <v>218</v>
      </c>
      <c r="F148" t="s">
        <v>260</v>
      </c>
      <c r="G148" t="s">
        <v>261</v>
      </c>
      <c r="H148" t="s">
        <v>17</v>
      </c>
      <c r="I148" t="s">
        <v>267</v>
      </c>
      <c r="J148" t="s">
        <v>247</v>
      </c>
      <c r="K148">
        <v>-540.52212516999998</v>
      </c>
      <c r="L148" t="s">
        <v>248</v>
      </c>
      <c r="M148" t="s">
        <v>236</v>
      </c>
      <c r="N148">
        <v>4.7995598170700003E-3</v>
      </c>
      <c r="O148">
        <v>2.594268</v>
      </c>
      <c r="P148" t="s">
        <v>21</v>
      </c>
      <c r="Q148">
        <v>1</v>
      </c>
      <c r="W148">
        <v>1</v>
      </c>
      <c r="X148">
        <v>0</v>
      </c>
      <c r="AA148" t="s">
        <v>225</v>
      </c>
      <c r="AB148" t="s">
        <v>226</v>
      </c>
      <c r="AC148" t="s">
        <v>227</v>
      </c>
      <c r="AD148" t="s">
        <v>100</v>
      </c>
      <c r="AE148">
        <v>109.354</v>
      </c>
      <c r="AF148">
        <v>1.0727760310708341</v>
      </c>
      <c r="AG148">
        <v>117.31235010172</v>
      </c>
      <c r="AH148">
        <v>694.38</v>
      </c>
      <c r="AI148">
        <v>0.875</v>
      </c>
      <c r="AJ148">
        <v>71.276930955678296</v>
      </c>
      <c r="AK148">
        <v>0.96660000000000001</v>
      </c>
      <c r="AL148">
        <v>68.896000000000001</v>
      </c>
      <c r="AM148">
        <v>8.9176000000000002</v>
      </c>
      <c r="AN148">
        <v>9.5665875346772715</v>
      </c>
      <c r="AO148">
        <v>0.91300000000000003</v>
      </c>
      <c r="AP148">
        <v>6064.9193587765631</v>
      </c>
      <c r="AQ148">
        <v>0.98316430020283985</v>
      </c>
      <c r="AR148">
        <v>5962.8122000000003</v>
      </c>
      <c r="AT148" t="s">
        <v>228</v>
      </c>
      <c r="AU148" t="s">
        <v>229</v>
      </c>
      <c r="AV148" t="s">
        <v>227</v>
      </c>
      <c r="AW148" t="s">
        <v>100</v>
      </c>
      <c r="AX148">
        <v>109.354</v>
      </c>
      <c r="AY148">
        <v>1.0833851741009131</v>
      </c>
      <c r="AZ148">
        <v>118.47250232863119</v>
      </c>
      <c r="BA148">
        <v>801.49</v>
      </c>
      <c r="BB148">
        <v>0.90500000000000003</v>
      </c>
      <c r="BC148">
        <v>85.933845931694037</v>
      </c>
      <c r="BD148">
        <v>0.94550000000000001</v>
      </c>
      <c r="BE148">
        <v>81.25</v>
      </c>
      <c r="BF148">
        <v>8.9176000000000002</v>
      </c>
      <c r="BG148">
        <v>0.77</v>
      </c>
      <c r="BH148">
        <v>5962.3807969390264</v>
      </c>
      <c r="BI148">
        <v>1.0003042596348879</v>
      </c>
      <c r="BJ148">
        <v>5964.1949000000004</v>
      </c>
    </row>
    <row r="149" spans="1:62" x14ac:dyDescent="0.25">
      <c r="A149">
        <v>4864</v>
      </c>
      <c r="B149" t="s">
        <v>114</v>
      </c>
      <c r="C149">
        <v>2021</v>
      </c>
      <c r="D149">
        <v>1</v>
      </c>
      <c r="E149" t="s">
        <v>218</v>
      </c>
      <c r="F149" t="s">
        <v>260</v>
      </c>
      <c r="G149" t="s">
        <v>261</v>
      </c>
      <c r="H149" t="s">
        <v>17</v>
      </c>
      <c r="I149" t="s">
        <v>267</v>
      </c>
      <c r="J149" t="s">
        <v>247</v>
      </c>
      <c r="K149">
        <v>-540.52212516999998</v>
      </c>
      <c r="L149" t="s">
        <v>248</v>
      </c>
      <c r="M149" t="s">
        <v>237</v>
      </c>
      <c r="N149">
        <v>2.2580780904460002E-2</v>
      </c>
      <c r="O149">
        <v>12.205412000000001</v>
      </c>
      <c r="P149" t="s">
        <v>21</v>
      </c>
      <c r="Q149">
        <v>1</v>
      </c>
      <c r="W149">
        <v>1</v>
      </c>
      <c r="X149">
        <v>0</v>
      </c>
      <c r="AA149" t="s">
        <v>225</v>
      </c>
      <c r="AB149" t="s">
        <v>226</v>
      </c>
      <c r="AC149" t="s">
        <v>227</v>
      </c>
      <c r="AD149" t="s">
        <v>101</v>
      </c>
      <c r="AE149">
        <v>109.354</v>
      </c>
      <c r="AF149">
        <v>1.0727760310708341</v>
      </c>
      <c r="AG149">
        <v>117.31235010172</v>
      </c>
      <c r="AH149">
        <v>694.38</v>
      </c>
      <c r="AI149">
        <v>0.875</v>
      </c>
      <c r="AJ149">
        <v>71.276930955678296</v>
      </c>
      <c r="AK149">
        <v>1.0077</v>
      </c>
      <c r="AL149">
        <v>71.825999999999993</v>
      </c>
      <c r="AM149">
        <v>8.9176000000000002</v>
      </c>
      <c r="AN149">
        <v>9.5665875346772715</v>
      </c>
      <c r="AO149">
        <v>0.91300000000000003</v>
      </c>
      <c r="AP149">
        <v>6064.9193587765631</v>
      </c>
      <c r="AQ149">
        <v>1.0255267423014589</v>
      </c>
      <c r="AR149">
        <v>6219.7370000000001</v>
      </c>
      <c r="AT149" t="s">
        <v>228</v>
      </c>
      <c r="AU149" t="s">
        <v>229</v>
      </c>
      <c r="AV149" t="s">
        <v>227</v>
      </c>
      <c r="AW149" t="s">
        <v>101</v>
      </c>
      <c r="AX149">
        <v>109.354</v>
      </c>
      <c r="AY149">
        <v>1.0833851741009131</v>
      </c>
      <c r="AZ149">
        <v>118.47250232863119</v>
      </c>
      <c r="BA149">
        <v>801.49</v>
      </c>
      <c r="BB149">
        <v>0.90500000000000003</v>
      </c>
      <c r="BC149">
        <v>85.933845931694037</v>
      </c>
      <c r="BD149">
        <v>1.0154000000000001</v>
      </c>
      <c r="BE149">
        <v>87.257000000000005</v>
      </c>
      <c r="BF149">
        <v>8.9176000000000002</v>
      </c>
      <c r="BG149">
        <v>0.77</v>
      </c>
      <c r="BH149">
        <v>5962.3807969390264</v>
      </c>
      <c r="BI149">
        <v>1.0150931928687199</v>
      </c>
      <c r="BJ149">
        <v>6052.3721999999998</v>
      </c>
    </row>
    <row r="150" spans="1:62" x14ac:dyDescent="0.25">
      <c r="A150">
        <v>1214</v>
      </c>
      <c r="B150" t="s">
        <v>114</v>
      </c>
      <c r="C150">
        <v>2021</v>
      </c>
      <c r="D150">
        <v>1</v>
      </c>
      <c r="E150" t="s">
        <v>218</v>
      </c>
      <c r="F150" t="s">
        <v>260</v>
      </c>
      <c r="G150" t="s">
        <v>261</v>
      </c>
      <c r="H150" t="s">
        <v>17</v>
      </c>
      <c r="I150" t="s">
        <v>268</v>
      </c>
      <c r="J150" t="s">
        <v>250</v>
      </c>
      <c r="K150">
        <v>-532.01393012999995</v>
      </c>
      <c r="L150" t="s">
        <v>250</v>
      </c>
      <c r="M150" t="s">
        <v>231</v>
      </c>
      <c r="N150">
        <v>4.9898993999990003E-2</v>
      </c>
      <c r="O150">
        <v>26.546959999999999</v>
      </c>
      <c r="P150" t="s">
        <v>21</v>
      </c>
      <c r="Q150">
        <v>1</v>
      </c>
      <c r="W150">
        <v>1</v>
      </c>
      <c r="X150">
        <v>0</v>
      </c>
      <c r="AA150" t="s">
        <v>225</v>
      </c>
      <c r="AB150" t="s">
        <v>226</v>
      </c>
      <c r="AC150" t="s">
        <v>227</v>
      </c>
      <c r="AD150" t="s">
        <v>100</v>
      </c>
      <c r="AE150">
        <v>109.354</v>
      </c>
      <c r="AF150">
        <v>1.0727760310708341</v>
      </c>
      <c r="AG150">
        <v>117.31235010172</v>
      </c>
      <c r="AH150">
        <v>694.38</v>
      </c>
      <c r="AI150">
        <v>0.875</v>
      </c>
      <c r="AJ150">
        <v>71.276930955678296</v>
      </c>
      <c r="AK150">
        <v>0.96660000000000001</v>
      </c>
      <c r="AL150">
        <v>68.896000000000001</v>
      </c>
      <c r="AM150">
        <v>8.9176000000000002</v>
      </c>
      <c r="AN150">
        <v>9.5665875346772715</v>
      </c>
      <c r="AO150">
        <v>0.91300000000000003</v>
      </c>
      <c r="AP150">
        <v>6064.9193587765631</v>
      </c>
      <c r="AQ150">
        <v>0.98316430020283985</v>
      </c>
      <c r="AR150">
        <v>5962.8122000000003</v>
      </c>
      <c r="AT150" t="s">
        <v>228</v>
      </c>
      <c r="AU150" t="s">
        <v>229</v>
      </c>
      <c r="AV150" t="s">
        <v>227</v>
      </c>
      <c r="AW150" t="s">
        <v>100</v>
      </c>
      <c r="AX150">
        <v>109.354</v>
      </c>
      <c r="AY150">
        <v>1.0833851741009131</v>
      </c>
      <c r="AZ150">
        <v>118.47250232863119</v>
      </c>
      <c r="BA150">
        <v>801.49</v>
      </c>
      <c r="BB150">
        <v>0.90500000000000003</v>
      </c>
      <c r="BC150">
        <v>85.933845931694037</v>
      </c>
      <c r="BD150">
        <v>0.94550000000000001</v>
      </c>
      <c r="BE150">
        <v>81.25</v>
      </c>
      <c r="BF150">
        <v>8.9176000000000002</v>
      </c>
      <c r="BG150">
        <v>0.77</v>
      </c>
      <c r="BH150">
        <v>5962.3807969390264</v>
      </c>
      <c r="BI150">
        <v>1.0003042596348879</v>
      </c>
      <c r="BJ150">
        <v>5964.1949000000004</v>
      </c>
    </row>
    <row r="151" spans="1:62" x14ac:dyDescent="0.25">
      <c r="A151">
        <v>1216</v>
      </c>
      <c r="B151" t="s">
        <v>114</v>
      </c>
      <c r="C151">
        <v>2021</v>
      </c>
      <c r="D151">
        <v>1</v>
      </c>
      <c r="E151" t="s">
        <v>218</v>
      </c>
      <c r="F151" t="s">
        <v>260</v>
      </c>
      <c r="G151" t="s">
        <v>261</v>
      </c>
      <c r="H151" t="s">
        <v>17</v>
      </c>
      <c r="I151" t="s">
        <v>268</v>
      </c>
      <c r="J151" t="s">
        <v>250</v>
      </c>
      <c r="K151">
        <v>-532.01393012999995</v>
      </c>
      <c r="L151" t="s">
        <v>250</v>
      </c>
      <c r="M151" t="s">
        <v>232</v>
      </c>
      <c r="N151">
        <v>0.97472100599996003</v>
      </c>
      <c r="O151">
        <v>518.56515300000001</v>
      </c>
      <c r="P151" t="s">
        <v>21</v>
      </c>
      <c r="Q151">
        <v>1</v>
      </c>
      <c r="W151">
        <v>1</v>
      </c>
      <c r="X151">
        <v>0</v>
      </c>
      <c r="AA151" t="s">
        <v>225</v>
      </c>
      <c r="AB151" t="s">
        <v>226</v>
      </c>
      <c r="AC151" t="s">
        <v>227</v>
      </c>
      <c r="AD151" t="s">
        <v>101</v>
      </c>
      <c r="AE151">
        <v>109.354</v>
      </c>
      <c r="AF151">
        <v>1.0727760310708341</v>
      </c>
      <c r="AG151">
        <v>117.31235010172</v>
      </c>
      <c r="AH151">
        <v>694.38</v>
      </c>
      <c r="AI151">
        <v>0.875</v>
      </c>
      <c r="AJ151">
        <v>71.276930955678296</v>
      </c>
      <c r="AK151">
        <v>1.0077</v>
      </c>
      <c r="AL151">
        <v>71.825999999999993</v>
      </c>
      <c r="AM151">
        <v>8.9176000000000002</v>
      </c>
      <c r="AN151">
        <v>9.5665875346772715</v>
      </c>
      <c r="AO151">
        <v>0.91300000000000003</v>
      </c>
      <c r="AP151">
        <v>6064.9193587765631</v>
      </c>
      <c r="AQ151">
        <v>1.0255267423014589</v>
      </c>
      <c r="AR151">
        <v>6219.7370000000001</v>
      </c>
      <c r="AT151" t="s">
        <v>228</v>
      </c>
      <c r="AU151" t="s">
        <v>229</v>
      </c>
      <c r="AV151" t="s">
        <v>227</v>
      </c>
      <c r="AW151" t="s">
        <v>101</v>
      </c>
      <c r="AX151">
        <v>109.354</v>
      </c>
      <c r="AY151">
        <v>1.0833851741009131</v>
      </c>
      <c r="AZ151">
        <v>118.47250232863119</v>
      </c>
      <c r="BA151">
        <v>801.49</v>
      </c>
      <c r="BB151">
        <v>0.90500000000000003</v>
      </c>
      <c r="BC151">
        <v>85.933845931694037</v>
      </c>
      <c r="BD151">
        <v>1.0154000000000001</v>
      </c>
      <c r="BE151">
        <v>87.257000000000005</v>
      </c>
      <c r="BF151">
        <v>8.9176000000000002</v>
      </c>
      <c r="BG151">
        <v>0.77</v>
      </c>
      <c r="BH151">
        <v>5962.3807969390264</v>
      </c>
      <c r="BI151">
        <v>1.0150931928687199</v>
      </c>
      <c r="BJ151">
        <v>6052.3721999999998</v>
      </c>
    </row>
    <row r="152" spans="1:62" x14ac:dyDescent="0.25">
      <c r="A152">
        <v>4954</v>
      </c>
      <c r="B152" t="s">
        <v>118</v>
      </c>
      <c r="C152">
        <v>2021</v>
      </c>
      <c r="D152">
        <v>1</v>
      </c>
      <c r="E152" t="s">
        <v>218</v>
      </c>
      <c r="F152" t="s">
        <v>219</v>
      </c>
      <c r="G152" t="s">
        <v>220</v>
      </c>
      <c r="H152" t="s">
        <v>17</v>
      </c>
      <c r="I152" t="s">
        <v>221</v>
      </c>
      <c r="J152" t="s">
        <v>222</v>
      </c>
      <c r="K152">
        <v>-278.96758433999997</v>
      </c>
      <c r="L152" t="s">
        <v>223</v>
      </c>
      <c r="M152" t="s">
        <v>224</v>
      </c>
      <c r="N152">
        <v>8.7524974586199993E-3</v>
      </c>
      <c r="O152">
        <v>2.4416630000000001</v>
      </c>
      <c r="P152" t="s">
        <v>21</v>
      </c>
      <c r="Q152">
        <v>1</v>
      </c>
      <c r="W152">
        <v>1</v>
      </c>
      <c r="X152">
        <v>0</v>
      </c>
      <c r="AA152" t="s">
        <v>269</v>
      </c>
      <c r="AB152" t="s">
        <v>270</v>
      </c>
      <c r="AC152" t="s">
        <v>227</v>
      </c>
      <c r="AD152" t="s">
        <v>153</v>
      </c>
      <c r="AE152">
        <v>109.354</v>
      </c>
      <c r="AF152">
        <v>1.080821157758461</v>
      </c>
      <c r="AG152">
        <v>118.1921168855188</v>
      </c>
      <c r="AH152">
        <v>779.31</v>
      </c>
      <c r="AI152">
        <v>0.879</v>
      </c>
      <c r="AJ152">
        <v>80.963194478237142</v>
      </c>
      <c r="AK152">
        <v>1.0078</v>
      </c>
      <c r="AL152">
        <v>81.594999999999999</v>
      </c>
      <c r="AM152">
        <v>8.9176000000000002</v>
      </c>
      <c r="AN152">
        <v>9.6383307564268552</v>
      </c>
      <c r="AO152">
        <v>0.80400000000000005</v>
      </c>
      <c r="AP152">
        <v>6039.0430235999738</v>
      </c>
      <c r="AQ152">
        <v>1</v>
      </c>
      <c r="AR152">
        <v>6039.0429999999997</v>
      </c>
      <c r="AT152" t="s">
        <v>228</v>
      </c>
      <c r="AU152" t="s">
        <v>229</v>
      </c>
      <c r="AV152" t="s">
        <v>227</v>
      </c>
      <c r="AW152" t="s">
        <v>153</v>
      </c>
      <c r="AX152">
        <v>109.354</v>
      </c>
      <c r="AY152">
        <v>1.0833851741009131</v>
      </c>
      <c r="AZ152">
        <v>118.47250232863119</v>
      </c>
      <c r="BA152">
        <v>801.49</v>
      </c>
      <c r="BB152">
        <v>0.90500000000000003</v>
      </c>
      <c r="BC152">
        <v>85.933845931694037</v>
      </c>
      <c r="BD152">
        <v>1.0470999999999999</v>
      </c>
      <c r="BE152">
        <v>89.980999999999995</v>
      </c>
      <c r="BF152">
        <v>8.9176000000000002</v>
      </c>
      <c r="BG152">
        <v>0.77</v>
      </c>
      <c r="BH152">
        <v>5962.3807969390264</v>
      </c>
      <c r="BI152">
        <v>1</v>
      </c>
      <c r="BJ152">
        <v>5962.3807999999999</v>
      </c>
    </row>
    <row r="153" spans="1:62" x14ac:dyDescent="0.25">
      <c r="A153">
        <v>4956</v>
      </c>
      <c r="B153" t="s">
        <v>118</v>
      </c>
      <c r="C153">
        <v>2021</v>
      </c>
      <c r="D153">
        <v>1</v>
      </c>
      <c r="E153" t="s">
        <v>218</v>
      </c>
      <c r="F153" t="s">
        <v>219</v>
      </c>
      <c r="G153" t="s">
        <v>220</v>
      </c>
      <c r="H153" t="s">
        <v>17</v>
      </c>
      <c r="I153" t="s">
        <v>221</v>
      </c>
      <c r="J153" t="s">
        <v>222</v>
      </c>
      <c r="K153">
        <v>-278.96758433999997</v>
      </c>
      <c r="L153" t="s">
        <v>223</v>
      </c>
      <c r="M153" t="s">
        <v>230</v>
      </c>
      <c r="N153">
        <v>0.16047331440265999</v>
      </c>
      <c r="O153">
        <v>44.766852999999998</v>
      </c>
      <c r="P153" t="s">
        <v>21</v>
      </c>
      <c r="Q153">
        <v>1</v>
      </c>
      <c r="W153">
        <v>1</v>
      </c>
      <c r="X153">
        <v>0</v>
      </c>
      <c r="AA153" t="s">
        <v>269</v>
      </c>
      <c r="AB153" t="s">
        <v>270</v>
      </c>
      <c r="AC153" t="s">
        <v>227</v>
      </c>
      <c r="AD153" t="s">
        <v>154</v>
      </c>
      <c r="AE153">
        <v>109.354</v>
      </c>
      <c r="AF153">
        <v>1.080821157758461</v>
      </c>
      <c r="AG153">
        <v>118.1921168855188</v>
      </c>
      <c r="AH153">
        <v>779.31</v>
      </c>
      <c r="AI153">
        <v>0.879</v>
      </c>
      <c r="AJ153">
        <v>80.963194478237142</v>
      </c>
      <c r="AK153">
        <v>0.9899</v>
      </c>
      <c r="AL153">
        <v>80.144999999999996</v>
      </c>
      <c r="AM153">
        <v>8.9176000000000002</v>
      </c>
      <c r="AN153">
        <v>9.6383307564268552</v>
      </c>
      <c r="AO153">
        <v>0.80400000000000005</v>
      </c>
      <c r="AP153">
        <v>6039.0430235999738</v>
      </c>
      <c r="AQ153">
        <v>0.99199531433033972</v>
      </c>
      <c r="AR153">
        <v>5990.7024000000001</v>
      </c>
      <c r="AT153" t="s">
        <v>228</v>
      </c>
      <c r="AU153" t="s">
        <v>229</v>
      </c>
      <c r="AV153" t="s">
        <v>227</v>
      </c>
      <c r="AW153" t="s">
        <v>154</v>
      </c>
      <c r="AX153">
        <v>109.354</v>
      </c>
      <c r="AY153">
        <v>1.0833851741009131</v>
      </c>
      <c r="AZ153">
        <v>118.47250232863119</v>
      </c>
      <c r="BA153">
        <v>801.49</v>
      </c>
      <c r="BB153">
        <v>0.90500000000000003</v>
      </c>
      <c r="BC153">
        <v>85.933845931694037</v>
      </c>
      <c r="BD153">
        <v>0.99380000000000002</v>
      </c>
      <c r="BE153">
        <v>85.400999999999996</v>
      </c>
      <c r="BF153">
        <v>8.9176000000000002</v>
      </c>
      <c r="BG153">
        <v>0.77</v>
      </c>
      <c r="BH153">
        <v>5962.3807969390264</v>
      </c>
      <c r="BI153">
        <v>0.98418586489652482</v>
      </c>
      <c r="BJ153">
        <v>5868.0909000000001</v>
      </c>
    </row>
    <row r="154" spans="1:62" x14ac:dyDescent="0.25">
      <c r="A154">
        <v>4958</v>
      </c>
      <c r="B154" t="s">
        <v>118</v>
      </c>
      <c r="C154">
        <v>2021</v>
      </c>
      <c r="D154">
        <v>1</v>
      </c>
      <c r="E154" t="s">
        <v>218</v>
      </c>
      <c r="F154" t="s">
        <v>219</v>
      </c>
      <c r="G154" t="s">
        <v>220</v>
      </c>
      <c r="H154" t="s">
        <v>17</v>
      </c>
      <c r="I154" t="s">
        <v>221</v>
      </c>
      <c r="J154" t="s">
        <v>222</v>
      </c>
      <c r="K154">
        <v>-278.96758433999997</v>
      </c>
      <c r="L154" t="s">
        <v>223</v>
      </c>
      <c r="M154" t="s">
        <v>231</v>
      </c>
      <c r="N154">
        <v>4.5018334813739999E-2</v>
      </c>
      <c r="O154">
        <v>12.558655999999999</v>
      </c>
      <c r="P154" t="s">
        <v>21</v>
      </c>
      <c r="Q154">
        <v>1</v>
      </c>
      <c r="W154">
        <v>1</v>
      </c>
      <c r="X154">
        <v>0</v>
      </c>
      <c r="AA154" t="s">
        <v>269</v>
      </c>
      <c r="AB154" t="s">
        <v>270</v>
      </c>
      <c r="AC154" t="s">
        <v>227</v>
      </c>
      <c r="AD154" t="s">
        <v>100</v>
      </c>
      <c r="AE154">
        <v>109.354</v>
      </c>
      <c r="AF154">
        <v>1.080821157758461</v>
      </c>
      <c r="AG154">
        <v>118.1921168855188</v>
      </c>
      <c r="AH154">
        <v>779.31</v>
      </c>
      <c r="AI154">
        <v>0.879</v>
      </c>
      <c r="AJ154">
        <v>80.963194478237142</v>
      </c>
      <c r="AK154">
        <v>0.96560000000000001</v>
      </c>
      <c r="AL154">
        <v>78.177999999999997</v>
      </c>
      <c r="AM154">
        <v>8.9176000000000002</v>
      </c>
      <c r="AN154">
        <v>9.6383307564268552</v>
      </c>
      <c r="AO154">
        <v>0.80400000000000005</v>
      </c>
      <c r="AP154">
        <v>6039.0430235999738</v>
      </c>
      <c r="AQ154">
        <v>0.98955375253549693</v>
      </c>
      <c r="AR154">
        <v>5975.9576999999999</v>
      </c>
      <c r="AT154" t="s">
        <v>228</v>
      </c>
      <c r="AU154" t="s">
        <v>229</v>
      </c>
      <c r="AV154" t="s">
        <v>227</v>
      </c>
      <c r="AW154" t="s">
        <v>100</v>
      </c>
      <c r="AX154">
        <v>109.354</v>
      </c>
      <c r="AY154">
        <v>1.0833851741009131</v>
      </c>
      <c r="AZ154">
        <v>118.47250232863119</v>
      </c>
      <c r="BA154">
        <v>801.49</v>
      </c>
      <c r="BB154">
        <v>0.90500000000000003</v>
      </c>
      <c r="BC154">
        <v>85.933845931694037</v>
      </c>
      <c r="BD154">
        <v>0.94550000000000001</v>
      </c>
      <c r="BE154">
        <v>81.25</v>
      </c>
      <c r="BF154">
        <v>8.9176000000000002</v>
      </c>
      <c r="BG154">
        <v>0.77</v>
      </c>
      <c r="BH154">
        <v>5962.3807969390264</v>
      </c>
      <c r="BI154">
        <v>1.0003042596348879</v>
      </c>
      <c r="BJ154">
        <v>5964.1949000000004</v>
      </c>
    </row>
    <row r="155" spans="1:62" x14ac:dyDescent="0.25">
      <c r="A155">
        <v>4960</v>
      </c>
      <c r="B155" t="s">
        <v>118</v>
      </c>
      <c r="C155">
        <v>2021</v>
      </c>
      <c r="D155">
        <v>1</v>
      </c>
      <c r="E155" t="s">
        <v>218</v>
      </c>
      <c r="F155" t="s">
        <v>219</v>
      </c>
      <c r="G155" t="s">
        <v>220</v>
      </c>
      <c r="H155" t="s">
        <v>17</v>
      </c>
      <c r="I155" t="s">
        <v>221</v>
      </c>
      <c r="J155" t="s">
        <v>222</v>
      </c>
      <c r="K155">
        <v>-278.96758433999997</v>
      </c>
      <c r="L155" t="s">
        <v>223</v>
      </c>
      <c r="M155" t="s">
        <v>232</v>
      </c>
      <c r="N155">
        <v>0.87398007306502001</v>
      </c>
      <c r="O155">
        <v>243.81210999999999</v>
      </c>
      <c r="P155" t="s">
        <v>21</v>
      </c>
      <c r="Q155">
        <v>1</v>
      </c>
      <c r="W155">
        <v>1</v>
      </c>
      <c r="X155">
        <v>0</v>
      </c>
      <c r="AA155" t="s">
        <v>269</v>
      </c>
      <c r="AB155" t="s">
        <v>270</v>
      </c>
      <c r="AC155" t="s">
        <v>227</v>
      </c>
      <c r="AD155" t="s">
        <v>101</v>
      </c>
      <c r="AE155">
        <v>109.354</v>
      </c>
      <c r="AF155">
        <v>1.080821157758461</v>
      </c>
      <c r="AG155">
        <v>118.1921168855188</v>
      </c>
      <c r="AH155">
        <v>779.31</v>
      </c>
      <c r="AI155">
        <v>0.879</v>
      </c>
      <c r="AJ155">
        <v>80.963194478237142</v>
      </c>
      <c r="AK155">
        <v>1.0097</v>
      </c>
      <c r="AL155">
        <v>81.748999999999995</v>
      </c>
      <c r="AM155">
        <v>8.9176000000000002</v>
      </c>
      <c r="AN155">
        <v>9.6383307564268552</v>
      </c>
      <c r="AO155">
        <v>0.80400000000000005</v>
      </c>
      <c r="AP155">
        <v>6039.0430235999738</v>
      </c>
      <c r="AQ155">
        <v>1.0276539708265799</v>
      </c>
      <c r="AR155">
        <v>6206.0465000000004</v>
      </c>
      <c r="AT155" t="s">
        <v>228</v>
      </c>
      <c r="AU155" t="s">
        <v>229</v>
      </c>
      <c r="AV155" t="s">
        <v>227</v>
      </c>
      <c r="AW155" t="s">
        <v>101</v>
      </c>
      <c r="AX155">
        <v>109.354</v>
      </c>
      <c r="AY155">
        <v>1.0833851741009131</v>
      </c>
      <c r="AZ155">
        <v>118.47250232863119</v>
      </c>
      <c r="BA155">
        <v>801.49</v>
      </c>
      <c r="BB155">
        <v>0.90500000000000003</v>
      </c>
      <c r="BC155">
        <v>85.933845931694037</v>
      </c>
      <c r="BD155">
        <v>1.0154000000000001</v>
      </c>
      <c r="BE155">
        <v>87.257000000000005</v>
      </c>
      <c r="BF155">
        <v>8.9176000000000002</v>
      </c>
      <c r="BG155">
        <v>0.77</v>
      </c>
      <c r="BH155">
        <v>5962.3807969390264</v>
      </c>
      <c r="BI155">
        <v>1.0150931928687199</v>
      </c>
      <c r="BJ155">
        <v>6052.3721999999998</v>
      </c>
    </row>
    <row r="156" spans="1:62" x14ac:dyDescent="0.25">
      <c r="A156">
        <v>2466</v>
      </c>
      <c r="B156" t="s">
        <v>118</v>
      </c>
      <c r="C156">
        <v>2021</v>
      </c>
      <c r="D156">
        <v>1</v>
      </c>
      <c r="E156" t="s">
        <v>218</v>
      </c>
      <c r="F156" t="s">
        <v>219</v>
      </c>
      <c r="G156" t="s">
        <v>220</v>
      </c>
      <c r="H156" t="s">
        <v>17</v>
      </c>
      <c r="I156" t="s">
        <v>233</v>
      </c>
      <c r="J156" t="s">
        <v>234</v>
      </c>
      <c r="K156">
        <v>-971.05073120999998</v>
      </c>
      <c r="L156" t="s">
        <v>234</v>
      </c>
      <c r="M156" t="s">
        <v>224</v>
      </c>
      <c r="N156">
        <v>8.5771088379299996E-3</v>
      </c>
      <c r="O156">
        <v>8.3288080000000004</v>
      </c>
      <c r="P156" t="s">
        <v>21</v>
      </c>
      <c r="Q156">
        <v>1</v>
      </c>
      <c r="W156">
        <v>1</v>
      </c>
      <c r="X156">
        <v>0</v>
      </c>
      <c r="AA156" t="s">
        <v>269</v>
      </c>
      <c r="AB156" t="s">
        <v>270</v>
      </c>
      <c r="AC156" t="s">
        <v>227</v>
      </c>
      <c r="AD156" t="s">
        <v>153</v>
      </c>
      <c r="AE156">
        <v>109.354</v>
      </c>
      <c r="AF156">
        <v>1.080821157758461</v>
      </c>
      <c r="AG156">
        <v>118.1921168855188</v>
      </c>
      <c r="AH156">
        <v>779.31</v>
      </c>
      <c r="AI156">
        <v>0.879</v>
      </c>
      <c r="AJ156">
        <v>80.963194478237142</v>
      </c>
      <c r="AK156">
        <v>1.0078</v>
      </c>
      <c r="AL156">
        <v>81.594999999999999</v>
      </c>
      <c r="AM156">
        <v>8.9176000000000002</v>
      </c>
      <c r="AN156">
        <v>9.6383307564268552</v>
      </c>
      <c r="AO156">
        <v>0.80400000000000005</v>
      </c>
      <c r="AP156">
        <v>6039.0430235999738</v>
      </c>
      <c r="AQ156">
        <v>1</v>
      </c>
      <c r="AR156">
        <v>6039.0429999999997</v>
      </c>
      <c r="AT156" t="s">
        <v>228</v>
      </c>
      <c r="AU156" t="s">
        <v>229</v>
      </c>
      <c r="AV156" t="s">
        <v>227</v>
      </c>
      <c r="AW156" t="s">
        <v>153</v>
      </c>
      <c r="AX156">
        <v>109.354</v>
      </c>
      <c r="AY156">
        <v>1.0833851741009131</v>
      </c>
      <c r="AZ156">
        <v>118.47250232863119</v>
      </c>
      <c r="BA156">
        <v>801.49</v>
      </c>
      <c r="BB156">
        <v>0.90500000000000003</v>
      </c>
      <c r="BC156">
        <v>85.933845931694037</v>
      </c>
      <c r="BD156">
        <v>1.0470999999999999</v>
      </c>
      <c r="BE156">
        <v>89.980999999999995</v>
      </c>
      <c r="BF156">
        <v>8.9176000000000002</v>
      </c>
      <c r="BG156">
        <v>0.77</v>
      </c>
      <c r="BH156">
        <v>5962.3807969390264</v>
      </c>
      <c r="BI156">
        <v>1</v>
      </c>
      <c r="BJ156">
        <v>5962.3807999999999</v>
      </c>
    </row>
    <row r="157" spans="1:62" x14ac:dyDescent="0.25">
      <c r="A157">
        <v>2468</v>
      </c>
      <c r="B157" t="s">
        <v>118</v>
      </c>
      <c r="C157">
        <v>2021</v>
      </c>
      <c r="D157">
        <v>1</v>
      </c>
      <c r="E157" t="s">
        <v>218</v>
      </c>
      <c r="F157" t="s">
        <v>219</v>
      </c>
      <c r="G157" t="s">
        <v>220</v>
      </c>
      <c r="H157" t="s">
        <v>17</v>
      </c>
      <c r="I157" t="s">
        <v>233</v>
      </c>
      <c r="J157" t="s">
        <v>234</v>
      </c>
      <c r="K157">
        <v>-971.05073120999998</v>
      </c>
      <c r="L157" t="s">
        <v>234</v>
      </c>
      <c r="M157" t="s">
        <v>235</v>
      </c>
      <c r="N157">
        <v>0.60124209651893001</v>
      </c>
      <c r="O157">
        <v>583.83657700000003</v>
      </c>
      <c r="P157" t="s">
        <v>21</v>
      </c>
      <c r="Q157">
        <v>1</v>
      </c>
      <c r="W157">
        <v>1</v>
      </c>
      <c r="X157">
        <v>0</v>
      </c>
      <c r="AA157" t="s">
        <v>269</v>
      </c>
      <c r="AB157" t="s">
        <v>270</v>
      </c>
      <c r="AC157" t="s">
        <v>227</v>
      </c>
      <c r="AD157" t="s">
        <v>154</v>
      </c>
      <c r="AE157">
        <v>109.354</v>
      </c>
      <c r="AF157">
        <v>1.080821157758461</v>
      </c>
      <c r="AG157">
        <v>118.1921168855188</v>
      </c>
      <c r="AH157">
        <v>779.31</v>
      </c>
      <c r="AI157">
        <v>0.879</v>
      </c>
      <c r="AJ157">
        <v>80.963194478237142</v>
      </c>
      <c r="AK157">
        <v>0.9899</v>
      </c>
      <c r="AL157">
        <v>80.144999999999996</v>
      </c>
      <c r="AM157">
        <v>8.9176000000000002</v>
      </c>
      <c r="AN157">
        <v>9.6383307564268552</v>
      </c>
      <c r="AO157">
        <v>0.80400000000000005</v>
      </c>
      <c r="AP157">
        <v>6039.0430235999738</v>
      </c>
      <c r="AQ157">
        <v>0.99199531433033972</v>
      </c>
      <c r="AR157">
        <v>5990.7024000000001</v>
      </c>
      <c r="AT157" t="s">
        <v>228</v>
      </c>
      <c r="AU157" t="s">
        <v>229</v>
      </c>
      <c r="AV157" t="s">
        <v>227</v>
      </c>
      <c r="AW157" t="s">
        <v>154</v>
      </c>
      <c r="AX157">
        <v>109.354</v>
      </c>
      <c r="AY157">
        <v>1.0833851741009131</v>
      </c>
      <c r="AZ157">
        <v>118.47250232863119</v>
      </c>
      <c r="BA157">
        <v>801.49</v>
      </c>
      <c r="BB157">
        <v>0.90500000000000003</v>
      </c>
      <c r="BC157">
        <v>85.933845931694037</v>
      </c>
      <c r="BD157">
        <v>0.99380000000000002</v>
      </c>
      <c r="BE157">
        <v>85.400999999999996</v>
      </c>
      <c r="BF157">
        <v>8.9176000000000002</v>
      </c>
      <c r="BG157">
        <v>0.77</v>
      </c>
      <c r="BH157">
        <v>5962.3807969390264</v>
      </c>
      <c r="BI157">
        <v>0.98418586489652482</v>
      </c>
      <c r="BJ157">
        <v>5868.0909000000001</v>
      </c>
    </row>
    <row r="158" spans="1:62" x14ac:dyDescent="0.25">
      <c r="A158">
        <v>2470</v>
      </c>
      <c r="B158" t="s">
        <v>118</v>
      </c>
      <c r="C158">
        <v>2021</v>
      </c>
      <c r="D158">
        <v>1</v>
      </c>
      <c r="E158" t="s">
        <v>218</v>
      </c>
      <c r="F158" t="s">
        <v>219</v>
      </c>
      <c r="G158" t="s">
        <v>220</v>
      </c>
      <c r="H158" t="s">
        <v>17</v>
      </c>
      <c r="I158" t="s">
        <v>233</v>
      </c>
      <c r="J158" t="s">
        <v>234</v>
      </c>
      <c r="K158">
        <v>-971.05073120999998</v>
      </c>
      <c r="L158" t="s">
        <v>234</v>
      </c>
      <c r="M158" t="s">
        <v>236</v>
      </c>
      <c r="N158">
        <v>1.9808691721710001E-2</v>
      </c>
      <c r="O158">
        <v>19.235244999999999</v>
      </c>
      <c r="P158" t="s">
        <v>21</v>
      </c>
      <c r="Q158">
        <v>1</v>
      </c>
      <c r="W158">
        <v>1</v>
      </c>
      <c r="X158">
        <v>0</v>
      </c>
      <c r="AA158" t="s">
        <v>269</v>
      </c>
      <c r="AB158" t="s">
        <v>270</v>
      </c>
      <c r="AC158" t="s">
        <v>227</v>
      </c>
      <c r="AD158" t="s">
        <v>100</v>
      </c>
      <c r="AE158">
        <v>109.354</v>
      </c>
      <c r="AF158">
        <v>1.080821157758461</v>
      </c>
      <c r="AG158">
        <v>118.1921168855188</v>
      </c>
      <c r="AH158">
        <v>779.31</v>
      </c>
      <c r="AI158">
        <v>0.879</v>
      </c>
      <c r="AJ158">
        <v>80.963194478237142</v>
      </c>
      <c r="AK158">
        <v>0.96560000000000001</v>
      </c>
      <c r="AL158">
        <v>78.177999999999997</v>
      </c>
      <c r="AM158">
        <v>8.9176000000000002</v>
      </c>
      <c r="AN158">
        <v>9.6383307564268552</v>
      </c>
      <c r="AO158">
        <v>0.80400000000000005</v>
      </c>
      <c r="AP158">
        <v>6039.0430235999738</v>
      </c>
      <c r="AQ158">
        <v>0.98955375253549693</v>
      </c>
      <c r="AR158">
        <v>5975.9576999999999</v>
      </c>
      <c r="AT158" t="s">
        <v>228</v>
      </c>
      <c r="AU158" t="s">
        <v>229</v>
      </c>
      <c r="AV158" t="s">
        <v>227</v>
      </c>
      <c r="AW158" t="s">
        <v>100</v>
      </c>
      <c r="AX158">
        <v>109.354</v>
      </c>
      <c r="AY158">
        <v>1.0833851741009131</v>
      </c>
      <c r="AZ158">
        <v>118.47250232863119</v>
      </c>
      <c r="BA158">
        <v>801.49</v>
      </c>
      <c r="BB158">
        <v>0.90500000000000003</v>
      </c>
      <c r="BC158">
        <v>85.933845931694037</v>
      </c>
      <c r="BD158">
        <v>0.94550000000000001</v>
      </c>
      <c r="BE158">
        <v>81.25</v>
      </c>
      <c r="BF158">
        <v>8.9176000000000002</v>
      </c>
      <c r="BG158">
        <v>0.77</v>
      </c>
      <c r="BH158">
        <v>5962.3807969390264</v>
      </c>
      <c r="BI158">
        <v>1.0003042596348879</v>
      </c>
      <c r="BJ158">
        <v>5964.1949000000004</v>
      </c>
    </row>
    <row r="159" spans="1:62" x14ac:dyDescent="0.25">
      <c r="A159">
        <v>2472</v>
      </c>
      <c r="B159" t="s">
        <v>118</v>
      </c>
      <c r="C159">
        <v>2021</v>
      </c>
      <c r="D159">
        <v>1</v>
      </c>
      <c r="E159" t="s">
        <v>218</v>
      </c>
      <c r="F159" t="s">
        <v>219</v>
      </c>
      <c r="G159" t="s">
        <v>220</v>
      </c>
      <c r="H159" t="s">
        <v>17</v>
      </c>
      <c r="I159" t="s">
        <v>233</v>
      </c>
      <c r="J159" t="s">
        <v>234</v>
      </c>
      <c r="K159">
        <v>-971.05073120999998</v>
      </c>
      <c r="L159" t="s">
        <v>234</v>
      </c>
      <c r="M159" t="s">
        <v>237</v>
      </c>
      <c r="N159">
        <v>0.39660634608572998</v>
      </c>
      <c r="O159">
        <v>385.12488200000001</v>
      </c>
      <c r="P159" t="s">
        <v>21</v>
      </c>
      <c r="Q159">
        <v>1</v>
      </c>
      <c r="W159">
        <v>1</v>
      </c>
      <c r="X159">
        <v>0</v>
      </c>
      <c r="AA159" t="s">
        <v>269</v>
      </c>
      <c r="AB159" t="s">
        <v>270</v>
      </c>
      <c r="AC159" t="s">
        <v>227</v>
      </c>
      <c r="AD159" t="s">
        <v>101</v>
      </c>
      <c r="AE159">
        <v>109.354</v>
      </c>
      <c r="AF159">
        <v>1.080821157758461</v>
      </c>
      <c r="AG159">
        <v>118.1921168855188</v>
      </c>
      <c r="AH159">
        <v>779.31</v>
      </c>
      <c r="AI159">
        <v>0.879</v>
      </c>
      <c r="AJ159">
        <v>80.963194478237142</v>
      </c>
      <c r="AK159">
        <v>1.0097</v>
      </c>
      <c r="AL159">
        <v>81.748999999999995</v>
      </c>
      <c r="AM159">
        <v>8.9176000000000002</v>
      </c>
      <c r="AN159">
        <v>9.6383307564268552</v>
      </c>
      <c r="AO159">
        <v>0.80400000000000005</v>
      </c>
      <c r="AP159">
        <v>6039.0430235999738</v>
      </c>
      <c r="AQ159">
        <v>1.0276539708265799</v>
      </c>
      <c r="AR159">
        <v>6206.0465000000004</v>
      </c>
      <c r="AT159" t="s">
        <v>228</v>
      </c>
      <c r="AU159" t="s">
        <v>229</v>
      </c>
      <c r="AV159" t="s">
        <v>227</v>
      </c>
      <c r="AW159" t="s">
        <v>101</v>
      </c>
      <c r="AX159">
        <v>109.354</v>
      </c>
      <c r="AY159">
        <v>1.0833851741009131</v>
      </c>
      <c r="AZ159">
        <v>118.47250232863119</v>
      </c>
      <c r="BA159">
        <v>801.49</v>
      </c>
      <c r="BB159">
        <v>0.90500000000000003</v>
      </c>
      <c r="BC159">
        <v>85.933845931694037</v>
      </c>
      <c r="BD159">
        <v>1.0154000000000001</v>
      </c>
      <c r="BE159">
        <v>87.257000000000005</v>
      </c>
      <c r="BF159">
        <v>8.9176000000000002</v>
      </c>
      <c r="BG159">
        <v>0.77</v>
      </c>
      <c r="BH159">
        <v>5962.3807969390264</v>
      </c>
      <c r="BI159">
        <v>1.0150931928687199</v>
      </c>
      <c r="BJ159">
        <v>6052.3721999999998</v>
      </c>
    </row>
    <row r="160" spans="1:62" x14ac:dyDescent="0.25">
      <c r="A160">
        <v>2466</v>
      </c>
      <c r="B160" t="s">
        <v>118</v>
      </c>
      <c r="C160">
        <v>2021</v>
      </c>
      <c r="D160">
        <v>1</v>
      </c>
      <c r="E160" t="s">
        <v>218</v>
      </c>
      <c r="F160" t="s">
        <v>219</v>
      </c>
      <c r="G160" t="s">
        <v>220</v>
      </c>
      <c r="H160" t="s">
        <v>17</v>
      </c>
      <c r="I160" t="s">
        <v>238</v>
      </c>
      <c r="J160" t="s">
        <v>239</v>
      </c>
      <c r="K160">
        <v>-181.79941948999999</v>
      </c>
      <c r="L160" t="s">
        <v>240</v>
      </c>
      <c r="M160" t="s">
        <v>224</v>
      </c>
      <c r="N160">
        <v>1.1109205873409999E-2</v>
      </c>
      <c r="O160">
        <v>2.019647</v>
      </c>
      <c r="P160" t="s">
        <v>21</v>
      </c>
      <c r="Q160">
        <v>1</v>
      </c>
      <c r="W160">
        <v>1</v>
      </c>
      <c r="X160">
        <v>0</v>
      </c>
      <c r="AA160" t="s">
        <v>269</v>
      </c>
      <c r="AB160" t="s">
        <v>270</v>
      </c>
      <c r="AC160" t="s">
        <v>227</v>
      </c>
      <c r="AD160" t="s">
        <v>153</v>
      </c>
      <c r="AE160">
        <v>109.354</v>
      </c>
      <c r="AF160">
        <v>1.080821157758461</v>
      </c>
      <c r="AG160">
        <v>118.1921168855188</v>
      </c>
      <c r="AH160">
        <v>779.31</v>
      </c>
      <c r="AI160">
        <v>0.879</v>
      </c>
      <c r="AJ160">
        <v>80.963194478237142</v>
      </c>
      <c r="AK160">
        <v>1.0078</v>
      </c>
      <c r="AL160">
        <v>81.594999999999999</v>
      </c>
      <c r="AM160">
        <v>8.9176000000000002</v>
      </c>
      <c r="AN160">
        <v>9.6383307564268552</v>
      </c>
      <c r="AO160">
        <v>0.80400000000000005</v>
      </c>
      <c r="AP160">
        <v>6039.0430235999738</v>
      </c>
      <c r="AQ160">
        <v>1</v>
      </c>
      <c r="AR160">
        <v>6039.0429999999997</v>
      </c>
      <c r="AT160" t="s">
        <v>228</v>
      </c>
      <c r="AU160" t="s">
        <v>229</v>
      </c>
      <c r="AV160" t="s">
        <v>227</v>
      </c>
      <c r="AW160" t="s">
        <v>153</v>
      </c>
      <c r="AX160">
        <v>109.354</v>
      </c>
      <c r="AY160">
        <v>1.0833851741009131</v>
      </c>
      <c r="AZ160">
        <v>118.47250232863119</v>
      </c>
      <c r="BA160">
        <v>801.49</v>
      </c>
      <c r="BB160">
        <v>0.90500000000000003</v>
      </c>
      <c r="BC160">
        <v>85.933845931694037</v>
      </c>
      <c r="BD160">
        <v>1.0470999999999999</v>
      </c>
      <c r="BE160">
        <v>89.980999999999995</v>
      </c>
      <c r="BF160">
        <v>8.9176000000000002</v>
      </c>
      <c r="BG160">
        <v>0.77</v>
      </c>
      <c r="BH160">
        <v>5962.3807969390264</v>
      </c>
      <c r="BI160">
        <v>1</v>
      </c>
      <c r="BJ160">
        <v>5962.3807999999999</v>
      </c>
    </row>
    <row r="161" spans="1:62" x14ac:dyDescent="0.25">
      <c r="A161">
        <v>2468</v>
      </c>
      <c r="B161" t="s">
        <v>118</v>
      </c>
      <c r="C161">
        <v>2021</v>
      </c>
      <c r="D161">
        <v>1</v>
      </c>
      <c r="E161" t="s">
        <v>218</v>
      </c>
      <c r="F161" t="s">
        <v>219</v>
      </c>
      <c r="G161" t="s">
        <v>220</v>
      </c>
      <c r="H161" t="s">
        <v>17</v>
      </c>
      <c r="I161" t="s">
        <v>238</v>
      </c>
      <c r="J161" t="s">
        <v>239</v>
      </c>
      <c r="K161">
        <v>-181.79941948999999</v>
      </c>
      <c r="L161" t="s">
        <v>240</v>
      </c>
      <c r="M161" t="s">
        <v>235</v>
      </c>
      <c r="N161">
        <v>0.58148407621825005</v>
      </c>
      <c r="O161">
        <v>105.71346699999999</v>
      </c>
      <c r="P161" t="s">
        <v>21</v>
      </c>
      <c r="Q161">
        <v>1</v>
      </c>
      <c r="W161">
        <v>1</v>
      </c>
      <c r="X161">
        <v>0</v>
      </c>
      <c r="AA161" t="s">
        <v>269</v>
      </c>
      <c r="AB161" t="s">
        <v>270</v>
      </c>
      <c r="AC161" t="s">
        <v>227</v>
      </c>
      <c r="AD161" t="s">
        <v>154</v>
      </c>
      <c r="AE161">
        <v>109.354</v>
      </c>
      <c r="AF161">
        <v>1.080821157758461</v>
      </c>
      <c r="AG161">
        <v>118.1921168855188</v>
      </c>
      <c r="AH161">
        <v>779.31</v>
      </c>
      <c r="AI161">
        <v>0.879</v>
      </c>
      <c r="AJ161">
        <v>80.963194478237142</v>
      </c>
      <c r="AK161">
        <v>0.9899</v>
      </c>
      <c r="AL161">
        <v>80.144999999999996</v>
      </c>
      <c r="AM161">
        <v>8.9176000000000002</v>
      </c>
      <c r="AN161">
        <v>9.6383307564268552</v>
      </c>
      <c r="AO161">
        <v>0.80400000000000005</v>
      </c>
      <c r="AP161">
        <v>6039.0430235999738</v>
      </c>
      <c r="AQ161">
        <v>0.99199531433033972</v>
      </c>
      <c r="AR161">
        <v>5990.7024000000001</v>
      </c>
      <c r="AT161" t="s">
        <v>228</v>
      </c>
      <c r="AU161" t="s">
        <v>229</v>
      </c>
      <c r="AV161" t="s">
        <v>227</v>
      </c>
      <c r="AW161" t="s">
        <v>154</v>
      </c>
      <c r="AX161">
        <v>109.354</v>
      </c>
      <c r="AY161">
        <v>1.0833851741009131</v>
      </c>
      <c r="AZ161">
        <v>118.47250232863119</v>
      </c>
      <c r="BA161">
        <v>801.49</v>
      </c>
      <c r="BB161">
        <v>0.90500000000000003</v>
      </c>
      <c r="BC161">
        <v>85.933845931694037</v>
      </c>
      <c r="BD161">
        <v>0.99380000000000002</v>
      </c>
      <c r="BE161">
        <v>85.400999999999996</v>
      </c>
      <c r="BF161">
        <v>8.9176000000000002</v>
      </c>
      <c r="BG161">
        <v>0.77</v>
      </c>
      <c r="BH161">
        <v>5962.3807969390264</v>
      </c>
      <c r="BI161">
        <v>0.98418586489652482</v>
      </c>
      <c r="BJ161">
        <v>5868.0909000000001</v>
      </c>
    </row>
    <row r="162" spans="1:62" x14ac:dyDescent="0.25">
      <c r="A162">
        <v>2470</v>
      </c>
      <c r="B162" t="s">
        <v>118</v>
      </c>
      <c r="C162">
        <v>2021</v>
      </c>
      <c r="D162">
        <v>1</v>
      </c>
      <c r="E162" t="s">
        <v>218</v>
      </c>
      <c r="F162" t="s">
        <v>219</v>
      </c>
      <c r="G162" t="s">
        <v>220</v>
      </c>
      <c r="H162" t="s">
        <v>17</v>
      </c>
      <c r="I162" t="s">
        <v>238</v>
      </c>
      <c r="J162" t="s">
        <v>239</v>
      </c>
      <c r="K162">
        <v>-181.79941948999999</v>
      </c>
      <c r="L162" t="s">
        <v>240</v>
      </c>
      <c r="M162" t="s">
        <v>236</v>
      </c>
      <c r="N162">
        <v>1.8083569973560001E-2</v>
      </c>
      <c r="O162">
        <v>3.2875830000000001</v>
      </c>
      <c r="P162" t="s">
        <v>21</v>
      </c>
      <c r="Q162">
        <v>1</v>
      </c>
      <c r="W162">
        <v>1</v>
      </c>
      <c r="X162">
        <v>0</v>
      </c>
      <c r="AA162" t="s">
        <v>269</v>
      </c>
      <c r="AB162" t="s">
        <v>270</v>
      </c>
      <c r="AC162" t="s">
        <v>227</v>
      </c>
      <c r="AD162" t="s">
        <v>100</v>
      </c>
      <c r="AE162">
        <v>109.354</v>
      </c>
      <c r="AF162">
        <v>1.080821157758461</v>
      </c>
      <c r="AG162">
        <v>118.1921168855188</v>
      </c>
      <c r="AH162">
        <v>779.31</v>
      </c>
      <c r="AI162">
        <v>0.879</v>
      </c>
      <c r="AJ162">
        <v>80.963194478237142</v>
      </c>
      <c r="AK162">
        <v>0.96560000000000001</v>
      </c>
      <c r="AL162">
        <v>78.177999999999997</v>
      </c>
      <c r="AM162">
        <v>8.9176000000000002</v>
      </c>
      <c r="AN162">
        <v>9.6383307564268552</v>
      </c>
      <c r="AO162">
        <v>0.80400000000000005</v>
      </c>
      <c r="AP162">
        <v>6039.0430235999738</v>
      </c>
      <c r="AQ162">
        <v>0.98955375253549693</v>
      </c>
      <c r="AR162">
        <v>5975.9576999999999</v>
      </c>
      <c r="AT162" t="s">
        <v>228</v>
      </c>
      <c r="AU162" t="s">
        <v>229</v>
      </c>
      <c r="AV162" t="s">
        <v>227</v>
      </c>
      <c r="AW162" t="s">
        <v>100</v>
      </c>
      <c r="AX162">
        <v>109.354</v>
      </c>
      <c r="AY162">
        <v>1.0833851741009131</v>
      </c>
      <c r="AZ162">
        <v>118.47250232863119</v>
      </c>
      <c r="BA162">
        <v>801.49</v>
      </c>
      <c r="BB162">
        <v>0.90500000000000003</v>
      </c>
      <c r="BC162">
        <v>85.933845931694037</v>
      </c>
      <c r="BD162">
        <v>0.94550000000000001</v>
      </c>
      <c r="BE162">
        <v>81.25</v>
      </c>
      <c r="BF162">
        <v>8.9176000000000002</v>
      </c>
      <c r="BG162">
        <v>0.77</v>
      </c>
      <c r="BH162">
        <v>5962.3807969390264</v>
      </c>
      <c r="BI162">
        <v>1.0003042596348879</v>
      </c>
      <c r="BJ162">
        <v>5964.1949000000004</v>
      </c>
    </row>
    <row r="163" spans="1:62" x14ac:dyDescent="0.25">
      <c r="A163">
        <v>2472</v>
      </c>
      <c r="B163" t="s">
        <v>118</v>
      </c>
      <c r="C163">
        <v>2021</v>
      </c>
      <c r="D163">
        <v>1</v>
      </c>
      <c r="E163" t="s">
        <v>218</v>
      </c>
      <c r="F163" t="s">
        <v>219</v>
      </c>
      <c r="G163" t="s">
        <v>220</v>
      </c>
      <c r="H163" t="s">
        <v>17</v>
      </c>
      <c r="I163" t="s">
        <v>238</v>
      </c>
      <c r="J163" t="s">
        <v>239</v>
      </c>
      <c r="K163">
        <v>-181.79941948999999</v>
      </c>
      <c r="L163" t="s">
        <v>240</v>
      </c>
      <c r="M163" t="s">
        <v>237</v>
      </c>
      <c r="N163">
        <v>0.41680683696206</v>
      </c>
      <c r="O163">
        <v>75.775240999999994</v>
      </c>
      <c r="P163" t="s">
        <v>21</v>
      </c>
      <c r="Q163">
        <v>1</v>
      </c>
      <c r="W163">
        <v>1</v>
      </c>
      <c r="X163">
        <v>0</v>
      </c>
      <c r="AA163" t="s">
        <v>269</v>
      </c>
      <c r="AB163" t="s">
        <v>270</v>
      </c>
      <c r="AC163" t="s">
        <v>227</v>
      </c>
      <c r="AD163" t="s">
        <v>101</v>
      </c>
      <c r="AE163">
        <v>109.354</v>
      </c>
      <c r="AF163">
        <v>1.080821157758461</v>
      </c>
      <c r="AG163">
        <v>118.1921168855188</v>
      </c>
      <c r="AH163">
        <v>779.31</v>
      </c>
      <c r="AI163">
        <v>0.879</v>
      </c>
      <c r="AJ163">
        <v>80.963194478237142</v>
      </c>
      <c r="AK163">
        <v>1.0097</v>
      </c>
      <c r="AL163">
        <v>81.748999999999995</v>
      </c>
      <c r="AM163">
        <v>8.9176000000000002</v>
      </c>
      <c r="AN163">
        <v>9.6383307564268552</v>
      </c>
      <c r="AO163">
        <v>0.80400000000000005</v>
      </c>
      <c r="AP163">
        <v>6039.0430235999738</v>
      </c>
      <c r="AQ163">
        <v>1.0276539708265799</v>
      </c>
      <c r="AR163">
        <v>6206.0465000000004</v>
      </c>
      <c r="AT163" t="s">
        <v>228</v>
      </c>
      <c r="AU163" t="s">
        <v>229</v>
      </c>
      <c r="AV163" t="s">
        <v>227</v>
      </c>
      <c r="AW163" t="s">
        <v>101</v>
      </c>
      <c r="AX163">
        <v>109.354</v>
      </c>
      <c r="AY163">
        <v>1.0833851741009131</v>
      </c>
      <c r="AZ163">
        <v>118.47250232863119</v>
      </c>
      <c r="BA163">
        <v>801.49</v>
      </c>
      <c r="BB163">
        <v>0.90500000000000003</v>
      </c>
      <c r="BC163">
        <v>85.933845931694037</v>
      </c>
      <c r="BD163">
        <v>1.0154000000000001</v>
      </c>
      <c r="BE163">
        <v>87.257000000000005</v>
      </c>
      <c r="BF163">
        <v>8.9176000000000002</v>
      </c>
      <c r="BG163">
        <v>0.77</v>
      </c>
      <c r="BH163">
        <v>5962.3807969390264</v>
      </c>
      <c r="BI163">
        <v>1.0150931928687199</v>
      </c>
      <c r="BJ163">
        <v>6052.3721999999998</v>
      </c>
    </row>
    <row r="164" spans="1:62" x14ac:dyDescent="0.25">
      <c r="A164">
        <v>3716</v>
      </c>
      <c r="B164" t="s">
        <v>118</v>
      </c>
      <c r="C164">
        <v>2021</v>
      </c>
      <c r="D164">
        <v>1</v>
      </c>
      <c r="E164" t="s">
        <v>218</v>
      </c>
      <c r="F164" t="s">
        <v>219</v>
      </c>
      <c r="G164" t="s">
        <v>220</v>
      </c>
      <c r="H164" t="s">
        <v>17</v>
      </c>
      <c r="I164" t="s">
        <v>241</v>
      </c>
      <c r="J164" t="s">
        <v>242</v>
      </c>
      <c r="K164">
        <v>-74.011314679999998</v>
      </c>
      <c r="L164" t="s">
        <v>242</v>
      </c>
      <c r="M164" t="s">
        <v>235</v>
      </c>
      <c r="N164">
        <v>0.67001574769252004</v>
      </c>
      <c r="O164">
        <v>49.588746</v>
      </c>
      <c r="P164" t="s">
        <v>21</v>
      </c>
      <c r="Q164">
        <v>1</v>
      </c>
      <c r="W164">
        <v>1</v>
      </c>
      <c r="X164">
        <v>0</v>
      </c>
      <c r="AA164" t="s">
        <v>269</v>
      </c>
      <c r="AB164" t="s">
        <v>270</v>
      </c>
      <c r="AC164" t="s">
        <v>227</v>
      </c>
      <c r="AD164" t="s">
        <v>154</v>
      </c>
      <c r="AE164">
        <v>109.354</v>
      </c>
      <c r="AF164">
        <v>1.080821157758461</v>
      </c>
      <c r="AG164">
        <v>118.1921168855188</v>
      </c>
      <c r="AH164">
        <v>779.31</v>
      </c>
      <c r="AI164">
        <v>0.879</v>
      </c>
      <c r="AJ164">
        <v>80.963194478237142</v>
      </c>
      <c r="AK164">
        <v>0.9899</v>
      </c>
      <c r="AL164">
        <v>80.144999999999996</v>
      </c>
      <c r="AM164">
        <v>8.9176000000000002</v>
      </c>
      <c r="AN164">
        <v>9.6383307564268552</v>
      </c>
      <c r="AO164">
        <v>0.80400000000000005</v>
      </c>
      <c r="AP164">
        <v>6039.0430235999738</v>
      </c>
      <c r="AQ164">
        <v>0.99199531433033972</v>
      </c>
      <c r="AR164">
        <v>5990.7024000000001</v>
      </c>
      <c r="AT164" t="s">
        <v>228</v>
      </c>
      <c r="AU164" t="s">
        <v>229</v>
      </c>
      <c r="AV164" t="s">
        <v>227</v>
      </c>
      <c r="AW164" t="s">
        <v>154</v>
      </c>
      <c r="AX164">
        <v>109.354</v>
      </c>
      <c r="AY164">
        <v>1.0833851741009131</v>
      </c>
      <c r="AZ164">
        <v>118.47250232863119</v>
      </c>
      <c r="BA164">
        <v>801.49</v>
      </c>
      <c r="BB164">
        <v>0.90500000000000003</v>
      </c>
      <c r="BC164">
        <v>85.933845931694037</v>
      </c>
      <c r="BD164">
        <v>0.99380000000000002</v>
      </c>
      <c r="BE164">
        <v>85.400999999999996</v>
      </c>
      <c r="BF164">
        <v>8.9176000000000002</v>
      </c>
      <c r="BG164">
        <v>0.77</v>
      </c>
      <c r="BH164">
        <v>5962.3807969390264</v>
      </c>
      <c r="BI164">
        <v>0.98418586489652482</v>
      </c>
      <c r="BJ164">
        <v>5868.0909000000001</v>
      </c>
    </row>
    <row r="165" spans="1:62" x14ac:dyDescent="0.25">
      <c r="A165">
        <v>3718</v>
      </c>
      <c r="B165" t="s">
        <v>118</v>
      </c>
      <c r="C165">
        <v>2021</v>
      </c>
      <c r="D165">
        <v>1</v>
      </c>
      <c r="E165" t="s">
        <v>218</v>
      </c>
      <c r="F165" t="s">
        <v>219</v>
      </c>
      <c r="G165" t="s">
        <v>220</v>
      </c>
      <c r="H165" t="s">
        <v>17</v>
      </c>
      <c r="I165" t="s">
        <v>241</v>
      </c>
      <c r="J165" t="s">
        <v>242</v>
      </c>
      <c r="K165">
        <v>-74.011314679999998</v>
      </c>
      <c r="L165" t="s">
        <v>242</v>
      </c>
      <c r="M165" t="s">
        <v>236</v>
      </c>
      <c r="N165">
        <v>1.442552100634E-2</v>
      </c>
      <c r="O165">
        <v>1.067652</v>
      </c>
      <c r="P165" t="s">
        <v>21</v>
      </c>
      <c r="Q165">
        <v>1</v>
      </c>
      <c r="W165">
        <v>1</v>
      </c>
      <c r="X165">
        <v>0</v>
      </c>
      <c r="AA165" t="s">
        <v>269</v>
      </c>
      <c r="AB165" t="s">
        <v>270</v>
      </c>
      <c r="AC165" t="s">
        <v>227</v>
      </c>
      <c r="AD165" t="s">
        <v>100</v>
      </c>
      <c r="AE165">
        <v>109.354</v>
      </c>
      <c r="AF165">
        <v>1.080821157758461</v>
      </c>
      <c r="AG165">
        <v>118.1921168855188</v>
      </c>
      <c r="AH165">
        <v>779.31</v>
      </c>
      <c r="AI165">
        <v>0.879</v>
      </c>
      <c r="AJ165">
        <v>80.963194478237142</v>
      </c>
      <c r="AK165">
        <v>0.96560000000000001</v>
      </c>
      <c r="AL165">
        <v>78.177999999999997</v>
      </c>
      <c r="AM165">
        <v>8.9176000000000002</v>
      </c>
      <c r="AN165">
        <v>9.6383307564268552</v>
      </c>
      <c r="AO165">
        <v>0.80400000000000005</v>
      </c>
      <c r="AP165">
        <v>6039.0430235999738</v>
      </c>
      <c r="AQ165">
        <v>0.98955375253549693</v>
      </c>
      <c r="AR165">
        <v>5975.9576999999999</v>
      </c>
      <c r="AT165" t="s">
        <v>228</v>
      </c>
      <c r="AU165" t="s">
        <v>229</v>
      </c>
      <c r="AV165" t="s">
        <v>227</v>
      </c>
      <c r="AW165" t="s">
        <v>100</v>
      </c>
      <c r="AX165">
        <v>109.354</v>
      </c>
      <c r="AY165">
        <v>1.0833851741009131</v>
      </c>
      <c r="AZ165">
        <v>118.47250232863119</v>
      </c>
      <c r="BA165">
        <v>801.49</v>
      </c>
      <c r="BB165">
        <v>0.90500000000000003</v>
      </c>
      <c r="BC165">
        <v>85.933845931694037</v>
      </c>
      <c r="BD165">
        <v>0.94550000000000001</v>
      </c>
      <c r="BE165">
        <v>81.25</v>
      </c>
      <c r="BF165">
        <v>8.9176000000000002</v>
      </c>
      <c r="BG165">
        <v>0.77</v>
      </c>
      <c r="BH165">
        <v>5962.3807969390264</v>
      </c>
      <c r="BI165">
        <v>1.0003042596348879</v>
      </c>
      <c r="BJ165">
        <v>5964.1949000000004</v>
      </c>
    </row>
    <row r="166" spans="1:62" x14ac:dyDescent="0.25">
      <c r="A166">
        <v>3720</v>
      </c>
      <c r="B166" t="s">
        <v>118</v>
      </c>
      <c r="C166">
        <v>2021</v>
      </c>
      <c r="D166">
        <v>1</v>
      </c>
      <c r="E166" t="s">
        <v>218</v>
      </c>
      <c r="F166" t="s">
        <v>219</v>
      </c>
      <c r="G166" t="s">
        <v>220</v>
      </c>
      <c r="H166" t="s">
        <v>17</v>
      </c>
      <c r="I166" t="s">
        <v>241</v>
      </c>
      <c r="J166" t="s">
        <v>242</v>
      </c>
      <c r="K166">
        <v>-74.011314679999998</v>
      </c>
      <c r="L166" t="s">
        <v>242</v>
      </c>
      <c r="M166" t="s">
        <v>237</v>
      </c>
      <c r="N166">
        <v>0.37405093967954001</v>
      </c>
      <c r="O166">
        <v>27.684002</v>
      </c>
      <c r="P166" t="s">
        <v>21</v>
      </c>
      <c r="Q166">
        <v>1</v>
      </c>
      <c r="W166">
        <v>1</v>
      </c>
      <c r="X166">
        <v>0</v>
      </c>
      <c r="AA166" t="s">
        <v>269</v>
      </c>
      <c r="AB166" t="s">
        <v>270</v>
      </c>
      <c r="AC166" t="s">
        <v>227</v>
      </c>
      <c r="AD166" t="s">
        <v>101</v>
      </c>
      <c r="AE166">
        <v>109.354</v>
      </c>
      <c r="AF166">
        <v>1.080821157758461</v>
      </c>
      <c r="AG166">
        <v>118.1921168855188</v>
      </c>
      <c r="AH166">
        <v>779.31</v>
      </c>
      <c r="AI166">
        <v>0.879</v>
      </c>
      <c r="AJ166">
        <v>80.963194478237142</v>
      </c>
      <c r="AK166">
        <v>1.0097</v>
      </c>
      <c r="AL166">
        <v>81.748999999999995</v>
      </c>
      <c r="AM166">
        <v>8.9176000000000002</v>
      </c>
      <c r="AN166">
        <v>9.6383307564268552</v>
      </c>
      <c r="AO166">
        <v>0.80400000000000005</v>
      </c>
      <c r="AP166">
        <v>6039.0430235999738</v>
      </c>
      <c r="AQ166">
        <v>1.0276539708265799</v>
      </c>
      <c r="AR166">
        <v>6206.0465000000004</v>
      </c>
      <c r="AT166" t="s">
        <v>228</v>
      </c>
      <c r="AU166" t="s">
        <v>229</v>
      </c>
      <c r="AV166" t="s">
        <v>227</v>
      </c>
      <c r="AW166" t="s">
        <v>101</v>
      </c>
      <c r="AX166">
        <v>109.354</v>
      </c>
      <c r="AY166">
        <v>1.0833851741009131</v>
      </c>
      <c r="AZ166">
        <v>118.47250232863119</v>
      </c>
      <c r="BA166">
        <v>801.49</v>
      </c>
      <c r="BB166">
        <v>0.90500000000000003</v>
      </c>
      <c r="BC166">
        <v>85.933845931694037</v>
      </c>
      <c r="BD166">
        <v>1.0154000000000001</v>
      </c>
      <c r="BE166">
        <v>87.257000000000005</v>
      </c>
      <c r="BF166">
        <v>8.9176000000000002</v>
      </c>
      <c r="BG166">
        <v>0.77</v>
      </c>
      <c r="BH166">
        <v>5962.3807969390264</v>
      </c>
      <c r="BI166">
        <v>1.0150931928687199</v>
      </c>
      <c r="BJ166">
        <v>6052.3721999999998</v>
      </c>
    </row>
    <row r="167" spans="1:62" x14ac:dyDescent="0.25">
      <c r="A167">
        <v>2466</v>
      </c>
      <c r="B167" t="s">
        <v>118</v>
      </c>
      <c r="C167">
        <v>2021</v>
      </c>
      <c r="D167">
        <v>1</v>
      </c>
      <c r="E167" t="s">
        <v>218</v>
      </c>
      <c r="F167" t="s">
        <v>219</v>
      </c>
      <c r="G167" t="s">
        <v>220</v>
      </c>
      <c r="H167" t="s">
        <v>17</v>
      </c>
      <c r="I167" t="s">
        <v>243</v>
      </c>
      <c r="J167" t="s">
        <v>244</v>
      </c>
      <c r="K167">
        <v>-171.88291606000001</v>
      </c>
      <c r="L167" t="s">
        <v>245</v>
      </c>
      <c r="M167" t="s">
        <v>224</v>
      </c>
      <c r="N167">
        <v>1.1026262910890001E-2</v>
      </c>
      <c r="O167">
        <v>1.8952260000000001</v>
      </c>
      <c r="P167" t="s">
        <v>21</v>
      </c>
      <c r="Q167">
        <v>1</v>
      </c>
      <c r="W167">
        <v>1</v>
      </c>
      <c r="X167">
        <v>0</v>
      </c>
      <c r="AA167" t="s">
        <v>269</v>
      </c>
      <c r="AB167" t="s">
        <v>270</v>
      </c>
      <c r="AC167" t="s">
        <v>227</v>
      </c>
      <c r="AD167" t="s">
        <v>153</v>
      </c>
      <c r="AE167">
        <v>109.354</v>
      </c>
      <c r="AF167">
        <v>1.080821157758461</v>
      </c>
      <c r="AG167">
        <v>118.1921168855188</v>
      </c>
      <c r="AH167">
        <v>779.31</v>
      </c>
      <c r="AI167">
        <v>0.879</v>
      </c>
      <c r="AJ167">
        <v>80.963194478237142</v>
      </c>
      <c r="AK167">
        <v>1.0078</v>
      </c>
      <c r="AL167">
        <v>81.594999999999999</v>
      </c>
      <c r="AM167">
        <v>8.9176000000000002</v>
      </c>
      <c r="AN167">
        <v>9.6383307564268552</v>
      </c>
      <c r="AO167">
        <v>0.80400000000000005</v>
      </c>
      <c r="AP167">
        <v>6039.0430235999738</v>
      </c>
      <c r="AQ167">
        <v>1</v>
      </c>
      <c r="AR167">
        <v>6039.0429999999997</v>
      </c>
      <c r="AT167" t="s">
        <v>228</v>
      </c>
      <c r="AU167" t="s">
        <v>229</v>
      </c>
      <c r="AV167" t="s">
        <v>227</v>
      </c>
      <c r="AW167" t="s">
        <v>153</v>
      </c>
      <c r="AX167">
        <v>109.354</v>
      </c>
      <c r="AY167">
        <v>1.0833851741009131</v>
      </c>
      <c r="AZ167">
        <v>118.47250232863119</v>
      </c>
      <c r="BA167">
        <v>801.49</v>
      </c>
      <c r="BB167">
        <v>0.90500000000000003</v>
      </c>
      <c r="BC167">
        <v>85.933845931694037</v>
      </c>
      <c r="BD167">
        <v>1.0470999999999999</v>
      </c>
      <c r="BE167">
        <v>89.980999999999995</v>
      </c>
      <c r="BF167">
        <v>8.9176000000000002</v>
      </c>
      <c r="BG167">
        <v>0.77</v>
      </c>
      <c r="BH167">
        <v>5962.3807969390264</v>
      </c>
      <c r="BI167">
        <v>1</v>
      </c>
      <c r="BJ167">
        <v>5962.3807999999999</v>
      </c>
    </row>
    <row r="168" spans="1:62" x14ac:dyDescent="0.25">
      <c r="A168">
        <v>2468</v>
      </c>
      <c r="B168" t="s">
        <v>118</v>
      </c>
      <c r="C168">
        <v>2021</v>
      </c>
      <c r="D168">
        <v>1</v>
      </c>
      <c r="E168" t="s">
        <v>218</v>
      </c>
      <c r="F168" t="s">
        <v>219</v>
      </c>
      <c r="G168" t="s">
        <v>220</v>
      </c>
      <c r="H168" t="s">
        <v>17</v>
      </c>
      <c r="I168" t="s">
        <v>243</v>
      </c>
      <c r="J168" t="s">
        <v>244</v>
      </c>
      <c r="K168">
        <v>-171.88291606000001</v>
      </c>
      <c r="L168" t="s">
        <v>245</v>
      </c>
      <c r="M168" t="s">
        <v>235</v>
      </c>
      <c r="N168">
        <v>0.60074557881113</v>
      </c>
      <c r="O168">
        <v>103.257902</v>
      </c>
      <c r="P168" t="s">
        <v>21</v>
      </c>
      <c r="Q168">
        <v>1</v>
      </c>
      <c r="W168">
        <v>1</v>
      </c>
      <c r="X168">
        <v>0</v>
      </c>
      <c r="AA168" t="s">
        <v>269</v>
      </c>
      <c r="AB168" t="s">
        <v>270</v>
      </c>
      <c r="AC168" t="s">
        <v>227</v>
      </c>
      <c r="AD168" t="s">
        <v>154</v>
      </c>
      <c r="AE168">
        <v>109.354</v>
      </c>
      <c r="AF168">
        <v>1.080821157758461</v>
      </c>
      <c r="AG168">
        <v>118.1921168855188</v>
      </c>
      <c r="AH168">
        <v>779.31</v>
      </c>
      <c r="AI168">
        <v>0.879</v>
      </c>
      <c r="AJ168">
        <v>80.963194478237142</v>
      </c>
      <c r="AK168">
        <v>0.9899</v>
      </c>
      <c r="AL168">
        <v>80.144999999999996</v>
      </c>
      <c r="AM168">
        <v>8.9176000000000002</v>
      </c>
      <c r="AN168">
        <v>9.6383307564268552</v>
      </c>
      <c r="AO168">
        <v>0.80400000000000005</v>
      </c>
      <c r="AP168">
        <v>6039.0430235999738</v>
      </c>
      <c r="AQ168">
        <v>0.99199531433033972</v>
      </c>
      <c r="AR168">
        <v>5990.7024000000001</v>
      </c>
      <c r="AT168" t="s">
        <v>228</v>
      </c>
      <c r="AU168" t="s">
        <v>229</v>
      </c>
      <c r="AV168" t="s">
        <v>227</v>
      </c>
      <c r="AW168" t="s">
        <v>154</v>
      </c>
      <c r="AX168">
        <v>109.354</v>
      </c>
      <c r="AY168">
        <v>1.0833851741009131</v>
      </c>
      <c r="AZ168">
        <v>118.47250232863119</v>
      </c>
      <c r="BA168">
        <v>801.49</v>
      </c>
      <c r="BB168">
        <v>0.90500000000000003</v>
      </c>
      <c r="BC168">
        <v>85.933845931694037</v>
      </c>
      <c r="BD168">
        <v>0.99380000000000002</v>
      </c>
      <c r="BE168">
        <v>85.400999999999996</v>
      </c>
      <c r="BF168">
        <v>8.9176000000000002</v>
      </c>
      <c r="BG168">
        <v>0.77</v>
      </c>
      <c r="BH168">
        <v>5962.3807969390264</v>
      </c>
      <c r="BI168">
        <v>0.98418586489652482</v>
      </c>
      <c r="BJ168">
        <v>5868.0909000000001</v>
      </c>
    </row>
    <row r="169" spans="1:62" x14ac:dyDescent="0.25">
      <c r="A169">
        <v>2470</v>
      </c>
      <c r="B169" t="s">
        <v>118</v>
      </c>
      <c r="C169">
        <v>2021</v>
      </c>
      <c r="D169">
        <v>1</v>
      </c>
      <c r="E169" t="s">
        <v>218</v>
      </c>
      <c r="F169" t="s">
        <v>219</v>
      </c>
      <c r="G169" t="s">
        <v>220</v>
      </c>
      <c r="H169" t="s">
        <v>17</v>
      </c>
      <c r="I169" t="s">
        <v>243</v>
      </c>
      <c r="J169" t="s">
        <v>244</v>
      </c>
      <c r="K169">
        <v>-171.88291606000001</v>
      </c>
      <c r="L169" t="s">
        <v>245</v>
      </c>
      <c r="M169" t="s">
        <v>236</v>
      </c>
      <c r="N169">
        <v>1.775192921592E-2</v>
      </c>
      <c r="O169">
        <v>3.051253</v>
      </c>
      <c r="P169" t="s">
        <v>21</v>
      </c>
      <c r="Q169">
        <v>1</v>
      </c>
      <c r="W169">
        <v>1</v>
      </c>
      <c r="X169">
        <v>0</v>
      </c>
      <c r="AA169" t="s">
        <v>269</v>
      </c>
      <c r="AB169" t="s">
        <v>270</v>
      </c>
      <c r="AC169" t="s">
        <v>227</v>
      </c>
      <c r="AD169" t="s">
        <v>100</v>
      </c>
      <c r="AE169">
        <v>109.354</v>
      </c>
      <c r="AF169">
        <v>1.080821157758461</v>
      </c>
      <c r="AG169">
        <v>118.1921168855188</v>
      </c>
      <c r="AH169">
        <v>779.31</v>
      </c>
      <c r="AI169">
        <v>0.879</v>
      </c>
      <c r="AJ169">
        <v>80.963194478237142</v>
      </c>
      <c r="AK169">
        <v>0.96560000000000001</v>
      </c>
      <c r="AL169">
        <v>78.177999999999997</v>
      </c>
      <c r="AM169">
        <v>8.9176000000000002</v>
      </c>
      <c r="AN169">
        <v>9.6383307564268552</v>
      </c>
      <c r="AO169">
        <v>0.80400000000000005</v>
      </c>
      <c r="AP169">
        <v>6039.0430235999738</v>
      </c>
      <c r="AQ169">
        <v>0.98955375253549693</v>
      </c>
      <c r="AR169">
        <v>5975.9576999999999</v>
      </c>
      <c r="AT169" t="s">
        <v>228</v>
      </c>
      <c r="AU169" t="s">
        <v>229</v>
      </c>
      <c r="AV169" t="s">
        <v>227</v>
      </c>
      <c r="AW169" t="s">
        <v>100</v>
      </c>
      <c r="AX169">
        <v>109.354</v>
      </c>
      <c r="AY169">
        <v>1.0833851741009131</v>
      </c>
      <c r="AZ169">
        <v>118.47250232863119</v>
      </c>
      <c r="BA169">
        <v>801.49</v>
      </c>
      <c r="BB169">
        <v>0.90500000000000003</v>
      </c>
      <c r="BC169">
        <v>85.933845931694037</v>
      </c>
      <c r="BD169">
        <v>0.94550000000000001</v>
      </c>
      <c r="BE169">
        <v>81.25</v>
      </c>
      <c r="BF169">
        <v>8.9176000000000002</v>
      </c>
      <c r="BG169">
        <v>0.77</v>
      </c>
      <c r="BH169">
        <v>5962.3807969390264</v>
      </c>
      <c r="BI169">
        <v>1.0003042596348879</v>
      </c>
      <c r="BJ169">
        <v>5964.1949000000004</v>
      </c>
    </row>
    <row r="170" spans="1:62" x14ac:dyDescent="0.25">
      <c r="A170">
        <v>2472</v>
      </c>
      <c r="B170" t="s">
        <v>118</v>
      </c>
      <c r="C170">
        <v>2021</v>
      </c>
      <c r="D170">
        <v>1</v>
      </c>
      <c r="E170" t="s">
        <v>218</v>
      </c>
      <c r="F170" t="s">
        <v>219</v>
      </c>
      <c r="G170" t="s">
        <v>220</v>
      </c>
      <c r="H170" t="s">
        <v>17</v>
      </c>
      <c r="I170" t="s">
        <v>243</v>
      </c>
      <c r="J170" t="s">
        <v>244</v>
      </c>
      <c r="K170">
        <v>-171.88291606000001</v>
      </c>
      <c r="L170" t="s">
        <v>245</v>
      </c>
      <c r="M170" t="s">
        <v>237</v>
      </c>
      <c r="N170">
        <v>0.39766766032624001</v>
      </c>
      <c r="O170">
        <v>68.352277000000001</v>
      </c>
      <c r="P170" t="s">
        <v>21</v>
      </c>
      <c r="Q170">
        <v>1</v>
      </c>
      <c r="W170">
        <v>1</v>
      </c>
      <c r="X170">
        <v>0</v>
      </c>
      <c r="AA170" t="s">
        <v>269</v>
      </c>
      <c r="AB170" t="s">
        <v>270</v>
      </c>
      <c r="AC170" t="s">
        <v>227</v>
      </c>
      <c r="AD170" t="s">
        <v>101</v>
      </c>
      <c r="AE170">
        <v>109.354</v>
      </c>
      <c r="AF170">
        <v>1.080821157758461</v>
      </c>
      <c r="AG170">
        <v>118.1921168855188</v>
      </c>
      <c r="AH170">
        <v>779.31</v>
      </c>
      <c r="AI170">
        <v>0.879</v>
      </c>
      <c r="AJ170">
        <v>80.963194478237142</v>
      </c>
      <c r="AK170">
        <v>1.0097</v>
      </c>
      <c r="AL170">
        <v>81.748999999999995</v>
      </c>
      <c r="AM170">
        <v>8.9176000000000002</v>
      </c>
      <c r="AN170">
        <v>9.6383307564268552</v>
      </c>
      <c r="AO170">
        <v>0.80400000000000005</v>
      </c>
      <c r="AP170">
        <v>6039.0430235999738</v>
      </c>
      <c r="AQ170">
        <v>1.0276539708265799</v>
      </c>
      <c r="AR170">
        <v>6206.0465000000004</v>
      </c>
      <c r="AT170" t="s">
        <v>228</v>
      </c>
      <c r="AU170" t="s">
        <v>229</v>
      </c>
      <c r="AV170" t="s">
        <v>227</v>
      </c>
      <c r="AW170" t="s">
        <v>101</v>
      </c>
      <c r="AX170">
        <v>109.354</v>
      </c>
      <c r="AY170">
        <v>1.0833851741009131</v>
      </c>
      <c r="AZ170">
        <v>118.47250232863119</v>
      </c>
      <c r="BA170">
        <v>801.49</v>
      </c>
      <c r="BB170">
        <v>0.90500000000000003</v>
      </c>
      <c r="BC170">
        <v>85.933845931694037</v>
      </c>
      <c r="BD170">
        <v>1.0154000000000001</v>
      </c>
      <c r="BE170">
        <v>87.257000000000005</v>
      </c>
      <c r="BF170">
        <v>8.9176000000000002</v>
      </c>
      <c r="BG170">
        <v>0.77</v>
      </c>
      <c r="BH170">
        <v>5962.3807969390264</v>
      </c>
      <c r="BI170">
        <v>1.0150931928687199</v>
      </c>
      <c r="BJ170">
        <v>6052.3721999999998</v>
      </c>
    </row>
    <row r="171" spans="1:62" x14ac:dyDescent="0.25">
      <c r="A171">
        <v>4954</v>
      </c>
      <c r="B171" t="s">
        <v>118</v>
      </c>
      <c r="C171">
        <v>2021</v>
      </c>
      <c r="D171">
        <v>1</v>
      </c>
      <c r="E171" t="s">
        <v>218</v>
      </c>
      <c r="F171" t="s">
        <v>219</v>
      </c>
      <c r="G171" t="s">
        <v>220</v>
      </c>
      <c r="H171" t="s">
        <v>17</v>
      </c>
      <c r="I171" t="s">
        <v>246</v>
      </c>
      <c r="J171" t="s">
        <v>247</v>
      </c>
      <c r="K171">
        <v>-576.58724209000002</v>
      </c>
      <c r="L171" t="s">
        <v>248</v>
      </c>
      <c r="M171" t="s">
        <v>224</v>
      </c>
      <c r="N171">
        <v>4.9724862092599999E-3</v>
      </c>
      <c r="O171">
        <v>2.8670719999999998</v>
      </c>
      <c r="P171" t="s">
        <v>21</v>
      </c>
      <c r="Q171">
        <v>1</v>
      </c>
      <c r="W171">
        <v>1</v>
      </c>
      <c r="X171">
        <v>0</v>
      </c>
      <c r="AA171" t="s">
        <v>269</v>
      </c>
      <c r="AB171" t="s">
        <v>270</v>
      </c>
      <c r="AC171" t="s">
        <v>227</v>
      </c>
      <c r="AD171" t="s">
        <v>153</v>
      </c>
      <c r="AE171">
        <v>109.354</v>
      </c>
      <c r="AF171">
        <v>1.080821157758461</v>
      </c>
      <c r="AG171">
        <v>118.1921168855188</v>
      </c>
      <c r="AH171">
        <v>779.31</v>
      </c>
      <c r="AI171">
        <v>0.879</v>
      </c>
      <c r="AJ171">
        <v>80.963194478237142</v>
      </c>
      <c r="AK171">
        <v>1.0078</v>
      </c>
      <c r="AL171">
        <v>81.594999999999999</v>
      </c>
      <c r="AM171">
        <v>8.9176000000000002</v>
      </c>
      <c r="AN171">
        <v>9.6383307564268552</v>
      </c>
      <c r="AO171">
        <v>0.80400000000000005</v>
      </c>
      <c r="AP171">
        <v>6039.0430235999738</v>
      </c>
      <c r="AQ171">
        <v>1</v>
      </c>
      <c r="AR171">
        <v>6039.0429999999997</v>
      </c>
      <c r="AT171" t="s">
        <v>228</v>
      </c>
      <c r="AU171" t="s">
        <v>229</v>
      </c>
      <c r="AV171" t="s">
        <v>227</v>
      </c>
      <c r="AW171" t="s">
        <v>153</v>
      </c>
      <c r="AX171">
        <v>109.354</v>
      </c>
      <c r="AY171">
        <v>1.0833851741009131</v>
      </c>
      <c r="AZ171">
        <v>118.47250232863119</v>
      </c>
      <c r="BA171">
        <v>801.49</v>
      </c>
      <c r="BB171">
        <v>0.90500000000000003</v>
      </c>
      <c r="BC171">
        <v>85.933845931694037</v>
      </c>
      <c r="BD171">
        <v>1.0470999999999999</v>
      </c>
      <c r="BE171">
        <v>89.980999999999995</v>
      </c>
      <c r="BF171">
        <v>8.9176000000000002</v>
      </c>
      <c r="BG171">
        <v>0.77</v>
      </c>
      <c r="BH171">
        <v>5962.3807969390264</v>
      </c>
      <c r="BI171">
        <v>1</v>
      </c>
      <c r="BJ171">
        <v>5962.3807999999999</v>
      </c>
    </row>
    <row r="172" spans="1:62" x14ac:dyDescent="0.25">
      <c r="A172">
        <v>4956</v>
      </c>
      <c r="B172" t="s">
        <v>118</v>
      </c>
      <c r="C172">
        <v>2021</v>
      </c>
      <c r="D172">
        <v>1</v>
      </c>
      <c r="E172" t="s">
        <v>218</v>
      </c>
      <c r="F172" t="s">
        <v>219</v>
      </c>
      <c r="G172" t="s">
        <v>220</v>
      </c>
      <c r="H172" t="s">
        <v>17</v>
      </c>
      <c r="I172" t="s">
        <v>246</v>
      </c>
      <c r="J172" t="s">
        <v>247</v>
      </c>
      <c r="K172">
        <v>-576.58724209000002</v>
      </c>
      <c r="L172" t="s">
        <v>248</v>
      </c>
      <c r="M172" t="s">
        <v>235</v>
      </c>
      <c r="N172">
        <v>0.99209122360516</v>
      </c>
      <c r="O172">
        <v>572.02714300000002</v>
      </c>
      <c r="P172" t="s">
        <v>21</v>
      </c>
      <c r="Q172">
        <v>1</v>
      </c>
      <c r="W172">
        <v>1</v>
      </c>
      <c r="X172">
        <v>0</v>
      </c>
      <c r="AA172" t="s">
        <v>269</v>
      </c>
      <c r="AB172" t="s">
        <v>270</v>
      </c>
      <c r="AC172" t="s">
        <v>227</v>
      </c>
      <c r="AD172" t="s">
        <v>154</v>
      </c>
      <c r="AE172">
        <v>109.354</v>
      </c>
      <c r="AF172">
        <v>1.080821157758461</v>
      </c>
      <c r="AG172">
        <v>118.1921168855188</v>
      </c>
      <c r="AH172">
        <v>779.31</v>
      </c>
      <c r="AI172">
        <v>0.879</v>
      </c>
      <c r="AJ172">
        <v>80.963194478237142</v>
      </c>
      <c r="AK172">
        <v>0.9899</v>
      </c>
      <c r="AL172">
        <v>80.144999999999996</v>
      </c>
      <c r="AM172">
        <v>8.9176000000000002</v>
      </c>
      <c r="AN172">
        <v>9.6383307564268552</v>
      </c>
      <c r="AO172">
        <v>0.80400000000000005</v>
      </c>
      <c r="AP172">
        <v>6039.0430235999738</v>
      </c>
      <c r="AQ172">
        <v>0.99199531433033972</v>
      </c>
      <c r="AR172">
        <v>5990.7024000000001</v>
      </c>
      <c r="AT172" t="s">
        <v>228</v>
      </c>
      <c r="AU172" t="s">
        <v>229</v>
      </c>
      <c r="AV172" t="s">
        <v>227</v>
      </c>
      <c r="AW172" t="s">
        <v>154</v>
      </c>
      <c r="AX172">
        <v>109.354</v>
      </c>
      <c r="AY172">
        <v>1.0833851741009131</v>
      </c>
      <c r="AZ172">
        <v>118.47250232863119</v>
      </c>
      <c r="BA172">
        <v>801.49</v>
      </c>
      <c r="BB172">
        <v>0.90500000000000003</v>
      </c>
      <c r="BC172">
        <v>85.933845931694037</v>
      </c>
      <c r="BD172">
        <v>0.99380000000000002</v>
      </c>
      <c r="BE172">
        <v>85.400999999999996</v>
      </c>
      <c r="BF172">
        <v>8.9176000000000002</v>
      </c>
      <c r="BG172">
        <v>0.77</v>
      </c>
      <c r="BH172">
        <v>5962.3807969390264</v>
      </c>
      <c r="BI172">
        <v>0.98418586489652482</v>
      </c>
      <c r="BJ172">
        <v>5868.0909000000001</v>
      </c>
    </row>
    <row r="173" spans="1:62" x14ac:dyDescent="0.25">
      <c r="A173">
        <v>4958</v>
      </c>
      <c r="B173" t="s">
        <v>118</v>
      </c>
      <c r="C173">
        <v>2021</v>
      </c>
      <c r="D173">
        <v>1</v>
      </c>
      <c r="E173" t="s">
        <v>218</v>
      </c>
      <c r="F173" t="s">
        <v>219</v>
      </c>
      <c r="G173" t="s">
        <v>220</v>
      </c>
      <c r="H173" t="s">
        <v>17</v>
      </c>
      <c r="I173" t="s">
        <v>246</v>
      </c>
      <c r="J173" t="s">
        <v>247</v>
      </c>
      <c r="K173">
        <v>-576.58724209000002</v>
      </c>
      <c r="L173" t="s">
        <v>248</v>
      </c>
      <c r="M173" t="s">
        <v>236</v>
      </c>
      <c r="N173">
        <v>4.7995598170700003E-3</v>
      </c>
      <c r="O173">
        <v>2.7673649999999999</v>
      </c>
      <c r="P173" t="s">
        <v>21</v>
      </c>
      <c r="Q173">
        <v>1</v>
      </c>
      <c r="W173">
        <v>1</v>
      </c>
      <c r="X173">
        <v>0</v>
      </c>
      <c r="AA173" t="s">
        <v>269</v>
      </c>
      <c r="AB173" t="s">
        <v>270</v>
      </c>
      <c r="AC173" t="s">
        <v>227</v>
      </c>
      <c r="AD173" t="s">
        <v>100</v>
      </c>
      <c r="AE173">
        <v>109.354</v>
      </c>
      <c r="AF173">
        <v>1.080821157758461</v>
      </c>
      <c r="AG173">
        <v>118.1921168855188</v>
      </c>
      <c r="AH173">
        <v>779.31</v>
      </c>
      <c r="AI173">
        <v>0.879</v>
      </c>
      <c r="AJ173">
        <v>80.963194478237142</v>
      </c>
      <c r="AK173">
        <v>0.96560000000000001</v>
      </c>
      <c r="AL173">
        <v>78.177999999999997</v>
      </c>
      <c r="AM173">
        <v>8.9176000000000002</v>
      </c>
      <c r="AN173">
        <v>9.6383307564268552</v>
      </c>
      <c r="AO173">
        <v>0.80400000000000005</v>
      </c>
      <c r="AP173">
        <v>6039.0430235999738</v>
      </c>
      <c r="AQ173">
        <v>0.98955375253549693</v>
      </c>
      <c r="AR173">
        <v>5975.9576999999999</v>
      </c>
      <c r="AT173" t="s">
        <v>228</v>
      </c>
      <c r="AU173" t="s">
        <v>229</v>
      </c>
      <c r="AV173" t="s">
        <v>227</v>
      </c>
      <c r="AW173" t="s">
        <v>100</v>
      </c>
      <c r="AX173">
        <v>109.354</v>
      </c>
      <c r="AY173">
        <v>1.0833851741009131</v>
      </c>
      <c r="AZ173">
        <v>118.47250232863119</v>
      </c>
      <c r="BA173">
        <v>801.49</v>
      </c>
      <c r="BB173">
        <v>0.90500000000000003</v>
      </c>
      <c r="BC173">
        <v>85.933845931694037</v>
      </c>
      <c r="BD173">
        <v>0.94550000000000001</v>
      </c>
      <c r="BE173">
        <v>81.25</v>
      </c>
      <c r="BF173">
        <v>8.9176000000000002</v>
      </c>
      <c r="BG173">
        <v>0.77</v>
      </c>
      <c r="BH173">
        <v>5962.3807969390264</v>
      </c>
      <c r="BI173">
        <v>1.0003042596348879</v>
      </c>
      <c r="BJ173">
        <v>5964.1949000000004</v>
      </c>
    </row>
    <row r="174" spans="1:62" x14ac:dyDescent="0.25">
      <c r="A174">
        <v>4960</v>
      </c>
      <c r="B174" t="s">
        <v>118</v>
      </c>
      <c r="C174">
        <v>2021</v>
      </c>
      <c r="D174">
        <v>1</v>
      </c>
      <c r="E174" t="s">
        <v>218</v>
      </c>
      <c r="F174" t="s">
        <v>219</v>
      </c>
      <c r="G174" t="s">
        <v>220</v>
      </c>
      <c r="H174" t="s">
        <v>17</v>
      </c>
      <c r="I174" t="s">
        <v>246</v>
      </c>
      <c r="J174" t="s">
        <v>247</v>
      </c>
      <c r="K174">
        <v>-576.58724209000002</v>
      </c>
      <c r="L174" t="s">
        <v>248</v>
      </c>
      <c r="M174" t="s">
        <v>237</v>
      </c>
      <c r="N174">
        <v>2.2580780904460002E-2</v>
      </c>
      <c r="O174">
        <v>13.01979</v>
      </c>
      <c r="P174" t="s">
        <v>21</v>
      </c>
      <c r="Q174">
        <v>1</v>
      </c>
      <c r="W174">
        <v>1</v>
      </c>
      <c r="X174">
        <v>0</v>
      </c>
      <c r="AA174" t="s">
        <v>269</v>
      </c>
      <c r="AB174" t="s">
        <v>270</v>
      </c>
      <c r="AC174" t="s">
        <v>227</v>
      </c>
      <c r="AD174" t="s">
        <v>101</v>
      </c>
      <c r="AE174">
        <v>109.354</v>
      </c>
      <c r="AF174">
        <v>1.080821157758461</v>
      </c>
      <c r="AG174">
        <v>118.1921168855188</v>
      </c>
      <c r="AH174">
        <v>779.31</v>
      </c>
      <c r="AI174">
        <v>0.879</v>
      </c>
      <c r="AJ174">
        <v>80.963194478237142</v>
      </c>
      <c r="AK174">
        <v>1.0097</v>
      </c>
      <c r="AL174">
        <v>81.748999999999995</v>
      </c>
      <c r="AM174">
        <v>8.9176000000000002</v>
      </c>
      <c r="AN174">
        <v>9.6383307564268552</v>
      </c>
      <c r="AO174">
        <v>0.80400000000000005</v>
      </c>
      <c r="AP174">
        <v>6039.0430235999738</v>
      </c>
      <c r="AQ174">
        <v>1.0276539708265799</v>
      </c>
      <c r="AR174">
        <v>6206.0465000000004</v>
      </c>
      <c r="AT174" t="s">
        <v>228</v>
      </c>
      <c r="AU174" t="s">
        <v>229</v>
      </c>
      <c r="AV174" t="s">
        <v>227</v>
      </c>
      <c r="AW174" t="s">
        <v>101</v>
      </c>
      <c r="AX174">
        <v>109.354</v>
      </c>
      <c r="AY174">
        <v>1.0833851741009131</v>
      </c>
      <c r="AZ174">
        <v>118.47250232863119</v>
      </c>
      <c r="BA174">
        <v>801.49</v>
      </c>
      <c r="BB174">
        <v>0.90500000000000003</v>
      </c>
      <c r="BC174">
        <v>85.933845931694037</v>
      </c>
      <c r="BD174">
        <v>1.0154000000000001</v>
      </c>
      <c r="BE174">
        <v>87.257000000000005</v>
      </c>
      <c r="BF174">
        <v>8.9176000000000002</v>
      </c>
      <c r="BG174">
        <v>0.77</v>
      </c>
      <c r="BH174">
        <v>5962.3807969390264</v>
      </c>
      <c r="BI174">
        <v>1.0150931928687199</v>
      </c>
      <c r="BJ174">
        <v>6052.3721999999998</v>
      </c>
    </row>
    <row r="175" spans="1:62" x14ac:dyDescent="0.25">
      <c r="A175">
        <v>1234</v>
      </c>
      <c r="B175" t="s">
        <v>118</v>
      </c>
      <c r="C175">
        <v>2021</v>
      </c>
      <c r="D175">
        <v>1</v>
      </c>
      <c r="E175" t="s">
        <v>218</v>
      </c>
      <c r="F175" t="s">
        <v>219</v>
      </c>
      <c r="G175" t="s">
        <v>220</v>
      </c>
      <c r="H175" t="s">
        <v>17</v>
      </c>
      <c r="I175" t="s">
        <v>249</v>
      </c>
      <c r="J175" t="s">
        <v>250</v>
      </c>
      <c r="K175">
        <v>-670.40801075000002</v>
      </c>
      <c r="L175" t="s">
        <v>250</v>
      </c>
      <c r="M175" t="s">
        <v>231</v>
      </c>
      <c r="N175">
        <v>4.9898993999990003E-2</v>
      </c>
      <c r="O175">
        <v>33.452685000000002</v>
      </c>
      <c r="P175" t="s">
        <v>21</v>
      </c>
      <c r="Q175">
        <v>1</v>
      </c>
      <c r="W175">
        <v>1</v>
      </c>
      <c r="X175">
        <v>0</v>
      </c>
      <c r="AA175" t="s">
        <v>269</v>
      </c>
      <c r="AB175" t="s">
        <v>270</v>
      </c>
      <c r="AC175" t="s">
        <v>227</v>
      </c>
      <c r="AD175" t="s">
        <v>100</v>
      </c>
      <c r="AE175">
        <v>109.354</v>
      </c>
      <c r="AF175">
        <v>1.080821157758461</v>
      </c>
      <c r="AG175">
        <v>118.1921168855188</v>
      </c>
      <c r="AH175">
        <v>779.31</v>
      </c>
      <c r="AI175">
        <v>0.879</v>
      </c>
      <c r="AJ175">
        <v>80.963194478237142</v>
      </c>
      <c r="AK175">
        <v>0.96560000000000001</v>
      </c>
      <c r="AL175">
        <v>78.177999999999997</v>
      </c>
      <c r="AM175">
        <v>8.9176000000000002</v>
      </c>
      <c r="AN175">
        <v>9.6383307564268552</v>
      </c>
      <c r="AO175">
        <v>0.80400000000000005</v>
      </c>
      <c r="AP175">
        <v>6039.0430235999738</v>
      </c>
      <c r="AQ175">
        <v>0.98955375253549693</v>
      </c>
      <c r="AR175">
        <v>5975.9576999999999</v>
      </c>
      <c r="AT175" t="s">
        <v>228</v>
      </c>
      <c r="AU175" t="s">
        <v>229</v>
      </c>
      <c r="AV175" t="s">
        <v>227</v>
      </c>
      <c r="AW175" t="s">
        <v>100</v>
      </c>
      <c r="AX175">
        <v>109.354</v>
      </c>
      <c r="AY175">
        <v>1.0833851741009131</v>
      </c>
      <c r="AZ175">
        <v>118.47250232863119</v>
      </c>
      <c r="BA175">
        <v>801.49</v>
      </c>
      <c r="BB175">
        <v>0.90500000000000003</v>
      </c>
      <c r="BC175">
        <v>85.933845931694037</v>
      </c>
      <c r="BD175">
        <v>0.94550000000000001</v>
      </c>
      <c r="BE175">
        <v>81.25</v>
      </c>
      <c r="BF175">
        <v>8.9176000000000002</v>
      </c>
      <c r="BG175">
        <v>0.77</v>
      </c>
      <c r="BH175">
        <v>5962.3807969390264</v>
      </c>
      <c r="BI175">
        <v>1.0003042596348879</v>
      </c>
      <c r="BJ175">
        <v>5964.1949000000004</v>
      </c>
    </row>
    <row r="176" spans="1:62" x14ac:dyDescent="0.25">
      <c r="A176">
        <v>1236</v>
      </c>
      <c r="B176" t="s">
        <v>118</v>
      </c>
      <c r="C176">
        <v>2021</v>
      </c>
      <c r="D176">
        <v>1</v>
      </c>
      <c r="E176" t="s">
        <v>218</v>
      </c>
      <c r="F176" t="s">
        <v>219</v>
      </c>
      <c r="G176" t="s">
        <v>220</v>
      </c>
      <c r="H176" t="s">
        <v>17</v>
      </c>
      <c r="I176" t="s">
        <v>249</v>
      </c>
      <c r="J176" t="s">
        <v>250</v>
      </c>
      <c r="K176">
        <v>-670.40801075000002</v>
      </c>
      <c r="L176" t="s">
        <v>250</v>
      </c>
      <c r="M176" t="s">
        <v>232</v>
      </c>
      <c r="N176">
        <v>0.97472100599996003</v>
      </c>
      <c r="O176">
        <v>653.46077100000002</v>
      </c>
      <c r="P176" t="s">
        <v>21</v>
      </c>
      <c r="Q176">
        <v>1</v>
      </c>
      <c r="W176">
        <v>1</v>
      </c>
      <c r="X176">
        <v>0</v>
      </c>
      <c r="AA176" t="s">
        <v>269</v>
      </c>
      <c r="AB176" t="s">
        <v>270</v>
      </c>
      <c r="AC176" t="s">
        <v>227</v>
      </c>
      <c r="AD176" t="s">
        <v>101</v>
      </c>
      <c r="AE176">
        <v>109.354</v>
      </c>
      <c r="AF176">
        <v>1.080821157758461</v>
      </c>
      <c r="AG176">
        <v>118.1921168855188</v>
      </c>
      <c r="AH176">
        <v>779.31</v>
      </c>
      <c r="AI176">
        <v>0.879</v>
      </c>
      <c r="AJ176">
        <v>80.963194478237142</v>
      </c>
      <c r="AK176">
        <v>1.0097</v>
      </c>
      <c r="AL176">
        <v>81.748999999999995</v>
      </c>
      <c r="AM176">
        <v>8.9176000000000002</v>
      </c>
      <c r="AN176">
        <v>9.6383307564268552</v>
      </c>
      <c r="AO176">
        <v>0.80400000000000005</v>
      </c>
      <c r="AP176">
        <v>6039.0430235999738</v>
      </c>
      <c r="AQ176">
        <v>1.0276539708265799</v>
      </c>
      <c r="AR176">
        <v>6206.0465000000004</v>
      </c>
      <c r="AT176" t="s">
        <v>228</v>
      </c>
      <c r="AU176" t="s">
        <v>229</v>
      </c>
      <c r="AV176" t="s">
        <v>227</v>
      </c>
      <c r="AW176" t="s">
        <v>101</v>
      </c>
      <c r="AX176">
        <v>109.354</v>
      </c>
      <c r="AY176">
        <v>1.0833851741009131</v>
      </c>
      <c r="AZ176">
        <v>118.47250232863119</v>
      </c>
      <c r="BA176">
        <v>801.49</v>
      </c>
      <c r="BB176">
        <v>0.90500000000000003</v>
      </c>
      <c r="BC176">
        <v>85.933845931694037</v>
      </c>
      <c r="BD176">
        <v>1.0154000000000001</v>
      </c>
      <c r="BE176">
        <v>87.257000000000005</v>
      </c>
      <c r="BF176">
        <v>8.9176000000000002</v>
      </c>
      <c r="BG176">
        <v>0.77</v>
      </c>
      <c r="BH176">
        <v>5962.3807969390264</v>
      </c>
      <c r="BI176">
        <v>1.0150931928687199</v>
      </c>
      <c r="BJ176">
        <v>6052.3721999999998</v>
      </c>
    </row>
    <row r="177" spans="1:62" x14ac:dyDescent="0.25">
      <c r="A177">
        <v>4962</v>
      </c>
      <c r="B177" t="s">
        <v>118</v>
      </c>
      <c r="C177">
        <v>2021</v>
      </c>
      <c r="D177">
        <v>1</v>
      </c>
      <c r="E177" t="s">
        <v>218</v>
      </c>
      <c r="F177" t="s">
        <v>251</v>
      </c>
      <c r="G177" t="s">
        <v>252</v>
      </c>
      <c r="H177" t="s">
        <v>17</v>
      </c>
      <c r="I177" t="s">
        <v>253</v>
      </c>
      <c r="J177" t="s">
        <v>222</v>
      </c>
      <c r="K177">
        <v>-337.74375931999998</v>
      </c>
      <c r="L177" t="s">
        <v>223</v>
      </c>
      <c r="M177" t="s">
        <v>224</v>
      </c>
      <c r="N177">
        <v>8.7524974586199993E-3</v>
      </c>
      <c r="O177">
        <v>2.9561009999999999</v>
      </c>
      <c r="P177" t="s">
        <v>21</v>
      </c>
      <c r="Q177">
        <v>1</v>
      </c>
      <c r="W177">
        <v>1</v>
      </c>
      <c r="X177">
        <v>0</v>
      </c>
      <c r="AA177" t="s">
        <v>269</v>
      </c>
      <c r="AB177" t="s">
        <v>270</v>
      </c>
      <c r="AC177" t="s">
        <v>227</v>
      </c>
      <c r="AD177" t="s">
        <v>153</v>
      </c>
      <c r="AE177">
        <v>109.354</v>
      </c>
      <c r="AF177">
        <v>1.080821157758461</v>
      </c>
      <c r="AG177">
        <v>118.1921168855188</v>
      </c>
      <c r="AH177">
        <v>779.31</v>
      </c>
      <c r="AI177">
        <v>0.879</v>
      </c>
      <c r="AJ177">
        <v>80.963194478237142</v>
      </c>
      <c r="AK177">
        <v>1.0078</v>
      </c>
      <c r="AL177">
        <v>81.594999999999999</v>
      </c>
      <c r="AM177">
        <v>8.9176000000000002</v>
      </c>
      <c r="AN177">
        <v>9.6383307564268552</v>
      </c>
      <c r="AO177">
        <v>0.80400000000000005</v>
      </c>
      <c r="AP177">
        <v>6039.0430235999738</v>
      </c>
      <c r="AQ177">
        <v>1</v>
      </c>
      <c r="AR177">
        <v>6039.0429999999997</v>
      </c>
      <c r="AT177" t="s">
        <v>228</v>
      </c>
      <c r="AU177" t="s">
        <v>229</v>
      </c>
      <c r="AV177" t="s">
        <v>227</v>
      </c>
      <c r="AW177" t="s">
        <v>153</v>
      </c>
      <c r="AX177">
        <v>109.354</v>
      </c>
      <c r="AY177">
        <v>1.0833851741009131</v>
      </c>
      <c r="AZ177">
        <v>118.47250232863119</v>
      </c>
      <c r="BA177">
        <v>801.49</v>
      </c>
      <c r="BB177">
        <v>0.90500000000000003</v>
      </c>
      <c r="BC177">
        <v>85.933845931694037</v>
      </c>
      <c r="BD177">
        <v>1.0470999999999999</v>
      </c>
      <c r="BE177">
        <v>89.980999999999995</v>
      </c>
      <c r="BF177">
        <v>8.9176000000000002</v>
      </c>
      <c r="BG177">
        <v>0.77</v>
      </c>
      <c r="BH177">
        <v>5962.3807969390264</v>
      </c>
      <c r="BI177">
        <v>1</v>
      </c>
      <c r="BJ177">
        <v>5962.3807999999999</v>
      </c>
    </row>
    <row r="178" spans="1:62" x14ac:dyDescent="0.25">
      <c r="A178">
        <v>4964</v>
      </c>
      <c r="B178" t="s">
        <v>118</v>
      </c>
      <c r="C178">
        <v>2021</v>
      </c>
      <c r="D178">
        <v>1</v>
      </c>
      <c r="E178" t="s">
        <v>218</v>
      </c>
      <c r="F178" t="s">
        <v>251</v>
      </c>
      <c r="G178" t="s">
        <v>252</v>
      </c>
      <c r="H178" t="s">
        <v>17</v>
      </c>
      <c r="I178" t="s">
        <v>253</v>
      </c>
      <c r="J178" t="s">
        <v>222</v>
      </c>
      <c r="K178">
        <v>-337.74375931999998</v>
      </c>
      <c r="L178" t="s">
        <v>223</v>
      </c>
      <c r="M178" t="s">
        <v>230</v>
      </c>
      <c r="N178">
        <v>0.16047331440265999</v>
      </c>
      <c r="O178">
        <v>54.198860000000003</v>
      </c>
      <c r="P178" t="s">
        <v>21</v>
      </c>
      <c r="Q178">
        <v>1</v>
      </c>
      <c r="W178">
        <v>1</v>
      </c>
      <c r="X178">
        <v>0</v>
      </c>
      <c r="AA178" t="s">
        <v>269</v>
      </c>
      <c r="AB178" t="s">
        <v>270</v>
      </c>
      <c r="AC178" t="s">
        <v>227</v>
      </c>
      <c r="AD178" t="s">
        <v>154</v>
      </c>
      <c r="AE178">
        <v>109.354</v>
      </c>
      <c r="AF178">
        <v>1.080821157758461</v>
      </c>
      <c r="AG178">
        <v>118.1921168855188</v>
      </c>
      <c r="AH178">
        <v>779.31</v>
      </c>
      <c r="AI178">
        <v>0.879</v>
      </c>
      <c r="AJ178">
        <v>80.963194478237142</v>
      </c>
      <c r="AK178">
        <v>0.9899</v>
      </c>
      <c r="AL178">
        <v>80.144999999999996</v>
      </c>
      <c r="AM178">
        <v>8.9176000000000002</v>
      </c>
      <c r="AN178">
        <v>9.6383307564268552</v>
      </c>
      <c r="AO178">
        <v>0.80400000000000005</v>
      </c>
      <c r="AP178">
        <v>6039.0430235999738</v>
      </c>
      <c r="AQ178">
        <v>0.99199531433033972</v>
      </c>
      <c r="AR178">
        <v>5990.7024000000001</v>
      </c>
      <c r="AT178" t="s">
        <v>228</v>
      </c>
      <c r="AU178" t="s">
        <v>229</v>
      </c>
      <c r="AV178" t="s">
        <v>227</v>
      </c>
      <c r="AW178" t="s">
        <v>154</v>
      </c>
      <c r="AX178">
        <v>109.354</v>
      </c>
      <c r="AY178">
        <v>1.0833851741009131</v>
      </c>
      <c r="AZ178">
        <v>118.47250232863119</v>
      </c>
      <c r="BA178">
        <v>801.49</v>
      </c>
      <c r="BB178">
        <v>0.90500000000000003</v>
      </c>
      <c r="BC178">
        <v>85.933845931694037</v>
      </c>
      <c r="BD178">
        <v>0.99380000000000002</v>
      </c>
      <c r="BE178">
        <v>85.400999999999996</v>
      </c>
      <c r="BF178">
        <v>8.9176000000000002</v>
      </c>
      <c r="BG178">
        <v>0.77</v>
      </c>
      <c r="BH178">
        <v>5962.3807969390264</v>
      </c>
      <c r="BI178">
        <v>0.98418586489652482</v>
      </c>
      <c r="BJ178">
        <v>5868.0909000000001</v>
      </c>
    </row>
    <row r="179" spans="1:62" x14ac:dyDescent="0.25">
      <c r="A179">
        <v>4966</v>
      </c>
      <c r="B179" t="s">
        <v>118</v>
      </c>
      <c r="C179">
        <v>2021</v>
      </c>
      <c r="D179">
        <v>1</v>
      </c>
      <c r="E179" t="s">
        <v>218</v>
      </c>
      <c r="F179" t="s">
        <v>251</v>
      </c>
      <c r="G179" t="s">
        <v>252</v>
      </c>
      <c r="H179" t="s">
        <v>17</v>
      </c>
      <c r="I179" t="s">
        <v>253</v>
      </c>
      <c r="J179" t="s">
        <v>222</v>
      </c>
      <c r="K179">
        <v>-337.74375931999998</v>
      </c>
      <c r="L179" t="s">
        <v>223</v>
      </c>
      <c r="M179" t="s">
        <v>231</v>
      </c>
      <c r="N179">
        <v>4.5018334813739999E-2</v>
      </c>
      <c r="O179">
        <v>15.204662000000001</v>
      </c>
      <c r="P179" t="s">
        <v>21</v>
      </c>
      <c r="Q179">
        <v>1</v>
      </c>
      <c r="W179">
        <v>1</v>
      </c>
      <c r="X179">
        <v>0</v>
      </c>
      <c r="AA179" t="s">
        <v>269</v>
      </c>
      <c r="AB179" t="s">
        <v>270</v>
      </c>
      <c r="AC179" t="s">
        <v>227</v>
      </c>
      <c r="AD179" t="s">
        <v>100</v>
      </c>
      <c r="AE179">
        <v>109.354</v>
      </c>
      <c r="AF179">
        <v>1.080821157758461</v>
      </c>
      <c r="AG179">
        <v>118.1921168855188</v>
      </c>
      <c r="AH179">
        <v>779.31</v>
      </c>
      <c r="AI179">
        <v>0.879</v>
      </c>
      <c r="AJ179">
        <v>80.963194478237142</v>
      </c>
      <c r="AK179">
        <v>0.96560000000000001</v>
      </c>
      <c r="AL179">
        <v>78.177999999999997</v>
      </c>
      <c r="AM179">
        <v>8.9176000000000002</v>
      </c>
      <c r="AN179">
        <v>9.6383307564268552</v>
      </c>
      <c r="AO179">
        <v>0.80400000000000005</v>
      </c>
      <c r="AP179">
        <v>6039.0430235999738</v>
      </c>
      <c r="AQ179">
        <v>0.98955375253549693</v>
      </c>
      <c r="AR179">
        <v>5975.9576999999999</v>
      </c>
      <c r="AT179" t="s">
        <v>228</v>
      </c>
      <c r="AU179" t="s">
        <v>229</v>
      </c>
      <c r="AV179" t="s">
        <v>227</v>
      </c>
      <c r="AW179" t="s">
        <v>100</v>
      </c>
      <c r="AX179">
        <v>109.354</v>
      </c>
      <c r="AY179">
        <v>1.0833851741009131</v>
      </c>
      <c r="AZ179">
        <v>118.47250232863119</v>
      </c>
      <c r="BA179">
        <v>801.49</v>
      </c>
      <c r="BB179">
        <v>0.90500000000000003</v>
      </c>
      <c r="BC179">
        <v>85.933845931694037</v>
      </c>
      <c r="BD179">
        <v>0.94550000000000001</v>
      </c>
      <c r="BE179">
        <v>81.25</v>
      </c>
      <c r="BF179">
        <v>8.9176000000000002</v>
      </c>
      <c r="BG179">
        <v>0.77</v>
      </c>
      <c r="BH179">
        <v>5962.3807969390264</v>
      </c>
      <c r="BI179">
        <v>1.0003042596348879</v>
      </c>
      <c r="BJ179">
        <v>5964.1949000000004</v>
      </c>
    </row>
    <row r="180" spans="1:62" x14ac:dyDescent="0.25">
      <c r="A180">
        <v>4968</v>
      </c>
      <c r="B180" t="s">
        <v>118</v>
      </c>
      <c r="C180">
        <v>2021</v>
      </c>
      <c r="D180">
        <v>1</v>
      </c>
      <c r="E180" t="s">
        <v>218</v>
      </c>
      <c r="F180" t="s">
        <v>251</v>
      </c>
      <c r="G180" t="s">
        <v>252</v>
      </c>
      <c r="H180" t="s">
        <v>17</v>
      </c>
      <c r="I180" t="s">
        <v>253</v>
      </c>
      <c r="J180" t="s">
        <v>222</v>
      </c>
      <c r="K180">
        <v>-337.74375931999998</v>
      </c>
      <c r="L180" t="s">
        <v>223</v>
      </c>
      <c r="M180" t="s">
        <v>232</v>
      </c>
      <c r="N180">
        <v>0.87398007306502001</v>
      </c>
      <c r="O180">
        <v>295.18131499999998</v>
      </c>
      <c r="P180" t="s">
        <v>21</v>
      </c>
      <c r="Q180">
        <v>1</v>
      </c>
      <c r="W180">
        <v>1</v>
      </c>
      <c r="X180">
        <v>0</v>
      </c>
      <c r="AA180" t="s">
        <v>269</v>
      </c>
      <c r="AB180" t="s">
        <v>270</v>
      </c>
      <c r="AC180" t="s">
        <v>227</v>
      </c>
      <c r="AD180" t="s">
        <v>101</v>
      </c>
      <c r="AE180">
        <v>109.354</v>
      </c>
      <c r="AF180">
        <v>1.080821157758461</v>
      </c>
      <c r="AG180">
        <v>118.1921168855188</v>
      </c>
      <c r="AH180">
        <v>779.31</v>
      </c>
      <c r="AI180">
        <v>0.879</v>
      </c>
      <c r="AJ180">
        <v>80.963194478237142</v>
      </c>
      <c r="AK180">
        <v>1.0097</v>
      </c>
      <c r="AL180">
        <v>81.748999999999995</v>
      </c>
      <c r="AM180">
        <v>8.9176000000000002</v>
      </c>
      <c r="AN180">
        <v>9.6383307564268552</v>
      </c>
      <c r="AO180">
        <v>0.80400000000000005</v>
      </c>
      <c r="AP180">
        <v>6039.0430235999738</v>
      </c>
      <c r="AQ180">
        <v>1.0276539708265799</v>
      </c>
      <c r="AR180">
        <v>6206.0465000000004</v>
      </c>
      <c r="AT180" t="s">
        <v>228</v>
      </c>
      <c r="AU180" t="s">
        <v>229</v>
      </c>
      <c r="AV180" t="s">
        <v>227</v>
      </c>
      <c r="AW180" t="s">
        <v>101</v>
      </c>
      <c r="AX180">
        <v>109.354</v>
      </c>
      <c r="AY180">
        <v>1.0833851741009131</v>
      </c>
      <c r="AZ180">
        <v>118.47250232863119</v>
      </c>
      <c r="BA180">
        <v>801.49</v>
      </c>
      <c r="BB180">
        <v>0.90500000000000003</v>
      </c>
      <c r="BC180">
        <v>85.933845931694037</v>
      </c>
      <c r="BD180">
        <v>1.0154000000000001</v>
      </c>
      <c r="BE180">
        <v>87.257000000000005</v>
      </c>
      <c r="BF180">
        <v>8.9176000000000002</v>
      </c>
      <c r="BG180">
        <v>0.77</v>
      </c>
      <c r="BH180">
        <v>5962.3807969390264</v>
      </c>
      <c r="BI180">
        <v>1.0150931928687199</v>
      </c>
      <c r="BJ180">
        <v>6052.3721999999998</v>
      </c>
    </row>
    <row r="181" spans="1:62" x14ac:dyDescent="0.25">
      <c r="A181">
        <v>2474</v>
      </c>
      <c r="B181" t="s">
        <v>118</v>
      </c>
      <c r="C181">
        <v>2021</v>
      </c>
      <c r="D181">
        <v>1</v>
      </c>
      <c r="E181" t="s">
        <v>218</v>
      </c>
      <c r="F181" t="s">
        <v>251</v>
      </c>
      <c r="G181" t="s">
        <v>252</v>
      </c>
      <c r="H181" t="s">
        <v>17</v>
      </c>
      <c r="I181" t="s">
        <v>254</v>
      </c>
      <c r="J181" t="s">
        <v>234</v>
      </c>
      <c r="K181">
        <v>-1095.4629879399999</v>
      </c>
      <c r="L181" t="s">
        <v>234</v>
      </c>
      <c r="M181" t="s">
        <v>224</v>
      </c>
      <c r="N181">
        <v>8.5771088379299996E-3</v>
      </c>
      <c r="O181">
        <v>9.3959050000000008</v>
      </c>
      <c r="P181" t="s">
        <v>21</v>
      </c>
      <c r="Q181">
        <v>1</v>
      </c>
      <c r="W181">
        <v>1</v>
      </c>
      <c r="X181">
        <v>0</v>
      </c>
      <c r="AA181" t="s">
        <v>269</v>
      </c>
      <c r="AB181" t="s">
        <v>270</v>
      </c>
      <c r="AC181" t="s">
        <v>227</v>
      </c>
      <c r="AD181" t="s">
        <v>153</v>
      </c>
      <c r="AE181">
        <v>109.354</v>
      </c>
      <c r="AF181">
        <v>1.080821157758461</v>
      </c>
      <c r="AG181">
        <v>118.1921168855188</v>
      </c>
      <c r="AH181">
        <v>779.31</v>
      </c>
      <c r="AI181">
        <v>0.879</v>
      </c>
      <c r="AJ181">
        <v>80.963194478237142</v>
      </c>
      <c r="AK181">
        <v>1.0078</v>
      </c>
      <c r="AL181">
        <v>81.594999999999999</v>
      </c>
      <c r="AM181">
        <v>8.9176000000000002</v>
      </c>
      <c r="AN181">
        <v>9.6383307564268552</v>
      </c>
      <c r="AO181">
        <v>0.80400000000000005</v>
      </c>
      <c r="AP181">
        <v>6039.0430235999738</v>
      </c>
      <c r="AQ181">
        <v>1</v>
      </c>
      <c r="AR181">
        <v>6039.0429999999997</v>
      </c>
      <c r="AT181" t="s">
        <v>228</v>
      </c>
      <c r="AU181" t="s">
        <v>229</v>
      </c>
      <c r="AV181" t="s">
        <v>227</v>
      </c>
      <c r="AW181" t="s">
        <v>153</v>
      </c>
      <c r="AX181">
        <v>109.354</v>
      </c>
      <c r="AY181">
        <v>1.0833851741009131</v>
      </c>
      <c r="AZ181">
        <v>118.47250232863119</v>
      </c>
      <c r="BA181">
        <v>801.49</v>
      </c>
      <c r="BB181">
        <v>0.90500000000000003</v>
      </c>
      <c r="BC181">
        <v>85.933845931694037</v>
      </c>
      <c r="BD181">
        <v>1.0470999999999999</v>
      </c>
      <c r="BE181">
        <v>89.980999999999995</v>
      </c>
      <c r="BF181">
        <v>8.9176000000000002</v>
      </c>
      <c r="BG181">
        <v>0.77</v>
      </c>
      <c r="BH181">
        <v>5962.3807969390264</v>
      </c>
      <c r="BI181">
        <v>1</v>
      </c>
      <c r="BJ181">
        <v>5962.3807999999999</v>
      </c>
    </row>
    <row r="182" spans="1:62" x14ac:dyDescent="0.25">
      <c r="A182">
        <v>2476</v>
      </c>
      <c r="B182" t="s">
        <v>118</v>
      </c>
      <c r="C182">
        <v>2021</v>
      </c>
      <c r="D182">
        <v>1</v>
      </c>
      <c r="E182" t="s">
        <v>218</v>
      </c>
      <c r="F182" t="s">
        <v>251</v>
      </c>
      <c r="G182" t="s">
        <v>252</v>
      </c>
      <c r="H182" t="s">
        <v>17</v>
      </c>
      <c r="I182" t="s">
        <v>254</v>
      </c>
      <c r="J182" t="s">
        <v>234</v>
      </c>
      <c r="K182">
        <v>-1095.4629879399999</v>
      </c>
      <c r="L182" t="s">
        <v>234</v>
      </c>
      <c r="M182" t="s">
        <v>235</v>
      </c>
      <c r="N182">
        <v>0.60124209651893001</v>
      </c>
      <c r="O182">
        <v>658.638464</v>
      </c>
      <c r="P182" t="s">
        <v>21</v>
      </c>
      <c r="Q182">
        <v>1</v>
      </c>
      <c r="W182">
        <v>1</v>
      </c>
      <c r="X182">
        <v>0</v>
      </c>
      <c r="AA182" t="s">
        <v>269</v>
      </c>
      <c r="AB182" t="s">
        <v>270</v>
      </c>
      <c r="AC182" t="s">
        <v>227</v>
      </c>
      <c r="AD182" t="s">
        <v>154</v>
      </c>
      <c r="AE182">
        <v>109.354</v>
      </c>
      <c r="AF182">
        <v>1.080821157758461</v>
      </c>
      <c r="AG182">
        <v>118.1921168855188</v>
      </c>
      <c r="AH182">
        <v>779.31</v>
      </c>
      <c r="AI182">
        <v>0.879</v>
      </c>
      <c r="AJ182">
        <v>80.963194478237142</v>
      </c>
      <c r="AK182">
        <v>0.9899</v>
      </c>
      <c r="AL182">
        <v>80.144999999999996</v>
      </c>
      <c r="AM182">
        <v>8.9176000000000002</v>
      </c>
      <c r="AN182">
        <v>9.6383307564268552</v>
      </c>
      <c r="AO182">
        <v>0.80400000000000005</v>
      </c>
      <c r="AP182">
        <v>6039.0430235999738</v>
      </c>
      <c r="AQ182">
        <v>0.99199531433033972</v>
      </c>
      <c r="AR182">
        <v>5990.7024000000001</v>
      </c>
      <c r="AT182" t="s">
        <v>228</v>
      </c>
      <c r="AU182" t="s">
        <v>229</v>
      </c>
      <c r="AV182" t="s">
        <v>227</v>
      </c>
      <c r="AW182" t="s">
        <v>154</v>
      </c>
      <c r="AX182">
        <v>109.354</v>
      </c>
      <c r="AY182">
        <v>1.0833851741009131</v>
      </c>
      <c r="AZ182">
        <v>118.47250232863119</v>
      </c>
      <c r="BA182">
        <v>801.49</v>
      </c>
      <c r="BB182">
        <v>0.90500000000000003</v>
      </c>
      <c r="BC182">
        <v>85.933845931694037</v>
      </c>
      <c r="BD182">
        <v>0.99380000000000002</v>
      </c>
      <c r="BE182">
        <v>85.400999999999996</v>
      </c>
      <c r="BF182">
        <v>8.9176000000000002</v>
      </c>
      <c r="BG182">
        <v>0.77</v>
      </c>
      <c r="BH182">
        <v>5962.3807969390264</v>
      </c>
      <c r="BI182">
        <v>0.98418586489652482</v>
      </c>
      <c r="BJ182">
        <v>5868.0909000000001</v>
      </c>
    </row>
    <row r="183" spans="1:62" x14ac:dyDescent="0.25">
      <c r="A183">
        <v>2478</v>
      </c>
      <c r="B183" t="s">
        <v>118</v>
      </c>
      <c r="C183">
        <v>2021</v>
      </c>
      <c r="D183">
        <v>1</v>
      </c>
      <c r="E183" t="s">
        <v>218</v>
      </c>
      <c r="F183" t="s">
        <v>251</v>
      </c>
      <c r="G183" t="s">
        <v>252</v>
      </c>
      <c r="H183" t="s">
        <v>17</v>
      </c>
      <c r="I183" t="s">
        <v>254</v>
      </c>
      <c r="J183" t="s">
        <v>234</v>
      </c>
      <c r="K183">
        <v>-1095.4629879399999</v>
      </c>
      <c r="L183" t="s">
        <v>234</v>
      </c>
      <c r="M183" t="s">
        <v>236</v>
      </c>
      <c r="N183">
        <v>1.9808691721710001E-2</v>
      </c>
      <c r="O183">
        <v>21.699688999999999</v>
      </c>
      <c r="P183" t="s">
        <v>21</v>
      </c>
      <c r="Q183">
        <v>1</v>
      </c>
      <c r="W183">
        <v>1</v>
      </c>
      <c r="X183">
        <v>0</v>
      </c>
      <c r="AA183" t="s">
        <v>269</v>
      </c>
      <c r="AB183" t="s">
        <v>270</v>
      </c>
      <c r="AC183" t="s">
        <v>227</v>
      </c>
      <c r="AD183" t="s">
        <v>100</v>
      </c>
      <c r="AE183">
        <v>109.354</v>
      </c>
      <c r="AF183">
        <v>1.080821157758461</v>
      </c>
      <c r="AG183">
        <v>118.1921168855188</v>
      </c>
      <c r="AH183">
        <v>779.31</v>
      </c>
      <c r="AI183">
        <v>0.879</v>
      </c>
      <c r="AJ183">
        <v>80.963194478237142</v>
      </c>
      <c r="AK183">
        <v>0.96560000000000001</v>
      </c>
      <c r="AL183">
        <v>78.177999999999997</v>
      </c>
      <c r="AM183">
        <v>8.9176000000000002</v>
      </c>
      <c r="AN183">
        <v>9.6383307564268552</v>
      </c>
      <c r="AO183">
        <v>0.80400000000000005</v>
      </c>
      <c r="AP183">
        <v>6039.0430235999738</v>
      </c>
      <c r="AQ183">
        <v>0.98955375253549693</v>
      </c>
      <c r="AR183">
        <v>5975.9576999999999</v>
      </c>
      <c r="AT183" t="s">
        <v>228</v>
      </c>
      <c r="AU183" t="s">
        <v>229</v>
      </c>
      <c r="AV183" t="s">
        <v>227</v>
      </c>
      <c r="AW183" t="s">
        <v>100</v>
      </c>
      <c r="AX183">
        <v>109.354</v>
      </c>
      <c r="AY183">
        <v>1.0833851741009131</v>
      </c>
      <c r="AZ183">
        <v>118.47250232863119</v>
      </c>
      <c r="BA183">
        <v>801.49</v>
      </c>
      <c r="BB183">
        <v>0.90500000000000003</v>
      </c>
      <c r="BC183">
        <v>85.933845931694037</v>
      </c>
      <c r="BD183">
        <v>0.94550000000000001</v>
      </c>
      <c r="BE183">
        <v>81.25</v>
      </c>
      <c r="BF183">
        <v>8.9176000000000002</v>
      </c>
      <c r="BG183">
        <v>0.77</v>
      </c>
      <c r="BH183">
        <v>5962.3807969390264</v>
      </c>
      <c r="BI183">
        <v>1.0003042596348879</v>
      </c>
      <c r="BJ183">
        <v>5964.1949000000004</v>
      </c>
    </row>
    <row r="184" spans="1:62" x14ac:dyDescent="0.25">
      <c r="A184">
        <v>2480</v>
      </c>
      <c r="B184" t="s">
        <v>118</v>
      </c>
      <c r="C184">
        <v>2021</v>
      </c>
      <c r="D184">
        <v>1</v>
      </c>
      <c r="E184" t="s">
        <v>218</v>
      </c>
      <c r="F184" t="s">
        <v>251</v>
      </c>
      <c r="G184" t="s">
        <v>252</v>
      </c>
      <c r="H184" t="s">
        <v>17</v>
      </c>
      <c r="I184" t="s">
        <v>254</v>
      </c>
      <c r="J184" t="s">
        <v>234</v>
      </c>
      <c r="K184">
        <v>-1095.4629879399999</v>
      </c>
      <c r="L184" t="s">
        <v>234</v>
      </c>
      <c r="M184" t="s">
        <v>237</v>
      </c>
      <c r="N184">
        <v>0.39660634608572998</v>
      </c>
      <c r="O184">
        <v>434.46757300000002</v>
      </c>
      <c r="P184" t="s">
        <v>21</v>
      </c>
      <c r="Q184">
        <v>1</v>
      </c>
      <c r="W184">
        <v>1</v>
      </c>
      <c r="X184">
        <v>0</v>
      </c>
      <c r="AA184" t="s">
        <v>269</v>
      </c>
      <c r="AB184" t="s">
        <v>270</v>
      </c>
      <c r="AC184" t="s">
        <v>227</v>
      </c>
      <c r="AD184" t="s">
        <v>101</v>
      </c>
      <c r="AE184">
        <v>109.354</v>
      </c>
      <c r="AF184">
        <v>1.080821157758461</v>
      </c>
      <c r="AG184">
        <v>118.1921168855188</v>
      </c>
      <c r="AH184">
        <v>779.31</v>
      </c>
      <c r="AI184">
        <v>0.879</v>
      </c>
      <c r="AJ184">
        <v>80.963194478237142</v>
      </c>
      <c r="AK184">
        <v>1.0097</v>
      </c>
      <c r="AL184">
        <v>81.748999999999995</v>
      </c>
      <c r="AM184">
        <v>8.9176000000000002</v>
      </c>
      <c r="AN184">
        <v>9.6383307564268552</v>
      </c>
      <c r="AO184">
        <v>0.80400000000000005</v>
      </c>
      <c r="AP184">
        <v>6039.0430235999738</v>
      </c>
      <c r="AQ184">
        <v>1.0276539708265799</v>
      </c>
      <c r="AR184">
        <v>6206.0465000000004</v>
      </c>
      <c r="AT184" t="s">
        <v>228</v>
      </c>
      <c r="AU184" t="s">
        <v>229</v>
      </c>
      <c r="AV184" t="s">
        <v>227</v>
      </c>
      <c r="AW184" t="s">
        <v>101</v>
      </c>
      <c r="AX184">
        <v>109.354</v>
      </c>
      <c r="AY184">
        <v>1.0833851741009131</v>
      </c>
      <c r="AZ184">
        <v>118.47250232863119</v>
      </c>
      <c r="BA184">
        <v>801.49</v>
      </c>
      <c r="BB184">
        <v>0.90500000000000003</v>
      </c>
      <c r="BC184">
        <v>85.933845931694037</v>
      </c>
      <c r="BD184">
        <v>1.0154000000000001</v>
      </c>
      <c r="BE184">
        <v>87.257000000000005</v>
      </c>
      <c r="BF184">
        <v>8.9176000000000002</v>
      </c>
      <c r="BG184">
        <v>0.77</v>
      </c>
      <c r="BH184">
        <v>5962.3807969390264</v>
      </c>
      <c r="BI184">
        <v>1.0150931928687199</v>
      </c>
      <c r="BJ184">
        <v>6052.3721999999998</v>
      </c>
    </row>
    <row r="185" spans="1:62" x14ac:dyDescent="0.25">
      <c r="A185">
        <v>2474</v>
      </c>
      <c r="B185" t="s">
        <v>118</v>
      </c>
      <c r="C185">
        <v>2021</v>
      </c>
      <c r="D185">
        <v>1</v>
      </c>
      <c r="E185" t="s">
        <v>218</v>
      </c>
      <c r="F185" t="s">
        <v>251</v>
      </c>
      <c r="G185" t="s">
        <v>252</v>
      </c>
      <c r="H185" t="s">
        <v>17</v>
      </c>
      <c r="I185" t="s">
        <v>255</v>
      </c>
      <c r="J185" t="s">
        <v>239</v>
      </c>
      <c r="K185">
        <v>-215.68223791</v>
      </c>
      <c r="L185" t="s">
        <v>240</v>
      </c>
      <c r="M185" t="s">
        <v>224</v>
      </c>
      <c r="N185">
        <v>1.1109205873409999E-2</v>
      </c>
      <c r="O185">
        <v>2.396058</v>
      </c>
      <c r="P185" t="s">
        <v>21</v>
      </c>
      <c r="Q185">
        <v>1</v>
      </c>
      <c r="W185">
        <v>1</v>
      </c>
      <c r="X185">
        <v>0</v>
      </c>
      <c r="AA185" t="s">
        <v>269</v>
      </c>
      <c r="AB185" t="s">
        <v>270</v>
      </c>
      <c r="AC185" t="s">
        <v>227</v>
      </c>
      <c r="AD185" t="s">
        <v>153</v>
      </c>
      <c r="AE185">
        <v>109.354</v>
      </c>
      <c r="AF185">
        <v>1.080821157758461</v>
      </c>
      <c r="AG185">
        <v>118.1921168855188</v>
      </c>
      <c r="AH185">
        <v>779.31</v>
      </c>
      <c r="AI185">
        <v>0.879</v>
      </c>
      <c r="AJ185">
        <v>80.963194478237142</v>
      </c>
      <c r="AK185">
        <v>1.0078</v>
      </c>
      <c r="AL185">
        <v>81.594999999999999</v>
      </c>
      <c r="AM185">
        <v>8.9176000000000002</v>
      </c>
      <c r="AN185">
        <v>9.6383307564268552</v>
      </c>
      <c r="AO185">
        <v>0.80400000000000005</v>
      </c>
      <c r="AP185">
        <v>6039.0430235999738</v>
      </c>
      <c r="AQ185">
        <v>1</v>
      </c>
      <c r="AR185">
        <v>6039.0429999999997</v>
      </c>
      <c r="AT185" t="s">
        <v>228</v>
      </c>
      <c r="AU185" t="s">
        <v>229</v>
      </c>
      <c r="AV185" t="s">
        <v>227</v>
      </c>
      <c r="AW185" t="s">
        <v>153</v>
      </c>
      <c r="AX185">
        <v>109.354</v>
      </c>
      <c r="AY185">
        <v>1.0833851741009131</v>
      </c>
      <c r="AZ185">
        <v>118.47250232863119</v>
      </c>
      <c r="BA185">
        <v>801.49</v>
      </c>
      <c r="BB185">
        <v>0.90500000000000003</v>
      </c>
      <c r="BC185">
        <v>85.933845931694037</v>
      </c>
      <c r="BD185">
        <v>1.0470999999999999</v>
      </c>
      <c r="BE185">
        <v>89.980999999999995</v>
      </c>
      <c r="BF185">
        <v>8.9176000000000002</v>
      </c>
      <c r="BG185">
        <v>0.77</v>
      </c>
      <c r="BH185">
        <v>5962.3807969390264</v>
      </c>
      <c r="BI185">
        <v>1</v>
      </c>
      <c r="BJ185">
        <v>5962.3807999999999</v>
      </c>
    </row>
    <row r="186" spans="1:62" x14ac:dyDescent="0.25">
      <c r="A186">
        <v>2476</v>
      </c>
      <c r="B186" t="s">
        <v>118</v>
      </c>
      <c r="C186">
        <v>2021</v>
      </c>
      <c r="D186">
        <v>1</v>
      </c>
      <c r="E186" t="s">
        <v>218</v>
      </c>
      <c r="F186" t="s">
        <v>251</v>
      </c>
      <c r="G186" t="s">
        <v>252</v>
      </c>
      <c r="H186" t="s">
        <v>17</v>
      </c>
      <c r="I186" t="s">
        <v>255</v>
      </c>
      <c r="J186" t="s">
        <v>239</v>
      </c>
      <c r="K186">
        <v>-215.68223791</v>
      </c>
      <c r="L186" t="s">
        <v>240</v>
      </c>
      <c r="M186" t="s">
        <v>235</v>
      </c>
      <c r="N186">
        <v>0.58148407621825005</v>
      </c>
      <c r="O186">
        <v>125.41578699999999</v>
      </c>
      <c r="P186" t="s">
        <v>21</v>
      </c>
      <c r="Q186">
        <v>1</v>
      </c>
      <c r="W186">
        <v>1</v>
      </c>
      <c r="X186">
        <v>0</v>
      </c>
      <c r="AA186" t="s">
        <v>269</v>
      </c>
      <c r="AB186" t="s">
        <v>270</v>
      </c>
      <c r="AC186" t="s">
        <v>227</v>
      </c>
      <c r="AD186" t="s">
        <v>154</v>
      </c>
      <c r="AE186">
        <v>109.354</v>
      </c>
      <c r="AF186">
        <v>1.080821157758461</v>
      </c>
      <c r="AG186">
        <v>118.1921168855188</v>
      </c>
      <c r="AH186">
        <v>779.31</v>
      </c>
      <c r="AI186">
        <v>0.879</v>
      </c>
      <c r="AJ186">
        <v>80.963194478237142</v>
      </c>
      <c r="AK186">
        <v>0.9899</v>
      </c>
      <c r="AL186">
        <v>80.144999999999996</v>
      </c>
      <c r="AM186">
        <v>8.9176000000000002</v>
      </c>
      <c r="AN186">
        <v>9.6383307564268552</v>
      </c>
      <c r="AO186">
        <v>0.80400000000000005</v>
      </c>
      <c r="AP186">
        <v>6039.0430235999738</v>
      </c>
      <c r="AQ186">
        <v>0.99199531433033972</v>
      </c>
      <c r="AR186">
        <v>5990.7024000000001</v>
      </c>
      <c r="AT186" t="s">
        <v>228</v>
      </c>
      <c r="AU186" t="s">
        <v>229</v>
      </c>
      <c r="AV186" t="s">
        <v>227</v>
      </c>
      <c r="AW186" t="s">
        <v>154</v>
      </c>
      <c r="AX186">
        <v>109.354</v>
      </c>
      <c r="AY186">
        <v>1.0833851741009131</v>
      </c>
      <c r="AZ186">
        <v>118.47250232863119</v>
      </c>
      <c r="BA186">
        <v>801.49</v>
      </c>
      <c r="BB186">
        <v>0.90500000000000003</v>
      </c>
      <c r="BC186">
        <v>85.933845931694037</v>
      </c>
      <c r="BD186">
        <v>0.99380000000000002</v>
      </c>
      <c r="BE186">
        <v>85.400999999999996</v>
      </c>
      <c r="BF186">
        <v>8.9176000000000002</v>
      </c>
      <c r="BG186">
        <v>0.77</v>
      </c>
      <c r="BH186">
        <v>5962.3807969390264</v>
      </c>
      <c r="BI186">
        <v>0.98418586489652482</v>
      </c>
      <c r="BJ186">
        <v>5868.0909000000001</v>
      </c>
    </row>
    <row r="187" spans="1:62" x14ac:dyDescent="0.25">
      <c r="A187">
        <v>2478</v>
      </c>
      <c r="B187" t="s">
        <v>118</v>
      </c>
      <c r="C187">
        <v>2021</v>
      </c>
      <c r="D187">
        <v>1</v>
      </c>
      <c r="E187" t="s">
        <v>218</v>
      </c>
      <c r="F187" t="s">
        <v>251</v>
      </c>
      <c r="G187" t="s">
        <v>252</v>
      </c>
      <c r="H187" t="s">
        <v>17</v>
      </c>
      <c r="I187" t="s">
        <v>255</v>
      </c>
      <c r="J187" t="s">
        <v>239</v>
      </c>
      <c r="K187">
        <v>-215.68223791</v>
      </c>
      <c r="L187" t="s">
        <v>240</v>
      </c>
      <c r="M187" t="s">
        <v>236</v>
      </c>
      <c r="N187">
        <v>1.8083569973560001E-2</v>
      </c>
      <c r="O187">
        <v>3.9003049999999999</v>
      </c>
      <c r="P187" t="s">
        <v>21</v>
      </c>
      <c r="Q187">
        <v>1</v>
      </c>
      <c r="W187">
        <v>1</v>
      </c>
      <c r="X187">
        <v>0</v>
      </c>
      <c r="AA187" t="s">
        <v>269</v>
      </c>
      <c r="AB187" t="s">
        <v>270</v>
      </c>
      <c r="AC187" t="s">
        <v>227</v>
      </c>
      <c r="AD187" t="s">
        <v>100</v>
      </c>
      <c r="AE187">
        <v>109.354</v>
      </c>
      <c r="AF187">
        <v>1.080821157758461</v>
      </c>
      <c r="AG187">
        <v>118.1921168855188</v>
      </c>
      <c r="AH187">
        <v>779.31</v>
      </c>
      <c r="AI187">
        <v>0.879</v>
      </c>
      <c r="AJ187">
        <v>80.963194478237142</v>
      </c>
      <c r="AK187">
        <v>0.96560000000000001</v>
      </c>
      <c r="AL187">
        <v>78.177999999999997</v>
      </c>
      <c r="AM187">
        <v>8.9176000000000002</v>
      </c>
      <c r="AN187">
        <v>9.6383307564268552</v>
      </c>
      <c r="AO187">
        <v>0.80400000000000005</v>
      </c>
      <c r="AP187">
        <v>6039.0430235999738</v>
      </c>
      <c r="AQ187">
        <v>0.98955375253549693</v>
      </c>
      <c r="AR187">
        <v>5975.9576999999999</v>
      </c>
      <c r="AT187" t="s">
        <v>228</v>
      </c>
      <c r="AU187" t="s">
        <v>229</v>
      </c>
      <c r="AV187" t="s">
        <v>227</v>
      </c>
      <c r="AW187" t="s">
        <v>100</v>
      </c>
      <c r="AX187">
        <v>109.354</v>
      </c>
      <c r="AY187">
        <v>1.0833851741009131</v>
      </c>
      <c r="AZ187">
        <v>118.47250232863119</v>
      </c>
      <c r="BA187">
        <v>801.49</v>
      </c>
      <c r="BB187">
        <v>0.90500000000000003</v>
      </c>
      <c r="BC187">
        <v>85.933845931694037</v>
      </c>
      <c r="BD187">
        <v>0.94550000000000001</v>
      </c>
      <c r="BE187">
        <v>81.25</v>
      </c>
      <c r="BF187">
        <v>8.9176000000000002</v>
      </c>
      <c r="BG187">
        <v>0.77</v>
      </c>
      <c r="BH187">
        <v>5962.3807969390264</v>
      </c>
      <c r="BI187">
        <v>1.0003042596348879</v>
      </c>
      <c r="BJ187">
        <v>5964.1949000000004</v>
      </c>
    </row>
    <row r="188" spans="1:62" x14ac:dyDescent="0.25">
      <c r="A188">
        <v>2480</v>
      </c>
      <c r="B188" t="s">
        <v>118</v>
      </c>
      <c r="C188">
        <v>2021</v>
      </c>
      <c r="D188">
        <v>1</v>
      </c>
      <c r="E188" t="s">
        <v>218</v>
      </c>
      <c r="F188" t="s">
        <v>251</v>
      </c>
      <c r="G188" t="s">
        <v>252</v>
      </c>
      <c r="H188" t="s">
        <v>17</v>
      </c>
      <c r="I188" t="s">
        <v>255</v>
      </c>
      <c r="J188" t="s">
        <v>239</v>
      </c>
      <c r="K188">
        <v>-215.68223791</v>
      </c>
      <c r="L188" t="s">
        <v>240</v>
      </c>
      <c r="M188" t="s">
        <v>237</v>
      </c>
      <c r="N188">
        <v>0.41680683696206</v>
      </c>
      <c r="O188">
        <v>89.897830999999996</v>
      </c>
      <c r="P188" t="s">
        <v>21</v>
      </c>
      <c r="Q188">
        <v>1</v>
      </c>
      <c r="W188">
        <v>1</v>
      </c>
      <c r="X188">
        <v>0</v>
      </c>
      <c r="AA188" t="s">
        <v>269</v>
      </c>
      <c r="AB188" t="s">
        <v>270</v>
      </c>
      <c r="AC188" t="s">
        <v>227</v>
      </c>
      <c r="AD188" t="s">
        <v>101</v>
      </c>
      <c r="AE188">
        <v>109.354</v>
      </c>
      <c r="AF188">
        <v>1.080821157758461</v>
      </c>
      <c r="AG188">
        <v>118.1921168855188</v>
      </c>
      <c r="AH188">
        <v>779.31</v>
      </c>
      <c r="AI188">
        <v>0.879</v>
      </c>
      <c r="AJ188">
        <v>80.963194478237142</v>
      </c>
      <c r="AK188">
        <v>1.0097</v>
      </c>
      <c r="AL188">
        <v>81.748999999999995</v>
      </c>
      <c r="AM188">
        <v>8.9176000000000002</v>
      </c>
      <c r="AN188">
        <v>9.6383307564268552</v>
      </c>
      <c r="AO188">
        <v>0.80400000000000005</v>
      </c>
      <c r="AP188">
        <v>6039.0430235999738</v>
      </c>
      <c r="AQ188">
        <v>1.0276539708265799</v>
      </c>
      <c r="AR188">
        <v>6206.0465000000004</v>
      </c>
      <c r="AT188" t="s">
        <v>228</v>
      </c>
      <c r="AU188" t="s">
        <v>229</v>
      </c>
      <c r="AV188" t="s">
        <v>227</v>
      </c>
      <c r="AW188" t="s">
        <v>101</v>
      </c>
      <c r="AX188">
        <v>109.354</v>
      </c>
      <c r="AY188">
        <v>1.0833851741009131</v>
      </c>
      <c r="AZ188">
        <v>118.47250232863119</v>
      </c>
      <c r="BA188">
        <v>801.49</v>
      </c>
      <c r="BB188">
        <v>0.90500000000000003</v>
      </c>
      <c r="BC188">
        <v>85.933845931694037</v>
      </c>
      <c r="BD188">
        <v>1.0154000000000001</v>
      </c>
      <c r="BE188">
        <v>87.257000000000005</v>
      </c>
      <c r="BF188">
        <v>8.9176000000000002</v>
      </c>
      <c r="BG188">
        <v>0.77</v>
      </c>
      <c r="BH188">
        <v>5962.3807969390264</v>
      </c>
      <c r="BI188">
        <v>1.0150931928687199</v>
      </c>
      <c r="BJ188">
        <v>6052.3721999999998</v>
      </c>
    </row>
    <row r="189" spans="1:62" x14ac:dyDescent="0.25">
      <c r="A189">
        <v>3722</v>
      </c>
      <c r="B189" t="s">
        <v>118</v>
      </c>
      <c r="C189">
        <v>2021</v>
      </c>
      <c r="D189">
        <v>1</v>
      </c>
      <c r="E189" t="s">
        <v>218</v>
      </c>
      <c r="F189" t="s">
        <v>251</v>
      </c>
      <c r="G189" t="s">
        <v>252</v>
      </c>
      <c r="H189" t="s">
        <v>17</v>
      </c>
      <c r="I189" t="s">
        <v>256</v>
      </c>
      <c r="J189" t="s">
        <v>242</v>
      </c>
      <c r="K189">
        <v>-82.745788950000005</v>
      </c>
      <c r="L189" t="s">
        <v>242</v>
      </c>
      <c r="M189" t="s">
        <v>235</v>
      </c>
      <c r="N189">
        <v>0.67001574769252004</v>
      </c>
      <c r="O189">
        <v>55.440981999999998</v>
      </c>
      <c r="P189" t="s">
        <v>21</v>
      </c>
      <c r="Q189">
        <v>1</v>
      </c>
      <c r="W189">
        <v>1</v>
      </c>
      <c r="X189">
        <v>0</v>
      </c>
      <c r="AA189" t="s">
        <v>269</v>
      </c>
      <c r="AB189" t="s">
        <v>270</v>
      </c>
      <c r="AC189" t="s">
        <v>227</v>
      </c>
      <c r="AD189" t="s">
        <v>154</v>
      </c>
      <c r="AE189">
        <v>109.354</v>
      </c>
      <c r="AF189">
        <v>1.080821157758461</v>
      </c>
      <c r="AG189">
        <v>118.1921168855188</v>
      </c>
      <c r="AH189">
        <v>779.31</v>
      </c>
      <c r="AI189">
        <v>0.879</v>
      </c>
      <c r="AJ189">
        <v>80.963194478237142</v>
      </c>
      <c r="AK189">
        <v>0.9899</v>
      </c>
      <c r="AL189">
        <v>80.144999999999996</v>
      </c>
      <c r="AM189">
        <v>8.9176000000000002</v>
      </c>
      <c r="AN189">
        <v>9.6383307564268552</v>
      </c>
      <c r="AO189">
        <v>0.80400000000000005</v>
      </c>
      <c r="AP189">
        <v>6039.0430235999738</v>
      </c>
      <c r="AQ189">
        <v>0.99199531433033972</v>
      </c>
      <c r="AR189">
        <v>5990.7024000000001</v>
      </c>
      <c r="AT189" t="s">
        <v>228</v>
      </c>
      <c r="AU189" t="s">
        <v>229</v>
      </c>
      <c r="AV189" t="s">
        <v>227</v>
      </c>
      <c r="AW189" t="s">
        <v>154</v>
      </c>
      <c r="AX189">
        <v>109.354</v>
      </c>
      <c r="AY189">
        <v>1.0833851741009131</v>
      </c>
      <c r="AZ189">
        <v>118.47250232863119</v>
      </c>
      <c r="BA189">
        <v>801.49</v>
      </c>
      <c r="BB189">
        <v>0.90500000000000003</v>
      </c>
      <c r="BC189">
        <v>85.933845931694037</v>
      </c>
      <c r="BD189">
        <v>0.99380000000000002</v>
      </c>
      <c r="BE189">
        <v>85.400999999999996</v>
      </c>
      <c r="BF189">
        <v>8.9176000000000002</v>
      </c>
      <c r="BG189">
        <v>0.77</v>
      </c>
      <c r="BH189">
        <v>5962.3807969390264</v>
      </c>
      <c r="BI189">
        <v>0.98418586489652482</v>
      </c>
      <c r="BJ189">
        <v>5868.0909000000001</v>
      </c>
    </row>
    <row r="190" spans="1:62" x14ac:dyDescent="0.25">
      <c r="A190">
        <v>3724</v>
      </c>
      <c r="B190" t="s">
        <v>118</v>
      </c>
      <c r="C190">
        <v>2021</v>
      </c>
      <c r="D190">
        <v>1</v>
      </c>
      <c r="E190" t="s">
        <v>218</v>
      </c>
      <c r="F190" t="s">
        <v>251</v>
      </c>
      <c r="G190" t="s">
        <v>252</v>
      </c>
      <c r="H190" t="s">
        <v>17</v>
      </c>
      <c r="I190" t="s">
        <v>256</v>
      </c>
      <c r="J190" t="s">
        <v>242</v>
      </c>
      <c r="K190">
        <v>-82.745788950000005</v>
      </c>
      <c r="L190" t="s">
        <v>242</v>
      </c>
      <c r="M190" t="s">
        <v>236</v>
      </c>
      <c r="N190">
        <v>1.442552100634E-2</v>
      </c>
      <c r="O190">
        <v>1.193651</v>
      </c>
      <c r="P190" t="s">
        <v>21</v>
      </c>
      <c r="Q190">
        <v>1</v>
      </c>
      <c r="W190">
        <v>1</v>
      </c>
      <c r="X190">
        <v>0</v>
      </c>
      <c r="AA190" t="s">
        <v>269</v>
      </c>
      <c r="AB190" t="s">
        <v>270</v>
      </c>
      <c r="AC190" t="s">
        <v>227</v>
      </c>
      <c r="AD190" t="s">
        <v>100</v>
      </c>
      <c r="AE190">
        <v>109.354</v>
      </c>
      <c r="AF190">
        <v>1.080821157758461</v>
      </c>
      <c r="AG190">
        <v>118.1921168855188</v>
      </c>
      <c r="AH190">
        <v>779.31</v>
      </c>
      <c r="AI190">
        <v>0.879</v>
      </c>
      <c r="AJ190">
        <v>80.963194478237142</v>
      </c>
      <c r="AK190">
        <v>0.96560000000000001</v>
      </c>
      <c r="AL190">
        <v>78.177999999999997</v>
      </c>
      <c r="AM190">
        <v>8.9176000000000002</v>
      </c>
      <c r="AN190">
        <v>9.6383307564268552</v>
      </c>
      <c r="AO190">
        <v>0.80400000000000005</v>
      </c>
      <c r="AP190">
        <v>6039.0430235999738</v>
      </c>
      <c r="AQ190">
        <v>0.98955375253549693</v>
      </c>
      <c r="AR190">
        <v>5975.9576999999999</v>
      </c>
      <c r="AT190" t="s">
        <v>228</v>
      </c>
      <c r="AU190" t="s">
        <v>229</v>
      </c>
      <c r="AV190" t="s">
        <v>227</v>
      </c>
      <c r="AW190" t="s">
        <v>100</v>
      </c>
      <c r="AX190">
        <v>109.354</v>
      </c>
      <c r="AY190">
        <v>1.0833851741009131</v>
      </c>
      <c r="AZ190">
        <v>118.47250232863119</v>
      </c>
      <c r="BA190">
        <v>801.49</v>
      </c>
      <c r="BB190">
        <v>0.90500000000000003</v>
      </c>
      <c r="BC190">
        <v>85.933845931694037</v>
      </c>
      <c r="BD190">
        <v>0.94550000000000001</v>
      </c>
      <c r="BE190">
        <v>81.25</v>
      </c>
      <c r="BF190">
        <v>8.9176000000000002</v>
      </c>
      <c r="BG190">
        <v>0.77</v>
      </c>
      <c r="BH190">
        <v>5962.3807969390264</v>
      </c>
      <c r="BI190">
        <v>1.0003042596348879</v>
      </c>
      <c r="BJ190">
        <v>5964.1949000000004</v>
      </c>
    </row>
    <row r="191" spans="1:62" x14ac:dyDescent="0.25">
      <c r="A191">
        <v>3726</v>
      </c>
      <c r="B191" t="s">
        <v>118</v>
      </c>
      <c r="C191">
        <v>2021</v>
      </c>
      <c r="D191">
        <v>1</v>
      </c>
      <c r="E191" t="s">
        <v>218</v>
      </c>
      <c r="F191" t="s">
        <v>251</v>
      </c>
      <c r="G191" t="s">
        <v>252</v>
      </c>
      <c r="H191" t="s">
        <v>17</v>
      </c>
      <c r="I191" t="s">
        <v>256</v>
      </c>
      <c r="J191" t="s">
        <v>242</v>
      </c>
      <c r="K191">
        <v>-82.745788950000005</v>
      </c>
      <c r="L191" t="s">
        <v>242</v>
      </c>
      <c r="M191" t="s">
        <v>237</v>
      </c>
      <c r="N191">
        <v>0.37405093967954001</v>
      </c>
      <c r="O191">
        <v>30.951139999999999</v>
      </c>
      <c r="P191" t="s">
        <v>21</v>
      </c>
      <c r="Q191">
        <v>1</v>
      </c>
      <c r="W191">
        <v>1</v>
      </c>
      <c r="X191">
        <v>0</v>
      </c>
      <c r="AA191" t="s">
        <v>269</v>
      </c>
      <c r="AB191" t="s">
        <v>270</v>
      </c>
      <c r="AC191" t="s">
        <v>227</v>
      </c>
      <c r="AD191" t="s">
        <v>101</v>
      </c>
      <c r="AE191">
        <v>109.354</v>
      </c>
      <c r="AF191">
        <v>1.080821157758461</v>
      </c>
      <c r="AG191">
        <v>118.1921168855188</v>
      </c>
      <c r="AH191">
        <v>779.31</v>
      </c>
      <c r="AI191">
        <v>0.879</v>
      </c>
      <c r="AJ191">
        <v>80.963194478237142</v>
      </c>
      <c r="AK191">
        <v>1.0097</v>
      </c>
      <c r="AL191">
        <v>81.748999999999995</v>
      </c>
      <c r="AM191">
        <v>8.9176000000000002</v>
      </c>
      <c r="AN191">
        <v>9.6383307564268552</v>
      </c>
      <c r="AO191">
        <v>0.80400000000000005</v>
      </c>
      <c r="AP191">
        <v>6039.0430235999738</v>
      </c>
      <c r="AQ191">
        <v>1.0276539708265799</v>
      </c>
      <c r="AR191">
        <v>6206.0465000000004</v>
      </c>
      <c r="AT191" t="s">
        <v>228</v>
      </c>
      <c r="AU191" t="s">
        <v>229</v>
      </c>
      <c r="AV191" t="s">
        <v>227</v>
      </c>
      <c r="AW191" t="s">
        <v>101</v>
      </c>
      <c r="AX191">
        <v>109.354</v>
      </c>
      <c r="AY191">
        <v>1.0833851741009131</v>
      </c>
      <c r="AZ191">
        <v>118.47250232863119</v>
      </c>
      <c r="BA191">
        <v>801.49</v>
      </c>
      <c r="BB191">
        <v>0.90500000000000003</v>
      </c>
      <c r="BC191">
        <v>85.933845931694037</v>
      </c>
      <c r="BD191">
        <v>1.0154000000000001</v>
      </c>
      <c r="BE191">
        <v>87.257000000000005</v>
      </c>
      <c r="BF191">
        <v>8.9176000000000002</v>
      </c>
      <c r="BG191">
        <v>0.77</v>
      </c>
      <c r="BH191">
        <v>5962.3807969390264</v>
      </c>
      <c r="BI191">
        <v>1.0150931928687199</v>
      </c>
      <c r="BJ191">
        <v>6052.3721999999998</v>
      </c>
    </row>
    <row r="192" spans="1:62" x14ac:dyDescent="0.25">
      <c r="A192">
        <v>2474</v>
      </c>
      <c r="B192" t="s">
        <v>118</v>
      </c>
      <c r="C192">
        <v>2021</v>
      </c>
      <c r="D192">
        <v>1</v>
      </c>
      <c r="E192" t="s">
        <v>218</v>
      </c>
      <c r="F192" t="s">
        <v>251</v>
      </c>
      <c r="G192" t="s">
        <v>252</v>
      </c>
      <c r="H192" t="s">
        <v>17</v>
      </c>
      <c r="I192" t="s">
        <v>257</v>
      </c>
      <c r="J192" t="s">
        <v>244</v>
      </c>
      <c r="K192">
        <v>-199.11018895000001</v>
      </c>
      <c r="L192" t="s">
        <v>245</v>
      </c>
      <c r="M192" t="s">
        <v>224</v>
      </c>
      <c r="N192">
        <v>1.1026262910890001E-2</v>
      </c>
      <c r="O192">
        <v>2.1954410000000002</v>
      </c>
      <c r="P192" t="s">
        <v>21</v>
      </c>
      <c r="Q192">
        <v>1</v>
      </c>
      <c r="W192">
        <v>1</v>
      </c>
      <c r="X192">
        <v>0</v>
      </c>
      <c r="AA192" t="s">
        <v>269</v>
      </c>
      <c r="AB192" t="s">
        <v>270</v>
      </c>
      <c r="AC192" t="s">
        <v>227</v>
      </c>
      <c r="AD192" t="s">
        <v>153</v>
      </c>
      <c r="AE192">
        <v>109.354</v>
      </c>
      <c r="AF192">
        <v>1.080821157758461</v>
      </c>
      <c r="AG192">
        <v>118.1921168855188</v>
      </c>
      <c r="AH192">
        <v>779.31</v>
      </c>
      <c r="AI192">
        <v>0.879</v>
      </c>
      <c r="AJ192">
        <v>80.963194478237142</v>
      </c>
      <c r="AK192">
        <v>1.0078</v>
      </c>
      <c r="AL192">
        <v>81.594999999999999</v>
      </c>
      <c r="AM192">
        <v>8.9176000000000002</v>
      </c>
      <c r="AN192">
        <v>9.6383307564268552</v>
      </c>
      <c r="AO192">
        <v>0.80400000000000005</v>
      </c>
      <c r="AP192">
        <v>6039.0430235999738</v>
      </c>
      <c r="AQ192">
        <v>1</v>
      </c>
      <c r="AR192">
        <v>6039.0429999999997</v>
      </c>
      <c r="AT192" t="s">
        <v>228</v>
      </c>
      <c r="AU192" t="s">
        <v>229</v>
      </c>
      <c r="AV192" t="s">
        <v>227</v>
      </c>
      <c r="AW192" t="s">
        <v>153</v>
      </c>
      <c r="AX192">
        <v>109.354</v>
      </c>
      <c r="AY192">
        <v>1.0833851741009131</v>
      </c>
      <c r="AZ192">
        <v>118.47250232863119</v>
      </c>
      <c r="BA192">
        <v>801.49</v>
      </c>
      <c r="BB192">
        <v>0.90500000000000003</v>
      </c>
      <c r="BC192">
        <v>85.933845931694037</v>
      </c>
      <c r="BD192">
        <v>1.0470999999999999</v>
      </c>
      <c r="BE192">
        <v>89.980999999999995</v>
      </c>
      <c r="BF192">
        <v>8.9176000000000002</v>
      </c>
      <c r="BG192">
        <v>0.77</v>
      </c>
      <c r="BH192">
        <v>5962.3807969390264</v>
      </c>
      <c r="BI192">
        <v>1</v>
      </c>
      <c r="BJ192">
        <v>5962.3807999999999</v>
      </c>
    </row>
    <row r="193" spans="1:62" x14ac:dyDescent="0.25">
      <c r="A193">
        <v>2476</v>
      </c>
      <c r="B193" t="s">
        <v>118</v>
      </c>
      <c r="C193">
        <v>2021</v>
      </c>
      <c r="D193">
        <v>1</v>
      </c>
      <c r="E193" t="s">
        <v>218</v>
      </c>
      <c r="F193" t="s">
        <v>251</v>
      </c>
      <c r="G193" t="s">
        <v>252</v>
      </c>
      <c r="H193" t="s">
        <v>17</v>
      </c>
      <c r="I193" t="s">
        <v>257</v>
      </c>
      <c r="J193" t="s">
        <v>244</v>
      </c>
      <c r="K193">
        <v>-199.11018895000001</v>
      </c>
      <c r="L193" t="s">
        <v>245</v>
      </c>
      <c r="M193" t="s">
        <v>235</v>
      </c>
      <c r="N193">
        <v>0.60074557881113</v>
      </c>
      <c r="O193">
        <v>119.614566</v>
      </c>
      <c r="P193" t="s">
        <v>21</v>
      </c>
      <c r="Q193">
        <v>1</v>
      </c>
      <c r="W193">
        <v>1</v>
      </c>
      <c r="X193">
        <v>0</v>
      </c>
      <c r="AA193" t="s">
        <v>269</v>
      </c>
      <c r="AB193" t="s">
        <v>270</v>
      </c>
      <c r="AC193" t="s">
        <v>227</v>
      </c>
      <c r="AD193" t="s">
        <v>154</v>
      </c>
      <c r="AE193">
        <v>109.354</v>
      </c>
      <c r="AF193">
        <v>1.080821157758461</v>
      </c>
      <c r="AG193">
        <v>118.1921168855188</v>
      </c>
      <c r="AH193">
        <v>779.31</v>
      </c>
      <c r="AI193">
        <v>0.879</v>
      </c>
      <c r="AJ193">
        <v>80.963194478237142</v>
      </c>
      <c r="AK193">
        <v>0.9899</v>
      </c>
      <c r="AL193">
        <v>80.144999999999996</v>
      </c>
      <c r="AM193">
        <v>8.9176000000000002</v>
      </c>
      <c r="AN193">
        <v>9.6383307564268552</v>
      </c>
      <c r="AO193">
        <v>0.80400000000000005</v>
      </c>
      <c r="AP193">
        <v>6039.0430235999738</v>
      </c>
      <c r="AQ193">
        <v>0.99199531433033972</v>
      </c>
      <c r="AR193">
        <v>5990.7024000000001</v>
      </c>
      <c r="AT193" t="s">
        <v>228</v>
      </c>
      <c r="AU193" t="s">
        <v>229</v>
      </c>
      <c r="AV193" t="s">
        <v>227</v>
      </c>
      <c r="AW193" t="s">
        <v>154</v>
      </c>
      <c r="AX193">
        <v>109.354</v>
      </c>
      <c r="AY193">
        <v>1.0833851741009131</v>
      </c>
      <c r="AZ193">
        <v>118.47250232863119</v>
      </c>
      <c r="BA193">
        <v>801.49</v>
      </c>
      <c r="BB193">
        <v>0.90500000000000003</v>
      </c>
      <c r="BC193">
        <v>85.933845931694037</v>
      </c>
      <c r="BD193">
        <v>0.99380000000000002</v>
      </c>
      <c r="BE193">
        <v>85.400999999999996</v>
      </c>
      <c r="BF193">
        <v>8.9176000000000002</v>
      </c>
      <c r="BG193">
        <v>0.77</v>
      </c>
      <c r="BH193">
        <v>5962.3807969390264</v>
      </c>
      <c r="BI193">
        <v>0.98418586489652482</v>
      </c>
      <c r="BJ193">
        <v>5868.0909000000001</v>
      </c>
    </row>
    <row r="194" spans="1:62" x14ac:dyDescent="0.25">
      <c r="A194">
        <v>2478</v>
      </c>
      <c r="B194" t="s">
        <v>118</v>
      </c>
      <c r="C194">
        <v>2021</v>
      </c>
      <c r="D194">
        <v>1</v>
      </c>
      <c r="E194" t="s">
        <v>218</v>
      </c>
      <c r="F194" t="s">
        <v>251</v>
      </c>
      <c r="G194" t="s">
        <v>252</v>
      </c>
      <c r="H194" t="s">
        <v>17</v>
      </c>
      <c r="I194" t="s">
        <v>257</v>
      </c>
      <c r="J194" t="s">
        <v>244</v>
      </c>
      <c r="K194">
        <v>-199.11018895000001</v>
      </c>
      <c r="L194" t="s">
        <v>245</v>
      </c>
      <c r="M194" t="s">
        <v>236</v>
      </c>
      <c r="N194">
        <v>1.775192921592E-2</v>
      </c>
      <c r="O194">
        <v>3.5345900000000001</v>
      </c>
      <c r="P194" t="s">
        <v>21</v>
      </c>
      <c r="Q194">
        <v>1</v>
      </c>
      <c r="W194">
        <v>1</v>
      </c>
      <c r="X194">
        <v>0</v>
      </c>
      <c r="AA194" t="s">
        <v>269</v>
      </c>
      <c r="AB194" t="s">
        <v>270</v>
      </c>
      <c r="AC194" t="s">
        <v>227</v>
      </c>
      <c r="AD194" t="s">
        <v>100</v>
      </c>
      <c r="AE194">
        <v>109.354</v>
      </c>
      <c r="AF194">
        <v>1.080821157758461</v>
      </c>
      <c r="AG194">
        <v>118.1921168855188</v>
      </c>
      <c r="AH194">
        <v>779.31</v>
      </c>
      <c r="AI194">
        <v>0.879</v>
      </c>
      <c r="AJ194">
        <v>80.963194478237142</v>
      </c>
      <c r="AK194">
        <v>0.96560000000000001</v>
      </c>
      <c r="AL194">
        <v>78.177999999999997</v>
      </c>
      <c r="AM194">
        <v>8.9176000000000002</v>
      </c>
      <c r="AN194">
        <v>9.6383307564268552</v>
      </c>
      <c r="AO194">
        <v>0.80400000000000005</v>
      </c>
      <c r="AP194">
        <v>6039.0430235999738</v>
      </c>
      <c r="AQ194">
        <v>0.98955375253549693</v>
      </c>
      <c r="AR194">
        <v>5975.9576999999999</v>
      </c>
      <c r="AT194" t="s">
        <v>228</v>
      </c>
      <c r="AU194" t="s">
        <v>229</v>
      </c>
      <c r="AV194" t="s">
        <v>227</v>
      </c>
      <c r="AW194" t="s">
        <v>100</v>
      </c>
      <c r="AX194">
        <v>109.354</v>
      </c>
      <c r="AY194">
        <v>1.0833851741009131</v>
      </c>
      <c r="AZ194">
        <v>118.47250232863119</v>
      </c>
      <c r="BA194">
        <v>801.49</v>
      </c>
      <c r="BB194">
        <v>0.90500000000000003</v>
      </c>
      <c r="BC194">
        <v>85.933845931694037</v>
      </c>
      <c r="BD194">
        <v>0.94550000000000001</v>
      </c>
      <c r="BE194">
        <v>81.25</v>
      </c>
      <c r="BF194">
        <v>8.9176000000000002</v>
      </c>
      <c r="BG194">
        <v>0.77</v>
      </c>
      <c r="BH194">
        <v>5962.3807969390264</v>
      </c>
      <c r="BI194">
        <v>1.0003042596348879</v>
      </c>
      <c r="BJ194">
        <v>5964.1949000000004</v>
      </c>
    </row>
    <row r="195" spans="1:62" x14ac:dyDescent="0.25">
      <c r="A195">
        <v>2480</v>
      </c>
      <c r="B195" t="s">
        <v>118</v>
      </c>
      <c r="C195">
        <v>2021</v>
      </c>
      <c r="D195">
        <v>1</v>
      </c>
      <c r="E195" t="s">
        <v>218</v>
      </c>
      <c r="F195" t="s">
        <v>251</v>
      </c>
      <c r="G195" t="s">
        <v>252</v>
      </c>
      <c r="H195" t="s">
        <v>17</v>
      </c>
      <c r="I195" t="s">
        <v>257</v>
      </c>
      <c r="J195" t="s">
        <v>244</v>
      </c>
      <c r="K195">
        <v>-199.11018895000001</v>
      </c>
      <c r="L195" t="s">
        <v>245</v>
      </c>
      <c r="M195" t="s">
        <v>237</v>
      </c>
      <c r="N195">
        <v>0.39766766032624001</v>
      </c>
      <c r="O195">
        <v>79.179682999999997</v>
      </c>
      <c r="P195" t="s">
        <v>21</v>
      </c>
      <c r="Q195">
        <v>1</v>
      </c>
      <c r="W195">
        <v>1</v>
      </c>
      <c r="X195">
        <v>0</v>
      </c>
      <c r="AA195" t="s">
        <v>269</v>
      </c>
      <c r="AB195" t="s">
        <v>270</v>
      </c>
      <c r="AC195" t="s">
        <v>227</v>
      </c>
      <c r="AD195" t="s">
        <v>101</v>
      </c>
      <c r="AE195">
        <v>109.354</v>
      </c>
      <c r="AF195">
        <v>1.080821157758461</v>
      </c>
      <c r="AG195">
        <v>118.1921168855188</v>
      </c>
      <c r="AH195">
        <v>779.31</v>
      </c>
      <c r="AI195">
        <v>0.879</v>
      </c>
      <c r="AJ195">
        <v>80.963194478237142</v>
      </c>
      <c r="AK195">
        <v>1.0097</v>
      </c>
      <c r="AL195">
        <v>81.748999999999995</v>
      </c>
      <c r="AM195">
        <v>8.9176000000000002</v>
      </c>
      <c r="AN195">
        <v>9.6383307564268552</v>
      </c>
      <c r="AO195">
        <v>0.80400000000000005</v>
      </c>
      <c r="AP195">
        <v>6039.0430235999738</v>
      </c>
      <c r="AQ195">
        <v>1.0276539708265799</v>
      </c>
      <c r="AR195">
        <v>6206.0465000000004</v>
      </c>
      <c r="AT195" t="s">
        <v>228</v>
      </c>
      <c r="AU195" t="s">
        <v>229</v>
      </c>
      <c r="AV195" t="s">
        <v>227</v>
      </c>
      <c r="AW195" t="s">
        <v>101</v>
      </c>
      <c r="AX195">
        <v>109.354</v>
      </c>
      <c r="AY195">
        <v>1.0833851741009131</v>
      </c>
      <c r="AZ195">
        <v>118.47250232863119</v>
      </c>
      <c r="BA195">
        <v>801.49</v>
      </c>
      <c r="BB195">
        <v>0.90500000000000003</v>
      </c>
      <c r="BC195">
        <v>85.933845931694037</v>
      </c>
      <c r="BD195">
        <v>1.0154000000000001</v>
      </c>
      <c r="BE195">
        <v>87.257000000000005</v>
      </c>
      <c r="BF195">
        <v>8.9176000000000002</v>
      </c>
      <c r="BG195">
        <v>0.77</v>
      </c>
      <c r="BH195">
        <v>5962.3807969390264</v>
      </c>
      <c r="BI195">
        <v>1.0150931928687199</v>
      </c>
      <c r="BJ195">
        <v>6052.3721999999998</v>
      </c>
    </row>
    <row r="196" spans="1:62" x14ac:dyDescent="0.25">
      <c r="A196">
        <v>4962</v>
      </c>
      <c r="B196" t="s">
        <v>118</v>
      </c>
      <c r="C196">
        <v>2021</v>
      </c>
      <c r="D196">
        <v>1</v>
      </c>
      <c r="E196" t="s">
        <v>218</v>
      </c>
      <c r="F196" t="s">
        <v>251</v>
      </c>
      <c r="G196" t="s">
        <v>252</v>
      </c>
      <c r="H196" t="s">
        <v>17</v>
      </c>
      <c r="I196" t="s">
        <v>258</v>
      </c>
      <c r="J196" t="s">
        <v>247</v>
      </c>
      <c r="K196">
        <v>-617.70538050000005</v>
      </c>
      <c r="L196" t="s">
        <v>248</v>
      </c>
      <c r="M196" t="s">
        <v>224</v>
      </c>
      <c r="N196">
        <v>4.9724862092599999E-3</v>
      </c>
      <c r="O196">
        <v>3.0715309999999998</v>
      </c>
      <c r="P196" t="s">
        <v>21</v>
      </c>
      <c r="Q196">
        <v>1</v>
      </c>
      <c r="W196">
        <v>1</v>
      </c>
      <c r="X196">
        <v>0</v>
      </c>
      <c r="AA196" t="s">
        <v>269</v>
      </c>
      <c r="AB196" t="s">
        <v>270</v>
      </c>
      <c r="AC196" t="s">
        <v>227</v>
      </c>
      <c r="AD196" t="s">
        <v>153</v>
      </c>
      <c r="AE196">
        <v>109.354</v>
      </c>
      <c r="AF196">
        <v>1.080821157758461</v>
      </c>
      <c r="AG196">
        <v>118.1921168855188</v>
      </c>
      <c r="AH196">
        <v>779.31</v>
      </c>
      <c r="AI196">
        <v>0.879</v>
      </c>
      <c r="AJ196">
        <v>80.963194478237142</v>
      </c>
      <c r="AK196">
        <v>1.0078</v>
      </c>
      <c r="AL196">
        <v>81.594999999999999</v>
      </c>
      <c r="AM196">
        <v>8.9176000000000002</v>
      </c>
      <c r="AN196">
        <v>9.6383307564268552</v>
      </c>
      <c r="AO196">
        <v>0.80400000000000005</v>
      </c>
      <c r="AP196">
        <v>6039.0430235999738</v>
      </c>
      <c r="AQ196">
        <v>1</v>
      </c>
      <c r="AR196">
        <v>6039.0429999999997</v>
      </c>
      <c r="AT196" t="s">
        <v>228</v>
      </c>
      <c r="AU196" t="s">
        <v>229</v>
      </c>
      <c r="AV196" t="s">
        <v>227</v>
      </c>
      <c r="AW196" t="s">
        <v>153</v>
      </c>
      <c r="AX196">
        <v>109.354</v>
      </c>
      <c r="AY196">
        <v>1.0833851741009131</v>
      </c>
      <c r="AZ196">
        <v>118.47250232863119</v>
      </c>
      <c r="BA196">
        <v>801.49</v>
      </c>
      <c r="BB196">
        <v>0.90500000000000003</v>
      </c>
      <c r="BC196">
        <v>85.933845931694037</v>
      </c>
      <c r="BD196">
        <v>1.0470999999999999</v>
      </c>
      <c r="BE196">
        <v>89.980999999999995</v>
      </c>
      <c r="BF196">
        <v>8.9176000000000002</v>
      </c>
      <c r="BG196">
        <v>0.77</v>
      </c>
      <c r="BH196">
        <v>5962.3807969390264</v>
      </c>
      <c r="BI196">
        <v>1</v>
      </c>
      <c r="BJ196">
        <v>5962.3807999999999</v>
      </c>
    </row>
    <row r="197" spans="1:62" x14ac:dyDescent="0.25">
      <c r="A197">
        <v>4964</v>
      </c>
      <c r="B197" t="s">
        <v>118</v>
      </c>
      <c r="C197">
        <v>2021</v>
      </c>
      <c r="D197">
        <v>1</v>
      </c>
      <c r="E197" t="s">
        <v>218</v>
      </c>
      <c r="F197" t="s">
        <v>251</v>
      </c>
      <c r="G197" t="s">
        <v>252</v>
      </c>
      <c r="H197" t="s">
        <v>17</v>
      </c>
      <c r="I197" t="s">
        <v>258</v>
      </c>
      <c r="J197" t="s">
        <v>247</v>
      </c>
      <c r="K197">
        <v>-617.70538050000005</v>
      </c>
      <c r="L197" t="s">
        <v>248</v>
      </c>
      <c r="M197" t="s">
        <v>235</v>
      </c>
      <c r="N197">
        <v>0.99209122360516</v>
      </c>
      <c r="O197">
        <v>612.82008699999994</v>
      </c>
      <c r="P197" t="s">
        <v>21</v>
      </c>
      <c r="Q197">
        <v>1</v>
      </c>
      <c r="W197">
        <v>1</v>
      </c>
      <c r="X197">
        <v>0</v>
      </c>
      <c r="AA197" t="s">
        <v>269</v>
      </c>
      <c r="AB197" t="s">
        <v>270</v>
      </c>
      <c r="AC197" t="s">
        <v>227</v>
      </c>
      <c r="AD197" t="s">
        <v>154</v>
      </c>
      <c r="AE197">
        <v>109.354</v>
      </c>
      <c r="AF197">
        <v>1.080821157758461</v>
      </c>
      <c r="AG197">
        <v>118.1921168855188</v>
      </c>
      <c r="AH197">
        <v>779.31</v>
      </c>
      <c r="AI197">
        <v>0.879</v>
      </c>
      <c r="AJ197">
        <v>80.963194478237142</v>
      </c>
      <c r="AK197">
        <v>0.9899</v>
      </c>
      <c r="AL197">
        <v>80.144999999999996</v>
      </c>
      <c r="AM197">
        <v>8.9176000000000002</v>
      </c>
      <c r="AN197">
        <v>9.6383307564268552</v>
      </c>
      <c r="AO197">
        <v>0.80400000000000005</v>
      </c>
      <c r="AP197">
        <v>6039.0430235999738</v>
      </c>
      <c r="AQ197">
        <v>0.99199531433033972</v>
      </c>
      <c r="AR197">
        <v>5990.7024000000001</v>
      </c>
      <c r="AT197" t="s">
        <v>228</v>
      </c>
      <c r="AU197" t="s">
        <v>229</v>
      </c>
      <c r="AV197" t="s">
        <v>227</v>
      </c>
      <c r="AW197" t="s">
        <v>154</v>
      </c>
      <c r="AX197">
        <v>109.354</v>
      </c>
      <c r="AY197">
        <v>1.0833851741009131</v>
      </c>
      <c r="AZ197">
        <v>118.47250232863119</v>
      </c>
      <c r="BA197">
        <v>801.49</v>
      </c>
      <c r="BB197">
        <v>0.90500000000000003</v>
      </c>
      <c r="BC197">
        <v>85.933845931694037</v>
      </c>
      <c r="BD197">
        <v>0.99380000000000002</v>
      </c>
      <c r="BE197">
        <v>85.400999999999996</v>
      </c>
      <c r="BF197">
        <v>8.9176000000000002</v>
      </c>
      <c r="BG197">
        <v>0.77</v>
      </c>
      <c r="BH197">
        <v>5962.3807969390264</v>
      </c>
      <c r="BI197">
        <v>0.98418586489652482</v>
      </c>
      <c r="BJ197">
        <v>5868.0909000000001</v>
      </c>
    </row>
    <row r="198" spans="1:62" x14ac:dyDescent="0.25">
      <c r="A198">
        <v>4966</v>
      </c>
      <c r="B198" t="s">
        <v>118</v>
      </c>
      <c r="C198">
        <v>2021</v>
      </c>
      <c r="D198">
        <v>1</v>
      </c>
      <c r="E198" t="s">
        <v>218</v>
      </c>
      <c r="F198" t="s">
        <v>251</v>
      </c>
      <c r="G198" t="s">
        <v>252</v>
      </c>
      <c r="H198" t="s">
        <v>17</v>
      </c>
      <c r="I198" t="s">
        <v>258</v>
      </c>
      <c r="J198" t="s">
        <v>247</v>
      </c>
      <c r="K198">
        <v>-617.70538050000005</v>
      </c>
      <c r="L198" t="s">
        <v>248</v>
      </c>
      <c r="M198" t="s">
        <v>236</v>
      </c>
      <c r="N198">
        <v>4.7995598170700003E-3</v>
      </c>
      <c r="O198">
        <v>2.9647139999999998</v>
      </c>
      <c r="P198" t="s">
        <v>21</v>
      </c>
      <c r="Q198">
        <v>1</v>
      </c>
      <c r="W198">
        <v>1</v>
      </c>
      <c r="X198">
        <v>0</v>
      </c>
      <c r="AA198" t="s">
        <v>269</v>
      </c>
      <c r="AB198" t="s">
        <v>270</v>
      </c>
      <c r="AC198" t="s">
        <v>227</v>
      </c>
      <c r="AD198" t="s">
        <v>100</v>
      </c>
      <c r="AE198">
        <v>109.354</v>
      </c>
      <c r="AF198">
        <v>1.080821157758461</v>
      </c>
      <c r="AG198">
        <v>118.1921168855188</v>
      </c>
      <c r="AH198">
        <v>779.31</v>
      </c>
      <c r="AI198">
        <v>0.879</v>
      </c>
      <c r="AJ198">
        <v>80.963194478237142</v>
      </c>
      <c r="AK198">
        <v>0.96560000000000001</v>
      </c>
      <c r="AL198">
        <v>78.177999999999997</v>
      </c>
      <c r="AM198">
        <v>8.9176000000000002</v>
      </c>
      <c r="AN198">
        <v>9.6383307564268552</v>
      </c>
      <c r="AO198">
        <v>0.80400000000000005</v>
      </c>
      <c r="AP198">
        <v>6039.0430235999738</v>
      </c>
      <c r="AQ198">
        <v>0.98955375253549693</v>
      </c>
      <c r="AR198">
        <v>5975.9576999999999</v>
      </c>
      <c r="AT198" t="s">
        <v>228</v>
      </c>
      <c r="AU198" t="s">
        <v>229</v>
      </c>
      <c r="AV198" t="s">
        <v>227</v>
      </c>
      <c r="AW198" t="s">
        <v>100</v>
      </c>
      <c r="AX198">
        <v>109.354</v>
      </c>
      <c r="AY198">
        <v>1.0833851741009131</v>
      </c>
      <c r="AZ198">
        <v>118.47250232863119</v>
      </c>
      <c r="BA198">
        <v>801.49</v>
      </c>
      <c r="BB198">
        <v>0.90500000000000003</v>
      </c>
      <c r="BC198">
        <v>85.933845931694037</v>
      </c>
      <c r="BD198">
        <v>0.94550000000000001</v>
      </c>
      <c r="BE198">
        <v>81.25</v>
      </c>
      <c r="BF198">
        <v>8.9176000000000002</v>
      </c>
      <c r="BG198">
        <v>0.77</v>
      </c>
      <c r="BH198">
        <v>5962.3807969390264</v>
      </c>
      <c r="BI198">
        <v>1.0003042596348879</v>
      </c>
      <c r="BJ198">
        <v>5964.1949000000004</v>
      </c>
    </row>
    <row r="199" spans="1:62" x14ac:dyDescent="0.25">
      <c r="A199">
        <v>4968</v>
      </c>
      <c r="B199" t="s">
        <v>118</v>
      </c>
      <c r="C199">
        <v>2021</v>
      </c>
      <c r="D199">
        <v>1</v>
      </c>
      <c r="E199" t="s">
        <v>218</v>
      </c>
      <c r="F199" t="s">
        <v>251</v>
      </c>
      <c r="G199" t="s">
        <v>252</v>
      </c>
      <c r="H199" t="s">
        <v>17</v>
      </c>
      <c r="I199" t="s">
        <v>258</v>
      </c>
      <c r="J199" t="s">
        <v>247</v>
      </c>
      <c r="K199">
        <v>-617.70538050000005</v>
      </c>
      <c r="L199" t="s">
        <v>248</v>
      </c>
      <c r="M199" t="s">
        <v>237</v>
      </c>
      <c r="N199">
        <v>2.2580780904460002E-2</v>
      </c>
      <c r="O199">
        <v>13.948270000000001</v>
      </c>
      <c r="P199" t="s">
        <v>21</v>
      </c>
      <c r="Q199">
        <v>1</v>
      </c>
      <c r="W199">
        <v>1</v>
      </c>
      <c r="X199">
        <v>0</v>
      </c>
      <c r="AA199" t="s">
        <v>269</v>
      </c>
      <c r="AB199" t="s">
        <v>270</v>
      </c>
      <c r="AC199" t="s">
        <v>227</v>
      </c>
      <c r="AD199" t="s">
        <v>101</v>
      </c>
      <c r="AE199">
        <v>109.354</v>
      </c>
      <c r="AF199">
        <v>1.080821157758461</v>
      </c>
      <c r="AG199">
        <v>118.1921168855188</v>
      </c>
      <c r="AH199">
        <v>779.31</v>
      </c>
      <c r="AI199">
        <v>0.879</v>
      </c>
      <c r="AJ199">
        <v>80.963194478237142</v>
      </c>
      <c r="AK199">
        <v>1.0097</v>
      </c>
      <c r="AL199">
        <v>81.748999999999995</v>
      </c>
      <c r="AM199">
        <v>8.9176000000000002</v>
      </c>
      <c r="AN199">
        <v>9.6383307564268552</v>
      </c>
      <c r="AO199">
        <v>0.80400000000000005</v>
      </c>
      <c r="AP199">
        <v>6039.0430235999738</v>
      </c>
      <c r="AQ199">
        <v>1.0276539708265799</v>
      </c>
      <c r="AR199">
        <v>6206.0465000000004</v>
      </c>
      <c r="AT199" t="s">
        <v>228</v>
      </c>
      <c r="AU199" t="s">
        <v>229</v>
      </c>
      <c r="AV199" t="s">
        <v>227</v>
      </c>
      <c r="AW199" t="s">
        <v>101</v>
      </c>
      <c r="AX199">
        <v>109.354</v>
      </c>
      <c r="AY199">
        <v>1.0833851741009131</v>
      </c>
      <c r="AZ199">
        <v>118.47250232863119</v>
      </c>
      <c r="BA199">
        <v>801.49</v>
      </c>
      <c r="BB199">
        <v>0.90500000000000003</v>
      </c>
      <c r="BC199">
        <v>85.933845931694037</v>
      </c>
      <c r="BD199">
        <v>1.0154000000000001</v>
      </c>
      <c r="BE199">
        <v>87.257000000000005</v>
      </c>
      <c r="BF199">
        <v>8.9176000000000002</v>
      </c>
      <c r="BG199">
        <v>0.77</v>
      </c>
      <c r="BH199">
        <v>5962.3807969390264</v>
      </c>
      <c r="BI199">
        <v>1.0150931928687199</v>
      </c>
      <c r="BJ199">
        <v>6052.3721999999998</v>
      </c>
    </row>
    <row r="200" spans="1:62" x14ac:dyDescent="0.25">
      <c r="A200">
        <v>1238</v>
      </c>
      <c r="B200" t="s">
        <v>118</v>
      </c>
      <c r="C200">
        <v>2021</v>
      </c>
      <c r="D200">
        <v>1</v>
      </c>
      <c r="E200" t="s">
        <v>218</v>
      </c>
      <c r="F200" t="s">
        <v>251</v>
      </c>
      <c r="G200" t="s">
        <v>252</v>
      </c>
      <c r="H200" t="s">
        <v>17</v>
      </c>
      <c r="I200" t="s">
        <v>259</v>
      </c>
      <c r="J200" t="s">
        <v>250</v>
      </c>
      <c r="K200">
        <v>-721.40912134999996</v>
      </c>
      <c r="L200" t="s">
        <v>250</v>
      </c>
      <c r="M200" t="s">
        <v>231</v>
      </c>
      <c r="N200">
        <v>4.9898993999990003E-2</v>
      </c>
      <c r="O200">
        <v>35.997588999999998</v>
      </c>
      <c r="P200" t="s">
        <v>21</v>
      </c>
      <c r="Q200">
        <v>1</v>
      </c>
      <c r="W200">
        <v>1</v>
      </c>
      <c r="X200">
        <v>0</v>
      </c>
      <c r="AA200" t="s">
        <v>269</v>
      </c>
      <c r="AB200" t="s">
        <v>270</v>
      </c>
      <c r="AC200" t="s">
        <v>227</v>
      </c>
      <c r="AD200" t="s">
        <v>100</v>
      </c>
      <c r="AE200">
        <v>109.354</v>
      </c>
      <c r="AF200">
        <v>1.080821157758461</v>
      </c>
      <c r="AG200">
        <v>118.1921168855188</v>
      </c>
      <c r="AH200">
        <v>779.31</v>
      </c>
      <c r="AI200">
        <v>0.879</v>
      </c>
      <c r="AJ200">
        <v>80.963194478237142</v>
      </c>
      <c r="AK200">
        <v>0.96560000000000001</v>
      </c>
      <c r="AL200">
        <v>78.177999999999997</v>
      </c>
      <c r="AM200">
        <v>8.9176000000000002</v>
      </c>
      <c r="AN200">
        <v>9.6383307564268552</v>
      </c>
      <c r="AO200">
        <v>0.80400000000000005</v>
      </c>
      <c r="AP200">
        <v>6039.0430235999738</v>
      </c>
      <c r="AQ200">
        <v>0.98955375253549693</v>
      </c>
      <c r="AR200">
        <v>5975.9576999999999</v>
      </c>
      <c r="AT200" t="s">
        <v>228</v>
      </c>
      <c r="AU200" t="s">
        <v>229</v>
      </c>
      <c r="AV200" t="s">
        <v>227</v>
      </c>
      <c r="AW200" t="s">
        <v>100</v>
      </c>
      <c r="AX200">
        <v>109.354</v>
      </c>
      <c r="AY200">
        <v>1.0833851741009131</v>
      </c>
      <c r="AZ200">
        <v>118.47250232863119</v>
      </c>
      <c r="BA200">
        <v>801.49</v>
      </c>
      <c r="BB200">
        <v>0.90500000000000003</v>
      </c>
      <c r="BC200">
        <v>85.933845931694037</v>
      </c>
      <c r="BD200">
        <v>0.94550000000000001</v>
      </c>
      <c r="BE200">
        <v>81.25</v>
      </c>
      <c r="BF200">
        <v>8.9176000000000002</v>
      </c>
      <c r="BG200">
        <v>0.77</v>
      </c>
      <c r="BH200">
        <v>5962.3807969390264</v>
      </c>
      <c r="BI200">
        <v>1.0003042596348879</v>
      </c>
      <c r="BJ200">
        <v>5964.1949000000004</v>
      </c>
    </row>
    <row r="201" spans="1:62" x14ac:dyDescent="0.25">
      <c r="A201">
        <v>1240</v>
      </c>
      <c r="B201" t="s">
        <v>118</v>
      </c>
      <c r="C201">
        <v>2021</v>
      </c>
      <c r="D201">
        <v>1</v>
      </c>
      <c r="E201" t="s">
        <v>218</v>
      </c>
      <c r="F201" t="s">
        <v>251</v>
      </c>
      <c r="G201" t="s">
        <v>252</v>
      </c>
      <c r="H201" t="s">
        <v>17</v>
      </c>
      <c r="I201" t="s">
        <v>259</v>
      </c>
      <c r="J201" t="s">
        <v>250</v>
      </c>
      <c r="K201">
        <v>-721.40912134999996</v>
      </c>
      <c r="L201" t="s">
        <v>250</v>
      </c>
      <c r="M201" t="s">
        <v>232</v>
      </c>
      <c r="N201">
        <v>0.97472100599996003</v>
      </c>
      <c r="O201">
        <v>703.17262400000004</v>
      </c>
      <c r="P201" t="s">
        <v>21</v>
      </c>
      <c r="Q201">
        <v>1</v>
      </c>
      <c r="W201">
        <v>1</v>
      </c>
      <c r="X201">
        <v>0</v>
      </c>
      <c r="AA201" t="s">
        <v>269</v>
      </c>
      <c r="AB201" t="s">
        <v>270</v>
      </c>
      <c r="AC201" t="s">
        <v>227</v>
      </c>
      <c r="AD201" t="s">
        <v>101</v>
      </c>
      <c r="AE201">
        <v>109.354</v>
      </c>
      <c r="AF201">
        <v>1.080821157758461</v>
      </c>
      <c r="AG201">
        <v>118.1921168855188</v>
      </c>
      <c r="AH201">
        <v>779.31</v>
      </c>
      <c r="AI201">
        <v>0.879</v>
      </c>
      <c r="AJ201">
        <v>80.963194478237142</v>
      </c>
      <c r="AK201">
        <v>1.0097</v>
      </c>
      <c r="AL201">
        <v>81.748999999999995</v>
      </c>
      <c r="AM201">
        <v>8.9176000000000002</v>
      </c>
      <c r="AN201">
        <v>9.6383307564268552</v>
      </c>
      <c r="AO201">
        <v>0.80400000000000005</v>
      </c>
      <c r="AP201">
        <v>6039.0430235999738</v>
      </c>
      <c r="AQ201">
        <v>1.0276539708265799</v>
      </c>
      <c r="AR201">
        <v>6206.0465000000004</v>
      </c>
      <c r="AT201" t="s">
        <v>228</v>
      </c>
      <c r="AU201" t="s">
        <v>229</v>
      </c>
      <c r="AV201" t="s">
        <v>227</v>
      </c>
      <c r="AW201" t="s">
        <v>101</v>
      </c>
      <c r="AX201">
        <v>109.354</v>
      </c>
      <c r="AY201">
        <v>1.0833851741009131</v>
      </c>
      <c r="AZ201">
        <v>118.47250232863119</v>
      </c>
      <c r="BA201">
        <v>801.49</v>
      </c>
      <c r="BB201">
        <v>0.90500000000000003</v>
      </c>
      <c r="BC201">
        <v>85.933845931694037</v>
      </c>
      <c r="BD201">
        <v>1.0154000000000001</v>
      </c>
      <c r="BE201">
        <v>87.257000000000005</v>
      </c>
      <c r="BF201">
        <v>8.9176000000000002</v>
      </c>
      <c r="BG201">
        <v>0.77</v>
      </c>
      <c r="BH201">
        <v>5962.3807969390264</v>
      </c>
      <c r="BI201">
        <v>1.0150931928687199</v>
      </c>
      <c r="BJ201">
        <v>6052.3721999999998</v>
      </c>
    </row>
    <row r="202" spans="1:62" x14ac:dyDescent="0.25">
      <c r="A202">
        <v>4970</v>
      </c>
      <c r="B202" t="s">
        <v>118</v>
      </c>
      <c r="C202">
        <v>2021</v>
      </c>
      <c r="D202">
        <v>1</v>
      </c>
      <c r="E202" t="s">
        <v>218</v>
      </c>
      <c r="F202" t="s">
        <v>260</v>
      </c>
      <c r="G202" t="s">
        <v>261</v>
      </c>
      <c r="H202" t="s">
        <v>17</v>
      </c>
      <c r="I202" t="s">
        <v>262</v>
      </c>
      <c r="J202" t="s">
        <v>222</v>
      </c>
      <c r="K202">
        <v>-178.91967328000001</v>
      </c>
      <c r="L202" t="s">
        <v>223</v>
      </c>
      <c r="M202" t="s">
        <v>224</v>
      </c>
      <c r="N202">
        <v>8.7524974586199993E-3</v>
      </c>
      <c r="O202">
        <v>1.5659940000000001</v>
      </c>
      <c r="P202" t="s">
        <v>21</v>
      </c>
      <c r="Q202">
        <v>1</v>
      </c>
      <c r="W202">
        <v>1</v>
      </c>
      <c r="X202">
        <v>0</v>
      </c>
      <c r="AA202" t="s">
        <v>269</v>
      </c>
      <c r="AB202" t="s">
        <v>270</v>
      </c>
      <c r="AC202" t="s">
        <v>227</v>
      </c>
      <c r="AD202" t="s">
        <v>153</v>
      </c>
      <c r="AE202">
        <v>109.354</v>
      </c>
      <c r="AF202">
        <v>1.080821157758461</v>
      </c>
      <c r="AG202">
        <v>118.1921168855188</v>
      </c>
      <c r="AH202">
        <v>779.31</v>
      </c>
      <c r="AI202">
        <v>0.879</v>
      </c>
      <c r="AJ202">
        <v>80.963194478237142</v>
      </c>
      <c r="AK202">
        <v>1.0078</v>
      </c>
      <c r="AL202">
        <v>81.594999999999999</v>
      </c>
      <c r="AM202">
        <v>8.9176000000000002</v>
      </c>
      <c r="AN202">
        <v>9.6383307564268552</v>
      </c>
      <c r="AO202">
        <v>0.80400000000000005</v>
      </c>
      <c r="AP202">
        <v>6039.0430235999738</v>
      </c>
      <c r="AQ202">
        <v>1</v>
      </c>
      <c r="AR202">
        <v>6039.0429999999997</v>
      </c>
      <c r="AT202" t="s">
        <v>228</v>
      </c>
      <c r="AU202" t="s">
        <v>229</v>
      </c>
      <c r="AV202" t="s">
        <v>227</v>
      </c>
      <c r="AW202" t="s">
        <v>153</v>
      </c>
      <c r="AX202">
        <v>109.354</v>
      </c>
      <c r="AY202">
        <v>1.0833851741009131</v>
      </c>
      <c r="AZ202">
        <v>118.47250232863119</v>
      </c>
      <c r="BA202">
        <v>801.49</v>
      </c>
      <c r="BB202">
        <v>0.90500000000000003</v>
      </c>
      <c r="BC202">
        <v>85.933845931694037</v>
      </c>
      <c r="BD202">
        <v>1.0470999999999999</v>
      </c>
      <c r="BE202">
        <v>89.980999999999995</v>
      </c>
      <c r="BF202">
        <v>8.9176000000000002</v>
      </c>
      <c r="BG202">
        <v>0.77</v>
      </c>
      <c r="BH202">
        <v>5962.3807969390264</v>
      </c>
      <c r="BI202">
        <v>1</v>
      </c>
      <c r="BJ202">
        <v>5962.3807999999999</v>
      </c>
    </row>
    <row r="203" spans="1:62" x14ac:dyDescent="0.25">
      <c r="A203">
        <v>4972</v>
      </c>
      <c r="B203" t="s">
        <v>118</v>
      </c>
      <c r="C203">
        <v>2021</v>
      </c>
      <c r="D203">
        <v>1</v>
      </c>
      <c r="E203" t="s">
        <v>218</v>
      </c>
      <c r="F203" t="s">
        <v>260</v>
      </c>
      <c r="G203" t="s">
        <v>261</v>
      </c>
      <c r="H203" t="s">
        <v>17</v>
      </c>
      <c r="I203" t="s">
        <v>262</v>
      </c>
      <c r="J203" t="s">
        <v>222</v>
      </c>
      <c r="K203">
        <v>-178.91967328000001</v>
      </c>
      <c r="L203" t="s">
        <v>223</v>
      </c>
      <c r="M203" t="s">
        <v>230</v>
      </c>
      <c r="N203">
        <v>0.16047331440265999</v>
      </c>
      <c r="O203">
        <v>28.711832999999999</v>
      </c>
      <c r="P203" t="s">
        <v>21</v>
      </c>
      <c r="Q203">
        <v>1</v>
      </c>
      <c r="W203">
        <v>1</v>
      </c>
      <c r="X203">
        <v>0</v>
      </c>
      <c r="AA203" t="s">
        <v>269</v>
      </c>
      <c r="AB203" t="s">
        <v>270</v>
      </c>
      <c r="AC203" t="s">
        <v>227</v>
      </c>
      <c r="AD203" t="s">
        <v>154</v>
      </c>
      <c r="AE203">
        <v>109.354</v>
      </c>
      <c r="AF203">
        <v>1.080821157758461</v>
      </c>
      <c r="AG203">
        <v>118.1921168855188</v>
      </c>
      <c r="AH203">
        <v>779.31</v>
      </c>
      <c r="AI203">
        <v>0.879</v>
      </c>
      <c r="AJ203">
        <v>80.963194478237142</v>
      </c>
      <c r="AK203">
        <v>0.9899</v>
      </c>
      <c r="AL203">
        <v>80.144999999999996</v>
      </c>
      <c r="AM203">
        <v>8.9176000000000002</v>
      </c>
      <c r="AN203">
        <v>9.6383307564268552</v>
      </c>
      <c r="AO203">
        <v>0.80400000000000005</v>
      </c>
      <c r="AP203">
        <v>6039.0430235999738</v>
      </c>
      <c r="AQ203">
        <v>0.99199531433033972</v>
      </c>
      <c r="AR203">
        <v>5990.7024000000001</v>
      </c>
      <c r="AT203" t="s">
        <v>228</v>
      </c>
      <c r="AU203" t="s">
        <v>229</v>
      </c>
      <c r="AV203" t="s">
        <v>227</v>
      </c>
      <c r="AW203" t="s">
        <v>154</v>
      </c>
      <c r="AX203">
        <v>109.354</v>
      </c>
      <c r="AY203">
        <v>1.0833851741009131</v>
      </c>
      <c r="AZ203">
        <v>118.47250232863119</v>
      </c>
      <c r="BA203">
        <v>801.49</v>
      </c>
      <c r="BB203">
        <v>0.90500000000000003</v>
      </c>
      <c r="BC203">
        <v>85.933845931694037</v>
      </c>
      <c r="BD203">
        <v>0.99380000000000002</v>
      </c>
      <c r="BE203">
        <v>85.400999999999996</v>
      </c>
      <c r="BF203">
        <v>8.9176000000000002</v>
      </c>
      <c r="BG203">
        <v>0.77</v>
      </c>
      <c r="BH203">
        <v>5962.3807969390264</v>
      </c>
      <c r="BI203">
        <v>0.98418586489652482</v>
      </c>
      <c r="BJ203">
        <v>5868.0909000000001</v>
      </c>
    </row>
    <row r="204" spans="1:62" x14ac:dyDescent="0.25">
      <c r="A204">
        <v>4974</v>
      </c>
      <c r="B204" t="s">
        <v>118</v>
      </c>
      <c r="C204">
        <v>2021</v>
      </c>
      <c r="D204">
        <v>1</v>
      </c>
      <c r="E204" t="s">
        <v>218</v>
      </c>
      <c r="F204" t="s">
        <v>260</v>
      </c>
      <c r="G204" t="s">
        <v>261</v>
      </c>
      <c r="H204" t="s">
        <v>17</v>
      </c>
      <c r="I204" t="s">
        <v>262</v>
      </c>
      <c r="J204" t="s">
        <v>222</v>
      </c>
      <c r="K204">
        <v>-178.91967328000001</v>
      </c>
      <c r="L204" t="s">
        <v>223</v>
      </c>
      <c r="M204" t="s">
        <v>231</v>
      </c>
      <c r="N204">
        <v>4.5018334813739999E-2</v>
      </c>
      <c r="O204">
        <v>8.0546659999999992</v>
      </c>
      <c r="P204" t="s">
        <v>21</v>
      </c>
      <c r="Q204">
        <v>1</v>
      </c>
      <c r="W204">
        <v>1</v>
      </c>
      <c r="X204">
        <v>0</v>
      </c>
      <c r="AA204" t="s">
        <v>269</v>
      </c>
      <c r="AB204" t="s">
        <v>270</v>
      </c>
      <c r="AC204" t="s">
        <v>227</v>
      </c>
      <c r="AD204" t="s">
        <v>100</v>
      </c>
      <c r="AE204">
        <v>109.354</v>
      </c>
      <c r="AF204">
        <v>1.080821157758461</v>
      </c>
      <c r="AG204">
        <v>118.1921168855188</v>
      </c>
      <c r="AH204">
        <v>779.31</v>
      </c>
      <c r="AI204">
        <v>0.879</v>
      </c>
      <c r="AJ204">
        <v>80.963194478237142</v>
      </c>
      <c r="AK204">
        <v>0.96560000000000001</v>
      </c>
      <c r="AL204">
        <v>78.177999999999997</v>
      </c>
      <c r="AM204">
        <v>8.9176000000000002</v>
      </c>
      <c r="AN204">
        <v>9.6383307564268552</v>
      </c>
      <c r="AO204">
        <v>0.80400000000000005</v>
      </c>
      <c r="AP204">
        <v>6039.0430235999738</v>
      </c>
      <c r="AQ204">
        <v>0.98955375253549693</v>
      </c>
      <c r="AR204">
        <v>5975.9576999999999</v>
      </c>
      <c r="AT204" t="s">
        <v>228</v>
      </c>
      <c r="AU204" t="s">
        <v>229</v>
      </c>
      <c r="AV204" t="s">
        <v>227</v>
      </c>
      <c r="AW204" t="s">
        <v>100</v>
      </c>
      <c r="AX204">
        <v>109.354</v>
      </c>
      <c r="AY204">
        <v>1.0833851741009131</v>
      </c>
      <c r="AZ204">
        <v>118.47250232863119</v>
      </c>
      <c r="BA204">
        <v>801.49</v>
      </c>
      <c r="BB204">
        <v>0.90500000000000003</v>
      </c>
      <c r="BC204">
        <v>85.933845931694037</v>
      </c>
      <c r="BD204">
        <v>0.94550000000000001</v>
      </c>
      <c r="BE204">
        <v>81.25</v>
      </c>
      <c r="BF204">
        <v>8.9176000000000002</v>
      </c>
      <c r="BG204">
        <v>0.77</v>
      </c>
      <c r="BH204">
        <v>5962.3807969390264</v>
      </c>
      <c r="BI204">
        <v>1.0003042596348879</v>
      </c>
      <c r="BJ204">
        <v>5964.1949000000004</v>
      </c>
    </row>
    <row r="205" spans="1:62" x14ac:dyDescent="0.25">
      <c r="A205">
        <v>4976</v>
      </c>
      <c r="B205" t="s">
        <v>118</v>
      </c>
      <c r="C205">
        <v>2021</v>
      </c>
      <c r="D205">
        <v>1</v>
      </c>
      <c r="E205" t="s">
        <v>218</v>
      </c>
      <c r="F205" t="s">
        <v>260</v>
      </c>
      <c r="G205" t="s">
        <v>261</v>
      </c>
      <c r="H205" t="s">
        <v>17</v>
      </c>
      <c r="I205" t="s">
        <v>262</v>
      </c>
      <c r="J205" t="s">
        <v>222</v>
      </c>
      <c r="K205">
        <v>-178.91967328000001</v>
      </c>
      <c r="L205" t="s">
        <v>223</v>
      </c>
      <c r="M205" t="s">
        <v>232</v>
      </c>
      <c r="N205">
        <v>0.87398007306502001</v>
      </c>
      <c r="O205">
        <v>156.372229</v>
      </c>
      <c r="P205" t="s">
        <v>21</v>
      </c>
      <c r="Q205">
        <v>1</v>
      </c>
      <c r="W205">
        <v>1</v>
      </c>
      <c r="X205">
        <v>0</v>
      </c>
      <c r="AA205" t="s">
        <v>269</v>
      </c>
      <c r="AB205" t="s">
        <v>270</v>
      </c>
      <c r="AC205" t="s">
        <v>227</v>
      </c>
      <c r="AD205" t="s">
        <v>101</v>
      </c>
      <c r="AE205">
        <v>109.354</v>
      </c>
      <c r="AF205">
        <v>1.080821157758461</v>
      </c>
      <c r="AG205">
        <v>118.1921168855188</v>
      </c>
      <c r="AH205">
        <v>779.31</v>
      </c>
      <c r="AI205">
        <v>0.879</v>
      </c>
      <c r="AJ205">
        <v>80.963194478237142</v>
      </c>
      <c r="AK205">
        <v>1.0097</v>
      </c>
      <c r="AL205">
        <v>81.748999999999995</v>
      </c>
      <c r="AM205">
        <v>8.9176000000000002</v>
      </c>
      <c r="AN205">
        <v>9.6383307564268552</v>
      </c>
      <c r="AO205">
        <v>0.80400000000000005</v>
      </c>
      <c r="AP205">
        <v>6039.0430235999738</v>
      </c>
      <c r="AQ205">
        <v>1.0276539708265799</v>
      </c>
      <c r="AR205">
        <v>6206.0465000000004</v>
      </c>
      <c r="AT205" t="s">
        <v>228</v>
      </c>
      <c r="AU205" t="s">
        <v>229</v>
      </c>
      <c r="AV205" t="s">
        <v>227</v>
      </c>
      <c r="AW205" t="s">
        <v>101</v>
      </c>
      <c r="AX205">
        <v>109.354</v>
      </c>
      <c r="AY205">
        <v>1.0833851741009131</v>
      </c>
      <c r="AZ205">
        <v>118.47250232863119</v>
      </c>
      <c r="BA205">
        <v>801.49</v>
      </c>
      <c r="BB205">
        <v>0.90500000000000003</v>
      </c>
      <c r="BC205">
        <v>85.933845931694037</v>
      </c>
      <c r="BD205">
        <v>1.0154000000000001</v>
      </c>
      <c r="BE205">
        <v>87.257000000000005</v>
      </c>
      <c r="BF205">
        <v>8.9176000000000002</v>
      </c>
      <c r="BG205">
        <v>0.77</v>
      </c>
      <c r="BH205">
        <v>5962.3807969390264</v>
      </c>
      <c r="BI205">
        <v>1.0150931928687199</v>
      </c>
      <c r="BJ205">
        <v>6052.3721999999998</v>
      </c>
    </row>
    <row r="206" spans="1:62" x14ac:dyDescent="0.25">
      <c r="A206">
        <v>2482</v>
      </c>
      <c r="B206" t="s">
        <v>118</v>
      </c>
      <c r="C206">
        <v>2021</v>
      </c>
      <c r="D206">
        <v>1</v>
      </c>
      <c r="E206" t="s">
        <v>218</v>
      </c>
      <c r="F206" t="s">
        <v>260</v>
      </c>
      <c r="G206" t="s">
        <v>261</v>
      </c>
      <c r="H206" t="s">
        <v>17</v>
      </c>
      <c r="I206" t="s">
        <v>263</v>
      </c>
      <c r="J206" t="s">
        <v>234</v>
      </c>
      <c r="K206">
        <v>-642.62569885000005</v>
      </c>
      <c r="L206" t="s">
        <v>234</v>
      </c>
      <c r="M206" t="s">
        <v>224</v>
      </c>
      <c r="N206">
        <v>8.5771088379299996E-3</v>
      </c>
      <c r="O206">
        <v>5.5118710000000002</v>
      </c>
      <c r="P206" t="s">
        <v>21</v>
      </c>
      <c r="Q206">
        <v>1</v>
      </c>
      <c r="W206">
        <v>1</v>
      </c>
      <c r="X206">
        <v>0</v>
      </c>
      <c r="AA206" t="s">
        <v>269</v>
      </c>
      <c r="AB206" t="s">
        <v>270</v>
      </c>
      <c r="AC206" t="s">
        <v>227</v>
      </c>
      <c r="AD206" t="s">
        <v>153</v>
      </c>
      <c r="AE206">
        <v>109.354</v>
      </c>
      <c r="AF206">
        <v>1.080821157758461</v>
      </c>
      <c r="AG206">
        <v>118.1921168855188</v>
      </c>
      <c r="AH206">
        <v>779.31</v>
      </c>
      <c r="AI206">
        <v>0.879</v>
      </c>
      <c r="AJ206">
        <v>80.963194478237142</v>
      </c>
      <c r="AK206">
        <v>1.0078</v>
      </c>
      <c r="AL206">
        <v>81.594999999999999</v>
      </c>
      <c r="AM206">
        <v>8.9176000000000002</v>
      </c>
      <c r="AN206">
        <v>9.6383307564268552</v>
      </c>
      <c r="AO206">
        <v>0.80400000000000005</v>
      </c>
      <c r="AP206">
        <v>6039.0430235999738</v>
      </c>
      <c r="AQ206">
        <v>1</v>
      </c>
      <c r="AR206">
        <v>6039.0429999999997</v>
      </c>
      <c r="AT206" t="s">
        <v>228</v>
      </c>
      <c r="AU206" t="s">
        <v>229</v>
      </c>
      <c r="AV206" t="s">
        <v>227</v>
      </c>
      <c r="AW206" t="s">
        <v>153</v>
      </c>
      <c r="AX206">
        <v>109.354</v>
      </c>
      <c r="AY206">
        <v>1.0833851741009131</v>
      </c>
      <c r="AZ206">
        <v>118.47250232863119</v>
      </c>
      <c r="BA206">
        <v>801.49</v>
      </c>
      <c r="BB206">
        <v>0.90500000000000003</v>
      </c>
      <c r="BC206">
        <v>85.933845931694037</v>
      </c>
      <c r="BD206">
        <v>1.0470999999999999</v>
      </c>
      <c r="BE206">
        <v>89.980999999999995</v>
      </c>
      <c r="BF206">
        <v>8.9176000000000002</v>
      </c>
      <c r="BG206">
        <v>0.77</v>
      </c>
      <c r="BH206">
        <v>5962.3807969390264</v>
      </c>
      <c r="BI206">
        <v>1</v>
      </c>
      <c r="BJ206">
        <v>5962.3807999999999</v>
      </c>
    </row>
    <row r="207" spans="1:62" x14ac:dyDescent="0.25">
      <c r="A207">
        <v>2484</v>
      </c>
      <c r="B207" t="s">
        <v>118</v>
      </c>
      <c r="C207">
        <v>2021</v>
      </c>
      <c r="D207">
        <v>1</v>
      </c>
      <c r="E207" t="s">
        <v>218</v>
      </c>
      <c r="F207" t="s">
        <v>260</v>
      </c>
      <c r="G207" t="s">
        <v>261</v>
      </c>
      <c r="H207" t="s">
        <v>17</v>
      </c>
      <c r="I207" t="s">
        <v>263</v>
      </c>
      <c r="J207" t="s">
        <v>234</v>
      </c>
      <c r="K207">
        <v>-642.62569885000005</v>
      </c>
      <c r="L207" t="s">
        <v>234</v>
      </c>
      <c r="M207" t="s">
        <v>235</v>
      </c>
      <c r="N207">
        <v>0.60124209651893001</v>
      </c>
      <c r="O207">
        <v>386.37362200000001</v>
      </c>
      <c r="P207" t="s">
        <v>21</v>
      </c>
      <c r="Q207">
        <v>1</v>
      </c>
      <c r="W207">
        <v>1</v>
      </c>
      <c r="X207">
        <v>0</v>
      </c>
      <c r="AA207" t="s">
        <v>269</v>
      </c>
      <c r="AB207" t="s">
        <v>270</v>
      </c>
      <c r="AC207" t="s">
        <v>227</v>
      </c>
      <c r="AD207" t="s">
        <v>154</v>
      </c>
      <c r="AE207">
        <v>109.354</v>
      </c>
      <c r="AF207">
        <v>1.080821157758461</v>
      </c>
      <c r="AG207">
        <v>118.1921168855188</v>
      </c>
      <c r="AH207">
        <v>779.31</v>
      </c>
      <c r="AI207">
        <v>0.879</v>
      </c>
      <c r="AJ207">
        <v>80.963194478237142</v>
      </c>
      <c r="AK207">
        <v>0.9899</v>
      </c>
      <c r="AL207">
        <v>80.144999999999996</v>
      </c>
      <c r="AM207">
        <v>8.9176000000000002</v>
      </c>
      <c r="AN207">
        <v>9.6383307564268552</v>
      </c>
      <c r="AO207">
        <v>0.80400000000000005</v>
      </c>
      <c r="AP207">
        <v>6039.0430235999738</v>
      </c>
      <c r="AQ207">
        <v>0.99199531433033972</v>
      </c>
      <c r="AR207">
        <v>5990.7024000000001</v>
      </c>
      <c r="AT207" t="s">
        <v>228</v>
      </c>
      <c r="AU207" t="s">
        <v>229</v>
      </c>
      <c r="AV207" t="s">
        <v>227</v>
      </c>
      <c r="AW207" t="s">
        <v>154</v>
      </c>
      <c r="AX207">
        <v>109.354</v>
      </c>
      <c r="AY207">
        <v>1.0833851741009131</v>
      </c>
      <c r="AZ207">
        <v>118.47250232863119</v>
      </c>
      <c r="BA207">
        <v>801.49</v>
      </c>
      <c r="BB207">
        <v>0.90500000000000003</v>
      </c>
      <c r="BC207">
        <v>85.933845931694037</v>
      </c>
      <c r="BD207">
        <v>0.99380000000000002</v>
      </c>
      <c r="BE207">
        <v>85.400999999999996</v>
      </c>
      <c r="BF207">
        <v>8.9176000000000002</v>
      </c>
      <c r="BG207">
        <v>0.77</v>
      </c>
      <c r="BH207">
        <v>5962.3807969390264</v>
      </c>
      <c r="BI207">
        <v>0.98418586489652482</v>
      </c>
      <c r="BJ207">
        <v>5868.0909000000001</v>
      </c>
    </row>
    <row r="208" spans="1:62" x14ac:dyDescent="0.25">
      <c r="A208">
        <v>2486</v>
      </c>
      <c r="B208" t="s">
        <v>118</v>
      </c>
      <c r="C208">
        <v>2021</v>
      </c>
      <c r="D208">
        <v>1</v>
      </c>
      <c r="E208" t="s">
        <v>218</v>
      </c>
      <c r="F208" t="s">
        <v>260</v>
      </c>
      <c r="G208" t="s">
        <v>261</v>
      </c>
      <c r="H208" t="s">
        <v>17</v>
      </c>
      <c r="I208" t="s">
        <v>263</v>
      </c>
      <c r="J208" t="s">
        <v>234</v>
      </c>
      <c r="K208">
        <v>-642.62569885000005</v>
      </c>
      <c r="L208" t="s">
        <v>234</v>
      </c>
      <c r="M208" t="s">
        <v>236</v>
      </c>
      <c r="N208">
        <v>1.9808691721710001E-2</v>
      </c>
      <c r="O208">
        <v>12.729574</v>
      </c>
      <c r="P208" t="s">
        <v>21</v>
      </c>
      <c r="Q208">
        <v>1</v>
      </c>
      <c r="W208">
        <v>1</v>
      </c>
      <c r="X208">
        <v>0</v>
      </c>
      <c r="AA208" t="s">
        <v>269</v>
      </c>
      <c r="AB208" t="s">
        <v>270</v>
      </c>
      <c r="AC208" t="s">
        <v>227</v>
      </c>
      <c r="AD208" t="s">
        <v>100</v>
      </c>
      <c r="AE208">
        <v>109.354</v>
      </c>
      <c r="AF208">
        <v>1.080821157758461</v>
      </c>
      <c r="AG208">
        <v>118.1921168855188</v>
      </c>
      <c r="AH208">
        <v>779.31</v>
      </c>
      <c r="AI208">
        <v>0.879</v>
      </c>
      <c r="AJ208">
        <v>80.963194478237142</v>
      </c>
      <c r="AK208">
        <v>0.96560000000000001</v>
      </c>
      <c r="AL208">
        <v>78.177999999999997</v>
      </c>
      <c r="AM208">
        <v>8.9176000000000002</v>
      </c>
      <c r="AN208">
        <v>9.6383307564268552</v>
      </c>
      <c r="AO208">
        <v>0.80400000000000005</v>
      </c>
      <c r="AP208">
        <v>6039.0430235999738</v>
      </c>
      <c r="AQ208">
        <v>0.98955375253549693</v>
      </c>
      <c r="AR208">
        <v>5975.9576999999999</v>
      </c>
      <c r="AT208" t="s">
        <v>228</v>
      </c>
      <c r="AU208" t="s">
        <v>229</v>
      </c>
      <c r="AV208" t="s">
        <v>227</v>
      </c>
      <c r="AW208" t="s">
        <v>100</v>
      </c>
      <c r="AX208">
        <v>109.354</v>
      </c>
      <c r="AY208">
        <v>1.0833851741009131</v>
      </c>
      <c r="AZ208">
        <v>118.47250232863119</v>
      </c>
      <c r="BA208">
        <v>801.49</v>
      </c>
      <c r="BB208">
        <v>0.90500000000000003</v>
      </c>
      <c r="BC208">
        <v>85.933845931694037</v>
      </c>
      <c r="BD208">
        <v>0.94550000000000001</v>
      </c>
      <c r="BE208">
        <v>81.25</v>
      </c>
      <c r="BF208">
        <v>8.9176000000000002</v>
      </c>
      <c r="BG208">
        <v>0.77</v>
      </c>
      <c r="BH208">
        <v>5962.3807969390264</v>
      </c>
      <c r="BI208">
        <v>1.0003042596348879</v>
      </c>
      <c r="BJ208">
        <v>5964.1949000000004</v>
      </c>
    </row>
    <row r="209" spans="1:62" x14ac:dyDescent="0.25">
      <c r="A209">
        <v>2488</v>
      </c>
      <c r="B209" t="s">
        <v>118</v>
      </c>
      <c r="C209">
        <v>2021</v>
      </c>
      <c r="D209">
        <v>1</v>
      </c>
      <c r="E209" t="s">
        <v>218</v>
      </c>
      <c r="F209" t="s">
        <v>260</v>
      </c>
      <c r="G209" t="s">
        <v>261</v>
      </c>
      <c r="H209" t="s">
        <v>17</v>
      </c>
      <c r="I209" t="s">
        <v>263</v>
      </c>
      <c r="J209" t="s">
        <v>234</v>
      </c>
      <c r="K209">
        <v>-642.62569885000005</v>
      </c>
      <c r="L209" t="s">
        <v>234</v>
      </c>
      <c r="M209" t="s">
        <v>237</v>
      </c>
      <c r="N209">
        <v>0.39660634608572998</v>
      </c>
      <c r="O209">
        <v>254.86942999999999</v>
      </c>
      <c r="P209" t="s">
        <v>21</v>
      </c>
      <c r="Q209">
        <v>1</v>
      </c>
      <c r="W209">
        <v>1</v>
      </c>
      <c r="X209">
        <v>0</v>
      </c>
      <c r="AA209" t="s">
        <v>269</v>
      </c>
      <c r="AB209" t="s">
        <v>270</v>
      </c>
      <c r="AC209" t="s">
        <v>227</v>
      </c>
      <c r="AD209" t="s">
        <v>101</v>
      </c>
      <c r="AE209">
        <v>109.354</v>
      </c>
      <c r="AF209">
        <v>1.080821157758461</v>
      </c>
      <c r="AG209">
        <v>118.1921168855188</v>
      </c>
      <c r="AH209">
        <v>779.31</v>
      </c>
      <c r="AI209">
        <v>0.879</v>
      </c>
      <c r="AJ209">
        <v>80.963194478237142</v>
      </c>
      <c r="AK209">
        <v>1.0097</v>
      </c>
      <c r="AL209">
        <v>81.748999999999995</v>
      </c>
      <c r="AM209">
        <v>8.9176000000000002</v>
      </c>
      <c r="AN209">
        <v>9.6383307564268552</v>
      </c>
      <c r="AO209">
        <v>0.80400000000000005</v>
      </c>
      <c r="AP209">
        <v>6039.0430235999738</v>
      </c>
      <c r="AQ209">
        <v>1.0276539708265799</v>
      </c>
      <c r="AR209">
        <v>6206.0465000000004</v>
      </c>
      <c r="AT209" t="s">
        <v>228</v>
      </c>
      <c r="AU209" t="s">
        <v>229</v>
      </c>
      <c r="AV209" t="s">
        <v>227</v>
      </c>
      <c r="AW209" t="s">
        <v>101</v>
      </c>
      <c r="AX209">
        <v>109.354</v>
      </c>
      <c r="AY209">
        <v>1.0833851741009131</v>
      </c>
      <c r="AZ209">
        <v>118.47250232863119</v>
      </c>
      <c r="BA209">
        <v>801.49</v>
      </c>
      <c r="BB209">
        <v>0.90500000000000003</v>
      </c>
      <c r="BC209">
        <v>85.933845931694037</v>
      </c>
      <c r="BD209">
        <v>1.0154000000000001</v>
      </c>
      <c r="BE209">
        <v>87.257000000000005</v>
      </c>
      <c r="BF209">
        <v>8.9176000000000002</v>
      </c>
      <c r="BG209">
        <v>0.77</v>
      </c>
      <c r="BH209">
        <v>5962.3807969390264</v>
      </c>
      <c r="BI209">
        <v>1.0150931928687199</v>
      </c>
      <c r="BJ209">
        <v>6052.3721999999998</v>
      </c>
    </row>
    <row r="210" spans="1:62" x14ac:dyDescent="0.25">
      <c r="A210">
        <v>2482</v>
      </c>
      <c r="B210" t="s">
        <v>118</v>
      </c>
      <c r="C210">
        <v>2021</v>
      </c>
      <c r="D210">
        <v>1</v>
      </c>
      <c r="E210" t="s">
        <v>218</v>
      </c>
      <c r="F210" t="s">
        <v>260</v>
      </c>
      <c r="G210" t="s">
        <v>261</v>
      </c>
      <c r="H210" t="s">
        <v>17</v>
      </c>
      <c r="I210" t="s">
        <v>264</v>
      </c>
      <c r="J210" t="s">
        <v>239</v>
      </c>
      <c r="K210">
        <v>-122.42483491</v>
      </c>
      <c r="L210" t="s">
        <v>240</v>
      </c>
      <c r="M210" t="s">
        <v>224</v>
      </c>
      <c r="N210">
        <v>1.1109205873409999E-2</v>
      </c>
      <c r="O210">
        <v>1.3600429999999999</v>
      </c>
      <c r="P210" t="s">
        <v>21</v>
      </c>
      <c r="Q210">
        <v>1</v>
      </c>
      <c r="W210">
        <v>1</v>
      </c>
      <c r="X210">
        <v>0</v>
      </c>
      <c r="AA210" t="s">
        <v>269</v>
      </c>
      <c r="AB210" t="s">
        <v>270</v>
      </c>
      <c r="AC210" t="s">
        <v>227</v>
      </c>
      <c r="AD210" t="s">
        <v>153</v>
      </c>
      <c r="AE210">
        <v>109.354</v>
      </c>
      <c r="AF210">
        <v>1.080821157758461</v>
      </c>
      <c r="AG210">
        <v>118.1921168855188</v>
      </c>
      <c r="AH210">
        <v>779.31</v>
      </c>
      <c r="AI210">
        <v>0.879</v>
      </c>
      <c r="AJ210">
        <v>80.963194478237142</v>
      </c>
      <c r="AK210">
        <v>1.0078</v>
      </c>
      <c r="AL210">
        <v>81.594999999999999</v>
      </c>
      <c r="AM210">
        <v>8.9176000000000002</v>
      </c>
      <c r="AN210">
        <v>9.6383307564268552</v>
      </c>
      <c r="AO210">
        <v>0.80400000000000005</v>
      </c>
      <c r="AP210">
        <v>6039.0430235999738</v>
      </c>
      <c r="AQ210">
        <v>1</v>
      </c>
      <c r="AR210">
        <v>6039.0429999999997</v>
      </c>
      <c r="AT210" t="s">
        <v>228</v>
      </c>
      <c r="AU210" t="s">
        <v>229</v>
      </c>
      <c r="AV210" t="s">
        <v>227</v>
      </c>
      <c r="AW210" t="s">
        <v>153</v>
      </c>
      <c r="AX210">
        <v>109.354</v>
      </c>
      <c r="AY210">
        <v>1.0833851741009131</v>
      </c>
      <c r="AZ210">
        <v>118.47250232863119</v>
      </c>
      <c r="BA210">
        <v>801.49</v>
      </c>
      <c r="BB210">
        <v>0.90500000000000003</v>
      </c>
      <c r="BC210">
        <v>85.933845931694037</v>
      </c>
      <c r="BD210">
        <v>1.0470999999999999</v>
      </c>
      <c r="BE210">
        <v>89.980999999999995</v>
      </c>
      <c r="BF210">
        <v>8.9176000000000002</v>
      </c>
      <c r="BG210">
        <v>0.77</v>
      </c>
      <c r="BH210">
        <v>5962.3807969390264</v>
      </c>
      <c r="BI210">
        <v>1</v>
      </c>
      <c r="BJ210">
        <v>5962.3807999999999</v>
      </c>
    </row>
    <row r="211" spans="1:62" x14ac:dyDescent="0.25">
      <c r="A211">
        <v>2484</v>
      </c>
      <c r="B211" t="s">
        <v>118</v>
      </c>
      <c r="C211">
        <v>2021</v>
      </c>
      <c r="D211">
        <v>1</v>
      </c>
      <c r="E211" t="s">
        <v>218</v>
      </c>
      <c r="F211" t="s">
        <v>260</v>
      </c>
      <c r="G211" t="s">
        <v>261</v>
      </c>
      <c r="H211" t="s">
        <v>17</v>
      </c>
      <c r="I211" t="s">
        <v>264</v>
      </c>
      <c r="J211" t="s">
        <v>239</v>
      </c>
      <c r="K211">
        <v>-122.42483491</v>
      </c>
      <c r="L211" t="s">
        <v>240</v>
      </c>
      <c r="M211" t="s">
        <v>235</v>
      </c>
      <c r="N211">
        <v>0.58148407621825005</v>
      </c>
      <c r="O211">
        <v>71.188091999999997</v>
      </c>
      <c r="P211" t="s">
        <v>21</v>
      </c>
      <c r="Q211">
        <v>1</v>
      </c>
      <c r="W211">
        <v>1</v>
      </c>
      <c r="X211">
        <v>0</v>
      </c>
      <c r="AA211" t="s">
        <v>269</v>
      </c>
      <c r="AB211" t="s">
        <v>270</v>
      </c>
      <c r="AC211" t="s">
        <v>227</v>
      </c>
      <c r="AD211" t="s">
        <v>154</v>
      </c>
      <c r="AE211">
        <v>109.354</v>
      </c>
      <c r="AF211">
        <v>1.080821157758461</v>
      </c>
      <c r="AG211">
        <v>118.1921168855188</v>
      </c>
      <c r="AH211">
        <v>779.31</v>
      </c>
      <c r="AI211">
        <v>0.879</v>
      </c>
      <c r="AJ211">
        <v>80.963194478237142</v>
      </c>
      <c r="AK211">
        <v>0.9899</v>
      </c>
      <c r="AL211">
        <v>80.144999999999996</v>
      </c>
      <c r="AM211">
        <v>8.9176000000000002</v>
      </c>
      <c r="AN211">
        <v>9.6383307564268552</v>
      </c>
      <c r="AO211">
        <v>0.80400000000000005</v>
      </c>
      <c r="AP211">
        <v>6039.0430235999738</v>
      </c>
      <c r="AQ211">
        <v>0.99199531433033972</v>
      </c>
      <c r="AR211">
        <v>5990.7024000000001</v>
      </c>
      <c r="AT211" t="s">
        <v>228</v>
      </c>
      <c r="AU211" t="s">
        <v>229</v>
      </c>
      <c r="AV211" t="s">
        <v>227</v>
      </c>
      <c r="AW211" t="s">
        <v>154</v>
      </c>
      <c r="AX211">
        <v>109.354</v>
      </c>
      <c r="AY211">
        <v>1.0833851741009131</v>
      </c>
      <c r="AZ211">
        <v>118.47250232863119</v>
      </c>
      <c r="BA211">
        <v>801.49</v>
      </c>
      <c r="BB211">
        <v>0.90500000000000003</v>
      </c>
      <c r="BC211">
        <v>85.933845931694037</v>
      </c>
      <c r="BD211">
        <v>0.99380000000000002</v>
      </c>
      <c r="BE211">
        <v>85.400999999999996</v>
      </c>
      <c r="BF211">
        <v>8.9176000000000002</v>
      </c>
      <c r="BG211">
        <v>0.77</v>
      </c>
      <c r="BH211">
        <v>5962.3807969390264</v>
      </c>
      <c r="BI211">
        <v>0.98418586489652482</v>
      </c>
      <c r="BJ211">
        <v>5868.0909000000001</v>
      </c>
    </row>
    <row r="212" spans="1:62" x14ac:dyDescent="0.25">
      <c r="A212">
        <v>2486</v>
      </c>
      <c r="B212" t="s">
        <v>118</v>
      </c>
      <c r="C212">
        <v>2021</v>
      </c>
      <c r="D212">
        <v>1</v>
      </c>
      <c r="E212" t="s">
        <v>218</v>
      </c>
      <c r="F212" t="s">
        <v>260</v>
      </c>
      <c r="G212" t="s">
        <v>261</v>
      </c>
      <c r="H212" t="s">
        <v>17</v>
      </c>
      <c r="I212" t="s">
        <v>264</v>
      </c>
      <c r="J212" t="s">
        <v>239</v>
      </c>
      <c r="K212">
        <v>-122.42483491</v>
      </c>
      <c r="L212" t="s">
        <v>240</v>
      </c>
      <c r="M212" t="s">
        <v>236</v>
      </c>
      <c r="N212">
        <v>1.8083569973560001E-2</v>
      </c>
      <c r="O212">
        <v>2.2138779999999998</v>
      </c>
      <c r="P212" t="s">
        <v>21</v>
      </c>
      <c r="Q212">
        <v>1</v>
      </c>
      <c r="W212">
        <v>1</v>
      </c>
      <c r="X212">
        <v>0</v>
      </c>
      <c r="AA212" t="s">
        <v>269</v>
      </c>
      <c r="AB212" t="s">
        <v>270</v>
      </c>
      <c r="AC212" t="s">
        <v>227</v>
      </c>
      <c r="AD212" t="s">
        <v>100</v>
      </c>
      <c r="AE212">
        <v>109.354</v>
      </c>
      <c r="AF212">
        <v>1.080821157758461</v>
      </c>
      <c r="AG212">
        <v>118.1921168855188</v>
      </c>
      <c r="AH212">
        <v>779.31</v>
      </c>
      <c r="AI212">
        <v>0.879</v>
      </c>
      <c r="AJ212">
        <v>80.963194478237142</v>
      </c>
      <c r="AK212">
        <v>0.96560000000000001</v>
      </c>
      <c r="AL212">
        <v>78.177999999999997</v>
      </c>
      <c r="AM212">
        <v>8.9176000000000002</v>
      </c>
      <c r="AN212">
        <v>9.6383307564268552</v>
      </c>
      <c r="AO212">
        <v>0.80400000000000005</v>
      </c>
      <c r="AP212">
        <v>6039.0430235999738</v>
      </c>
      <c r="AQ212">
        <v>0.98955375253549693</v>
      </c>
      <c r="AR212">
        <v>5975.9576999999999</v>
      </c>
      <c r="AT212" t="s">
        <v>228</v>
      </c>
      <c r="AU212" t="s">
        <v>229</v>
      </c>
      <c r="AV212" t="s">
        <v>227</v>
      </c>
      <c r="AW212" t="s">
        <v>100</v>
      </c>
      <c r="AX212">
        <v>109.354</v>
      </c>
      <c r="AY212">
        <v>1.0833851741009131</v>
      </c>
      <c r="AZ212">
        <v>118.47250232863119</v>
      </c>
      <c r="BA212">
        <v>801.49</v>
      </c>
      <c r="BB212">
        <v>0.90500000000000003</v>
      </c>
      <c r="BC212">
        <v>85.933845931694037</v>
      </c>
      <c r="BD212">
        <v>0.94550000000000001</v>
      </c>
      <c r="BE212">
        <v>81.25</v>
      </c>
      <c r="BF212">
        <v>8.9176000000000002</v>
      </c>
      <c r="BG212">
        <v>0.77</v>
      </c>
      <c r="BH212">
        <v>5962.3807969390264</v>
      </c>
      <c r="BI212">
        <v>1.0003042596348879</v>
      </c>
      <c r="BJ212">
        <v>5964.1949000000004</v>
      </c>
    </row>
    <row r="213" spans="1:62" x14ac:dyDescent="0.25">
      <c r="A213">
        <v>2488</v>
      </c>
      <c r="B213" t="s">
        <v>118</v>
      </c>
      <c r="C213">
        <v>2021</v>
      </c>
      <c r="D213">
        <v>1</v>
      </c>
      <c r="E213" t="s">
        <v>218</v>
      </c>
      <c r="F213" t="s">
        <v>260</v>
      </c>
      <c r="G213" t="s">
        <v>261</v>
      </c>
      <c r="H213" t="s">
        <v>17</v>
      </c>
      <c r="I213" t="s">
        <v>264</v>
      </c>
      <c r="J213" t="s">
        <v>239</v>
      </c>
      <c r="K213">
        <v>-122.42483491</v>
      </c>
      <c r="L213" t="s">
        <v>240</v>
      </c>
      <c r="M213" t="s">
        <v>237</v>
      </c>
      <c r="N213">
        <v>0.41680683696206</v>
      </c>
      <c r="O213">
        <v>51.027507999999997</v>
      </c>
      <c r="P213" t="s">
        <v>21</v>
      </c>
      <c r="Q213">
        <v>1</v>
      </c>
      <c r="W213">
        <v>1</v>
      </c>
      <c r="X213">
        <v>0</v>
      </c>
      <c r="AA213" t="s">
        <v>269</v>
      </c>
      <c r="AB213" t="s">
        <v>270</v>
      </c>
      <c r="AC213" t="s">
        <v>227</v>
      </c>
      <c r="AD213" t="s">
        <v>101</v>
      </c>
      <c r="AE213">
        <v>109.354</v>
      </c>
      <c r="AF213">
        <v>1.080821157758461</v>
      </c>
      <c r="AG213">
        <v>118.1921168855188</v>
      </c>
      <c r="AH213">
        <v>779.31</v>
      </c>
      <c r="AI213">
        <v>0.879</v>
      </c>
      <c r="AJ213">
        <v>80.963194478237142</v>
      </c>
      <c r="AK213">
        <v>1.0097</v>
      </c>
      <c r="AL213">
        <v>81.748999999999995</v>
      </c>
      <c r="AM213">
        <v>8.9176000000000002</v>
      </c>
      <c r="AN213">
        <v>9.6383307564268552</v>
      </c>
      <c r="AO213">
        <v>0.80400000000000005</v>
      </c>
      <c r="AP213">
        <v>6039.0430235999738</v>
      </c>
      <c r="AQ213">
        <v>1.0276539708265799</v>
      </c>
      <c r="AR213">
        <v>6206.0465000000004</v>
      </c>
      <c r="AT213" t="s">
        <v>228</v>
      </c>
      <c r="AU213" t="s">
        <v>229</v>
      </c>
      <c r="AV213" t="s">
        <v>227</v>
      </c>
      <c r="AW213" t="s">
        <v>101</v>
      </c>
      <c r="AX213">
        <v>109.354</v>
      </c>
      <c r="AY213">
        <v>1.0833851741009131</v>
      </c>
      <c r="AZ213">
        <v>118.47250232863119</v>
      </c>
      <c r="BA213">
        <v>801.49</v>
      </c>
      <c r="BB213">
        <v>0.90500000000000003</v>
      </c>
      <c r="BC213">
        <v>85.933845931694037</v>
      </c>
      <c r="BD213">
        <v>1.0154000000000001</v>
      </c>
      <c r="BE213">
        <v>87.257000000000005</v>
      </c>
      <c r="BF213">
        <v>8.9176000000000002</v>
      </c>
      <c r="BG213">
        <v>0.77</v>
      </c>
      <c r="BH213">
        <v>5962.3807969390264</v>
      </c>
      <c r="BI213">
        <v>1.0150931928687199</v>
      </c>
      <c r="BJ213">
        <v>6052.3721999999998</v>
      </c>
    </row>
    <row r="214" spans="1:62" x14ac:dyDescent="0.25">
      <c r="A214">
        <v>3728</v>
      </c>
      <c r="B214" t="s">
        <v>118</v>
      </c>
      <c r="C214">
        <v>2021</v>
      </c>
      <c r="D214">
        <v>1</v>
      </c>
      <c r="E214" t="s">
        <v>218</v>
      </c>
      <c r="F214" t="s">
        <v>260</v>
      </c>
      <c r="G214" t="s">
        <v>261</v>
      </c>
      <c r="H214" t="s">
        <v>17</v>
      </c>
      <c r="I214" t="s">
        <v>265</v>
      </c>
      <c r="J214" t="s">
        <v>242</v>
      </c>
      <c r="K214">
        <v>-45.879920419999998</v>
      </c>
      <c r="L214" t="s">
        <v>242</v>
      </c>
      <c r="M214" t="s">
        <v>235</v>
      </c>
      <c r="N214">
        <v>0.67001574769252004</v>
      </c>
      <c r="O214">
        <v>30.740269000000001</v>
      </c>
      <c r="P214" t="s">
        <v>21</v>
      </c>
      <c r="Q214">
        <v>1</v>
      </c>
      <c r="W214">
        <v>1</v>
      </c>
      <c r="X214">
        <v>0</v>
      </c>
      <c r="AA214" t="s">
        <v>269</v>
      </c>
      <c r="AB214" t="s">
        <v>270</v>
      </c>
      <c r="AC214" t="s">
        <v>227</v>
      </c>
      <c r="AD214" t="s">
        <v>154</v>
      </c>
      <c r="AE214">
        <v>109.354</v>
      </c>
      <c r="AF214">
        <v>1.080821157758461</v>
      </c>
      <c r="AG214">
        <v>118.1921168855188</v>
      </c>
      <c r="AH214">
        <v>779.31</v>
      </c>
      <c r="AI214">
        <v>0.879</v>
      </c>
      <c r="AJ214">
        <v>80.963194478237142</v>
      </c>
      <c r="AK214">
        <v>0.9899</v>
      </c>
      <c r="AL214">
        <v>80.144999999999996</v>
      </c>
      <c r="AM214">
        <v>8.9176000000000002</v>
      </c>
      <c r="AN214">
        <v>9.6383307564268552</v>
      </c>
      <c r="AO214">
        <v>0.80400000000000005</v>
      </c>
      <c r="AP214">
        <v>6039.0430235999738</v>
      </c>
      <c r="AQ214">
        <v>0.99199531433033972</v>
      </c>
      <c r="AR214">
        <v>5990.7024000000001</v>
      </c>
      <c r="AT214" t="s">
        <v>228</v>
      </c>
      <c r="AU214" t="s">
        <v>229</v>
      </c>
      <c r="AV214" t="s">
        <v>227</v>
      </c>
      <c r="AW214" t="s">
        <v>154</v>
      </c>
      <c r="AX214">
        <v>109.354</v>
      </c>
      <c r="AY214">
        <v>1.0833851741009131</v>
      </c>
      <c r="AZ214">
        <v>118.47250232863119</v>
      </c>
      <c r="BA214">
        <v>801.49</v>
      </c>
      <c r="BB214">
        <v>0.90500000000000003</v>
      </c>
      <c r="BC214">
        <v>85.933845931694037</v>
      </c>
      <c r="BD214">
        <v>0.99380000000000002</v>
      </c>
      <c r="BE214">
        <v>85.400999999999996</v>
      </c>
      <c r="BF214">
        <v>8.9176000000000002</v>
      </c>
      <c r="BG214">
        <v>0.77</v>
      </c>
      <c r="BH214">
        <v>5962.3807969390264</v>
      </c>
      <c r="BI214">
        <v>0.98418586489652482</v>
      </c>
      <c r="BJ214">
        <v>5868.0909000000001</v>
      </c>
    </row>
    <row r="215" spans="1:62" x14ac:dyDescent="0.25">
      <c r="A215">
        <v>3730</v>
      </c>
      <c r="B215" t="s">
        <v>118</v>
      </c>
      <c r="C215">
        <v>2021</v>
      </c>
      <c r="D215">
        <v>1</v>
      </c>
      <c r="E215" t="s">
        <v>218</v>
      </c>
      <c r="F215" t="s">
        <v>260</v>
      </c>
      <c r="G215" t="s">
        <v>261</v>
      </c>
      <c r="H215" t="s">
        <v>17</v>
      </c>
      <c r="I215" t="s">
        <v>265</v>
      </c>
      <c r="J215" t="s">
        <v>242</v>
      </c>
      <c r="K215">
        <v>-45.879920419999998</v>
      </c>
      <c r="L215" t="s">
        <v>242</v>
      </c>
      <c r="M215" t="s">
        <v>236</v>
      </c>
      <c r="N215">
        <v>1.442552100634E-2</v>
      </c>
      <c r="O215">
        <v>0.66184200000000004</v>
      </c>
      <c r="P215" t="s">
        <v>21</v>
      </c>
      <c r="Q215">
        <v>1</v>
      </c>
      <c r="W215">
        <v>1</v>
      </c>
      <c r="X215">
        <v>0</v>
      </c>
      <c r="AA215" t="s">
        <v>269</v>
      </c>
      <c r="AB215" t="s">
        <v>270</v>
      </c>
      <c r="AC215" t="s">
        <v>227</v>
      </c>
      <c r="AD215" t="s">
        <v>100</v>
      </c>
      <c r="AE215">
        <v>109.354</v>
      </c>
      <c r="AF215">
        <v>1.080821157758461</v>
      </c>
      <c r="AG215">
        <v>118.1921168855188</v>
      </c>
      <c r="AH215">
        <v>779.31</v>
      </c>
      <c r="AI215">
        <v>0.879</v>
      </c>
      <c r="AJ215">
        <v>80.963194478237142</v>
      </c>
      <c r="AK215">
        <v>0.96560000000000001</v>
      </c>
      <c r="AL215">
        <v>78.177999999999997</v>
      </c>
      <c r="AM215">
        <v>8.9176000000000002</v>
      </c>
      <c r="AN215">
        <v>9.6383307564268552</v>
      </c>
      <c r="AO215">
        <v>0.80400000000000005</v>
      </c>
      <c r="AP215">
        <v>6039.0430235999738</v>
      </c>
      <c r="AQ215">
        <v>0.98955375253549693</v>
      </c>
      <c r="AR215">
        <v>5975.9576999999999</v>
      </c>
      <c r="AT215" t="s">
        <v>228</v>
      </c>
      <c r="AU215" t="s">
        <v>229</v>
      </c>
      <c r="AV215" t="s">
        <v>227</v>
      </c>
      <c r="AW215" t="s">
        <v>100</v>
      </c>
      <c r="AX215">
        <v>109.354</v>
      </c>
      <c r="AY215">
        <v>1.0833851741009131</v>
      </c>
      <c r="AZ215">
        <v>118.47250232863119</v>
      </c>
      <c r="BA215">
        <v>801.49</v>
      </c>
      <c r="BB215">
        <v>0.90500000000000003</v>
      </c>
      <c r="BC215">
        <v>85.933845931694037</v>
      </c>
      <c r="BD215">
        <v>0.94550000000000001</v>
      </c>
      <c r="BE215">
        <v>81.25</v>
      </c>
      <c r="BF215">
        <v>8.9176000000000002</v>
      </c>
      <c r="BG215">
        <v>0.77</v>
      </c>
      <c r="BH215">
        <v>5962.3807969390264</v>
      </c>
      <c r="BI215">
        <v>1.0003042596348879</v>
      </c>
      <c r="BJ215">
        <v>5964.1949000000004</v>
      </c>
    </row>
    <row r="216" spans="1:62" x14ac:dyDescent="0.25">
      <c r="A216">
        <v>3732</v>
      </c>
      <c r="B216" t="s">
        <v>118</v>
      </c>
      <c r="C216">
        <v>2021</v>
      </c>
      <c r="D216">
        <v>1</v>
      </c>
      <c r="E216" t="s">
        <v>218</v>
      </c>
      <c r="F216" t="s">
        <v>260</v>
      </c>
      <c r="G216" t="s">
        <v>261</v>
      </c>
      <c r="H216" t="s">
        <v>17</v>
      </c>
      <c r="I216" t="s">
        <v>265</v>
      </c>
      <c r="J216" t="s">
        <v>242</v>
      </c>
      <c r="K216">
        <v>-45.879920419999998</v>
      </c>
      <c r="L216" t="s">
        <v>242</v>
      </c>
      <c r="M216" t="s">
        <v>237</v>
      </c>
      <c r="N216">
        <v>0.37405093967954001</v>
      </c>
      <c r="O216">
        <v>17.161427</v>
      </c>
      <c r="P216" t="s">
        <v>21</v>
      </c>
      <c r="Q216">
        <v>1</v>
      </c>
      <c r="W216">
        <v>1</v>
      </c>
      <c r="X216">
        <v>0</v>
      </c>
      <c r="AA216" t="s">
        <v>269</v>
      </c>
      <c r="AB216" t="s">
        <v>270</v>
      </c>
      <c r="AC216" t="s">
        <v>227</v>
      </c>
      <c r="AD216" t="s">
        <v>101</v>
      </c>
      <c r="AE216">
        <v>109.354</v>
      </c>
      <c r="AF216">
        <v>1.080821157758461</v>
      </c>
      <c r="AG216">
        <v>118.1921168855188</v>
      </c>
      <c r="AH216">
        <v>779.31</v>
      </c>
      <c r="AI216">
        <v>0.879</v>
      </c>
      <c r="AJ216">
        <v>80.963194478237142</v>
      </c>
      <c r="AK216">
        <v>1.0097</v>
      </c>
      <c r="AL216">
        <v>81.748999999999995</v>
      </c>
      <c r="AM216">
        <v>8.9176000000000002</v>
      </c>
      <c r="AN216">
        <v>9.6383307564268552</v>
      </c>
      <c r="AO216">
        <v>0.80400000000000005</v>
      </c>
      <c r="AP216">
        <v>6039.0430235999738</v>
      </c>
      <c r="AQ216">
        <v>1.0276539708265799</v>
      </c>
      <c r="AR216">
        <v>6206.0465000000004</v>
      </c>
      <c r="AT216" t="s">
        <v>228</v>
      </c>
      <c r="AU216" t="s">
        <v>229</v>
      </c>
      <c r="AV216" t="s">
        <v>227</v>
      </c>
      <c r="AW216" t="s">
        <v>101</v>
      </c>
      <c r="AX216">
        <v>109.354</v>
      </c>
      <c r="AY216">
        <v>1.0833851741009131</v>
      </c>
      <c r="AZ216">
        <v>118.47250232863119</v>
      </c>
      <c r="BA216">
        <v>801.49</v>
      </c>
      <c r="BB216">
        <v>0.90500000000000003</v>
      </c>
      <c r="BC216">
        <v>85.933845931694037</v>
      </c>
      <c r="BD216">
        <v>1.0154000000000001</v>
      </c>
      <c r="BE216">
        <v>87.257000000000005</v>
      </c>
      <c r="BF216">
        <v>8.9176000000000002</v>
      </c>
      <c r="BG216">
        <v>0.77</v>
      </c>
      <c r="BH216">
        <v>5962.3807969390264</v>
      </c>
      <c r="BI216">
        <v>1.0150931928687199</v>
      </c>
      <c r="BJ216">
        <v>6052.3721999999998</v>
      </c>
    </row>
    <row r="217" spans="1:62" x14ac:dyDescent="0.25">
      <c r="A217">
        <v>2482</v>
      </c>
      <c r="B217" t="s">
        <v>118</v>
      </c>
      <c r="C217">
        <v>2021</v>
      </c>
      <c r="D217">
        <v>1</v>
      </c>
      <c r="E217" t="s">
        <v>218</v>
      </c>
      <c r="F217" t="s">
        <v>260</v>
      </c>
      <c r="G217" t="s">
        <v>261</v>
      </c>
      <c r="H217" t="s">
        <v>17</v>
      </c>
      <c r="I217" t="s">
        <v>266</v>
      </c>
      <c r="J217" t="s">
        <v>244</v>
      </c>
      <c r="K217">
        <v>-106.79343711</v>
      </c>
      <c r="L217" t="s">
        <v>245</v>
      </c>
      <c r="M217" t="s">
        <v>224</v>
      </c>
      <c r="N217">
        <v>1.1026262910890001E-2</v>
      </c>
      <c r="O217">
        <v>1.1775329999999999</v>
      </c>
      <c r="P217" t="s">
        <v>21</v>
      </c>
      <c r="Q217">
        <v>1</v>
      </c>
      <c r="W217">
        <v>1</v>
      </c>
      <c r="X217">
        <v>0</v>
      </c>
      <c r="AA217" t="s">
        <v>269</v>
      </c>
      <c r="AB217" t="s">
        <v>270</v>
      </c>
      <c r="AC217" t="s">
        <v>227</v>
      </c>
      <c r="AD217" t="s">
        <v>153</v>
      </c>
      <c r="AE217">
        <v>109.354</v>
      </c>
      <c r="AF217">
        <v>1.080821157758461</v>
      </c>
      <c r="AG217">
        <v>118.1921168855188</v>
      </c>
      <c r="AH217">
        <v>779.31</v>
      </c>
      <c r="AI217">
        <v>0.879</v>
      </c>
      <c r="AJ217">
        <v>80.963194478237142</v>
      </c>
      <c r="AK217">
        <v>1.0078</v>
      </c>
      <c r="AL217">
        <v>81.594999999999999</v>
      </c>
      <c r="AM217">
        <v>8.9176000000000002</v>
      </c>
      <c r="AN217">
        <v>9.6383307564268552</v>
      </c>
      <c r="AO217">
        <v>0.80400000000000005</v>
      </c>
      <c r="AP217">
        <v>6039.0430235999738</v>
      </c>
      <c r="AQ217">
        <v>1</v>
      </c>
      <c r="AR217">
        <v>6039.0429999999997</v>
      </c>
      <c r="AT217" t="s">
        <v>228</v>
      </c>
      <c r="AU217" t="s">
        <v>229</v>
      </c>
      <c r="AV217" t="s">
        <v>227</v>
      </c>
      <c r="AW217" t="s">
        <v>153</v>
      </c>
      <c r="AX217">
        <v>109.354</v>
      </c>
      <c r="AY217">
        <v>1.0833851741009131</v>
      </c>
      <c r="AZ217">
        <v>118.47250232863119</v>
      </c>
      <c r="BA217">
        <v>801.49</v>
      </c>
      <c r="BB217">
        <v>0.90500000000000003</v>
      </c>
      <c r="BC217">
        <v>85.933845931694037</v>
      </c>
      <c r="BD217">
        <v>1.0470999999999999</v>
      </c>
      <c r="BE217">
        <v>89.980999999999995</v>
      </c>
      <c r="BF217">
        <v>8.9176000000000002</v>
      </c>
      <c r="BG217">
        <v>0.77</v>
      </c>
      <c r="BH217">
        <v>5962.3807969390264</v>
      </c>
      <c r="BI217">
        <v>1</v>
      </c>
      <c r="BJ217">
        <v>5962.3807999999999</v>
      </c>
    </row>
    <row r="218" spans="1:62" x14ac:dyDescent="0.25">
      <c r="A218">
        <v>2484</v>
      </c>
      <c r="B218" t="s">
        <v>118</v>
      </c>
      <c r="C218">
        <v>2021</v>
      </c>
      <c r="D218">
        <v>1</v>
      </c>
      <c r="E218" t="s">
        <v>218</v>
      </c>
      <c r="F218" t="s">
        <v>260</v>
      </c>
      <c r="G218" t="s">
        <v>261</v>
      </c>
      <c r="H218" t="s">
        <v>17</v>
      </c>
      <c r="I218" t="s">
        <v>266</v>
      </c>
      <c r="J218" t="s">
        <v>244</v>
      </c>
      <c r="K218">
        <v>-106.79343711</v>
      </c>
      <c r="L218" t="s">
        <v>245</v>
      </c>
      <c r="M218" t="s">
        <v>235</v>
      </c>
      <c r="N218">
        <v>0.60074557881113</v>
      </c>
      <c r="O218">
        <v>64.155685000000005</v>
      </c>
      <c r="P218" t="s">
        <v>21</v>
      </c>
      <c r="Q218">
        <v>1</v>
      </c>
      <c r="W218">
        <v>1</v>
      </c>
      <c r="X218">
        <v>0</v>
      </c>
      <c r="AA218" t="s">
        <v>269</v>
      </c>
      <c r="AB218" t="s">
        <v>270</v>
      </c>
      <c r="AC218" t="s">
        <v>227</v>
      </c>
      <c r="AD218" t="s">
        <v>154</v>
      </c>
      <c r="AE218">
        <v>109.354</v>
      </c>
      <c r="AF218">
        <v>1.080821157758461</v>
      </c>
      <c r="AG218">
        <v>118.1921168855188</v>
      </c>
      <c r="AH218">
        <v>779.31</v>
      </c>
      <c r="AI218">
        <v>0.879</v>
      </c>
      <c r="AJ218">
        <v>80.963194478237142</v>
      </c>
      <c r="AK218">
        <v>0.9899</v>
      </c>
      <c r="AL218">
        <v>80.144999999999996</v>
      </c>
      <c r="AM218">
        <v>8.9176000000000002</v>
      </c>
      <c r="AN218">
        <v>9.6383307564268552</v>
      </c>
      <c r="AO218">
        <v>0.80400000000000005</v>
      </c>
      <c r="AP218">
        <v>6039.0430235999738</v>
      </c>
      <c r="AQ218">
        <v>0.99199531433033972</v>
      </c>
      <c r="AR218">
        <v>5990.7024000000001</v>
      </c>
      <c r="AT218" t="s">
        <v>228</v>
      </c>
      <c r="AU218" t="s">
        <v>229</v>
      </c>
      <c r="AV218" t="s">
        <v>227</v>
      </c>
      <c r="AW218" t="s">
        <v>154</v>
      </c>
      <c r="AX218">
        <v>109.354</v>
      </c>
      <c r="AY218">
        <v>1.0833851741009131</v>
      </c>
      <c r="AZ218">
        <v>118.47250232863119</v>
      </c>
      <c r="BA218">
        <v>801.49</v>
      </c>
      <c r="BB218">
        <v>0.90500000000000003</v>
      </c>
      <c r="BC218">
        <v>85.933845931694037</v>
      </c>
      <c r="BD218">
        <v>0.99380000000000002</v>
      </c>
      <c r="BE218">
        <v>85.400999999999996</v>
      </c>
      <c r="BF218">
        <v>8.9176000000000002</v>
      </c>
      <c r="BG218">
        <v>0.77</v>
      </c>
      <c r="BH218">
        <v>5962.3807969390264</v>
      </c>
      <c r="BI218">
        <v>0.98418586489652482</v>
      </c>
      <c r="BJ218">
        <v>5868.0909000000001</v>
      </c>
    </row>
    <row r="219" spans="1:62" x14ac:dyDescent="0.25">
      <c r="A219">
        <v>2486</v>
      </c>
      <c r="B219" t="s">
        <v>118</v>
      </c>
      <c r="C219">
        <v>2021</v>
      </c>
      <c r="D219">
        <v>1</v>
      </c>
      <c r="E219" t="s">
        <v>218</v>
      </c>
      <c r="F219" t="s">
        <v>260</v>
      </c>
      <c r="G219" t="s">
        <v>261</v>
      </c>
      <c r="H219" t="s">
        <v>17</v>
      </c>
      <c r="I219" t="s">
        <v>266</v>
      </c>
      <c r="J219" t="s">
        <v>244</v>
      </c>
      <c r="K219">
        <v>-106.79343711</v>
      </c>
      <c r="L219" t="s">
        <v>245</v>
      </c>
      <c r="M219" t="s">
        <v>236</v>
      </c>
      <c r="N219">
        <v>1.775192921592E-2</v>
      </c>
      <c r="O219">
        <v>1.8957900000000001</v>
      </c>
      <c r="P219" t="s">
        <v>21</v>
      </c>
      <c r="Q219">
        <v>1</v>
      </c>
      <c r="W219">
        <v>1</v>
      </c>
      <c r="X219">
        <v>0</v>
      </c>
      <c r="AA219" t="s">
        <v>269</v>
      </c>
      <c r="AB219" t="s">
        <v>270</v>
      </c>
      <c r="AC219" t="s">
        <v>227</v>
      </c>
      <c r="AD219" t="s">
        <v>100</v>
      </c>
      <c r="AE219">
        <v>109.354</v>
      </c>
      <c r="AF219">
        <v>1.080821157758461</v>
      </c>
      <c r="AG219">
        <v>118.1921168855188</v>
      </c>
      <c r="AH219">
        <v>779.31</v>
      </c>
      <c r="AI219">
        <v>0.879</v>
      </c>
      <c r="AJ219">
        <v>80.963194478237142</v>
      </c>
      <c r="AK219">
        <v>0.96560000000000001</v>
      </c>
      <c r="AL219">
        <v>78.177999999999997</v>
      </c>
      <c r="AM219">
        <v>8.9176000000000002</v>
      </c>
      <c r="AN219">
        <v>9.6383307564268552</v>
      </c>
      <c r="AO219">
        <v>0.80400000000000005</v>
      </c>
      <c r="AP219">
        <v>6039.0430235999738</v>
      </c>
      <c r="AQ219">
        <v>0.98955375253549693</v>
      </c>
      <c r="AR219">
        <v>5975.9576999999999</v>
      </c>
      <c r="AT219" t="s">
        <v>228</v>
      </c>
      <c r="AU219" t="s">
        <v>229</v>
      </c>
      <c r="AV219" t="s">
        <v>227</v>
      </c>
      <c r="AW219" t="s">
        <v>100</v>
      </c>
      <c r="AX219">
        <v>109.354</v>
      </c>
      <c r="AY219">
        <v>1.0833851741009131</v>
      </c>
      <c r="AZ219">
        <v>118.47250232863119</v>
      </c>
      <c r="BA219">
        <v>801.49</v>
      </c>
      <c r="BB219">
        <v>0.90500000000000003</v>
      </c>
      <c r="BC219">
        <v>85.933845931694037</v>
      </c>
      <c r="BD219">
        <v>0.94550000000000001</v>
      </c>
      <c r="BE219">
        <v>81.25</v>
      </c>
      <c r="BF219">
        <v>8.9176000000000002</v>
      </c>
      <c r="BG219">
        <v>0.77</v>
      </c>
      <c r="BH219">
        <v>5962.3807969390264</v>
      </c>
      <c r="BI219">
        <v>1.0003042596348879</v>
      </c>
      <c r="BJ219">
        <v>5964.1949000000004</v>
      </c>
    </row>
    <row r="220" spans="1:62" x14ac:dyDescent="0.25">
      <c r="A220">
        <v>2488</v>
      </c>
      <c r="B220" t="s">
        <v>118</v>
      </c>
      <c r="C220">
        <v>2021</v>
      </c>
      <c r="D220">
        <v>1</v>
      </c>
      <c r="E220" t="s">
        <v>218</v>
      </c>
      <c r="F220" t="s">
        <v>260</v>
      </c>
      <c r="G220" t="s">
        <v>261</v>
      </c>
      <c r="H220" t="s">
        <v>17</v>
      </c>
      <c r="I220" t="s">
        <v>266</v>
      </c>
      <c r="J220" t="s">
        <v>244</v>
      </c>
      <c r="K220">
        <v>-106.79343711</v>
      </c>
      <c r="L220" t="s">
        <v>245</v>
      </c>
      <c r="M220" t="s">
        <v>237</v>
      </c>
      <c r="N220">
        <v>0.39766766032624001</v>
      </c>
      <c r="O220">
        <v>42.468296000000002</v>
      </c>
      <c r="P220" t="s">
        <v>21</v>
      </c>
      <c r="Q220">
        <v>1</v>
      </c>
      <c r="W220">
        <v>1</v>
      </c>
      <c r="X220">
        <v>0</v>
      </c>
      <c r="AA220" t="s">
        <v>269</v>
      </c>
      <c r="AB220" t="s">
        <v>270</v>
      </c>
      <c r="AC220" t="s">
        <v>227</v>
      </c>
      <c r="AD220" t="s">
        <v>101</v>
      </c>
      <c r="AE220">
        <v>109.354</v>
      </c>
      <c r="AF220">
        <v>1.080821157758461</v>
      </c>
      <c r="AG220">
        <v>118.1921168855188</v>
      </c>
      <c r="AH220">
        <v>779.31</v>
      </c>
      <c r="AI220">
        <v>0.879</v>
      </c>
      <c r="AJ220">
        <v>80.963194478237142</v>
      </c>
      <c r="AK220">
        <v>1.0097</v>
      </c>
      <c r="AL220">
        <v>81.748999999999995</v>
      </c>
      <c r="AM220">
        <v>8.9176000000000002</v>
      </c>
      <c r="AN220">
        <v>9.6383307564268552</v>
      </c>
      <c r="AO220">
        <v>0.80400000000000005</v>
      </c>
      <c r="AP220">
        <v>6039.0430235999738</v>
      </c>
      <c r="AQ220">
        <v>1.0276539708265799</v>
      </c>
      <c r="AR220">
        <v>6206.0465000000004</v>
      </c>
      <c r="AT220" t="s">
        <v>228</v>
      </c>
      <c r="AU220" t="s">
        <v>229</v>
      </c>
      <c r="AV220" t="s">
        <v>227</v>
      </c>
      <c r="AW220" t="s">
        <v>101</v>
      </c>
      <c r="AX220">
        <v>109.354</v>
      </c>
      <c r="AY220">
        <v>1.0833851741009131</v>
      </c>
      <c r="AZ220">
        <v>118.47250232863119</v>
      </c>
      <c r="BA220">
        <v>801.49</v>
      </c>
      <c r="BB220">
        <v>0.90500000000000003</v>
      </c>
      <c r="BC220">
        <v>85.933845931694037</v>
      </c>
      <c r="BD220">
        <v>1.0154000000000001</v>
      </c>
      <c r="BE220">
        <v>87.257000000000005</v>
      </c>
      <c r="BF220">
        <v>8.9176000000000002</v>
      </c>
      <c r="BG220">
        <v>0.77</v>
      </c>
      <c r="BH220">
        <v>5962.3807969390264</v>
      </c>
      <c r="BI220">
        <v>1.0150931928687199</v>
      </c>
      <c r="BJ220">
        <v>6052.3721999999998</v>
      </c>
    </row>
    <row r="221" spans="1:62" x14ac:dyDescent="0.25">
      <c r="A221">
        <v>4970</v>
      </c>
      <c r="B221" t="s">
        <v>118</v>
      </c>
      <c r="C221">
        <v>2021</v>
      </c>
      <c r="D221">
        <v>1</v>
      </c>
      <c r="E221" t="s">
        <v>218</v>
      </c>
      <c r="F221" t="s">
        <v>260</v>
      </c>
      <c r="G221" t="s">
        <v>261</v>
      </c>
      <c r="H221" t="s">
        <v>17</v>
      </c>
      <c r="I221" t="s">
        <v>267</v>
      </c>
      <c r="J221" t="s">
        <v>247</v>
      </c>
      <c r="K221">
        <v>-396.23133568999998</v>
      </c>
      <c r="L221" t="s">
        <v>248</v>
      </c>
      <c r="M221" t="s">
        <v>224</v>
      </c>
      <c r="N221">
        <v>4.9724862092599999E-3</v>
      </c>
      <c r="O221">
        <v>1.9702550000000001</v>
      </c>
      <c r="P221" t="s">
        <v>21</v>
      </c>
      <c r="Q221">
        <v>1</v>
      </c>
      <c r="W221">
        <v>1</v>
      </c>
      <c r="X221">
        <v>0</v>
      </c>
      <c r="AA221" t="s">
        <v>269</v>
      </c>
      <c r="AB221" t="s">
        <v>270</v>
      </c>
      <c r="AC221" t="s">
        <v>227</v>
      </c>
      <c r="AD221" t="s">
        <v>153</v>
      </c>
      <c r="AE221">
        <v>109.354</v>
      </c>
      <c r="AF221">
        <v>1.080821157758461</v>
      </c>
      <c r="AG221">
        <v>118.1921168855188</v>
      </c>
      <c r="AH221">
        <v>779.31</v>
      </c>
      <c r="AI221">
        <v>0.879</v>
      </c>
      <c r="AJ221">
        <v>80.963194478237142</v>
      </c>
      <c r="AK221">
        <v>1.0078</v>
      </c>
      <c r="AL221">
        <v>81.594999999999999</v>
      </c>
      <c r="AM221">
        <v>8.9176000000000002</v>
      </c>
      <c r="AN221">
        <v>9.6383307564268552</v>
      </c>
      <c r="AO221">
        <v>0.80400000000000005</v>
      </c>
      <c r="AP221">
        <v>6039.0430235999738</v>
      </c>
      <c r="AQ221">
        <v>1</v>
      </c>
      <c r="AR221">
        <v>6039.0429999999997</v>
      </c>
      <c r="AT221" t="s">
        <v>228</v>
      </c>
      <c r="AU221" t="s">
        <v>229</v>
      </c>
      <c r="AV221" t="s">
        <v>227</v>
      </c>
      <c r="AW221" t="s">
        <v>153</v>
      </c>
      <c r="AX221">
        <v>109.354</v>
      </c>
      <c r="AY221">
        <v>1.0833851741009131</v>
      </c>
      <c r="AZ221">
        <v>118.47250232863119</v>
      </c>
      <c r="BA221">
        <v>801.49</v>
      </c>
      <c r="BB221">
        <v>0.90500000000000003</v>
      </c>
      <c r="BC221">
        <v>85.933845931694037</v>
      </c>
      <c r="BD221">
        <v>1.0470999999999999</v>
      </c>
      <c r="BE221">
        <v>89.980999999999995</v>
      </c>
      <c r="BF221">
        <v>8.9176000000000002</v>
      </c>
      <c r="BG221">
        <v>0.77</v>
      </c>
      <c r="BH221">
        <v>5962.3807969390264</v>
      </c>
      <c r="BI221">
        <v>1</v>
      </c>
      <c r="BJ221">
        <v>5962.3807999999999</v>
      </c>
    </row>
    <row r="222" spans="1:62" x14ac:dyDescent="0.25">
      <c r="A222">
        <v>4972</v>
      </c>
      <c r="B222" t="s">
        <v>118</v>
      </c>
      <c r="C222">
        <v>2021</v>
      </c>
      <c r="D222">
        <v>1</v>
      </c>
      <c r="E222" t="s">
        <v>218</v>
      </c>
      <c r="F222" t="s">
        <v>260</v>
      </c>
      <c r="G222" t="s">
        <v>261</v>
      </c>
      <c r="H222" t="s">
        <v>17</v>
      </c>
      <c r="I222" t="s">
        <v>267</v>
      </c>
      <c r="J222" t="s">
        <v>247</v>
      </c>
      <c r="K222">
        <v>-396.23133568999998</v>
      </c>
      <c r="L222" t="s">
        <v>248</v>
      </c>
      <c r="M222" t="s">
        <v>235</v>
      </c>
      <c r="N222">
        <v>0.99209122360516</v>
      </c>
      <c r="O222">
        <v>393.09763099999998</v>
      </c>
      <c r="P222" t="s">
        <v>21</v>
      </c>
      <c r="Q222">
        <v>1</v>
      </c>
      <c r="W222">
        <v>1</v>
      </c>
      <c r="X222">
        <v>0</v>
      </c>
      <c r="AA222" t="s">
        <v>269</v>
      </c>
      <c r="AB222" t="s">
        <v>270</v>
      </c>
      <c r="AC222" t="s">
        <v>227</v>
      </c>
      <c r="AD222" t="s">
        <v>154</v>
      </c>
      <c r="AE222">
        <v>109.354</v>
      </c>
      <c r="AF222">
        <v>1.080821157758461</v>
      </c>
      <c r="AG222">
        <v>118.1921168855188</v>
      </c>
      <c r="AH222">
        <v>779.31</v>
      </c>
      <c r="AI222">
        <v>0.879</v>
      </c>
      <c r="AJ222">
        <v>80.963194478237142</v>
      </c>
      <c r="AK222">
        <v>0.9899</v>
      </c>
      <c r="AL222">
        <v>80.144999999999996</v>
      </c>
      <c r="AM222">
        <v>8.9176000000000002</v>
      </c>
      <c r="AN222">
        <v>9.6383307564268552</v>
      </c>
      <c r="AO222">
        <v>0.80400000000000005</v>
      </c>
      <c r="AP222">
        <v>6039.0430235999738</v>
      </c>
      <c r="AQ222">
        <v>0.99199531433033972</v>
      </c>
      <c r="AR222">
        <v>5990.7024000000001</v>
      </c>
      <c r="AT222" t="s">
        <v>228</v>
      </c>
      <c r="AU222" t="s">
        <v>229</v>
      </c>
      <c r="AV222" t="s">
        <v>227</v>
      </c>
      <c r="AW222" t="s">
        <v>154</v>
      </c>
      <c r="AX222">
        <v>109.354</v>
      </c>
      <c r="AY222">
        <v>1.0833851741009131</v>
      </c>
      <c r="AZ222">
        <v>118.47250232863119</v>
      </c>
      <c r="BA222">
        <v>801.49</v>
      </c>
      <c r="BB222">
        <v>0.90500000000000003</v>
      </c>
      <c r="BC222">
        <v>85.933845931694037</v>
      </c>
      <c r="BD222">
        <v>0.99380000000000002</v>
      </c>
      <c r="BE222">
        <v>85.400999999999996</v>
      </c>
      <c r="BF222">
        <v>8.9176000000000002</v>
      </c>
      <c r="BG222">
        <v>0.77</v>
      </c>
      <c r="BH222">
        <v>5962.3807969390264</v>
      </c>
      <c r="BI222">
        <v>0.98418586489652482</v>
      </c>
      <c r="BJ222">
        <v>5868.0909000000001</v>
      </c>
    </row>
    <row r="223" spans="1:62" x14ac:dyDescent="0.25">
      <c r="A223">
        <v>4974</v>
      </c>
      <c r="B223" t="s">
        <v>118</v>
      </c>
      <c r="C223">
        <v>2021</v>
      </c>
      <c r="D223">
        <v>1</v>
      </c>
      <c r="E223" t="s">
        <v>218</v>
      </c>
      <c r="F223" t="s">
        <v>260</v>
      </c>
      <c r="G223" t="s">
        <v>261</v>
      </c>
      <c r="H223" t="s">
        <v>17</v>
      </c>
      <c r="I223" t="s">
        <v>267</v>
      </c>
      <c r="J223" t="s">
        <v>247</v>
      </c>
      <c r="K223">
        <v>-396.23133568999998</v>
      </c>
      <c r="L223" t="s">
        <v>248</v>
      </c>
      <c r="M223" t="s">
        <v>236</v>
      </c>
      <c r="N223">
        <v>4.7995598170700003E-3</v>
      </c>
      <c r="O223">
        <v>1.9017360000000001</v>
      </c>
      <c r="P223" t="s">
        <v>21</v>
      </c>
      <c r="Q223">
        <v>1</v>
      </c>
      <c r="W223">
        <v>1</v>
      </c>
      <c r="X223">
        <v>0</v>
      </c>
      <c r="AA223" t="s">
        <v>269</v>
      </c>
      <c r="AB223" t="s">
        <v>270</v>
      </c>
      <c r="AC223" t="s">
        <v>227</v>
      </c>
      <c r="AD223" t="s">
        <v>100</v>
      </c>
      <c r="AE223">
        <v>109.354</v>
      </c>
      <c r="AF223">
        <v>1.080821157758461</v>
      </c>
      <c r="AG223">
        <v>118.1921168855188</v>
      </c>
      <c r="AH223">
        <v>779.31</v>
      </c>
      <c r="AI223">
        <v>0.879</v>
      </c>
      <c r="AJ223">
        <v>80.963194478237142</v>
      </c>
      <c r="AK223">
        <v>0.96560000000000001</v>
      </c>
      <c r="AL223">
        <v>78.177999999999997</v>
      </c>
      <c r="AM223">
        <v>8.9176000000000002</v>
      </c>
      <c r="AN223">
        <v>9.6383307564268552</v>
      </c>
      <c r="AO223">
        <v>0.80400000000000005</v>
      </c>
      <c r="AP223">
        <v>6039.0430235999738</v>
      </c>
      <c r="AQ223">
        <v>0.98955375253549693</v>
      </c>
      <c r="AR223">
        <v>5975.9576999999999</v>
      </c>
      <c r="AT223" t="s">
        <v>228</v>
      </c>
      <c r="AU223" t="s">
        <v>229</v>
      </c>
      <c r="AV223" t="s">
        <v>227</v>
      </c>
      <c r="AW223" t="s">
        <v>100</v>
      </c>
      <c r="AX223">
        <v>109.354</v>
      </c>
      <c r="AY223">
        <v>1.0833851741009131</v>
      </c>
      <c r="AZ223">
        <v>118.47250232863119</v>
      </c>
      <c r="BA223">
        <v>801.49</v>
      </c>
      <c r="BB223">
        <v>0.90500000000000003</v>
      </c>
      <c r="BC223">
        <v>85.933845931694037</v>
      </c>
      <c r="BD223">
        <v>0.94550000000000001</v>
      </c>
      <c r="BE223">
        <v>81.25</v>
      </c>
      <c r="BF223">
        <v>8.9176000000000002</v>
      </c>
      <c r="BG223">
        <v>0.77</v>
      </c>
      <c r="BH223">
        <v>5962.3807969390264</v>
      </c>
      <c r="BI223">
        <v>1.0003042596348879</v>
      </c>
      <c r="BJ223">
        <v>5964.1949000000004</v>
      </c>
    </row>
    <row r="224" spans="1:62" x14ac:dyDescent="0.25">
      <c r="A224">
        <v>4976</v>
      </c>
      <c r="B224" t="s">
        <v>118</v>
      </c>
      <c r="C224">
        <v>2021</v>
      </c>
      <c r="D224">
        <v>1</v>
      </c>
      <c r="E224" t="s">
        <v>218</v>
      </c>
      <c r="F224" t="s">
        <v>260</v>
      </c>
      <c r="G224" t="s">
        <v>261</v>
      </c>
      <c r="H224" t="s">
        <v>17</v>
      </c>
      <c r="I224" t="s">
        <v>267</v>
      </c>
      <c r="J224" t="s">
        <v>247</v>
      </c>
      <c r="K224">
        <v>-396.23133568999998</v>
      </c>
      <c r="L224" t="s">
        <v>248</v>
      </c>
      <c r="M224" t="s">
        <v>237</v>
      </c>
      <c r="N224">
        <v>2.2580780904460002E-2</v>
      </c>
      <c r="O224">
        <v>8.9472129999999996</v>
      </c>
      <c r="P224" t="s">
        <v>21</v>
      </c>
      <c r="Q224">
        <v>1</v>
      </c>
      <c r="W224">
        <v>1</v>
      </c>
      <c r="X224">
        <v>0</v>
      </c>
      <c r="AA224" t="s">
        <v>269</v>
      </c>
      <c r="AB224" t="s">
        <v>270</v>
      </c>
      <c r="AC224" t="s">
        <v>227</v>
      </c>
      <c r="AD224" t="s">
        <v>101</v>
      </c>
      <c r="AE224">
        <v>109.354</v>
      </c>
      <c r="AF224">
        <v>1.080821157758461</v>
      </c>
      <c r="AG224">
        <v>118.1921168855188</v>
      </c>
      <c r="AH224">
        <v>779.31</v>
      </c>
      <c r="AI224">
        <v>0.879</v>
      </c>
      <c r="AJ224">
        <v>80.963194478237142</v>
      </c>
      <c r="AK224">
        <v>1.0097</v>
      </c>
      <c r="AL224">
        <v>81.748999999999995</v>
      </c>
      <c r="AM224">
        <v>8.9176000000000002</v>
      </c>
      <c r="AN224">
        <v>9.6383307564268552</v>
      </c>
      <c r="AO224">
        <v>0.80400000000000005</v>
      </c>
      <c r="AP224">
        <v>6039.0430235999738</v>
      </c>
      <c r="AQ224">
        <v>1.0276539708265799</v>
      </c>
      <c r="AR224">
        <v>6206.0465000000004</v>
      </c>
      <c r="AT224" t="s">
        <v>228</v>
      </c>
      <c r="AU224" t="s">
        <v>229</v>
      </c>
      <c r="AV224" t="s">
        <v>227</v>
      </c>
      <c r="AW224" t="s">
        <v>101</v>
      </c>
      <c r="AX224">
        <v>109.354</v>
      </c>
      <c r="AY224">
        <v>1.0833851741009131</v>
      </c>
      <c r="AZ224">
        <v>118.47250232863119</v>
      </c>
      <c r="BA224">
        <v>801.49</v>
      </c>
      <c r="BB224">
        <v>0.90500000000000003</v>
      </c>
      <c r="BC224">
        <v>85.933845931694037</v>
      </c>
      <c r="BD224">
        <v>1.0154000000000001</v>
      </c>
      <c r="BE224">
        <v>87.257000000000005</v>
      </c>
      <c r="BF224">
        <v>8.9176000000000002</v>
      </c>
      <c r="BG224">
        <v>0.77</v>
      </c>
      <c r="BH224">
        <v>5962.3807969390264</v>
      </c>
      <c r="BI224">
        <v>1.0150931928687199</v>
      </c>
      <c r="BJ224">
        <v>6052.3721999999998</v>
      </c>
    </row>
    <row r="225" spans="1:63" x14ac:dyDescent="0.25">
      <c r="A225">
        <v>1242</v>
      </c>
      <c r="B225" t="s">
        <v>118</v>
      </c>
      <c r="C225">
        <v>2021</v>
      </c>
      <c r="D225">
        <v>1</v>
      </c>
      <c r="E225" t="s">
        <v>218</v>
      </c>
      <c r="F225" t="s">
        <v>260</v>
      </c>
      <c r="G225" t="s">
        <v>261</v>
      </c>
      <c r="H225" t="s">
        <v>17</v>
      </c>
      <c r="I225" t="s">
        <v>268</v>
      </c>
      <c r="J225" t="s">
        <v>250</v>
      </c>
      <c r="K225">
        <v>-449.56219715999998</v>
      </c>
      <c r="L225" t="s">
        <v>250</v>
      </c>
      <c r="M225" t="s">
        <v>231</v>
      </c>
      <c r="N225">
        <v>4.9898993999990003E-2</v>
      </c>
      <c r="O225">
        <v>22.432701000000002</v>
      </c>
      <c r="P225" t="s">
        <v>21</v>
      </c>
      <c r="Q225">
        <v>1</v>
      </c>
      <c r="W225">
        <v>1</v>
      </c>
      <c r="X225">
        <v>0</v>
      </c>
      <c r="AA225" t="s">
        <v>269</v>
      </c>
      <c r="AB225" t="s">
        <v>270</v>
      </c>
      <c r="AC225" t="s">
        <v>227</v>
      </c>
      <c r="AD225" t="s">
        <v>100</v>
      </c>
      <c r="AE225">
        <v>109.354</v>
      </c>
      <c r="AF225">
        <v>1.080821157758461</v>
      </c>
      <c r="AG225">
        <v>118.1921168855188</v>
      </c>
      <c r="AH225">
        <v>779.31</v>
      </c>
      <c r="AI225">
        <v>0.879</v>
      </c>
      <c r="AJ225">
        <v>80.963194478237142</v>
      </c>
      <c r="AK225">
        <v>0.96560000000000001</v>
      </c>
      <c r="AL225">
        <v>78.177999999999997</v>
      </c>
      <c r="AM225">
        <v>8.9176000000000002</v>
      </c>
      <c r="AN225">
        <v>9.6383307564268552</v>
      </c>
      <c r="AO225">
        <v>0.80400000000000005</v>
      </c>
      <c r="AP225">
        <v>6039.0430235999738</v>
      </c>
      <c r="AQ225">
        <v>0.98955375253549693</v>
      </c>
      <c r="AR225">
        <v>5975.9576999999999</v>
      </c>
      <c r="AT225" t="s">
        <v>228</v>
      </c>
      <c r="AU225" t="s">
        <v>229</v>
      </c>
      <c r="AV225" t="s">
        <v>227</v>
      </c>
      <c r="AW225" t="s">
        <v>100</v>
      </c>
      <c r="AX225">
        <v>109.354</v>
      </c>
      <c r="AY225">
        <v>1.0833851741009131</v>
      </c>
      <c r="AZ225">
        <v>118.47250232863119</v>
      </c>
      <c r="BA225">
        <v>801.49</v>
      </c>
      <c r="BB225">
        <v>0.90500000000000003</v>
      </c>
      <c r="BC225">
        <v>85.933845931694037</v>
      </c>
      <c r="BD225">
        <v>0.94550000000000001</v>
      </c>
      <c r="BE225">
        <v>81.25</v>
      </c>
      <c r="BF225">
        <v>8.9176000000000002</v>
      </c>
      <c r="BG225">
        <v>0.77</v>
      </c>
      <c r="BH225">
        <v>5962.3807969390264</v>
      </c>
      <c r="BI225">
        <v>1.0003042596348879</v>
      </c>
      <c r="BJ225">
        <v>5964.1949000000004</v>
      </c>
    </row>
    <row r="226" spans="1:63" x14ac:dyDescent="0.25">
      <c r="A226">
        <v>1244</v>
      </c>
      <c r="B226" t="s">
        <v>118</v>
      </c>
      <c r="C226">
        <v>2021</v>
      </c>
      <c r="D226">
        <v>1</v>
      </c>
      <c r="E226" t="s">
        <v>218</v>
      </c>
      <c r="F226" t="s">
        <v>260</v>
      </c>
      <c r="G226" t="s">
        <v>261</v>
      </c>
      <c r="H226" t="s">
        <v>17</v>
      </c>
      <c r="I226" t="s">
        <v>268</v>
      </c>
      <c r="J226" t="s">
        <v>250</v>
      </c>
      <c r="K226">
        <v>-449.56219715999998</v>
      </c>
      <c r="L226" t="s">
        <v>250</v>
      </c>
      <c r="M226" t="s">
        <v>232</v>
      </c>
      <c r="N226">
        <v>0.97472100599996003</v>
      </c>
      <c r="O226">
        <v>438.19771700000001</v>
      </c>
      <c r="P226" t="s">
        <v>21</v>
      </c>
      <c r="Q226">
        <v>1</v>
      </c>
      <c r="W226">
        <v>1</v>
      </c>
      <c r="X226">
        <v>0</v>
      </c>
      <c r="AA226" t="s">
        <v>269</v>
      </c>
      <c r="AB226" t="s">
        <v>270</v>
      </c>
      <c r="AC226" t="s">
        <v>227</v>
      </c>
      <c r="AD226" t="s">
        <v>101</v>
      </c>
      <c r="AE226">
        <v>109.354</v>
      </c>
      <c r="AF226">
        <v>1.080821157758461</v>
      </c>
      <c r="AG226">
        <v>118.1921168855188</v>
      </c>
      <c r="AH226">
        <v>779.31</v>
      </c>
      <c r="AI226">
        <v>0.879</v>
      </c>
      <c r="AJ226">
        <v>80.963194478237142</v>
      </c>
      <c r="AK226">
        <v>1.0097</v>
      </c>
      <c r="AL226">
        <v>81.748999999999995</v>
      </c>
      <c r="AM226">
        <v>8.9176000000000002</v>
      </c>
      <c r="AN226">
        <v>9.6383307564268552</v>
      </c>
      <c r="AO226">
        <v>0.80400000000000005</v>
      </c>
      <c r="AP226">
        <v>6039.0430235999738</v>
      </c>
      <c r="AQ226">
        <v>1.0276539708265799</v>
      </c>
      <c r="AR226">
        <v>6206.0465000000004</v>
      </c>
      <c r="AT226" t="s">
        <v>228</v>
      </c>
      <c r="AU226" t="s">
        <v>229</v>
      </c>
      <c r="AV226" t="s">
        <v>227</v>
      </c>
      <c r="AW226" t="s">
        <v>101</v>
      </c>
      <c r="AX226">
        <v>109.354</v>
      </c>
      <c r="AY226">
        <v>1.0833851741009131</v>
      </c>
      <c r="AZ226">
        <v>118.47250232863119</v>
      </c>
      <c r="BA226">
        <v>801.49</v>
      </c>
      <c r="BB226">
        <v>0.90500000000000003</v>
      </c>
      <c r="BC226">
        <v>85.933845931694037</v>
      </c>
      <c r="BD226">
        <v>1.0154000000000001</v>
      </c>
      <c r="BE226">
        <v>87.257000000000005</v>
      </c>
      <c r="BF226">
        <v>8.9176000000000002</v>
      </c>
      <c r="BG226">
        <v>0.77</v>
      </c>
      <c r="BH226">
        <v>5962.3807969390264</v>
      </c>
      <c r="BI226">
        <v>1.0150931928687199</v>
      </c>
      <c r="BJ226">
        <v>6052.3721999999998</v>
      </c>
    </row>
    <row r="227" spans="1:63" x14ac:dyDescent="0.25">
      <c r="A227">
        <v>4394</v>
      </c>
      <c r="B227" t="s">
        <v>87</v>
      </c>
      <c r="C227">
        <v>2020</v>
      </c>
      <c r="D227">
        <v>1</v>
      </c>
      <c r="E227" t="s">
        <v>218</v>
      </c>
      <c r="F227" t="s">
        <v>219</v>
      </c>
      <c r="G227" t="s">
        <v>220</v>
      </c>
      <c r="H227" t="s">
        <v>17</v>
      </c>
      <c r="I227" t="s">
        <v>221</v>
      </c>
      <c r="J227" t="s">
        <v>222</v>
      </c>
      <c r="K227">
        <v>-259.50862334999999</v>
      </c>
      <c r="L227" t="s">
        <v>223</v>
      </c>
      <c r="M227" t="s">
        <v>224</v>
      </c>
      <c r="N227">
        <v>8.7524974586199993E-3</v>
      </c>
      <c r="O227">
        <v>2.2713489999999998</v>
      </c>
      <c r="P227" t="s">
        <v>21</v>
      </c>
      <c r="Q227">
        <v>1</v>
      </c>
      <c r="V227">
        <v>66303.072</v>
      </c>
      <c r="W227">
        <v>1</v>
      </c>
      <c r="X227">
        <v>1.1311694000000001E-5</v>
      </c>
      <c r="Y227">
        <v>0.75</v>
      </c>
      <c r="Z227">
        <v>1.7035119999999999</v>
      </c>
      <c r="AA227" t="s">
        <v>225</v>
      </c>
      <c r="AB227" t="s">
        <v>226</v>
      </c>
      <c r="AC227" t="s">
        <v>227</v>
      </c>
      <c r="AD227" t="s">
        <v>153</v>
      </c>
      <c r="AE227">
        <v>109.354</v>
      </c>
      <c r="AF227">
        <v>1.0727760310708341</v>
      </c>
      <c r="AG227">
        <v>117.31235010172</v>
      </c>
      <c r="AH227">
        <v>694.38</v>
      </c>
      <c r="AI227">
        <v>0.875</v>
      </c>
      <c r="AJ227">
        <v>71.276930955678296</v>
      </c>
      <c r="AK227">
        <v>1.0034000000000001</v>
      </c>
      <c r="AL227">
        <v>71.519000000000005</v>
      </c>
      <c r="AM227">
        <v>8.9176000000000002</v>
      </c>
      <c r="AN227">
        <v>9.5665875346772715</v>
      </c>
      <c r="AO227">
        <v>0.91300000000000003</v>
      </c>
      <c r="AP227">
        <v>6064.9193587765631</v>
      </c>
      <c r="AQ227">
        <v>1</v>
      </c>
      <c r="AR227">
        <v>6064.9193999999998</v>
      </c>
      <c r="AS227">
        <v>121.833474728</v>
      </c>
      <c r="AT227" t="s">
        <v>269</v>
      </c>
      <c r="AU227" t="s">
        <v>270</v>
      </c>
      <c r="AV227" t="s">
        <v>227</v>
      </c>
      <c r="AW227" t="s">
        <v>153</v>
      </c>
      <c r="AX227">
        <v>109.354</v>
      </c>
      <c r="AY227">
        <v>1.080821157758461</v>
      </c>
      <c r="AZ227">
        <v>118.1921168855188</v>
      </c>
      <c r="BA227">
        <v>779.31</v>
      </c>
      <c r="BB227">
        <v>0.879</v>
      </c>
      <c r="BC227">
        <v>80.963194478237142</v>
      </c>
      <c r="BD227">
        <v>1.0078</v>
      </c>
      <c r="BE227">
        <v>81.594999999999999</v>
      </c>
      <c r="BF227">
        <v>8.9176000000000002</v>
      </c>
      <c r="BG227">
        <v>0.80400000000000005</v>
      </c>
      <c r="BH227">
        <v>6039.0430235999738</v>
      </c>
      <c r="BI227">
        <v>1</v>
      </c>
      <c r="BJ227">
        <v>6039.0429999999997</v>
      </c>
      <c r="BK227">
        <v>138.99806164</v>
      </c>
    </row>
    <row r="228" spans="1:63" x14ac:dyDescent="0.25">
      <c r="A228">
        <v>4396</v>
      </c>
      <c r="B228" t="s">
        <v>87</v>
      </c>
      <c r="C228">
        <v>2020</v>
      </c>
      <c r="D228">
        <v>1</v>
      </c>
      <c r="E228" t="s">
        <v>218</v>
      </c>
      <c r="F228" t="s">
        <v>219</v>
      </c>
      <c r="G228" t="s">
        <v>220</v>
      </c>
      <c r="H228" t="s">
        <v>17</v>
      </c>
      <c r="I228" t="s">
        <v>221</v>
      </c>
      <c r="J228" t="s">
        <v>222</v>
      </c>
      <c r="K228">
        <v>-259.50862334999999</v>
      </c>
      <c r="L228" t="s">
        <v>223</v>
      </c>
      <c r="M228" t="s">
        <v>230</v>
      </c>
      <c r="N228">
        <v>0.16047331440265999</v>
      </c>
      <c r="O228">
        <v>41.644208999999996</v>
      </c>
      <c r="P228" t="s">
        <v>21</v>
      </c>
      <c r="Q228">
        <v>1</v>
      </c>
      <c r="V228">
        <v>66303.072</v>
      </c>
      <c r="W228">
        <v>1</v>
      </c>
      <c r="X228">
        <v>1.1311694000000001E-5</v>
      </c>
      <c r="Y228">
        <v>0.75</v>
      </c>
      <c r="Z228">
        <v>31.233156999999999</v>
      </c>
      <c r="AA228" t="s">
        <v>225</v>
      </c>
      <c r="AB228" t="s">
        <v>226</v>
      </c>
      <c r="AC228" t="s">
        <v>227</v>
      </c>
      <c r="AD228" t="s">
        <v>154</v>
      </c>
      <c r="AE228">
        <v>109.354</v>
      </c>
      <c r="AF228">
        <v>1.0727760310708341</v>
      </c>
      <c r="AG228">
        <v>117.31235010172</v>
      </c>
      <c r="AH228">
        <v>694.38</v>
      </c>
      <c r="AI228">
        <v>0.875</v>
      </c>
      <c r="AJ228">
        <v>71.276930955678296</v>
      </c>
      <c r="AK228">
        <v>1.0179</v>
      </c>
      <c r="AL228">
        <v>72.552999999999997</v>
      </c>
      <c r="AM228">
        <v>8.9176000000000002</v>
      </c>
      <c r="AN228">
        <v>9.5665875346772715</v>
      </c>
      <c r="AO228">
        <v>0.91300000000000003</v>
      </c>
      <c r="AP228">
        <v>6064.9193587765631</v>
      </c>
      <c r="AQ228">
        <v>0.98975009761811794</v>
      </c>
      <c r="AR228">
        <v>6002.7545</v>
      </c>
      <c r="AS228">
        <v>2266.0592398210001</v>
      </c>
      <c r="AT228" t="s">
        <v>269</v>
      </c>
      <c r="AU228" t="s">
        <v>270</v>
      </c>
      <c r="AV228" t="s">
        <v>227</v>
      </c>
      <c r="AW228" t="s">
        <v>154</v>
      </c>
      <c r="AX228">
        <v>109.354</v>
      </c>
      <c r="AY228">
        <v>1.080821157758461</v>
      </c>
      <c r="AZ228">
        <v>118.1921168855188</v>
      </c>
      <c r="BA228">
        <v>779.31</v>
      </c>
      <c r="BB228">
        <v>0.879</v>
      </c>
      <c r="BC228">
        <v>80.963194478237142</v>
      </c>
      <c r="BD228">
        <v>0.9899</v>
      </c>
      <c r="BE228">
        <v>80.144999999999996</v>
      </c>
      <c r="BF228">
        <v>8.9176000000000002</v>
      </c>
      <c r="BG228">
        <v>0.80400000000000005</v>
      </c>
      <c r="BH228">
        <v>6039.0430235999738</v>
      </c>
      <c r="BI228">
        <v>0.99199531433033972</v>
      </c>
      <c r="BJ228">
        <v>5990.7024000000001</v>
      </c>
      <c r="BK228">
        <v>2503.1813677649998</v>
      </c>
    </row>
    <row r="229" spans="1:63" x14ac:dyDescent="0.25">
      <c r="A229">
        <v>4398</v>
      </c>
      <c r="B229" t="s">
        <v>87</v>
      </c>
      <c r="C229">
        <v>2020</v>
      </c>
      <c r="D229">
        <v>1</v>
      </c>
      <c r="E229" t="s">
        <v>218</v>
      </c>
      <c r="F229" t="s">
        <v>219</v>
      </c>
      <c r="G229" t="s">
        <v>220</v>
      </c>
      <c r="H229" t="s">
        <v>17</v>
      </c>
      <c r="I229" t="s">
        <v>221</v>
      </c>
      <c r="J229" t="s">
        <v>222</v>
      </c>
      <c r="K229">
        <v>-259.50862334999999</v>
      </c>
      <c r="L229" t="s">
        <v>223</v>
      </c>
      <c r="M229" t="s">
        <v>231</v>
      </c>
      <c r="N229">
        <v>4.5018334813739999E-2</v>
      </c>
      <c r="O229">
        <v>11.682646</v>
      </c>
      <c r="P229" t="s">
        <v>21</v>
      </c>
      <c r="Q229">
        <v>1</v>
      </c>
      <c r="V229">
        <v>66303.072</v>
      </c>
      <c r="W229">
        <v>1</v>
      </c>
      <c r="X229">
        <v>1.1311694000000001E-5</v>
      </c>
      <c r="Y229">
        <v>0.75</v>
      </c>
      <c r="Z229">
        <v>8.7619849999999992</v>
      </c>
      <c r="AA229" t="s">
        <v>225</v>
      </c>
      <c r="AB229" t="s">
        <v>226</v>
      </c>
      <c r="AC229" t="s">
        <v>227</v>
      </c>
      <c r="AD229" t="s">
        <v>100</v>
      </c>
      <c r="AE229">
        <v>109.354</v>
      </c>
      <c r="AF229">
        <v>1.0727760310708341</v>
      </c>
      <c r="AG229">
        <v>117.31235010172</v>
      </c>
      <c r="AH229">
        <v>694.38</v>
      </c>
      <c r="AI229">
        <v>0.875</v>
      </c>
      <c r="AJ229">
        <v>71.276930955678296</v>
      </c>
      <c r="AK229">
        <v>0.96660000000000001</v>
      </c>
      <c r="AL229">
        <v>68.896000000000001</v>
      </c>
      <c r="AM229">
        <v>8.9176000000000002</v>
      </c>
      <c r="AN229">
        <v>9.5665875346772715</v>
      </c>
      <c r="AO229">
        <v>0.91300000000000003</v>
      </c>
      <c r="AP229">
        <v>6064.9193587765631</v>
      </c>
      <c r="AQ229">
        <v>0.98316430020283985</v>
      </c>
      <c r="AR229">
        <v>5962.8122000000003</v>
      </c>
      <c r="AS229">
        <v>603.66571855999996</v>
      </c>
      <c r="AT229" t="s">
        <v>269</v>
      </c>
      <c r="AU229" t="s">
        <v>270</v>
      </c>
      <c r="AV229" t="s">
        <v>227</v>
      </c>
      <c r="AW229" t="s">
        <v>100</v>
      </c>
      <c r="AX229">
        <v>109.354</v>
      </c>
      <c r="AY229">
        <v>1.080821157758461</v>
      </c>
      <c r="AZ229">
        <v>118.1921168855188</v>
      </c>
      <c r="BA229">
        <v>779.31</v>
      </c>
      <c r="BB229">
        <v>0.879</v>
      </c>
      <c r="BC229">
        <v>80.963194478237142</v>
      </c>
      <c r="BD229">
        <v>0.96560000000000001</v>
      </c>
      <c r="BE229">
        <v>78.177999999999997</v>
      </c>
      <c r="BF229">
        <v>8.9176000000000002</v>
      </c>
      <c r="BG229">
        <v>0.80400000000000005</v>
      </c>
      <c r="BH229">
        <v>6039.0430235999738</v>
      </c>
      <c r="BI229">
        <v>0.98955375253549693</v>
      </c>
      <c r="BJ229">
        <v>5975.9576999999999</v>
      </c>
      <c r="BK229">
        <v>684.99446332999992</v>
      </c>
    </row>
    <row r="230" spans="1:63" x14ac:dyDescent="0.25">
      <c r="A230">
        <v>4400</v>
      </c>
      <c r="B230" t="s">
        <v>87</v>
      </c>
      <c r="C230">
        <v>2020</v>
      </c>
      <c r="D230">
        <v>1</v>
      </c>
      <c r="E230" t="s">
        <v>218</v>
      </c>
      <c r="F230" t="s">
        <v>219</v>
      </c>
      <c r="G230" t="s">
        <v>220</v>
      </c>
      <c r="H230" t="s">
        <v>17</v>
      </c>
      <c r="I230" t="s">
        <v>221</v>
      </c>
      <c r="J230" t="s">
        <v>222</v>
      </c>
      <c r="K230">
        <v>-259.50862334999999</v>
      </c>
      <c r="L230" t="s">
        <v>223</v>
      </c>
      <c r="M230" t="s">
        <v>232</v>
      </c>
      <c r="N230">
        <v>0.87398007306502001</v>
      </c>
      <c r="O230">
        <v>226.80536599999999</v>
      </c>
      <c r="P230" t="s">
        <v>21</v>
      </c>
      <c r="Q230">
        <v>1</v>
      </c>
      <c r="V230">
        <v>66303.072</v>
      </c>
      <c r="W230">
        <v>1</v>
      </c>
      <c r="X230">
        <v>1.1311694000000001E-5</v>
      </c>
      <c r="Y230">
        <v>0.75</v>
      </c>
      <c r="Z230">
        <v>170.10402500000001</v>
      </c>
      <c r="AA230" t="s">
        <v>225</v>
      </c>
      <c r="AB230" t="s">
        <v>226</v>
      </c>
      <c r="AC230" t="s">
        <v>227</v>
      </c>
      <c r="AD230" t="s">
        <v>101</v>
      </c>
      <c r="AE230">
        <v>109.354</v>
      </c>
      <c r="AF230">
        <v>1.0727760310708341</v>
      </c>
      <c r="AG230">
        <v>117.31235010172</v>
      </c>
      <c r="AH230">
        <v>694.38</v>
      </c>
      <c r="AI230">
        <v>0.875</v>
      </c>
      <c r="AJ230">
        <v>71.276930955678296</v>
      </c>
      <c r="AK230">
        <v>1.0077</v>
      </c>
      <c r="AL230">
        <v>71.825999999999993</v>
      </c>
      <c r="AM230">
        <v>8.9176000000000002</v>
      </c>
      <c r="AN230">
        <v>9.5665875346772715</v>
      </c>
      <c r="AO230">
        <v>0.91300000000000003</v>
      </c>
      <c r="AP230">
        <v>6064.9193587765631</v>
      </c>
      <c r="AQ230">
        <v>1.0255267423014589</v>
      </c>
      <c r="AR230">
        <v>6219.7370000000001</v>
      </c>
      <c r="AS230">
        <v>12217.891699649999</v>
      </c>
      <c r="AT230" t="s">
        <v>269</v>
      </c>
      <c r="AU230" t="s">
        <v>270</v>
      </c>
      <c r="AV230" t="s">
        <v>227</v>
      </c>
      <c r="AW230" t="s">
        <v>101</v>
      </c>
      <c r="AX230">
        <v>109.354</v>
      </c>
      <c r="AY230">
        <v>1.080821157758461</v>
      </c>
      <c r="AZ230">
        <v>118.1921168855188</v>
      </c>
      <c r="BA230">
        <v>779.31</v>
      </c>
      <c r="BB230">
        <v>0.879</v>
      </c>
      <c r="BC230">
        <v>80.963194478237142</v>
      </c>
      <c r="BD230">
        <v>1.0097</v>
      </c>
      <c r="BE230">
        <v>81.748999999999995</v>
      </c>
      <c r="BF230">
        <v>8.9176000000000002</v>
      </c>
      <c r="BG230">
        <v>0.80400000000000005</v>
      </c>
      <c r="BH230">
        <v>6039.0430235999738</v>
      </c>
      <c r="BI230">
        <v>1.0276539708265799</v>
      </c>
      <c r="BJ230">
        <v>6206.0465000000004</v>
      </c>
      <c r="BK230">
        <v>13905.833939725</v>
      </c>
    </row>
    <row r="231" spans="1:63" x14ac:dyDescent="0.25">
      <c r="A231">
        <v>2186</v>
      </c>
      <c r="B231" t="s">
        <v>87</v>
      </c>
      <c r="C231">
        <v>2020</v>
      </c>
      <c r="D231">
        <v>1</v>
      </c>
      <c r="E231" t="s">
        <v>218</v>
      </c>
      <c r="F231" t="s">
        <v>219</v>
      </c>
      <c r="G231" t="s">
        <v>220</v>
      </c>
      <c r="H231" t="s">
        <v>17</v>
      </c>
      <c r="I231" t="s">
        <v>233</v>
      </c>
      <c r="J231" t="s">
        <v>234</v>
      </c>
      <c r="K231">
        <v>-1014.74877286</v>
      </c>
      <c r="L231" t="s">
        <v>234</v>
      </c>
      <c r="M231" t="s">
        <v>224</v>
      </c>
      <c r="N231">
        <v>8.5771088379299996E-3</v>
      </c>
      <c r="O231">
        <v>8.7036110000000004</v>
      </c>
      <c r="P231" t="s">
        <v>21</v>
      </c>
      <c r="Q231">
        <v>1</v>
      </c>
      <c r="V231">
        <v>66303.072</v>
      </c>
      <c r="W231">
        <v>1</v>
      </c>
      <c r="X231">
        <v>1.1311694000000001E-5</v>
      </c>
      <c r="Y231">
        <v>0.75</v>
      </c>
      <c r="Z231">
        <v>6.5277079999999996</v>
      </c>
      <c r="AA231" t="s">
        <v>225</v>
      </c>
      <c r="AB231" t="s">
        <v>226</v>
      </c>
      <c r="AC231" t="s">
        <v>227</v>
      </c>
      <c r="AD231" t="s">
        <v>153</v>
      </c>
      <c r="AE231">
        <v>109.354</v>
      </c>
      <c r="AF231">
        <v>1.0727760310708341</v>
      </c>
      <c r="AG231">
        <v>117.31235010172</v>
      </c>
      <c r="AH231">
        <v>694.38</v>
      </c>
      <c r="AI231">
        <v>0.875</v>
      </c>
      <c r="AJ231">
        <v>71.276930955678296</v>
      </c>
      <c r="AK231">
        <v>1.0034000000000001</v>
      </c>
      <c r="AL231">
        <v>71.519000000000005</v>
      </c>
      <c r="AM231">
        <v>8.9176000000000002</v>
      </c>
      <c r="AN231">
        <v>9.5665875346772715</v>
      </c>
      <c r="AO231">
        <v>0.91300000000000003</v>
      </c>
      <c r="AP231">
        <v>6064.9193587765631</v>
      </c>
      <c r="AQ231">
        <v>1</v>
      </c>
      <c r="AR231">
        <v>6064.9193999999998</v>
      </c>
      <c r="AS231">
        <v>466.85514845199998</v>
      </c>
      <c r="AT231" t="s">
        <v>269</v>
      </c>
      <c r="AU231" t="s">
        <v>270</v>
      </c>
      <c r="AV231" t="s">
        <v>227</v>
      </c>
      <c r="AW231" t="s">
        <v>153</v>
      </c>
      <c r="AX231">
        <v>109.354</v>
      </c>
      <c r="AY231">
        <v>1.080821157758461</v>
      </c>
      <c r="AZ231">
        <v>118.1921168855188</v>
      </c>
      <c r="BA231">
        <v>779.31</v>
      </c>
      <c r="BB231">
        <v>0.879</v>
      </c>
      <c r="BC231">
        <v>80.963194478237142</v>
      </c>
      <c r="BD231">
        <v>1.0078</v>
      </c>
      <c r="BE231">
        <v>81.594999999999999</v>
      </c>
      <c r="BF231">
        <v>8.9176000000000002</v>
      </c>
      <c r="BG231">
        <v>0.80400000000000005</v>
      </c>
      <c r="BH231">
        <v>6039.0430235999738</v>
      </c>
      <c r="BI231">
        <v>1</v>
      </c>
      <c r="BJ231">
        <v>6039.0429999999997</v>
      </c>
      <c r="BK231">
        <v>532.62833425999997</v>
      </c>
    </row>
    <row r="232" spans="1:63" x14ac:dyDescent="0.25">
      <c r="A232">
        <v>2188</v>
      </c>
      <c r="B232" t="s">
        <v>87</v>
      </c>
      <c r="C232">
        <v>2020</v>
      </c>
      <c r="D232">
        <v>1</v>
      </c>
      <c r="E232" t="s">
        <v>218</v>
      </c>
      <c r="F232" t="s">
        <v>219</v>
      </c>
      <c r="G232" t="s">
        <v>220</v>
      </c>
      <c r="H232" t="s">
        <v>17</v>
      </c>
      <c r="I232" t="s">
        <v>233</v>
      </c>
      <c r="J232" t="s">
        <v>234</v>
      </c>
      <c r="K232">
        <v>-1014.74877286</v>
      </c>
      <c r="L232" t="s">
        <v>234</v>
      </c>
      <c r="M232" t="s">
        <v>235</v>
      </c>
      <c r="N232">
        <v>0.60124209651893001</v>
      </c>
      <c r="O232">
        <v>610.10968000000003</v>
      </c>
      <c r="P232" t="s">
        <v>21</v>
      </c>
      <c r="Q232">
        <v>1</v>
      </c>
      <c r="V232">
        <v>66303.072</v>
      </c>
      <c r="W232">
        <v>1</v>
      </c>
      <c r="X232">
        <v>1.1311694000000001E-5</v>
      </c>
      <c r="Y232">
        <v>0.75</v>
      </c>
      <c r="Z232">
        <v>457.58226000000002</v>
      </c>
      <c r="AA232" t="s">
        <v>225</v>
      </c>
      <c r="AB232" t="s">
        <v>226</v>
      </c>
      <c r="AC232" t="s">
        <v>227</v>
      </c>
      <c r="AD232" t="s">
        <v>154</v>
      </c>
      <c r="AE232">
        <v>109.354</v>
      </c>
      <c r="AF232">
        <v>1.0727760310708341</v>
      </c>
      <c r="AG232">
        <v>117.31235010172</v>
      </c>
      <c r="AH232">
        <v>694.38</v>
      </c>
      <c r="AI232">
        <v>0.875</v>
      </c>
      <c r="AJ232">
        <v>71.276930955678296</v>
      </c>
      <c r="AK232">
        <v>1.0179</v>
      </c>
      <c r="AL232">
        <v>72.552999999999997</v>
      </c>
      <c r="AM232">
        <v>8.9176000000000002</v>
      </c>
      <c r="AN232">
        <v>9.5665875346772715</v>
      </c>
      <c r="AO232">
        <v>0.91300000000000003</v>
      </c>
      <c r="AP232">
        <v>6064.9193587765631</v>
      </c>
      <c r="AQ232">
        <v>0.98975009761811794</v>
      </c>
      <c r="AR232">
        <v>6002.7545</v>
      </c>
      <c r="AS232">
        <v>33198.965709780001</v>
      </c>
      <c r="AT232" t="s">
        <v>269</v>
      </c>
      <c r="AU232" t="s">
        <v>270</v>
      </c>
      <c r="AV232" t="s">
        <v>227</v>
      </c>
      <c r="AW232" t="s">
        <v>154</v>
      </c>
      <c r="AX232">
        <v>109.354</v>
      </c>
      <c r="AY232">
        <v>1.080821157758461</v>
      </c>
      <c r="AZ232">
        <v>118.1921168855188</v>
      </c>
      <c r="BA232">
        <v>779.31</v>
      </c>
      <c r="BB232">
        <v>0.879</v>
      </c>
      <c r="BC232">
        <v>80.963194478237142</v>
      </c>
      <c r="BD232">
        <v>0.9899</v>
      </c>
      <c r="BE232">
        <v>80.144999999999996</v>
      </c>
      <c r="BF232">
        <v>8.9176000000000002</v>
      </c>
      <c r="BG232">
        <v>0.80400000000000005</v>
      </c>
      <c r="BH232">
        <v>6039.0430235999738</v>
      </c>
      <c r="BI232">
        <v>0.99199531433033972</v>
      </c>
      <c r="BJ232">
        <v>5990.7024000000001</v>
      </c>
      <c r="BK232">
        <v>36672.930227700002</v>
      </c>
    </row>
    <row r="233" spans="1:63" x14ac:dyDescent="0.25">
      <c r="A233">
        <v>2190</v>
      </c>
      <c r="B233" t="s">
        <v>87</v>
      </c>
      <c r="C233">
        <v>2020</v>
      </c>
      <c r="D233">
        <v>1</v>
      </c>
      <c r="E233" t="s">
        <v>218</v>
      </c>
      <c r="F233" t="s">
        <v>219</v>
      </c>
      <c r="G233" t="s">
        <v>220</v>
      </c>
      <c r="H233" t="s">
        <v>17</v>
      </c>
      <c r="I233" t="s">
        <v>233</v>
      </c>
      <c r="J233" t="s">
        <v>234</v>
      </c>
      <c r="K233">
        <v>-1014.74877286</v>
      </c>
      <c r="L233" t="s">
        <v>234</v>
      </c>
      <c r="M233" t="s">
        <v>236</v>
      </c>
      <c r="N233">
        <v>1.9808691721710001E-2</v>
      </c>
      <c r="O233">
        <v>20.100846000000001</v>
      </c>
      <c r="P233" t="s">
        <v>21</v>
      </c>
      <c r="Q233">
        <v>1</v>
      </c>
      <c r="V233">
        <v>66303.072</v>
      </c>
      <c r="W233">
        <v>1</v>
      </c>
      <c r="X233">
        <v>1.1311694000000001E-5</v>
      </c>
      <c r="Y233">
        <v>0.75</v>
      </c>
      <c r="Z233">
        <v>15.075635</v>
      </c>
      <c r="AA233" t="s">
        <v>225</v>
      </c>
      <c r="AB233" t="s">
        <v>226</v>
      </c>
      <c r="AC233" t="s">
        <v>227</v>
      </c>
      <c r="AD233" t="s">
        <v>100</v>
      </c>
      <c r="AE233">
        <v>109.354</v>
      </c>
      <c r="AF233">
        <v>1.0727760310708341</v>
      </c>
      <c r="AG233">
        <v>117.31235010172</v>
      </c>
      <c r="AH233">
        <v>694.38</v>
      </c>
      <c r="AI233">
        <v>0.875</v>
      </c>
      <c r="AJ233">
        <v>71.276930955678296</v>
      </c>
      <c r="AK233">
        <v>0.96660000000000001</v>
      </c>
      <c r="AL233">
        <v>68.896000000000001</v>
      </c>
      <c r="AM233">
        <v>8.9176000000000002</v>
      </c>
      <c r="AN233">
        <v>9.5665875346772715</v>
      </c>
      <c r="AO233">
        <v>0.91300000000000003</v>
      </c>
      <c r="AP233">
        <v>6064.9193587765631</v>
      </c>
      <c r="AQ233">
        <v>0.98316430020283985</v>
      </c>
      <c r="AR233">
        <v>5962.8122000000003</v>
      </c>
      <c r="AS233">
        <v>1038.6509489600001</v>
      </c>
      <c r="AT233" t="s">
        <v>269</v>
      </c>
      <c r="AU233" t="s">
        <v>270</v>
      </c>
      <c r="AV233" t="s">
        <v>227</v>
      </c>
      <c r="AW233" t="s">
        <v>100</v>
      </c>
      <c r="AX233">
        <v>109.354</v>
      </c>
      <c r="AY233">
        <v>1.080821157758461</v>
      </c>
      <c r="AZ233">
        <v>118.1921168855188</v>
      </c>
      <c r="BA233">
        <v>779.31</v>
      </c>
      <c r="BB233">
        <v>0.879</v>
      </c>
      <c r="BC233">
        <v>80.963194478237142</v>
      </c>
      <c r="BD233">
        <v>0.96560000000000001</v>
      </c>
      <c r="BE233">
        <v>78.177999999999997</v>
      </c>
      <c r="BF233">
        <v>8.9176000000000002</v>
      </c>
      <c r="BG233">
        <v>0.80400000000000005</v>
      </c>
      <c r="BH233">
        <v>6039.0430235999738</v>
      </c>
      <c r="BI233">
        <v>0.98955375253549693</v>
      </c>
      <c r="BJ233">
        <v>5975.9576999999999</v>
      </c>
      <c r="BK233">
        <v>1178.5829930299999</v>
      </c>
    </row>
    <row r="234" spans="1:63" x14ac:dyDescent="0.25">
      <c r="A234">
        <v>2192</v>
      </c>
      <c r="B234" t="s">
        <v>87</v>
      </c>
      <c r="C234">
        <v>2020</v>
      </c>
      <c r="D234">
        <v>1</v>
      </c>
      <c r="E234" t="s">
        <v>218</v>
      </c>
      <c r="F234" t="s">
        <v>219</v>
      </c>
      <c r="G234" t="s">
        <v>220</v>
      </c>
      <c r="H234" t="s">
        <v>17</v>
      </c>
      <c r="I234" t="s">
        <v>233</v>
      </c>
      <c r="J234" t="s">
        <v>234</v>
      </c>
      <c r="K234">
        <v>-1014.74877286</v>
      </c>
      <c r="L234" t="s">
        <v>234</v>
      </c>
      <c r="M234" t="s">
        <v>237</v>
      </c>
      <c r="N234">
        <v>0.39660634608572998</v>
      </c>
      <c r="O234">
        <v>402.455803</v>
      </c>
      <c r="P234" t="s">
        <v>21</v>
      </c>
      <c r="Q234">
        <v>1</v>
      </c>
      <c r="V234">
        <v>66303.072</v>
      </c>
      <c r="W234">
        <v>1</v>
      </c>
      <c r="X234">
        <v>1.1311694000000001E-5</v>
      </c>
      <c r="Y234">
        <v>0.75</v>
      </c>
      <c r="Z234">
        <v>301.84185200000002</v>
      </c>
      <c r="AA234" t="s">
        <v>225</v>
      </c>
      <c r="AB234" t="s">
        <v>226</v>
      </c>
      <c r="AC234" t="s">
        <v>227</v>
      </c>
      <c r="AD234" t="s">
        <v>101</v>
      </c>
      <c r="AE234">
        <v>109.354</v>
      </c>
      <c r="AF234">
        <v>1.0727760310708341</v>
      </c>
      <c r="AG234">
        <v>117.31235010172</v>
      </c>
      <c r="AH234">
        <v>694.38</v>
      </c>
      <c r="AI234">
        <v>0.875</v>
      </c>
      <c r="AJ234">
        <v>71.276930955678296</v>
      </c>
      <c r="AK234">
        <v>1.0077</v>
      </c>
      <c r="AL234">
        <v>71.825999999999993</v>
      </c>
      <c r="AM234">
        <v>8.9176000000000002</v>
      </c>
      <c r="AN234">
        <v>9.5665875346772715</v>
      </c>
      <c r="AO234">
        <v>0.91300000000000003</v>
      </c>
      <c r="AP234">
        <v>6064.9193587765631</v>
      </c>
      <c r="AQ234">
        <v>1.0255267423014589</v>
      </c>
      <c r="AR234">
        <v>6219.7370000000001</v>
      </c>
      <c r="AS234">
        <v>21680.092861752</v>
      </c>
      <c r="AT234" t="s">
        <v>269</v>
      </c>
      <c r="AU234" t="s">
        <v>270</v>
      </c>
      <c r="AV234" t="s">
        <v>227</v>
      </c>
      <c r="AW234" t="s">
        <v>101</v>
      </c>
      <c r="AX234">
        <v>109.354</v>
      </c>
      <c r="AY234">
        <v>1.080821157758461</v>
      </c>
      <c r="AZ234">
        <v>118.1921168855188</v>
      </c>
      <c r="BA234">
        <v>779.31</v>
      </c>
      <c r="BB234">
        <v>0.879</v>
      </c>
      <c r="BC234">
        <v>80.963194478237142</v>
      </c>
      <c r="BD234">
        <v>1.0097</v>
      </c>
      <c r="BE234">
        <v>81.748999999999995</v>
      </c>
      <c r="BF234">
        <v>8.9176000000000002</v>
      </c>
      <c r="BG234">
        <v>0.80400000000000005</v>
      </c>
      <c r="BH234">
        <v>6039.0430235999738</v>
      </c>
      <c r="BI234">
        <v>1.0276539708265799</v>
      </c>
      <c r="BJ234">
        <v>6206.0465000000004</v>
      </c>
      <c r="BK234">
        <v>24675.269559148001</v>
      </c>
    </row>
    <row r="235" spans="1:63" x14ac:dyDescent="0.25">
      <c r="A235">
        <v>2186</v>
      </c>
      <c r="B235" t="s">
        <v>87</v>
      </c>
      <c r="C235">
        <v>2020</v>
      </c>
      <c r="D235">
        <v>1</v>
      </c>
      <c r="E235" t="s">
        <v>218</v>
      </c>
      <c r="F235" t="s">
        <v>219</v>
      </c>
      <c r="G235" t="s">
        <v>220</v>
      </c>
      <c r="H235" t="s">
        <v>17</v>
      </c>
      <c r="I235" t="s">
        <v>238</v>
      </c>
      <c r="J235" t="s">
        <v>239</v>
      </c>
      <c r="K235">
        <v>-194.43797348999999</v>
      </c>
      <c r="L235" t="s">
        <v>240</v>
      </c>
      <c r="M235" t="s">
        <v>224</v>
      </c>
      <c r="N235">
        <v>1.1109205873409999E-2</v>
      </c>
      <c r="O235">
        <v>2.1600510000000002</v>
      </c>
      <c r="P235" t="s">
        <v>21</v>
      </c>
      <c r="Q235">
        <v>1</v>
      </c>
      <c r="V235">
        <v>66303.072</v>
      </c>
      <c r="W235">
        <v>1</v>
      </c>
      <c r="X235">
        <v>1.1311694000000001E-5</v>
      </c>
      <c r="Y235">
        <v>0.75</v>
      </c>
      <c r="Z235">
        <v>1.6200380000000001</v>
      </c>
      <c r="AA235" t="s">
        <v>225</v>
      </c>
      <c r="AB235" t="s">
        <v>226</v>
      </c>
      <c r="AC235" t="s">
        <v>227</v>
      </c>
      <c r="AD235" t="s">
        <v>153</v>
      </c>
      <c r="AE235">
        <v>109.354</v>
      </c>
      <c r="AF235">
        <v>1.0727760310708341</v>
      </c>
      <c r="AG235">
        <v>117.31235010172</v>
      </c>
      <c r="AH235">
        <v>694.38</v>
      </c>
      <c r="AI235">
        <v>0.875</v>
      </c>
      <c r="AJ235">
        <v>71.276930955678296</v>
      </c>
      <c r="AK235">
        <v>1.0034000000000001</v>
      </c>
      <c r="AL235">
        <v>71.519000000000005</v>
      </c>
      <c r="AM235">
        <v>8.9176000000000002</v>
      </c>
      <c r="AN235">
        <v>9.5665875346772715</v>
      </c>
      <c r="AO235">
        <v>0.91300000000000003</v>
      </c>
      <c r="AP235">
        <v>6064.9193587765631</v>
      </c>
      <c r="AQ235">
        <v>1</v>
      </c>
      <c r="AR235">
        <v>6064.9193999999998</v>
      </c>
      <c r="AS235">
        <v>115.86349772200001</v>
      </c>
      <c r="AT235" t="s">
        <v>269</v>
      </c>
      <c r="AU235" t="s">
        <v>270</v>
      </c>
      <c r="AV235" t="s">
        <v>227</v>
      </c>
      <c r="AW235" t="s">
        <v>153</v>
      </c>
      <c r="AX235">
        <v>109.354</v>
      </c>
      <c r="AY235">
        <v>1.080821157758461</v>
      </c>
      <c r="AZ235">
        <v>118.1921168855188</v>
      </c>
      <c r="BA235">
        <v>779.31</v>
      </c>
      <c r="BB235">
        <v>0.879</v>
      </c>
      <c r="BC235">
        <v>80.963194478237142</v>
      </c>
      <c r="BD235">
        <v>1.0078</v>
      </c>
      <c r="BE235">
        <v>81.594999999999999</v>
      </c>
      <c r="BF235">
        <v>8.9176000000000002</v>
      </c>
      <c r="BG235">
        <v>0.80400000000000005</v>
      </c>
      <c r="BH235">
        <v>6039.0430235999738</v>
      </c>
      <c r="BI235">
        <v>1</v>
      </c>
      <c r="BJ235">
        <v>6039.0429999999997</v>
      </c>
      <c r="BK235">
        <v>132.18700061000001</v>
      </c>
    </row>
    <row r="236" spans="1:63" x14ac:dyDescent="0.25">
      <c r="A236">
        <v>2188</v>
      </c>
      <c r="B236" t="s">
        <v>87</v>
      </c>
      <c r="C236">
        <v>2020</v>
      </c>
      <c r="D236">
        <v>1</v>
      </c>
      <c r="E236" t="s">
        <v>218</v>
      </c>
      <c r="F236" t="s">
        <v>219</v>
      </c>
      <c r="G236" t="s">
        <v>220</v>
      </c>
      <c r="H236" t="s">
        <v>17</v>
      </c>
      <c r="I236" t="s">
        <v>238</v>
      </c>
      <c r="J236" t="s">
        <v>239</v>
      </c>
      <c r="K236">
        <v>-194.43797348999999</v>
      </c>
      <c r="L236" t="s">
        <v>240</v>
      </c>
      <c r="M236" t="s">
        <v>235</v>
      </c>
      <c r="N236">
        <v>0.58148407621825005</v>
      </c>
      <c r="O236">
        <v>113.062585</v>
      </c>
      <c r="P236" t="s">
        <v>21</v>
      </c>
      <c r="Q236">
        <v>1</v>
      </c>
      <c r="V236">
        <v>66303.072</v>
      </c>
      <c r="W236">
        <v>1</v>
      </c>
      <c r="X236">
        <v>1.1311694000000001E-5</v>
      </c>
      <c r="Y236">
        <v>0.75</v>
      </c>
      <c r="Z236">
        <v>84.796938999999995</v>
      </c>
      <c r="AA236" t="s">
        <v>225</v>
      </c>
      <c r="AB236" t="s">
        <v>226</v>
      </c>
      <c r="AC236" t="s">
        <v>227</v>
      </c>
      <c r="AD236" t="s">
        <v>154</v>
      </c>
      <c r="AE236">
        <v>109.354</v>
      </c>
      <c r="AF236">
        <v>1.0727760310708341</v>
      </c>
      <c r="AG236">
        <v>117.31235010172</v>
      </c>
      <c r="AH236">
        <v>694.38</v>
      </c>
      <c r="AI236">
        <v>0.875</v>
      </c>
      <c r="AJ236">
        <v>71.276930955678296</v>
      </c>
      <c r="AK236">
        <v>1.0179</v>
      </c>
      <c r="AL236">
        <v>72.552999999999997</v>
      </c>
      <c r="AM236">
        <v>8.9176000000000002</v>
      </c>
      <c r="AN236">
        <v>9.5665875346772715</v>
      </c>
      <c r="AO236">
        <v>0.91300000000000003</v>
      </c>
      <c r="AP236">
        <v>6064.9193587765631</v>
      </c>
      <c r="AQ236">
        <v>0.98975009761811794</v>
      </c>
      <c r="AR236">
        <v>6002.7545</v>
      </c>
      <c r="AS236">
        <v>6152.2723152669996</v>
      </c>
      <c r="AT236" t="s">
        <v>269</v>
      </c>
      <c r="AU236" t="s">
        <v>270</v>
      </c>
      <c r="AV236" t="s">
        <v>227</v>
      </c>
      <c r="AW236" t="s">
        <v>154</v>
      </c>
      <c r="AX236">
        <v>109.354</v>
      </c>
      <c r="AY236">
        <v>1.080821157758461</v>
      </c>
      <c r="AZ236">
        <v>118.1921168855188</v>
      </c>
      <c r="BA236">
        <v>779.31</v>
      </c>
      <c r="BB236">
        <v>0.879</v>
      </c>
      <c r="BC236">
        <v>80.963194478237142</v>
      </c>
      <c r="BD236">
        <v>0.9899</v>
      </c>
      <c r="BE236">
        <v>80.144999999999996</v>
      </c>
      <c r="BF236">
        <v>8.9176000000000002</v>
      </c>
      <c r="BG236">
        <v>0.80400000000000005</v>
      </c>
      <c r="BH236">
        <v>6039.0430235999738</v>
      </c>
      <c r="BI236">
        <v>0.99199531433033972</v>
      </c>
      <c r="BJ236">
        <v>5990.7024000000001</v>
      </c>
      <c r="BK236">
        <v>6796.0506761549996</v>
      </c>
    </row>
    <row r="237" spans="1:63" x14ac:dyDescent="0.25">
      <c r="A237">
        <v>2190</v>
      </c>
      <c r="B237" t="s">
        <v>87</v>
      </c>
      <c r="C237">
        <v>2020</v>
      </c>
      <c r="D237">
        <v>1</v>
      </c>
      <c r="E237" t="s">
        <v>218</v>
      </c>
      <c r="F237" t="s">
        <v>219</v>
      </c>
      <c r="G237" t="s">
        <v>220</v>
      </c>
      <c r="H237" t="s">
        <v>17</v>
      </c>
      <c r="I237" t="s">
        <v>238</v>
      </c>
      <c r="J237" t="s">
        <v>239</v>
      </c>
      <c r="K237">
        <v>-194.43797348999999</v>
      </c>
      <c r="L237" t="s">
        <v>240</v>
      </c>
      <c r="M237" t="s">
        <v>236</v>
      </c>
      <c r="N237">
        <v>1.8083569973560001E-2</v>
      </c>
      <c r="O237">
        <v>3.516133</v>
      </c>
      <c r="P237" t="s">
        <v>21</v>
      </c>
      <c r="Q237">
        <v>1</v>
      </c>
      <c r="V237">
        <v>66303.072</v>
      </c>
      <c r="W237">
        <v>1</v>
      </c>
      <c r="X237">
        <v>1.1311694000000001E-5</v>
      </c>
      <c r="Y237">
        <v>0.75</v>
      </c>
      <c r="Z237">
        <v>2.6371000000000002</v>
      </c>
      <c r="AA237" t="s">
        <v>225</v>
      </c>
      <c r="AB237" t="s">
        <v>226</v>
      </c>
      <c r="AC237" t="s">
        <v>227</v>
      </c>
      <c r="AD237" t="s">
        <v>100</v>
      </c>
      <c r="AE237">
        <v>109.354</v>
      </c>
      <c r="AF237">
        <v>1.0727760310708341</v>
      </c>
      <c r="AG237">
        <v>117.31235010172</v>
      </c>
      <c r="AH237">
        <v>694.38</v>
      </c>
      <c r="AI237">
        <v>0.875</v>
      </c>
      <c r="AJ237">
        <v>71.276930955678296</v>
      </c>
      <c r="AK237">
        <v>0.96660000000000001</v>
      </c>
      <c r="AL237">
        <v>68.896000000000001</v>
      </c>
      <c r="AM237">
        <v>8.9176000000000002</v>
      </c>
      <c r="AN237">
        <v>9.5665875346772715</v>
      </c>
      <c r="AO237">
        <v>0.91300000000000003</v>
      </c>
      <c r="AP237">
        <v>6064.9193587765631</v>
      </c>
      <c r="AQ237">
        <v>0.98316430020283985</v>
      </c>
      <c r="AR237">
        <v>5962.8122000000003</v>
      </c>
      <c r="AS237">
        <v>181.6856416</v>
      </c>
      <c r="AT237" t="s">
        <v>269</v>
      </c>
      <c r="AU237" t="s">
        <v>270</v>
      </c>
      <c r="AV237" t="s">
        <v>227</v>
      </c>
      <c r="AW237" t="s">
        <v>100</v>
      </c>
      <c r="AX237">
        <v>109.354</v>
      </c>
      <c r="AY237">
        <v>1.080821157758461</v>
      </c>
      <c r="AZ237">
        <v>118.1921168855188</v>
      </c>
      <c r="BA237">
        <v>779.31</v>
      </c>
      <c r="BB237">
        <v>0.879</v>
      </c>
      <c r="BC237">
        <v>80.963194478237142</v>
      </c>
      <c r="BD237">
        <v>0.96560000000000001</v>
      </c>
      <c r="BE237">
        <v>78.177999999999997</v>
      </c>
      <c r="BF237">
        <v>8.9176000000000002</v>
      </c>
      <c r="BG237">
        <v>0.80400000000000005</v>
      </c>
      <c r="BH237">
        <v>6039.0430235999738</v>
      </c>
      <c r="BI237">
        <v>0.98955375253549693</v>
      </c>
      <c r="BJ237">
        <v>5975.9576999999999</v>
      </c>
      <c r="BK237">
        <v>206.16320379999999</v>
      </c>
    </row>
    <row r="238" spans="1:63" x14ac:dyDescent="0.25">
      <c r="A238">
        <v>2192</v>
      </c>
      <c r="B238" t="s">
        <v>87</v>
      </c>
      <c r="C238">
        <v>2020</v>
      </c>
      <c r="D238">
        <v>1</v>
      </c>
      <c r="E238" t="s">
        <v>218</v>
      </c>
      <c r="F238" t="s">
        <v>219</v>
      </c>
      <c r="G238" t="s">
        <v>220</v>
      </c>
      <c r="H238" t="s">
        <v>17</v>
      </c>
      <c r="I238" t="s">
        <v>238</v>
      </c>
      <c r="J238" t="s">
        <v>239</v>
      </c>
      <c r="K238">
        <v>-194.43797348999999</v>
      </c>
      <c r="L238" t="s">
        <v>240</v>
      </c>
      <c r="M238" t="s">
        <v>237</v>
      </c>
      <c r="N238">
        <v>0.41680683696206</v>
      </c>
      <c r="O238">
        <v>81.043076999999997</v>
      </c>
      <c r="P238" t="s">
        <v>21</v>
      </c>
      <c r="Q238">
        <v>1</v>
      </c>
      <c r="V238">
        <v>66303.072</v>
      </c>
      <c r="W238">
        <v>1</v>
      </c>
      <c r="X238">
        <v>1.1311694000000001E-5</v>
      </c>
      <c r="Y238">
        <v>0.75</v>
      </c>
      <c r="Z238">
        <v>60.782308</v>
      </c>
      <c r="AA238" t="s">
        <v>225</v>
      </c>
      <c r="AB238" t="s">
        <v>226</v>
      </c>
      <c r="AC238" t="s">
        <v>227</v>
      </c>
      <c r="AD238" t="s">
        <v>101</v>
      </c>
      <c r="AE238">
        <v>109.354</v>
      </c>
      <c r="AF238">
        <v>1.0727760310708341</v>
      </c>
      <c r="AG238">
        <v>117.31235010172</v>
      </c>
      <c r="AH238">
        <v>694.38</v>
      </c>
      <c r="AI238">
        <v>0.875</v>
      </c>
      <c r="AJ238">
        <v>71.276930955678296</v>
      </c>
      <c r="AK238">
        <v>1.0077</v>
      </c>
      <c r="AL238">
        <v>71.825999999999993</v>
      </c>
      <c r="AM238">
        <v>8.9176000000000002</v>
      </c>
      <c r="AN238">
        <v>9.5665875346772715</v>
      </c>
      <c r="AO238">
        <v>0.91300000000000003</v>
      </c>
      <c r="AP238">
        <v>6064.9193587765631</v>
      </c>
      <c r="AQ238">
        <v>1.0255267423014589</v>
      </c>
      <c r="AR238">
        <v>6219.7370000000001</v>
      </c>
      <c r="AS238">
        <v>4365.7500544079994</v>
      </c>
      <c r="AT238" t="s">
        <v>269</v>
      </c>
      <c r="AU238" t="s">
        <v>270</v>
      </c>
      <c r="AV238" t="s">
        <v>227</v>
      </c>
      <c r="AW238" t="s">
        <v>101</v>
      </c>
      <c r="AX238">
        <v>109.354</v>
      </c>
      <c r="AY238">
        <v>1.080821157758461</v>
      </c>
      <c r="AZ238">
        <v>118.1921168855188</v>
      </c>
      <c r="BA238">
        <v>779.31</v>
      </c>
      <c r="BB238">
        <v>0.879</v>
      </c>
      <c r="BC238">
        <v>80.963194478237142</v>
      </c>
      <c r="BD238">
        <v>1.0097</v>
      </c>
      <c r="BE238">
        <v>81.748999999999995</v>
      </c>
      <c r="BF238">
        <v>8.9176000000000002</v>
      </c>
      <c r="BG238">
        <v>0.80400000000000005</v>
      </c>
      <c r="BH238">
        <v>6039.0430235999738</v>
      </c>
      <c r="BI238">
        <v>1.0276539708265799</v>
      </c>
      <c r="BJ238">
        <v>6206.0465000000004</v>
      </c>
      <c r="BK238">
        <v>4968.8928966919993</v>
      </c>
    </row>
    <row r="239" spans="1:63" x14ac:dyDescent="0.25">
      <c r="A239">
        <v>3296</v>
      </c>
      <c r="B239" t="s">
        <v>87</v>
      </c>
      <c r="C239">
        <v>2020</v>
      </c>
      <c r="D239">
        <v>1</v>
      </c>
      <c r="E239" t="s">
        <v>218</v>
      </c>
      <c r="F239" t="s">
        <v>219</v>
      </c>
      <c r="G239" t="s">
        <v>220</v>
      </c>
      <c r="H239" t="s">
        <v>17</v>
      </c>
      <c r="I239" t="s">
        <v>241</v>
      </c>
      <c r="J239" t="s">
        <v>242</v>
      </c>
      <c r="K239">
        <v>-74.215898469999999</v>
      </c>
      <c r="L239" t="s">
        <v>242</v>
      </c>
      <c r="M239" t="s">
        <v>235</v>
      </c>
      <c r="N239">
        <v>0.67001574769252004</v>
      </c>
      <c r="O239">
        <v>49.725821000000003</v>
      </c>
      <c r="P239" t="s">
        <v>21</v>
      </c>
      <c r="Q239">
        <v>1</v>
      </c>
      <c r="V239">
        <v>66303.072</v>
      </c>
      <c r="W239">
        <v>1</v>
      </c>
      <c r="X239">
        <v>1.1311694000000001E-5</v>
      </c>
      <c r="Y239">
        <v>0.75</v>
      </c>
      <c r="Z239">
        <v>37.294365999999997</v>
      </c>
      <c r="AA239" t="s">
        <v>225</v>
      </c>
      <c r="AB239" t="s">
        <v>226</v>
      </c>
      <c r="AC239" t="s">
        <v>227</v>
      </c>
      <c r="AD239" t="s">
        <v>154</v>
      </c>
      <c r="AE239">
        <v>109.354</v>
      </c>
      <c r="AF239">
        <v>1.0727760310708341</v>
      </c>
      <c r="AG239">
        <v>117.31235010172</v>
      </c>
      <c r="AH239">
        <v>694.38</v>
      </c>
      <c r="AI239">
        <v>0.875</v>
      </c>
      <c r="AJ239">
        <v>71.276930955678296</v>
      </c>
      <c r="AK239">
        <v>1.0179</v>
      </c>
      <c r="AL239">
        <v>72.552999999999997</v>
      </c>
      <c r="AM239">
        <v>8.9176000000000002</v>
      </c>
      <c r="AN239">
        <v>9.5665875346772715</v>
      </c>
      <c r="AO239">
        <v>0.91300000000000003</v>
      </c>
      <c r="AP239">
        <v>6064.9193587765631</v>
      </c>
      <c r="AQ239">
        <v>0.98975009761811794</v>
      </c>
      <c r="AR239">
        <v>6002.7545</v>
      </c>
      <c r="AS239">
        <v>2705.8181363980002</v>
      </c>
      <c r="AT239" t="s">
        <v>269</v>
      </c>
      <c r="AU239" t="s">
        <v>270</v>
      </c>
      <c r="AV239" t="s">
        <v>227</v>
      </c>
      <c r="AW239" t="s">
        <v>154</v>
      </c>
      <c r="AX239">
        <v>109.354</v>
      </c>
      <c r="AY239">
        <v>1.080821157758461</v>
      </c>
      <c r="AZ239">
        <v>118.1921168855188</v>
      </c>
      <c r="BA239">
        <v>779.31</v>
      </c>
      <c r="BB239">
        <v>0.879</v>
      </c>
      <c r="BC239">
        <v>80.963194478237142</v>
      </c>
      <c r="BD239">
        <v>0.9899</v>
      </c>
      <c r="BE239">
        <v>80.144999999999996</v>
      </c>
      <c r="BF239">
        <v>8.9176000000000002</v>
      </c>
      <c r="BG239">
        <v>0.80400000000000005</v>
      </c>
      <c r="BH239">
        <v>6039.0430235999738</v>
      </c>
      <c r="BI239">
        <v>0.99199531433033972</v>
      </c>
      <c r="BJ239">
        <v>5990.7024000000001</v>
      </c>
      <c r="BK239">
        <v>2988.9569630699998</v>
      </c>
    </row>
    <row r="240" spans="1:63" x14ac:dyDescent="0.25">
      <c r="A240">
        <v>3298</v>
      </c>
      <c r="B240" t="s">
        <v>87</v>
      </c>
      <c r="C240">
        <v>2020</v>
      </c>
      <c r="D240">
        <v>1</v>
      </c>
      <c r="E240" t="s">
        <v>218</v>
      </c>
      <c r="F240" t="s">
        <v>219</v>
      </c>
      <c r="G240" t="s">
        <v>220</v>
      </c>
      <c r="H240" t="s">
        <v>17</v>
      </c>
      <c r="I240" t="s">
        <v>241</v>
      </c>
      <c r="J240" t="s">
        <v>242</v>
      </c>
      <c r="K240">
        <v>-74.215898469999999</v>
      </c>
      <c r="L240" t="s">
        <v>242</v>
      </c>
      <c r="M240" t="s">
        <v>236</v>
      </c>
      <c r="N240">
        <v>1.442552100634E-2</v>
      </c>
      <c r="O240">
        <v>1.070603</v>
      </c>
      <c r="P240" t="s">
        <v>21</v>
      </c>
      <c r="Q240">
        <v>1</v>
      </c>
      <c r="V240">
        <v>66303.072</v>
      </c>
      <c r="W240">
        <v>1</v>
      </c>
      <c r="X240">
        <v>1.1311694000000001E-5</v>
      </c>
      <c r="Y240">
        <v>0.75</v>
      </c>
      <c r="Z240">
        <v>0.802952</v>
      </c>
      <c r="AA240" t="s">
        <v>225</v>
      </c>
      <c r="AB240" t="s">
        <v>226</v>
      </c>
      <c r="AC240" t="s">
        <v>227</v>
      </c>
      <c r="AD240" t="s">
        <v>100</v>
      </c>
      <c r="AE240">
        <v>109.354</v>
      </c>
      <c r="AF240">
        <v>1.0727760310708341</v>
      </c>
      <c r="AG240">
        <v>117.31235010172</v>
      </c>
      <c r="AH240">
        <v>694.38</v>
      </c>
      <c r="AI240">
        <v>0.875</v>
      </c>
      <c r="AJ240">
        <v>71.276930955678296</v>
      </c>
      <c r="AK240">
        <v>0.96660000000000001</v>
      </c>
      <c r="AL240">
        <v>68.896000000000001</v>
      </c>
      <c r="AM240">
        <v>8.9176000000000002</v>
      </c>
      <c r="AN240">
        <v>9.5665875346772715</v>
      </c>
      <c r="AO240">
        <v>0.91300000000000003</v>
      </c>
      <c r="AP240">
        <v>6064.9193587765631</v>
      </c>
      <c r="AQ240">
        <v>0.98316430020283985</v>
      </c>
      <c r="AR240">
        <v>5962.8122000000003</v>
      </c>
      <c r="AS240">
        <v>55.320180991999997</v>
      </c>
      <c r="AT240" t="s">
        <v>269</v>
      </c>
      <c r="AU240" t="s">
        <v>270</v>
      </c>
      <c r="AV240" t="s">
        <v>227</v>
      </c>
      <c r="AW240" t="s">
        <v>100</v>
      </c>
      <c r="AX240">
        <v>109.354</v>
      </c>
      <c r="AY240">
        <v>1.080821157758461</v>
      </c>
      <c r="AZ240">
        <v>118.1921168855188</v>
      </c>
      <c r="BA240">
        <v>779.31</v>
      </c>
      <c r="BB240">
        <v>0.879</v>
      </c>
      <c r="BC240">
        <v>80.963194478237142</v>
      </c>
      <c r="BD240">
        <v>0.96560000000000001</v>
      </c>
      <c r="BE240">
        <v>78.177999999999997</v>
      </c>
      <c r="BF240">
        <v>8.9176000000000002</v>
      </c>
      <c r="BG240">
        <v>0.80400000000000005</v>
      </c>
      <c r="BH240">
        <v>6039.0430235999738</v>
      </c>
      <c r="BI240">
        <v>0.98955375253549693</v>
      </c>
      <c r="BJ240">
        <v>5975.9576999999999</v>
      </c>
      <c r="BK240">
        <v>62.773181456000003</v>
      </c>
    </row>
    <row r="241" spans="1:63" x14ac:dyDescent="0.25">
      <c r="A241">
        <v>3300</v>
      </c>
      <c r="B241" t="s">
        <v>87</v>
      </c>
      <c r="C241">
        <v>2020</v>
      </c>
      <c r="D241">
        <v>1</v>
      </c>
      <c r="E241" t="s">
        <v>218</v>
      </c>
      <c r="F241" t="s">
        <v>219</v>
      </c>
      <c r="G241" t="s">
        <v>220</v>
      </c>
      <c r="H241" t="s">
        <v>17</v>
      </c>
      <c r="I241" t="s">
        <v>241</v>
      </c>
      <c r="J241" t="s">
        <v>242</v>
      </c>
      <c r="K241">
        <v>-74.215898469999999</v>
      </c>
      <c r="L241" t="s">
        <v>242</v>
      </c>
      <c r="M241" t="s">
        <v>237</v>
      </c>
      <c r="N241">
        <v>0.37405093967954001</v>
      </c>
      <c r="O241">
        <v>27.760527</v>
      </c>
      <c r="P241" t="s">
        <v>21</v>
      </c>
      <c r="Q241">
        <v>1</v>
      </c>
      <c r="V241">
        <v>66303.072</v>
      </c>
      <c r="W241">
        <v>1</v>
      </c>
      <c r="X241">
        <v>1.1311694000000001E-5</v>
      </c>
      <c r="Y241">
        <v>0.75</v>
      </c>
      <c r="Z241">
        <v>20.820395000000001</v>
      </c>
      <c r="AA241" t="s">
        <v>225</v>
      </c>
      <c r="AB241" t="s">
        <v>226</v>
      </c>
      <c r="AC241" t="s">
        <v>227</v>
      </c>
      <c r="AD241" t="s">
        <v>101</v>
      </c>
      <c r="AE241">
        <v>109.354</v>
      </c>
      <c r="AF241">
        <v>1.0727760310708341</v>
      </c>
      <c r="AG241">
        <v>117.31235010172</v>
      </c>
      <c r="AH241">
        <v>694.38</v>
      </c>
      <c r="AI241">
        <v>0.875</v>
      </c>
      <c r="AJ241">
        <v>71.276930955678296</v>
      </c>
      <c r="AK241">
        <v>1.0077</v>
      </c>
      <c r="AL241">
        <v>71.825999999999993</v>
      </c>
      <c r="AM241">
        <v>8.9176000000000002</v>
      </c>
      <c r="AN241">
        <v>9.5665875346772715</v>
      </c>
      <c r="AO241">
        <v>0.91300000000000003</v>
      </c>
      <c r="AP241">
        <v>6064.9193587765631</v>
      </c>
      <c r="AQ241">
        <v>1.0255267423014589</v>
      </c>
      <c r="AR241">
        <v>6219.7370000000001</v>
      </c>
      <c r="AS241">
        <v>1495.44569127</v>
      </c>
      <c r="AT241" t="s">
        <v>269</v>
      </c>
      <c r="AU241" t="s">
        <v>270</v>
      </c>
      <c r="AV241" t="s">
        <v>227</v>
      </c>
      <c r="AW241" t="s">
        <v>101</v>
      </c>
      <c r="AX241">
        <v>109.354</v>
      </c>
      <c r="AY241">
        <v>1.080821157758461</v>
      </c>
      <c r="AZ241">
        <v>118.1921168855188</v>
      </c>
      <c r="BA241">
        <v>779.31</v>
      </c>
      <c r="BB241">
        <v>0.879</v>
      </c>
      <c r="BC241">
        <v>80.963194478237142</v>
      </c>
      <c r="BD241">
        <v>1.0097</v>
      </c>
      <c r="BE241">
        <v>81.748999999999995</v>
      </c>
      <c r="BF241">
        <v>8.9176000000000002</v>
      </c>
      <c r="BG241">
        <v>0.80400000000000005</v>
      </c>
      <c r="BH241">
        <v>6039.0430235999738</v>
      </c>
      <c r="BI241">
        <v>1.0276539708265799</v>
      </c>
      <c r="BJ241">
        <v>6206.0465000000004</v>
      </c>
      <c r="BK241">
        <v>1702.0464708550001</v>
      </c>
    </row>
    <row r="242" spans="1:63" x14ac:dyDescent="0.25">
      <c r="A242">
        <v>2186</v>
      </c>
      <c r="B242" t="s">
        <v>87</v>
      </c>
      <c r="C242">
        <v>2020</v>
      </c>
      <c r="D242">
        <v>1</v>
      </c>
      <c r="E242" t="s">
        <v>218</v>
      </c>
      <c r="F242" t="s">
        <v>219</v>
      </c>
      <c r="G242" t="s">
        <v>220</v>
      </c>
      <c r="H242" t="s">
        <v>17</v>
      </c>
      <c r="I242" t="s">
        <v>243</v>
      </c>
      <c r="J242" t="s">
        <v>244</v>
      </c>
      <c r="K242">
        <v>-205.97764810999999</v>
      </c>
      <c r="L242" t="s">
        <v>245</v>
      </c>
      <c r="M242" t="s">
        <v>224</v>
      </c>
      <c r="N242">
        <v>1.1026262910890001E-2</v>
      </c>
      <c r="O242">
        <v>2.2711640000000002</v>
      </c>
      <c r="P242" t="s">
        <v>21</v>
      </c>
      <c r="Q242">
        <v>1</v>
      </c>
      <c r="V242">
        <v>66303.072</v>
      </c>
      <c r="W242">
        <v>1</v>
      </c>
      <c r="X242">
        <v>1.1311694000000001E-5</v>
      </c>
      <c r="Y242">
        <v>0.75</v>
      </c>
      <c r="Z242">
        <v>1.703373</v>
      </c>
      <c r="AA242" t="s">
        <v>225</v>
      </c>
      <c r="AB242" t="s">
        <v>226</v>
      </c>
      <c r="AC242" t="s">
        <v>227</v>
      </c>
      <c r="AD242" t="s">
        <v>153</v>
      </c>
      <c r="AE242">
        <v>109.354</v>
      </c>
      <c r="AF242">
        <v>1.0727760310708341</v>
      </c>
      <c r="AG242">
        <v>117.31235010172</v>
      </c>
      <c r="AH242">
        <v>694.38</v>
      </c>
      <c r="AI242">
        <v>0.875</v>
      </c>
      <c r="AJ242">
        <v>71.276930955678296</v>
      </c>
      <c r="AK242">
        <v>1.0034000000000001</v>
      </c>
      <c r="AL242">
        <v>71.519000000000005</v>
      </c>
      <c r="AM242">
        <v>8.9176000000000002</v>
      </c>
      <c r="AN242">
        <v>9.5665875346772715</v>
      </c>
      <c r="AO242">
        <v>0.91300000000000003</v>
      </c>
      <c r="AP242">
        <v>6064.9193587765631</v>
      </c>
      <c r="AQ242">
        <v>1</v>
      </c>
      <c r="AR242">
        <v>6064.9193999999998</v>
      </c>
      <c r="AS242">
        <v>121.823533587</v>
      </c>
      <c r="AT242" t="s">
        <v>269</v>
      </c>
      <c r="AU242" t="s">
        <v>270</v>
      </c>
      <c r="AV242" t="s">
        <v>227</v>
      </c>
      <c r="AW242" t="s">
        <v>153</v>
      </c>
      <c r="AX242">
        <v>109.354</v>
      </c>
      <c r="AY242">
        <v>1.080821157758461</v>
      </c>
      <c r="AZ242">
        <v>118.1921168855188</v>
      </c>
      <c r="BA242">
        <v>779.31</v>
      </c>
      <c r="BB242">
        <v>0.879</v>
      </c>
      <c r="BC242">
        <v>80.963194478237142</v>
      </c>
      <c r="BD242">
        <v>1.0078</v>
      </c>
      <c r="BE242">
        <v>81.594999999999999</v>
      </c>
      <c r="BF242">
        <v>8.9176000000000002</v>
      </c>
      <c r="BG242">
        <v>0.80400000000000005</v>
      </c>
      <c r="BH242">
        <v>6039.0430235999738</v>
      </c>
      <c r="BI242">
        <v>1</v>
      </c>
      <c r="BJ242">
        <v>6039.0429999999997</v>
      </c>
      <c r="BK242">
        <v>138.986719935</v>
      </c>
    </row>
    <row r="243" spans="1:63" x14ac:dyDescent="0.25">
      <c r="A243">
        <v>2188</v>
      </c>
      <c r="B243" t="s">
        <v>87</v>
      </c>
      <c r="C243">
        <v>2020</v>
      </c>
      <c r="D243">
        <v>1</v>
      </c>
      <c r="E243" t="s">
        <v>218</v>
      </c>
      <c r="F243" t="s">
        <v>219</v>
      </c>
      <c r="G243" t="s">
        <v>220</v>
      </c>
      <c r="H243" t="s">
        <v>17</v>
      </c>
      <c r="I243" t="s">
        <v>243</v>
      </c>
      <c r="J243" t="s">
        <v>244</v>
      </c>
      <c r="K243">
        <v>-205.97764810999999</v>
      </c>
      <c r="L243" t="s">
        <v>245</v>
      </c>
      <c r="M243" t="s">
        <v>235</v>
      </c>
      <c r="N243">
        <v>0.60074557881113</v>
      </c>
      <c r="O243">
        <v>123.740161</v>
      </c>
      <c r="P243" t="s">
        <v>21</v>
      </c>
      <c r="Q243">
        <v>1</v>
      </c>
      <c r="V243">
        <v>66303.072</v>
      </c>
      <c r="W243">
        <v>1</v>
      </c>
      <c r="X243">
        <v>1.1311694000000001E-5</v>
      </c>
      <c r="Y243">
        <v>0.75</v>
      </c>
      <c r="Z243">
        <v>92.805121</v>
      </c>
      <c r="AA243" t="s">
        <v>225</v>
      </c>
      <c r="AB243" t="s">
        <v>226</v>
      </c>
      <c r="AC243" t="s">
        <v>227</v>
      </c>
      <c r="AD243" t="s">
        <v>154</v>
      </c>
      <c r="AE243">
        <v>109.354</v>
      </c>
      <c r="AF243">
        <v>1.0727760310708341</v>
      </c>
      <c r="AG243">
        <v>117.31235010172</v>
      </c>
      <c r="AH243">
        <v>694.38</v>
      </c>
      <c r="AI243">
        <v>0.875</v>
      </c>
      <c r="AJ243">
        <v>71.276930955678296</v>
      </c>
      <c r="AK243">
        <v>1.0179</v>
      </c>
      <c r="AL243">
        <v>72.552999999999997</v>
      </c>
      <c r="AM243">
        <v>8.9176000000000002</v>
      </c>
      <c r="AN243">
        <v>9.5665875346772715</v>
      </c>
      <c r="AO243">
        <v>0.91300000000000003</v>
      </c>
      <c r="AP243">
        <v>6064.9193587765631</v>
      </c>
      <c r="AQ243">
        <v>0.98975009761811794</v>
      </c>
      <c r="AR243">
        <v>6002.7545</v>
      </c>
      <c r="AS243">
        <v>6733.2899439129997</v>
      </c>
      <c r="AT243" t="s">
        <v>269</v>
      </c>
      <c r="AU243" t="s">
        <v>270</v>
      </c>
      <c r="AV243" t="s">
        <v>227</v>
      </c>
      <c r="AW243" t="s">
        <v>154</v>
      </c>
      <c r="AX243">
        <v>109.354</v>
      </c>
      <c r="AY243">
        <v>1.080821157758461</v>
      </c>
      <c r="AZ243">
        <v>118.1921168855188</v>
      </c>
      <c r="BA243">
        <v>779.31</v>
      </c>
      <c r="BB243">
        <v>0.879</v>
      </c>
      <c r="BC243">
        <v>80.963194478237142</v>
      </c>
      <c r="BD243">
        <v>0.9899</v>
      </c>
      <c r="BE243">
        <v>80.144999999999996</v>
      </c>
      <c r="BF243">
        <v>8.9176000000000002</v>
      </c>
      <c r="BG243">
        <v>0.80400000000000005</v>
      </c>
      <c r="BH243">
        <v>6039.0430235999738</v>
      </c>
      <c r="BI243">
        <v>0.99199531433033972</v>
      </c>
      <c r="BJ243">
        <v>5990.7024000000001</v>
      </c>
      <c r="BK243">
        <v>7437.8664225449993</v>
      </c>
    </row>
    <row r="244" spans="1:63" x14ac:dyDescent="0.25">
      <c r="A244">
        <v>2190</v>
      </c>
      <c r="B244" t="s">
        <v>87</v>
      </c>
      <c r="C244">
        <v>2020</v>
      </c>
      <c r="D244">
        <v>1</v>
      </c>
      <c r="E244" t="s">
        <v>218</v>
      </c>
      <c r="F244" t="s">
        <v>219</v>
      </c>
      <c r="G244" t="s">
        <v>220</v>
      </c>
      <c r="H244" t="s">
        <v>17</v>
      </c>
      <c r="I244" t="s">
        <v>243</v>
      </c>
      <c r="J244" t="s">
        <v>244</v>
      </c>
      <c r="K244">
        <v>-205.97764810999999</v>
      </c>
      <c r="L244" t="s">
        <v>245</v>
      </c>
      <c r="M244" t="s">
        <v>236</v>
      </c>
      <c r="N244">
        <v>1.775192921592E-2</v>
      </c>
      <c r="O244">
        <v>3.656501</v>
      </c>
      <c r="P244" t="s">
        <v>21</v>
      </c>
      <c r="Q244">
        <v>1</v>
      </c>
      <c r="V244">
        <v>66303.072</v>
      </c>
      <c r="W244">
        <v>1</v>
      </c>
      <c r="X244">
        <v>1.1311694000000001E-5</v>
      </c>
      <c r="Y244">
        <v>0.75</v>
      </c>
      <c r="Z244">
        <v>2.7423760000000001</v>
      </c>
      <c r="AA244" t="s">
        <v>225</v>
      </c>
      <c r="AB244" t="s">
        <v>226</v>
      </c>
      <c r="AC244" t="s">
        <v>227</v>
      </c>
      <c r="AD244" t="s">
        <v>100</v>
      </c>
      <c r="AE244">
        <v>109.354</v>
      </c>
      <c r="AF244">
        <v>1.0727760310708341</v>
      </c>
      <c r="AG244">
        <v>117.31235010172</v>
      </c>
      <c r="AH244">
        <v>694.38</v>
      </c>
      <c r="AI244">
        <v>0.875</v>
      </c>
      <c r="AJ244">
        <v>71.276930955678296</v>
      </c>
      <c r="AK244">
        <v>0.96660000000000001</v>
      </c>
      <c r="AL244">
        <v>68.896000000000001</v>
      </c>
      <c r="AM244">
        <v>8.9176000000000002</v>
      </c>
      <c r="AN244">
        <v>9.5665875346772715</v>
      </c>
      <c r="AO244">
        <v>0.91300000000000003</v>
      </c>
      <c r="AP244">
        <v>6064.9193587765631</v>
      </c>
      <c r="AQ244">
        <v>0.98316430020283985</v>
      </c>
      <c r="AR244">
        <v>5962.8122000000003</v>
      </c>
      <c r="AS244">
        <v>188.93873689599999</v>
      </c>
      <c r="AT244" t="s">
        <v>269</v>
      </c>
      <c r="AU244" t="s">
        <v>270</v>
      </c>
      <c r="AV244" t="s">
        <v>227</v>
      </c>
      <c r="AW244" t="s">
        <v>100</v>
      </c>
      <c r="AX244">
        <v>109.354</v>
      </c>
      <c r="AY244">
        <v>1.080821157758461</v>
      </c>
      <c r="AZ244">
        <v>118.1921168855188</v>
      </c>
      <c r="BA244">
        <v>779.31</v>
      </c>
      <c r="BB244">
        <v>0.879</v>
      </c>
      <c r="BC244">
        <v>80.963194478237142</v>
      </c>
      <c r="BD244">
        <v>0.96560000000000001</v>
      </c>
      <c r="BE244">
        <v>78.177999999999997</v>
      </c>
      <c r="BF244">
        <v>8.9176000000000002</v>
      </c>
      <c r="BG244">
        <v>0.80400000000000005</v>
      </c>
      <c r="BH244">
        <v>6039.0430235999738</v>
      </c>
      <c r="BI244">
        <v>0.98955375253549693</v>
      </c>
      <c r="BJ244">
        <v>5975.9576999999999</v>
      </c>
      <c r="BK244">
        <v>214.393470928</v>
      </c>
    </row>
    <row r="245" spans="1:63" x14ac:dyDescent="0.25">
      <c r="A245">
        <v>2192</v>
      </c>
      <c r="B245" t="s">
        <v>87</v>
      </c>
      <c r="C245">
        <v>2020</v>
      </c>
      <c r="D245">
        <v>1</v>
      </c>
      <c r="E245" t="s">
        <v>218</v>
      </c>
      <c r="F245" t="s">
        <v>219</v>
      </c>
      <c r="G245" t="s">
        <v>220</v>
      </c>
      <c r="H245" t="s">
        <v>17</v>
      </c>
      <c r="I245" t="s">
        <v>243</v>
      </c>
      <c r="J245" t="s">
        <v>244</v>
      </c>
      <c r="K245">
        <v>-205.97764810999999</v>
      </c>
      <c r="L245" t="s">
        <v>245</v>
      </c>
      <c r="M245" t="s">
        <v>237</v>
      </c>
      <c r="N245">
        <v>0.39766766032624001</v>
      </c>
      <c r="O245">
        <v>81.910649000000006</v>
      </c>
      <c r="P245" t="s">
        <v>21</v>
      </c>
      <c r="Q245">
        <v>1</v>
      </c>
      <c r="V245">
        <v>66303.072</v>
      </c>
      <c r="W245">
        <v>1</v>
      </c>
      <c r="X245">
        <v>1.1311694000000001E-5</v>
      </c>
      <c r="Y245">
        <v>0.75</v>
      </c>
      <c r="Z245">
        <v>61.432986999999997</v>
      </c>
      <c r="AA245" t="s">
        <v>225</v>
      </c>
      <c r="AB245" t="s">
        <v>226</v>
      </c>
      <c r="AC245" t="s">
        <v>227</v>
      </c>
      <c r="AD245" t="s">
        <v>101</v>
      </c>
      <c r="AE245">
        <v>109.354</v>
      </c>
      <c r="AF245">
        <v>1.0727760310708341</v>
      </c>
      <c r="AG245">
        <v>117.31235010172</v>
      </c>
      <c r="AH245">
        <v>694.38</v>
      </c>
      <c r="AI245">
        <v>0.875</v>
      </c>
      <c r="AJ245">
        <v>71.276930955678296</v>
      </c>
      <c r="AK245">
        <v>1.0077</v>
      </c>
      <c r="AL245">
        <v>71.825999999999993</v>
      </c>
      <c r="AM245">
        <v>8.9176000000000002</v>
      </c>
      <c r="AN245">
        <v>9.5665875346772715</v>
      </c>
      <c r="AO245">
        <v>0.91300000000000003</v>
      </c>
      <c r="AP245">
        <v>6064.9193587765631</v>
      </c>
      <c r="AQ245">
        <v>1.0255267423014589</v>
      </c>
      <c r="AR245">
        <v>6219.7370000000001</v>
      </c>
      <c r="AS245">
        <v>4412.4857242619992</v>
      </c>
      <c r="AT245" t="s">
        <v>269</v>
      </c>
      <c r="AU245" t="s">
        <v>270</v>
      </c>
      <c r="AV245" t="s">
        <v>227</v>
      </c>
      <c r="AW245" t="s">
        <v>101</v>
      </c>
      <c r="AX245">
        <v>109.354</v>
      </c>
      <c r="AY245">
        <v>1.080821157758461</v>
      </c>
      <c r="AZ245">
        <v>118.1921168855188</v>
      </c>
      <c r="BA245">
        <v>779.31</v>
      </c>
      <c r="BB245">
        <v>0.879</v>
      </c>
      <c r="BC245">
        <v>80.963194478237142</v>
      </c>
      <c r="BD245">
        <v>1.0097</v>
      </c>
      <c r="BE245">
        <v>81.748999999999995</v>
      </c>
      <c r="BF245">
        <v>8.9176000000000002</v>
      </c>
      <c r="BG245">
        <v>0.80400000000000005</v>
      </c>
      <c r="BH245">
        <v>6039.0430235999738</v>
      </c>
      <c r="BI245">
        <v>1.0276539708265799</v>
      </c>
      <c r="BJ245">
        <v>6206.0465000000004</v>
      </c>
      <c r="BK245">
        <v>5022.0852542629991</v>
      </c>
    </row>
    <row r="246" spans="1:63" x14ac:dyDescent="0.25">
      <c r="A246">
        <v>4394</v>
      </c>
      <c r="B246" t="s">
        <v>87</v>
      </c>
      <c r="C246">
        <v>2020</v>
      </c>
      <c r="D246">
        <v>1</v>
      </c>
      <c r="E246" t="s">
        <v>218</v>
      </c>
      <c r="F246" t="s">
        <v>219</v>
      </c>
      <c r="G246" t="s">
        <v>220</v>
      </c>
      <c r="H246" t="s">
        <v>17</v>
      </c>
      <c r="I246" t="s">
        <v>246</v>
      </c>
      <c r="J246" t="s">
        <v>247</v>
      </c>
      <c r="K246">
        <v>-584.43833612000003</v>
      </c>
      <c r="L246" t="s">
        <v>248</v>
      </c>
      <c r="M246" t="s">
        <v>224</v>
      </c>
      <c r="N246">
        <v>4.9724862092599999E-3</v>
      </c>
      <c r="O246">
        <v>2.9061119999999998</v>
      </c>
      <c r="P246" t="s">
        <v>21</v>
      </c>
      <c r="Q246">
        <v>1</v>
      </c>
      <c r="V246">
        <v>66303.072</v>
      </c>
      <c r="W246">
        <v>1</v>
      </c>
      <c r="X246">
        <v>1.1311694000000001E-5</v>
      </c>
      <c r="Y246">
        <v>0.75</v>
      </c>
      <c r="Z246">
        <v>2.1795840000000002</v>
      </c>
      <c r="AA246" t="s">
        <v>225</v>
      </c>
      <c r="AB246" t="s">
        <v>226</v>
      </c>
      <c r="AC246" t="s">
        <v>227</v>
      </c>
      <c r="AD246" t="s">
        <v>153</v>
      </c>
      <c r="AE246">
        <v>109.354</v>
      </c>
      <c r="AF246">
        <v>1.0727760310708341</v>
      </c>
      <c r="AG246">
        <v>117.31235010172</v>
      </c>
      <c r="AH246">
        <v>694.38</v>
      </c>
      <c r="AI246">
        <v>0.875</v>
      </c>
      <c r="AJ246">
        <v>71.276930955678296</v>
      </c>
      <c r="AK246">
        <v>1.0034000000000001</v>
      </c>
      <c r="AL246">
        <v>71.519000000000005</v>
      </c>
      <c r="AM246">
        <v>8.9176000000000002</v>
      </c>
      <c r="AN246">
        <v>9.5665875346772715</v>
      </c>
      <c r="AO246">
        <v>0.91300000000000003</v>
      </c>
      <c r="AP246">
        <v>6064.9193587765631</v>
      </c>
      <c r="AQ246">
        <v>1</v>
      </c>
      <c r="AR246">
        <v>6064.9193999999998</v>
      </c>
      <c r="AS246">
        <v>155.881668096</v>
      </c>
      <c r="AT246" t="s">
        <v>269</v>
      </c>
      <c r="AU246" t="s">
        <v>270</v>
      </c>
      <c r="AV246" t="s">
        <v>227</v>
      </c>
      <c r="AW246" t="s">
        <v>153</v>
      </c>
      <c r="AX246">
        <v>109.354</v>
      </c>
      <c r="AY246">
        <v>1.080821157758461</v>
      </c>
      <c r="AZ246">
        <v>118.1921168855188</v>
      </c>
      <c r="BA246">
        <v>779.31</v>
      </c>
      <c r="BB246">
        <v>0.879</v>
      </c>
      <c r="BC246">
        <v>80.963194478237142</v>
      </c>
      <c r="BD246">
        <v>1.0078</v>
      </c>
      <c r="BE246">
        <v>81.594999999999999</v>
      </c>
      <c r="BF246">
        <v>8.9176000000000002</v>
      </c>
      <c r="BG246">
        <v>0.80400000000000005</v>
      </c>
      <c r="BH246">
        <v>6039.0430235999738</v>
      </c>
      <c r="BI246">
        <v>1</v>
      </c>
      <c r="BJ246">
        <v>6039.0429999999997</v>
      </c>
      <c r="BK246">
        <v>177.84315648</v>
      </c>
    </row>
    <row r="247" spans="1:63" x14ac:dyDescent="0.25">
      <c r="A247">
        <v>4396</v>
      </c>
      <c r="B247" t="s">
        <v>87</v>
      </c>
      <c r="C247">
        <v>2020</v>
      </c>
      <c r="D247">
        <v>1</v>
      </c>
      <c r="E247" t="s">
        <v>218</v>
      </c>
      <c r="F247" t="s">
        <v>219</v>
      </c>
      <c r="G247" t="s">
        <v>220</v>
      </c>
      <c r="H247" t="s">
        <v>17</v>
      </c>
      <c r="I247" t="s">
        <v>246</v>
      </c>
      <c r="J247" t="s">
        <v>247</v>
      </c>
      <c r="K247">
        <v>-584.43833612000003</v>
      </c>
      <c r="L247" t="s">
        <v>248</v>
      </c>
      <c r="M247" t="s">
        <v>235</v>
      </c>
      <c r="N247">
        <v>0.99209122360516</v>
      </c>
      <c r="O247">
        <v>579.81614400000001</v>
      </c>
      <c r="P247" t="s">
        <v>21</v>
      </c>
      <c r="Q247">
        <v>1</v>
      </c>
      <c r="V247">
        <v>66303.072</v>
      </c>
      <c r="W247">
        <v>1</v>
      </c>
      <c r="X247">
        <v>1.1311694000000001E-5</v>
      </c>
      <c r="Y247">
        <v>0.75</v>
      </c>
      <c r="Z247">
        <v>434.86210799999998</v>
      </c>
      <c r="AA247" t="s">
        <v>225</v>
      </c>
      <c r="AB247" t="s">
        <v>226</v>
      </c>
      <c r="AC247" t="s">
        <v>227</v>
      </c>
      <c r="AD247" t="s">
        <v>154</v>
      </c>
      <c r="AE247">
        <v>109.354</v>
      </c>
      <c r="AF247">
        <v>1.0727760310708341</v>
      </c>
      <c r="AG247">
        <v>117.31235010172</v>
      </c>
      <c r="AH247">
        <v>694.38</v>
      </c>
      <c r="AI247">
        <v>0.875</v>
      </c>
      <c r="AJ247">
        <v>71.276930955678296</v>
      </c>
      <c r="AK247">
        <v>1.0179</v>
      </c>
      <c r="AL247">
        <v>72.552999999999997</v>
      </c>
      <c r="AM247">
        <v>8.9176000000000002</v>
      </c>
      <c r="AN247">
        <v>9.5665875346772715</v>
      </c>
      <c r="AO247">
        <v>0.91300000000000003</v>
      </c>
      <c r="AP247">
        <v>6064.9193587765631</v>
      </c>
      <c r="AQ247">
        <v>0.98975009761811794</v>
      </c>
      <c r="AR247">
        <v>6002.7545</v>
      </c>
      <c r="AS247">
        <v>31550.550521723999</v>
      </c>
      <c r="AT247" t="s">
        <v>269</v>
      </c>
      <c r="AU247" t="s">
        <v>270</v>
      </c>
      <c r="AV247" t="s">
        <v>227</v>
      </c>
      <c r="AW247" t="s">
        <v>154</v>
      </c>
      <c r="AX247">
        <v>109.354</v>
      </c>
      <c r="AY247">
        <v>1.080821157758461</v>
      </c>
      <c r="AZ247">
        <v>118.1921168855188</v>
      </c>
      <c r="BA247">
        <v>779.31</v>
      </c>
      <c r="BB247">
        <v>0.879</v>
      </c>
      <c r="BC247">
        <v>80.963194478237142</v>
      </c>
      <c r="BD247">
        <v>0.9899</v>
      </c>
      <c r="BE247">
        <v>80.144999999999996</v>
      </c>
      <c r="BF247">
        <v>8.9176000000000002</v>
      </c>
      <c r="BG247">
        <v>0.80400000000000005</v>
      </c>
      <c r="BH247">
        <v>6039.0430235999738</v>
      </c>
      <c r="BI247">
        <v>0.99199531433033972</v>
      </c>
      <c r="BJ247">
        <v>5990.7024000000001</v>
      </c>
      <c r="BK247">
        <v>34852.023645660003</v>
      </c>
    </row>
    <row r="248" spans="1:63" x14ac:dyDescent="0.25">
      <c r="A248">
        <v>4398</v>
      </c>
      <c r="B248" t="s">
        <v>87</v>
      </c>
      <c r="C248">
        <v>2020</v>
      </c>
      <c r="D248">
        <v>1</v>
      </c>
      <c r="E248" t="s">
        <v>218</v>
      </c>
      <c r="F248" t="s">
        <v>219</v>
      </c>
      <c r="G248" t="s">
        <v>220</v>
      </c>
      <c r="H248" t="s">
        <v>17</v>
      </c>
      <c r="I248" t="s">
        <v>246</v>
      </c>
      <c r="J248" t="s">
        <v>247</v>
      </c>
      <c r="K248">
        <v>-584.43833612000003</v>
      </c>
      <c r="L248" t="s">
        <v>248</v>
      </c>
      <c r="M248" t="s">
        <v>236</v>
      </c>
      <c r="N248">
        <v>4.7995598170700003E-3</v>
      </c>
      <c r="O248">
        <v>2.8050470000000001</v>
      </c>
      <c r="P248" t="s">
        <v>21</v>
      </c>
      <c r="Q248">
        <v>1</v>
      </c>
      <c r="V248">
        <v>66303.072</v>
      </c>
      <c r="W248">
        <v>1</v>
      </c>
      <c r="X248">
        <v>1.1311694000000001E-5</v>
      </c>
      <c r="Y248">
        <v>0.75</v>
      </c>
      <c r="Z248">
        <v>2.1037849999999998</v>
      </c>
      <c r="AA248" t="s">
        <v>225</v>
      </c>
      <c r="AB248" t="s">
        <v>226</v>
      </c>
      <c r="AC248" t="s">
        <v>227</v>
      </c>
      <c r="AD248" t="s">
        <v>100</v>
      </c>
      <c r="AE248">
        <v>109.354</v>
      </c>
      <c r="AF248">
        <v>1.0727760310708341</v>
      </c>
      <c r="AG248">
        <v>117.31235010172</v>
      </c>
      <c r="AH248">
        <v>694.38</v>
      </c>
      <c r="AI248">
        <v>0.875</v>
      </c>
      <c r="AJ248">
        <v>71.276930955678296</v>
      </c>
      <c r="AK248">
        <v>0.96660000000000001</v>
      </c>
      <c r="AL248">
        <v>68.896000000000001</v>
      </c>
      <c r="AM248">
        <v>8.9176000000000002</v>
      </c>
      <c r="AN248">
        <v>9.5665875346772715</v>
      </c>
      <c r="AO248">
        <v>0.91300000000000003</v>
      </c>
      <c r="AP248">
        <v>6064.9193587765631</v>
      </c>
      <c r="AQ248">
        <v>0.98316430020283985</v>
      </c>
      <c r="AR248">
        <v>5962.8122000000003</v>
      </c>
      <c r="AS248">
        <v>144.94237136000001</v>
      </c>
      <c r="AT248" t="s">
        <v>269</v>
      </c>
      <c r="AU248" t="s">
        <v>270</v>
      </c>
      <c r="AV248" t="s">
        <v>227</v>
      </c>
      <c r="AW248" t="s">
        <v>100</v>
      </c>
      <c r="AX248">
        <v>109.354</v>
      </c>
      <c r="AY248">
        <v>1.080821157758461</v>
      </c>
      <c r="AZ248">
        <v>118.1921168855188</v>
      </c>
      <c r="BA248">
        <v>779.31</v>
      </c>
      <c r="BB248">
        <v>0.879</v>
      </c>
      <c r="BC248">
        <v>80.963194478237142</v>
      </c>
      <c r="BD248">
        <v>0.96560000000000001</v>
      </c>
      <c r="BE248">
        <v>78.177999999999997</v>
      </c>
      <c r="BF248">
        <v>8.9176000000000002</v>
      </c>
      <c r="BG248">
        <v>0.80400000000000005</v>
      </c>
      <c r="BH248">
        <v>6039.0430235999738</v>
      </c>
      <c r="BI248">
        <v>0.98955375253549693</v>
      </c>
      <c r="BJ248">
        <v>5975.9576999999999</v>
      </c>
      <c r="BK248">
        <v>164.46970372999999</v>
      </c>
    </row>
    <row r="249" spans="1:63" x14ac:dyDescent="0.25">
      <c r="A249">
        <v>4400</v>
      </c>
      <c r="B249" t="s">
        <v>87</v>
      </c>
      <c r="C249">
        <v>2020</v>
      </c>
      <c r="D249">
        <v>1</v>
      </c>
      <c r="E249" t="s">
        <v>218</v>
      </c>
      <c r="F249" t="s">
        <v>219</v>
      </c>
      <c r="G249" t="s">
        <v>220</v>
      </c>
      <c r="H249" t="s">
        <v>17</v>
      </c>
      <c r="I249" t="s">
        <v>246</v>
      </c>
      <c r="J249" t="s">
        <v>247</v>
      </c>
      <c r="K249">
        <v>-584.43833612000003</v>
      </c>
      <c r="L249" t="s">
        <v>248</v>
      </c>
      <c r="M249" t="s">
        <v>237</v>
      </c>
      <c r="N249">
        <v>2.2580780904460002E-2</v>
      </c>
      <c r="O249">
        <v>13.197074000000001</v>
      </c>
      <c r="P249" t="s">
        <v>21</v>
      </c>
      <c r="Q249">
        <v>1</v>
      </c>
      <c r="V249">
        <v>66303.072</v>
      </c>
      <c r="W249">
        <v>1</v>
      </c>
      <c r="X249">
        <v>1.1311694000000001E-5</v>
      </c>
      <c r="Y249">
        <v>0.75</v>
      </c>
      <c r="Z249">
        <v>9.8978059999999992</v>
      </c>
      <c r="AA249" t="s">
        <v>225</v>
      </c>
      <c r="AB249" t="s">
        <v>226</v>
      </c>
      <c r="AC249" t="s">
        <v>227</v>
      </c>
      <c r="AD249" t="s">
        <v>101</v>
      </c>
      <c r="AE249">
        <v>109.354</v>
      </c>
      <c r="AF249">
        <v>1.0727760310708341</v>
      </c>
      <c r="AG249">
        <v>117.31235010172</v>
      </c>
      <c r="AH249">
        <v>694.38</v>
      </c>
      <c r="AI249">
        <v>0.875</v>
      </c>
      <c r="AJ249">
        <v>71.276930955678296</v>
      </c>
      <c r="AK249">
        <v>1.0077</v>
      </c>
      <c r="AL249">
        <v>71.825999999999993</v>
      </c>
      <c r="AM249">
        <v>8.9176000000000002</v>
      </c>
      <c r="AN249">
        <v>9.5665875346772715</v>
      </c>
      <c r="AO249">
        <v>0.91300000000000003</v>
      </c>
      <c r="AP249">
        <v>6064.9193587765631</v>
      </c>
      <c r="AQ249">
        <v>1.0255267423014589</v>
      </c>
      <c r="AR249">
        <v>6219.7370000000001</v>
      </c>
      <c r="AS249">
        <v>710.91981375599983</v>
      </c>
      <c r="AT249" t="s">
        <v>269</v>
      </c>
      <c r="AU249" t="s">
        <v>270</v>
      </c>
      <c r="AV249" t="s">
        <v>227</v>
      </c>
      <c r="AW249" t="s">
        <v>101</v>
      </c>
      <c r="AX249">
        <v>109.354</v>
      </c>
      <c r="AY249">
        <v>1.080821157758461</v>
      </c>
      <c r="AZ249">
        <v>118.1921168855188</v>
      </c>
      <c r="BA249">
        <v>779.31</v>
      </c>
      <c r="BB249">
        <v>0.879</v>
      </c>
      <c r="BC249">
        <v>80.963194478237142</v>
      </c>
      <c r="BD249">
        <v>1.0097</v>
      </c>
      <c r="BE249">
        <v>81.748999999999995</v>
      </c>
      <c r="BF249">
        <v>8.9176000000000002</v>
      </c>
      <c r="BG249">
        <v>0.80400000000000005</v>
      </c>
      <c r="BH249">
        <v>6039.0430235999738</v>
      </c>
      <c r="BI249">
        <v>1.0276539708265799</v>
      </c>
      <c r="BJ249">
        <v>6206.0465000000004</v>
      </c>
      <c r="BK249">
        <v>809.13574269399987</v>
      </c>
    </row>
    <row r="250" spans="1:63" x14ac:dyDescent="0.25">
      <c r="A250">
        <v>1094</v>
      </c>
      <c r="B250" t="s">
        <v>87</v>
      </c>
      <c r="C250">
        <v>2020</v>
      </c>
      <c r="D250">
        <v>1</v>
      </c>
      <c r="E250" t="s">
        <v>218</v>
      </c>
      <c r="F250" t="s">
        <v>219</v>
      </c>
      <c r="G250" t="s">
        <v>220</v>
      </c>
      <c r="H250" t="s">
        <v>17</v>
      </c>
      <c r="I250" t="s">
        <v>249</v>
      </c>
      <c r="J250" t="s">
        <v>250</v>
      </c>
      <c r="K250">
        <v>-754.40010830999995</v>
      </c>
      <c r="L250" t="s">
        <v>250</v>
      </c>
      <c r="M250" t="s">
        <v>231</v>
      </c>
      <c r="N250">
        <v>4.9898993999990003E-2</v>
      </c>
      <c r="O250">
        <v>37.643805999999998</v>
      </c>
      <c r="P250" t="s">
        <v>21</v>
      </c>
      <c r="Q250">
        <v>1</v>
      </c>
      <c r="V250">
        <v>66303.072</v>
      </c>
      <c r="W250">
        <v>1</v>
      </c>
      <c r="X250">
        <v>1.1311694000000001E-5</v>
      </c>
      <c r="Y250">
        <v>0.75</v>
      </c>
      <c r="Z250">
        <v>28.232855000000001</v>
      </c>
      <c r="AA250" t="s">
        <v>225</v>
      </c>
      <c r="AB250" t="s">
        <v>226</v>
      </c>
      <c r="AC250" t="s">
        <v>227</v>
      </c>
      <c r="AD250" t="s">
        <v>100</v>
      </c>
      <c r="AE250">
        <v>109.354</v>
      </c>
      <c r="AF250">
        <v>1.0727760310708341</v>
      </c>
      <c r="AG250">
        <v>117.31235010172</v>
      </c>
      <c r="AH250">
        <v>694.38</v>
      </c>
      <c r="AI250">
        <v>0.875</v>
      </c>
      <c r="AJ250">
        <v>71.276930955678296</v>
      </c>
      <c r="AK250">
        <v>0.96660000000000001</v>
      </c>
      <c r="AL250">
        <v>68.896000000000001</v>
      </c>
      <c r="AM250">
        <v>8.9176000000000002</v>
      </c>
      <c r="AN250">
        <v>9.5665875346772715</v>
      </c>
      <c r="AO250">
        <v>0.91300000000000003</v>
      </c>
      <c r="AP250">
        <v>6064.9193587765631</v>
      </c>
      <c r="AQ250">
        <v>0.98316430020283985</v>
      </c>
      <c r="AR250">
        <v>5962.8122000000003</v>
      </c>
      <c r="AS250">
        <v>1945.13077808</v>
      </c>
      <c r="AT250" t="s">
        <v>269</v>
      </c>
      <c r="AU250" t="s">
        <v>270</v>
      </c>
      <c r="AV250" t="s">
        <v>227</v>
      </c>
      <c r="AW250" t="s">
        <v>100</v>
      </c>
      <c r="AX250">
        <v>109.354</v>
      </c>
      <c r="AY250">
        <v>1.080821157758461</v>
      </c>
      <c r="AZ250">
        <v>118.1921168855188</v>
      </c>
      <c r="BA250">
        <v>779.31</v>
      </c>
      <c r="BB250">
        <v>0.879</v>
      </c>
      <c r="BC250">
        <v>80.963194478237142</v>
      </c>
      <c r="BD250">
        <v>0.96560000000000001</v>
      </c>
      <c r="BE250">
        <v>78.177999999999997</v>
      </c>
      <c r="BF250">
        <v>8.9176000000000002</v>
      </c>
      <c r="BG250">
        <v>0.80400000000000005</v>
      </c>
      <c r="BH250">
        <v>6039.0430235999738</v>
      </c>
      <c r="BI250">
        <v>0.98955375253549693</v>
      </c>
      <c r="BJ250">
        <v>5975.9576999999999</v>
      </c>
      <c r="BK250">
        <v>2207.1881381899998</v>
      </c>
    </row>
    <row r="251" spans="1:63" x14ac:dyDescent="0.25">
      <c r="A251">
        <v>1096</v>
      </c>
      <c r="B251" t="s">
        <v>87</v>
      </c>
      <c r="C251">
        <v>2020</v>
      </c>
      <c r="D251">
        <v>1</v>
      </c>
      <c r="E251" t="s">
        <v>218</v>
      </c>
      <c r="F251" t="s">
        <v>219</v>
      </c>
      <c r="G251" t="s">
        <v>220</v>
      </c>
      <c r="H251" t="s">
        <v>17</v>
      </c>
      <c r="I251" t="s">
        <v>249</v>
      </c>
      <c r="J251" t="s">
        <v>250</v>
      </c>
      <c r="K251">
        <v>-754.40010830999995</v>
      </c>
      <c r="L251" t="s">
        <v>250</v>
      </c>
      <c r="M251" t="s">
        <v>232</v>
      </c>
      <c r="N251">
        <v>0.97472100599996003</v>
      </c>
      <c r="O251">
        <v>735.32963199999995</v>
      </c>
      <c r="P251" t="s">
        <v>21</v>
      </c>
      <c r="Q251">
        <v>1</v>
      </c>
      <c r="V251">
        <v>66303.072</v>
      </c>
      <c r="W251">
        <v>1</v>
      </c>
      <c r="X251">
        <v>1.1311694000000001E-5</v>
      </c>
      <c r="Y251">
        <v>0.75</v>
      </c>
      <c r="Z251">
        <v>551.49722399999996</v>
      </c>
      <c r="AA251" t="s">
        <v>225</v>
      </c>
      <c r="AB251" t="s">
        <v>226</v>
      </c>
      <c r="AC251" t="s">
        <v>227</v>
      </c>
      <c r="AD251" t="s">
        <v>101</v>
      </c>
      <c r="AE251">
        <v>109.354</v>
      </c>
      <c r="AF251">
        <v>1.0727760310708341</v>
      </c>
      <c r="AG251">
        <v>117.31235010172</v>
      </c>
      <c r="AH251">
        <v>694.38</v>
      </c>
      <c r="AI251">
        <v>0.875</v>
      </c>
      <c r="AJ251">
        <v>71.276930955678296</v>
      </c>
      <c r="AK251">
        <v>1.0077</v>
      </c>
      <c r="AL251">
        <v>71.825999999999993</v>
      </c>
      <c r="AM251">
        <v>8.9176000000000002</v>
      </c>
      <c r="AN251">
        <v>9.5665875346772715</v>
      </c>
      <c r="AO251">
        <v>0.91300000000000003</v>
      </c>
      <c r="AP251">
        <v>6064.9193587765631</v>
      </c>
      <c r="AQ251">
        <v>1.0255267423014589</v>
      </c>
      <c r="AR251">
        <v>6219.7370000000001</v>
      </c>
      <c r="AS251">
        <v>39611.839611023992</v>
      </c>
      <c r="AT251" t="s">
        <v>269</v>
      </c>
      <c r="AU251" t="s">
        <v>270</v>
      </c>
      <c r="AV251" t="s">
        <v>227</v>
      </c>
      <c r="AW251" t="s">
        <v>101</v>
      </c>
      <c r="AX251">
        <v>109.354</v>
      </c>
      <c r="AY251">
        <v>1.080821157758461</v>
      </c>
      <c r="AZ251">
        <v>118.1921168855188</v>
      </c>
      <c r="BA251">
        <v>779.31</v>
      </c>
      <c r="BB251">
        <v>0.879</v>
      </c>
      <c r="BC251">
        <v>80.963194478237142</v>
      </c>
      <c r="BD251">
        <v>1.0097</v>
      </c>
      <c r="BE251">
        <v>81.748999999999995</v>
      </c>
      <c r="BF251">
        <v>8.9176000000000002</v>
      </c>
      <c r="BG251">
        <v>0.80400000000000005</v>
      </c>
      <c r="BH251">
        <v>6039.0430235999738</v>
      </c>
      <c r="BI251">
        <v>1.0276539708265799</v>
      </c>
      <c r="BJ251">
        <v>6206.0465000000004</v>
      </c>
      <c r="BK251">
        <v>45084.346564775988</v>
      </c>
    </row>
    <row r="252" spans="1:63" x14ac:dyDescent="0.25">
      <c r="A252">
        <v>4402</v>
      </c>
      <c r="B252" t="s">
        <v>87</v>
      </c>
      <c r="C252">
        <v>2020</v>
      </c>
      <c r="D252">
        <v>1</v>
      </c>
      <c r="E252" t="s">
        <v>218</v>
      </c>
      <c r="F252" t="s">
        <v>251</v>
      </c>
      <c r="G252" t="s">
        <v>252</v>
      </c>
      <c r="H252" t="s">
        <v>17</v>
      </c>
      <c r="I252" t="s">
        <v>253</v>
      </c>
      <c r="J252" t="s">
        <v>222</v>
      </c>
      <c r="K252">
        <v>-267.35695004000002</v>
      </c>
      <c r="L252" t="s">
        <v>223</v>
      </c>
      <c r="M252" t="s">
        <v>224</v>
      </c>
      <c r="N252">
        <v>8.7524974586199993E-3</v>
      </c>
      <c r="O252">
        <v>2.3400409999999998</v>
      </c>
      <c r="P252" t="s">
        <v>21</v>
      </c>
      <c r="Q252">
        <v>1</v>
      </c>
      <c r="V252">
        <v>66303.072</v>
      </c>
      <c r="W252">
        <v>1</v>
      </c>
      <c r="X252">
        <v>9.0493559999999998E-6</v>
      </c>
      <c r="Y252">
        <v>0.6</v>
      </c>
      <c r="Z252">
        <v>1.4040250000000001</v>
      </c>
      <c r="AA252" t="s">
        <v>225</v>
      </c>
      <c r="AB252" t="s">
        <v>226</v>
      </c>
      <c r="AC252" t="s">
        <v>227</v>
      </c>
      <c r="AD252" t="s">
        <v>153</v>
      </c>
      <c r="AE252">
        <v>109.354</v>
      </c>
      <c r="AF252">
        <v>1.0727760310708341</v>
      </c>
      <c r="AG252">
        <v>117.31235010172</v>
      </c>
      <c r="AH252">
        <v>694.38</v>
      </c>
      <c r="AI252">
        <v>0.875</v>
      </c>
      <c r="AJ252">
        <v>71.276930955678296</v>
      </c>
      <c r="AK252">
        <v>1.0034000000000001</v>
      </c>
      <c r="AL252">
        <v>71.519000000000005</v>
      </c>
      <c r="AM252">
        <v>8.9176000000000002</v>
      </c>
      <c r="AN252">
        <v>9.5665875346772715</v>
      </c>
      <c r="AO252">
        <v>0.91300000000000003</v>
      </c>
      <c r="AP252">
        <v>6064.9193587765631</v>
      </c>
      <c r="AQ252">
        <v>1</v>
      </c>
      <c r="AR252">
        <v>6064.9193999999998</v>
      </c>
      <c r="AS252">
        <v>100.414463975</v>
      </c>
      <c r="AT252" t="s">
        <v>269</v>
      </c>
      <c r="AU252" t="s">
        <v>270</v>
      </c>
      <c r="AV252" t="s">
        <v>227</v>
      </c>
      <c r="AW252" t="s">
        <v>153</v>
      </c>
      <c r="AX252">
        <v>109.354</v>
      </c>
      <c r="AY252">
        <v>1.080821157758461</v>
      </c>
      <c r="AZ252">
        <v>118.1921168855188</v>
      </c>
      <c r="BA252">
        <v>779.31</v>
      </c>
      <c r="BB252">
        <v>0.879</v>
      </c>
      <c r="BC252">
        <v>80.963194478237142</v>
      </c>
      <c r="BD252">
        <v>1.0078</v>
      </c>
      <c r="BE252">
        <v>81.594999999999999</v>
      </c>
      <c r="BF252">
        <v>8.9176000000000002</v>
      </c>
      <c r="BG252">
        <v>0.80400000000000005</v>
      </c>
      <c r="BH252">
        <v>6039.0430235999738</v>
      </c>
      <c r="BI252">
        <v>1</v>
      </c>
      <c r="BJ252">
        <v>6039.0429999999997</v>
      </c>
      <c r="BK252">
        <v>114.561419875</v>
      </c>
    </row>
    <row r="253" spans="1:63" x14ac:dyDescent="0.25">
      <c r="A253">
        <v>4404</v>
      </c>
      <c r="B253" t="s">
        <v>87</v>
      </c>
      <c r="C253">
        <v>2020</v>
      </c>
      <c r="D253">
        <v>1</v>
      </c>
      <c r="E253" t="s">
        <v>218</v>
      </c>
      <c r="F253" t="s">
        <v>251</v>
      </c>
      <c r="G253" t="s">
        <v>252</v>
      </c>
      <c r="H253" t="s">
        <v>17</v>
      </c>
      <c r="I253" t="s">
        <v>253</v>
      </c>
      <c r="J253" t="s">
        <v>222</v>
      </c>
      <c r="K253">
        <v>-267.35695004000002</v>
      </c>
      <c r="L253" t="s">
        <v>223</v>
      </c>
      <c r="M253" t="s">
        <v>230</v>
      </c>
      <c r="N253">
        <v>0.16047331440265999</v>
      </c>
      <c r="O253">
        <v>42.903655999999998</v>
      </c>
      <c r="P253" t="s">
        <v>21</v>
      </c>
      <c r="Q253">
        <v>1</v>
      </c>
      <c r="V253">
        <v>66303.072</v>
      </c>
      <c r="W253">
        <v>1</v>
      </c>
      <c r="X253">
        <v>9.0493559999999998E-6</v>
      </c>
      <c r="Y253">
        <v>0.6</v>
      </c>
      <c r="Z253">
        <v>25.742194000000001</v>
      </c>
      <c r="AA253" t="s">
        <v>225</v>
      </c>
      <c r="AB253" t="s">
        <v>226</v>
      </c>
      <c r="AC253" t="s">
        <v>227</v>
      </c>
      <c r="AD253" t="s">
        <v>154</v>
      </c>
      <c r="AE253">
        <v>109.354</v>
      </c>
      <c r="AF253">
        <v>1.0727760310708341</v>
      </c>
      <c r="AG253">
        <v>117.31235010172</v>
      </c>
      <c r="AH253">
        <v>694.38</v>
      </c>
      <c r="AI253">
        <v>0.875</v>
      </c>
      <c r="AJ253">
        <v>71.276930955678296</v>
      </c>
      <c r="AK253">
        <v>1.0179</v>
      </c>
      <c r="AL253">
        <v>72.552999999999997</v>
      </c>
      <c r="AM253">
        <v>8.9176000000000002</v>
      </c>
      <c r="AN253">
        <v>9.5665875346772715</v>
      </c>
      <c r="AO253">
        <v>0.91300000000000003</v>
      </c>
      <c r="AP253">
        <v>6064.9193587765631</v>
      </c>
      <c r="AQ253">
        <v>0.98975009761811794</v>
      </c>
      <c r="AR253">
        <v>6002.7545</v>
      </c>
      <c r="AS253">
        <v>1867.673401282</v>
      </c>
      <c r="AT253" t="s">
        <v>269</v>
      </c>
      <c r="AU253" t="s">
        <v>270</v>
      </c>
      <c r="AV253" t="s">
        <v>227</v>
      </c>
      <c r="AW253" t="s">
        <v>154</v>
      </c>
      <c r="AX253">
        <v>109.354</v>
      </c>
      <c r="AY253">
        <v>1.080821157758461</v>
      </c>
      <c r="AZ253">
        <v>118.1921168855188</v>
      </c>
      <c r="BA253">
        <v>779.31</v>
      </c>
      <c r="BB253">
        <v>0.879</v>
      </c>
      <c r="BC253">
        <v>80.963194478237142</v>
      </c>
      <c r="BD253">
        <v>0.9899</v>
      </c>
      <c r="BE253">
        <v>80.144999999999996</v>
      </c>
      <c r="BF253">
        <v>8.9176000000000002</v>
      </c>
      <c r="BG253">
        <v>0.80400000000000005</v>
      </c>
      <c r="BH253">
        <v>6039.0430235999738</v>
      </c>
      <c r="BI253">
        <v>0.99199531433033972</v>
      </c>
      <c r="BJ253">
        <v>5990.7024000000001</v>
      </c>
      <c r="BK253">
        <v>2063.10813813</v>
      </c>
    </row>
    <row r="254" spans="1:63" x14ac:dyDescent="0.25">
      <c r="A254">
        <v>4406</v>
      </c>
      <c r="B254" t="s">
        <v>87</v>
      </c>
      <c r="C254">
        <v>2020</v>
      </c>
      <c r="D254">
        <v>1</v>
      </c>
      <c r="E254" t="s">
        <v>218</v>
      </c>
      <c r="F254" t="s">
        <v>251</v>
      </c>
      <c r="G254" t="s">
        <v>252</v>
      </c>
      <c r="H254" t="s">
        <v>17</v>
      </c>
      <c r="I254" t="s">
        <v>253</v>
      </c>
      <c r="J254" t="s">
        <v>222</v>
      </c>
      <c r="K254">
        <v>-267.35695004000002</v>
      </c>
      <c r="L254" t="s">
        <v>223</v>
      </c>
      <c r="M254" t="s">
        <v>231</v>
      </c>
      <c r="N254">
        <v>4.5018334813739999E-2</v>
      </c>
      <c r="O254">
        <v>12.035964999999999</v>
      </c>
      <c r="P254" t="s">
        <v>21</v>
      </c>
      <c r="Q254">
        <v>1</v>
      </c>
      <c r="V254">
        <v>66303.072</v>
      </c>
      <c r="W254">
        <v>1</v>
      </c>
      <c r="X254">
        <v>9.0493559999999998E-6</v>
      </c>
      <c r="Y254">
        <v>0.6</v>
      </c>
      <c r="Z254">
        <v>7.2215790000000002</v>
      </c>
      <c r="AA254" t="s">
        <v>225</v>
      </c>
      <c r="AB254" t="s">
        <v>226</v>
      </c>
      <c r="AC254" t="s">
        <v>227</v>
      </c>
      <c r="AD254" t="s">
        <v>100</v>
      </c>
      <c r="AE254">
        <v>109.354</v>
      </c>
      <c r="AF254">
        <v>1.0727760310708341</v>
      </c>
      <c r="AG254">
        <v>117.31235010172</v>
      </c>
      <c r="AH254">
        <v>694.38</v>
      </c>
      <c r="AI254">
        <v>0.875</v>
      </c>
      <c r="AJ254">
        <v>71.276930955678296</v>
      </c>
      <c r="AK254">
        <v>0.96660000000000001</v>
      </c>
      <c r="AL254">
        <v>68.896000000000001</v>
      </c>
      <c r="AM254">
        <v>8.9176000000000002</v>
      </c>
      <c r="AN254">
        <v>9.5665875346772715</v>
      </c>
      <c r="AO254">
        <v>0.91300000000000003</v>
      </c>
      <c r="AP254">
        <v>6064.9193587765631</v>
      </c>
      <c r="AQ254">
        <v>0.98316430020283985</v>
      </c>
      <c r="AR254">
        <v>5962.8122000000003</v>
      </c>
      <c r="AS254">
        <v>497.53790678399997</v>
      </c>
      <c r="AT254" t="s">
        <v>269</v>
      </c>
      <c r="AU254" t="s">
        <v>270</v>
      </c>
      <c r="AV254" t="s">
        <v>227</v>
      </c>
      <c r="AW254" t="s">
        <v>100</v>
      </c>
      <c r="AX254">
        <v>109.354</v>
      </c>
      <c r="AY254">
        <v>1.080821157758461</v>
      </c>
      <c r="AZ254">
        <v>118.1921168855188</v>
      </c>
      <c r="BA254">
        <v>779.31</v>
      </c>
      <c r="BB254">
        <v>0.879</v>
      </c>
      <c r="BC254">
        <v>80.963194478237142</v>
      </c>
      <c r="BD254">
        <v>0.96560000000000001</v>
      </c>
      <c r="BE254">
        <v>78.177999999999997</v>
      </c>
      <c r="BF254">
        <v>8.9176000000000002</v>
      </c>
      <c r="BG254">
        <v>0.80400000000000005</v>
      </c>
      <c r="BH254">
        <v>6039.0430235999738</v>
      </c>
      <c r="BI254">
        <v>0.98955375253549693</v>
      </c>
      <c r="BJ254">
        <v>5975.9576999999999</v>
      </c>
      <c r="BK254">
        <v>564.56860306199997</v>
      </c>
    </row>
    <row r="255" spans="1:63" x14ac:dyDescent="0.25">
      <c r="A255">
        <v>4408</v>
      </c>
      <c r="B255" t="s">
        <v>87</v>
      </c>
      <c r="C255">
        <v>2020</v>
      </c>
      <c r="D255">
        <v>1</v>
      </c>
      <c r="E255" t="s">
        <v>218</v>
      </c>
      <c r="F255" t="s">
        <v>251</v>
      </c>
      <c r="G255" t="s">
        <v>252</v>
      </c>
      <c r="H255" t="s">
        <v>17</v>
      </c>
      <c r="I255" t="s">
        <v>253</v>
      </c>
      <c r="J255" t="s">
        <v>222</v>
      </c>
      <c r="K255">
        <v>-267.35695004000002</v>
      </c>
      <c r="L255" t="s">
        <v>223</v>
      </c>
      <c r="M255" t="s">
        <v>232</v>
      </c>
      <c r="N255">
        <v>0.87398007306502001</v>
      </c>
      <c r="O255">
        <v>233.664647</v>
      </c>
      <c r="P255" t="s">
        <v>21</v>
      </c>
      <c r="Q255">
        <v>1</v>
      </c>
      <c r="V255">
        <v>66303.072</v>
      </c>
      <c r="W255">
        <v>1</v>
      </c>
      <c r="X255">
        <v>9.0493559999999998E-6</v>
      </c>
      <c r="Y255">
        <v>0.6</v>
      </c>
      <c r="Z255">
        <v>140.19878800000001</v>
      </c>
      <c r="AA255" t="s">
        <v>225</v>
      </c>
      <c r="AB255" t="s">
        <v>226</v>
      </c>
      <c r="AC255" t="s">
        <v>227</v>
      </c>
      <c r="AD255" t="s">
        <v>101</v>
      </c>
      <c r="AE255">
        <v>109.354</v>
      </c>
      <c r="AF255">
        <v>1.0727760310708341</v>
      </c>
      <c r="AG255">
        <v>117.31235010172</v>
      </c>
      <c r="AH255">
        <v>694.38</v>
      </c>
      <c r="AI255">
        <v>0.875</v>
      </c>
      <c r="AJ255">
        <v>71.276930955678296</v>
      </c>
      <c r="AK255">
        <v>1.0077</v>
      </c>
      <c r="AL255">
        <v>71.825999999999993</v>
      </c>
      <c r="AM255">
        <v>8.9176000000000002</v>
      </c>
      <c r="AN255">
        <v>9.5665875346772715</v>
      </c>
      <c r="AO255">
        <v>0.91300000000000003</v>
      </c>
      <c r="AP255">
        <v>6064.9193587765631</v>
      </c>
      <c r="AQ255">
        <v>1.0255267423014589</v>
      </c>
      <c r="AR255">
        <v>6219.7370000000001</v>
      </c>
      <c r="AS255">
        <v>10069.918146888</v>
      </c>
      <c r="AT255" t="s">
        <v>269</v>
      </c>
      <c r="AU255" t="s">
        <v>270</v>
      </c>
      <c r="AV255" t="s">
        <v>227</v>
      </c>
      <c r="AW255" t="s">
        <v>101</v>
      </c>
      <c r="AX255">
        <v>109.354</v>
      </c>
      <c r="AY255">
        <v>1.080821157758461</v>
      </c>
      <c r="AZ255">
        <v>118.1921168855188</v>
      </c>
      <c r="BA255">
        <v>779.31</v>
      </c>
      <c r="BB255">
        <v>0.879</v>
      </c>
      <c r="BC255">
        <v>80.963194478237142</v>
      </c>
      <c r="BD255">
        <v>1.0097</v>
      </c>
      <c r="BE255">
        <v>81.748999999999995</v>
      </c>
      <c r="BF255">
        <v>8.9176000000000002</v>
      </c>
      <c r="BG255">
        <v>0.80400000000000005</v>
      </c>
      <c r="BH255">
        <v>6039.0430235999738</v>
      </c>
      <c r="BI255">
        <v>1.0276539708265799</v>
      </c>
      <c r="BJ255">
        <v>6206.0465000000004</v>
      </c>
      <c r="BK255">
        <v>11461.110720212</v>
      </c>
    </row>
    <row r="256" spans="1:63" x14ac:dyDescent="0.25">
      <c r="A256">
        <v>2194</v>
      </c>
      <c r="B256" t="s">
        <v>87</v>
      </c>
      <c r="C256">
        <v>2020</v>
      </c>
      <c r="D256">
        <v>1</v>
      </c>
      <c r="E256" t="s">
        <v>218</v>
      </c>
      <c r="F256" t="s">
        <v>251</v>
      </c>
      <c r="G256" t="s">
        <v>252</v>
      </c>
      <c r="H256" t="s">
        <v>17</v>
      </c>
      <c r="I256" t="s">
        <v>254</v>
      </c>
      <c r="J256" t="s">
        <v>234</v>
      </c>
      <c r="K256">
        <v>-996.27626284999997</v>
      </c>
      <c r="L256" t="s">
        <v>234</v>
      </c>
      <c r="M256" t="s">
        <v>224</v>
      </c>
      <c r="N256">
        <v>8.5771088379299996E-3</v>
      </c>
      <c r="O256">
        <v>8.5451700000000006</v>
      </c>
      <c r="P256" t="s">
        <v>21</v>
      </c>
      <c r="Q256">
        <v>1</v>
      </c>
      <c r="V256">
        <v>66303.072</v>
      </c>
      <c r="W256">
        <v>1</v>
      </c>
      <c r="X256">
        <v>9.0493559999999998E-6</v>
      </c>
      <c r="Y256">
        <v>0.6</v>
      </c>
      <c r="Z256">
        <v>5.1271019999999998</v>
      </c>
      <c r="AA256" t="s">
        <v>225</v>
      </c>
      <c r="AB256" t="s">
        <v>226</v>
      </c>
      <c r="AC256" t="s">
        <v>227</v>
      </c>
      <c r="AD256" t="s">
        <v>153</v>
      </c>
      <c r="AE256">
        <v>109.354</v>
      </c>
      <c r="AF256">
        <v>1.0727760310708341</v>
      </c>
      <c r="AG256">
        <v>117.31235010172</v>
      </c>
      <c r="AH256">
        <v>694.38</v>
      </c>
      <c r="AI256">
        <v>0.875</v>
      </c>
      <c r="AJ256">
        <v>71.276930955678296</v>
      </c>
      <c r="AK256">
        <v>1.0034000000000001</v>
      </c>
      <c r="AL256">
        <v>71.519000000000005</v>
      </c>
      <c r="AM256">
        <v>8.9176000000000002</v>
      </c>
      <c r="AN256">
        <v>9.5665875346772715</v>
      </c>
      <c r="AO256">
        <v>0.91300000000000003</v>
      </c>
      <c r="AP256">
        <v>6064.9193587765631</v>
      </c>
      <c r="AQ256">
        <v>1</v>
      </c>
      <c r="AR256">
        <v>6064.9193999999998</v>
      </c>
      <c r="AS256">
        <v>366.68520793800002</v>
      </c>
      <c r="AT256" t="s">
        <v>269</v>
      </c>
      <c r="AU256" t="s">
        <v>270</v>
      </c>
      <c r="AV256" t="s">
        <v>227</v>
      </c>
      <c r="AW256" t="s">
        <v>153</v>
      </c>
      <c r="AX256">
        <v>109.354</v>
      </c>
      <c r="AY256">
        <v>1.080821157758461</v>
      </c>
      <c r="AZ256">
        <v>118.1921168855188</v>
      </c>
      <c r="BA256">
        <v>779.31</v>
      </c>
      <c r="BB256">
        <v>0.879</v>
      </c>
      <c r="BC256">
        <v>80.963194478237142</v>
      </c>
      <c r="BD256">
        <v>1.0078</v>
      </c>
      <c r="BE256">
        <v>81.594999999999999</v>
      </c>
      <c r="BF256">
        <v>8.9176000000000002</v>
      </c>
      <c r="BG256">
        <v>0.80400000000000005</v>
      </c>
      <c r="BH256">
        <v>6039.0430235999738</v>
      </c>
      <c r="BI256">
        <v>1</v>
      </c>
      <c r="BJ256">
        <v>6039.0429999999997</v>
      </c>
      <c r="BK256">
        <v>418.34588768999998</v>
      </c>
    </row>
    <row r="257" spans="1:63" x14ac:dyDescent="0.25">
      <c r="A257">
        <v>2196</v>
      </c>
      <c r="B257" t="s">
        <v>87</v>
      </c>
      <c r="C257">
        <v>2020</v>
      </c>
      <c r="D257">
        <v>1</v>
      </c>
      <c r="E257" t="s">
        <v>218</v>
      </c>
      <c r="F257" t="s">
        <v>251</v>
      </c>
      <c r="G257" t="s">
        <v>252</v>
      </c>
      <c r="H257" t="s">
        <v>17</v>
      </c>
      <c r="I257" t="s">
        <v>254</v>
      </c>
      <c r="J257" t="s">
        <v>234</v>
      </c>
      <c r="K257">
        <v>-996.27626284999997</v>
      </c>
      <c r="L257" t="s">
        <v>234</v>
      </c>
      <c r="M257" t="s">
        <v>235</v>
      </c>
      <c r="N257">
        <v>0.60124209651893001</v>
      </c>
      <c r="O257">
        <v>599.00322900000003</v>
      </c>
      <c r="P257" t="s">
        <v>21</v>
      </c>
      <c r="Q257">
        <v>1</v>
      </c>
      <c r="V257">
        <v>66303.072</v>
      </c>
      <c r="W257">
        <v>1</v>
      </c>
      <c r="X257">
        <v>9.0493559999999998E-6</v>
      </c>
      <c r="Y257">
        <v>0.6</v>
      </c>
      <c r="Z257">
        <v>359.40193699999998</v>
      </c>
      <c r="AA257" t="s">
        <v>225</v>
      </c>
      <c r="AB257" t="s">
        <v>226</v>
      </c>
      <c r="AC257" t="s">
        <v>227</v>
      </c>
      <c r="AD257" t="s">
        <v>154</v>
      </c>
      <c r="AE257">
        <v>109.354</v>
      </c>
      <c r="AF257">
        <v>1.0727760310708341</v>
      </c>
      <c r="AG257">
        <v>117.31235010172</v>
      </c>
      <c r="AH257">
        <v>694.38</v>
      </c>
      <c r="AI257">
        <v>0.875</v>
      </c>
      <c r="AJ257">
        <v>71.276930955678296</v>
      </c>
      <c r="AK257">
        <v>1.0179</v>
      </c>
      <c r="AL257">
        <v>72.552999999999997</v>
      </c>
      <c r="AM257">
        <v>8.9176000000000002</v>
      </c>
      <c r="AN257">
        <v>9.5665875346772715</v>
      </c>
      <c r="AO257">
        <v>0.91300000000000003</v>
      </c>
      <c r="AP257">
        <v>6064.9193587765631</v>
      </c>
      <c r="AQ257">
        <v>0.98975009761811794</v>
      </c>
      <c r="AR257">
        <v>6002.7545</v>
      </c>
      <c r="AS257">
        <v>26075.688735160998</v>
      </c>
      <c r="AT257" t="s">
        <v>269</v>
      </c>
      <c r="AU257" t="s">
        <v>270</v>
      </c>
      <c r="AV257" t="s">
        <v>227</v>
      </c>
      <c r="AW257" t="s">
        <v>154</v>
      </c>
      <c r="AX257">
        <v>109.354</v>
      </c>
      <c r="AY257">
        <v>1.080821157758461</v>
      </c>
      <c r="AZ257">
        <v>118.1921168855188</v>
      </c>
      <c r="BA257">
        <v>779.31</v>
      </c>
      <c r="BB257">
        <v>0.879</v>
      </c>
      <c r="BC257">
        <v>80.963194478237142</v>
      </c>
      <c r="BD257">
        <v>0.9899</v>
      </c>
      <c r="BE257">
        <v>80.144999999999996</v>
      </c>
      <c r="BF257">
        <v>8.9176000000000002</v>
      </c>
      <c r="BG257">
        <v>0.80400000000000005</v>
      </c>
      <c r="BH257">
        <v>6039.0430235999738</v>
      </c>
      <c r="BI257">
        <v>0.99199531433033972</v>
      </c>
      <c r="BJ257">
        <v>5990.7024000000001</v>
      </c>
      <c r="BK257">
        <v>28804.268240865</v>
      </c>
    </row>
    <row r="258" spans="1:63" x14ac:dyDescent="0.25">
      <c r="A258">
        <v>2198</v>
      </c>
      <c r="B258" t="s">
        <v>87</v>
      </c>
      <c r="C258">
        <v>2020</v>
      </c>
      <c r="D258">
        <v>1</v>
      </c>
      <c r="E258" t="s">
        <v>218</v>
      </c>
      <c r="F258" t="s">
        <v>251</v>
      </c>
      <c r="G258" t="s">
        <v>252</v>
      </c>
      <c r="H258" t="s">
        <v>17</v>
      </c>
      <c r="I258" t="s">
        <v>254</v>
      </c>
      <c r="J258" t="s">
        <v>234</v>
      </c>
      <c r="K258">
        <v>-996.27626284999997</v>
      </c>
      <c r="L258" t="s">
        <v>234</v>
      </c>
      <c r="M258" t="s">
        <v>236</v>
      </c>
      <c r="N258">
        <v>1.9808691721710001E-2</v>
      </c>
      <c r="O258">
        <v>19.734929000000001</v>
      </c>
      <c r="P258" t="s">
        <v>21</v>
      </c>
      <c r="Q258">
        <v>1</v>
      </c>
      <c r="V258">
        <v>66303.072</v>
      </c>
      <c r="W258">
        <v>1</v>
      </c>
      <c r="X258">
        <v>9.0493559999999998E-6</v>
      </c>
      <c r="Y258">
        <v>0.6</v>
      </c>
      <c r="Z258">
        <v>11.840957</v>
      </c>
      <c r="AA258" t="s">
        <v>225</v>
      </c>
      <c r="AB258" t="s">
        <v>226</v>
      </c>
      <c r="AC258" t="s">
        <v>227</v>
      </c>
      <c r="AD258" t="s">
        <v>100</v>
      </c>
      <c r="AE258">
        <v>109.354</v>
      </c>
      <c r="AF258">
        <v>1.0727760310708341</v>
      </c>
      <c r="AG258">
        <v>117.31235010172</v>
      </c>
      <c r="AH258">
        <v>694.38</v>
      </c>
      <c r="AI258">
        <v>0.875</v>
      </c>
      <c r="AJ258">
        <v>71.276930955678296</v>
      </c>
      <c r="AK258">
        <v>0.96660000000000001</v>
      </c>
      <c r="AL258">
        <v>68.896000000000001</v>
      </c>
      <c r="AM258">
        <v>8.9176000000000002</v>
      </c>
      <c r="AN258">
        <v>9.5665875346772715</v>
      </c>
      <c r="AO258">
        <v>0.91300000000000003</v>
      </c>
      <c r="AP258">
        <v>6064.9193587765631</v>
      </c>
      <c r="AQ258">
        <v>0.98316430020283985</v>
      </c>
      <c r="AR258">
        <v>5962.8122000000003</v>
      </c>
      <c r="AS258">
        <v>815.79457347200002</v>
      </c>
      <c r="AT258" t="s">
        <v>269</v>
      </c>
      <c r="AU258" t="s">
        <v>270</v>
      </c>
      <c r="AV258" t="s">
        <v>227</v>
      </c>
      <c r="AW258" t="s">
        <v>100</v>
      </c>
      <c r="AX258">
        <v>109.354</v>
      </c>
      <c r="AY258">
        <v>1.080821157758461</v>
      </c>
      <c r="AZ258">
        <v>118.1921168855188</v>
      </c>
      <c r="BA258">
        <v>779.31</v>
      </c>
      <c r="BB258">
        <v>0.879</v>
      </c>
      <c r="BC258">
        <v>80.963194478237142</v>
      </c>
      <c r="BD258">
        <v>0.96560000000000001</v>
      </c>
      <c r="BE258">
        <v>78.177999999999997</v>
      </c>
      <c r="BF258">
        <v>8.9176000000000002</v>
      </c>
      <c r="BG258">
        <v>0.80400000000000005</v>
      </c>
      <c r="BH258">
        <v>6039.0430235999738</v>
      </c>
      <c r="BI258">
        <v>0.98955375253549693</v>
      </c>
      <c r="BJ258">
        <v>5975.9576999999999</v>
      </c>
      <c r="BK258">
        <v>925.70233634599992</v>
      </c>
    </row>
    <row r="259" spans="1:63" x14ac:dyDescent="0.25">
      <c r="A259">
        <v>2200</v>
      </c>
      <c r="B259" t="s">
        <v>87</v>
      </c>
      <c r="C259">
        <v>2020</v>
      </c>
      <c r="D259">
        <v>1</v>
      </c>
      <c r="E259" t="s">
        <v>218</v>
      </c>
      <c r="F259" t="s">
        <v>251</v>
      </c>
      <c r="G259" t="s">
        <v>252</v>
      </c>
      <c r="H259" t="s">
        <v>17</v>
      </c>
      <c r="I259" t="s">
        <v>254</v>
      </c>
      <c r="J259" t="s">
        <v>234</v>
      </c>
      <c r="K259">
        <v>-996.27626284999997</v>
      </c>
      <c r="L259" t="s">
        <v>234</v>
      </c>
      <c r="M259" t="s">
        <v>237</v>
      </c>
      <c r="N259">
        <v>0.39660634608572998</v>
      </c>
      <c r="O259">
        <v>395.12948799999998</v>
      </c>
      <c r="P259" t="s">
        <v>21</v>
      </c>
      <c r="Q259">
        <v>1</v>
      </c>
      <c r="V259">
        <v>66303.072</v>
      </c>
      <c r="W259">
        <v>1</v>
      </c>
      <c r="X259">
        <v>9.0493559999999998E-6</v>
      </c>
      <c r="Y259">
        <v>0.6</v>
      </c>
      <c r="Z259">
        <v>237.07769300000001</v>
      </c>
      <c r="AA259" t="s">
        <v>225</v>
      </c>
      <c r="AB259" t="s">
        <v>226</v>
      </c>
      <c r="AC259" t="s">
        <v>227</v>
      </c>
      <c r="AD259" t="s">
        <v>101</v>
      </c>
      <c r="AE259">
        <v>109.354</v>
      </c>
      <c r="AF259">
        <v>1.0727760310708341</v>
      </c>
      <c r="AG259">
        <v>117.31235010172</v>
      </c>
      <c r="AH259">
        <v>694.38</v>
      </c>
      <c r="AI259">
        <v>0.875</v>
      </c>
      <c r="AJ259">
        <v>71.276930955678296</v>
      </c>
      <c r="AK259">
        <v>1.0077</v>
      </c>
      <c r="AL259">
        <v>71.825999999999993</v>
      </c>
      <c r="AM259">
        <v>8.9176000000000002</v>
      </c>
      <c r="AN259">
        <v>9.5665875346772715</v>
      </c>
      <c r="AO259">
        <v>0.91300000000000003</v>
      </c>
      <c r="AP259">
        <v>6064.9193587765631</v>
      </c>
      <c r="AQ259">
        <v>1.0255267423014589</v>
      </c>
      <c r="AR259">
        <v>6219.7370000000001</v>
      </c>
      <c r="AS259">
        <v>17028.342377418001</v>
      </c>
      <c r="AT259" t="s">
        <v>269</v>
      </c>
      <c r="AU259" t="s">
        <v>270</v>
      </c>
      <c r="AV259" t="s">
        <v>227</v>
      </c>
      <c r="AW259" t="s">
        <v>101</v>
      </c>
      <c r="AX259">
        <v>109.354</v>
      </c>
      <c r="AY259">
        <v>1.080821157758461</v>
      </c>
      <c r="AZ259">
        <v>118.1921168855188</v>
      </c>
      <c r="BA259">
        <v>779.31</v>
      </c>
      <c r="BB259">
        <v>0.879</v>
      </c>
      <c r="BC259">
        <v>80.963194478237142</v>
      </c>
      <c r="BD259">
        <v>1.0097</v>
      </c>
      <c r="BE259">
        <v>81.748999999999995</v>
      </c>
      <c r="BF259">
        <v>8.9176000000000002</v>
      </c>
      <c r="BG259">
        <v>0.80400000000000005</v>
      </c>
      <c r="BH259">
        <v>6039.0430235999738</v>
      </c>
      <c r="BI259">
        <v>1.0276539708265799</v>
      </c>
      <c r="BJ259">
        <v>6206.0465000000004</v>
      </c>
      <c r="BK259">
        <v>19380.864325056998</v>
      </c>
    </row>
    <row r="260" spans="1:63" x14ac:dyDescent="0.25">
      <c r="A260">
        <v>2194</v>
      </c>
      <c r="B260" t="s">
        <v>87</v>
      </c>
      <c r="C260">
        <v>2020</v>
      </c>
      <c r="D260">
        <v>1</v>
      </c>
      <c r="E260" t="s">
        <v>218</v>
      </c>
      <c r="F260" t="s">
        <v>251</v>
      </c>
      <c r="G260" t="s">
        <v>252</v>
      </c>
      <c r="H260" t="s">
        <v>17</v>
      </c>
      <c r="I260" t="s">
        <v>255</v>
      </c>
      <c r="J260" t="s">
        <v>239</v>
      </c>
      <c r="K260">
        <v>-197.41513387000001</v>
      </c>
      <c r="L260" t="s">
        <v>240</v>
      </c>
      <c r="M260" t="s">
        <v>224</v>
      </c>
      <c r="N260">
        <v>1.1109205873409999E-2</v>
      </c>
      <c r="O260">
        <v>2.1931250000000002</v>
      </c>
      <c r="P260" t="s">
        <v>21</v>
      </c>
      <c r="Q260">
        <v>1</v>
      </c>
      <c r="V260">
        <v>66303.072</v>
      </c>
      <c r="W260">
        <v>1</v>
      </c>
      <c r="X260">
        <v>9.0493559999999998E-6</v>
      </c>
      <c r="Y260">
        <v>0.6</v>
      </c>
      <c r="Z260">
        <v>1.3158749999999999</v>
      </c>
      <c r="AA260" t="s">
        <v>225</v>
      </c>
      <c r="AB260" t="s">
        <v>226</v>
      </c>
      <c r="AC260" t="s">
        <v>227</v>
      </c>
      <c r="AD260" t="s">
        <v>153</v>
      </c>
      <c r="AE260">
        <v>109.354</v>
      </c>
      <c r="AF260">
        <v>1.0727760310708341</v>
      </c>
      <c r="AG260">
        <v>117.31235010172</v>
      </c>
      <c r="AH260">
        <v>694.38</v>
      </c>
      <c r="AI260">
        <v>0.875</v>
      </c>
      <c r="AJ260">
        <v>71.276930955678296</v>
      </c>
      <c r="AK260">
        <v>1.0034000000000001</v>
      </c>
      <c r="AL260">
        <v>71.519000000000005</v>
      </c>
      <c r="AM260">
        <v>8.9176000000000002</v>
      </c>
      <c r="AN260">
        <v>9.5665875346772715</v>
      </c>
      <c r="AO260">
        <v>0.91300000000000003</v>
      </c>
      <c r="AP260">
        <v>6064.9193587765631</v>
      </c>
      <c r="AQ260">
        <v>1</v>
      </c>
      <c r="AR260">
        <v>6064.9193999999998</v>
      </c>
      <c r="AS260">
        <v>94.110064124999994</v>
      </c>
      <c r="AT260" t="s">
        <v>269</v>
      </c>
      <c r="AU260" t="s">
        <v>270</v>
      </c>
      <c r="AV260" t="s">
        <v>227</v>
      </c>
      <c r="AW260" t="s">
        <v>153</v>
      </c>
      <c r="AX260">
        <v>109.354</v>
      </c>
      <c r="AY260">
        <v>1.080821157758461</v>
      </c>
      <c r="AZ260">
        <v>118.1921168855188</v>
      </c>
      <c r="BA260">
        <v>779.31</v>
      </c>
      <c r="BB260">
        <v>0.879</v>
      </c>
      <c r="BC260">
        <v>80.963194478237142</v>
      </c>
      <c r="BD260">
        <v>1.0078</v>
      </c>
      <c r="BE260">
        <v>81.594999999999999</v>
      </c>
      <c r="BF260">
        <v>8.9176000000000002</v>
      </c>
      <c r="BG260">
        <v>0.80400000000000005</v>
      </c>
      <c r="BH260">
        <v>6039.0430235999738</v>
      </c>
      <c r="BI260">
        <v>1</v>
      </c>
      <c r="BJ260">
        <v>6039.0429999999997</v>
      </c>
      <c r="BK260">
        <v>107.368820625</v>
      </c>
    </row>
    <row r="261" spans="1:63" x14ac:dyDescent="0.25">
      <c r="A261">
        <v>2196</v>
      </c>
      <c r="B261" t="s">
        <v>87</v>
      </c>
      <c r="C261">
        <v>2020</v>
      </c>
      <c r="D261">
        <v>1</v>
      </c>
      <c r="E261" t="s">
        <v>218</v>
      </c>
      <c r="F261" t="s">
        <v>251</v>
      </c>
      <c r="G261" t="s">
        <v>252</v>
      </c>
      <c r="H261" t="s">
        <v>17</v>
      </c>
      <c r="I261" t="s">
        <v>255</v>
      </c>
      <c r="J261" t="s">
        <v>239</v>
      </c>
      <c r="K261">
        <v>-197.41513387000001</v>
      </c>
      <c r="L261" t="s">
        <v>240</v>
      </c>
      <c r="M261" t="s">
        <v>235</v>
      </c>
      <c r="N261">
        <v>0.58148407621825005</v>
      </c>
      <c r="O261">
        <v>114.793757</v>
      </c>
      <c r="P261" t="s">
        <v>21</v>
      </c>
      <c r="Q261">
        <v>1</v>
      </c>
      <c r="V261">
        <v>66303.072</v>
      </c>
      <c r="W261">
        <v>1</v>
      </c>
      <c r="X261">
        <v>9.0493559999999998E-6</v>
      </c>
      <c r="Y261">
        <v>0.6</v>
      </c>
      <c r="Z261">
        <v>68.876254000000003</v>
      </c>
      <c r="AA261" t="s">
        <v>225</v>
      </c>
      <c r="AB261" t="s">
        <v>226</v>
      </c>
      <c r="AC261" t="s">
        <v>227</v>
      </c>
      <c r="AD261" t="s">
        <v>154</v>
      </c>
      <c r="AE261">
        <v>109.354</v>
      </c>
      <c r="AF261">
        <v>1.0727760310708341</v>
      </c>
      <c r="AG261">
        <v>117.31235010172</v>
      </c>
      <c r="AH261">
        <v>694.38</v>
      </c>
      <c r="AI261">
        <v>0.875</v>
      </c>
      <c r="AJ261">
        <v>71.276930955678296</v>
      </c>
      <c r="AK261">
        <v>1.0179</v>
      </c>
      <c r="AL261">
        <v>72.552999999999997</v>
      </c>
      <c r="AM261">
        <v>8.9176000000000002</v>
      </c>
      <c r="AN261">
        <v>9.5665875346772715</v>
      </c>
      <c r="AO261">
        <v>0.91300000000000003</v>
      </c>
      <c r="AP261">
        <v>6064.9193587765631</v>
      </c>
      <c r="AQ261">
        <v>0.98975009761811794</v>
      </c>
      <c r="AR261">
        <v>6002.7545</v>
      </c>
      <c r="AS261">
        <v>4997.1788564620001</v>
      </c>
      <c r="AT261" t="s">
        <v>269</v>
      </c>
      <c r="AU261" t="s">
        <v>270</v>
      </c>
      <c r="AV261" t="s">
        <v>227</v>
      </c>
      <c r="AW261" t="s">
        <v>154</v>
      </c>
      <c r="AX261">
        <v>109.354</v>
      </c>
      <c r="AY261">
        <v>1.080821157758461</v>
      </c>
      <c r="AZ261">
        <v>118.1921168855188</v>
      </c>
      <c r="BA261">
        <v>779.31</v>
      </c>
      <c r="BB261">
        <v>0.879</v>
      </c>
      <c r="BC261">
        <v>80.963194478237142</v>
      </c>
      <c r="BD261">
        <v>0.9899</v>
      </c>
      <c r="BE261">
        <v>80.144999999999996</v>
      </c>
      <c r="BF261">
        <v>8.9176000000000002</v>
      </c>
      <c r="BG261">
        <v>0.80400000000000005</v>
      </c>
      <c r="BH261">
        <v>6039.0430235999738</v>
      </c>
      <c r="BI261">
        <v>0.99199531433033972</v>
      </c>
      <c r="BJ261">
        <v>5990.7024000000001</v>
      </c>
      <c r="BK261">
        <v>5520.0873768299998</v>
      </c>
    </row>
    <row r="262" spans="1:63" x14ac:dyDescent="0.25">
      <c r="A262">
        <v>2198</v>
      </c>
      <c r="B262" t="s">
        <v>87</v>
      </c>
      <c r="C262">
        <v>2020</v>
      </c>
      <c r="D262">
        <v>1</v>
      </c>
      <c r="E262" t="s">
        <v>218</v>
      </c>
      <c r="F262" t="s">
        <v>251</v>
      </c>
      <c r="G262" t="s">
        <v>252</v>
      </c>
      <c r="H262" t="s">
        <v>17</v>
      </c>
      <c r="I262" t="s">
        <v>255</v>
      </c>
      <c r="J262" t="s">
        <v>239</v>
      </c>
      <c r="K262">
        <v>-197.41513387000001</v>
      </c>
      <c r="L262" t="s">
        <v>240</v>
      </c>
      <c r="M262" t="s">
        <v>236</v>
      </c>
      <c r="N262">
        <v>1.8083569973560001E-2</v>
      </c>
      <c r="O262">
        <v>3.5699700000000001</v>
      </c>
      <c r="P262" t="s">
        <v>21</v>
      </c>
      <c r="Q262">
        <v>1</v>
      </c>
      <c r="V262">
        <v>66303.072</v>
      </c>
      <c r="W262">
        <v>1</v>
      </c>
      <c r="X262">
        <v>9.0493559999999998E-6</v>
      </c>
      <c r="Y262">
        <v>0.6</v>
      </c>
      <c r="Z262">
        <v>2.1419820000000001</v>
      </c>
      <c r="AA262" t="s">
        <v>225</v>
      </c>
      <c r="AB262" t="s">
        <v>226</v>
      </c>
      <c r="AC262" t="s">
        <v>227</v>
      </c>
      <c r="AD262" t="s">
        <v>100</v>
      </c>
      <c r="AE262">
        <v>109.354</v>
      </c>
      <c r="AF262">
        <v>1.0727760310708341</v>
      </c>
      <c r="AG262">
        <v>117.31235010172</v>
      </c>
      <c r="AH262">
        <v>694.38</v>
      </c>
      <c r="AI262">
        <v>0.875</v>
      </c>
      <c r="AJ262">
        <v>71.276930955678296</v>
      </c>
      <c r="AK262">
        <v>0.96660000000000001</v>
      </c>
      <c r="AL262">
        <v>68.896000000000001</v>
      </c>
      <c r="AM262">
        <v>8.9176000000000002</v>
      </c>
      <c r="AN262">
        <v>9.5665875346772715</v>
      </c>
      <c r="AO262">
        <v>0.91300000000000003</v>
      </c>
      <c r="AP262">
        <v>6064.9193587765631</v>
      </c>
      <c r="AQ262">
        <v>0.98316430020283985</v>
      </c>
      <c r="AR262">
        <v>5962.8122000000003</v>
      </c>
      <c r="AS262">
        <v>147.57399187199999</v>
      </c>
      <c r="AT262" t="s">
        <v>269</v>
      </c>
      <c r="AU262" t="s">
        <v>270</v>
      </c>
      <c r="AV262" t="s">
        <v>227</v>
      </c>
      <c r="AW262" t="s">
        <v>100</v>
      </c>
      <c r="AX262">
        <v>109.354</v>
      </c>
      <c r="AY262">
        <v>1.080821157758461</v>
      </c>
      <c r="AZ262">
        <v>118.1921168855188</v>
      </c>
      <c r="BA262">
        <v>779.31</v>
      </c>
      <c r="BB262">
        <v>0.879</v>
      </c>
      <c r="BC262">
        <v>80.963194478237142</v>
      </c>
      <c r="BD262">
        <v>0.96560000000000001</v>
      </c>
      <c r="BE262">
        <v>78.177999999999997</v>
      </c>
      <c r="BF262">
        <v>8.9176000000000002</v>
      </c>
      <c r="BG262">
        <v>0.80400000000000005</v>
      </c>
      <c r="BH262">
        <v>6039.0430235999738</v>
      </c>
      <c r="BI262">
        <v>0.98955375253549693</v>
      </c>
      <c r="BJ262">
        <v>5975.9576999999999</v>
      </c>
      <c r="BK262">
        <v>167.455868796</v>
      </c>
    </row>
    <row r="263" spans="1:63" x14ac:dyDescent="0.25">
      <c r="A263">
        <v>2200</v>
      </c>
      <c r="B263" t="s">
        <v>87</v>
      </c>
      <c r="C263">
        <v>2020</v>
      </c>
      <c r="D263">
        <v>1</v>
      </c>
      <c r="E263" t="s">
        <v>218</v>
      </c>
      <c r="F263" t="s">
        <v>251</v>
      </c>
      <c r="G263" t="s">
        <v>252</v>
      </c>
      <c r="H263" t="s">
        <v>17</v>
      </c>
      <c r="I263" t="s">
        <v>255</v>
      </c>
      <c r="J263" t="s">
        <v>239</v>
      </c>
      <c r="K263">
        <v>-197.41513387000001</v>
      </c>
      <c r="L263" t="s">
        <v>240</v>
      </c>
      <c r="M263" t="s">
        <v>237</v>
      </c>
      <c r="N263">
        <v>0.41680683696206</v>
      </c>
      <c r="O263">
        <v>82.283978000000005</v>
      </c>
      <c r="P263" t="s">
        <v>21</v>
      </c>
      <c r="Q263">
        <v>1</v>
      </c>
      <c r="V263">
        <v>66303.072</v>
      </c>
      <c r="W263">
        <v>1</v>
      </c>
      <c r="X263">
        <v>9.0493559999999998E-6</v>
      </c>
      <c r="Y263">
        <v>0.6</v>
      </c>
      <c r="Z263">
        <v>49.370387000000001</v>
      </c>
      <c r="AA263" t="s">
        <v>225</v>
      </c>
      <c r="AB263" t="s">
        <v>226</v>
      </c>
      <c r="AC263" t="s">
        <v>227</v>
      </c>
      <c r="AD263" t="s">
        <v>101</v>
      </c>
      <c r="AE263">
        <v>109.354</v>
      </c>
      <c r="AF263">
        <v>1.0727760310708341</v>
      </c>
      <c r="AG263">
        <v>117.31235010172</v>
      </c>
      <c r="AH263">
        <v>694.38</v>
      </c>
      <c r="AI263">
        <v>0.875</v>
      </c>
      <c r="AJ263">
        <v>71.276930955678296</v>
      </c>
      <c r="AK263">
        <v>1.0077</v>
      </c>
      <c r="AL263">
        <v>71.825999999999993</v>
      </c>
      <c r="AM263">
        <v>8.9176000000000002</v>
      </c>
      <c r="AN263">
        <v>9.5665875346772715</v>
      </c>
      <c r="AO263">
        <v>0.91300000000000003</v>
      </c>
      <c r="AP263">
        <v>6064.9193587765631</v>
      </c>
      <c r="AQ263">
        <v>1.0255267423014589</v>
      </c>
      <c r="AR263">
        <v>6219.7370000000001</v>
      </c>
      <c r="AS263">
        <v>3546.0774166619999</v>
      </c>
      <c r="AT263" t="s">
        <v>269</v>
      </c>
      <c r="AU263" t="s">
        <v>270</v>
      </c>
      <c r="AV263" t="s">
        <v>227</v>
      </c>
      <c r="AW263" t="s">
        <v>101</v>
      </c>
      <c r="AX263">
        <v>109.354</v>
      </c>
      <c r="AY263">
        <v>1.080821157758461</v>
      </c>
      <c r="AZ263">
        <v>118.1921168855188</v>
      </c>
      <c r="BA263">
        <v>779.31</v>
      </c>
      <c r="BB263">
        <v>0.879</v>
      </c>
      <c r="BC263">
        <v>80.963194478237142</v>
      </c>
      <c r="BD263">
        <v>1.0097</v>
      </c>
      <c r="BE263">
        <v>81.748999999999995</v>
      </c>
      <c r="BF263">
        <v>8.9176000000000002</v>
      </c>
      <c r="BG263">
        <v>0.80400000000000005</v>
      </c>
      <c r="BH263">
        <v>6039.0430235999738</v>
      </c>
      <c r="BI263">
        <v>1.0276539708265799</v>
      </c>
      <c r="BJ263">
        <v>6206.0465000000004</v>
      </c>
      <c r="BK263">
        <v>4035.9797668629999</v>
      </c>
    </row>
    <row r="264" spans="1:63" x14ac:dyDescent="0.25">
      <c r="A264">
        <v>3302</v>
      </c>
      <c r="B264" t="s">
        <v>87</v>
      </c>
      <c r="C264">
        <v>2020</v>
      </c>
      <c r="D264">
        <v>1</v>
      </c>
      <c r="E264" t="s">
        <v>218</v>
      </c>
      <c r="F264" t="s">
        <v>251</v>
      </c>
      <c r="G264" t="s">
        <v>252</v>
      </c>
      <c r="H264" t="s">
        <v>17</v>
      </c>
      <c r="I264" t="s">
        <v>256</v>
      </c>
      <c r="J264" t="s">
        <v>242</v>
      </c>
      <c r="K264">
        <v>-80.595926109999994</v>
      </c>
      <c r="L264" t="s">
        <v>242</v>
      </c>
      <c r="M264" t="s">
        <v>235</v>
      </c>
      <c r="N264">
        <v>0.67001574769252004</v>
      </c>
      <c r="O264">
        <v>54.000540000000001</v>
      </c>
      <c r="P264" t="s">
        <v>21</v>
      </c>
      <c r="Q264">
        <v>1</v>
      </c>
      <c r="V264">
        <v>66303.072</v>
      </c>
      <c r="W264">
        <v>1</v>
      </c>
      <c r="X264">
        <v>9.0493559999999998E-6</v>
      </c>
      <c r="Y264">
        <v>0.6</v>
      </c>
      <c r="Z264">
        <v>32.400323999999998</v>
      </c>
      <c r="AA264" t="s">
        <v>225</v>
      </c>
      <c r="AB264" t="s">
        <v>226</v>
      </c>
      <c r="AC264" t="s">
        <v>227</v>
      </c>
      <c r="AD264" t="s">
        <v>154</v>
      </c>
      <c r="AE264">
        <v>109.354</v>
      </c>
      <c r="AF264">
        <v>1.0727760310708341</v>
      </c>
      <c r="AG264">
        <v>117.31235010172</v>
      </c>
      <c r="AH264">
        <v>694.38</v>
      </c>
      <c r="AI264">
        <v>0.875</v>
      </c>
      <c r="AJ264">
        <v>71.276930955678296</v>
      </c>
      <c r="AK264">
        <v>1.0179</v>
      </c>
      <c r="AL264">
        <v>72.552999999999997</v>
      </c>
      <c r="AM264">
        <v>8.9176000000000002</v>
      </c>
      <c r="AN264">
        <v>9.5665875346772715</v>
      </c>
      <c r="AO264">
        <v>0.91300000000000003</v>
      </c>
      <c r="AP264">
        <v>6064.9193587765631</v>
      </c>
      <c r="AQ264">
        <v>0.98975009761811794</v>
      </c>
      <c r="AR264">
        <v>6002.7545</v>
      </c>
      <c r="AS264">
        <v>2350.7407071719999</v>
      </c>
      <c r="AT264" t="s">
        <v>269</v>
      </c>
      <c r="AU264" t="s">
        <v>270</v>
      </c>
      <c r="AV264" t="s">
        <v>227</v>
      </c>
      <c r="AW264" t="s">
        <v>154</v>
      </c>
      <c r="AX264">
        <v>109.354</v>
      </c>
      <c r="AY264">
        <v>1.080821157758461</v>
      </c>
      <c r="AZ264">
        <v>118.1921168855188</v>
      </c>
      <c r="BA264">
        <v>779.31</v>
      </c>
      <c r="BB264">
        <v>0.879</v>
      </c>
      <c r="BC264">
        <v>80.963194478237142</v>
      </c>
      <c r="BD264">
        <v>0.9899</v>
      </c>
      <c r="BE264">
        <v>80.144999999999996</v>
      </c>
      <c r="BF264">
        <v>8.9176000000000002</v>
      </c>
      <c r="BG264">
        <v>0.80400000000000005</v>
      </c>
      <c r="BH264">
        <v>6039.0430235999738</v>
      </c>
      <c r="BI264">
        <v>0.99199531433033972</v>
      </c>
      <c r="BJ264">
        <v>5990.7024000000001</v>
      </c>
      <c r="BK264">
        <v>2596.7239669800001</v>
      </c>
    </row>
    <row r="265" spans="1:63" x14ac:dyDescent="0.25">
      <c r="A265">
        <v>3304</v>
      </c>
      <c r="B265" t="s">
        <v>87</v>
      </c>
      <c r="C265">
        <v>2020</v>
      </c>
      <c r="D265">
        <v>1</v>
      </c>
      <c r="E265" t="s">
        <v>218</v>
      </c>
      <c r="F265" t="s">
        <v>251</v>
      </c>
      <c r="G265" t="s">
        <v>252</v>
      </c>
      <c r="H265" t="s">
        <v>17</v>
      </c>
      <c r="I265" t="s">
        <v>256</v>
      </c>
      <c r="J265" t="s">
        <v>242</v>
      </c>
      <c r="K265">
        <v>-80.595926109999994</v>
      </c>
      <c r="L265" t="s">
        <v>242</v>
      </c>
      <c r="M265" t="s">
        <v>236</v>
      </c>
      <c r="N265">
        <v>1.442552100634E-2</v>
      </c>
      <c r="O265">
        <v>1.1626380000000001</v>
      </c>
      <c r="P265" t="s">
        <v>21</v>
      </c>
      <c r="Q265">
        <v>1</v>
      </c>
      <c r="V265">
        <v>66303.072</v>
      </c>
      <c r="W265">
        <v>1</v>
      </c>
      <c r="X265">
        <v>9.0493559999999998E-6</v>
      </c>
      <c r="Y265">
        <v>0.6</v>
      </c>
      <c r="Z265">
        <v>0.69758299999999995</v>
      </c>
      <c r="AA265" t="s">
        <v>225</v>
      </c>
      <c r="AB265" t="s">
        <v>226</v>
      </c>
      <c r="AC265" t="s">
        <v>227</v>
      </c>
      <c r="AD265" t="s">
        <v>100</v>
      </c>
      <c r="AE265">
        <v>109.354</v>
      </c>
      <c r="AF265">
        <v>1.0727760310708341</v>
      </c>
      <c r="AG265">
        <v>117.31235010172</v>
      </c>
      <c r="AH265">
        <v>694.38</v>
      </c>
      <c r="AI265">
        <v>0.875</v>
      </c>
      <c r="AJ265">
        <v>71.276930955678296</v>
      </c>
      <c r="AK265">
        <v>0.96660000000000001</v>
      </c>
      <c r="AL265">
        <v>68.896000000000001</v>
      </c>
      <c r="AM265">
        <v>8.9176000000000002</v>
      </c>
      <c r="AN265">
        <v>9.5665875346772715</v>
      </c>
      <c r="AO265">
        <v>0.91300000000000003</v>
      </c>
      <c r="AP265">
        <v>6064.9193587765631</v>
      </c>
      <c r="AQ265">
        <v>0.98316430020283985</v>
      </c>
      <c r="AR265">
        <v>5962.8122000000003</v>
      </c>
      <c r="AS265">
        <v>48.060678367999998</v>
      </c>
      <c r="AT265" t="s">
        <v>269</v>
      </c>
      <c r="AU265" t="s">
        <v>270</v>
      </c>
      <c r="AV265" t="s">
        <v>227</v>
      </c>
      <c r="AW265" t="s">
        <v>100</v>
      </c>
      <c r="AX265">
        <v>109.354</v>
      </c>
      <c r="AY265">
        <v>1.080821157758461</v>
      </c>
      <c r="AZ265">
        <v>118.1921168855188</v>
      </c>
      <c r="BA265">
        <v>779.31</v>
      </c>
      <c r="BB265">
        <v>0.879</v>
      </c>
      <c r="BC265">
        <v>80.963194478237142</v>
      </c>
      <c r="BD265">
        <v>0.96560000000000001</v>
      </c>
      <c r="BE265">
        <v>78.177999999999997</v>
      </c>
      <c r="BF265">
        <v>8.9176000000000002</v>
      </c>
      <c r="BG265">
        <v>0.80400000000000005</v>
      </c>
      <c r="BH265">
        <v>6039.0430235999738</v>
      </c>
      <c r="BI265">
        <v>0.98955375253549693</v>
      </c>
      <c r="BJ265">
        <v>5975.9576999999999</v>
      </c>
      <c r="BK265">
        <v>54.535643773999993</v>
      </c>
    </row>
    <row r="266" spans="1:63" x14ac:dyDescent="0.25">
      <c r="A266">
        <v>3306</v>
      </c>
      <c r="B266" t="s">
        <v>87</v>
      </c>
      <c r="C266">
        <v>2020</v>
      </c>
      <c r="D266">
        <v>1</v>
      </c>
      <c r="E266" t="s">
        <v>218</v>
      </c>
      <c r="F266" t="s">
        <v>251</v>
      </c>
      <c r="G266" t="s">
        <v>252</v>
      </c>
      <c r="H266" t="s">
        <v>17</v>
      </c>
      <c r="I266" t="s">
        <v>256</v>
      </c>
      <c r="J266" t="s">
        <v>242</v>
      </c>
      <c r="K266">
        <v>-80.595926109999994</v>
      </c>
      <c r="L266" t="s">
        <v>242</v>
      </c>
      <c r="M266" t="s">
        <v>237</v>
      </c>
      <c r="N266">
        <v>0.37405093967954001</v>
      </c>
      <c r="O266">
        <v>30.146982000000001</v>
      </c>
      <c r="P266" t="s">
        <v>21</v>
      </c>
      <c r="Q266">
        <v>1</v>
      </c>
      <c r="V266">
        <v>66303.072</v>
      </c>
      <c r="W266">
        <v>1</v>
      </c>
      <c r="X266">
        <v>9.0493559999999998E-6</v>
      </c>
      <c r="Y266">
        <v>0.6</v>
      </c>
      <c r="Z266">
        <v>18.088189</v>
      </c>
      <c r="AA266" t="s">
        <v>225</v>
      </c>
      <c r="AB266" t="s">
        <v>226</v>
      </c>
      <c r="AC266" t="s">
        <v>227</v>
      </c>
      <c r="AD266" t="s">
        <v>101</v>
      </c>
      <c r="AE266">
        <v>109.354</v>
      </c>
      <c r="AF266">
        <v>1.0727760310708341</v>
      </c>
      <c r="AG266">
        <v>117.31235010172</v>
      </c>
      <c r="AH266">
        <v>694.38</v>
      </c>
      <c r="AI266">
        <v>0.875</v>
      </c>
      <c r="AJ266">
        <v>71.276930955678296</v>
      </c>
      <c r="AK266">
        <v>1.0077</v>
      </c>
      <c r="AL266">
        <v>71.825999999999993</v>
      </c>
      <c r="AM266">
        <v>8.9176000000000002</v>
      </c>
      <c r="AN266">
        <v>9.5665875346772715</v>
      </c>
      <c r="AO266">
        <v>0.91300000000000003</v>
      </c>
      <c r="AP266">
        <v>6064.9193587765631</v>
      </c>
      <c r="AQ266">
        <v>1.0255267423014589</v>
      </c>
      <c r="AR266">
        <v>6219.7370000000001</v>
      </c>
      <c r="AS266">
        <v>1299.2022631140001</v>
      </c>
      <c r="AT266" t="s">
        <v>269</v>
      </c>
      <c r="AU266" t="s">
        <v>270</v>
      </c>
      <c r="AV266" t="s">
        <v>227</v>
      </c>
      <c r="AW266" t="s">
        <v>101</v>
      </c>
      <c r="AX266">
        <v>109.354</v>
      </c>
      <c r="AY266">
        <v>1.080821157758461</v>
      </c>
      <c r="AZ266">
        <v>118.1921168855188</v>
      </c>
      <c r="BA266">
        <v>779.31</v>
      </c>
      <c r="BB266">
        <v>0.879</v>
      </c>
      <c r="BC266">
        <v>80.963194478237142</v>
      </c>
      <c r="BD266">
        <v>1.0097</v>
      </c>
      <c r="BE266">
        <v>81.748999999999995</v>
      </c>
      <c r="BF266">
        <v>8.9176000000000002</v>
      </c>
      <c r="BG266">
        <v>0.80400000000000005</v>
      </c>
      <c r="BH266">
        <v>6039.0430235999738</v>
      </c>
      <c r="BI266">
        <v>1.0276539708265799</v>
      </c>
      <c r="BJ266">
        <v>6206.0465000000004</v>
      </c>
      <c r="BK266">
        <v>1478.691362561</v>
      </c>
    </row>
    <row r="267" spans="1:63" x14ac:dyDescent="0.25">
      <c r="A267">
        <v>2194</v>
      </c>
      <c r="B267" t="s">
        <v>87</v>
      </c>
      <c r="C267">
        <v>2020</v>
      </c>
      <c r="D267">
        <v>1</v>
      </c>
      <c r="E267" t="s">
        <v>218</v>
      </c>
      <c r="F267" t="s">
        <v>251</v>
      </c>
      <c r="G267" t="s">
        <v>252</v>
      </c>
      <c r="H267" t="s">
        <v>17</v>
      </c>
      <c r="I267" t="s">
        <v>257</v>
      </c>
      <c r="J267" t="s">
        <v>244</v>
      </c>
      <c r="K267">
        <v>-209.89002812999999</v>
      </c>
      <c r="L267" t="s">
        <v>245</v>
      </c>
      <c r="M267" t="s">
        <v>224</v>
      </c>
      <c r="N267">
        <v>1.1026262910890001E-2</v>
      </c>
      <c r="O267">
        <v>2.3143030000000002</v>
      </c>
      <c r="P267" t="s">
        <v>21</v>
      </c>
      <c r="Q267">
        <v>1</v>
      </c>
      <c r="V267">
        <v>66303.072</v>
      </c>
      <c r="W267">
        <v>1</v>
      </c>
      <c r="X267">
        <v>9.0493559999999998E-6</v>
      </c>
      <c r="Y267">
        <v>0.6</v>
      </c>
      <c r="Z267">
        <v>1.388582</v>
      </c>
      <c r="AA267" t="s">
        <v>225</v>
      </c>
      <c r="AB267" t="s">
        <v>226</v>
      </c>
      <c r="AC267" t="s">
        <v>227</v>
      </c>
      <c r="AD267" t="s">
        <v>153</v>
      </c>
      <c r="AE267">
        <v>109.354</v>
      </c>
      <c r="AF267">
        <v>1.0727760310708341</v>
      </c>
      <c r="AG267">
        <v>117.31235010172</v>
      </c>
      <c r="AH267">
        <v>694.38</v>
      </c>
      <c r="AI267">
        <v>0.875</v>
      </c>
      <c r="AJ267">
        <v>71.276930955678296</v>
      </c>
      <c r="AK267">
        <v>1.0034000000000001</v>
      </c>
      <c r="AL267">
        <v>71.519000000000005</v>
      </c>
      <c r="AM267">
        <v>8.9176000000000002</v>
      </c>
      <c r="AN267">
        <v>9.5665875346772715</v>
      </c>
      <c r="AO267">
        <v>0.91300000000000003</v>
      </c>
      <c r="AP267">
        <v>6064.9193587765631</v>
      </c>
      <c r="AQ267">
        <v>1</v>
      </c>
      <c r="AR267">
        <v>6064.9193999999998</v>
      </c>
      <c r="AS267">
        <v>99.30999605800001</v>
      </c>
      <c r="AT267" t="s">
        <v>269</v>
      </c>
      <c r="AU267" t="s">
        <v>270</v>
      </c>
      <c r="AV267" t="s">
        <v>227</v>
      </c>
      <c r="AW267" t="s">
        <v>153</v>
      </c>
      <c r="AX267">
        <v>109.354</v>
      </c>
      <c r="AY267">
        <v>1.080821157758461</v>
      </c>
      <c r="AZ267">
        <v>118.1921168855188</v>
      </c>
      <c r="BA267">
        <v>779.31</v>
      </c>
      <c r="BB267">
        <v>0.879</v>
      </c>
      <c r="BC267">
        <v>80.963194478237142</v>
      </c>
      <c r="BD267">
        <v>1.0078</v>
      </c>
      <c r="BE267">
        <v>81.594999999999999</v>
      </c>
      <c r="BF267">
        <v>8.9176000000000002</v>
      </c>
      <c r="BG267">
        <v>0.80400000000000005</v>
      </c>
      <c r="BH267">
        <v>6039.0430235999738</v>
      </c>
      <c r="BI267">
        <v>1</v>
      </c>
      <c r="BJ267">
        <v>6039.0429999999997</v>
      </c>
      <c r="BK267">
        <v>113.30134829000001</v>
      </c>
    </row>
    <row r="268" spans="1:63" x14ac:dyDescent="0.25">
      <c r="A268">
        <v>2196</v>
      </c>
      <c r="B268" t="s">
        <v>87</v>
      </c>
      <c r="C268">
        <v>2020</v>
      </c>
      <c r="D268">
        <v>1</v>
      </c>
      <c r="E268" t="s">
        <v>218</v>
      </c>
      <c r="F268" t="s">
        <v>251</v>
      </c>
      <c r="G268" t="s">
        <v>252</v>
      </c>
      <c r="H268" t="s">
        <v>17</v>
      </c>
      <c r="I268" t="s">
        <v>257</v>
      </c>
      <c r="J268" t="s">
        <v>244</v>
      </c>
      <c r="K268">
        <v>-209.89002812999999</v>
      </c>
      <c r="L268" t="s">
        <v>245</v>
      </c>
      <c r="M268" t="s">
        <v>235</v>
      </c>
      <c r="N268">
        <v>0.60074557881113</v>
      </c>
      <c r="O268">
        <v>126.090506</v>
      </c>
      <c r="P268" t="s">
        <v>21</v>
      </c>
      <c r="Q268">
        <v>1</v>
      </c>
      <c r="V268">
        <v>66303.072</v>
      </c>
      <c r="W268">
        <v>1</v>
      </c>
      <c r="X268">
        <v>9.0493559999999998E-6</v>
      </c>
      <c r="Y268">
        <v>0.6</v>
      </c>
      <c r="Z268">
        <v>75.654303999999996</v>
      </c>
      <c r="AA268" t="s">
        <v>225</v>
      </c>
      <c r="AB268" t="s">
        <v>226</v>
      </c>
      <c r="AC268" t="s">
        <v>227</v>
      </c>
      <c r="AD268" t="s">
        <v>154</v>
      </c>
      <c r="AE268">
        <v>109.354</v>
      </c>
      <c r="AF268">
        <v>1.0727760310708341</v>
      </c>
      <c r="AG268">
        <v>117.31235010172</v>
      </c>
      <c r="AH268">
        <v>694.38</v>
      </c>
      <c r="AI268">
        <v>0.875</v>
      </c>
      <c r="AJ268">
        <v>71.276930955678296</v>
      </c>
      <c r="AK268">
        <v>1.0179</v>
      </c>
      <c r="AL268">
        <v>72.552999999999997</v>
      </c>
      <c r="AM268">
        <v>8.9176000000000002</v>
      </c>
      <c r="AN268">
        <v>9.5665875346772715</v>
      </c>
      <c r="AO268">
        <v>0.91300000000000003</v>
      </c>
      <c r="AP268">
        <v>6064.9193587765631</v>
      </c>
      <c r="AQ268">
        <v>0.98975009761811794</v>
      </c>
      <c r="AR268">
        <v>6002.7545</v>
      </c>
      <c r="AS268">
        <v>5488.9467181119999</v>
      </c>
      <c r="AT268" t="s">
        <v>269</v>
      </c>
      <c r="AU268" t="s">
        <v>270</v>
      </c>
      <c r="AV268" t="s">
        <v>227</v>
      </c>
      <c r="AW268" t="s">
        <v>154</v>
      </c>
      <c r="AX268">
        <v>109.354</v>
      </c>
      <c r="AY268">
        <v>1.080821157758461</v>
      </c>
      <c r="AZ268">
        <v>118.1921168855188</v>
      </c>
      <c r="BA268">
        <v>779.31</v>
      </c>
      <c r="BB268">
        <v>0.879</v>
      </c>
      <c r="BC268">
        <v>80.963194478237142</v>
      </c>
      <c r="BD268">
        <v>0.9899</v>
      </c>
      <c r="BE268">
        <v>80.144999999999996</v>
      </c>
      <c r="BF268">
        <v>8.9176000000000002</v>
      </c>
      <c r="BG268">
        <v>0.80400000000000005</v>
      </c>
      <c r="BH268">
        <v>6039.0430235999738</v>
      </c>
      <c r="BI268">
        <v>0.99199531433033972</v>
      </c>
      <c r="BJ268">
        <v>5990.7024000000001</v>
      </c>
      <c r="BK268">
        <v>6063.3141940799997</v>
      </c>
    </row>
    <row r="269" spans="1:63" x14ac:dyDescent="0.25">
      <c r="A269">
        <v>2198</v>
      </c>
      <c r="B269" t="s">
        <v>87</v>
      </c>
      <c r="C269">
        <v>2020</v>
      </c>
      <c r="D269">
        <v>1</v>
      </c>
      <c r="E269" t="s">
        <v>218</v>
      </c>
      <c r="F269" t="s">
        <v>251</v>
      </c>
      <c r="G269" t="s">
        <v>252</v>
      </c>
      <c r="H269" t="s">
        <v>17</v>
      </c>
      <c r="I269" t="s">
        <v>257</v>
      </c>
      <c r="J269" t="s">
        <v>244</v>
      </c>
      <c r="K269">
        <v>-209.89002812999999</v>
      </c>
      <c r="L269" t="s">
        <v>245</v>
      </c>
      <c r="M269" t="s">
        <v>236</v>
      </c>
      <c r="N269">
        <v>1.775192921592E-2</v>
      </c>
      <c r="O269">
        <v>3.7259530000000001</v>
      </c>
      <c r="P269" t="s">
        <v>21</v>
      </c>
      <c r="Q269">
        <v>1</v>
      </c>
      <c r="V269">
        <v>66303.072</v>
      </c>
      <c r="W269">
        <v>1</v>
      </c>
      <c r="X269">
        <v>9.0493559999999998E-6</v>
      </c>
      <c r="Y269">
        <v>0.6</v>
      </c>
      <c r="Z269">
        <v>2.2355719999999999</v>
      </c>
      <c r="AA269" t="s">
        <v>225</v>
      </c>
      <c r="AB269" t="s">
        <v>226</v>
      </c>
      <c r="AC269" t="s">
        <v>227</v>
      </c>
      <c r="AD269" t="s">
        <v>100</v>
      </c>
      <c r="AE269">
        <v>109.354</v>
      </c>
      <c r="AF269">
        <v>1.0727760310708341</v>
      </c>
      <c r="AG269">
        <v>117.31235010172</v>
      </c>
      <c r="AH269">
        <v>694.38</v>
      </c>
      <c r="AI269">
        <v>0.875</v>
      </c>
      <c r="AJ269">
        <v>71.276930955678296</v>
      </c>
      <c r="AK269">
        <v>0.96660000000000001</v>
      </c>
      <c r="AL269">
        <v>68.896000000000001</v>
      </c>
      <c r="AM269">
        <v>8.9176000000000002</v>
      </c>
      <c r="AN269">
        <v>9.5665875346772715</v>
      </c>
      <c r="AO269">
        <v>0.91300000000000003</v>
      </c>
      <c r="AP269">
        <v>6064.9193587765631</v>
      </c>
      <c r="AQ269">
        <v>0.98316430020283985</v>
      </c>
      <c r="AR269">
        <v>5962.8122000000003</v>
      </c>
      <c r="AS269">
        <v>154.021968512</v>
      </c>
      <c r="AT269" t="s">
        <v>269</v>
      </c>
      <c r="AU269" t="s">
        <v>270</v>
      </c>
      <c r="AV269" t="s">
        <v>227</v>
      </c>
      <c r="AW269" t="s">
        <v>100</v>
      </c>
      <c r="AX269">
        <v>109.354</v>
      </c>
      <c r="AY269">
        <v>1.080821157758461</v>
      </c>
      <c r="AZ269">
        <v>118.1921168855188</v>
      </c>
      <c r="BA269">
        <v>779.31</v>
      </c>
      <c r="BB269">
        <v>0.879</v>
      </c>
      <c r="BC269">
        <v>80.963194478237142</v>
      </c>
      <c r="BD269">
        <v>0.96560000000000001</v>
      </c>
      <c r="BE269">
        <v>78.177999999999997</v>
      </c>
      <c r="BF269">
        <v>8.9176000000000002</v>
      </c>
      <c r="BG269">
        <v>0.80400000000000005</v>
      </c>
      <c r="BH269">
        <v>6039.0430235999738</v>
      </c>
      <c r="BI269">
        <v>0.98955375253549693</v>
      </c>
      <c r="BJ269">
        <v>5975.9576999999999</v>
      </c>
      <c r="BK269">
        <v>174.77254781600001</v>
      </c>
    </row>
    <row r="270" spans="1:63" x14ac:dyDescent="0.25">
      <c r="A270">
        <v>2200</v>
      </c>
      <c r="B270" t="s">
        <v>87</v>
      </c>
      <c r="C270">
        <v>2020</v>
      </c>
      <c r="D270">
        <v>1</v>
      </c>
      <c r="E270" t="s">
        <v>218</v>
      </c>
      <c r="F270" t="s">
        <v>251</v>
      </c>
      <c r="G270" t="s">
        <v>252</v>
      </c>
      <c r="H270" t="s">
        <v>17</v>
      </c>
      <c r="I270" t="s">
        <v>257</v>
      </c>
      <c r="J270" t="s">
        <v>244</v>
      </c>
      <c r="K270">
        <v>-209.89002812999999</v>
      </c>
      <c r="L270" t="s">
        <v>245</v>
      </c>
      <c r="M270" t="s">
        <v>237</v>
      </c>
      <c r="N270">
        <v>0.39766766032624001</v>
      </c>
      <c r="O270">
        <v>83.466476</v>
      </c>
      <c r="P270" t="s">
        <v>21</v>
      </c>
      <c r="Q270">
        <v>1</v>
      </c>
      <c r="V270">
        <v>66303.072</v>
      </c>
      <c r="W270">
        <v>1</v>
      </c>
      <c r="X270">
        <v>9.0493559999999998E-6</v>
      </c>
      <c r="Y270">
        <v>0.6</v>
      </c>
      <c r="Z270">
        <v>50.079886000000002</v>
      </c>
      <c r="AA270" t="s">
        <v>225</v>
      </c>
      <c r="AB270" t="s">
        <v>226</v>
      </c>
      <c r="AC270" t="s">
        <v>227</v>
      </c>
      <c r="AD270" t="s">
        <v>101</v>
      </c>
      <c r="AE270">
        <v>109.354</v>
      </c>
      <c r="AF270">
        <v>1.0727760310708341</v>
      </c>
      <c r="AG270">
        <v>117.31235010172</v>
      </c>
      <c r="AH270">
        <v>694.38</v>
      </c>
      <c r="AI270">
        <v>0.875</v>
      </c>
      <c r="AJ270">
        <v>71.276930955678296</v>
      </c>
      <c r="AK270">
        <v>1.0077</v>
      </c>
      <c r="AL270">
        <v>71.825999999999993</v>
      </c>
      <c r="AM270">
        <v>8.9176000000000002</v>
      </c>
      <c r="AN270">
        <v>9.5665875346772715</v>
      </c>
      <c r="AO270">
        <v>0.91300000000000003</v>
      </c>
      <c r="AP270">
        <v>6064.9193587765631</v>
      </c>
      <c r="AQ270">
        <v>1.0255267423014589</v>
      </c>
      <c r="AR270">
        <v>6219.7370000000001</v>
      </c>
      <c r="AS270">
        <v>3597.0378918360002</v>
      </c>
      <c r="AT270" t="s">
        <v>269</v>
      </c>
      <c r="AU270" t="s">
        <v>270</v>
      </c>
      <c r="AV270" t="s">
        <v>227</v>
      </c>
      <c r="AW270" t="s">
        <v>101</v>
      </c>
      <c r="AX270">
        <v>109.354</v>
      </c>
      <c r="AY270">
        <v>1.080821157758461</v>
      </c>
      <c r="AZ270">
        <v>118.1921168855188</v>
      </c>
      <c r="BA270">
        <v>779.31</v>
      </c>
      <c r="BB270">
        <v>0.879</v>
      </c>
      <c r="BC270">
        <v>80.963194478237142</v>
      </c>
      <c r="BD270">
        <v>1.0097</v>
      </c>
      <c r="BE270">
        <v>81.748999999999995</v>
      </c>
      <c r="BF270">
        <v>8.9176000000000002</v>
      </c>
      <c r="BG270">
        <v>0.80400000000000005</v>
      </c>
      <c r="BH270">
        <v>6039.0430235999738</v>
      </c>
      <c r="BI270">
        <v>1.0276539708265799</v>
      </c>
      <c r="BJ270">
        <v>6206.0465000000004</v>
      </c>
      <c r="BK270">
        <v>4093.9806006140002</v>
      </c>
    </row>
    <row r="271" spans="1:63" x14ac:dyDescent="0.25">
      <c r="A271">
        <v>4402</v>
      </c>
      <c r="B271" t="s">
        <v>87</v>
      </c>
      <c r="C271">
        <v>2020</v>
      </c>
      <c r="D271">
        <v>1</v>
      </c>
      <c r="E271" t="s">
        <v>218</v>
      </c>
      <c r="F271" t="s">
        <v>251</v>
      </c>
      <c r="G271" t="s">
        <v>252</v>
      </c>
      <c r="H271" t="s">
        <v>17</v>
      </c>
      <c r="I271" t="s">
        <v>258</v>
      </c>
      <c r="J271" t="s">
        <v>247</v>
      </c>
      <c r="K271">
        <v>-514.48181167999996</v>
      </c>
      <c r="L271" t="s">
        <v>248</v>
      </c>
      <c r="M271" t="s">
        <v>224</v>
      </c>
      <c r="N271">
        <v>4.9724862092599999E-3</v>
      </c>
      <c r="O271">
        <v>2.5582539999999998</v>
      </c>
      <c r="P271" t="s">
        <v>21</v>
      </c>
      <c r="Q271">
        <v>1</v>
      </c>
      <c r="V271">
        <v>66303.072</v>
      </c>
      <c r="W271">
        <v>1</v>
      </c>
      <c r="X271">
        <v>9.0493559999999998E-6</v>
      </c>
      <c r="Y271">
        <v>0.6</v>
      </c>
      <c r="Z271">
        <v>1.5349520000000001</v>
      </c>
      <c r="AA271" t="s">
        <v>225</v>
      </c>
      <c r="AB271" t="s">
        <v>226</v>
      </c>
      <c r="AC271" t="s">
        <v>227</v>
      </c>
      <c r="AD271" t="s">
        <v>153</v>
      </c>
      <c r="AE271">
        <v>109.354</v>
      </c>
      <c r="AF271">
        <v>1.0727760310708341</v>
      </c>
      <c r="AG271">
        <v>117.31235010172</v>
      </c>
      <c r="AH271">
        <v>694.38</v>
      </c>
      <c r="AI271">
        <v>0.875</v>
      </c>
      <c r="AJ271">
        <v>71.276930955678296</v>
      </c>
      <c r="AK271">
        <v>1.0034000000000001</v>
      </c>
      <c r="AL271">
        <v>71.519000000000005</v>
      </c>
      <c r="AM271">
        <v>8.9176000000000002</v>
      </c>
      <c r="AN271">
        <v>9.5665875346772715</v>
      </c>
      <c r="AO271">
        <v>0.91300000000000003</v>
      </c>
      <c r="AP271">
        <v>6064.9193587765631</v>
      </c>
      <c r="AQ271">
        <v>1</v>
      </c>
      <c r="AR271">
        <v>6064.9193999999998</v>
      </c>
      <c r="AS271">
        <v>109.778232088</v>
      </c>
      <c r="AT271" t="s">
        <v>269</v>
      </c>
      <c r="AU271" t="s">
        <v>270</v>
      </c>
      <c r="AV271" t="s">
        <v>227</v>
      </c>
      <c r="AW271" t="s">
        <v>153</v>
      </c>
      <c r="AX271">
        <v>109.354</v>
      </c>
      <c r="AY271">
        <v>1.080821157758461</v>
      </c>
      <c r="AZ271">
        <v>118.1921168855188</v>
      </c>
      <c r="BA271">
        <v>779.31</v>
      </c>
      <c r="BB271">
        <v>0.879</v>
      </c>
      <c r="BC271">
        <v>80.963194478237142</v>
      </c>
      <c r="BD271">
        <v>1.0078</v>
      </c>
      <c r="BE271">
        <v>81.594999999999999</v>
      </c>
      <c r="BF271">
        <v>8.9176000000000002</v>
      </c>
      <c r="BG271">
        <v>0.80400000000000005</v>
      </c>
      <c r="BH271">
        <v>6039.0430235999738</v>
      </c>
      <c r="BI271">
        <v>1</v>
      </c>
      <c r="BJ271">
        <v>6039.0429999999997</v>
      </c>
      <c r="BK271">
        <v>125.24440844</v>
      </c>
    </row>
    <row r="272" spans="1:63" x14ac:dyDescent="0.25">
      <c r="A272">
        <v>4404</v>
      </c>
      <c r="B272" t="s">
        <v>87</v>
      </c>
      <c r="C272">
        <v>2020</v>
      </c>
      <c r="D272">
        <v>1</v>
      </c>
      <c r="E272" t="s">
        <v>218</v>
      </c>
      <c r="F272" t="s">
        <v>251</v>
      </c>
      <c r="G272" t="s">
        <v>252</v>
      </c>
      <c r="H272" t="s">
        <v>17</v>
      </c>
      <c r="I272" t="s">
        <v>258</v>
      </c>
      <c r="J272" t="s">
        <v>247</v>
      </c>
      <c r="K272">
        <v>-514.48181167999996</v>
      </c>
      <c r="L272" t="s">
        <v>248</v>
      </c>
      <c r="M272" t="s">
        <v>235</v>
      </c>
      <c r="N272">
        <v>0.99209122360516</v>
      </c>
      <c r="O272">
        <v>510.41289</v>
      </c>
      <c r="P272" t="s">
        <v>21</v>
      </c>
      <c r="Q272">
        <v>1</v>
      </c>
      <c r="V272">
        <v>66303.072</v>
      </c>
      <c r="W272">
        <v>1</v>
      </c>
      <c r="X272">
        <v>9.0493559999999998E-6</v>
      </c>
      <c r="Y272">
        <v>0.6</v>
      </c>
      <c r="Z272">
        <v>306.24773399999998</v>
      </c>
      <c r="AA272" t="s">
        <v>225</v>
      </c>
      <c r="AB272" t="s">
        <v>226</v>
      </c>
      <c r="AC272" t="s">
        <v>227</v>
      </c>
      <c r="AD272" t="s">
        <v>154</v>
      </c>
      <c r="AE272">
        <v>109.354</v>
      </c>
      <c r="AF272">
        <v>1.0727760310708341</v>
      </c>
      <c r="AG272">
        <v>117.31235010172</v>
      </c>
      <c r="AH272">
        <v>694.38</v>
      </c>
      <c r="AI272">
        <v>0.875</v>
      </c>
      <c r="AJ272">
        <v>71.276930955678296</v>
      </c>
      <c r="AK272">
        <v>1.0179</v>
      </c>
      <c r="AL272">
        <v>72.552999999999997</v>
      </c>
      <c r="AM272">
        <v>8.9176000000000002</v>
      </c>
      <c r="AN272">
        <v>9.5665875346772715</v>
      </c>
      <c r="AO272">
        <v>0.91300000000000003</v>
      </c>
      <c r="AP272">
        <v>6064.9193587765631</v>
      </c>
      <c r="AQ272">
        <v>0.98975009761811794</v>
      </c>
      <c r="AR272">
        <v>6002.7545</v>
      </c>
      <c r="AS272">
        <v>22219.191844902001</v>
      </c>
      <c r="AT272" t="s">
        <v>269</v>
      </c>
      <c r="AU272" t="s">
        <v>270</v>
      </c>
      <c r="AV272" t="s">
        <v>227</v>
      </c>
      <c r="AW272" t="s">
        <v>154</v>
      </c>
      <c r="AX272">
        <v>109.354</v>
      </c>
      <c r="AY272">
        <v>1.080821157758461</v>
      </c>
      <c r="AZ272">
        <v>118.1921168855188</v>
      </c>
      <c r="BA272">
        <v>779.31</v>
      </c>
      <c r="BB272">
        <v>0.879</v>
      </c>
      <c r="BC272">
        <v>80.963194478237142</v>
      </c>
      <c r="BD272">
        <v>0.9899</v>
      </c>
      <c r="BE272">
        <v>80.144999999999996</v>
      </c>
      <c r="BF272">
        <v>8.9176000000000002</v>
      </c>
      <c r="BG272">
        <v>0.80400000000000005</v>
      </c>
      <c r="BH272">
        <v>6039.0430235999738</v>
      </c>
      <c r="BI272">
        <v>0.99199531433033972</v>
      </c>
      <c r="BJ272">
        <v>5990.7024000000001</v>
      </c>
      <c r="BK272">
        <v>24544.224641429999</v>
      </c>
    </row>
    <row r="273" spans="1:63" x14ac:dyDescent="0.25">
      <c r="A273">
        <v>4406</v>
      </c>
      <c r="B273" t="s">
        <v>87</v>
      </c>
      <c r="C273">
        <v>2020</v>
      </c>
      <c r="D273">
        <v>1</v>
      </c>
      <c r="E273" t="s">
        <v>218</v>
      </c>
      <c r="F273" t="s">
        <v>251</v>
      </c>
      <c r="G273" t="s">
        <v>252</v>
      </c>
      <c r="H273" t="s">
        <v>17</v>
      </c>
      <c r="I273" t="s">
        <v>258</v>
      </c>
      <c r="J273" t="s">
        <v>247</v>
      </c>
      <c r="K273">
        <v>-514.48181167999996</v>
      </c>
      <c r="L273" t="s">
        <v>248</v>
      </c>
      <c r="M273" t="s">
        <v>236</v>
      </c>
      <c r="N273">
        <v>4.7995598170700003E-3</v>
      </c>
      <c r="O273">
        <v>2.4692859999999999</v>
      </c>
      <c r="P273" t="s">
        <v>21</v>
      </c>
      <c r="Q273">
        <v>1</v>
      </c>
      <c r="V273">
        <v>66303.072</v>
      </c>
      <c r="W273">
        <v>1</v>
      </c>
      <c r="X273">
        <v>9.0493559999999998E-6</v>
      </c>
      <c r="Y273">
        <v>0.6</v>
      </c>
      <c r="Z273">
        <v>1.4815719999999999</v>
      </c>
      <c r="AA273" t="s">
        <v>225</v>
      </c>
      <c r="AB273" t="s">
        <v>226</v>
      </c>
      <c r="AC273" t="s">
        <v>227</v>
      </c>
      <c r="AD273" t="s">
        <v>100</v>
      </c>
      <c r="AE273">
        <v>109.354</v>
      </c>
      <c r="AF273">
        <v>1.0727760310708341</v>
      </c>
      <c r="AG273">
        <v>117.31235010172</v>
      </c>
      <c r="AH273">
        <v>694.38</v>
      </c>
      <c r="AI273">
        <v>0.875</v>
      </c>
      <c r="AJ273">
        <v>71.276930955678296</v>
      </c>
      <c r="AK273">
        <v>0.96660000000000001</v>
      </c>
      <c r="AL273">
        <v>68.896000000000001</v>
      </c>
      <c r="AM273">
        <v>8.9176000000000002</v>
      </c>
      <c r="AN273">
        <v>9.5665875346772715</v>
      </c>
      <c r="AO273">
        <v>0.91300000000000003</v>
      </c>
      <c r="AP273">
        <v>6064.9193587765631</v>
      </c>
      <c r="AQ273">
        <v>0.98316430020283985</v>
      </c>
      <c r="AR273">
        <v>5962.8122000000003</v>
      </c>
      <c r="AS273">
        <v>102.07438451199999</v>
      </c>
      <c r="AT273" t="s">
        <v>269</v>
      </c>
      <c r="AU273" t="s">
        <v>270</v>
      </c>
      <c r="AV273" t="s">
        <v>227</v>
      </c>
      <c r="AW273" t="s">
        <v>100</v>
      </c>
      <c r="AX273">
        <v>109.354</v>
      </c>
      <c r="AY273">
        <v>1.080821157758461</v>
      </c>
      <c r="AZ273">
        <v>118.1921168855188</v>
      </c>
      <c r="BA273">
        <v>779.31</v>
      </c>
      <c r="BB273">
        <v>0.879</v>
      </c>
      <c r="BC273">
        <v>80.963194478237142</v>
      </c>
      <c r="BD273">
        <v>0.96560000000000001</v>
      </c>
      <c r="BE273">
        <v>78.177999999999997</v>
      </c>
      <c r="BF273">
        <v>8.9176000000000002</v>
      </c>
      <c r="BG273">
        <v>0.80400000000000005</v>
      </c>
      <c r="BH273">
        <v>6039.0430235999738</v>
      </c>
      <c r="BI273">
        <v>0.98955375253549693</v>
      </c>
      <c r="BJ273">
        <v>5975.9576999999999</v>
      </c>
      <c r="BK273">
        <v>115.826335816</v>
      </c>
    </row>
    <row r="274" spans="1:63" x14ac:dyDescent="0.25">
      <c r="A274">
        <v>4408</v>
      </c>
      <c r="B274" t="s">
        <v>87</v>
      </c>
      <c r="C274">
        <v>2020</v>
      </c>
      <c r="D274">
        <v>1</v>
      </c>
      <c r="E274" t="s">
        <v>218</v>
      </c>
      <c r="F274" t="s">
        <v>251</v>
      </c>
      <c r="G274" t="s">
        <v>252</v>
      </c>
      <c r="H274" t="s">
        <v>17</v>
      </c>
      <c r="I274" t="s">
        <v>258</v>
      </c>
      <c r="J274" t="s">
        <v>247</v>
      </c>
      <c r="K274">
        <v>-514.48181167999996</v>
      </c>
      <c r="L274" t="s">
        <v>248</v>
      </c>
      <c r="M274" t="s">
        <v>237</v>
      </c>
      <c r="N274">
        <v>2.2580780904460002E-2</v>
      </c>
      <c r="O274">
        <v>11.617400999999999</v>
      </c>
      <c r="P274" t="s">
        <v>21</v>
      </c>
      <c r="Q274">
        <v>1</v>
      </c>
      <c r="V274">
        <v>66303.072</v>
      </c>
      <c r="W274">
        <v>1</v>
      </c>
      <c r="X274">
        <v>9.0493559999999998E-6</v>
      </c>
      <c r="Y274">
        <v>0.6</v>
      </c>
      <c r="Z274">
        <v>6.9704410000000001</v>
      </c>
      <c r="AA274" t="s">
        <v>225</v>
      </c>
      <c r="AB274" t="s">
        <v>226</v>
      </c>
      <c r="AC274" t="s">
        <v>227</v>
      </c>
      <c r="AD274" t="s">
        <v>101</v>
      </c>
      <c r="AE274">
        <v>109.354</v>
      </c>
      <c r="AF274">
        <v>1.0727760310708341</v>
      </c>
      <c r="AG274">
        <v>117.31235010172</v>
      </c>
      <c r="AH274">
        <v>694.38</v>
      </c>
      <c r="AI274">
        <v>0.875</v>
      </c>
      <c r="AJ274">
        <v>71.276930955678296</v>
      </c>
      <c r="AK274">
        <v>1.0077</v>
      </c>
      <c r="AL274">
        <v>71.825999999999993</v>
      </c>
      <c r="AM274">
        <v>8.9176000000000002</v>
      </c>
      <c r="AN274">
        <v>9.5665875346772715</v>
      </c>
      <c r="AO274">
        <v>0.91300000000000003</v>
      </c>
      <c r="AP274">
        <v>6064.9193587765631</v>
      </c>
      <c r="AQ274">
        <v>1.0255267423014589</v>
      </c>
      <c r="AR274">
        <v>6219.7370000000001</v>
      </c>
      <c r="AS274">
        <v>500.65889526599989</v>
      </c>
      <c r="AT274" t="s">
        <v>269</v>
      </c>
      <c r="AU274" t="s">
        <v>270</v>
      </c>
      <c r="AV274" t="s">
        <v>227</v>
      </c>
      <c r="AW274" t="s">
        <v>101</v>
      </c>
      <c r="AX274">
        <v>109.354</v>
      </c>
      <c r="AY274">
        <v>1.080821157758461</v>
      </c>
      <c r="AZ274">
        <v>118.1921168855188</v>
      </c>
      <c r="BA274">
        <v>779.31</v>
      </c>
      <c r="BB274">
        <v>0.879</v>
      </c>
      <c r="BC274">
        <v>80.963194478237142</v>
      </c>
      <c r="BD274">
        <v>1.0097</v>
      </c>
      <c r="BE274">
        <v>81.748999999999995</v>
      </c>
      <c r="BF274">
        <v>8.9176000000000002</v>
      </c>
      <c r="BG274">
        <v>0.80400000000000005</v>
      </c>
      <c r="BH274">
        <v>6039.0430235999738</v>
      </c>
      <c r="BI274">
        <v>1.0276539708265799</v>
      </c>
      <c r="BJ274">
        <v>6206.0465000000004</v>
      </c>
      <c r="BK274">
        <v>569.82658130899995</v>
      </c>
    </row>
    <row r="275" spans="1:63" x14ac:dyDescent="0.25">
      <c r="A275">
        <v>1098</v>
      </c>
      <c r="B275" t="s">
        <v>87</v>
      </c>
      <c r="C275">
        <v>2020</v>
      </c>
      <c r="D275">
        <v>1</v>
      </c>
      <c r="E275" t="s">
        <v>218</v>
      </c>
      <c r="F275" t="s">
        <v>251</v>
      </c>
      <c r="G275" t="s">
        <v>252</v>
      </c>
      <c r="H275" t="s">
        <v>17</v>
      </c>
      <c r="I275" t="s">
        <v>259</v>
      </c>
      <c r="J275" t="s">
        <v>250</v>
      </c>
      <c r="K275">
        <v>-707.20323119</v>
      </c>
      <c r="L275" t="s">
        <v>250</v>
      </c>
      <c r="M275" t="s">
        <v>231</v>
      </c>
      <c r="N275">
        <v>4.9898993999990003E-2</v>
      </c>
      <c r="O275">
        <v>35.288730000000001</v>
      </c>
      <c r="P275" t="s">
        <v>21</v>
      </c>
      <c r="Q275">
        <v>1</v>
      </c>
      <c r="V275">
        <v>66303.072</v>
      </c>
      <c r="W275">
        <v>1</v>
      </c>
      <c r="X275">
        <v>9.0493559999999998E-6</v>
      </c>
      <c r="Y275">
        <v>0.6</v>
      </c>
      <c r="Z275">
        <v>21.173238000000001</v>
      </c>
      <c r="AA275" t="s">
        <v>225</v>
      </c>
      <c r="AB275" t="s">
        <v>226</v>
      </c>
      <c r="AC275" t="s">
        <v>227</v>
      </c>
      <c r="AD275" t="s">
        <v>100</v>
      </c>
      <c r="AE275">
        <v>109.354</v>
      </c>
      <c r="AF275">
        <v>1.0727760310708341</v>
      </c>
      <c r="AG275">
        <v>117.31235010172</v>
      </c>
      <c r="AH275">
        <v>694.38</v>
      </c>
      <c r="AI275">
        <v>0.875</v>
      </c>
      <c r="AJ275">
        <v>71.276930955678296</v>
      </c>
      <c r="AK275">
        <v>0.96660000000000001</v>
      </c>
      <c r="AL275">
        <v>68.896000000000001</v>
      </c>
      <c r="AM275">
        <v>8.9176000000000002</v>
      </c>
      <c r="AN275">
        <v>9.5665875346772715</v>
      </c>
      <c r="AO275">
        <v>0.91300000000000003</v>
      </c>
      <c r="AP275">
        <v>6064.9193587765631</v>
      </c>
      <c r="AQ275">
        <v>0.98316430020283985</v>
      </c>
      <c r="AR275">
        <v>5962.8122000000003</v>
      </c>
      <c r="AS275">
        <v>1458.7514052480001</v>
      </c>
      <c r="AT275" t="s">
        <v>269</v>
      </c>
      <c r="AU275" t="s">
        <v>270</v>
      </c>
      <c r="AV275" t="s">
        <v>227</v>
      </c>
      <c r="AW275" t="s">
        <v>100</v>
      </c>
      <c r="AX275">
        <v>109.354</v>
      </c>
      <c r="AY275">
        <v>1.080821157758461</v>
      </c>
      <c r="AZ275">
        <v>118.1921168855188</v>
      </c>
      <c r="BA275">
        <v>779.31</v>
      </c>
      <c r="BB275">
        <v>0.879</v>
      </c>
      <c r="BC275">
        <v>80.963194478237142</v>
      </c>
      <c r="BD275">
        <v>0.96560000000000001</v>
      </c>
      <c r="BE275">
        <v>78.177999999999997</v>
      </c>
      <c r="BF275">
        <v>8.9176000000000002</v>
      </c>
      <c r="BG275">
        <v>0.80400000000000005</v>
      </c>
      <c r="BH275">
        <v>6039.0430235999738</v>
      </c>
      <c r="BI275">
        <v>0.98955375253549693</v>
      </c>
      <c r="BJ275">
        <v>5975.9576999999999</v>
      </c>
      <c r="BK275">
        <v>1655.2814003640001</v>
      </c>
    </row>
    <row r="276" spans="1:63" x14ac:dyDescent="0.25">
      <c r="A276">
        <v>1100</v>
      </c>
      <c r="B276" t="s">
        <v>87</v>
      </c>
      <c r="C276">
        <v>2020</v>
      </c>
      <c r="D276">
        <v>1</v>
      </c>
      <c r="E276" t="s">
        <v>218</v>
      </c>
      <c r="F276" t="s">
        <v>251</v>
      </c>
      <c r="G276" t="s">
        <v>252</v>
      </c>
      <c r="H276" t="s">
        <v>17</v>
      </c>
      <c r="I276" t="s">
        <v>259</v>
      </c>
      <c r="J276" t="s">
        <v>250</v>
      </c>
      <c r="K276">
        <v>-707.20323119</v>
      </c>
      <c r="L276" t="s">
        <v>250</v>
      </c>
      <c r="M276" t="s">
        <v>232</v>
      </c>
      <c r="N276">
        <v>0.97472100599996003</v>
      </c>
      <c r="O276">
        <v>689.32584499999996</v>
      </c>
      <c r="P276" t="s">
        <v>21</v>
      </c>
      <c r="Q276">
        <v>1</v>
      </c>
      <c r="V276">
        <v>66303.072</v>
      </c>
      <c r="W276">
        <v>1</v>
      </c>
      <c r="X276">
        <v>9.0493559999999998E-6</v>
      </c>
      <c r="Y276">
        <v>0.6</v>
      </c>
      <c r="Z276">
        <v>413.595507</v>
      </c>
      <c r="AA276" t="s">
        <v>225</v>
      </c>
      <c r="AB276" t="s">
        <v>226</v>
      </c>
      <c r="AC276" t="s">
        <v>227</v>
      </c>
      <c r="AD276" t="s">
        <v>101</v>
      </c>
      <c r="AE276">
        <v>109.354</v>
      </c>
      <c r="AF276">
        <v>1.0727760310708341</v>
      </c>
      <c r="AG276">
        <v>117.31235010172</v>
      </c>
      <c r="AH276">
        <v>694.38</v>
      </c>
      <c r="AI276">
        <v>0.875</v>
      </c>
      <c r="AJ276">
        <v>71.276930955678296</v>
      </c>
      <c r="AK276">
        <v>1.0077</v>
      </c>
      <c r="AL276">
        <v>71.825999999999993</v>
      </c>
      <c r="AM276">
        <v>8.9176000000000002</v>
      </c>
      <c r="AN276">
        <v>9.5665875346772715</v>
      </c>
      <c r="AO276">
        <v>0.91300000000000003</v>
      </c>
      <c r="AP276">
        <v>6064.9193587765631</v>
      </c>
      <c r="AQ276">
        <v>1.0255267423014589</v>
      </c>
      <c r="AR276">
        <v>6219.7370000000001</v>
      </c>
      <c r="AS276">
        <v>29706.910885781999</v>
      </c>
      <c r="AT276" t="s">
        <v>269</v>
      </c>
      <c r="AU276" t="s">
        <v>270</v>
      </c>
      <c r="AV276" t="s">
        <v>227</v>
      </c>
      <c r="AW276" t="s">
        <v>101</v>
      </c>
      <c r="AX276">
        <v>109.354</v>
      </c>
      <c r="AY276">
        <v>1.080821157758461</v>
      </c>
      <c r="AZ276">
        <v>118.1921168855188</v>
      </c>
      <c r="BA276">
        <v>779.31</v>
      </c>
      <c r="BB276">
        <v>0.879</v>
      </c>
      <c r="BC276">
        <v>80.963194478237142</v>
      </c>
      <c r="BD276">
        <v>1.0097</v>
      </c>
      <c r="BE276">
        <v>81.748999999999995</v>
      </c>
      <c r="BF276">
        <v>8.9176000000000002</v>
      </c>
      <c r="BG276">
        <v>0.80400000000000005</v>
      </c>
      <c r="BH276">
        <v>6039.0430235999738</v>
      </c>
      <c r="BI276">
        <v>1.0276539708265799</v>
      </c>
      <c r="BJ276">
        <v>6206.0465000000004</v>
      </c>
      <c r="BK276">
        <v>33811.019101742997</v>
      </c>
    </row>
    <row r="277" spans="1:63" x14ac:dyDescent="0.25">
      <c r="A277">
        <v>4410</v>
      </c>
      <c r="B277" t="s">
        <v>87</v>
      </c>
      <c r="C277">
        <v>2020</v>
      </c>
      <c r="D277">
        <v>1</v>
      </c>
      <c r="E277" t="s">
        <v>218</v>
      </c>
      <c r="F277" t="s">
        <v>260</v>
      </c>
      <c r="G277" t="s">
        <v>261</v>
      </c>
      <c r="H277" t="s">
        <v>17</v>
      </c>
      <c r="I277" t="s">
        <v>262</v>
      </c>
      <c r="J277" t="s">
        <v>222</v>
      </c>
      <c r="K277">
        <v>-155.78512362999999</v>
      </c>
      <c r="L277" t="s">
        <v>223</v>
      </c>
      <c r="M277" t="s">
        <v>224</v>
      </c>
      <c r="N277">
        <v>8.7524974586199993E-3</v>
      </c>
      <c r="O277">
        <v>1.3635090000000001</v>
      </c>
      <c r="P277" t="s">
        <v>21</v>
      </c>
      <c r="Q277">
        <v>1</v>
      </c>
      <c r="V277">
        <v>66303.072</v>
      </c>
      <c r="W277">
        <v>1</v>
      </c>
      <c r="X277">
        <v>1.2927647999999999E-5</v>
      </c>
      <c r="Y277">
        <v>0.85714299999999999</v>
      </c>
      <c r="Z277">
        <v>1.168722</v>
      </c>
      <c r="AA277" t="s">
        <v>225</v>
      </c>
      <c r="AB277" t="s">
        <v>226</v>
      </c>
      <c r="AC277" t="s">
        <v>227</v>
      </c>
      <c r="AD277" t="s">
        <v>153</v>
      </c>
      <c r="AE277">
        <v>109.354</v>
      </c>
      <c r="AF277">
        <v>1.0727760310708341</v>
      </c>
      <c r="AG277">
        <v>117.31235010172</v>
      </c>
      <c r="AH277">
        <v>694.38</v>
      </c>
      <c r="AI277">
        <v>0.875</v>
      </c>
      <c r="AJ277">
        <v>71.276930955678296</v>
      </c>
      <c r="AK277">
        <v>1.0034000000000001</v>
      </c>
      <c r="AL277">
        <v>71.519000000000005</v>
      </c>
      <c r="AM277">
        <v>8.9176000000000002</v>
      </c>
      <c r="AN277">
        <v>9.5665875346772715</v>
      </c>
      <c r="AO277">
        <v>0.91300000000000003</v>
      </c>
      <c r="AP277">
        <v>6064.9193587765631</v>
      </c>
      <c r="AQ277">
        <v>1</v>
      </c>
      <c r="AR277">
        <v>6064.9193999999998</v>
      </c>
      <c r="AS277">
        <v>83.585828718000016</v>
      </c>
      <c r="AT277" t="s">
        <v>269</v>
      </c>
      <c r="AU277" t="s">
        <v>270</v>
      </c>
      <c r="AV277" t="s">
        <v>227</v>
      </c>
      <c r="AW277" t="s">
        <v>153</v>
      </c>
      <c r="AX277">
        <v>109.354</v>
      </c>
      <c r="AY277">
        <v>1.080821157758461</v>
      </c>
      <c r="AZ277">
        <v>118.1921168855188</v>
      </c>
      <c r="BA277">
        <v>779.31</v>
      </c>
      <c r="BB277">
        <v>0.879</v>
      </c>
      <c r="BC277">
        <v>80.963194478237142</v>
      </c>
      <c r="BD277">
        <v>1.0078</v>
      </c>
      <c r="BE277">
        <v>81.594999999999999</v>
      </c>
      <c r="BF277">
        <v>8.9176000000000002</v>
      </c>
      <c r="BG277">
        <v>0.80400000000000005</v>
      </c>
      <c r="BH277">
        <v>6039.0430235999738</v>
      </c>
      <c r="BI277">
        <v>1</v>
      </c>
      <c r="BJ277">
        <v>6039.0429999999997</v>
      </c>
      <c r="BK277">
        <v>95.361871590000007</v>
      </c>
    </row>
    <row r="278" spans="1:63" x14ac:dyDescent="0.25">
      <c r="A278">
        <v>4412</v>
      </c>
      <c r="B278" t="s">
        <v>87</v>
      </c>
      <c r="C278">
        <v>2020</v>
      </c>
      <c r="D278">
        <v>1</v>
      </c>
      <c r="E278" t="s">
        <v>218</v>
      </c>
      <c r="F278" t="s">
        <v>260</v>
      </c>
      <c r="G278" t="s">
        <v>261</v>
      </c>
      <c r="H278" t="s">
        <v>17</v>
      </c>
      <c r="I278" t="s">
        <v>262</v>
      </c>
      <c r="J278" t="s">
        <v>222</v>
      </c>
      <c r="K278">
        <v>-155.78512362999999</v>
      </c>
      <c r="L278" t="s">
        <v>223</v>
      </c>
      <c r="M278" t="s">
        <v>230</v>
      </c>
      <c r="N278">
        <v>0.16047331440265999</v>
      </c>
      <c r="O278">
        <v>24.999355000000001</v>
      </c>
      <c r="P278" t="s">
        <v>21</v>
      </c>
      <c r="Q278">
        <v>1</v>
      </c>
      <c r="V278">
        <v>66303.072</v>
      </c>
      <c r="W278">
        <v>1</v>
      </c>
      <c r="X278">
        <v>1.2927647999999999E-5</v>
      </c>
      <c r="Y278">
        <v>0.85714299999999999</v>
      </c>
      <c r="Z278">
        <v>21.428021999999999</v>
      </c>
      <c r="AA278" t="s">
        <v>225</v>
      </c>
      <c r="AB278" t="s">
        <v>226</v>
      </c>
      <c r="AC278" t="s">
        <v>227</v>
      </c>
      <c r="AD278" t="s">
        <v>154</v>
      </c>
      <c r="AE278">
        <v>109.354</v>
      </c>
      <c r="AF278">
        <v>1.0727760310708341</v>
      </c>
      <c r="AG278">
        <v>117.31235010172</v>
      </c>
      <c r="AH278">
        <v>694.38</v>
      </c>
      <c r="AI278">
        <v>0.875</v>
      </c>
      <c r="AJ278">
        <v>71.276930955678296</v>
      </c>
      <c r="AK278">
        <v>1.0179</v>
      </c>
      <c r="AL278">
        <v>72.552999999999997</v>
      </c>
      <c r="AM278">
        <v>8.9176000000000002</v>
      </c>
      <c r="AN278">
        <v>9.5665875346772715</v>
      </c>
      <c r="AO278">
        <v>0.91300000000000003</v>
      </c>
      <c r="AP278">
        <v>6064.9193587765631</v>
      </c>
      <c r="AQ278">
        <v>0.98975009761811794</v>
      </c>
      <c r="AR278">
        <v>6002.7545</v>
      </c>
      <c r="AS278">
        <v>1554.667280166</v>
      </c>
      <c r="AT278" t="s">
        <v>269</v>
      </c>
      <c r="AU278" t="s">
        <v>270</v>
      </c>
      <c r="AV278" t="s">
        <v>227</v>
      </c>
      <c r="AW278" t="s">
        <v>154</v>
      </c>
      <c r="AX278">
        <v>109.354</v>
      </c>
      <c r="AY278">
        <v>1.080821157758461</v>
      </c>
      <c r="AZ278">
        <v>118.1921168855188</v>
      </c>
      <c r="BA278">
        <v>779.31</v>
      </c>
      <c r="BB278">
        <v>0.879</v>
      </c>
      <c r="BC278">
        <v>80.963194478237142</v>
      </c>
      <c r="BD278">
        <v>0.9899</v>
      </c>
      <c r="BE278">
        <v>80.144999999999996</v>
      </c>
      <c r="BF278">
        <v>8.9176000000000002</v>
      </c>
      <c r="BG278">
        <v>0.80400000000000005</v>
      </c>
      <c r="BH278">
        <v>6039.0430235999738</v>
      </c>
      <c r="BI278">
        <v>0.99199531433033972</v>
      </c>
      <c r="BJ278">
        <v>5990.7024000000001</v>
      </c>
      <c r="BK278">
        <v>1717.3488231900001</v>
      </c>
    </row>
    <row r="279" spans="1:63" x14ac:dyDescent="0.25">
      <c r="A279">
        <v>4414</v>
      </c>
      <c r="B279" t="s">
        <v>87</v>
      </c>
      <c r="C279">
        <v>2020</v>
      </c>
      <c r="D279">
        <v>1</v>
      </c>
      <c r="E279" t="s">
        <v>218</v>
      </c>
      <c r="F279" t="s">
        <v>260</v>
      </c>
      <c r="G279" t="s">
        <v>261</v>
      </c>
      <c r="H279" t="s">
        <v>17</v>
      </c>
      <c r="I279" t="s">
        <v>262</v>
      </c>
      <c r="J279" t="s">
        <v>222</v>
      </c>
      <c r="K279">
        <v>-155.78512362999999</v>
      </c>
      <c r="L279" t="s">
        <v>223</v>
      </c>
      <c r="M279" t="s">
        <v>231</v>
      </c>
      <c r="N279">
        <v>4.5018334813739999E-2</v>
      </c>
      <c r="O279">
        <v>7.0131870000000003</v>
      </c>
      <c r="P279" t="s">
        <v>21</v>
      </c>
      <c r="Q279">
        <v>1</v>
      </c>
      <c r="V279">
        <v>66303.072</v>
      </c>
      <c r="W279">
        <v>1</v>
      </c>
      <c r="X279">
        <v>1.2927647999999999E-5</v>
      </c>
      <c r="Y279">
        <v>0.85714299999999999</v>
      </c>
      <c r="Z279">
        <v>6.011304</v>
      </c>
      <c r="AA279" t="s">
        <v>225</v>
      </c>
      <c r="AB279" t="s">
        <v>226</v>
      </c>
      <c r="AC279" t="s">
        <v>227</v>
      </c>
      <c r="AD279" t="s">
        <v>100</v>
      </c>
      <c r="AE279">
        <v>109.354</v>
      </c>
      <c r="AF279">
        <v>1.0727760310708341</v>
      </c>
      <c r="AG279">
        <v>117.31235010172</v>
      </c>
      <c r="AH279">
        <v>694.38</v>
      </c>
      <c r="AI279">
        <v>0.875</v>
      </c>
      <c r="AJ279">
        <v>71.276930955678296</v>
      </c>
      <c r="AK279">
        <v>0.96660000000000001</v>
      </c>
      <c r="AL279">
        <v>68.896000000000001</v>
      </c>
      <c r="AM279">
        <v>8.9176000000000002</v>
      </c>
      <c r="AN279">
        <v>9.5665875346772715</v>
      </c>
      <c r="AO279">
        <v>0.91300000000000003</v>
      </c>
      <c r="AP279">
        <v>6064.9193587765631</v>
      </c>
      <c r="AQ279">
        <v>0.98316430020283985</v>
      </c>
      <c r="AR279">
        <v>5962.8122000000003</v>
      </c>
      <c r="AS279">
        <v>414.154800384</v>
      </c>
      <c r="AT279" t="s">
        <v>269</v>
      </c>
      <c r="AU279" t="s">
        <v>270</v>
      </c>
      <c r="AV279" t="s">
        <v>227</v>
      </c>
      <c r="AW279" t="s">
        <v>100</v>
      </c>
      <c r="AX279">
        <v>109.354</v>
      </c>
      <c r="AY279">
        <v>1.080821157758461</v>
      </c>
      <c r="AZ279">
        <v>118.1921168855188</v>
      </c>
      <c r="BA279">
        <v>779.31</v>
      </c>
      <c r="BB279">
        <v>0.879</v>
      </c>
      <c r="BC279">
        <v>80.963194478237142</v>
      </c>
      <c r="BD279">
        <v>0.96560000000000001</v>
      </c>
      <c r="BE279">
        <v>78.177999999999997</v>
      </c>
      <c r="BF279">
        <v>8.9176000000000002</v>
      </c>
      <c r="BG279">
        <v>0.80400000000000005</v>
      </c>
      <c r="BH279">
        <v>6039.0430235999738</v>
      </c>
      <c r="BI279">
        <v>0.98955375253549693</v>
      </c>
      <c r="BJ279">
        <v>5975.9576999999999</v>
      </c>
      <c r="BK279">
        <v>469.95172411200002</v>
      </c>
    </row>
    <row r="280" spans="1:63" x14ac:dyDescent="0.25">
      <c r="A280">
        <v>4416</v>
      </c>
      <c r="B280" t="s">
        <v>87</v>
      </c>
      <c r="C280">
        <v>2020</v>
      </c>
      <c r="D280">
        <v>1</v>
      </c>
      <c r="E280" t="s">
        <v>218</v>
      </c>
      <c r="F280" t="s">
        <v>260</v>
      </c>
      <c r="G280" t="s">
        <v>261</v>
      </c>
      <c r="H280" t="s">
        <v>17</v>
      </c>
      <c r="I280" t="s">
        <v>262</v>
      </c>
      <c r="J280" t="s">
        <v>222</v>
      </c>
      <c r="K280">
        <v>-155.78512362999999</v>
      </c>
      <c r="L280" t="s">
        <v>223</v>
      </c>
      <c r="M280" t="s">
        <v>232</v>
      </c>
      <c r="N280">
        <v>0.87398007306502001</v>
      </c>
      <c r="O280">
        <v>136.15309400000001</v>
      </c>
      <c r="P280" t="s">
        <v>21</v>
      </c>
      <c r="Q280">
        <v>1</v>
      </c>
      <c r="V280">
        <v>66303.072</v>
      </c>
      <c r="W280">
        <v>1</v>
      </c>
      <c r="X280">
        <v>1.2927647999999999E-5</v>
      </c>
      <c r="Y280">
        <v>0.85714299999999999</v>
      </c>
      <c r="Z280">
        <v>116.702671</v>
      </c>
      <c r="AA280" t="s">
        <v>225</v>
      </c>
      <c r="AB280" t="s">
        <v>226</v>
      </c>
      <c r="AC280" t="s">
        <v>227</v>
      </c>
      <c r="AD280" t="s">
        <v>101</v>
      </c>
      <c r="AE280">
        <v>109.354</v>
      </c>
      <c r="AF280">
        <v>1.0727760310708341</v>
      </c>
      <c r="AG280">
        <v>117.31235010172</v>
      </c>
      <c r="AH280">
        <v>694.38</v>
      </c>
      <c r="AI280">
        <v>0.875</v>
      </c>
      <c r="AJ280">
        <v>71.276930955678296</v>
      </c>
      <c r="AK280">
        <v>1.0077</v>
      </c>
      <c r="AL280">
        <v>71.825999999999993</v>
      </c>
      <c r="AM280">
        <v>8.9176000000000002</v>
      </c>
      <c r="AN280">
        <v>9.5665875346772715</v>
      </c>
      <c r="AO280">
        <v>0.91300000000000003</v>
      </c>
      <c r="AP280">
        <v>6064.9193587765631</v>
      </c>
      <c r="AQ280">
        <v>1.0255267423014589</v>
      </c>
      <c r="AR280">
        <v>6219.7370000000001</v>
      </c>
      <c r="AS280">
        <v>8382.2860472459997</v>
      </c>
      <c r="AT280" t="s">
        <v>269</v>
      </c>
      <c r="AU280" t="s">
        <v>270</v>
      </c>
      <c r="AV280" t="s">
        <v>227</v>
      </c>
      <c r="AW280" t="s">
        <v>101</v>
      </c>
      <c r="AX280">
        <v>109.354</v>
      </c>
      <c r="AY280">
        <v>1.080821157758461</v>
      </c>
      <c r="AZ280">
        <v>118.1921168855188</v>
      </c>
      <c r="BA280">
        <v>779.31</v>
      </c>
      <c r="BB280">
        <v>0.879</v>
      </c>
      <c r="BC280">
        <v>80.963194478237142</v>
      </c>
      <c r="BD280">
        <v>1.0097</v>
      </c>
      <c r="BE280">
        <v>81.748999999999995</v>
      </c>
      <c r="BF280">
        <v>8.9176000000000002</v>
      </c>
      <c r="BG280">
        <v>0.80400000000000005</v>
      </c>
      <c r="BH280">
        <v>6039.0430235999738</v>
      </c>
      <c r="BI280">
        <v>1.0276539708265799</v>
      </c>
      <c r="BJ280">
        <v>6206.0465000000004</v>
      </c>
      <c r="BK280">
        <v>9540.3266515789983</v>
      </c>
    </row>
    <row r="281" spans="1:63" x14ac:dyDescent="0.25">
      <c r="A281">
        <v>2202</v>
      </c>
      <c r="B281" t="s">
        <v>87</v>
      </c>
      <c r="C281">
        <v>2020</v>
      </c>
      <c r="D281">
        <v>1</v>
      </c>
      <c r="E281" t="s">
        <v>218</v>
      </c>
      <c r="F281" t="s">
        <v>260</v>
      </c>
      <c r="G281" t="s">
        <v>261</v>
      </c>
      <c r="H281" t="s">
        <v>17</v>
      </c>
      <c r="I281" t="s">
        <v>263</v>
      </c>
      <c r="J281" t="s">
        <v>234</v>
      </c>
      <c r="K281">
        <v>-627.52676477</v>
      </c>
      <c r="L281" t="s">
        <v>234</v>
      </c>
      <c r="M281" t="s">
        <v>224</v>
      </c>
      <c r="N281">
        <v>8.5771088379299996E-3</v>
      </c>
      <c r="O281">
        <v>5.3823650000000001</v>
      </c>
      <c r="P281" t="s">
        <v>21</v>
      </c>
      <c r="Q281">
        <v>1</v>
      </c>
      <c r="V281">
        <v>66303.072</v>
      </c>
      <c r="W281">
        <v>1</v>
      </c>
      <c r="X281">
        <v>1.2927647999999999E-5</v>
      </c>
      <c r="Y281">
        <v>0.85714299999999999</v>
      </c>
      <c r="Z281">
        <v>4.6134560000000002</v>
      </c>
      <c r="AA281" t="s">
        <v>225</v>
      </c>
      <c r="AB281" t="s">
        <v>226</v>
      </c>
      <c r="AC281" t="s">
        <v>227</v>
      </c>
      <c r="AD281" t="s">
        <v>153</v>
      </c>
      <c r="AE281">
        <v>109.354</v>
      </c>
      <c r="AF281">
        <v>1.0727760310708341</v>
      </c>
      <c r="AG281">
        <v>117.31235010172</v>
      </c>
      <c r="AH281">
        <v>694.38</v>
      </c>
      <c r="AI281">
        <v>0.875</v>
      </c>
      <c r="AJ281">
        <v>71.276930955678296</v>
      </c>
      <c r="AK281">
        <v>1.0034000000000001</v>
      </c>
      <c r="AL281">
        <v>71.519000000000005</v>
      </c>
      <c r="AM281">
        <v>8.9176000000000002</v>
      </c>
      <c r="AN281">
        <v>9.5665875346772715</v>
      </c>
      <c r="AO281">
        <v>0.91300000000000003</v>
      </c>
      <c r="AP281">
        <v>6064.9193587765631</v>
      </c>
      <c r="AQ281">
        <v>1</v>
      </c>
      <c r="AR281">
        <v>6064.9193999999998</v>
      </c>
      <c r="AS281">
        <v>329.94975966400011</v>
      </c>
      <c r="AT281" t="s">
        <v>269</v>
      </c>
      <c r="AU281" t="s">
        <v>270</v>
      </c>
      <c r="AV281" t="s">
        <v>227</v>
      </c>
      <c r="AW281" t="s">
        <v>153</v>
      </c>
      <c r="AX281">
        <v>109.354</v>
      </c>
      <c r="AY281">
        <v>1.080821157758461</v>
      </c>
      <c r="AZ281">
        <v>118.1921168855188</v>
      </c>
      <c r="BA281">
        <v>779.31</v>
      </c>
      <c r="BB281">
        <v>0.879</v>
      </c>
      <c r="BC281">
        <v>80.963194478237142</v>
      </c>
      <c r="BD281">
        <v>1.0078</v>
      </c>
      <c r="BE281">
        <v>81.594999999999999</v>
      </c>
      <c r="BF281">
        <v>8.9176000000000002</v>
      </c>
      <c r="BG281">
        <v>0.80400000000000005</v>
      </c>
      <c r="BH281">
        <v>6039.0430235999738</v>
      </c>
      <c r="BI281">
        <v>1</v>
      </c>
      <c r="BJ281">
        <v>6039.0429999999997</v>
      </c>
      <c r="BK281">
        <v>376.43494232</v>
      </c>
    </row>
    <row r="282" spans="1:63" x14ac:dyDescent="0.25">
      <c r="A282">
        <v>2204</v>
      </c>
      <c r="B282" t="s">
        <v>87</v>
      </c>
      <c r="C282">
        <v>2020</v>
      </c>
      <c r="D282">
        <v>1</v>
      </c>
      <c r="E282" t="s">
        <v>218</v>
      </c>
      <c r="F282" t="s">
        <v>260</v>
      </c>
      <c r="G282" t="s">
        <v>261</v>
      </c>
      <c r="H282" t="s">
        <v>17</v>
      </c>
      <c r="I282" t="s">
        <v>263</v>
      </c>
      <c r="J282" t="s">
        <v>234</v>
      </c>
      <c r="K282">
        <v>-627.52676477</v>
      </c>
      <c r="L282" t="s">
        <v>234</v>
      </c>
      <c r="M282" t="s">
        <v>235</v>
      </c>
      <c r="N282">
        <v>0.60124209651893001</v>
      </c>
      <c r="O282">
        <v>377.29550799999998</v>
      </c>
      <c r="P282" t="s">
        <v>21</v>
      </c>
      <c r="Q282">
        <v>1</v>
      </c>
      <c r="V282">
        <v>66303.072</v>
      </c>
      <c r="W282">
        <v>1</v>
      </c>
      <c r="X282">
        <v>1.2927647999999999E-5</v>
      </c>
      <c r="Y282">
        <v>0.85714299999999999</v>
      </c>
      <c r="Z282">
        <v>323.39620400000001</v>
      </c>
      <c r="AA282" t="s">
        <v>225</v>
      </c>
      <c r="AB282" t="s">
        <v>226</v>
      </c>
      <c r="AC282" t="s">
        <v>227</v>
      </c>
      <c r="AD282" t="s">
        <v>154</v>
      </c>
      <c r="AE282">
        <v>109.354</v>
      </c>
      <c r="AF282">
        <v>1.0727760310708341</v>
      </c>
      <c r="AG282">
        <v>117.31235010172</v>
      </c>
      <c r="AH282">
        <v>694.38</v>
      </c>
      <c r="AI282">
        <v>0.875</v>
      </c>
      <c r="AJ282">
        <v>71.276930955678296</v>
      </c>
      <c r="AK282">
        <v>1.0179</v>
      </c>
      <c r="AL282">
        <v>72.552999999999997</v>
      </c>
      <c r="AM282">
        <v>8.9176000000000002</v>
      </c>
      <c r="AN282">
        <v>9.5665875346772715</v>
      </c>
      <c r="AO282">
        <v>0.91300000000000003</v>
      </c>
      <c r="AP282">
        <v>6064.9193587765631</v>
      </c>
      <c r="AQ282">
        <v>0.98975009761811794</v>
      </c>
      <c r="AR282">
        <v>6002.7545</v>
      </c>
      <c r="AS282">
        <v>23463.364788811999</v>
      </c>
      <c r="AT282" t="s">
        <v>269</v>
      </c>
      <c r="AU282" t="s">
        <v>270</v>
      </c>
      <c r="AV282" t="s">
        <v>227</v>
      </c>
      <c r="AW282" t="s">
        <v>154</v>
      </c>
      <c r="AX282">
        <v>109.354</v>
      </c>
      <c r="AY282">
        <v>1.080821157758461</v>
      </c>
      <c r="AZ282">
        <v>118.1921168855188</v>
      </c>
      <c r="BA282">
        <v>779.31</v>
      </c>
      <c r="BB282">
        <v>0.879</v>
      </c>
      <c r="BC282">
        <v>80.963194478237142</v>
      </c>
      <c r="BD282">
        <v>0.9899</v>
      </c>
      <c r="BE282">
        <v>80.144999999999996</v>
      </c>
      <c r="BF282">
        <v>8.9176000000000002</v>
      </c>
      <c r="BG282">
        <v>0.80400000000000005</v>
      </c>
      <c r="BH282">
        <v>6039.0430235999738</v>
      </c>
      <c r="BI282">
        <v>0.99199531433033972</v>
      </c>
      <c r="BJ282">
        <v>5990.7024000000001</v>
      </c>
      <c r="BK282">
        <v>25918.588769580001</v>
      </c>
    </row>
    <row r="283" spans="1:63" x14ac:dyDescent="0.25">
      <c r="A283">
        <v>2206</v>
      </c>
      <c r="B283" t="s">
        <v>87</v>
      </c>
      <c r="C283">
        <v>2020</v>
      </c>
      <c r="D283">
        <v>1</v>
      </c>
      <c r="E283" t="s">
        <v>218</v>
      </c>
      <c r="F283" t="s">
        <v>260</v>
      </c>
      <c r="G283" t="s">
        <v>261</v>
      </c>
      <c r="H283" t="s">
        <v>17</v>
      </c>
      <c r="I283" t="s">
        <v>263</v>
      </c>
      <c r="J283" t="s">
        <v>234</v>
      </c>
      <c r="K283">
        <v>-627.52676477</v>
      </c>
      <c r="L283" t="s">
        <v>234</v>
      </c>
      <c r="M283" t="s">
        <v>236</v>
      </c>
      <c r="N283">
        <v>1.9808691721710001E-2</v>
      </c>
      <c r="O283">
        <v>12.430484</v>
      </c>
      <c r="P283" t="s">
        <v>21</v>
      </c>
      <c r="Q283">
        <v>1</v>
      </c>
      <c r="V283">
        <v>66303.072</v>
      </c>
      <c r="W283">
        <v>1</v>
      </c>
      <c r="X283">
        <v>1.2927647999999999E-5</v>
      </c>
      <c r="Y283">
        <v>0.85714299999999999</v>
      </c>
      <c r="Z283">
        <v>10.654702</v>
      </c>
      <c r="AA283" t="s">
        <v>225</v>
      </c>
      <c r="AB283" t="s">
        <v>226</v>
      </c>
      <c r="AC283" t="s">
        <v>227</v>
      </c>
      <c r="AD283" t="s">
        <v>100</v>
      </c>
      <c r="AE283">
        <v>109.354</v>
      </c>
      <c r="AF283">
        <v>1.0727760310708341</v>
      </c>
      <c r="AG283">
        <v>117.31235010172</v>
      </c>
      <c r="AH283">
        <v>694.38</v>
      </c>
      <c r="AI283">
        <v>0.875</v>
      </c>
      <c r="AJ283">
        <v>71.276930955678296</v>
      </c>
      <c r="AK283">
        <v>0.96660000000000001</v>
      </c>
      <c r="AL283">
        <v>68.896000000000001</v>
      </c>
      <c r="AM283">
        <v>8.9176000000000002</v>
      </c>
      <c r="AN283">
        <v>9.5665875346772715</v>
      </c>
      <c r="AO283">
        <v>0.91300000000000003</v>
      </c>
      <c r="AP283">
        <v>6064.9193587765631</v>
      </c>
      <c r="AQ283">
        <v>0.98316430020283985</v>
      </c>
      <c r="AR283">
        <v>5962.8122000000003</v>
      </c>
      <c r="AS283">
        <v>734.06634899200003</v>
      </c>
      <c r="AT283" t="s">
        <v>269</v>
      </c>
      <c r="AU283" t="s">
        <v>270</v>
      </c>
      <c r="AV283" t="s">
        <v>227</v>
      </c>
      <c r="AW283" t="s">
        <v>100</v>
      </c>
      <c r="AX283">
        <v>109.354</v>
      </c>
      <c r="AY283">
        <v>1.080821157758461</v>
      </c>
      <c r="AZ283">
        <v>118.1921168855188</v>
      </c>
      <c r="BA283">
        <v>779.31</v>
      </c>
      <c r="BB283">
        <v>0.879</v>
      </c>
      <c r="BC283">
        <v>80.963194478237142</v>
      </c>
      <c r="BD283">
        <v>0.96560000000000001</v>
      </c>
      <c r="BE283">
        <v>78.177999999999997</v>
      </c>
      <c r="BF283">
        <v>8.9176000000000002</v>
      </c>
      <c r="BG283">
        <v>0.80400000000000005</v>
      </c>
      <c r="BH283">
        <v>6039.0430235999738</v>
      </c>
      <c r="BI283">
        <v>0.98955375253549693</v>
      </c>
      <c r="BJ283">
        <v>5975.9576999999999</v>
      </c>
      <c r="BK283">
        <v>832.96329295600003</v>
      </c>
    </row>
    <row r="284" spans="1:63" x14ac:dyDescent="0.25">
      <c r="A284">
        <v>2208</v>
      </c>
      <c r="B284" t="s">
        <v>87</v>
      </c>
      <c r="C284">
        <v>2020</v>
      </c>
      <c r="D284">
        <v>1</v>
      </c>
      <c r="E284" t="s">
        <v>218</v>
      </c>
      <c r="F284" t="s">
        <v>260</v>
      </c>
      <c r="G284" t="s">
        <v>261</v>
      </c>
      <c r="H284" t="s">
        <v>17</v>
      </c>
      <c r="I284" t="s">
        <v>263</v>
      </c>
      <c r="J284" t="s">
        <v>234</v>
      </c>
      <c r="K284">
        <v>-627.52676477</v>
      </c>
      <c r="L284" t="s">
        <v>234</v>
      </c>
      <c r="M284" t="s">
        <v>237</v>
      </c>
      <c r="N284">
        <v>0.39660634608572998</v>
      </c>
      <c r="O284">
        <v>248.88109700000001</v>
      </c>
      <c r="P284" t="s">
        <v>21</v>
      </c>
      <c r="Q284">
        <v>1</v>
      </c>
      <c r="V284">
        <v>66303.072</v>
      </c>
      <c r="W284">
        <v>1</v>
      </c>
      <c r="X284">
        <v>1.2927647999999999E-5</v>
      </c>
      <c r="Y284">
        <v>0.85714299999999999</v>
      </c>
      <c r="Z284">
        <v>213.32669000000001</v>
      </c>
      <c r="AA284" t="s">
        <v>225</v>
      </c>
      <c r="AB284" t="s">
        <v>226</v>
      </c>
      <c r="AC284" t="s">
        <v>227</v>
      </c>
      <c r="AD284" t="s">
        <v>101</v>
      </c>
      <c r="AE284">
        <v>109.354</v>
      </c>
      <c r="AF284">
        <v>1.0727760310708341</v>
      </c>
      <c r="AG284">
        <v>117.31235010172</v>
      </c>
      <c r="AH284">
        <v>694.38</v>
      </c>
      <c r="AI284">
        <v>0.875</v>
      </c>
      <c r="AJ284">
        <v>71.276930955678296</v>
      </c>
      <c r="AK284">
        <v>1.0077</v>
      </c>
      <c r="AL284">
        <v>71.825999999999993</v>
      </c>
      <c r="AM284">
        <v>8.9176000000000002</v>
      </c>
      <c r="AN284">
        <v>9.5665875346772715</v>
      </c>
      <c r="AO284">
        <v>0.91300000000000003</v>
      </c>
      <c r="AP284">
        <v>6064.9193587765631</v>
      </c>
      <c r="AQ284">
        <v>1.0255267423014589</v>
      </c>
      <c r="AR284">
        <v>6219.7370000000001</v>
      </c>
      <c r="AS284">
        <v>15322.40283594</v>
      </c>
      <c r="AT284" t="s">
        <v>269</v>
      </c>
      <c r="AU284" t="s">
        <v>270</v>
      </c>
      <c r="AV284" t="s">
        <v>227</v>
      </c>
      <c r="AW284" t="s">
        <v>101</v>
      </c>
      <c r="AX284">
        <v>109.354</v>
      </c>
      <c r="AY284">
        <v>1.080821157758461</v>
      </c>
      <c r="AZ284">
        <v>118.1921168855188</v>
      </c>
      <c r="BA284">
        <v>779.31</v>
      </c>
      <c r="BB284">
        <v>0.879</v>
      </c>
      <c r="BC284">
        <v>80.963194478237142</v>
      </c>
      <c r="BD284">
        <v>1.0097</v>
      </c>
      <c r="BE284">
        <v>81.748999999999995</v>
      </c>
      <c r="BF284">
        <v>8.9176000000000002</v>
      </c>
      <c r="BG284">
        <v>0.80400000000000005</v>
      </c>
      <c r="BH284">
        <v>6039.0430235999738</v>
      </c>
      <c r="BI284">
        <v>1.0276539708265799</v>
      </c>
      <c r="BJ284">
        <v>6206.0465000000004</v>
      </c>
      <c r="BK284">
        <v>17439.243580810002</v>
      </c>
    </row>
    <row r="285" spans="1:63" x14ac:dyDescent="0.25">
      <c r="A285">
        <v>2202</v>
      </c>
      <c r="B285" t="s">
        <v>87</v>
      </c>
      <c r="C285">
        <v>2020</v>
      </c>
      <c r="D285">
        <v>1</v>
      </c>
      <c r="E285" t="s">
        <v>218</v>
      </c>
      <c r="F285" t="s">
        <v>260</v>
      </c>
      <c r="G285" t="s">
        <v>261</v>
      </c>
      <c r="H285" t="s">
        <v>17</v>
      </c>
      <c r="I285" t="s">
        <v>264</v>
      </c>
      <c r="J285" t="s">
        <v>239</v>
      </c>
      <c r="K285">
        <v>-117.93786647</v>
      </c>
      <c r="L285" t="s">
        <v>240</v>
      </c>
      <c r="M285" t="s">
        <v>224</v>
      </c>
      <c r="N285">
        <v>1.1109205873409999E-2</v>
      </c>
      <c r="O285">
        <v>1.3101959999999999</v>
      </c>
      <c r="P285" t="s">
        <v>21</v>
      </c>
      <c r="Q285">
        <v>1</v>
      </c>
      <c r="V285">
        <v>66303.072</v>
      </c>
      <c r="W285">
        <v>1</v>
      </c>
      <c r="X285">
        <v>1.2927647999999999E-5</v>
      </c>
      <c r="Y285">
        <v>0.85714299999999999</v>
      </c>
      <c r="Z285">
        <v>1.1230249999999999</v>
      </c>
      <c r="AA285" t="s">
        <v>225</v>
      </c>
      <c r="AB285" t="s">
        <v>226</v>
      </c>
      <c r="AC285" t="s">
        <v>227</v>
      </c>
      <c r="AD285" t="s">
        <v>153</v>
      </c>
      <c r="AE285">
        <v>109.354</v>
      </c>
      <c r="AF285">
        <v>1.0727760310708341</v>
      </c>
      <c r="AG285">
        <v>117.31235010172</v>
      </c>
      <c r="AH285">
        <v>694.38</v>
      </c>
      <c r="AI285">
        <v>0.875</v>
      </c>
      <c r="AJ285">
        <v>71.276930955678296</v>
      </c>
      <c r="AK285">
        <v>1.0034000000000001</v>
      </c>
      <c r="AL285">
        <v>71.519000000000005</v>
      </c>
      <c r="AM285">
        <v>8.9176000000000002</v>
      </c>
      <c r="AN285">
        <v>9.5665875346772715</v>
      </c>
      <c r="AO285">
        <v>0.91300000000000003</v>
      </c>
      <c r="AP285">
        <v>6064.9193587765631</v>
      </c>
      <c r="AQ285">
        <v>1</v>
      </c>
      <c r="AR285">
        <v>6064.9193999999998</v>
      </c>
      <c r="AS285">
        <v>80.317624975000001</v>
      </c>
      <c r="AT285" t="s">
        <v>269</v>
      </c>
      <c r="AU285" t="s">
        <v>270</v>
      </c>
      <c r="AV285" t="s">
        <v>227</v>
      </c>
      <c r="AW285" t="s">
        <v>153</v>
      </c>
      <c r="AX285">
        <v>109.354</v>
      </c>
      <c r="AY285">
        <v>1.080821157758461</v>
      </c>
      <c r="AZ285">
        <v>118.1921168855188</v>
      </c>
      <c r="BA285">
        <v>779.31</v>
      </c>
      <c r="BB285">
        <v>0.879</v>
      </c>
      <c r="BC285">
        <v>80.963194478237142</v>
      </c>
      <c r="BD285">
        <v>1.0078</v>
      </c>
      <c r="BE285">
        <v>81.594999999999999</v>
      </c>
      <c r="BF285">
        <v>8.9176000000000002</v>
      </c>
      <c r="BG285">
        <v>0.80400000000000005</v>
      </c>
      <c r="BH285">
        <v>6039.0430235999738</v>
      </c>
      <c r="BI285">
        <v>1</v>
      </c>
      <c r="BJ285">
        <v>6039.0429999999997</v>
      </c>
      <c r="BK285">
        <v>91.633224874999996</v>
      </c>
    </row>
    <row r="286" spans="1:63" x14ac:dyDescent="0.25">
      <c r="A286">
        <v>2204</v>
      </c>
      <c r="B286" t="s">
        <v>87</v>
      </c>
      <c r="C286">
        <v>2020</v>
      </c>
      <c r="D286">
        <v>1</v>
      </c>
      <c r="E286" t="s">
        <v>218</v>
      </c>
      <c r="F286" t="s">
        <v>260</v>
      </c>
      <c r="G286" t="s">
        <v>261</v>
      </c>
      <c r="H286" t="s">
        <v>17</v>
      </c>
      <c r="I286" t="s">
        <v>264</v>
      </c>
      <c r="J286" t="s">
        <v>239</v>
      </c>
      <c r="K286">
        <v>-117.93786647</v>
      </c>
      <c r="L286" t="s">
        <v>240</v>
      </c>
      <c r="M286" t="s">
        <v>235</v>
      </c>
      <c r="N286">
        <v>0.58148407621825005</v>
      </c>
      <c r="O286">
        <v>68.578991000000002</v>
      </c>
      <c r="P286" t="s">
        <v>21</v>
      </c>
      <c r="Q286">
        <v>1</v>
      </c>
      <c r="V286">
        <v>66303.072</v>
      </c>
      <c r="W286">
        <v>1</v>
      </c>
      <c r="X286">
        <v>1.2927647999999999E-5</v>
      </c>
      <c r="Y286">
        <v>0.85714299999999999</v>
      </c>
      <c r="Z286">
        <v>58.782001999999999</v>
      </c>
      <c r="AA286" t="s">
        <v>225</v>
      </c>
      <c r="AB286" t="s">
        <v>226</v>
      </c>
      <c r="AC286" t="s">
        <v>227</v>
      </c>
      <c r="AD286" t="s">
        <v>154</v>
      </c>
      <c r="AE286">
        <v>109.354</v>
      </c>
      <c r="AF286">
        <v>1.0727760310708341</v>
      </c>
      <c r="AG286">
        <v>117.31235010172</v>
      </c>
      <c r="AH286">
        <v>694.38</v>
      </c>
      <c r="AI286">
        <v>0.875</v>
      </c>
      <c r="AJ286">
        <v>71.276930955678296</v>
      </c>
      <c r="AK286">
        <v>1.0179</v>
      </c>
      <c r="AL286">
        <v>72.552999999999997</v>
      </c>
      <c r="AM286">
        <v>8.9176000000000002</v>
      </c>
      <c r="AN286">
        <v>9.5665875346772715</v>
      </c>
      <c r="AO286">
        <v>0.91300000000000003</v>
      </c>
      <c r="AP286">
        <v>6064.9193587765631</v>
      </c>
      <c r="AQ286">
        <v>0.98975009761811794</v>
      </c>
      <c r="AR286">
        <v>6002.7545</v>
      </c>
      <c r="AS286">
        <v>4264.8105911060002</v>
      </c>
      <c r="AT286" t="s">
        <v>269</v>
      </c>
      <c r="AU286" t="s">
        <v>270</v>
      </c>
      <c r="AV286" t="s">
        <v>227</v>
      </c>
      <c r="AW286" t="s">
        <v>154</v>
      </c>
      <c r="AX286">
        <v>109.354</v>
      </c>
      <c r="AY286">
        <v>1.080821157758461</v>
      </c>
      <c r="AZ286">
        <v>118.1921168855188</v>
      </c>
      <c r="BA286">
        <v>779.31</v>
      </c>
      <c r="BB286">
        <v>0.879</v>
      </c>
      <c r="BC286">
        <v>80.963194478237142</v>
      </c>
      <c r="BD286">
        <v>0.9899</v>
      </c>
      <c r="BE286">
        <v>80.144999999999996</v>
      </c>
      <c r="BF286">
        <v>8.9176000000000002</v>
      </c>
      <c r="BG286">
        <v>0.80400000000000005</v>
      </c>
      <c r="BH286">
        <v>6039.0430235999738</v>
      </c>
      <c r="BI286">
        <v>0.99199531433033972</v>
      </c>
      <c r="BJ286">
        <v>5990.7024000000001</v>
      </c>
      <c r="BK286">
        <v>4711.0835502899999</v>
      </c>
    </row>
    <row r="287" spans="1:63" x14ac:dyDescent="0.25">
      <c r="A287">
        <v>2206</v>
      </c>
      <c r="B287" t="s">
        <v>87</v>
      </c>
      <c r="C287">
        <v>2020</v>
      </c>
      <c r="D287">
        <v>1</v>
      </c>
      <c r="E287" t="s">
        <v>218</v>
      </c>
      <c r="F287" t="s">
        <v>260</v>
      </c>
      <c r="G287" t="s">
        <v>261</v>
      </c>
      <c r="H287" t="s">
        <v>17</v>
      </c>
      <c r="I287" t="s">
        <v>264</v>
      </c>
      <c r="J287" t="s">
        <v>239</v>
      </c>
      <c r="K287">
        <v>-117.93786647</v>
      </c>
      <c r="L287" t="s">
        <v>240</v>
      </c>
      <c r="M287" t="s">
        <v>236</v>
      </c>
      <c r="N287">
        <v>1.8083569973560001E-2</v>
      </c>
      <c r="O287">
        <v>2.1327379999999998</v>
      </c>
      <c r="P287" t="s">
        <v>21</v>
      </c>
      <c r="Q287">
        <v>1</v>
      </c>
      <c r="V287">
        <v>66303.072</v>
      </c>
      <c r="W287">
        <v>1</v>
      </c>
      <c r="X287">
        <v>1.2927647999999999E-5</v>
      </c>
      <c r="Y287">
        <v>0.85714299999999999</v>
      </c>
      <c r="Z287">
        <v>1.8280609999999999</v>
      </c>
      <c r="AA287" t="s">
        <v>225</v>
      </c>
      <c r="AB287" t="s">
        <v>226</v>
      </c>
      <c r="AC287" t="s">
        <v>227</v>
      </c>
      <c r="AD287" t="s">
        <v>100</v>
      </c>
      <c r="AE287">
        <v>109.354</v>
      </c>
      <c r="AF287">
        <v>1.0727760310708341</v>
      </c>
      <c r="AG287">
        <v>117.31235010172</v>
      </c>
      <c r="AH287">
        <v>694.38</v>
      </c>
      <c r="AI287">
        <v>0.875</v>
      </c>
      <c r="AJ287">
        <v>71.276930955678296</v>
      </c>
      <c r="AK287">
        <v>0.96660000000000001</v>
      </c>
      <c r="AL287">
        <v>68.896000000000001</v>
      </c>
      <c r="AM287">
        <v>8.9176000000000002</v>
      </c>
      <c r="AN287">
        <v>9.5665875346772715</v>
      </c>
      <c r="AO287">
        <v>0.91300000000000003</v>
      </c>
      <c r="AP287">
        <v>6064.9193587765631</v>
      </c>
      <c r="AQ287">
        <v>0.98316430020283985</v>
      </c>
      <c r="AR287">
        <v>5962.8122000000003</v>
      </c>
      <c r="AS287">
        <v>125.946090656</v>
      </c>
      <c r="AT287" t="s">
        <v>269</v>
      </c>
      <c r="AU287" t="s">
        <v>270</v>
      </c>
      <c r="AV287" t="s">
        <v>227</v>
      </c>
      <c r="AW287" t="s">
        <v>100</v>
      </c>
      <c r="AX287">
        <v>109.354</v>
      </c>
      <c r="AY287">
        <v>1.080821157758461</v>
      </c>
      <c r="AZ287">
        <v>118.1921168855188</v>
      </c>
      <c r="BA287">
        <v>779.31</v>
      </c>
      <c r="BB287">
        <v>0.879</v>
      </c>
      <c r="BC287">
        <v>80.963194478237142</v>
      </c>
      <c r="BD287">
        <v>0.96560000000000001</v>
      </c>
      <c r="BE287">
        <v>78.177999999999997</v>
      </c>
      <c r="BF287">
        <v>8.9176000000000002</v>
      </c>
      <c r="BG287">
        <v>0.80400000000000005</v>
      </c>
      <c r="BH287">
        <v>6039.0430235999738</v>
      </c>
      <c r="BI287">
        <v>0.98955375253549693</v>
      </c>
      <c r="BJ287">
        <v>5975.9576999999999</v>
      </c>
      <c r="BK287">
        <v>142.91415285799999</v>
      </c>
    </row>
    <row r="288" spans="1:63" x14ac:dyDescent="0.25">
      <c r="A288">
        <v>2208</v>
      </c>
      <c r="B288" t="s">
        <v>87</v>
      </c>
      <c r="C288">
        <v>2020</v>
      </c>
      <c r="D288">
        <v>1</v>
      </c>
      <c r="E288" t="s">
        <v>218</v>
      </c>
      <c r="F288" t="s">
        <v>260</v>
      </c>
      <c r="G288" t="s">
        <v>261</v>
      </c>
      <c r="H288" t="s">
        <v>17</v>
      </c>
      <c r="I288" t="s">
        <v>264</v>
      </c>
      <c r="J288" t="s">
        <v>239</v>
      </c>
      <c r="K288">
        <v>-117.93786647</v>
      </c>
      <c r="L288" t="s">
        <v>240</v>
      </c>
      <c r="M288" t="s">
        <v>237</v>
      </c>
      <c r="N288">
        <v>0.41680683696206</v>
      </c>
      <c r="O288">
        <v>49.157308999999998</v>
      </c>
      <c r="P288" t="s">
        <v>21</v>
      </c>
      <c r="Q288">
        <v>1</v>
      </c>
      <c r="V288">
        <v>66303.072</v>
      </c>
      <c r="W288">
        <v>1</v>
      </c>
      <c r="X288">
        <v>1.2927647999999999E-5</v>
      </c>
      <c r="Y288">
        <v>0.85714299999999999</v>
      </c>
      <c r="Z288">
        <v>42.134842999999996</v>
      </c>
      <c r="AA288" t="s">
        <v>225</v>
      </c>
      <c r="AB288" t="s">
        <v>226</v>
      </c>
      <c r="AC288" t="s">
        <v>227</v>
      </c>
      <c r="AD288" t="s">
        <v>101</v>
      </c>
      <c r="AE288">
        <v>109.354</v>
      </c>
      <c r="AF288">
        <v>1.0727760310708341</v>
      </c>
      <c r="AG288">
        <v>117.31235010172</v>
      </c>
      <c r="AH288">
        <v>694.38</v>
      </c>
      <c r="AI288">
        <v>0.875</v>
      </c>
      <c r="AJ288">
        <v>71.276930955678296</v>
      </c>
      <c r="AK288">
        <v>1.0077</v>
      </c>
      <c r="AL288">
        <v>71.825999999999993</v>
      </c>
      <c r="AM288">
        <v>8.9176000000000002</v>
      </c>
      <c r="AN288">
        <v>9.5665875346772715</v>
      </c>
      <c r="AO288">
        <v>0.91300000000000003</v>
      </c>
      <c r="AP288">
        <v>6064.9193587765631</v>
      </c>
      <c r="AQ288">
        <v>1.0255267423014589</v>
      </c>
      <c r="AR288">
        <v>6219.7370000000001</v>
      </c>
      <c r="AS288">
        <v>3026.377233318</v>
      </c>
      <c r="AT288" t="s">
        <v>269</v>
      </c>
      <c r="AU288" t="s">
        <v>270</v>
      </c>
      <c r="AV288" t="s">
        <v>227</v>
      </c>
      <c r="AW288" t="s">
        <v>101</v>
      </c>
      <c r="AX288">
        <v>109.354</v>
      </c>
      <c r="AY288">
        <v>1.080821157758461</v>
      </c>
      <c r="AZ288">
        <v>118.1921168855188</v>
      </c>
      <c r="BA288">
        <v>779.31</v>
      </c>
      <c r="BB288">
        <v>0.879</v>
      </c>
      <c r="BC288">
        <v>80.963194478237142</v>
      </c>
      <c r="BD288">
        <v>1.0097</v>
      </c>
      <c r="BE288">
        <v>81.748999999999995</v>
      </c>
      <c r="BF288">
        <v>8.9176000000000002</v>
      </c>
      <c r="BG288">
        <v>0.80400000000000005</v>
      </c>
      <c r="BH288">
        <v>6039.0430235999738</v>
      </c>
      <c r="BI288">
        <v>1.0276539708265799</v>
      </c>
      <c r="BJ288">
        <v>6206.0465000000004</v>
      </c>
      <c r="BK288">
        <v>3444.4812804069988</v>
      </c>
    </row>
    <row r="289" spans="1:63" x14ac:dyDescent="0.25">
      <c r="A289">
        <v>3308</v>
      </c>
      <c r="B289" t="s">
        <v>87</v>
      </c>
      <c r="C289">
        <v>2020</v>
      </c>
      <c r="D289">
        <v>1</v>
      </c>
      <c r="E289" t="s">
        <v>218</v>
      </c>
      <c r="F289" t="s">
        <v>260</v>
      </c>
      <c r="G289" t="s">
        <v>261</v>
      </c>
      <c r="H289" t="s">
        <v>17</v>
      </c>
      <c r="I289" t="s">
        <v>265</v>
      </c>
      <c r="J289" t="s">
        <v>242</v>
      </c>
      <c r="K289">
        <v>-44.910074880000003</v>
      </c>
      <c r="L289" t="s">
        <v>242</v>
      </c>
      <c r="M289" t="s">
        <v>235</v>
      </c>
      <c r="N289">
        <v>0.67001574769252004</v>
      </c>
      <c r="O289">
        <v>30.090457000000001</v>
      </c>
      <c r="P289" t="s">
        <v>21</v>
      </c>
      <c r="Q289">
        <v>1</v>
      </c>
      <c r="V289">
        <v>66303.072</v>
      </c>
      <c r="W289">
        <v>1</v>
      </c>
      <c r="X289">
        <v>1.2927647999999999E-5</v>
      </c>
      <c r="Y289">
        <v>0.85714299999999999</v>
      </c>
      <c r="Z289">
        <v>25.791824999999999</v>
      </c>
      <c r="AA289" t="s">
        <v>225</v>
      </c>
      <c r="AB289" t="s">
        <v>226</v>
      </c>
      <c r="AC289" t="s">
        <v>227</v>
      </c>
      <c r="AD289" t="s">
        <v>154</v>
      </c>
      <c r="AE289">
        <v>109.354</v>
      </c>
      <c r="AF289">
        <v>1.0727760310708341</v>
      </c>
      <c r="AG289">
        <v>117.31235010172</v>
      </c>
      <c r="AH289">
        <v>694.38</v>
      </c>
      <c r="AI289">
        <v>0.875</v>
      </c>
      <c r="AJ289">
        <v>71.276930955678296</v>
      </c>
      <c r="AK289">
        <v>1.0179</v>
      </c>
      <c r="AL289">
        <v>72.552999999999997</v>
      </c>
      <c r="AM289">
        <v>8.9176000000000002</v>
      </c>
      <c r="AN289">
        <v>9.5665875346772715</v>
      </c>
      <c r="AO289">
        <v>0.91300000000000003</v>
      </c>
      <c r="AP289">
        <v>6064.9193587765631</v>
      </c>
      <c r="AQ289">
        <v>0.98975009761811794</v>
      </c>
      <c r="AR289">
        <v>6002.7545</v>
      </c>
      <c r="AS289">
        <v>1871.2742792250001</v>
      </c>
      <c r="AT289" t="s">
        <v>269</v>
      </c>
      <c r="AU289" t="s">
        <v>270</v>
      </c>
      <c r="AV289" t="s">
        <v>227</v>
      </c>
      <c r="AW289" t="s">
        <v>154</v>
      </c>
      <c r="AX289">
        <v>109.354</v>
      </c>
      <c r="AY289">
        <v>1.080821157758461</v>
      </c>
      <c r="AZ289">
        <v>118.1921168855188</v>
      </c>
      <c r="BA289">
        <v>779.31</v>
      </c>
      <c r="BB289">
        <v>0.879</v>
      </c>
      <c r="BC289">
        <v>80.963194478237142</v>
      </c>
      <c r="BD289">
        <v>0.9899</v>
      </c>
      <c r="BE289">
        <v>80.144999999999996</v>
      </c>
      <c r="BF289">
        <v>8.9176000000000002</v>
      </c>
      <c r="BG289">
        <v>0.80400000000000005</v>
      </c>
      <c r="BH289">
        <v>6039.0430235999738</v>
      </c>
      <c r="BI289">
        <v>0.99199531433033972</v>
      </c>
      <c r="BJ289">
        <v>5990.7024000000001</v>
      </c>
      <c r="BK289">
        <v>2067.0858146249998</v>
      </c>
    </row>
    <row r="290" spans="1:63" x14ac:dyDescent="0.25">
      <c r="A290">
        <v>3310</v>
      </c>
      <c r="B290" t="s">
        <v>87</v>
      </c>
      <c r="C290">
        <v>2020</v>
      </c>
      <c r="D290">
        <v>1</v>
      </c>
      <c r="E290" t="s">
        <v>218</v>
      </c>
      <c r="F290" t="s">
        <v>260</v>
      </c>
      <c r="G290" t="s">
        <v>261</v>
      </c>
      <c r="H290" t="s">
        <v>17</v>
      </c>
      <c r="I290" t="s">
        <v>265</v>
      </c>
      <c r="J290" t="s">
        <v>242</v>
      </c>
      <c r="K290">
        <v>-44.910074880000003</v>
      </c>
      <c r="L290" t="s">
        <v>242</v>
      </c>
      <c r="M290" t="s">
        <v>236</v>
      </c>
      <c r="N290">
        <v>1.442552100634E-2</v>
      </c>
      <c r="O290">
        <v>0.64785099999999995</v>
      </c>
      <c r="P290" t="s">
        <v>21</v>
      </c>
      <c r="Q290">
        <v>1</v>
      </c>
      <c r="V290">
        <v>66303.072</v>
      </c>
      <c r="W290">
        <v>1</v>
      </c>
      <c r="X290">
        <v>1.2927647999999999E-5</v>
      </c>
      <c r="Y290">
        <v>0.85714299999999999</v>
      </c>
      <c r="Z290">
        <v>0.55530100000000004</v>
      </c>
      <c r="AA290" t="s">
        <v>225</v>
      </c>
      <c r="AB290" t="s">
        <v>226</v>
      </c>
      <c r="AC290" t="s">
        <v>227</v>
      </c>
      <c r="AD290" t="s">
        <v>100</v>
      </c>
      <c r="AE290">
        <v>109.354</v>
      </c>
      <c r="AF290">
        <v>1.0727760310708341</v>
      </c>
      <c r="AG290">
        <v>117.31235010172</v>
      </c>
      <c r="AH290">
        <v>694.38</v>
      </c>
      <c r="AI290">
        <v>0.875</v>
      </c>
      <c r="AJ290">
        <v>71.276930955678296</v>
      </c>
      <c r="AK290">
        <v>0.96660000000000001</v>
      </c>
      <c r="AL290">
        <v>68.896000000000001</v>
      </c>
      <c r="AM290">
        <v>8.9176000000000002</v>
      </c>
      <c r="AN290">
        <v>9.5665875346772715</v>
      </c>
      <c r="AO290">
        <v>0.91300000000000003</v>
      </c>
      <c r="AP290">
        <v>6064.9193587765631</v>
      </c>
      <c r="AQ290">
        <v>0.98316430020283985</v>
      </c>
      <c r="AR290">
        <v>5962.8122000000003</v>
      </c>
      <c r="AS290">
        <v>38.258017696000003</v>
      </c>
      <c r="AT290" t="s">
        <v>269</v>
      </c>
      <c r="AU290" t="s">
        <v>270</v>
      </c>
      <c r="AV290" t="s">
        <v>227</v>
      </c>
      <c r="AW290" t="s">
        <v>100</v>
      </c>
      <c r="AX290">
        <v>109.354</v>
      </c>
      <c r="AY290">
        <v>1.080821157758461</v>
      </c>
      <c r="AZ290">
        <v>118.1921168855188</v>
      </c>
      <c r="BA290">
        <v>779.31</v>
      </c>
      <c r="BB290">
        <v>0.879</v>
      </c>
      <c r="BC290">
        <v>80.963194478237142</v>
      </c>
      <c r="BD290">
        <v>0.96560000000000001</v>
      </c>
      <c r="BE290">
        <v>78.177999999999997</v>
      </c>
      <c r="BF290">
        <v>8.9176000000000002</v>
      </c>
      <c r="BG290">
        <v>0.80400000000000005</v>
      </c>
      <c r="BH290">
        <v>6039.0430235999738</v>
      </c>
      <c r="BI290">
        <v>0.98955375253549693</v>
      </c>
      <c r="BJ290">
        <v>5975.9576999999999</v>
      </c>
      <c r="BK290">
        <v>43.412321577999997</v>
      </c>
    </row>
    <row r="291" spans="1:63" x14ac:dyDescent="0.25">
      <c r="A291">
        <v>3312</v>
      </c>
      <c r="B291" t="s">
        <v>87</v>
      </c>
      <c r="C291">
        <v>2020</v>
      </c>
      <c r="D291">
        <v>1</v>
      </c>
      <c r="E291" t="s">
        <v>218</v>
      </c>
      <c r="F291" t="s">
        <v>260</v>
      </c>
      <c r="G291" t="s">
        <v>261</v>
      </c>
      <c r="H291" t="s">
        <v>17</v>
      </c>
      <c r="I291" t="s">
        <v>265</v>
      </c>
      <c r="J291" t="s">
        <v>242</v>
      </c>
      <c r="K291">
        <v>-44.910074880000003</v>
      </c>
      <c r="L291" t="s">
        <v>242</v>
      </c>
      <c r="M291" t="s">
        <v>237</v>
      </c>
      <c r="N291">
        <v>0.37405093967954001</v>
      </c>
      <c r="O291">
        <v>16.798656000000001</v>
      </c>
      <c r="P291" t="s">
        <v>21</v>
      </c>
      <c r="Q291">
        <v>1</v>
      </c>
      <c r="V291">
        <v>66303.072</v>
      </c>
      <c r="W291">
        <v>1</v>
      </c>
      <c r="X291">
        <v>1.2927647999999999E-5</v>
      </c>
      <c r="Y291">
        <v>0.85714299999999999</v>
      </c>
      <c r="Z291">
        <v>14.398849999999999</v>
      </c>
      <c r="AA291" t="s">
        <v>225</v>
      </c>
      <c r="AB291" t="s">
        <v>226</v>
      </c>
      <c r="AC291" t="s">
        <v>227</v>
      </c>
      <c r="AD291" t="s">
        <v>101</v>
      </c>
      <c r="AE291">
        <v>109.354</v>
      </c>
      <c r="AF291">
        <v>1.0727760310708341</v>
      </c>
      <c r="AG291">
        <v>117.31235010172</v>
      </c>
      <c r="AH291">
        <v>694.38</v>
      </c>
      <c r="AI291">
        <v>0.875</v>
      </c>
      <c r="AJ291">
        <v>71.276930955678296</v>
      </c>
      <c r="AK291">
        <v>1.0077</v>
      </c>
      <c r="AL291">
        <v>71.825999999999993</v>
      </c>
      <c r="AM291">
        <v>8.9176000000000002</v>
      </c>
      <c r="AN291">
        <v>9.5665875346772715</v>
      </c>
      <c r="AO291">
        <v>0.91300000000000003</v>
      </c>
      <c r="AP291">
        <v>6064.9193587765631</v>
      </c>
      <c r="AQ291">
        <v>1.0255267423014589</v>
      </c>
      <c r="AR291">
        <v>6219.7370000000001</v>
      </c>
      <c r="AS291">
        <v>1034.2118000999999</v>
      </c>
      <c r="AT291" t="s">
        <v>269</v>
      </c>
      <c r="AU291" t="s">
        <v>270</v>
      </c>
      <c r="AV291" t="s">
        <v>227</v>
      </c>
      <c r="AW291" t="s">
        <v>101</v>
      </c>
      <c r="AX291">
        <v>109.354</v>
      </c>
      <c r="AY291">
        <v>1.080821157758461</v>
      </c>
      <c r="AZ291">
        <v>118.1921168855188</v>
      </c>
      <c r="BA291">
        <v>779.31</v>
      </c>
      <c r="BB291">
        <v>0.879</v>
      </c>
      <c r="BC291">
        <v>80.963194478237142</v>
      </c>
      <c r="BD291">
        <v>1.0097</v>
      </c>
      <c r="BE291">
        <v>81.748999999999995</v>
      </c>
      <c r="BF291">
        <v>8.9176000000000002</v>
      </c>
      <c r="BG291">
        <v>0.80400000000000005</v>
      </c>
      <c r="BH291">
        <v>6039.0430235999738</v>
      </c>
      <c r="BI291">
        <v>1.0276539708265799</v>
      </c>
      <c r="BJ291">
        <v>6206.0465000000004</v>
      </c>
      <c r="BK291">
        <v>1177.0915886499999</v>
      </c>
    </row>
    <row r="292" spans="1:63" x14ac:dyDescent="0.25">
      <c r="A292">
        <v>2202</v>
      </c>
      <c r="B292" t="s">
        <v>87</v>
      </c>
      <c r="C292">
        <v>2020</v>
      </c>
      <c r="D292">
        <v>1</v>
      </c>
      <c r="E292" t="s">
        <v>218</v>
      </c>
      <c r="F292" t="s">
        <v>260</v>
      </c>
      <c r="G292" t="s">
        <v>261</v>
      </c>
      <c r="H292" t="s">
        <v>17</v>
      </c>
      <c r="I292" t="s">
        <v>266</v>
      </c>
      <c r="J292" t="s">
        <v>244</v>
      </c>
      <c r="K292">
        <v>-119.33752414</v>
      </c>
      <c r="L292" t="s">
        <v>245</v>
      </c>
      <c r="M292" t="s">
        <v>224</v>
      </c>
      <c r="N292">
        <v>1.1026262910890001E-2</v>
      </c>
      <c r="O292">
        <v>1.315847</v>
      </c>
      <c r="P292" t="s">
        <v>21</v>
      </c>
      <c r="Q292">
        <v>1</v>
      </c>
      <c r="V292">
        <v>66303.072</v>
      </c>
      <c r="W292">
        <v>1</v>
      </c>
      <c r="X292">
        <v>1.2927647999999999E-5</v>
      </c>
      <c r="Y292">
        <v>0.85714299999999999</v>
      </c>
      <c r="Z292">
        <v>1.127869</v>
      </c>
      <c r="AA292" t="s">
        <v>225</v>
      </c>
      <c r="AB292" t="s">
        <v>226</v>
      </c>
      <c r="AC292" t="s">
        <v>227</v>
      </c>
      <c r="AD292" t="s">
        <v>153</v>
      </c>
      <c r="AE292">
        <v>109.354</v>
      </c>
      <c r="AF292">
        <v>1.0727760310708341</v>
      </c>
      <c r="AG292">
        <v>117.31235010172</v>
      </c>
      <c r="AH292">
        <v>694.38</v>
      </c>
      <c r="AI292">
        <v>0.875</v>
      </c>
      <c r="AJ292">
        <v>71.276930955678296</v>
      </c>
      <c r="AK292">
        <v>1.0034000000000001</v>
      </c>
      <c r="AL292">
        <v>71.519000000000005</v>
      </c>
      <c r="AM292">
        <v>8.9176000000000002</v>
      </c>
      <c r="AN292">
        <v>9.5665875346772715</v>
      </c>
      <c r="AO292">
        <v>0.91300000000000003</v>
      </c>
      <c r="AP292">
        <v>6064.9193587765631</v>
      </c>
      <c r="AQ292">
        <v>1</v>
      </c>
      <c r="AR292">
        <v>6064.9193999999998</v>
      </c>
      <c r="AS292">
        <v>80.66406301100001</v>
      </c>
      <c r="AT292" t="s">
        <v>269</v>
      </c>
      <c r="AU292" t="s">
        <v>270</v>
      </c>
      <c r="AV292" t="s">
        <v>227</v>
      </c>
      <c r="AW292" t="s">
        <v>153</v>
      </c>
      <c r="AX292">
        <v>109.354</v>
      </c>
      <c r="AY292">
        <v>1.080821157758461</v>
      </c>
      <c r="AZ292">
        <v>118.1921168855188</v>
      </c>
      <c r="BA292">
        <v>779.31</v>
      </c>
      <c r="BB292">
        <v>0.879</v>
      </c>
      <c r="BC292">
        <v>80.963194478237142</v>
      </c>
      <c r="BD292">
        <v>1.0078</v>
      </c>
      <c r="BE292">
        <v>81.594999999999999</v>
      </c>
      <c r="BF292">
        <v>8.9176000000000002</v>
      </c>
      <c r="BG292">
        <v>0.80400000000000005</v>
      </c>
      <c r="BH292">
        <v>6039.0430235999738</v>
      </c>
      <c r="BI292">
        <v>1</v>
      </c>
      <c r="BJ292">
        <v>6039.0429999999997</v>
      </c>
      <c r="BK292">
        <v>92.028471054999997</v>
      </c>
    </row>
    <row r="293" spans="1:63" x14ac:dyDescent="0.25">
      <c r="A293">
        <v>2204</v>
      </c>
      <c r="B293" t="s">
        <v>87</v>
      </c>
      <c r="C293">
        <v>2020</v>
      </c>
      <c r="D293">
        <v>1</v>
      </c>
      <c r="E293" t="s">
        <v>218</v>
      </c>
      <c r="F293" t="s">
        <v>260</v>
      </c>
      <c r="G293" t="s">
        <v>261</v>
      </c>
      <c r="H293" t="s">
        <v>17</v>
      </c>
      <c r="I293" t="s">
        <v>266</v>
      </c>
      <c r="J293" t="s">
        <v>244</v>
      </c>
      <c r="K293">
        <v>-119.33752414</v>
      </c>
      <c r="L293" t="s">
        <v>245</v>
      </c>
      <c r="M293" t="s">
        <v>235</v>
      </c>
      <c r="N293">
        <v>0.60074557881113</v>
      </c>
      <c r="O293">
        <v>71.691490000000002</v>
      </c>
      <c r="P293" t="s">
        <v>21</v>
      </c>
      <c r="Q293">
        <v>1</v>
      </c>
      <c r="V293">
        <v>66303.072</v>
      </c>
      <c r="W293">
        <v>1</v>
      </c>
      <c r="X293">
        <v>1.2927647999999999E-5</v>
      </c>
      <c r="Y293">
        <v>0.85714299999999999</v>
      </c>
      <c r="Z293">
        <v>61.449858999999996</v>
      </c>
      <c r="AA293" t="s">
        <v>225</v>
      </c>
      <c r="AB293" t="s">
        <v>226</v>
      </c>
      <c r="AC293" t="s">
        <v>227</v>
      </c>
      <c r="AD293" t="s">
        <v>154</v>
      </c>
      <c r="AE293">
        <v>109.354</v>
      </c>
      <c r="AF293">
        <v>1.0727760310708341</v>
      </c>
      <c r="AG293">
        <v>117.31235010172</v>
      </c>
      <c r="AH293">
        <v>694.38</v>
      </c>
      <c r="AI293">
        <v>0.875</v>
      </c>
      <c r="AJ293">
        <v>71.276930955678296</v>
      </c>
      <c r="AK293">
        <v>1.0179</v>
      </c>
      <c r="AL293">
        <v>72.552999999999997</v>
      </c>
      <c r="AM293">
        <v>8.9176000000000002</v>
      </c>
      <c r="AN293">
        <v>9.5665875346772715</v>
      </c>
      <c r="AO293">
        <v>0.91300000000000003</v>
      </c>
      <c r="AP293">
        <v>6064.9193587765631</v>
      </c>
      <c r="AQ293">
        <v>0.98975009761811794</v>
      </c>
      <c r="AR293">
        <v>6002.7545</v>
      </c>
      <c r="AS293">
        <v>4458.3716200269992</v>
      </c>
      <c r="AT293" t="s">
        <v>269</v>
      </c>
      <c r="AU293" t="s">
        <v>270</v>
      </c>
      <c r="AV293" t="s">
        <v>227</v>
      </c>
      <c r="AW293" t="s">
        <v>154</v>
      </c>
      <c r="AX293">
        <v>109.354</v>
      </c>
      <c r="AY293">
        <v>1.080821157758461</v>
      </c>
      <c r="AZ293">
        <v>118.1921168855188</v>
      </c>
      <c r="BA293">
        <v>779.31</v>
      </c>
      <c r="BB293">
        <v>0.879</v>
      </c>
      <c r="BC293">
        <v>80.963194478237142</v>
      </c>
      <c r="BD293">
        <v>0.9899</v>
      </c>
      <c r="BE293">
        <v>80.144999999999996</v>
      </c>
      <c r="BF293">
        <v>8.9176000000000002</v>
      </c>
      <c r="BG293">
        <v>0.80400000000000005</v>
      </c>
      <c r="BH293">
        <v>6039.0430235999738</v>
      </c>
      <c r="BI293">
        <v>0.99199531433033972</v>
      </c>
      <c r="BJ293">
        <v>5990.7024000000001</v>
      </c>
      <c r="BK293">
        <v>4924.8989495549986</v>
      </c>
    </row>
    <row r="294" spans="1:63" x14ac:dyDescent="0.25">
      <c r="A294">
        <v>2206</v>
      </c>
      <c r="B294" t="s">
        <v>87</v>
      </c>
      <c r="C294">
        <v>2020</v>
      </c>
      <c r="D294">
        <v>1</v>
      </c>
      <c r="E294" t="s">
        <v>218</v>
      </c>
      <c r="F294" t="s">
        <v>260</v>
      </c>
      <c r="G294" t="s">
        <v>261</v>
      </c>
      <c r="H294" t="s">
        <v>17</v>
      </c>
      <c r="I294" t="s">
        <v>266</v>
      </c>
      <c r="J294" t="s">
        <v>244</v>
      </c>
      <c r="K294">
        <v>-119.33752414</v>
      </c>
      <c r="L294" t="s">
        <v>245</v>
      </c>
      <c r="M294" t="s">
        <v>236</v>
      </c>
      <c r="N294">
        <v>1.775192921592E-2</v>
      </c>
      <c r="O294">
        <v>2.118471</v>
      </c>
      <c r="P294" t="s">
        <v>21</v>
      </c>
      <c r="Q294">
        <v>1</v>
      </c>
      <c r="V294">
        <v>66303.072</v>
      </c>
      <c r="W294">
        <v>1</v>
      </c>
      <c r="X294">
        <v>1.2927647999999999E-5</v>
      </c>
      <c r="Y294">
        <v>0.85714299999999999</v>
      </c>
      <c r="Z294">
        <v>1.815833</v>
      </c>
      <c r="AA294" t="s">
        <v>225</v>
      </c>
      <c r="AB294" t="s">
        <v>226</v>
      </c>
      <c r="AC294" t="s">
        <v>227</v>
      </c>
      <c r="AD294" t="s">
        <v>100</v>
      </c>
      <c r="AE294">
        <v>109.354</v>
      </c>
      <c r="AF294">
        <v>1.0727760310708341</v>
      </c>
      <c r="AG294">
        <v>117.31235010172</v>
      </c>
      <c r="AH294">
        <v>694.38</v>
      </c>
      <c r="AI294">
        <v>0.875</v>
      </c>
      <c r="AJ294">
        <v>71.276930955678296</v>
      </c>
      <c r="AK294">
        <v>0.96660000000000001</v>
      </c>
      <c r="AL294">
        <v>68.896000000000001</v>
      </c>
      <c r="AM294">
        <v>8.9176000000000002</v>
      </c>
      <c r="AN294">
        <v>9.5665875346772715</v>
      </c>
      <c r="AO294">
        <v>0.91300000000000003</v>
      </c>
      <c r="AP294">
        <v>6064.9193587765631</v>
      </c>
      <c r="AQ294">
        <v>0.98316430020283985</v>
      </c>
      <c r="AR294">
        <v>5962.8122000000003</v>
      </c>
      <c r="AS294">
        <v>125.103630368</v>
      </c>
      <c r="AT294" t="s">
        <v>269</v>
      </c>
      <c r="AU294" t="s">
        <v>270</v>
      </c>
      <c r="AV294" t="s">
        <v>227</v>
      </c>
      <c r="AW294" t="s">
        <v>100</v>
      </c>
      <c r="AX294">
        <v>109.354</v>
      </c>
      <c r="AY294">
        <v>1.080821157758461</v>
      </c>
      <c r="AZ294">
        <v>118.1921168855188</v>
      </c>
      <c r="BA294">
        <v>779.31</v>
      </c>
      <c r="BB294">
        <v>0.879</v>
      </c>
      <c r="BC294">
        <v>80.963194478237142</v>
      </c>
      <c r="BD294">
        <v>0.96560000000000001</v>
      </c>
      <c r="BE294">
        <v>78.177999999999997</v>
      </c>
      <c r="BF294">
        <v>8.9176000000000002</v>
      </c>
      <c r="BG294">
        <v>0.80400000000000005</v>
      </c>
      <c r="BH294">
        <v>6039.0430235999738</v>
      </c>
      <c r="BI294">
        <v>0.98955375253549693</v>
      </c>
      <c r="BJ294">
        <v>5975.9576999999999</v>
      </c>
      <c r="BK294">
        <v>141.958192274</v>
      </c>
    </row>
    <row r="295" spans="1:63" x14ac:dyDescent="0.25">
      <c r="A295">
        <v>2208</v>
      </c>
      <c r="B295" t="s">
        <v>87</v>
      </c>
      <c r="C295">
        <v>2020</v>
      </c>
      <c r="D295">
        <v>1</v>
      </c>
      <c r="E295" t="s">
        <v>218</v>
      </c>
      <c r="F295" t="s">
        <v>260</v>
      </c>
      <c r="G295" t="s">
        <v>261</v>
      </c>
      <c r="H295" t="s">
        <v>17</v>
      </c>
      <c r="I295" t="s">
        <v>266</v>
      </c>
      <c r="J295" t="s">
        <v>244</v>
      </c>
      <c r="K295">
        <v>-119.33752414</v>
      </c>
      <c r="L295" t="s">
        <v>245</v>
      </c>
      <c r="M295" t="s">
        <v>237</v>
      </c>
      <c r="N295">
        <v>0.39766766032624001</v>
      </c>
      <c r="O295">
        <v>47.456674</v>
      </c>
      <c r="P295" t="s">
        <v>21</v>
      </c>
      <c r="Q295">
        <v>1</v>
      </c>
      <c r="V295">
        <v>66303.072</v>
      </c>
      <c r="W295">
        <v>1</v>
      </c>
      <c r="X295">
        <v>1.2927647999999999E-5</v>
      </c>
      <c r="Y295">
        <v>0.85714299999999999</v>
      </c>
      <c r="Z295">
        <v>40.677155999999997</v>
      </c>
      <c r="AA295" t="s">
        <v>225</v>
      </c>
      <c r="AB295" t="s">
        <v>226</v>
      </c>
      <c r="AC295" t="s">
        <v>227</v>
      </c>
      <c r="AD295" t="s">
        <v>101</v>
      </c>
      <c r="AE295">
        <v>109.354</v>
      </c>
      <c r="AF295">
        <v>1.0727760310708341</v>
      </c>
      <c r="AG295">
        <v>117.31235010172</v>
      </c>
      <c r="AH295">
        <v>694.38</v>
      </c>
      <c r="AI295">
        <v>0.875</v>
      </c>
      <c r="AJ295">
        <v>71.276930955678296</v>
      </c>
      <c r="AK295">
        <v>1.0077</v>
      </c>
      <c r="AL295">
        <v>71.825999999999993</v>
      </c>
      <c r="AM295">
        <v>8.9176000000000002</v>
      </c>
      <c r="AN295">
        <v>9.5665875346772715</v>
      </c>
      <c r="AO295">
        <v>0.91300000000000003</v>
      </c>
      <c r="AP295">
        <v>6064.9193587765631</v>
      </c>
      <c r="AQ295">
        <v>1.0255267423014589</v>
      </c>
      <c r="AR295">
        <v>6219.7370000000001</v>
      </c>
      <c r="AS295">
        <v>2921.6774068559989</v>
      </c>
      <c r="AT295" t="s">
        <v>269</v>
      </c>
      <c r="AU295" t="s">
        <v>270</v>
      </c>
      <c r="AV295" t="s">
        <v>227</v>
      </c>
      <c r="AW295" t="s">
        <v>101</v>
      </c>
      <c r="AX295">
        <v>109.354</v>
      </c>
      <c r="AY295">
        <v>1.080821157758461</v>
      </c>
      <c r="AZ295">
        <v>118.1921168855188</v>
      </c>
      <c r="BA295">
        <v>779.31</v>
      </c>
      <c r="BB295">
        <v>0.879</v>
      </c>
      <c r="BC295">
        <v>80.963194478237142</v>
      </c>
      <c r="BD295">
        <v>1.0097</v>
      </c>
      <c r="BE295">
        <v>81.748999999999995</v>
      </c>
      <c r="BF295">
        <v>8.9176000000000002</v>
      </c>
      <c r="BG295">
        <v>0.80400000000000005</v>
      </c>
      <c r="BH295">
        <v>6039.0430235999738</v>
      </c>
      <c r="BI295">
        <v>1.0276539708265799</v>
      </c>
      <c r="BJ295">
        <v>6206.0465000000004</v>
      </c>
      <c r="BK295">
        <v>3325.316825844</v>
      </c>
    </row>
    <row r="296" spans="1:63" x14ac:dyDescent="0.25">
      <c r="A296">
        <v>4410</v>
      </c>
      <c r="B296" t="s">
        <v>87</v>
      </c>
      <c r="C296">
        <v>2020</v>
      </c>
      <c r="D296">
        <v>1</v>
      </c>
      <c r="E296" t="s">
        <v>218</v>
      </c>
      <c r="F296" t="s">
        <v>260</v>
      </c>
      <c r="G296" t="s">
        <v>261</v>
      </c>
      <c r="H296" t="s">
        <v>17</v>
      </c>
      <c r="I296" t="s">
        <v>267</v>
      </c>
      <c r="J296" t="s">
        <v>247</v>
      </c>
      <c r="K296">
        <v>-359.18287056999998</v>
      </c>
      <c r="L296" t="s">
        <v>248</v>
      </c>
      <c r="M296" t="s">
        <v>224</v>
      </c>
      <c r="N296">
        <v>4.9724862092599999E-3</v>
      </c>
      <c r="O296">
        <v>1.7860320000000001</v>
      </c>
      <c r="P296" t="s">
        <v>21</v>
      </c>
      <c r="Q296">
        <v>1</v>
      </c>
      <c r="V296">
        <v>66303.072</v>
      </c>
      <c r="W296">
        <v>1</v>
      </c>
      <c r="X296">
        <v>1.2927647999999999E-5</v>
      </c>
      <c r="Y296">
        <v>0.85714299999999999</v>
      </c>
      <c r="Z296">
        <v>1.5308850000000001</v>
      </c>
      <c r="AA296" t="s">
        <v>225</v>
      </c>
      <c r="AB296" t="s">
        <v>226</v>
      </c>
      <c r="AC296" t="s">
        <v>227</v>
      </c>
      <c r="AD296" t="s">
        <v>153</v>
      </c>
      <c r="AE296">
        <v>109.354</v>
      </c>
      <c r="AF296">
        <v>1.0727760310708341</v>
      </c>
      <c r="AG296">
        <v>117.31235010172</v>
      </c>
      <c r="AH296">
        <v>694.38</v>
      </c>
      <c r="AI296">
        <v>0.875</v>
      </c>
      <c r="AJ296">
        <v>71.276930955678296</v>
      </c>
      <c r="AK296">
        <v>1.0034000000000001</v>
      </c>
      <c r="AL296">
        <v>71.519000000000005</v>
      </c>
      <c r="AM296">
        <v>8.9176000000000002</v>
      </c>
      <c r="AN296">
        <v>9.5665875346772715</v>
      </c>
      <c r="AO296">
        <v>0.91300000000000003</v>
      </c>
      <c r="AP296">
        <v>6064.9193587765631</v>
      </c>
      <c r="AQ296">
        <v>1</v>
      </c>
      <c r="AR296">
        <v>6064.9193999999998</v>
      </c>
      <c r="AS296">
        <v>109.48736431499999</v>
      </c>
      <c r="AT296" t="s">
        <v>269</v>
      </c>
      <c r="AU296" t="s">
        <v>270</v>
      </c>
      <c r="AV296" t="s">
        <v>227</v>
      </c>
      <c r="AW296" t="s">
        <v>153</v>
      </c>
      <c r="AX296">
        <v>109.354</v>
      </c>
      <c r="AY296">
        <v>1.080821157758461</v>
      </c>
      <c r="AZ296">
        <v>118.1921168855188</v>
      </c>
      <c r="BA296">
        <v>779.31</v>
      </c>
      <c r="BB296">
        <v>0.879</v>
      </c>
      <c r="BC296">
        <v>80.963194478237142</v>
      </c>
      <c r="BD296">
        <v>1.0078</v>
      </c>
      <c r="BE296">
        <v>81.594999999999999</v>
      </c>
      <c r="BF296">
        <v>8.9176000000000002</v>
      </c>
      <c r="BG296">
        <v>0.80400000000000005</v>
      </c>
      <c r="BH296">
        <v>6039.0430235999738</v>
      </c>
      <c r="BI296">
        <v>1</v>
      </c>
      <c r="BJ296">
        <v>6039.0429999999997</v>
      </c>
      <c r="BK296">
        <v>124.912561575</v>
      </c>
    </row>
    <row r="297" spans="1:63" x14ac:dyDescent="0.25">
      <c r="A297">
        <v>4412</v>
      </c>
      <c r="B297" t="s">
        <v>87</v>
      </c>
      <c r="C297">
        <v>2020</v>
      </c>
      <c r="D297">
        <v>1</v>
      </c>
      <c r="E297" t="s">
        <v>218</v>
      </c>
      <c r="F297" t="s">
        <v>260</v>
      </c>
      <c r="G297" t="s">
        <v>261</v>
      </c>
      <c r="H297" t="s">
        <v>17</v>
      </c>
      <c r="I297" t="s">
        <v>267</v>
      </c>
      <c r="J297" t="s">
        <v>247</v>
      </c>
      <c r="K297">
        <v>-359.18287056999998</v>
      </c>
      <c r="L297" t="s">
        <v>248</v>
      </c>
      <c r="M297" t="s">
        <v>235</v>
      </c>
      <c r="N297">
        <v>0.99209122360516</v>
      </c>
      <c r="O297">
        <v>356.342174</v>
      </c>
      <c r="P297" t="s">
        <v>21</v>
      </c>
      <c r="Q297">
        <v>1</v>
      </c>
      <c r="V297">
        <v>66303.072</v>
      </c>
      <c r="W297">
        <v>1</v>
      </c>
      <c r="X297">
        <v>1.2927647999999999E-5</v>
      </c>
      <c r="Y297">
        <v>0.85714299999999999</v>
      </c>
      <c r="Z297">
        <v>305.43619999999999</v>
      </c>
      <c r="AA297" t="s">
        <v>225</v>
      </c>
      <c r="AB297" t="s">
        <v>226</v>
      </c>
      <c r="AC297" t="s">
        <v>227</v>
      </c>
      <c r="AD297" t="s">
        <v>154</v>
      </c>
      <c r="AE297">
        <v>109.354</v>
      </c>
      <c r="AF297">
        <v>1.0727760310708341</v>
      </c>
      <c r="AG297">
        <v>117.31235010172</v>
      </c>
      <c r="AH297">
        <v>694.38</v>
      </c>
      <c r="AI297">
        <v>0.875</v>
      </c>
      <c r="AJ297">
        <v>71.276930955678296</v>
      </c>
      <c r="AK297">
        <v>1.0179</v>
      </c>
      <c r="AL297">
        <v>72.552999999999997</v>
      </c>
      <c r="AM297">
        <v>8.9176000000000002</v>
      </c>
      <c r="AN297">
        <v>9.5665875346772715</v>
      </c>
      <c r="AO297">
        <v>0.91300000000000003</v>
      </c>
      <c r="AP297">
        <v>6064.9193587765631</v>
      </c>
      <c r="AQ297">
        <v>0.98975009761811794</v>
      </c>
      <c r="AR297">
        <v>6002.7545</v>
      </c>
      <c r="AS297">
        <v>22160.312618600001</v>
      </c>
      <c r="AT297" t="s">
        <v>269</v>
      </c>
      <c r="AU297" t="s">
        <v>270</v>
      </c>
      <c r="AV297" t="s">
        <v>227</v>
      </c>
      <c r="AW297" t="s">
        <v>154</v>
      </c>
      <c r="AX297">
        <v>109.354</v>
      </c>
      <c r="AY297">
        <v>1.080821157758461</v>
      </c>
      <c r="AZ297">
        <v>118.1921168855188</v>
      </c>
      <c r="BA297">
        <v>779.31</v>
      </c>
      <c r="BB297">
        <v>0.879</v>
      </c>
      <c r="BC297">
        <v>80.963194478237142</v>
      </c>
      <c r="BD297">
        <v>0.9899</v>
      </c>
      <c r="BE297">
        <v>80.144999999999996</v>
      </c>
      <c r="BF297">
        <v>8.9176000000000002</v>
      </c>
      <c r="BG297">
        <v>0.80400000000000005</v>
      </c>
      <c r="BH297">
        <v>6039.0430235999738</v>
      </c>
      <c r="BI297">
        <v>0.99199531433033972</v>
      </c>
      <c r="BJ297">
        <v>5990.7024000000001</v>
      </c>
      <c r="BK297">
        <v>24479.184249000002</v>
      </c>
    </row>
    <row r="298" spans="1:63" x14ac:dyDescent="0.25">
      <c r="A298">
        <v>4414</v>
      </c>
      <c r="B298" t="s">
        <v>87</v>
      </c>
      <c r="C298">
        <v>2020</v>
      </c>
      <c r="D298">
        <v>1</v>
      </c>
      <c r="E298" t="s">
        <v>218</v>
      </c>
      <c r="F298" t="s">
        <v>260</v>
      </c>
      <c r="G298" t="s">
        <v>261</v>
      </c>
      <c r="H298" t="s">
        <v>17</v>
      </c>
      <c r="I298" t="s">
        <v>267</v>
      </c>
      <c r="J298" t="s">
        <v>247</v>
      </c>
      <c r="K298">
        <v>-359.18287056999998</v>
      </c>
      <c r="L298" t="s">
        <v>248</v>
      </c>
      <c r="M298" t="s">
        <v>236</v>
      </c>
      <c r="N298">
        <v>4.7995598170700003E-3</v>
      </c>
      <c r="O298">
        <v>1.7239199999999999</v>
      </c>
      <c r="P298" t="s">
        <v>21</v>
      </c>
      <c r="Q298">
        <v>1</v>
      </c>
      <c r="V298">
        <v>66303.072</v>
      </c>
      <c r="W298">
        <v>1</v>
      </c>
      <c r="X298">
        <v>1.2927647999999999E-5</v>
      </c>
      <c r="Y298">
        <v>0.85714299999999999</v>
      </c>
      <c r="Z298">
        <v>1.477646</v>
      </c>
      <c r="AA298" t="s">
        <v>225</v>
      </c>
      <c r="AB298" t="s">
        <v>226</v>
      </c>
      <c r="AC298" t="s">
        <v>227</v>
      </c>
      <c r="AD298" t="s">
        <v>100</v>
      </c>
      <c r="AE298">
        <v>109.354</v>
      </c>
      <c r="AF298">
        <v>1.0727760310708341</v>
      </c>
      <c r="AG298">
        <v>117.31235010172</v>
      </c>
      <c r="AH298">
        <v>694.38</v>
      </c>
      <c r="AI298">
        <v>0.875</v>
      </c>
      <c r="AJ298">
        <v>71.276930955678296</v>
      </c>
      <c r="AK298">
        <v>0.96660000000000001</v>
      </c>
      <c r="AL298">
        <v>68.896000000000001</v>
      </c>
      <c r="AM298">
        <v>8.9176000000000002</v>
      </c>
      <c r="AN298">
        <v>9.5665875346772715</v>
      </c>
      <c r="AO298">
        <v>0.91300000000000003</v>
      </c>
      <c r="AP298">
        <v>6064.9193587765631</v>
      </c>
      <c r="AQ298">
        <v>0.98316430020283985</v>
      </c>
      <c r="AR298">
        <v>5962.8122000000003</v>
      </c>
      <c r="AS298">
        <v>101.803898816</v>
      </c>
      <c r="AT298" t="s">
        <v>269</v>
      </c>
      <c r="AU298" t="s">
        <v>270</v>
      </c>
      <c r="AV298" t="s">
        <v>227</v>
      </c>
      <c r="AW298" t="s">
        <v>100</v>
      </c>
      <c r="AX298">
        <v>109.354</v>
      </c>
      <c r="AY298">
        <v>1.080821157758461</v>
      </c>
      <c r="AZ298">
        <v>118.1921168855188</v>
      </c>
      <c r="BA298">
        <v>779.31</v>
      </c>
      <c r="BB298">
        <v>0.879</v>
      </c>
      <c r="BC298">
        <v>80.963194478237142</v>
      </c>
      <c r="BD298">
        <v>0.96560000000000001</v>
      </c>
      <c r="BE298">
        <v>78.177999999999997</v>
      </c>
      <c r="BF298">
        <v>8.9176000000000002</v>
      </c>
      <c r="BG298">
        <v>0.80400000000000005</v>
      </c>
      <c r="BH298">
        <v>6039.0430235999738</v>
      </c>
      <c r="BI298">
        <v>0.98955375253549693</v>
      </c>
      <c r="BJ298">
        <v>5975.9576999999999</v>
      </c>
      <c r="BK298">
        <v>115.519408988</v>
      </c>
    </row>
    <row r="299" spans="1:63" x14ac:dyDescent="0.25">
      <c r="A299">
        <v>4416</v>
      </c>
      <c r="B299" t="s">
        <v>87</v>
      </c>
      <c r="C299">
        <v>2020</v>
      </c>
      <c r="D299">
        <v>1</v>
      </c>
      <c r="E299" t="s">
        <v>218</v>
      </c>
      <c r="F299" t="s">
        <v>260</v>
      </c>
      <c r="G299" t="s">
        <v>261</v>
      </c>
      <c r="H299" t="s">
        <v>17</v>
      </c>
      <c r="I299" t="s">
        <v>267</v>
      </c>
      <c r="J299" t="s">
        <v>247</v>
      </c>
      <c r="K299">
        <v>-359.18287056999998</v>
      </c>
      <c r="L299" t="s">
        <v>248</v>
      </c>
      <c r="M299" t="s">
        <v>237</v>
      </c>
      <c r="N299">
        <v>2.2580780904460002E-2</v>
      </c>
      <c r="O299">
        <v>8.1106300000000005</v>
      </c>
      <c r="P299" t="s">
        <v>21</v>
      </c>
      <c r="Q299">
        <v>1</v>
      </c>
      <c r="V299">
        <v>66303.072</v>
      </c>
      <c r="W299">
        <v>1</v>
      </c>
      <c r="X299">
        <v>1.2927647999999999E-5</v>
      </c>
      <c r="Y299">
        <v>0.85714299999999999</v>
      </c>
      <c r="Z299">
        <v>6.9519700000000002</v>
      </c>
      <c r="AA299" t="s">
        <v>225</v>
      </c>
      <c r="AB299" t="s">
        <v>226</v>
      </c>
      <c r="AC299" t="s">
        <v>227</v>
      </c>
      <c r="AD299" t="s">
        <v>101</v>
      </c>
      <c r="AE299">
        <v>109.354</v>
      </c>
      <c r="AF299">
        <v>1.0727760310708341</v>
      </c>
      <c r="AG299">
        <v>117.31235010172</v>
      </c>
      <c r="AH299">
        <v>694.38</v>
      </c>
      <c r="AI299">
        <v>0.875</v>
      </c>
      <c r="AJ299">
        <v>71.276930955678296</v>
      </c>
      <c r="AK299">
        <v>1.0077</v>
      </c>
      <c r="AL299">
        <v>71.825999999999993</v>
      </c>
      <c r="AM299">
        <v>8.9176000000000002</v>
      </c>
      <c r="AN299">
        <v>9.5665875346772715</v>
      </c>
      <c r="AO299">
        <v>0.91300000000000003</v>
      </c>
      <c r="AP299">
        <v>6064.9193587765631</v>
      </c>
      <c r="AQ299">
        <v>1.0255267423014589</v>
      </c>
      <c r="AR299">
        <v>6219.7370000000001</v>
      </c>
      <c r="AS299">
        <v>499.33219722000001</v>
      </c>
      <c r="AT299" t="s">
        <v>269</v>
      </c>
      <c r="AU299" t="s">
        <v>270</v>
      </c>
      <c r="AV299" t="s">
        <v>227</v>
      </c>
      <c r="AW299" t="s">
        <v>101</v>
      </c>
      <c r="AX299">
        <v>109.354</v>
      </c>
      <c r="AY299">
        <v>1.080821157758461</v>
      </c>
      <c r="AZ299">
        <v>118.1921168855188</v>
      </c>
      <c r="BA299">
        <v>779.31</v>
      </c>
      <c r="BB299">
        <v>0.879</v>
      </c>
      <c r="BC299">
        <v>80.963194478237142</v>
      </c>
      <c r="BD299">
        <v>1.0097</v>
      </c>
      <c r="BE299">
        <v>81.748999999999995</v>
      </c>
      <c r="BF299">
        <v>8.9176000000000002</v>
      </c>
      <c r="BG299">
        <v>0.80400000000000005</v>
      </c>
      <c r="BH299">
        <v>6039.0430235999738</v>
      </c>
      <c r="BI299">
        <v>1.0276539708265799</v>
      </c>
      <c r="BJ299">
        <v>6206.0465000000004</v>
      </c>
      <c r="BK299">
        <v>568.31659552999997</v>
      </c>
    </row>
    <row r="300" spans="1:63" x14ac:dyDescent="0.25">
      <c r="A300">
        <v>1102</v>
      </c>
      <c r="B300" t="s">
        <v>87</v>
      </c>
      <c r="C300">
        <v>2020</v>
      </c>
      <c r="D300">
        <v>1</v>
      </c>
      <c r="E300" t="s">
        <v>218</v>
      </c>
      <c r="F300" t="s">
        <v>260</v>
      </c>
      <c r="G300" t="s">
        <v>261</v>
      </c>
      <c r="H300" t="s">
        <v>17</v>
      </c>
      <c r="I300" t="s">
        <v>268</v>
      </c>
      <c r="J300" t="s">
        <v>250</v>
      </c>
      <c r="K300">
        <v>-467.99544650000001</v>
      </c>
      <c r="L300" t="s">
        <v>250</v>
      </c>
      <c r="M300" t="s">
        <v>231</v>
      </c>
      <c r="N300">
        <v>4.9898993999990003E-2</v>
      </c>
      <c r="O300">
        <v>23.352502000000001</v>
      </c>
      <c r="P300" t="s">
        <v>21</v>
      </c>
      <c r="Q300">
        <v>1</v>
      </c>
      <c r="V300">
        <v>66303.072</v>
      </c>
      <c r="W300">
        <v>1</v>
      </c>
      <c r="X300">
        <v>1.2927647999999999E-5</v>
      </c>
      <c r="Y300">
        <v>0.85714299999999999</v>
      </c>
      <c r="Z300">
        <v>20.016434</v>
      </c>
      <c r="AA300" t="s">
        <v>225</v>
      </c>
      <c r="AB300" t="s">
        <v>226</v>
      </c>
      <c r="AC300" t="s">
        <v>227</v>
      </c>
      <c r="AD300" t="s">
        <v>100</v>
      </c>
      <c r="AE300">
        <v>109.354</v>
      </c>
      <c r="AF300">
        <v>1.0727760310708341</v>
      </c>
      <c r="AG300">
        <v>117.31235010172</v>
      </c>
      <c r="AH300">
        <v>694.38</v>
      </c>
      <c r="AI300">
        <v>0.875</v>
      </c>
      <c r="AJ300">
        <v>71.276930955678296</v>
      </c>
      <c r="AK300">
        <v>0.96660000000000001</v>
      </c>
      <c r="AL300">
        <v>68.896000000000001</v>
      </c>
      <c r="AM300">
        <v>8.9176000000000002</v>
      </c>
      <c r="AN300">
        <v>9.5665875346772715</v>
      </c>
      <c r="AO300">
        <v>0.91300000000000003</v>
      </c>
      <c r="AP300">
        <v>6064.9193587765631</v>
      </c>
      <c r="AQ300">
        <v>0.98316430020283985</v>
      </c>
      <c r="AR300">
        <v>5962.8122000000003</v>
      </c>
      <c r="AS300">
        <v>1379.052236864</v>
      </c>
      <c r="AT300" t="s">
        <v>269</v>
      </c>
      <c r="AU300" t="s">
        <v>270</v>
      </c>
      <c r="AV300" t="s">
        <v>227</v>
      </c>
      <c r="AW300" t="s">
        <v>100</v>
      </c>
      <c r="AX300">
        <v>109.354</v>
      </c>
      <c r="AY300">
        <v>1.080821157758461</v>
      </c>
      <c r="AZ300">
        <v>118.1921168855188</v>
      </c>
      <c r="BA300">
        <v>779.31</v>
      </c>
      <c r="BB300">
        <v>0.879</v>
      </c>
      <c r="BC300">
        <v>80.963194478237142</v>
      </c>
      <c r="BD300">
        <v>0.96560000000000001</v>
      </c>
      <c r="BE300">
        <v>78.177999999999997</v>
      </c>
      <c r="BF300">
        <v>8.9176000000000002</v>
      </c>
      <c r="BG300">
        <v>0.80400000000000005</v>
      </c>
      <c r="BH300">
        <v>6039.0430235999738</v>
      </c>
      <c r="BI300">
        <v>0.98955375253549693</v>
      </c>
      <c r="BJ300">
        <v>5975.9576999999999</v>
      </c>
      <c r="BK300">
        <v>1564.8447772520001</v>
      </c>
    </row>
    <row r="301" spans="1:63" x14ac:dyDescent="0.25">
      <c r="A301">
        <v>1104</v>
      </c>
      <c r="B301" t="s">
        <v>87</v>
      </c>
      <c r="C301">
        <v>2020</v>
      </c>
      <c r="D301">
        <v>1</v>
      </c>
      <c r="E301" t="s">
        <v>218</v>
      </c>
      <c r="F301" t="s">
        <v>260</v>
      </c>
      <c r="G301" t="s">
        <v>261</v>
      </c>
      <c r="H301" t="s">
        <v>17</v>
      </c>
      <c r="I301" t="s">
        <v>268</v>
      </c>
      <c r="J301" t="s">
        <v>250</v>
      </c>
      <c r="K301">
        <v>-467.99544650000001</v>
      </c>
      <c r="L301" t="s">
        <v>250</v>
      </c>
      <c r="M301" t="s">
        <v>232</v>
      </c>
      <c r="N301">
        <v>0.97472100599996003</v>
      </c>
      <c r="O301">
        <v>456.16499199999998</v>
      </c>
      <c r="P301" t="s">
        <v>21</v>
      </c>
      <c r="Q301">
        <v>1</v>
      </c>
      <c r="V301">
        <v>66303.072</v>
      </c>
      <c r="W301">
        <v>1</v>
      </c>
      <c r="X301">
        <v>1.2927647999999999E-5</v>
      </c>
      <c r="Y301">
        <v>0.85714299999999999</v>
      </c>
      <c r="Z301">
        <v>390.99862999999999</v>
      </c>
      <c r="AA301" t="s">
        <v>225</v>
      </c>
      <c r="AB301" t="s">
        <v>226</v>
      </c>
      <c r="AC301" t="s">
        <v>227</v>
      </c>
      <c r="AD301" t="s">
        <v>101</v>
      </c>
      <c r="AE301">
        <v>109.354</v>
      </c>
      <c r="AF301">
        <v>1.0727760310708341</v>
      </c>
      <c r="AG301">
        <v>117.31235010172</v>
      </c>
      <c r="AH301">
        <v>694.38</v>
      </c>
      <c r="AI301">
        <v>0.875</v>
      </c>
      <c r="AJ301">
        <v>71.276930955678296</v>
      </c>
      <c r="AK301">
        <v>1.0077</v>
      </c>
      <c r="AL301">
        <v>71.825999999999993</v>
      </c>
      <c r="AM301">
        <v>8.9176000000000002</v>
      </c>
      <c r="AN301">
        <v>9.5665875346772715</v>
      </c>
      <c r="AO301">
        <v>0.91300000000000003</v>
      </c>
      <c r="AP301">
        <v>6064.9193587765631</v>
      </c>
      <c r="AQ301">
        <v>1.0255267423014589</v>
      </c>
      <c r="AR301">
        <v>6219.7370000000001</v>
      </c>
      <c r="AS301">
        <v>28083.867598379999</v>
      </c>
      <c r="AT301" t="s">
        <v>269</v>
      </c>
      <c r="AU301" t="s">
        <v>270</v>
      </c>
      <c r="AV301" t="s">
        <v>227</v>
      </c>
      <c r="AW301" t="s">
        <v>101</v>
      </c>
      <c r="AX301">
        <v>109.354</v>
      </c>
      <c r="AY301">
        <v>1.080821157758461</v>
      </c>
      <c r="AZ301">
        <v>118.1921168855188</v>
      </c>
      <c r="BA301">
        <v>779.31</v>
      </c>
      <c r="BB301">
        <v>0.879</v>
      </c>
      <c r="BC301">
        <v>80.963194478237142</v>
      </c>
      <c r="BD301">
        <v>1.0097</v>
      </c>
      <c r="BE301">
        <v>81.748999999999995</v>
      </c>
      <c r="BF301">
        <v>8.9176000000000002</v>
      </c>
      <c r="BG301">
        <v>0.80400000000000005</v>
      </c>
      <c r="BH301">
        <v>6039.0430235999738</v>
      </c>
      <c r="BI301">
        <v>1.0276539708265799</v>
      </c>
      <c r="BJ301">
        <v>6206.0465000000004</v>
      </c>
      <c r="BK301">
        <v>31963.747003870001</v>
      </c>
    </row>
    <row r="302" spans="1:63" x14ac:dyDescent="0.25">
      <c r="A302">
        <v>4506</v>
      </c>
      <c r="B302" t="s">
        <v>102</v>
      </c>
      <c r="C302">
        <v>2020</v>
      </c>
      <c r="D302">
        <v>1</v>
      </c>
      <c r="E302" t="s">
        <v>218</v>
      </c>
      <c r="F302" t="s">
        <v>219</v>
      </c>
      <c r="G302" t="s">
        <v>220</v>
      </c>
      <c r="H302" t="s">
        <v>17</v>
      </c>
      <c r="I302" t="s">
        <v>221</v>
      </c>
      <c r="J302" t="s">
        <v>222</v>
      </c>
      <c r="K302">
        <v>-253.77526341999999</v>
      </c>
      <c r="L302" t="s">
        <v>223</v>
      </c>
      <c r="M302" t="s">
        <v>224</v>
      </c>
      <c r="N302">
        <v>8.7524974586199993E-3</v>
      </c>
      <c r="O302">
        <v>2.2211669999999999</v>
      </c>
      <c r="P302" t="s">
        <v>21</v>
      </c>
      <c r="Q302">
        <v>1</v>
      </c>
      <c r="V302">
        <v>66303.072</v>
      </c>
      <c r="W302">
        <v>1</v>
      </c>
      <c r="X302">
        <v>1.1311694000000001E-5</v>
      </c>
      <c r="Y302">
        <v>0.75</v>
      </c>
      <c r="Z302">
        <v>1.665875</v>
      </c>
      <c r="AA302" t="s">
        <v>225</v>
      </c>
      <c r="AB302" t="s">
        <v>226</v>
      </c>
      <c r="AC302" t="s">
        <v>227</v>
      </c>
      <c r="AD302" t="s">
        <v>153</v>
      </c>
      <c r="AE302">
        <v>109.354</v>
      </c>
      <c r="AF302">
        <v>1.0727760310708341</v>
      </c>
      <c r="AG302">
        <v>117.31235010172</v>
      </c>
      <c r="AH302">
        <v>694.38</v>
      </c>
      <c r="AI302">
        <v>0.875</v>
      </c>
      <c r="AJ302">
        <v>71.276930955678296</v>
      </c>
      <c r="AK302">
        <v>1.0034000000000001</v>
      </c>
      <c r="AL302">
        <v>71.519000000000005</v>
      </c>
      <c r="AM302">
        <v>8.9176000000000002</v>
      </c>
      <c r="AN302">
        <v>9.5665875346772715</v>
      </c>
      <c r="AO302">
        <v>0.91300000000000003</v>
      </c>
      <c r="AP302">
        <v>6064.9193587765631</v>
      </c>
      <c r="AQ302">
        <v>1</v>
      </c>
      <c r="AR302">
        <v>6064.9193999999998</v>
      </c>
      <c r="AS302">
        <v>119.14171412499999</v>
      </c>
      <c r="AT302" t="s">
        <v>269</v>
      </c>
      <c r="AU302" t="s">
        <v>270</v>
      </c>
      <c r="AV302" t="s">
        <v>227</v>
      </c>
      <c r="AW302" t="s">
        <v>153</v>
      </c>
      <c r="AX302">
        <v>109.354</v>
      </c>
      <c r="AY302">
        <v>1.080821157758461</v>
      </c>
      <c r="AZ302">
        <v>118.1921168855188</v>
      </c>
      <c r="BA302">
        <v>779.31</v>
      </c>
      <c r="BB302">
        <v>0.879</v>
      </c>
      <c r="BC302">
        <v>80.963194478237142</v>
      </c>
      <c r="BD302">
        <v>1.0078</v>
      </c>
      <c r="BE302">
        <v>81.594999999999999</v>
      </c>
      <c r="BF302">
        <v>8.9176000000000002</v>
      </c>
      <c r="BG302">
        <v>0.80400000000000005</v>
      </c>
      <c r="BH302">
        <v>6039.0430235999738</v>
      </c>
      <c r="BI302">
        <v>1</v>
      </c>
      <c r="BJ302">
        <v>6039.0429999999997</v>
      </c>
      <c r="BK302">
        <v>135.927070625</v>
      </c>
    </row>
    <row r="303" spans="1:63" x14ac:dyDescent="0.25">
      <c r="A303">
        <v>4508</v>
      </c>
      <c r="B303" t="s">
        <v>102</v>
      </c>
      <c r="C303">
        <v>2020</v>
      </c>
      <c r="D303">
        <v>1</v>
      </c>
      <c r="E303" t="s">
        <v>218</v>
      </c>
      <c r="F303" t="s">
        <v>219</v>
      </c>
      <c r="G303" t="s">
        <v>220</v>
      </c>
      <c r="H303" t="s">
        <v>17</v>
      </c>
      <c r="I303" t="s">
        <v>221</v>
      </c>
      <c r="J303" t="s">
        <v>222</v>
      </c>
      <c r="K303">
        <v>-253.77526341999999</v>
      </c>
      <c r="L303" t="s">
        <v>223</v>
      </c>
      <c r="M303" t="s">
        <v>230</v>
      </c>
      <c r="N303">
        <v>0.16047331440265999</v>
      </c>
      <c r="O303">
        <v>40.724158000000003</v>
      </c>
      <c r="P303" t="s">
        <v>21</v>
      </c>
      <c r="Q303">
        <v>1</v>
      </c>
      <c r="V303">
        <v>66303.072</v>
      </c>
      <c r="W303">
        <v>1</v>
      </c>
      <c r="X303">
        <v>1.1311694000000001E-5</v>
      </c>
      <c r="Y303">
        <v>0.75</v>
      </c>
      <c r="Z303">
        <v>30.543119000000001</v>
      </c>
      <c r="AA303" t="s">
        <v>225</v>
      </c>
      <c r="AB303" t="s">
        <v>226</v>
      </c>
      <c r="AC303" t="s">
        <v>227</v>
      </c>
      <c r="AD303" t="s">
        <v>154</v>
      </c>
      <c r="AE303">
        <v>109.354</v>
      </c>
      <c r="AF303">
        <v>1.0727760310708341</v>
      </c>
      <c r="AG303">
        <v>117.31235010172</v>
      </c>
      <c r="AH303">
        <v>694.38</v>
      </c>
      <c r="AI303">
        <v>0.875</v>
      </c>
      <c r="AJ303">
        <v>71.276930955678296</v>
      </c>
      <c r="AK303">
        <v>1.0179</v>
      </c>
      <c r="AL303">
        <v>72.552999999999997</v>
      </c>
      <c r="AM303">
        <v>8.9176000000000002</v>
      </c>
      <c r="AN303">
        <v>9.5665875346772715</v>
      </c>
      <c r="AO303">
        <v>0.91300000000000003</v>
      </c>
      <c r="AP303">
        <v>6064.9193587765631</v>
      </c>
      <c r="AQ303">
        <v>0.98975009761811794</v>
      </c>
      <c r="AR303">
        <v>6002.7545</v>
      </c>
      <c r="AS303">
        <v>2215.9949128070002</v>
      </c>
      <c r="AT303" t="s">
        <v>269</v>
      </c>
      <c r="AU303" t="s">
        <v>270</v>
      </c>
      <c r="AV303" t="s">
        <v>227</v>
      </c>
      <c r="AW303" t="s">
        <v>154</v>
      </c>
      <c r="AX303">
        <v>109.354</v>
      </c>
      <c r="AY303">
        <v>1.080821157758461</v>
      </c>
      <c r="AZ303">
        <v>118.1921168855188</v>
      </c>
      <c r="BA303">
        <v>779.31</v>
      </c>
      <c r="BB303">
        <v>0.879</v>
      </c>
      <c r="BC303">
        <v>80.963194478237142</v>
      </c>
      <c r="BD303">
        <v>0.9899</v>
      </c>
      <c r="BE303">
        <v>80.144999999999996</v>
      </c>
      <c r="BF303">
        <v>8.9176000000000002</v>
      </c>
      <c r="BG303">
        <v>0.80400000000000005</v>
      </c>
      <c r="BH303">
        <v>6039.0430235999738</v>
      </c>
      <c r="BI303">
        <v>0.99199531433033972</v>
      </c>
      <c r="BJ303">
        <v>5990.7024000000001</v>
      </c>
      <c r="BK303">
        <v>2447.878272255</v>
      </c>
    </row>
    <row r="304" spans="1:63" x14ac:dyDescent="0.25">
      <c r="A304">
        <v>4510</v>
      </c>
      <c r="B304" t="s">
        <v>102</v>
      </c>
      <c r="C304">
        <v>2020</v>
      </c>
      <c r="D304">
        <v>1</v>
      </c>
      <c r="E304" t="s">
        <v>218</v>
      </c>
      <c r="F304" t="s">
        <v>219</v>
      </c>
      <c r="G304" t="s">
        <v>220</v>
      </c>
      <c r="H304" t="s">
        <v>17</v>
      </c>
      <c r="I304" t="s">
        <v>221</v>
      </c>
      <c r="J304" t="s">
        <v>222</v>
      </c>
      <c r="K304">
        <v>-253.77526341999999</v>
      </c>
      <c r="L304" t="s">
        <v>223</v>
      </c>
      <c r="M304" t="s">
        <v>231</v>
      </c>
      <c r="N304">
        <v>4.5018334813739999E-2</v>
      </c>
      <c r="O304">
        <v>11.42454</v>
      </c>
      <c r="P304" t="s">
        <v>21</v>
      </c>
      <c r="Q304">
        <v>1</v>
      </c>
      <c r="V304">
        <v>66303.072</v>
      </c>
      <c r="W304">
        <v>1</v>
      </c>
      <c r="X304">
        <v>1.1311694000000001E-5</v>
      </c>
      <c r="Y304">
        <v>0.75</v>
      </c>
      <c r="Z304">
        <v>8.5684050000000003</v>
      </c>
      <c r="AA304" t="s">
        <v>225</v>
      </c>
      <c r="AB304" t="s">
        <v>226</v>
      </c>
      <c r="AC304" t="s">
        <v>227</v>
      </c>
      <c r="AD304" t="s">
        <v>100</v>
      </c>
      <c r="AE304">
        <v>109.354</v>
      </c>
      <c r="AF304">
        <v>1.0727760310708341</v>
      </c>
      <c r="AG304">
        <v>117.31235010172</v>
      </c>
      <c r="AH304">
        <v>694.38</v>
      </c>
      <c r="AI304">
        <v>0.875</v>
      </c>
      <c r="AJ304">
        <v>71.276930955678296</v>
      </c>
      <c r="AK304">
        <v>0.96660000000000001</v>
      </c>
      <c r="AL304">
        <v>68.896000000000001</v>
      </c>
      <c r="AM304">
        <v>8.9176000000000002</v>
      </c>
      <c r="AN304">
        <v>9.5665875346772715</v>
      </c>
      <c r="AO304">
        <v>0.91300000000000003</v>
      </c>
      <c r="AP304">
        <v>6064.9193587765631</v>
      </c>
      <c r="AQ304">
        <v>0.98316430020283985</v>
      </c>
      <c r="AR304">
        <v>5962.8122000000003</v>
      </c>
      <c r="AS304">
        <v>590.32883088000006</v>
      </c>
      <c r="AT304" t="s">
        <v>269</v>
      </c>
      <c r="AU304" t="s">
        <v>270</v>
      </c>
      <c r="AV304" t="s">
        <v>227</v>
      </c>
      <c r="AW304" t="s">
        <v>100</v>
      </c>
      <c r="AX304">
        <v>109.354</v>
      </c>
      <c r="AY304">
        <v>1.080821157758461</v>
      </c>
      <c r="AZ304">
        <v>118.1921168855188</v>
      </c>
      <c r="BA304">
        <v>779.31</v>
      </c>
      <c r="BB304">
        <v>0.879</v>
      </c>
      <c r="BC304">
        <v>80.963194478237142</v>
      </c>
      <c r="BD304">
        <v>0.96560000000000001</v>
      </c>
      <c r="BE304">
        <v>78.177999999999997</v>
      </c>
      <c r="BF304">
        <v>8.9176000000000002</v>
      </c>
      <c r="BG304">
        <v>0.80400000000000005</v>
      </c>
      <c r="BH304">
        <v>6039.0430235999738</v>
      </c>
      <c r="BI304">
        <v>0.98955375253549693</v>
      </c>
      <c r="BJ304">
        <v>5975.9576999999999</v>
      </c>
      <c r="BK304">
        <v>669.86076608999997</v>
      </c>
    </row>
    <row r="305" spans="1:63" x14ac:dyDescent="0.25">
      <c r="A305">
        <v>4512</v>
      </c>
      <c r="B305" t="s">
        <v>102</v>
      </c>
      <c r="C305">
        <v>2020</v>
      </c>
      <c r="D305">
        <v>1</v>
      </c>
      <c r="E305" t="s">
        <v>218</v>
      </c>
      <c r="F305" t="s">
        <v>219</v>
      </c>
      <c r="G305" t="s">
        <v>220</v>
      </c>
      <c r="H305" t="s">
        <v>17</v>
      </c>
      <c r="I305" t="s">
        <v>221</v>
      </c>
      <c r="J305" t="s">
        <v>222</v>
      </c>
      <c r="K305">
        <v>-253.77526341999999</v>
      </c>
      <c r="L305" t="s">
        <v>223</v>
      </c>
      <c r="M305" t="s">
        <v>232</v>
      </c>
      <c r="N305">
        <v>0.87398007306502001</v>
      </c>
      <c r="O305">
        <v>221.794523</v>
      </c>
      <c r="P305" t="s">
        <v>21</v>
      </c>
      <c r="Q305">
        <v>1</v>
      </c>
      <c r="V305">
        <v>66303.072</v>
      </c>
      <c r="W305">
        <v>1</v>
      </c>
      <c r="X305">
        <v>1.1311694000000001E-5</v>
      </c>
      <c r="Y305">
        <v>0.75</v>
      </c>
      <c r="Z305">
        <v>166.34589199999999</v>
      </c>
      <c r="AA305" t="s">
        <v>225</v>
      </c>
      <c r="AB305" t="s">
        <v>226</v>
      </c>
      <c r="AC305" t="s">
        <v>227</v>
      </c>
      <c r="AD305" t="s">
        <v>101</v>
      </c>
      <c r="AE305">
        <v>109.354</v>
      </c>
      <c r="AF305">
        <v>1.0727760310708341</v>
      </c>
      <c r="AG305">
        <v>117.31235010172</v>
      </c>
      <c r="AH305">
        <v>694.38</v>
      </c>
      <c r="AI305">
        <v>0.875</v>
      </c>
      <c r="AJ305">
        <v>71.276930955678296</v>
      </c>
      <c r="AK305">
        <v>1.0077</v>
      </c>
      <c r="AL305">
        <v>71.825999999999993</v>
      </c>
      <c r="AM305">
        <v>8.9176000000000002</v>
      </c>
      <c r="AN305">
        <v>9.5665875346772715</v>
      </c>
      <c r="AO305">
        <v>0.91300000000000003</v>
      </c>
      <c r="AP305">
        <v>6064.9193587765631</v>
      </c>
      <c r="AQ305">
        <v>1.0255267423014589</v>
      </c>
      <c r="AR305">
        <v>6219.7370000000001</v>
      </c>
      <c r="AS305">
        <v>11947.960038792</v>
      </c>
      <c r="AT305" t="s">
        <v>269</v>
      </c>
      <c r="AU305" t="s">
        <v>270</v>
      </c>
      <c r="AV305" t="s">
        <v>227</v>
      </c>
      <c r="AW305" t="s">
        <v>101</v>
      </c>
      <c r="AX305">
        <v>109.354</v>
      </c>
      <c r="AY305">
        <v>1.080821157758461</v>
      </c>
      <c r="AZ305">
        <v>118.1921168855188</v>
      </c>
      <c r="BA305">
        <v>779.31</v>
      </c>
      <c r="BB305">
        <v>0.879</v>
      </c>
      <c r="BC305">
        <v>80.963194478237142</v>
      </c>
      <c r="BD305">
        <v>1.0097</v>
      </c>
      <c r="BE305">
        <v>81.748999999999995</v>
      </c>
      <c r="BF305">
        <v>8.9176000000000002</v>
      </c>
      <c r="BG305">
        <v>0.80400000000000005</v>
      </c>
      <c r="BH305">
        <v>6039.0430235999738</v>
      </c>
      <c r="BI305">
        <v>1.0276539708265799</v>
      </c>
      <c r="BJ305">
        <v>6206.0465000000004</v>
      </c>
      <c r="BK305">
        <v>13598.610325108</v>
      </c>
    </row>
    <row r="306" spans="1:63" x14ac:dyDescent="0.25">
      <c r="A306">
        <v>2242</v>
      </c>
      <c r="B306" t="s">
        <v>102</v>
      </c>
      <c r="C306">
        <v>2020</v>
      </c>
      <c r="D306">
        <v>1</v>
      </c>
      <c r="E306" t="s">
        <v>218</v>
      </c>
      <c r="F306" t="s">
        <v>219</v>
      </c>
      <c r="G306" t="s">
        <v>220</v>
      </c>
      <c r="H306" t="s">
        <v>17</v>
      </c>
      <c r="I306" t="s">
        <v>233</v>
      </c>
      <c r="J306" t="s">
        <v>234</v>
      </c>
      <c r="K306">
        <v>-1018.35171565</v>
      </c>
      <c r="L306" t="s">
        <v>234</v>
      </c>
      <c r="M306" t="s">
        <v>224</v>
      </c>
      <c r="N306">
        <v>8.5771088379299996E-3</v>
      </c>
      <c r="O306">
        <v>8.7345140000000008</v>
      </c>
      <c r="P306" t="s">
        <v>21</v>
      </c>
      <c r="Q306">
        <v>1</v>
      </c>
      <c r="V306">
        <v>66303.072</v>
      </c>
      <c r="W306">
        <v>1</v>
      </c>
      <c r="X306">
        <v>1.1311694000000001E-5</v>
      </c>
      <c r="Y306">
        <v>0.75</v>
      </c>
      <c r="Z306">
        <v>6.5508860000000002</v>
      </c>
      <c r="AA306" t="s">
        <v>225</v>
      </c>
      <c r="AB306" t="s">
        <v>226</v>
      </c>
      <c r="AC306" t="s">
        <v>227</v>
      </c>
      <c r="AD306" t="s">
        <v>153</v>
      </c>
      <c r="AE306">
        <v>109.354</v>
      </c>
      <c r="AF306">
        <v>1.0727760310708341</v>
      </c>
      <c r="AG306">
        <v>117.31235010172</v>
      </c>
      <c r="AH306">
        <v>694.38</v>
      </c>
      <c r="AI306">
        <v>0.875</v>
      </c>
      <c r="AJ306">
        <v>71.276930955678296</v>
      </c>
      <c r="AK306">
        <v>1.0034000000000001</v>
      </c>
      <c r="AL306">
        <v>71.519000000000005</v>
      </c>
      <c r="AM306">
        <v>8.9176000000000002</v>
      </c>
      <c r="AN306">
        <v>9.5665875346772715</v>
      </c>
      <c r="AO306">
        <v>0.91300000000000003</v>
      </c>
      <c r="AP306">
        <v>6064.9193587765631</v>
      </c>
      <c r="AQ306">
        <v>1</v>
      </c>
      <c r="AR306">
        <v>6064.9193999999998</v>
      </c>
      <c r="AS306">
        <v>468.51281583399998</v>
      </c>
      <c r="AT306" t="s">
        <v>269</v>
      </c>
      <c r="AU306" t="s">
        <v>270</v>
      </c>
      <c r="AV306" t="s">
        <v>227</v>
      </c>
      <c r="AW306" t="s">
        <v>153</v>
      </c>
      <c r="AX306">
        <v>109.354</v>
      </c>
      <c r="AY306">
        <v>1.080821157758461</v>
      </c>
      <c r="AZ306">
        <v>118.1921168855188</v>
      </c>
      <c r="BA306">
        <v>779.31</v>
      </c>
      <c r="BB306">
        <v>0.879</v>
      </c>
      <c r="BC306">
        <v>80.963194478237142</v>
      </c>
      <c r="BD306">
        <v>1.0078</v>
      </c>
      <c r="BE306">
        <v>81.594999999999999</v>
      </c>
      <c r="BF306">
        <v>8.9176000000000002</v>
      </c>
      <c r="BG306">
        <v>0.80400000000000005</v>
      </c>
      <c r="BH306">
        <v>6039.0430235999738</v>
      </c>
      <c r="BI306">
        <v>1</v>
      </c>
      <c r="BJ306">
        <v>6039.0429999999997</v>
      </c>
      <c r="BK306">
        <v>534.51954317000002</v>
      </c>
    </row>
    <row r="307" spans="1:63" x14ac:dyDescent="0.25">
      <c r="A307">
        <v>2244</v>
      </c>
      <c r="B307" t="s">
        <v>102</v>
      </c>
      <c r="C307">
        <v>2020</v>
      </c>
      <c r="D307">
        <v>1</v>
      </c>
      <c r="E307" t="s">
        <v>218</v>
      </c>
      <c r="F307" t="s">
        <v>219</v>
      </c>
      <c r="G307" t="s">
        <v>220</v>
      </c>
      <c r="H307" t="s">
        <v>17</v>
      </c>
      <c r="I307" t="s">
        <v>233</v>
      </c>
      <c r="J307" t="s">
        <v>234</v>
      </c>
      <c r="K307">
        <v>-1018.35171565</v>
      </c>
      <c r="L307" t="s">
        <v>234</v>
      </c>
      <c r="M307" t="s">
        <v>235</v>
      </c>
      <c r="N307">
        <v>0.60124209651893001</v>
      </c>
      <c r="O307">
        <v>612.27592100000004</v>
      </c>
      <c r="P307" t="s">
        <v>21</v>
      </c>
      <c r="Q307">
        <v>1</v>
      </c>
      <c r="V307">
        <v>66303.072</v>
      </c>
      <c r="W307">
        <v>1</v>
      </c>
      <c r="X307">
        <v>1.1311694000000001E-5</v>
      </c>
      <c r="Y307">
        <v>0.75</v>
      </c>
      <c r="Z307">
        <v>459.20694099999997</v>
      </c>
      <c r="AA307" t="s">
        <v>225</v>
      </c>
      <c r="AB307" t="s">
        <v>226</v>
      </c>
      <c r="AC307" t="s">
        <v>227</v>
      </c>
      <c r="AD307" t="s">
        <v>154</v>
      </c>
      <c r="AE307">
        <v>109.354</v>
      </c>
      <c r="AF307">
        <v>1.0727760310708341</v>
      </c>
      <c r="AG307">
        <v>117.31235010172</v>
      </c>
      <c r="AH307">
        <v>694.38</v>
      </c>
      <c r="AI307">
        <v>0.875</v>
      </c>
      <c r="AJ307">
        <v>71.276930955678296</v>
      </c>
      <c r="AK307">
        <v>1.0179</v>
      </c>
      <c r="AL307">
        <v>72.552999999999997</v>
      </c>
      <c r="AM307">
        <v>8.9176000000000002</v>
      </c>
      <c r="AN307">
        <v>9.5665875346772715</v>
      </c>
      <c r="AO307">
        <v>0.91300000000000003</v>
      </c>
      <c r="AP307">
        <v>6064.9193587765631</v>
      </c>
      <c r="AQ307">
        <v>0.98975009761811794</v>
      </c>
      <c r="AR307">
        <v>6002.7545</v>
      </c>
      <c r="AS307">
        <v>33316.841190372987</v>
      </c>
      <c r="AT307" t="s">
        <v>269</v>
      </c>
      <c r="AU307" t="s">
        <v>270</v>
      </c>
      <c r="AV307" t="s">
        <v>227</v>
      </c>
      <c r="AW307" t="s">
        <v>154</v>
      </c>
      <c r="AX307">
        <v>109.354</v>
      </c>
      <c r="AY307">
        <v>1.080821157758461</v>
      </c>
      <c r="AZ307">
        <v>118.1921168855188</v>
      </c>
      <c r="BA307">
        <v>779.31</v>
      </c>
      <c r="BB307">
        <v>0.879</v>
      </c>
      <c r="BC307">
        <v>80.963194478237142</v>
      </c>
      <c r="BD307">
        <v>0.9899</v>
      </c>
      <c r="BE307">
        <v>80.144999999999996</v>
      </c>
      <c r="BF307">
        <v>8.9176000000000002</v>
      </c>
      <c r="BG307">
        <v>0.80400000000000005</v>
      </c>
      <c r="BH307">
        <v>6039.0430235999738</v>
      </c>
      <c r="BI307">
        <v>0.99199531433033972</v>
      </c>
      <c r="BJ307">
        <v>5990.7024000000001</v>
      </c>
      <c r="BK307">
        <v>36803.140286444999</v>
      </c>
    </row>
    <row r="308" spans="1:63" x14ac:dyDescent="0.25">
      <c r="A308">
        <v>2246</v>
      </c>
      <c r="B308" t="s">
        <v>102</v>
      </c>
      <c r="C308">
        <v>2020</v>
      </c>
      <c r="D308">
        <v>1</v>
      </c>
      <c r="E308" t="s">
        <v>218</v>
      </c>
      <c r="F308" t="s">
        <v>219</v>
      </c>
      <c r="G308" t="s">
        <v>220</v>
      </c>
      <c r="H308" t="s">
        <v>17</v>
      </c>
      <c r="I308" t="s">
        <v>233</v>
      </c>
      <c r="J308" t="s">
        <v>234</v>
      </c>
      <c r="K308">
        <v>-1018.35171565</v>
      </c>
      <c r="L308" t="s">
        <v>234</v>
      </c>
      <c r="M308" t="s">
        <v>236</v>
      </c>
      <c r="N308">
        <v>1.9808691721710001E-2</v>
      </c>
      <c r="O308">
        <v>20.172215000000001</v>
      </c>
      <c r="P308" t="s">
        <v>21</v>
      </c>
      <c r="Q308">
        <v>1</v>
      </c>
      <c r="V308">
        <v>66303.072</v>
      </c>
      <c r="W308">
        <v>1</v>
      </c>
      <c r="X308">
        <v>1.1311694000000001E-5</v>
      </c>
      <c r="Y308">
        <v>0.75</v>
      </c>
      <c r="Z308">
        <v>15.129161</v>
      </c>
      <c r="AA308" t="s">
        <v>225</v>
      </c>
      <c r="AB308" t="s">
        <v>226</v>
      </c>
      <c r="AC308" t="s">
        <v>227</v>
      </c>
      <c r="AD308" t="s">
        <v>100</v>
      </c>
      <c r="AE308">
        <v>109.354</v>
      </c>
      <c r="AF308">
        <v>1.0727760310708341</v>
      </c>
      <c r="AG308">
        <v>117.31235010172</v>
      </c>
      <c r="AH308">
        <v>694.38</v>
      </c>
      <c r="AI308">
        <v>0.875</v>
      </c>
      <c r="AJ308">
        <v>71.276930955678296</v>
      </c>
      <c r="AK308">
        <v>0.96660000000000001</v>
      </c>
      <c r="AL308">
        <v>68.896000000000001</v>
      </c>
      <c r="AM308">
        <v>8.9176000000000002</v>
      </c>
      <c r="AN308">
        <v>9.5665875346772715</v>
      </c>
      <c r="AO308">
        <v>0.91300000000000003</v>
      </c>
      <c r="AP308">
        <v>6064.9193587765631</v>
      </c>
      <c r="AQ308">
        <v>0.98316430020283985</v>
      </c>
      <c r="AR308">
        <v>5962.8122000000003</v>
      </c>
      <c r="AS308">
        <v>1042.3386762560001</v>
      </c>
      <c r="AT308" t="s">
        <v>269</v>
      </c>
      <c r="AU308" t="s">
        <v>270</v>
      </c>
      <c r="AV308" t="s">
        <v>227</v>
      </c>
      <c r="AW308" t="s">
        <v>100</v>
      </c>
      <c r="AX308">
        <v>109.354</v>
      </c>
      <c r="AY308">
        <v>1.080821157758461</v>
      </c>
      <c r="AZ308">
        <v>118.1921168855188</v>
      </c>
      <c r="BA308">
        <v>779.31</v>
      </c>
      <c r="BB308">
        <v>0.879</v>
      </c>
      <c r="BC308">
        <v>80.963194478237142</v>
      </c>
      <c r="BD308">
        <v>0.96560000000000001</v>
      </c>
      <c r="BE308">
        <v>78.177999999999997</v>
      </c>
      <c r="BF308">
        <v>8.9176000000000002</v>
      </c>
      <c r="BG308">
        <v>0.80400000000000005</v>
      </c>
      <c r="BH308">
        <v>6039.0430235999738</v>
      </c>
      <c r="BI308">
        <v>0.98955375253549693</v>
      </c>
      <c r="BJ308">
        <v>5975.9576999999999</v>
      </c>
      <c r="BK308">
        <v>1182.7675486579999</v>
      </c>
    </row>
    <row r="309" spans="1:63" x14ac:dyDescent="0.25">
      <c r="A309">
        <v>2248</v>
      </c>
      <c r="B309" t="s">
        <v>102</v>
      </c>
      <c r="C309">
        <v>2020</v>
      </c>
      <c r="D309">
        <v>1</v>
      </c>
      <c r="E309" t="s">
        <v>218</v>
      </c>
      <c r="F309" t="s">
        <v>219</v>
      </c>
      <c r="G309" t="s">
        <v>220</v>
      </c>
      <c r="H309" t="s">
        <v>17</v>
      </c>
      <c r="I309" t="s">
        <v>233</v>
      </c>
      <c r="J309" t="s">
        <v>234</v>
      </c>
      <c r="K309">
        <v>-1018.35171565</v>
      </c>
      <c r="L309" t="s">
        <v>234</v>
      </c>
      <c r="M309" t="s">
        <v>237</v>
      </c>
      <c r="N309">
        <v>0.39660634608572998</v>
      </c>
      <c r="O309">
        <v>403.88475299999999</v>
      </c>
      <c r="P309" t="s">
        <v>21</v>
      </c>
      <c r="Q309">
        <v>1</v>
      </c>
      <c r="V309">
        <v>66303.072</v>
      </c>
      <c r="W309">
        <v>1</v>
      </c>
      <c r="X309">
        <v>1.1311694000000001E-5</v>
      </c>
      <c r="Y309">
        <v>0.75</v>
      </c>
      <c r="Z309">
        <v>302.91356500000001</v>
      </c>
      <c r="AA309" t="s">
        <v>225</v>
      </c>
      <c r="AB309" t="s">
        <v>226</v>
      </c>
      <c r="AC309" t="s">
        <v>227</v>
      </c>
      <c r="AD309" t="s">
        <v>101</v>
      </c>
      <c r="AE309">
        <v>109.354</v>
      </c>
      <c r="AF309">
        <v>1.0727760310708341</v>
      </c>
      <c r="AG309">
        <v>117.31235010172</v>
      </c>
      <c r="AH309">
        <v>694.38</v>
      </c>
      <c r="AI309">
        <v>0.875</v>
      </c>
      <c r="AJ309">
        <v>71.276930955678296</v>
      </c>
      <c r="AK309">
        <v>1.0077</v>
      </c>
      <c r="AL309">
        <v>71.825999999999993</v>
      </c>
      <c r="AM309">
        <v>8.9176000000000002</v>
      </c>
      <c r="AN309">
        <v>9.5665875346772715</v>
      </c>
      <c r="AO309">
        <v>0.91300000000000003</v>
      </c>
      <c r="AP309">
        <v>6064.9193587765631</v>
      </c>
      <c r="AQ309">
        <v>1.0255267423014589</v>
      </c>
      <c r="AR309">
        <v>6219.7370000000001</v>
      </c>
      <c r="AS309">
        <v>21757.06971969</v>
      </c>
      <c r="AT309" t="s">
        <v>269</v>
      </c>
      <c r="AU309" t="s">
        <v>270</v>
      </c>
      <c r="AV309" t="s">
        <v>227</v>
      </c>
      <c r="AW309" t="s">
        <v>101</v>
      </c>
      <c r="AX309">
        <v>109.354</v>
      </c>
      <c r="AY309">
        <v>1.080821157758461</v>
      </c>
      <c r="AZ309">
        <v>118.1921168855188</v>
      </c>
      <c r="BA309">
        <v>779.31</v>
      </c>
      <c r="BB309">
        <v>0.879</v>
      </c>
      <c r="BC309">
        <v>80.963194478237142</v>
      </c>
      <c r="BD309">
        <v>1.0097</v>
      </c>
      <c r="BE309">
        <v>81.748999999999995</v>
      </c>
      <c r="BF309">
        <v>8.9176000000000002</v>
      </c>
      <c r="BG309">
        <v>0.80400000000000005</v>
      </c>
      <c r="BH309">
        <v>6039.0430235999738</v>
      </c>
      <c r="BI309">
        <v>1.0276539708265799</v>
      </c>
      <c r="BJ309">
        <v>6206.0465000000004</v>
      </c>
      <c r="BK309">
        <v>24762.881025185001</v>
      </c>
    </row>
    <row r="310" spans="1:63" x14ac:dyDescent="0.25">
      <c r="A310">
        <v>2242</v>
      </c>
      <c r="B310" t="s">
        <v>102</v>
      </c>
      <c r="C310">
        <v>2020</v>
      </c>
      <c r="D310">
        <v>1</v>
      </c>
      <c r="E310" t="s">
        <v>218</v>
      </c>
      <c r="F310" t="s">
        <v>219</v>
      </c>
      <c r="G310" t="s">
        <v>220</v>
      </c>
      <c r="H310" t="s">
        <v>17</v>
      </c>
      <c r="I310" t="s">
        <v>238</v>
      </c>
      <c r="J310" t="s">
        <v>239</v>
      </c>
      <c r="K310">
        <v>-191.62301454999999</v>
      </c>
      <c r="L310" t="s">
        <v>240</v>
      </c>
      <c r="M310" t="s">
        <v>224</v>
      </c>
      <c r="N310">
        <v>1.1109205873409999E-2</v>
      </c>
      <c r="O310">
        <v>2.1287799999999999</v>
      </c>
      <c r="P310" t="s">
        <v>21</v>
      </c>
      <c r="Q310">
        <v>1</v>
      </c>
      <c r="V310">
        <v>66303.072</v>
      </c>
      <c r="W310">
        <v>1</v>
      </c>
      <c r="X310">
        <v>1.1311694000000001E-5</v>
      </c>
      <c r="Y310">
        <v>0.75</v>
      </c>
      <c r="Z310">
        <v>1.5965849999999999</v>
      </c>
      <c r="AA310" t="s">
        <v>225</v>
      </c>
      <c r="AB310" t="s">
        <v>226</v>
      </c>
      <c r="AC310" t="s">
        <v>227</v>
      </c>
      <c r="AD310" t="s">
        <v>153</v>
      </c>
      <c r="AE310">
        <v>109.354</v>
      </c>
      <c r="AF310">
        <v>1.0727760310708341</v>
      </c>
      <c r="AG310">
        <v>117.31235010172</v>
      </c>
      <c r="AH310">
        <v>694.38</v>
      </c>
      <c r="AI310">
        <v>0.875</v>
      </c>
      <c r="AJ310">
        <v>71.276930955678296</v>
      </c>
      <c r="AK310">
        <v>1.0034000000000001</v>
      </c>
      <c r="AL310">
        <v>71.519000000000005</v>
      </c>
      <c r="AM310">
        <v>8.9176000000000002</v>
      </c>
      <c r="AN310">
        <v>9.5665875346772715</v>
      </c>
      <c r="AO310">
        <v>0.91300000000000003</v>
      </c>
      <c r="AP310">
        <v>6064.9193587765631</v>
      </c>
      <c r="AQ310">
        <v>1</v>
      </c>
      <c r="AR310">
        <v>6064.9193999999998</v>
      </c>
      <c r="AS310">
        <v>114.186162615</v>
      </c>
      <c r="AT310" t="s">
        <v>269</v>
      </c>
      <c r="AU310" t="s">
        <v>270</v>
      </c>
      <c r="AV310" t="s">
        <v>227</v>
      </c>
      <c r="AW310" t="s">
        <v>153</v>
      </c>
      <c r="AX310">
        <v>109.354</v>
      </c>
      <c r="AY310">
        <v>1.080821157758461</v>
      </c>
      <c r="AZ310">
        <v>118.1921168855188</v>
      </c>
      <c r="BA310">
        <v>779.31</v>
      </c>
      <c r="BB310">
        <v>0.879</v>
      </c>
      <c r="BC310">
        <v>80.963194478237142</v>
      </c>
      <c r="BD310">
        <v>1.0078</v>
      </c>
      <c r="BE310">
        <v>81.594999999999999</v>
      </c>
      <c r="BF310">
        <v>8.9176000000000002</v>
      </c>
      <c r="BG310">
        <v>0.80400000000000005</v>
      </c>
      <c r="BH310">
        <v>6039.0430235999738</v>
      </c>
      <c r="BI310">
        <v>1</v>
      </c>
      <c r="BJ310">
        <v>6039.0429999999997</v>
      </c>
      <c r="BK310">
        <v>130.27335307499999</v>
      </c>
    </row>
    <row r="311" spans="1:63" x14ac:dyDescent="0.25">
      <c r="A311">
        <v>2244</v>
      </c>
      <c r="B311" t="s">
        <v>102</v>
      </c>
      <c r="C311">
        <v>2020</v>
      </c>
      <c r="D311">
        <v>1</v>
      </c>
      <c r="E311" t="s">
        <v>218</v>
      </c>
      <c r="F311" t="s">
        <v>219</v>
      </c>
      <c r="G311" t="s">
        <v>220</v>
      </c>
      <c r="H311" t="s">
        <v>17</v>
      </c>
      <c r="I311" t="s">
        <v>238</v>
      </c>
      <c r="J311" t="s">
        <v>239</v>
      </c>
      <c r="K311">
        <v>-191.62301454999999</v>
      </c>
      <c r="L311" t="s">
        <v>240</v>
      </c>
      <c r="M311" t="s">
        <v>235</v>
      </c>
      <c r="N311">
        <v>0.58148407621825005</v>
      </c>
      <c r="O311">
        <v>111.425732</v>
      </c>
      <c r="P311" t="s">
        <v>21</v>
      </c>
      <c r="Q311">
        <v>1</v>
      </c>
      <c r="V311">
        <v>66303.072</v>
      </c>
      <c r="W311">
        <v>1</v>
      </c>
      <c r="X311">
        <v>1.1311694000000001E-5</v>
      </c>
      <c r="Y311">
        <v>0.75</v>
      </c>
      <c r="Z311">
        <v>83.569299000000001</v>
      </c>
      <c r="AA311" t="s">
        <v>225</v>
      </c>
      <c r="AB311" t="s">
        <v>226</v>
      </c>
      <c r="AC311" t="s">
        <v>227</v>
      </c>
      <c r="AD311" t="s">
        <v>154</v>
      </c>
      <c r="AE311">
        <v>109.354</v>
      </c>
      <c r="AF311">
        <v>1.0727760310708341</v>
      </c>
      <c r="AG311">
        <v>117.31235010172</v>
      </c>
      <c r="AH311">
        <v>694.38</v>
      </c>
      <c r="AI311">
        <v>0.875</v>
      </c>
      <c r="AJ311">
        <v>71.276930955678296</v>
      </c>
      <c r="AK311">
        <v>1.0179</v>
      </c>
      <c r="AL311">
        <v>72.552999999999997</v>
      </c>
      <c r="AM311">
        <v>8.9176000000000002</v>
      </c>
      <c r="AN311">
        <v>9.5665875346772715</v>
      </c>
      <c r="AO311">
        <v>0.91300000000000003</v>
      </c>
      <c r="AP311">
        <v>6064.9193587765631</v>
      </c>
      <c r="AQ311">
        <v>0.98975009761811794</v>
      </c>
      <c r="AR311">
        <v>6002.7545</v>
      </c>
      <c r="AS311">
        <v>6063.2033503470002</v>
      </c>
      <c r="AT311" t="s">
        <v>269</v>
      </c>
      <c r="AU311" t="s">
        <v>270</v>
      </c>
      <c r="AV311" t="s">
        <v>227</v>
      </c>
      <c r="AW311" t="s">
        <v>154</v>
      </c>
      <c r="AX311">
        <v>109.354</v>
      </c>
      <c r="AY311">
        <v>1.080821157758461</v>
      </c>
      <c r="AZ311">
        <v>118.1921168855188</v>
      </c>
      <c r="BA311">
        <v>779.31</v>
      </c>
      <c r="BB311">
        <v>0.879</v>
      </c>
      <c r="BC311">
        <v>80.963194478237142</v>
      </c>
      <c r="BD311">
        <v>0.9899</v>
      </c>
      <c r="BE311">
        <v>80.144999999999996</v>
      </c>
      <c r="BF311">
        <v>8.9176000000000002</v>
      </c>
      <c r="BG311">
        <v>0.80400000000000005</v>
      </c>
      <c r="BH311">
        <v>6039.0430235999738</v>
      </c>
      <c r="BI311">
        <v>0.99199531433033972</v>
      </c>
      <c r="BJ311">
        <v>5990.7024000000001</v>
      </c>
      <c r="BK311">
        <v>6697.6614683549997</v>
      </c>
    </row>
    <row r="312" spans="1:63" x14ac:dyDescent="0.25">
      <c r="A312">
        <v>2246</v>
      </c>
      <c r="B312" t="s">
        <v>102</v>
      </c>
      <c r="C312">
        <v>2020</v>
      </c>
      <c r="D312">
        <v>1</v>
      </c>
      <c r="E312" t="s">
        <v>218</v>
      </c>
      <c r="F312" t="s">
        <v>219</v>
      </c>
      <c r="G312" t="s">
        <v>220</v>
      </c>
      <c r="H312" t="s">
        <v>17</v>
      </c>
      <c r="I312" t="s">
        <v>238</v>
      </c>
      <c r="J312" t="s">
        <v>239</v>
      </c>
      <c r="K312">
        <v>-191.62301454999999</v>
      </c>
      <c r="L312" t="s">
        <v>240</v>
      </c>
      <c r="M312" t="s">
        <v>236</v>
      </c>
      <c r="N312">
        <v>1.8083569973560001E-2</v>
      </c>
      <c r="O312">
        <v>3.4652280000000002</v>
      </c>
      <c r="P312" t="s">
        <v>21</v>
      </c>
      <c r="Q312">
        <v>1</v>
      </c>
      <c r="V312">
        <v>66303.072</v>
      </c>
      <c r="W312">
        <v>1</v>
      </c>
      <c r="X312">
        <v>1.1311694000000001E-5</v>
      </c>
      <c r="Y312">
        <v>0.75</v>
      </c>
      <c r="Z312">
        <v>2.5989209999999998</v>
      </c>
      <c r="AA312" t="s">
        <v>225</v>
      </c>
      <c r="AB312" t="s">
        <v>226</v>
      </c>
      <c r="AC312" t="s">
        <v>227</v>
      </c>
      <c r="AD312" t="s">
        <v>100</v>
      </c>
      <c r="AE312">
        <v>109.354</v>
      </c>
      <c r="AF312">
        <v>1.0727760310708341</v>
      </c>
      <c r="AG312">
        <v>117.31235010172</v>
      </c>
      <c r="AH312">
        <v>694.38</v>
      </c>
      <c r="AI312">
        <v>0.875</v>
      </c>
      <c r="AJ312">
        <v>71.276930955678296</v>
      </c>
      <c r="AK312">
        <v>0.96660000000000001</v>
      </c>
      <c r="AL312">
        <v>68.896000000000001</v>
      </c>
      <c r="AM312">
        <v>8.9176000000000002</v>
      </c>
      <c r="AN312">
        <v>9.5665875346772715</v>
      </c>
      <c r="AO312">
        <v>0.91300000000000003</v>
      </c>
      <c r="AP312">
        <v>6064.9193587765631</v>
      </c>
      <c r="AQ312">
        <v>0.98316430020283985</v>
      </c>
      <c r="AR312">
        <v>5962.8122000000003</v>
      </c>
      <c r="AS312">
        <v>179.05526121599999</v>
      </c>
      <c r="AT312" t="s">
        <v>269</v>
      </c>
      <c r="AU312" t="s">
        <v>270</v>
      </c>
      <c r="AV312" t="s">
        <v>227</v>
      </c>
      <c r="AW312" t="s">
        <v>100</v>
      </c>
      <c r="AX312">
        <v>109.354</v>
      </c>
      <c r="AY312">
        <v>1.080821157758461</v>
      </c>
      <c r="AZ312">
        <v>118.1921168855188</v>
      </c>
      <c r="BA312">
        <v>779.31</v>
      </c>
      <c r="BB312">
        <v>0.879</v>
      </c>
      <c r="BC312">
        <v>80.963194478237142</v>
      </c>
      <c r="BD312">
        <v>0.96560000000000001</v>
      </c>
      <c r="BE312">
        <v>78.177999999999997</v>
      </c>
      <c r="BF312">
        <v>8.9176000000000002</v>
      </c>
      <c r="BG312">
        <v>0.80400000000000005</v>
      </c>
      <c r="BH312">
        <v>6039.0430235999738</v>
      </c>
      <c r="BI312">
        <v>0.98955375253549693</v>
      </c>
      <c r="BJ312">
        <v>5975.9576999999999</v>
      </c>
      <c r="BK312">
        <v>203.17844593800001</v>
      </c>
    </row>
    <row r="313" spans="1:63" x14ac:dyDescent="0.25">
      <c r="A313">
        <v>2248</v>
      </c>
      <c r="B313" t="s">
        <v>102</v>
      </c>
      <c r="C313">
        <v>2020</v>
      </c>
      <c r="D313">
        <v>1</v>
      </c>
      <c r="E313" t="s">
        <v>218</v>
      </c>
      <c r="F313" t="s">
        <v>219</v>
      </c>
      <c r="G313" t="s">
        <v>220</v>
      </c>
      <c r="H313" t="s">
        <v>17</v>
      </c>
      <c r="I313" t="s">
        <v>238</v>
      </c>
      <c r="J313" t="s">
        <v>239</v>
      </c>
      <c r="K313">
        <v>-191.62301454999999</v>
      </c>
      <c r="L313" t="s">
        <v>240</v>
      </c>
      <c r="M313" t="s">
        <v>237</v>
      </c>
      <c r="N313">
        <v>0.41680683696206</v>
      </c>
      <c r="O313">
        <v>79.869782999999998</v>
      </c>
      <c r="P313" t="s">
        <v>21</v>
      </c>
      <c r="Q313">
        <v>1</v>
      </c>
      <c r="V313">
        <v>66303.072</v>
      </c>
      <c r="W313">
        <v>1</v>
      </c>
      <c r="X313">
        <v>1.1311694000000001E-5</v>
      </c>
      <c r="Y313">
        <v>0.75</v>
      </c>
      <c r="Z313">
        <v>59.902337000000003</v>
      </c>
      <c r="AA313" t="s">
        <v>225</v>
      </c>
      <c r="AB313" t="s">
        <v>226</v>
      </c>
      <c r="AC313" t="s">
        <v>227</v>
      </c>
      <c r="AD313" t="s">
        <v>101</v>
      </c>
      <c r="AE313">
        <v>109.354</v>
      </c>
      <c r="AF313">
        <v>1.0727760310708341</v>
      </c>
      <c r="AG313">
        <v>117.31235010172</v>
      </c>
      <c r="AH313">
        <v>694.38</v>
      </c>
      <c r="AI313">
        <v>0.875</v>
      </c>
      <c r="AJ313">
        <v>71.276930955678296</v>
      </c>
      <c r="AK313">
        <v>1.0077</v>
      </c>
      <c r="AL313">
        <v>71.825999999999993</v>
      </c>
      <c r="AM313">
        <v>8.9176000000000002</v>
      </c>
      <c r="AN313">
        <v>9.5665875346772715</v>
      </c>
      <c r="AO313">
        <v>0.91300000000000003</v>
      </c>
      <c r="AP313">
        <v>6064.9193587765631</v>
      </c>
      <c r="AQ313">
        <v>1.0255267423014589</v>
      </c>
      <c r="AR313">
        <v>6219.7370000000001</v>
      </c>
      <c r="AS313">
        <v>4302.5452573619996</v>
      </c>
      <c r="AT313" t="s">
        <v>269</v>
      </c>
      <c r="AU313" t="s">
        <v>270</v>
      </c>
      <c r="AV313" t="s">
        <v>227</v>
      </c>
      <c r="AW313" t="s">
        <v>101</v>
      </c>
      <c r="AX313">
        <v>109.354</v>
      </c>
      <c r="AY313">
        <v>1.080821157758461</v>
      </c>
      <c r="AZ313">
        <v>118.1921168855188</v>
      </c>
      <c r="BA313">
        <v>779.31</v>
      </c>
      <c r="BB313">
        <v>0.879</v>
      </c>
      <c r="BC313">
        <v>80.963194478237142</v>
      </c>
      <c r="BD313">
        <v>1.0097</v>
      </c>
      <c r="BE313">
        <v>81.748999999999995</v>
      </c>
      <c r="BF313">
        <v>8.9176000000000002</v>
      </c>
      <c r="BG313">
        <v>0.80400000000000005</v>
      </c>
      <c r="BH313">
        <v>6039.0430235999738</v>
      </c>
      <c r="BI313">
        <v>1.0276539708265799</v>
      </c>
      <c r="BJ313">
        <v>6206.0465000000004</v>
      </c>
      <c r="BK313">
        <v>4896.9561474129996</v>
      </c>
    </row>
    <row r="314" spans="1:63" x14ac:dyDescent="0.25">
      <c r="A314">
        <v>3380</v>
      </c>
      <c r="B314" t="s">
        <v>102</v>
      </c>
      <c r="C314">
        <v>2020</v>
      </c>
      <c r="D314">
        <v>1</v>
      </c>
      <c r="E314" t="s">
        <v>218</v>
      </c>
      <c r="F314" t="s">
        <v>219</v>
      </c>
      <c r="G314" t="s">
        <v>220</v>
      </c>
      <c r="H314" t="s">
        <v>17</v>
      </c>
      <c r="I314" t="s">
        <v>241</v>
      </c>
      <c r="J314" t="s">
        <v>242</v>
      </c>
      <c r="K314">
        <v>-75.618379059999995</v>
      </c>
      <c r="L314" t="s">
        <v>242</v>
      </c>
      <c r="M314" t="s">
        <v>235</v>
      </c>
      <c r="N314">
        <v>0.67001574769252004</v>
      </c>
      <c r="O314">
        <v>50.665505000000003</v>
      </c>
      <c r="P314" t="s">
        <v>21</v>
      </c>
      <c r="Q314">
        <v>1</v>
      </c>
      <c r="V314">
        <v>66303.072</v>
      </c>
      <c r="W314">
        <v>1</v>
      </c>
      <c r="X314">
        <v>1.1311694000000001E-5</v>
      </c>
      <c r="Y314">
        <v>0.75</v>
      </c>
      <c r="Z314">
        <v>37.999129000000003</v>
      </c>
      <c r="AA314" t="s">
        <v>225</v>
      </c>
      <c r="AB314" t="s">
        <v>226</v>
      </c>
      <c r="AC314" t="s">
        <v>227</v>
      </c>
      <c r="AD314" t="s">
        <v>154</v>
      </c>
      <c r="AE314">
        <v>109.354</v>
      </c>
      <c r="AF314">
        <v>1.0727760310708341</v>
      </c>
      <c r="AG314">
        <v>117.31235010172</v>
      </c>
      <c r="AH314">
        <v>694.38</v>
      </c>
      <c r="AI314">
        <v>0.875</v>
      </c>
      <c r="AJ314">
        <v>71.276930955678296</v>
      </c>
      <c r="AK314">
        <v>1.0179</v>
      </c>
      <c r="AL314">
        <v>72.552999999999997</v>
      </c>
      <c r="AM314">
        <v>8.9176000000000002</v>
      </c>
      <c r="AN314">
        <v>9.5665875346772715</v>
      </c>
      <c r="AO314">
        <v>0.91300000000000003</v>
      </c>
      <c r="AP314">
        <v>6064.9193587765631</v>
      </c>
      <c r="AQ314">
        <v>0.98975009761811794</v>
      </c>
      <c r="AR314">
        <v>6002.7545</v>
      </c>
      <c r="AS314">
        <v>2756.9508063369999</v>
      </c>
      <c r="AT314" t="s">
        <v>269</v>
      </c>
      <c r="AU314" t="s">
        <v>270</v>
      </c>
      <c r="AV314" t="s">
        <v>227</v>
      </c>
      <c r="AW314" t="s">
        <v>154</v>
      </c>
      <c r="AX314">
        <v>109.354</v>
      </c>
      <c r="AY314">
        <v>1.080821157758461</v>
      </c>
      <c r="AZ314">
        <v>118.1921168855188</v>
      </c>
      <c r="BA314">
        <v>779.31</v>
      </c>
      <c r="BB314">
        <v>0.879</v>
      </c>
      <c r="BC314">
        <v>80.963194478237142</v>
      </c>
      <c r="BD314">
        <v>0.9899</v>
      </c>
      <c r="BE314">
        <v>80.144999999999996</v>
      </c>
      <c r="BF314">
        <v>8.9176000000000002</v>
      </c>
      <c r="BG314">
        <v>0.80400000000000005</v>
      </c>
      <c r="BH314">
        <v>6039.0430235999738</v>
      </c>
      <c r="BI314">
        <v>0.99199531433033972</v>
      </c>
      <c r="BJ314">
        <v>5990.7024000000001</v>
      </c>
      <c r="BK314">
        <v>3045.4401937050002</v>
      </c>
    </row>
    <row r="315" spans="1:63" x14ac:dyDescent="0.25">
      <c r="A315">
        <v>3382</v>
      </c>
      <c r="B315" t="s">
        <v>102</v>
      </c>
      <c r="C315">
        <v>2020</v>
      </c>
      <c r="D315">
        <v>1</v>
      </c>
      <c r="E315" t="s">
        <v>218</v>
      </c>
      <c r="F315" t="s">
        <v>219</v>
      </c>
      <c r="G315" t="s">
        <v>220</v>
      </c>
      <c r="H315" t="s">
        <v>17</v>
      </c>
      <c r="I315" t="s">
        <v>241</v>
      </c>
      <c r="J315" t="s">
        <v>242</v>
      </c>
      <c r="K315">
        <v>-75.618379059999995</v>
      </c>
      <c r="L315" t="s">
        <v>242</v>
      </c>
      <c r="M315" t="s">
        <v>236</v>
      </c>
      <c r="N315">
        <v>1.442552100634E-2</v>
      </c>
      <c r="O315">
        <v>1.090835</v>
      </c>
      <c r="P315" t="s">
        <v>21</v>
      </c>
      <c r="Q315">
        <v>1</v>
      </c>
      <c r="V315">
        <v>66303.072</v>
      </c>
      <c r="W315">
        <v>1</v>
      </c>
      <c r="X315">
        <v>1.1311694000000001E-5</v>
      </c>
      <c r="Y315">
        <v>0.75</v>
      </c>
      <c r="Z315">
        <v>0.81812600000000002</v>
      </c>
      <c r="AA315" t="s">
        <v>225</v>
      </c>
      <c r="AB315" t="s">
        <v>226</v>
      </c>
      <c r="AC315" t="s">
        <v>227</v>
      </c>
      <c r="AD315" t="s">
        <v>100</v>
      </c>
      <c r="AE315">
        <v>109.354</v>
      </c>
      <c r="AF315">
        <v>1.0727760310708341</v>
      </c>
      <c r="AG315">
        <v>117.31235010172</v>
      </c>
      <c r="AH315">
        <v>694.38</v>
      </c>
      <c r="AI315">
        <v>0.875</v>
      </c>
      <c r="AJ315">
        <v>71.276930955678296</v>
      </c>
      <c r="AK315">
        <v>0.96660000000000001</v>
      </c>
      <c r="AL315">
        <v>68.896000000000001</v>
      </c>
      <c r="AM315">
        <v>8.9176000000000002</v>
      </c>
      <c r="AN315">
        <v>9.5665875346772715</v>
      </c>
      <c r="AO315">
        <v>0.91300000000000003</v>
      </c>
      <c r="AP315">
        <v>6064.9193587765631</v>
      </c>
      <c r="AQ315">
        <v>0.98316430020283985</v>
      </c>
      <c r="AR315">
        <v>5962.8122000000003</v>
      </c>
      <c r="AS315">
        <v>56.365608895999998</v>
      </c>
      <c r="AT315" t="s">
        <v>269</v>
      </c>
      <c r="AU315" t="s">
        <v>270</v>
      </c>
      <c r="AV315" t="s">
        <v>227</v>
      </c>
      <c r="AW315" t="s">
        <v>100</v>
      </c>
      <c r="AX315">
        <v>109.354</v>
      </c>
      <c r="AY315">
        <v>1.080821157758461</v>
      </c>
      <c r="AZ315">
        <v>118.1921168855188</v>
      </c>
      <c r="BA315">
        <v>779.31</v>
      </c>
      <c r="BB315">
        <v>0.879</v>
      </c>
      <c r="BC315">
        <v>80.963194478237142</v>
      </c>
      <c r="BD315">
        <v>0.96560000000000001</v>
      </c>
      <c r="BE315">
        <v>78.177999999999997</v>
      </c>
      <c r="BF315">
        <v>8.9176000000000002</v>
      </c>
      <c r="BG315">
        <v>0.80400000000000005</v>
      </c>
      <c r="BH315">
        <v>6039.0430235999738</v>
      </c>
      <c r="BI315">
        <v>0.98955375253549693</v>
      </c>
      <c r="BJ315">
        <v>5975.9576999999999</v>
      </c>
      <c r="BK315">
        <v>63.959454428000001</v>
      </c>
    </row>
    <row r="316" spans="1:63" x14ac:dyDescent="0.25">
      <c r="A316">
        <v>3384</v>
      </c>
      <c r="B316" t="s">
        <v>102</v>
      </c>
      <c r="C316">
        <v>2020</v>
      </c>
      <c r="D316">
        <v>1</v>
      </c>
      <c r="E316" t="s">
        <v>218</v>
      </c>
      <c r="F316" t="s">
        <v>219</v>
      </c>
      <c r="G316" t="s">
        <v>220</v>
      </c>
      <c r="H316" t="s">
        <v>17</v>
      </c>
      <c r="I316" t="s">
        <v>241</v>
      </c>
      <c r="J316" t="s">
        <v>242</v>
      </c>
      <c r="K316">
        <v>-75.618379059999995</v>
      </c>
      <c r="L316" t="s">
        <v>242</v>
      </c>
      <c r="M316" t="s">
        <v>237</v>
      </c>
      <c r="N316">
        <v>0.37405093967954001</v>
      </c>
      <c r="O316">
        <v>28.285126000000002</v>
      </c>
      <c r="P316" t="s">
        <v>21</v>
      </c>
      <c r="Q316">
        <v>1</v>
      </c>
      <c r="V316">
        <v>66303.072</v>
      </c>
      <c r="W316">
        <v>1</v>
      </c>
      <c r="X316">
        <v>1.1311694000000001E-5</v>
      </c>
      <c r="Y316">
        <v>0.75</v>
      </c>
      <c r="Z316">
        <v>21.213844999999999</v>
      </c>
      <c r="AA316" t="s">
        <v>225</v>
      </c>
      <c r="AB316" t="s">
        <v>226</v>
      </c>
      <c r="AC316" t="s">
        <v>227</v>
      </c>
      <c r="AD316" t="s">
        <v>101</v>
      </c>
      <c r="AE316">
        <v>109.354</v>
      </c>
      <c r="AF316">
        <v>1.0727760310708341</v>
      </c>
      <c r="AG316">
        <v>117.31235010172</v>
      </c>
      <c r="AH316">
        <v>694.38</v>
      </c>
      <c r="AI316">
        <v>0.875</v>
      </c>
      <c r="AJ316">
        <v>71.276930955678296</v>
      </c>
      <c r="AK316">
        <v>1.0077</v>
      </c>
      <c r="AL316">
        <v>71.825999999999993</v>
      </c>
      <c r="AM316">
        <v>8.9176000000000002</v>
      </c>
      <c r="AN316">
        <v>9.5665875346772715</v>
      </c>
      <c r="AO316">
        <v>0.91300000000000003</v>
      </c>
      <c r="AP316">
        <v>6064.9193587765631</v>
      </c>
      <c r="AQ316">
        <v>1.0255267423014589</v>
      </c>
      <c r="AR316">
        <v>6219.7370000000001</v>
      </c>
      <c r="AS316">
        <v>1523.7056309699999</v>
      </c>
      <c r="AT316" t="s">
        <v>269</v>
      </c>
      <c r="AU316" t="s">
        <v>270</v>
      </c>
      <c r="AV316" t="s">
        <v>227</v>
      </c>
      <c r="AW316" t="s">
        <v>101</v>
      </c>
      <c r="AX316">
        <v>109.354</v>
      </c>
      <c r="AY316">
        <v>1.080821157758461</v>
      </c>
      <c r="AZ316">
        <v>118.1921168855188</v>
      </c>
      <c r="BA316">
        <v>779.31</v>
      </c>
      <c r="BB316">
        <v>0.879</v>
      </c>
      <c r="BC316">
        <v>80.963194478237142</v>
      </c>
      <c r="BD316">
        <v>1.0097</v>
      </c>
      <c r="BE316">
        <v>81.748999999999995</v>
      </c>
      <c r="BF316">
        <v>8.9176000000000002</v>
      </c>
      <c r="BG316">
        <v>0.80400000000000005</v>
      </c>
      <c r="BH316">
        <v>6039.0430235999738</v>
      </c>
      <c r="BI316">
        <v>1.0276539708265799</v>
      </c>
      <c r="BJ316">
        <v>6206.0465000000004</v>
      </c>
      <c r="BK316">
        <v>1734.2106149050001</v>
      </c>
    </row>
    <row r="317" spans="1:63" x14ac:dyDescent="0.25">
      <c r="A317">
        <v>2242</v>
      </c>
      <c r="B317" t="s">
        <v>102</v>
      </c>
      <c r="C317">
        <v>2020</v>
      </c>
      <c r="D317">
        <v>1</v>
      </c>
      <c r="E317" t="s">
        <v>218</v>
      </c>
      <c r="F317" t="s">
        <v>219</v>
      </c>
      <c r="G317" t="s">
        <v>220</v>
      </c>
      <c r="H317" t="s">
        <v>17</v>
      </c>
      <c r="I317" t="s">
        <v>243</v>
      </c>
      <c r="J317" t="s">
        <v>244</v>
      </c>
      <c r="K317">
        <v>-204.89006996000001</v>
      </c>
      <c r="L317" t="s">
        <v>245</v>
      </c>
      <c r="M317" t="s">
        <v>224</v>
      </c>
      <c r="N317">
        <v>1.1026262910890001E-2</v>
      </c>
      <c r="O317">
        <v>2.259172</v>
      </c>
      <c r="P317" t="s">
        <v>21</v>
      </c>
      <c r="Q317">
        <v>1</v>
      </c>
      <c r="V317">
        <v>66303.072</v>
      </c>
      <c r="W317">
        <v>1</v>
      </c>
      <c r="X317">
        <v>1.1311694000000001E-5</v>
      </c>
      <c r="Y317">
        <v>0.75</v>
      </c>
      <c r="Z317">
        <v>1.6943790000000001</v>
      </c>
      <c r="AA317" t="s">
        <v>225</v>
      </c>
      <c r="AB317" t="s">
        <v>226</v>
      </c>
      <c r="AC317" t="s">
        <v>227</v>
      </c>
      <c r="AD317" t="s">
        <v>153</v>
      </c>
      <c r="AE317">
        <v>109.354</v>
      </c>
      <c r="AF317">
        <v>1.0727760310708341</v>
      </c>
      <c r="AG317">
        <v>117.31235010172</v>
      </c>
      <c r="AH317">
        <v>694.38</v>
      </c>
      <c r="AI317">
        <v>0.875</v>
      </c>
      <c r="AJ317">
        <v>71.276930955678296</v>
      </c>
      <c r="AK317">
        <v>1.0034000000000001</v>
      </c>
      <c r="AL317">
        <v>71.519000000000005</v>
      </c>
      <c r="AM317">
        <v>8.9176000000000002</v>
      </c>
      <c r="AN317">
        <v>9.5665875346772715</v>
      </c>
      <c r="AO317">
        <v>0.91300000000000003</v>
      </c>
      <c r="AP317">
        <v>6064.9193587765631</v>
      </c>
      <c r="AQ317">
        <v>1</v>
      </c>
      <c r="AR317">
        <v>6064.9193999999998</v>
      </c>
      <c r="AS317">
        <v>121.180291701</v>
      </c>
      <c r="AT317" t="s">
        <v>269</v>
      </c>
      <c r="AU317" t="s">
        <v>270</v>
      </c>
      <c r="AV317" t="s">
        <v>227</v>
      </c>
      <c r="AW317" t="s">
        <v>153</v>
      </c>
      <c r="AX317">
        <v>109.354</v>
      </c>
      <c r="AY317">
        <v>1.080821157758461</v>
      </c>
      <c r="AZ317">
        <v>118.1921168855188</v>
      </c>
      <c r="BA317">
        <v>779.31</v>
      </c>
      <c r="BB317">
        <v>0.879</v>
      </c>
      <c r="BC317">
        <v>80.963194478237142</v>
      </c>
      <c r="BD317">
        <v>1.0078</v>
      </c>
      <c r="BE317">
        <v>81.594999999999999</v>
      </c>
      <c r="BF317">
        <v>8.9176000000000002</v>
      </c>
      <c r="BG317">
        <v>0.80400000000000005</v>
      </c>
      <c r="BH317">
        <v>6039.0430235999738</v>
      </c>
      <c r="BI317">
        <v>1</v>
      </c>
      <c r="BJ317">
        <v>6039.0429999999997</v>
      </c>
      <c r="BK317">
        <v>138.25285450499999</v>
      </c>
    </row>
    <row r="318" spans="1:63" x14ac:dyDescent="0.25">
      <c r="A318">
        <v>2244</v>
      </c>
      <c r="B318" t="s">
        <v>102</v>
      </c>
      <c r="C318">
        <v>2020</v>
      </c>
      <c r="D318">
        <v>1</v>
      </c>
      <c r="E318" t="s">
        <v>218</v>
      </c>
      <c r="F318" t="s">
        <v>219</v>
      </c>
      <c r="G318" t="s">
        <v>220</v>
      </c>
      <c r="H318" t="s">
        <v>17</v>
      </c>
      <c r="I318" t="s">
        <v>243</v>
      </c>
      <c r="J318" t="s">
        <v>244</v>
      </c>
      <c r="K318">
        <v>-204.89006996000001</v>
      </c>
      <c r="L318" t="s">
        <v>245</v>
      </c>
      <c r="M318" t="s">
        <v>235</v>
      </c>
      <c r="N318">
        <v>0.60074557881113</v>
      </c>
      <c r="O318">
        <v>123.086804</v>
      </c>
      <c r="P318" t="s">
        <v>21</v>
      </c>
      <c r="Q318">
        <v>1</v>
      </c>
      <c r="V318">
        <v>66303.072</v>
      </c>
      <c r="W318">
        <v>1</v>
      </c>
      <c r="X318">
        <v>1.1311694000000001E-5</v>
      </c>
      <c r="Y318">
        <v>0.75</v>
      </c>
      <c r="Z318">
        <v>92.315102999999993</v>
      </c>
      <c r="AA318" t="s">
        <v>225</v>
      </c>
      <c r="AB318" t="s">
        <v>226</v>
      </c>
      <c r="AC318" t="s">
        <v>227</v>
      </c>
      <c r="AD318" t="s">
        <v>154</v>
      </c>
      <c r="AE318">
        <v>109.354</v>
      </c>
      <c r="AF318">
        <v>1.0727760310708341</v>
      </c>
      <c r="AG318">
        <v>117.31235010172</v>
      </c>
      <c r="AH318">
        <v>694.38</v>
      </c>
      <c r="AI318">
        <v>0.875</v>
      </c>
      <c r="AJ318">
        <v>71.276930955678296</v>
      </c>
      <c r="AK318">
        <v>1.0179</v>
      </c>
      <c r="AL318">
        <v>72.552999999999997</v>
      </c>
      <c r="AM318">
        <v>8.9176000000000002</v>
      </c>
      <c r="AN318">
        <v>9.5665875346772715</v>
      </c>
      <c r="AO318">
        <v>0.91300000000000003</v>
      </c>
      <c r="AP318">
        <v>6064.9193587765631</v>
      </c>
      <c r="AQ318">
        <v>0.98975009761811794</v>
      </c>
      <c r="AR318">
        <v>6002.7545</v>
      </c>
      <c r="AS318">
        <v>6697.7376679589988</v>
      </c>
      <c r="AT318" t="s">
        <v>269</v>
      </c>
      <c r="AU318" t="s">
        <v>270</v>
      </c>
      <c r="AV318" t="s">
        <v>227</v>
      </c>
      <c r="AW318" t="s">
        <v>154</v>
      </c>
      <c r="AX318">
        <v>109.354</v>
      </c>
      <c r="AY318">
        <v>1.080821157758461</v>
      </c>
      <c r="AZ318">
        <v>118.1921168855188</v>
      </c>
      <c r="BA318">
        <v>779.31</v>
      </c>
      <c r="BB318">
        <v>0.879</v>
      </c>
      <c r="BC318">
        <v>80.963194478237142</v>
      </c>
      <c r="BD318">
        <v>0.9899</v>
      </c>
      <c r="BE318">
        <v>80.144999999999996</v>
      </c>
      <c r="BF318">
        <v>8.9176000000000002</v>
      </c>
      <c r="BG318">
        <v>0.80400000000000005</v>
      </c>
      <c r="BH318">
        <v>6039.0430235999738</v>
      </c>
      <c r="BI318">
        <v>0.99199531433033972</v>
      </c>
      <c r="BJ318">
        <v>5990.7024000000001</v>
      </c>
      <c r="BK318">
        <v>7398.5939299349993</v>
      </c>
    </row>
    <row r="319" spans="1:63" x14ac:dyDescent="0.25">
      <c r="A319">
        <v>2246</v>
      </c>
      <c r="B319" t="s">
        <v>102</v>
      </c>
      <c r="C319">
        <v>2020</v>
      </c>
      <c r="D319">
        <v>1</v>
      </c>
      <c r="E319" t="s">
        <v>218</v>
      </c>
      <c r="F319" t="s">
        <v>219</v>
      </c>
      <c r="G319" t="s">
        <v>220</v>
      </c>
      <c r="H319" t="s">
        <v>17</v>
      </c>
      <c r="I319" t="s">
        <v>243</v>
      </c>
      <c r="J319" t="s">
        <v>244</v>
      </c>
      <c r="K319">
        <v>-204.89006996000001</v>
      </c>
      <c r="L319" t="s">
        <v>245</v>
      </c>
      <c r="M319" t="s">
        <v>236</v>
      </c>
      <c r="N319">
        <v>1.775192921592E-2</v>
      </c>
      <c r="O319">
        <v>3.637194</v>
      </c>
      <c r="P319" t="s">
        <v>21</v>
      </c>
      <c r="Q319">
        <v>1</v>
      </c>
      <c r="V319">
        <v>66303.072</v>
      </c>
      <c r="W319">
        <v>1</v>
      </c>
      <c r="X319">
        <v>1.1311694000000001E-5</v>
      </c>
      <c r="Y319">
        <v>0.75</v>
      </c>
      <c r="Z319">
        <v>2.7278959999999999</v>
      </c>
      <c r="AA319" t="s">
        <v>225</v>
      </c>
      <c r="AB319" t="s">
        <v>226</v>
      </c>
      <c r="AC319" t="s">
        <v>227</v>
      </c>
      <c r="AD319" t="s">
        <v>100</v>
      </c>
      <c r="AE319">
        <v>109.354</v>
      </c>
      <c r="AF319">
        <v>1.0727760310708341</v>
      </c>
      <c r="AG319">
        <v>117.31235010172</v>
      </c>
      <c r="AH319">
        <v>694.38</v>
      </c>
      <c r="AI319">
        <v>0.875</v>
      </c>
      <c r="AJ319">
        <v>71.276930955678296</v>
      </c>
      <c r="AK319">
        <v>0.96660000000000001</v>
      </c>
      <c r="AL319">
        <v>68.896000000000001</v>
      </c>
      <c r="AM319">
        <v>8.9176000000000002</v>
      </c>
      <c r="AN319">
        <v>9.5665875346772715</v>
      </c>
      <c r="AO319">
        <v>0.91300000000000003</v>
      </c>
      <c r="AP319">
        <v>6064.9193587765631</v>
      </c>
      <c r="AQ319">
        <v>0.98316430020283985</v>
      </c>
      <c r="AR319">
        <v>5962.8122000000003</v>
      </c>
      <c r="AS319">
        <v>187.94112281599999</v>
      </c>
      <c r="AT319" t="s">
        <v>269</v>
      </c>
      <c r="AU319" t="s">
        <v>270</v>
      </c>
      <c r="AV319" t="s">
        <v>227</v>
      </c>
      <c r="AW319" t="s">
        <v>100</v>
      </c>
      <c r="AX319">
        <v>109.354</v>
      </c>
      <c r="AY319">
        <v>1.080821157758461</v>
      </c>
      <c r="AZ319">
        <v>118.1921168855188</v>
      </c>
      <c r="BA319">
        <v>779.31</v>
      </c>
      <c r="BB319">
        <v>0.879</v>
      </c>
      <c r="BC319">
        <v>80.963194478237142</v>
      </c>
      <c r="BD319">
        <v>0.96560000000000001</v>
      </c>
      <c r="BE319">
        <v>78.177999999999997</v>
      </c>
      <c r="BF319">
        <v>8.9176000000000002</v>
      </c>
      <c r="BG319">
        <v>0.80400000000000005</v>
      </c>
      <c r="BH319">
        <v>6039.0430235999738</v>
      </c>
      <c r="BI319">
        <v>0.98955375253549693</v>
      </c>
      <c r="BJ319">
        <v>5975.9576999999999</v>
      </c>
      <c r="BK319">
        <v>213.261453488</v>
      </c>
    </row>
    <row r="320" spans="1:63" x14ac:dyDescent="0.25">
      <c r="A320">
        <v>2248</v>
      </c>
      <c r="B320" t="s">
        <v>102</v>
      </c>
      <c r="C320">
        <v>2020</v>
      </c>
      <c r="D320">
        <v>1</v>
      </c>
      <c r="E320" t="s">
        <v>218</v>
      </c>
      <c r="F320" t="s">
        <v>219</v>
      </c>
      <c r="G320" t="s">
        <v>220</v>
      </c>
      <c r="H320" t="s">
        <v>17</v>
      </c>
      <c r="I320" t="s">
        <v>243</v>
      </c>
      <c r="J320" t="s">
        <v>244</v>
      </c>
      <c r="K320">
        <v>-204.89006996000001</v>
      </c>
      <c r="L320" t="s">
        <v>245</v>
      </c>
      <c r="M320" t="s">
        <v>237</v>
      </c>
      <c r="N320">
        <v>0.39766766032624001</v>
      </c>
      <c r="O320">
        <v>81.478155000000001</v>
      </c>
      <c r="P320" t="s">
        <v>21</v>
      </c>
      <c r="Q320">
        <v>1</v>
      </c>
      <c r="V320">
        <v>66303.072</v>
      </c>
      <c r="W320">
        <v>1</v>
      </c>
      <c r="X320">
        <v>1.1311694000000001E-5</v>
      </c>
      <c r="Y320">
        <v>0.75</v>
      </c>
      <c r="Z320">
        <v>61.108615999999998</v>
      </c>
      <c r="AA320" t="s">
        <v>225</v>
      </c>
      <c r="AB320" t="s">
        <v>226</v>
      </c>
      <c r="AC320" t="s">
        <v>227</v>
      </c>
      <c r="AD320" t="s">
        <v>101</v>
      </c>
      <c r="AE320">
        <v>109.354</v>
      </c>
      <c r="AF320">
        <v>1.0727760310708341</v>
      </c>
      <c r="AG320">
        <v>117.31235010172</v>
      </c>
      <c r="AH320">
        <v>694.38</v>
      </c>
      <c r="AI320">
        <v>0.875</v>
      </c>
      <c r="AJ320">
        <v>71.276930955678296</v>
      </c>
      <c r="AK320">
        <v>1.0077</v>
      </c>
      <c r="AL320">
        <v>71.825999999999993</v>
      </c>
      <c r="AM320">
        <v>8.9176000000000002</v>
      </c>
      <c r="AN320">
        <v>9.5665875346772715</v>
      </c>
      <c r="AO320">
        <v>0.91300000000000003</v>
      </c>
      <c r="AP320">
        <v>6064.9193587765631</v>
      </c>
      <c r="AQ320">
        <v>1.0255267423014589</v>
      </c>
      <c r="AR320">
        <v>6219.7370000000001</v>
      </c>
      <c r="AS320">
        <v>4389.1874528159997</v>
      </c>
      <c r="AT320" t="s">
        <v>269</v>
      </c>
      <c r="AU320" t="s">
        <v>270</v>
      </c>
      <c r="AV320" t="s">
        <v>227</v>
      </c>
      <c r="AW320" t="s">
        <v>101</v>
      </c>
      <c r="AX320">
        <v>109.354</v>
      </c>
      <c r="AY320">
        <v>1.080821157758461</v>
      </c>
      <c r="AZ320">
        <v>118.1921168855188</v>
      </c>
      <c r="BA320">
        <v>779.31</v>
      </c>
      <c r="BB320">
        <v>0.879</v>
      </c>
      <c r="BC320">
        <v>80.963194478237142</v>
      </c>
      <c r="BD320">
        <v>1.0097</v>
      </c>
      <c r="BE320">
        <v>81.748999999999995</v>
      </c>
      <c r="BF320">
        <v>8.9176000000000002</v>
      </c>
      <c r="BG320">
        <v>0.80400000000000005</v>
      </c>
      <c r="BH320">
        <v>6039.0430235999738</v>
      </c>
      <c r="BI320">
        <v>1.0276539708265799</v>
      </c>
      <c r="BJ320">
        <v>6206.0465000000004</v>
      </c>
      <c r="BK320">
        <v>4995.5682493840004</v>
      </c>
    </row>
    <row r="321" spans="1:63" x14ac:dyDescent="0.25">
      <c r="A321">
        <v>4506</v>
      </c>
      <c r="B321" t="s">
        <v>102</v>
      </c>
      <c r="C321">
        <v>2020</v>
      </c>
      <c r="D321">
        <v>1</v>
      </c>
      <c r="E321" t="s">
        <v>218</v>
      </c>
      <c r="F321" t="s">
        <v>219</v>
      </c>
      <c r="G321" t="s">
        <v>220</v>
      </c>
      <c r="H321" t="s">
        <v>17</v>
      </c>
      <c r="I321" t="s">
        <v>246</v>
      </c>
      <c r="J321" t="s">
        <v>247</v>
      </c>
      <c r="K321">
        <v>-570.21930860999998</v>
      </c>
      <c r="L321" t="s">
        <v>248</v>
      </c>
      <c r="M321" t="s">
        <v>224</v>
      </c>
      <c r="N321">
        <v>4.9724862092599999E-3</v>
      </c>
      <c r="O321">
        <v>2.8354080000000002</v>
      </c>
      <c r="P321" t="s">
        <v>21</v>
      </c>
      <c r="Q321">
        <v>1</v>
      </c>
      <c r="V321">
        <v>66303.072</v>
      </c>
      <c r="W321">
        <v>1</v>
      </c>
      <c r="X321">
        <v>1.1311694000000001E-5</v>
      </c>
      <c r="Y321">
        <v>0.75</v>
      </c>
      <c r="Z321">
        <v>2.1265559999999999</v>
      </c>
      <c r="AA321" t="s">
        <v>225</v>
      </c>
      <c r="AB321" t="s">
        <v>226</v>
      </c>
      <c r="AC321" t="s">
        <v>227</v>
      </c>
      <c r="AD321" t="s">
        <v>153</v>
      </c>
      <c r="AE321">
        <v>109.354</v>
      </c>
      <c r="AF321">
        <v>1.0727760310708341</v>
      </c>
      <c r="AG321">
        <v>117.31235010172</v>
      </c>
      <c r="AH321">
        <v>694.38</v>
      </c>
      <c r="AI321">
        <v>0.875</v>
      </c>
      <c r="AJ321">
        <v>71.276930955678296</v>
      </c>
      <c r="AK321">
        <v>1.0034000000000001</v>
      </c>
      <c r="AL321">
        <v>71.519000000000005</v>
      </c>
      <c r="AM321">
        <v>8.9176000000000002</v>
      </c>
      <c r="AN321">
        <v>9.5665875346772715</v>
      </c>
      <c r="AO321">
        <v>0.91300000000000003</v>
      </c>
      <c r="AP321">
        <v>6064.9193587765631</v>
      </c>
      <c r="AQ321">
        <v>1</v>
      </c>
      <c r="AR321">
        <v>6064.9193999999998</v>
      </c>
      <c r="AS321">
        <v>152.089158564</v>
      </c>
      <c r="AT321" t="s">
        <v>269</v>
      </c>
      <c r="AU321" t="s">
        <v>270</v>
      </c>
      <c r="AV321" t="s">
        <v>227</v>
      </c>
      <c r="AW321" t="s">
        <v>153</v>
      </c>
      <c r="AX321">
        <v>109.354</v>
      </c>
      <c r="AY321">
        <v>1.080821157758461</v>
      </c>
      <c r="AZ321">
        <v>118.1921168855188</v>
      </c>
      <c r="BA321">
        <v>779.31</v>
      </c>
      <c r="BB321">
        <v>0.879</v>
      </c>
      <c r="BC321">
        <v>80.963194478237142</v>
      </c>
      <c r="BD321">
        <v>1.0078</v>
      </c>
      <c r="BE321">
        <v>81.594999999999999</v>
      </c>
      <c r="BF321">
        <v>8.9176000000000002</v>
      </c>
      <c r="BG321">
        <v>0.80400000000000005</v>
      </c>
      <c r="BH321">
        <v>6039.0430235999738</v>
      </c>
      <c r="BI321">
        <v>1</v>
      </c>
      <c r="BJ321">
        <v>6039.0429999999997</v>
      </c>
      <c r="BK321">
        <v>173.51633681999999</v>
      </c>
    </row>
    <row r="322" spans="1:63" x14ac:dyDescent="0.25">
      <c r="A322">
        <v>4508</v>
      </c>
      <c r="B322" t="s">
        <v>102</v>
      </c>
      <c r="C322">
        <v>2020</v>
      </c>
      <c r="D322">
        <v>1</v>
      </c>
      <c r="E322" t="s">
        <v>218</v>
      </c>
      <c r="F322" t="s">
        <v>219</v>
      </c>
      <c r="G322" t="s">
        <v>220</v>
      </c>
      <c r="H322" t="s">
        <v>17</v>
      </c>
      <c r="I322" t="s">
        <v>246</v>
      </c>
      <c r="J322" t="s">
        <v>247</v>
      </c>
      <c r="K322">
        <v>-570.21930860999998</v>
      </c>
      <c r="L322" t="s">
        <v>248</v>
      </c>
      <c r="M322" t="s">
        <v>235</v>
      </c>
      <c r="N322">
        <v>0.99209122360516</v>
      </c>
      <c r="O322">
        <v>565.70957199999998</v>
      </c>
      <c r="P322" t="s">
        <v>21</v>
      </c>
      <c r="Q322">
        <v>1</v>
      </c>
      <c r="V322">
        <v>66303.072</v>
      </c>
      <c r="W322">
        <v>1</v>
      </c>
      <c r="X322">
        <v>1.1311694000000001E-5</v>
      </c>
      <c r="Y322">
        <v>0.75</v>
      </c>
      <c r="Z322">
        <v>424.28217899999999</v>
      </c>
      <c r="AA322" t="s">
        <v>225</v>
      </c>
      <c r="AB322" t="s">
        <v>226</v>
      </c>
      <c r="AC322" t="s">
        <v>227</v>
      </c>
      <c r="AD322" t="s">
        <v>154</v>
      </c>
      <c r="AE322">
        <v>109.354</v>
      </c>
      <c r="AF322">
        <v>1.0727760310708341</v>
      </c>
      <c r="AG322">
        <v>117.31235010172</v>
      </c>
      <c r="AH322">
        <v>694.38</v>
      </c>
      <c r="AI322">
        <v>0.875</v>
      </c>
      <c r="AJ322">
        <v>71.276930955678296</v>
      </c>
      <c r="AK322">
        <v>1.0179</v>
      </c>
      <c r="AL322">
        <v>72.552999999999997</v>
      </c>
      <c r="AM322">
        <v>8.9176000000000002</v>
      </c>
      <c r="AN322">
        <v>9.5665875346772715</v>
      </c>
      <c r="AO322">
        <v>0.91300000000000003</v>
      </c>
      <c r="AP322">
        <v>6064.9193587765631</v>
      </c>
      <c r="AQ322">
        <v>0.98975009761811794</v>
      </c>
      <c r="AR322">
        <v>6002.7545</v>
      </c>
      <c r="AS322">
        <v>30782.944932987</v>
      </c>
      <c r="AT322" t="s">
        <v>269</v>
      </c>
      <c r="AU322" t="s">
        <v>270</v>
      </c>
      <c r="AV322" t="s">
        <v>227</v>
      </c>
      <c r="AW322" t="s">
        <v>154</v>
      </c>
      <c r="AX322">
        <v>109.354</v>
      </c>
      <c r="AY322">
        <v>1.080821157758461</v>
      </c>
      <c r="AZ322">
        <v>118.1921168855188</v>
      </c>
      <c r="BA322">
        <v>779.31</v>
      </c>
      <c r="BB322">
        <v>0.879</v>
      </c>
      <c r="BC322">
        <v>80.963194478237142</v>
      </c>
      <c r="BD322">
        <v>0.9899</v>
      </c>
      <c r="BE322">
        <v>80.144999999999996</v>
      </c>
      <c r="BF322">
        <v>8.9176000000000002</v>
      </c>
      <c r="BG322">
        <v>0.80400000000000005</v>
      </c>
      <c r="BH322">
        <v>6039.0430235999738</v>
      </c>
      <c r="BI322">
        <v>0.99199531433033972</v>
      </c>
      <c r="BJ322">
        <v>5990.7024000000001</v>
      </c>
      <c r="BK322">
        <v>34004.095235954999</v>
      </c>
    </row>
    <row r="323" spans="1:63" x14ac:dyDescent="0.25">
      <c r="A323">
        <v>4510</v>
      </c>
      <c r="B323" t="s">
        <v>102</v>
      </c>
      <c r="C323">
        <v>2020</v>
      </c>
      <c r="D323">
        <v>1</v>
      </c>
      <c r="E323" t="s">
        <v>218</v>
      </c>
      <c r="F323" t="s">
        <v>219</v>
      </c>
      <c r="G323" t="s">
        <v>220</v>
      </c>
      <c r="H323" t="s">
        <v>17</v>
      </c>
      <c r="I323" t="s">
        <v>246</v>
      </c>
      <c r="J323" t="s">
        <v>247</v>
      </c>
      <c r="K323">
        <v>-570.21930860999998</v>
      </c>
      <c r="L323" t="s">
        <v>248</v>
      </c>
      <c r="M323" t="s">
        <v>236</v>
      </c>
      <c r="N323">
        <v>4.7995598170700003E-3</v>
      </c>
      <c r="O323">
        <v>2.736802</v>
      </c>
      <c r="P323" t="s">
        <v>21</v>
      </c>
      <c r="Q323">
        <v>1</v>
      </c>
      <c r="V323">
        <v>66303.072</v>
      </c>
      <c r="W323">
        <v>1</v>
      </c>
      <c r="X323">
        <v>1.1311694000000001E-5</v>
      </c>
      <c r="Y323">
        <v>0.75</v>
      </c>
      <c r="Z323">
        <v>2.0526019999999998</v>
      </c>
      <c r="AA323" t="s">
        <v>225</v>
      </c>
      <c r="AB323" t="s">
        <v>226</v>
      </c>
      <c r="AC323" t="s">
        <v>227</v>
      </c>
      <c r="AD323" t="s">
        <v>100</v>
      </c>
      <c r="AE323">
        <v>109.354</v>
      </c>
      <c r="AF323">
        <v>1.0727760310708341</v>
      </c>
      <c r="AG323">
        <v>117.31235010172</v>
      </c>
      <c r="AH323">
        <v>694.38</v>
      </c>
      <c r="AI323">
        <v>0.875</v>
      </c>
      <c r="AJ323">
        <v>71.276930955678296</v>
      </c>
      <c r="AK323">
        <v>0.96660000000000001</v>
      </c>
      <c r="AL323">
        <v>68.896000000000001</v>
      </c>
      <c r="AM323">
        <v>8.9176000000000002</v>
      </c>
      <c r="AN323">
        <v>9.5665875346772715</v>
      </c>
      <c r="AO323">
        <v>0.91300000000000003</v>
      </c>
      <c r="AP323">
        <v>6064.9193587765631</v>
      </c>
      <c r="AQ323">
        <v>0.98316430020283985</v>
      </c>
      <c r="AR323">
        <v>5962.8122000000003</v>
      </c>
      <c r="AS323">
        <v>141.416067392</v>
      </c>
      <c r="AT323" t="s">
        <v>269</v>
      </c>
      <c r="AU323" t="s">
        <v>270</v>
      </c>
      <c r="AV323" t="s">
        <v>227</v>
      </c>
      <c r="AW323" t="s">
        <v>100</v>
      </c>
      <c r="AX323">
        <v>109.354</v>
      </c>
      <c r="AY323">
        <v>1.080821157758461</v>
      </c>
      <c r="AZ323">
        <v>118.1921168855188</v>
      </c>
      <c r="BA323">
        <v>779.31</v>
      </c>
      <c r="BB323">
        <v>0.879</v>
      </c>
      <c r="BC323">
        <v>80.963194478237142</v>
      </c>
      <c r="BD323">
        <v>0.96560000000000001</v>
      </c>
      <c r="BE323">
        <v>78.177999999999997</v>
      </c>
      <c r="BF323">
        <v>8.9176000000000002</v>
      </c>
      <c r="BG323">
        <v>0.80400000000000005</v>
      </c>
      <c r="BH323">
        <v>6039.0430235999738</v>
      </c>
      <c r="BI323">
        <v>0.98955375253549693</v>
      </c>
      <c r="BJ323">
        <v>5975.9576999999999</v>
      </c>
      <c r="BK323">
        <v>160.46831915600001</v>
      </c>
    </row>
    <row r="324" spans="1:63" x14ac:dyDescent="0.25">
      <c r="A324">
        <v>4512</v>
      </c>
      <c r="B324" t="s">
        <v>102</v>
      </c>
      <c r="C324">
        <v>2020</v>
      </c>
      <c r="D324">
        <v>1</v>
      </c>
      <c r="E324" t="s">
        <v>218</v>
      </c>
      <c r="F324" t="s">
        <v>219</v>
      </c>
      <c r="G324" t="s">
        <v>220</v>
      </c>
      <c r="H324" t="s">
        <v>17</v>
      </c>
      <c r="I324" t="s">
        <v>246</v>
      </c>
      <c r="J324" t="s">
        <v>247</v>
      </c>
      <c r="K324">
        <v>-570.21930860999998</v>
      </c>
      <c r="L324" t="s">
        <v>248</v>
      </c>
      <c r="M324" t="s">
        <v>237</v>
      </c>
      <c r="N324">
        <v>2.2580780904460002E-2</v>
      </c>
      <c r="O324">
        <v>12.875997</v>
      </c>
      <c r="P324" t="s">
        <v>21</v>
      </c>
      <c r="Q324">
        <v>1</v>
      </c>
      <c r="V324">
        <v>66303.072</v>
      </c>
      <c r="W324">
        <v>1</v>
      </c>
      <c r="X324">
        <v>1.1311694000000001E-5</v>
      </c>
      <c r="Y324">
        <v>0.75</v>
      </c>
      <c r="Z324">
        <v>9.6569979999999997</v>
      </c>
      <c r="AA324" t="s">
        <v>225</v>
      </c>
      <c r="AB324" t="s">
        <v>226</v>
      </c>
      <c r="AC324" t="s">
        <v>227</v>
      </c>
      <c r="AD324" t="s">
        <v>101</v>
      </c>
      <c r="AE324">
        <v>109.354</v>
      </c>
      <c r="AF324">
        <v>1.0727760310708341</v>
      </c>
      <c r="AG324">
        <v>117.31235010172</v>
      </c>
      <c r="AH324">
        <v>694.38</v>
      </c>
      <c r="AI324">
        <v>0.875</v>
      </c>
      <c r="AJ324">
        <v>71.276930955678296</v>
      </c>
      <c r="AK324">
        <v>1.0077</v>
      </c>
      <c r="AL324">
        <v>71.825999999999993</v>
      </c>
      <c r="AM324">
        <v>8.9176000000000002</v>
      </c>
      <c r="AN324">
        <v>9.5665875346772715</v>
      </c>
      <c r="AO324">
        <v>0.91300000000000003</v>
      </c>
      <c r="AP324">
        <v>6064.9193587765631</v>
      </c>
      <c r="AQ324">
        <v>1.0255267423014589</v>
      </c>
      <c r="AR324">
        <v>6219.7370000000001</v>
      </c>
      <c r="AS324">
        <v>693.6235383479999</v>
      </c>
      <c r="AT324" t="s">
        <v>269</v>
      </c>
      <c r="AU324" t="s">
        <v>270</v>
      </c>
      <c r="AV324" t="s">
        <v>227</v>
      </c>
      <c r="AW324" t="s">
        <v>101</v>
      </c>
      <c r="AX324">
        <v>109.354</v>
      </c>
      <c r="AY324">
        <v>1.080821157758461</v>
      </c>
      <c r="AZ324">
        <v>118.1921168855188</v>
      </c>
      <c r="BA324">
        <v>779.31</v>
      </c>
      <c r="BB324">
        <v>0.879</v>
      </c>
      <c r="BC324">
        <v>80.963194478237142</v>
      </c>
      <c r="BD324">
        <v>1.0097</v>
      </c>
      <c r="BE324">
        <v>81.748999999999995</v>
      </c>
      <c r="BF324">
        <v>8.9176000000000002</v>
      </c>
      <c r="BG324">
        <v>0.80400000000000005</v>
      </c>
      <c r="BH324">
        <v>6039.0430235999738</v>
      </c>
      <c r="BI324">
        <v>1.0276539708265799</v>
      </c>
      <c r="BJ324">
        <v>6206.0465000000004</v>
      </c>
      <c r="BK324">
        <v>789.44992950199992</v>
      </c>
    </row>
    <row r="325" spans="1:63" x14ac:dyDescent="0.25">
      <c r="A325">
        <v>1122</v>
      </c>
      <c r="B325" t="s">
        <v>102</v>
      </c>
      <c r="C325">
        <v>2020</v>
      </c>
      <c r="D325">
        <v>1</v>
      </c>
      <c r="E325" t="s">
        <v>218</v>
      </c>
      <c r="F325" t="s">
        <v>219</v>
      </c>
      <c r="G325" t="s">
        <v>220</v>
      </c>
      <c r="H325" t="s">
        <v>17</v>
      </c>
      <c r="I325" t="s">
        <v>249</v>
      </c>
      <c r="J325" t="s">
        <v>250</v>
      </c>
      <c r="K325">
        <v>-763.10417077</v>
      </c>
      <c r="L325" t="s">
        <v>250</v>
      </c>
      <c r="M325" t="s">
        <v>231</v>
      </c>
      <c r="N325">
        <v>4.9898993999990003E-2</v>
      </c>
      <c r="O325">
        <v>38.078130000000002</v>
      </c>
      <c r="P325" t="s">
        <v>21</v>
      </c>
      <c r="Q325">
        <v>1</v>
      </c>
      <c r="V325">
        <v>66303.072</v>
      </c>
      <c r="W325">
        <v>1</v>
      </c>
      <c r="X325">
        <v>1.1311694000000001E-5</v>
      </c>
      <c r="Y325">
        <v>0.75</v>
      </c>
      <c r="Z325">
        <v>28.558598</v>
      </c>
      <c r="AA325" t="s">
        <v>225</v>
      </c>
      <c r="AB325" t="s">
        <v>226</v>
      </c>
      <c r="AC325" t="s">
        <v>227</v>
      </c>
      <c r="AD325" t="s">
        <v>100</v>
      </c>
      <c r="AE325">
        <v>109.354</v>
      </c>
      <c r="AF325">
        <v>1.0727760310708341</v>
      </c>
      <c r="AG325">
        <v>117.31235010172</v>
      </c>
      <c r="AH325">
        <v>694.38</v>
      </c>
      <c r="AI325">
        <v>0.875</v>
      </c>
      <c r="AJ325">
        <v>71.276930955678296</v>
      </c>
      <c r="AK325">
        <v>0.96660000000000001</v>
      </c>
      <c r="AL325">
        <v>68.896000000000001</v>
      </c>
      <c r="AM325">
        <v>8.9176000000000002</v>
      </c>
      <c r="AN325">
        <v>9.5665875346772715</v>
      </c>
      <c r="AO325">
        <v>0.91300000000000003</v>
      </c>
      <c r="AP325">
        <v>6064.9193587765631</v>
      </c>
      <c r="AQ325">
        <v>0.98316430020283985</v>
      </c>
      <c r="AR325">
        <v>5962.8122000000003</v>
      </c>
      <c r="AS325">
        <v>1967.5731678080001</v>
      </c>
      <c r="AT325" t="s">
        <v>269</v>
      </c>
      <c r="AU325" t="s">
        <v>270</v>
      </c>
      <c r="AV325" t="s">
        <v>227</v>
      </c>
      <c r="AW325" t="s">
        <v>100</v>
      </c>
      <c r="AX325">
        <v>109.354</v>
      </c>
      <c r="AY325">
        <v>1.080821157758461</v>
      </c>
      <c r="AZ325">
        <v>118.1921168855188</v>
      </c>
      <c r="BA325">
        <v>779.31</v>
      </c>
      <c r="BB325">
        <v>0.879</v>
      </c>
      <c r="BC325">
        <v>80.963194478237142</v>
      </c>
      <c r="BD325">
        <v>0.96560000000000001</v>
      </c>
      <c r="BE325">
        <v>78.177999999999997</v>
      </c>
      <c r="BF325">
        <v>8.9176000000000002</v>
      </c>
      <c r="BG325">
        <v>0.80400000000000005</v>
      </c>
      <c r="BH325">
        <v>6039.0430235999738</v>
      </c>
      <c r="BI325">
        <v>0.98955375253549693</v>
      </c>
      <c r="BJ325">
        <v>5975.9576999999999</v>
      </c>
      <c r="BK325">
        <v>2232.6540744439999</v>
      </c>
    </row>
    <row r="326" spans="1:63" x14ac:dyDescent="0.25">
      <c r="A326">
        <v>1124</v>
      </c>
      <c r="B326" t="s">
        <v>102</v>
      </c>
      <c r="C326">
        <v>2020</v>
      </c>
      <c r="D326">
        <v>1</v>
      </c>
      <c r="E326" t="s">
        <v>218</v>
      </c>
      <c r="F326" t="s">
        <v>219</v>
      </c>
      <c r="G326" t="s">
        <v>220</v>
      </c>
      <c r="H326" t="s">
        <v>17</v>
      </c>
      <c r="I326" t="s">
        <v>249</v>
      </c>
      <c r="J326" t="s">
        <v>250</v>
      </c>
      <c r="K326">
        <v>-763.10417077</v>
      </c>
      <c r="L326" t="s">
        <v>250</v>
      </c>
      <c r="M326" t="s">
        <v>232</v>
      </c>
      <c r="N326">
        <v>0.97472100599996003</v>
      </c>
      <c r="O326">
        <v>743.81366500000001</v>
      </c>
      <c r="P326" t="s">
        <v>21</v>
      </c>
      <c r="Q326">
        <v>1</v>
      </c>
      <c r="V326">
        <v>66303.072</v>
      </c>
      <c r="W326">
        <v>1</v>
      </c>
      <c r="X326">
        <v>1.1311694000000001E-5</v>
      </c>
      <c r="Y326">
        <v>0.75</v>
      </c>
      <c r="Z326">
        <v>557.86024899999995</v>
      </c>
      <c r="AA326" t="s">
        <v>225</v>
      </c>
      <c r="AB326" t="s">
        <v>226</v>
      </c>
      <c r="AC326" t="s">
        <v>227</v>
      </c>
      <c r="AD326" t="s">
        <v>101</v>
      </c>
      <c r="AE326">
        <v>109.354</v>
      </c>
      <c r="AF326">
        <v>1.0727760310708341</v>
      </c>
      <c r="AG326">
        <v>117.31235010172</v>
      </c>
      <c r="AH326">
        <v>694.38</v>
      </c>
      <c r="AI326">
        <v>0.875</v>
      </c>
      <c r="AJ326">
        <v>71.276930955678296</v>
      </c>
      <c r="AK326">
        <v>1.0077</v>
      </c>
      <c r="AL326">
        <v>71.825999999999993</v>
      </c>
      <c r="AM326">
        <v>8.9176000000000002</v>
      </c>
      <c r="AN326">
        <v>9.5665875346772715</v>
      </c>
      <c r="AO326">
        <v>0.91300000000000003</v>
      </c>
      <c r="AP326">
        <v>6064.9193587765631</v>
      </c>
      <c r="AQ326">
        <v>1.0255267423014589</v>
      </c>
      <c r="AR326">
        <v>6219.7370000000001</v>
      </c>
      <c r="AS326">
        <v>40068.870244673992</v>
      </c>
      <c r="AT326" t="s">
        <v>269</v>
      </c>
      <c r="AU326" t="s">
        <v>270</v>
      </c>
      <c r="AV326" t="s">
        <v>227</v>
      </c>
      <c r="AW326" t="s">
        <v>101</v>
      </c>
      <c r="AX326">
        <v>109.354</v>
      </c>
      <c r="AY326">
        <v>1.080821157758461</v>
      </c>
      <c r="AZ326">
        <v>118.1921168855188</v>
      </c>
      <c r="BA326">
        <v>779.31</v>
      </c>
      <c r="BB326">
        <v>0.879</v>
      </c>
      <c r="BC326">
        <v>80.963194478237142</v>
      </c>
      <c r="BD326">
        <v>1.0097</v>
      </c>
      <c r="BE326">
        <v>81.748999999999995</v>
      </c>
      <c r="BF326">
        <v>8.9176000000000002</v>
      </c>
      <c r="BG326">
        <v>0.80400000000000005</v>
      </c>
      <c r="BH326">
        <v>6039.0430235999738</v>
      </c>
      <c r="BI326">
        <v>1.0276539708265799</v>
      </c>
      <c r="BJ326">
        <v>6206.0465000000004</v>
      </c>
      <c r="BK326">
        <v>45604.517495500993</v>
      </c>
    </row>
    <row r="327" spans="1:63" x14ac:dyDescent="0.25">
      <c r="A327">
        <v>4514</v>
      </c>
      <c r="B327" t="s">
        <v>102</v>
      </c>
      <c r="C327">
        <v>2020</v>
      </c>
      <c r="D327">
        <v>1</v>
      </c>
      <c r="E327" t="s">
        <v>218</v>
      </c>
      <c r="F327" t="s">
        <v>251</v>
      </c>
      <c r="G327" t="s">
        <v>252</v>
      </c>
      <c r="H327" t="s">
        <v>17</v>
      </c>
      <c r="I327" t="s">
        <v>253</v>
      </c>
      <c r="J327" t="s">
        <v>222</v>
      </c>
      <c r="K327">
        <v>-283.53110778000001</v>
      </c>
      <c r="L327" t="s">
        <v>223</v>
      </c>
      <c r="M327" t="s">
        <v>224</v>
      </c>
      <c r="N327">
        <v>8.7524974586199993E-3</v>
      </c>
      <c r="O327">
        <v>2.4816050000000001</v>
      </c>
      <c r="P327" t="s">
        <v>21</v>
      </c>
      <c r="Q327">
        <v>1</v>
      </c>
      <c r="V327">
        <v>66303.072</v>
      </c>
      <c r="W327">
        <v>1</v>
      </c>
      <c r="X327">
        <v>9.0493559999999998E-6</v>
      </c>
      <c r="Y327">
        <v>0.6</v>
      </c>
      <c r="Z327">
        <v>1.488963</v>
      </c>
      <c r="AA327" t="s">
        <v>225</v>
      </c>
      <c r="AB327" t="s">
        <v>226</v>
      </c>
      <c r="AC327" t="s">
        <v>227</v>
      </c>
      <c r="AD327" t="s">
        <v>153</v>
      </c>
      <c r="AE327">
        <v>109.354</v>
      </c>
      <c r="AF327">
        <v>1.0727760310708341</v>
      </c>
      <c r="AG327">
        <v>117.31235010172</v>
      </c>
      <c r="AH327">
        <v>694.38</v>
      </c>
      <c r="AI327">
        <v>0.875</v>
      </c>
      <c r="AJ327">
        <v>71.276930955678296</v>
      </c>
      <c r="AK327">
        <v>1.0034000000000001</v>
      </c>
      <c r="AL327">
        <v>71.519000000000005</v>
      </c>
      <c r="AM327">
        <v>8.9176000000000002</v>
      </c>
      <c r="AN327">
        <v>9.5665875346772715</v>
      </c>
      <c r="AO327">
        <v>0.91300000000000003</v>
      </c>
      <c r="AP327">
        <v>6064.9193587765631</v>
      </c>
      <c r="AQ327">
        <v>1</v>
      </c>
      <c r="AR327">
        <v>6064.9193999999998</v>
      </c>
      <c r="AS327">
        <v>106.48914479699999</v>
      </c>
      <c r="AT327" t="s">
        <v>269</v>
      </c>
      <c r="AU327" t="s">
        <v>270</v>
      </c>
      <c r="AV327" t="s">
        <v>227</v>
      </c>
      <c r="AW327" t="s">
        <v>153</v>
      </c>
      <c r="AX327">
        <v>109.354</v>
      </c>
      <c r="AY327">
        <v>1.080821157758461</v>
      </c>
      <c r="AZ327">
        <v>118.1921168855188</v>
      </c>
      <c r="BA327">
        <v>779.31</v>
      </c>
      <c r="BB327">
        <v>0.879</v>
      </c>
      <c r="BC327">
        <v>80.963194478237142</v>
      </c>
      <c r="BD327">
        <v>1.0078</v>
      </c>
      <c r="BE327">
        <v>81.594999999999999</v>
      </c>
      <c r="BF327">
        <v>8.9176000000000002</v>
      </c>
      <c r="BG327">
        <v>0.80400000000000005</v>
      </c>
      <c r="BH327">
        <v>6039.0430235999738</v>
      </c>
      <c r="BI327">
        <v>1</v>
      </c>
      <c r="BJ327">
        <v>6039.0429999999997</v>
      </c>
      <c r="BK327">
        <v>121.491935985</v>
      </c>
    </row>
    <row r="328" spans="1:63" x14ac:dyDescent="0.25">
      <c r="A328">
        <v>4516</v>
      </c>
      <c r="B328" t="s">
        <v>102</v>
      </c>
      <c r="C328">
        <v>2020</v>
      </c>
      <c r="D328">
        <v>1</v>
      </c>
      <c r="E328" t="s">
        <v>218</v>
      </c>
      <c r="F328" t="s">
        <v>251</v>
      </c>
      <c r="G328" t="s">
        <v>252</v>
      </c>
      <c r="H328" t="s">
        <v>17</v>
      </c>
      <c r="I328" t="s">
        <v>253</v>
      </c>
      <c r="J328" t="s">
        <v>222</v>
      </c>
      <c r="K328">
        <v>-283.53110778000001</v>
      </c>
      <c r="L328" t="s">
        <v>223</v>
      </c>
      <c r="M328" t="s">
        <v>230</v>
      </c>
      <c r="N328">
        <v>0.16047331440265999</v>
      </c>
      <c r="O328">
        <v>45.499177000000003</v>
      </c>
      <c r="P328" t="s">
        <v>21</v>
      </c>
      <c r="Q328">
        <v>1</v>
      </c>
      <c r="V328">
        <v>66303.072</v>
      </c>
      <c r="W328">
        <v>1</v>
      </c>
      <c r="X328">
        <v>9.0493559999999998E-6</v>
      </c>
      <c r="Y328">
        <v>0.6</v>
      </c>
      <c r="Z328">
        <v>27.299506000000001</v>
      </c>
      <c r="AA328" t="s">
        <v>225</v>
      </c>
      <c r="AB328" t="s">
        <v>226</v>
      </c>
      <c r="AC328" t="s">
        <v>227</v>
      </c>
      <c r="AD328" t="s">
        <v>154</v>
      </c>
      <c r="AE328">
        <v>109.354</v>
      </c>
      <c r="AF328">
        <v>1.0727760310708341</v>
      </c>
      <c r="AG328">
        <v>117.31235010172</v>
      </c>
      <c r="AH328">
        <v>694.38</v>
      </c>
      <c r="AI328">
        <v>0.875</v>
      </c>
      <c r="AJ328">
        <v>71.276930955678296</v>
      </c>
      <c r="AK328">
        <v>1.0179</v>
      </c>
      <c r="AL328">
        <v>72.552999999999997</v>
      </c>
      <c r="AM328">
        <v>8.9176000000000002</v>
      </c>
      <c r="AN328">
        <v>9.5665875346772715</v>
      </c>
      <c r="AO328">
        <v>0.91300000000000003</v>
      </c>
      <c r="AP328">
        <v>6064.9193587765631</v>
      </c>
      <c r="AQ328">
        <v>0.98975009761811794</v>
      </c>
      <c r="AR328">
        <v>6002.7545</v>
      </c>
      <c r="AS328">
        <v>1980.6610588179999</v>
      </c>
      <c r="AT328" t="s">
        <v>269</v>
      </c>
      <c r="AU328" t="s">
        <v>270</v>
      </c>
      <c r="AV328" t="s">
        <v>227</v>
      </c>
      <c r="AW328" t="s">
        <v>154</v>
      </c>
      <c r="AX328">
        <v>109.354</v>
      </c>
      <c r="AY328">
        <v>1.080821157758461</v>
      </c>
      <c r="AZ328">
        <v>118.1921168855188</v>
      </c>
      <c r="BA328">
        <v>779.31</v>
      </c>
      <c r="BB328">
        <v>0.879</v>
      </c>
      <c r="BC328">
        <v>80.963194478237142</v>
      </c>
      <c r="BD328">
        <v>0.9899</v>
      </c>
      <c r="BE328">
        <v>80.144999999999996</v>
      </c>
      <c r="BF328">
        <v>8.9176000000000002</v>
      </c>
      <c r="BG328">
        <v>0.80400000000000005</v>
      </c>
      <c r="BH328">
        <v>6039.0430235999738</v>
      </c>
      <c r="BI328">
        <v>0.99199531433033972</v>
      </c>
      <c r="BJ328">
        <v>5990.7024000000001</v>
      </c>
      <c r="BK328">
        <v>2187.9189083699998</v>
      </c>
    </row>
    <row r="329" spans="1:63" x14ac:dyDescent="0.25">
      <c r="A329">
        <v>4518</v>
      </c>
      <c r="B329" t="s">
        <v>102</v>
      </c>
      <c r="C329">
        <v>2020</v>
      </c>
      <c r="D329">
        <v>1</v>
      </c>
      <c r="E329" t="s">
        <v>218</v>
      </c>
      <c r="F329" t="s">
        <v>251</v>
      </c>
      <c r="G329" t="s">
        <v>252</v>
      </c>
      <c r="H329" t="s">
        <v>17</v>
      </c>
      <c r="I329" t="s">
        <v>253</v>
      </c>
      <c r="J329" t="s">
        <v>222</v>
      </c>
      <c r="K329">
        <v>-283.53110778000001</v>
      </c>
      <c r="L329" t="s">
        <v>223</v>
      </c>
      <c r="M329" t="s">
        <v>231</v>
      </c>
      <c r="N329">
        <v>4.5018334813739999E-2</v>
      </c>
      <c r="O329">
        <v>12.764098000000001</v>
      </c>
      <c r="P329" t="s">
        <v>21</v>
      </c>
      <c r="Q329">
        <v>1</v>
      </c>
      <c r="V329">
        <v>66303.072</v>
      </c>
      <c r="W329">
        <v>1</v>
      </c>
      <c r="X329">
        <v>9.0493559999999998E-6</v>
      </c>
      <c r="Y329">
        <v>0.6</v>
      </c>
      <c r="Z329">
        <v>7.6584589999999997</v>
      </c>
      <c r="AA329" t="s">
        <v>225</v>
      </c>
      <c r="AB329" t="s">
        <v>226</v>
      </c>
      <c r="AC329" t="s">
        <v>227</v>
      </c>
      <c r="AD329" t="s">
        <v>100</v>
      </c>
      <c r="AE329">
        <v>109.354</v>
      </c>
      <c r="AF329">
        <v>1.0727760310708341</v>
      </c>
      <c r="AG329">
        <v>117.31235010172</v>
      </c>
      <c r="AH329">
        <v>694.38</v>
      </c>
      <c r="AI329">
        <v>0.875</v>
      </c>
      <c r="AJ329">
        <v>71.276930955678296</v>
      </c>
      <c r="AK329">
        <v>0.96660000000000001</v>
      </c>
      <c r="AL329">
        <v>68.896000000000001</v>
      </c>
      <c r="AM329">
        <v>8.9176000000000002</v>
      </c>
      <c r="AN329">
        <v>9.5665875346772715</v>
      </c>
      <c r="AO329">
        <v>0.91300000000000003</v>
      </c>
      <c r="AP329">
        <v>6064.9193587765631</v>
      </c>
      <c r="AQ329">
        <v>0.98316430020283985</v>
      </c>
      <c r="AR329">
        <v>5962.8122000000003</v>
      </c>
      <c r="AS329">
        <v>527.63719126399997</v>
      </c>
      <c r="AT329" t="s">
        <v>269</v>
      </c>
      <c r="AU329" t="s">
        <v>270</v>
      </c>
      <c r="AV329" t="s">
        <v>227</v>
      </c>
      <c r="AW329" t="s">
        <v>100</v>
      </c>
      <c r="AX329">
        <v>109.354</v>
      </c>
      <c r="AY329">
        <v>1.080821157758461</v>
      </c>
      <c r="AZ329">
        <v>118.1921168855188</v>
      </c>
      <c r="BA329">
        <v>779.31</v>
      </c>
      <c r="BB329">
        <v>0.879</v>
      </c>
      <c r="BC329">
        <v>80.963194478237142</v>
      </c>
      <c r="BD329">
        <v>0.96560000000000001</v>
      </c>
      <c r="BE329">
        <v>78.177999999999997</v>
      </c>
      <c r="BF329">
        <v>8.9176000000000002</v>
      </c>
      <c r="BG329">
        <v>0.80400000000000005</v>
      </c>
      <c r="BH329">
        <v>6039.0430235999738</v>
      </c>
      <c r="BI329">
        <v>0.98955375253549693</v>
      </c>
      <c r="BJ329">
        <v>5975.9576999999999</v>
      </c>
      <c r="BK329">
        <v>598.7230077019999</v>
      </c>
    </row>
    <row r="330" spans="1:63" x14ac:dyDescent="0.25">
      <c r="A330">
        <v>4520</v>
      </c>
      <c r="B330" t="s">
        <v>102</v>
      </c>
      <c r="C330">
        <v>2020</v>
      </c>
      <c r="D330">
        <v>1</v>
      </c>
      <c r="E330" t="s">
        <v>218</v>
      </c>
      <c r="F330" t="s">
        <v>251</v>
      </c>
      <c r="G330" t="s">
        <v>252</v>
      </c>
      <c r="H330" t="s">
        <v>17</v>
      </c>
      <c r="I330" t="s">
        <v>253</v>
      </c>
      <c r="J330" t="s">
        <v>222</v>
      </c>
      <c r="K330">
        <v>-283.53110778000001</v>
      </c>
      <c r="L330" t="s">
        <v>223</v>
      </c>
      <c r="M330" t="s">
        <v>232</v>
      </c>
      <c r="N330">
        <v>0.87398007306502001</v>
      </c>
      <c r="O330">
        <v>247.80053799999999</v>
      </c>
      <c r="P330" t="s">
        <v>21</v>
      </c>
      <c r="Q330">
        <v>1</v>
      </c>
      <c r="V330">
        <v>66303.072</v>
      </c>
      <c r="W330">
        <v>1</v>
      </c>
      <c r="X330">
        <v>9.0493559999999998E-6</v>
      </c>
      <c r="Y330">
        <v>0.6</v>
      </c>
      <c r="Z330">
        <v>148.68032299999999</v>
      </c>
      <c r="AA330" t="s">
        <v>225</v>
      </c>
      <c r="AB330" t="s">
        <v>226</v>
      </c>
      <c r="AC330" t="s">
        <v>227</v>
      </c>
      <c r="AD330" t="s">
        <v>101</v>
      </c>
      <c r="AE330">
        <v>109.354</v>
      </c>
      <c r="AF330">
        <v>1.0727760310708341</v>
      </c>
      <c r="AG330">
        <v>117.31235010172</v>
      </c>
      <c r="AH330">
        <v>694.38</v>
      </c>
      <c r="AI330">
        <v>0.875</v>
      </c>
      <c r="AJ330">
        <v>71.276930955678296</v>
      </c>
      <c r="AK330">
        <v>1.0077</v>
      </c>
      <c r="AL330">
        <v>71.825999999999993</v>
      </c>
      <c r="AM330">
        <v>8.9176000000000002</v>
      </c>
      <c r="AN330">
        <v>9.5665875346772715</v>
      </c>
      <c r="AO330">
        <v>0.91300000000000003</v>
      </c>
      <c r="AP330">
        <v>6064.9193587765631</v>
      </c>
      <c r="AQ330">
        <v>1.0255267423014589</v>
      </c>
      <c r="AR330">
        <v>6219.7370000000001</v>
      </c>
      <c r="AS330">
        <v>10679.112879798</v>
      </c>
      <c r="AT330" t="s">
        <v>269</v>
      </c>
      <c r="AU330" t="s">
        <v>270</v>
      </c>
      <c r="AV330" t="s">
        <v>227</v>
      </c>
      <c r="AW330" t="s">
        <v>101</v>
      </c>
      <c r="AX330">
        <v>109.354</v>
      </c>
      <c r="AY330">
        <v>1.080821157758461</v>
      </c>
      <c r="AZ330">
        <v>118.1921168855188</v>
      </c>
      <c r="BA330">
        <v>779.31</v>
      </c>
      <c r="BB330">
        <v>0.879</v>
      </c>
      <c r="BC330">
        <v>80.963194478237142</v>
      </c>
      <c r="BD330">
        <v>1.0097</v>
      </c>
      <c r="BE330">
        <v>81.748999999999995</v>
      </c>
      <c r="BF330">
        <v>8.9176000000000002</v>
      </c>
      <c r="BG330">
        <v>0.80400000000000005</v>
      </c>
      <c r="BH330">
        <v>6039.0430235999738</v>
      </c>
      <c r="BI330">
        <v>1.0276539708265799</v>
      </c>
      <c r="BJ330">
        <v>6206.0465000000004</v>
      </c>
      <c r="BK330">
        <v>12154.467724927001</v>
      </c>
    </row>
    <row r="331" spans="1:63" x14ac:dyDescent="0.25">
      <c r="A331">
        <v>2250</v>
      </c>
      <c r="B331" t="s">
        <v>102</v>
      </c>
      <c r="C331">
        <v>2020</v>
      </c>
      <c r="D331">
        <v>1</v>
      </c>
      <c r="E331" t="s">
        <v>218</v>
      </c>
      <c r="F331" t="s">
        <v>251</v>
      </c>
      <c r="G331" t="s">
        <v>252</v>
      </c>
      <c r="H331" t="s">
        <v>17</v>
      </c>
      <c r="I331" t="s">
        <v>254</v>
      </c>
      <c r="J331" t="s">
        <v>234</v>
      </c>
      <c r="K331">
        <v>-1044.9934843000001</v>
      </c>
      <c r="L331" t="s">
        <v>234</v>
      </c>
      <c r="M331" t="s">
        <v>224</v>
      </c>
      <c r="N331">
        <v>8.5771088379299996E-3</v>
      </c>
      <c r="O331">
        <v>8.9630229999999997</v>
      </c>
      <c r="P331" t="s">
        <v>21</v>
      </c>
      <c r="Q331">
        <v>1</v>
      </c>
      <c r="V331">
        <v>66303.072</v>
      </c>
      <c r="W331">
        <v>1</v>
      </c>
      <c r="X331">
        <v>9.0493559999999998E-6</v>
      </c>
      <c r="Y331">
        <v>0.6</v>
      </c>
      <c r="Z331">
        <v>5.3778139999999999</v>
      </c>
      <c r="AA331" t="s">
        <v>225</v>
      </c>
      <c r="AB331" t="s">
        <v>226</v>
      </c>
      <c r="AC331" t="s">
        <v>227</v>
      </c>
      <c r="AD331" t="s">
        <v>153</v>
      </c>
      <c r="AE331">
        <v>109.354</v>
      </c>
      <c r="AF331">
        <v>1.0727760310708341</v>
      </c>
      <c r="AG331">
        <v>117.31235010172</v>
      </c>
      <c r="AH331">
        <v>694.38</v>
      </c>
      <c r="AI331">
        <v>0.875</v>
      </c>
      <c r="AJ331">
        <v>71.276930955678296</v>
      </c>
      <c r="AK331">
        <v>1.0034000000000001</v>
      </c>
      <c r="AL331">
        <v>71.519000000000005</v>
      </c>
      <c r="AM331">
        <v>8.9176000000000002</v>
      </c>
      <c r="AN331">
        <v>9.5665875346772715</v>
      </c>
      <c r="AO331">
        <v>0.91300000000000003</v>
      </c>
      <c r="AP331">
        <v>6064.9193587765631</v>
      </c>
      <c r="AQ331">
        <v>1</v>
      </c>
      <c r="AR331">
        <v>6064.9193999999998</v>
      </c>
      <c r="AS331">
        <v>384.61587946600002</v>
      </c>
      <c r="AT331" t="s">
        <v>269</v>
      </c>
      <c r="AU331" t="s">
        <v>270</v>
      </c>
      <c r="AV331" t="s">
        <v>227</v>
      </c>
      <c r="AW331" t="s">
        <v>153</v>
      </c>
      <c r="AX331">
        <v>109.354</v>
      </c>
      <c r="AY331">
        <v>1.080821157758461</v>
      </c>
      <c r="AZ331">
        <v>118.1921168855188</v>
      </c>
      <c r="BA331">
        <v>779.31</v>
      </c>
      <c r="BB331">
        <v>0.879</v>
      </c>
      <c r="BC331">
        <v>80.963194478237142</v>
      </c>
      <c r="BD331">
        <v>1.0078</v>
      </c>
      <c r="BE331">
        <v>81.594999999999999</v>
      </c>
      <c r="BF331">
        <v>8.9176000000000002</v>
      </c>
      <c r="BG331">
        <v>0.80400000000000005</v>
      </c>
      <c r="BH331">
        <v>6039.0430235999738</v>
      </c>
      <c r="BI331">
        <v>1</v>
      </c>
      <c r="BJ331">
        <v>6039.0429999999997</v>
      </c>
      <c r="BK331">
        <v>438.80273333000002</v>
      </c>
    </row>
    <row r="332" spans="1:63" x14ac:dyDescent="0.25">
      <c r="A332">
        <v>2252</v>
      </c>
      <c r="B332" t="s">
        <v>102</v>
      </c>
      <c r="C332">
        <v>2020</v>
      </c>
      <c r="D332">
        <v>1</v>
      </c>
      <c r="E332" t="s">
        <v>218</v>
      </c>
      <c r="F332" t="s">
        <v>251</v>
      </c>
      <c r="G332" t="s">
        <v>252</v>
      </c>
      <c r="H332" t="s">
        <v>17</v>
      </c>
      <c r="I332" t="s">
        <v>254</v>
      </c>
      <c r="J332" t="s">
        <v>234</v>
      </c>
      <c r="K332">
        <v>-1044.9934843000001</v>
      </c>
      <c r="L332" t="s">
        <v>234</v>
      </c>
      <c r="M332" t="s">
        <v>235</v>
      </c>
      <c r="N332">
        <v>0.60124209651893001</v>
      </c>
      <c r="O332">
        <v>628.29407300000003</v>
      </c>
      <c r="P332" t="s">
        <v>21</v>
      </c>
      <c r="Q332">
        <v>1</v>
      </c>
      <c r="V332">
        <v>66303.072</v>
      </c>
      <c r="W332">
        <v>1</v>
      </c>
      <c r="X332">
        <v>9.0493559999999998E-6</v>
      </c>
      <c r="Y332">
        <v>0.6</v>
      </c>
      <c r="Z332">
        <v>376.97644400000001</v>
      </c>
      <c r="AA332" t="s">
        <v>225</v>
      </c>
      <c r="AB332" t="s">
        <v>226</v>
      </c>
      <c r="AC332" t="s">
        <v>227</v>
      </c>
      <c r="AD332" t="s">
        <v>154</v>
      </c>
      <c r="AE332">
        <v>109.354</v>
      </c>
      <c r="AF332">
        <v>1.0727760310708341</v>
      </c>
      <c r="AG332">
        <v>117.31235010172</v>
      </c>
      <c r="AH332">
        <v>694.38</v>
      </c>
      <c r="AI332">
        <v>0.875</v>
      </c>
      <c r="AJ332">
        <v>71.276930955678296</v>
      </c>
      <c r="AK332">
        <v>1.0179</v>
      </c>
      <c r="AL332">
        <v>72.552999999999997</v>
      </c>
      <c r="AM332">
        <v>8.9176000000000002</v>
      </c>
      <c r="AN332">
        <v>9.5665875346772715</v>
      </c>
      <c r="AO332">
        <v>0.91300000000000003</v>
      </c>
      <c r="AP332">
        <v>6064.9193587765631</v>
      </c>
      <c r="AQ332">
        <v>0.98975009761811794</v>
      </c>
      <c r="AR332">
        <v>6002.7545</v>
      </c>
      <c r="AS332">
        <v>27350.771941531999</v>
      </c>
      <c r="AT332" t="s">
        <v>269</v>
      </c>
      <c r="AU332" t="s">
        <v>270</v>
      </c>
      <c r="AV332" t="s">
        <v>227</v>
      </c>
      <c r="AW332" t="s">
        <v>154</v>
      </c>
      <c r="AX332">
        <v>109.354</v>
      </c>
      <c r="AY332">
        <v>1.080821157758461</v>
      </c>
      <c r="AZ332">
        <v>118.1921168855188</v>
      </c>
      <c r="BA332">
        <v>779.31</v>
      </c>
      <c r="BB332">
        <v>0.879</v>
      </c>
      <c r="BC332">
        <v>80.963194478237142</v>
      </c>
      <c r="BD332">
        <v>0.9899</v>
      </c>
      <c r="BE332">
        <v>80.144999999999996</v>
      </c>
      <c r="BF332">
        <v>8.9176000000000002</v>
      </c>
      <c r="BG332">
        <v>0.80400000000000005</v>
      </c>
      <c r="BH332">
        <v>6039.0430235999738</v>
      </c>
      <c r="BI332">
        <v>0.99199531433033972</v>
      </c>
      <c r="BJ332">
        <v>5990.7024000000001</v>
      </c>
      <c r="BK332">
        <v>30212.777104379998</v>
      </c>
    </row>
    <row r="333" spans="1:63" x14ac:dyDescent="0.25">
      <c r="A333">
        <v>2254</v>
      </c>
      <c r="B333" t="s">
        <v>102</v>
      </c>
      <c r="C333">
        <v>2020</v>
      </c>
      <c r="D333">
        <v>1</v>
      </c>
      <c r="E333" t="s">
        <v>218</v>
      </c>
      <c r="F333" t="s">
        <v>251</v>
      </c>
      <c r="G333" t="s">
        <v>252</v>
      </c>
      <c r="H333" t="s">
        <v>17</v>
      </c>
      <c r="I333" t="s">
        <v>254</v>
      </c>
      <c r="J333" t="s">
        <v>234</v>
      </c>
      <c r="K333">
        <v>-1044.9934843000001</v>
      </c>
      <c r="L333" t="s">
        <v>234</v>
      </c>
      <c r="M333" t="s">
        <v>236</v>
      </c>
      <c r="N333">
        <v>1.9808691721710001E-2</v>
      </c>
      <c r="O333">
        <v>20.699954000000002</v>
      </c>
      <c r="P333" t="s">
        <v>21</v>
      </c>
      <c r="Q333">
        <v>1</v>
      </c>
      <c r="V333">
        <v>66303.072</v>
      </c>
      <c r="W333">
        <v>1</v>
      </c>
      <c r="X333">
        <v>9.0493559999999998E-6</v>
      </c>
      <c r="Y333">
        <v>0.6</v>
      </c>
      <c r="Z333">
        <v>12.419972</v>
      </c>
      <c r="AA333" t="s">
        <v>225</v>
      </c>
      <c r="AB333" t="s">
        <v>226</v>
      </c>
      <c r="AC333" t="s">
        <v>227</v>
      </c>
      <c r="AD333" t="s">
        <v>100</v>
      </c>
      <c r="AE333">
        <v>109.354</v>
      </c>
      <c r="AF333">
        <v>1.0727760310708341</v>
      </c>
      <c r="AG333">
        <v>117.31235010172</v>
      </c>
      <c r="AH333">
        <v>694.38</v>
      </c>
      <c r="AI333">
        <v>0.875</v>
      </c>
      <c r="AJ333">
        <v>71.276930955678296</v>
      </c>
      <c r="AK333">
        <v>0.96660000000000001</v>
      </c>
      <c r="AL333">
        <v>68.896000000000001</v>
      </c>
      <c r="AM333">
        <v>8.9176000000000002</v>
      </c>
      <c r="AN333">
        <v>9.5665875346772715</v>
      </c>
      <c r="AO333">
        <v>0.91300000000000003</v>
      </c>
      <c r="AP333">
        <v>6064.9193587765631</v>
      </c>
      <c r="AQ333">
        <v>0.98316430020283985</v>
      </c>
      <c r="AR333">
        <v>5962.8122000000003</v>
      </c>
      <c r="AS333">
        <v>855.68639091199998</v>
      </c>
      <c r="AT333" t="s">
        <v>269</v>
      </c>
      <c r="AU333" t="s">
        <v>270</v>
      </c>
      <c r="AV333" t="s">
        <v>227</v>
      </c>
      <c r="AW333" t="s">
        <v>100</v>
      </c>
      <c r="AX333">
        <v>109.354</v>
      </c>
      <c r="AY333">
        <v>1.080821157758461</v>
      </c>
      <c r="AZ333">
        <v>118.1921168855188</v>
      </c>
      <c r="BA333">
        <v>779.31</v>
      </c>
      <c r="BB333">
        <v>0.879</v>
      </c>
      <c r="BC333">
        <v>80.963194478237142</v>
      </c>
      <c r="BD333">
        <v>0.96560000000000001</v>
      </c>
      <c r="BE333">
        <v>78.177999999999997</v>
      </c>
      <c r="BF333">
        <v>8.9176000000000002</v>
      </c>
      <c r="BG333">
        <v>0.80400000000000005</v>
      </c>
      <c r="BH333">
        <v>6039.0430235999738</v>
      </c>
      <c r="BI333">
        <v>0.98955375253549693</v>
      </c>
      <c r="BJ333">
        <v>5975.9576999999999</v>
      </c>
      <c r="BK333">
        <v>970.96857101599994</v>
      </c>
    </row>
    <row r="334" spans="1:63" x14ac:dyDescent="0.25">
      <c r="A334">
        <v>2256</v>
      </c>
      <c r="B334" t="s">
        <v>102</v>
      </c>
      <c r="C334">
        <v>2020</v>
      </c>
      <c r="D334">
        <v>1</v>
      </c>
      <c r="E334" t="s">
        <v>218</v>
      </c>
      <c r="F334" t="s">
        <v>251</v>
      </c>
      <c r="G334" t="s">
        <v>252</v>
      </c>
      <c r="H334" t="s">
        <v>17</v>
      </c>
      <c r="I334" t="s">
        <v>254</v>
      </c>
      <c r="J334" t="s">
        <v>234</v>
      </c>
      <c r="K334">
        <v>-1044.9934843000001</v>
      </c>
      <c r="L334" t="s">
        <v>234</v>
      </c>
      <c r="M334" t="s">
        <v>237</v>
      </c>
      <c r="N334">
        <v>0.39660634608572998</v>
      </c>
      <c r="O334">
        <v>414.45104700000002</v>
      </c>
      <c r="P334" t="s">
        <v>21</v>
      </c>
      <c r="Q334">
        <v>1</v>
      </c>
      <c r="V334">
        <v>66303.072</v>
      </c>
      <c r="W334">
        <v>1</v>
      </c>
      <c r="X334">
        <v>9.0493559999999998E-6</v>
      </c>
      <c r="Y334">
        <v>0.6</v>
      </c>
      <c r="Z334">
        <v>248.67062799999999</v>
      </c>
      <c r="AA334" t="s">
        <v>225</v>
      </c>
      <c r="AB334" t="s">
        <v>226</v>
      </c>
      <c r="AC334" t="s">
        <v>227</v>
      </c>
      <c r="AD334" t="s">
        <v>101</v>
      </c>
      <c r="AE334">
        <v>109.354</v>
      </c>
      <c r="AF334">
        <v>1.0727760310708341</v>
      </c>
      <c r="AG334">
        <v>117.31235010172</v>
      </c>
      <c r="AH334">
        <v>694.38</v>
      </c>
      <c r="AI334">
        <v>0.875</v>
      </c>
      <c r="AJ334">
        <v>71.276930955678296</v>
      </c>
      <c r="AK334">
        <v>1.0077</v>
      </c>
      <c r="AL334">
        <v>71.825999999999993</v>
      </c>
      <c r="AM334">
        <v>8.9176000000000002</v>
      </c>
      <c r="AN334">
        <v>9.5665875346772715</v>
      </c>
      <c r="AO334">
        <v>0.91300000000000003</v>
      </c>
      <c r="AP334">
        <v>6064.9193587765631</v>
      </c>
      <c r="AQ334">
        <v>1.0255267423014589</v>
      </c>
      <c r="AR334">
        <v>6219.7370000000001</v>
      </c>
      <c r="AS334">
        <v>17861.016526727999</v>
      </c>
      <c r="AT334" t="s">
        <v>269</v>
      </c>
      <c r="AU334" t="s">
        <v>270</v>
      </c>
      <c r="AV334" t="s">
        <v>227</v>
      </c>
      <c r="AW334" t="s">
        <v>101</v>
      </c>
      <c r="AX334">
        <v>109.354</v>
      </c>
      <c r="AY334">
        <v>1.080821157758461</v>
      </c>
      <c r="AZ334">
        <v>118.1921168855188</v>
      </c>
      <c r="BA334">
        <v>779.31</v>
      </c>
      <c r="BB334">
        <v>0.879</v>
      </c>
      <c r="BC334">
        <v>80.963194478237142</v>
      </c>
      <c r="BD334">
        <v>1.0097</v>
      </c>
      <c r="BE334">
        <v>81.748999999999995</v>
      </c>
      <c r="BF334">
        <v>8.9176000000000002</v>
      </c>
      <c r="BG334">
        <v>0.80400000000000005</v>
      </c>
      <c r="BH334">
        <v>6039.0430235999738</v>
      </c>
      <c r="BI334">
        <v>1.0276539708265799</v>
      </c>
      <c r="BJ334">
        <v>6206.0465000000004</v>
      </c>
      <c r="BK334">
        <v>20328.575168372001</v>
      </c>
    </row>
    <row r="335" spans="1:63" x14ac:dyDescent="0.25">
      <c r="A335">
        <v>2250</v>
      </c>
      <c r="B335" t="s">
        <v>102</v>
      </c>
      <c r="C335">
        <v>2020</v>
      </c>
      <c r="D335">
        <v>1</v>
      </c>
      <c r="E335" t="s">
        <v>218</v>
      </c>
      <c r="F335" t="s">
        <v>251</v>
      </c>
      <c r="G335" t="s">
        <v>252</v>
      </c>
      <c r="H335" t="s">
        <v>17</v>
      </c>
      <c r="I335" t="s">
        <v>255</v>
      </c>
      <c r="J335" t="s">
        <v>239</v>
      </c>
      <c r="K335">
        <v>-201.20896694000001</v>
      </c>
      <c r="L335" t="s">
        <v>240</v>
      </c>
      <c r="M335" t="s">
        <v>224</v>
      </c>
      <c r="N335">
        <v>1.1109205873409999E-2</v>
      </c>
      <c r="O335">
        <v>2.2352720000000001</v>
      </c>
      <c r="P335" t="s">
        <v>21</v>
      </c>
      <c r="Q335">
        <v>1</v>
      </c>
      <c r="V335">
        <v>66303.072</v>
      </c>
      <c r="W335">
        <v>1</v>
      </c>
      <c r="X335">
        <v>9.0493559999999998E-6</v>
      </c>
      <c r="Y335">
        <v>0.6</v>
      </c>
      <c r="Z335">
        <v>1.3411630000000001</v>
      </c>
      <c r="AA335" t="s">
        <v>225</v>
      </c>
      <c r="AB335" t="s">
        <v>226</v>
      </c>
      <c r="AC335" t="s">
        <v>227</v>
      </c>
      <c r="AD335" t="s">
        <v>153</v>
      </c>
      <c r="AE335">
        <v>109.354</v>
      </c>
      <c r="AF335">
        <v>1.0727760310708341</v>
      </c>
      <c r="AG335">
        <v>117.31235010172</v>
      </c>
      <c r="AH335">
        <v>694.38</v>
      </c>
      <c r="AI335">
        <v>0.875</v>
      </c>
      <c r="AJ335">
        <v>71.276930955678296</v>
      </c>
      <c r="AK335">
        <v>1.0034000000000001</v>
      </c>
      <c r="AL335">
        <v>71.519000000000005</v>
      </c>
      <c r="AM335">
        <v>8.9176000000000002</v>
      </c>
      <c r="AN335">
        <v>9.5665875346772715</v>
      </c>
      <c r="AO335">
        <v>0.91300000000000003</v>
      </c>
      <c r="AP335">
        <v>6064.9193587765631</v>
      </c>
      <c r="AQ335">
        <v>1</v>
      </c>
      <c r="AR335">
        <v>6064.9193999999998</v>
      </c>
      <c r="AS335">
        <v>95.918636597000017</v>
      </c>
      <c r="AT335" t="s">
        <v>269</v>
      </c>
      <c r="AU335" t="s">
        <v>270</v>
      </c>
      <c r="AV335" t="s">
        <v>227</v>
      </c>
      <c r="AW335" t="s">
        <v>153</v>
      </c>
      <c r="AX335">
        <v>109.354</v>
      </c>
      <c r="AY335">
        <v>1.080821157758461</v>
      </c>
      <c r="AZ335">
        <v>118.1921168855188</v>
      </c>
      <c r="BA335">
        <v>779.31</v>
      </c>
      <c r="BB335">
        <v>0.879</v>
      </c>
      <c r="BC335">
        <v>80.963194478237142</v>
      </c>
      <c r="BD335">
        <v>1.0078</v>
      </c>
      <c r="BE335">
        <v>81.594999999999999</v>
      </c>
      <c r="BF335">
        <v>8.9176000000000002</v>
      </c>
      <c r="BG335">
        <v>0.80400000000000005</v>
      </c>
      <c r="BH335">
        <v>6039.0430235999738</v>
      </c>
      <c r="BI335">
        <v>1</v>
      </c>
      <c r="BJ335">
        <v>6039.0429999999997</v>
      </c>
      <c r="BK335">
        <v>109.432194985</v>
      </c>
    </row>
    <row r="336" spans="1:63" x14ac:dyDescent="0.25">
      <c r="A336">
        <v>2252</v>
      </c>
      <c r="B336" t="s">
        <v>102</v>
      </c>
      <c r="C336">
        <v>2020</v>
      </c>
      <c r="D336">
        <v>1</v>
      </c>
      <c r="E336" t="s">
        <v>218</v>
      </c>
      <c r="F336" t="s">
        <v>251</v>
      </c>
      <c r="G336" t="s">
        <v>252</v>
      </c>
      <c r="H336" t="s">
        <v>17</v>
      </c>
      <c r="I336" t="s">
        <v>255</v>
      </c>
      <c r="J336" t="s">
        <v>239</v>
      </c>
      <c r="K336">
        <v>-201.20896694000001</v>
      </c>
      <c r="L336" t="s">
        <v>240</v>
      </c>
      <c r="M336" t="s">
        <v>235</v>
      </c>
      <c r="N336">
        <v>0.58148407621825005</v>
      </c>
      <c r="O336">
        <v>116.99981</v>
      </c>
      <c r="P336" t="s">
        <v>21</v>
      </c>
      <c r="Q336">
        <v>1</v>
      </c>
      <c r="V336">
        <v>66303.072</v>
      </c>
      <c r="W336">
        <v>1</v>
      </c>
      <c r="X336">
        <v>9.0493559999999998E-6</v>
      </c>
      <c r="Y336">
        <v>0.6</v>
      </c>
      <c r="Z336">
        <v>70.199886000000006</v>
      </c>
      <c r="AA336" t="s">
        <v>225</v>
      </c>
      <c r="AB336" t="s">
        <v>226</v>
      </c>
      <c r="AC336" t="s">
        <v>227</v>
      </c>
      <c r="AD336" t="s">
        <v>154</v>
      </c>
      <c r="AE336">
        <v>109.354</v>
      </c>
      <c r="AF336">
        <v>1.0727760310708341</v>
      </c>
      <c r="AG336">
        <v>117.31235010172</v>
      </c>
      <c r="AH336">
        <v>694.38</v>
      </c>
      <c r="AI336">
        <v>0.875</v>
      </c>
      <c r="AJ336">
        <v>71.276930955678296</v>
      </c>
      <c r="AK336">
        <v>1.0179</v>
      </c>
      <c r="AL336">
        <v>72.552999999999997</v>
      </c>
      <c r="AM336">
        <v>8.9176000000000002</v>
      </c>
      <c r="AN336">
        <v>9.5665875346772715</v>
      </c>
      <c r="AO336">
        <v>0.91300000000000003</v>
      </c>
      <c r="AP336">
        <v>6064.9193587765631</v>
      </c>
      <c r="AQ336">
        <v>0.98975009761811794</v>
      </c>
      <c r="AR336">
        <v>6002.7545</v>
      </c>
      <c r="AS336">
        <v>5093.2123289580004</v>
      </c>
      <c r="AT336" t="s">
        <v>269</v>
      </c>
      <c r="AU336" t="s">
        <v>270</v>
      </c>
      <c r="AV336" t="s">
        <v>227</v>
      </c>
      <c r="AW336" t="s">
        <v>154</v>
      </c>
      <c r="AX336">
        <v>109.354</v>
      </c>
      <c r="AY336">
        <v>1.080821157758461</v>
      </c>
      <c r="AZ336">
        <v>118.1921168855188</v>
      </c>
      <c r="BA336">
        <v>779.31</v>
      </c>
      <c r="BB336">
        <v>0.879</v>
      </c>
      <c r="BC336">
        <v>80.963194478237142</v>
      </c>
      <c r="BD336">
        <v>0.9899</v>
      </c>
      <c r="BE336">
        <v>80.144999999999996</v>
      </c>
      <c r="BF336">
        <v>8.9176000000000002</v>
      </c>
      <c r="BG336">
        <v>0.80400000000000005</v>
      </c>
      <c r="BH336">
        <v>6039.0430235999738</v>
      </c>
      <c r="BI336">
        <v>0.99199531433033972</v>
      </c>
      <c r="BJ336">
        <v>5990.7024000000001</v>
      </c>
      <c r="BK336">
        <v>5626.1698634700006</v>
      </c>
    </row>
    <row r="337" spans="1:63" x14ac:dyDescent="0.25">
      <c r="A337">
        <v>2254</v>
      </c>
      <c r="B337" t="s">
        <v>102</v>
      </c>
      <c r="C337">
        <v>2020</v>
      </c>
      <c r="D337">
        <v>1</v>
      </c>
      <c r="E337" t="s">
        <v>218</v>
      </c>
      <c r="F337" t="s">
        <v>251</v>
      </c>
      <c r="G337" t="s">
        <v>252</v>
      </c>
      <c r="H337" t="s">
        <v>17</v>
      </c>
      <c r="I337" t="s">
        <v>255</v>
      </c>
      <c r="J337" t="s">
        <v>239</v>
      </c>
      <c r="K337">
        <v>-201.20896694000001</v>
      </c>
      <c r="L337" t="s">
        <v>240</v>
      </c>
      <c r="M337" t="s">
        <v>236</v>
      </c>
      <c r="N337">
        <v>1.8083569973560001E-2</v>
      </c>
      <c r="O337">
        <v>3.638576</v>
      </c>
      <c r="P337" t="s">
        <v>21</v>
      </c>
      <c r="Q337">
        <v>1</v>
      </c>
      <c r="V337">
        <v>66303.072</v>
      </c>
      <c r="W337">
        <v>1</v>
      </c>
      <c r="X337">
        <v>9.0493559999999998E-6</v>
      </c>
      <c r="Y337">
        <v>0.6</v>
      </c>
      <c r="Z337">
        <v>2.1831459999999998</v>
      </c>
      <c r="AA337" t="s">
        <v>225</v>
      </c>
      <c r="AB337" t="s">
        <v>226</v>
      </c>
      <c r="AC337" t="s">
        <v>227</v>
      </c>
      <c r="AD337" t="s">
        <v>100</v>
      </c>
      <c r="AE337">
        <v>109.354</v>
      </c>
      <c r="AF337">
        <v>1.0727760310708341</v>
      </c>
      <c r="AG337">
        <v>117.31235010172</v>
      </c>
      <c r="AH337">
        <v>694.38</v>
      </c>
      <c r="AI337">
        <v>0.875</v>
      </c>
      <c r="AJ337">
        <v>71.276930955678296</v>
      </c>
      <c r="AK337">
        <v>0.96660000000000001</v>
      </c>
      <c r="AL337">
        <v>68.896000000000001</v>
      </c>
      <c r="AM337">
        <v>8.9176000000000002</v>
      </c>
      <c r="AN337">
        <v>9.5665875346772715</v>
      </c>
      <c r="AO337">
        <v>0.91300000000000003</v>
      </c>
      <c r="AP337">
        <v>6064.9193587765631</v>
      </c>
      <c r="AQ337">
        <v>0.98316430020283985</v>
      </c>
      <c r="AR337">
        <v>5962.8122000000003</v>
      </c>
      <c r="AS337">
        <v>150.410026816</v>
      </c>
      <c r="AT337" t="s">
        <v>269</v>
      </c>
      <c r="AU337" t="s">
        <v>270</v>
      </c>
      <c r="AV337" t="s">
        <v>227</v>
      </c>
      <c r="AW337" t="s">
        <v>100</v>
      </c>
      <c r="AX337">
        <v>109.354</v>
      </c>
      <c r="AY337">
        <v>1.080821157758461</v>
      </c>
      <c r="AZ337">
        <v>118.1921168855188</v>
      </c>
      <c r="BA337">
        <v>779.31</v>
      </c>
      <c r="BB337">
        <v>0.879</v>
      </c>
      <c r="BC337">
        <v>80.963194478237142</v>
      </c>
      <c r="BD337">
        <v>0.96560000000000001</v>
      </c>
      <c r="BE337">
        <v>78.177999999999997</v>
      </c>
      <c r="BF337">
        <v>8.9176000000000002</v>
      </c>
      <c r="BG337">
        <v>0.80400000000000005</v>
      </c>
      <c r="BH337">
        <v>6039.0430235999738</v>
      </c>
      <c r="BI337">
        <v>0.98955375253549693</v>
      </c>
      <c r="BJ337">
        <v>5975.9576999999999</v>
      </c>
      <c r="BK337">
        <v>170.67398798799999</v>
      </c>
    </row>
    <row r="338" spans="1:63" x14ac:dyDescent="0.25">
      <c r="A338">
        <v>2256</v>
      </c>
      <c r="B338" t="s">
        <v>102</v>
      </c>
      <c r="C338">
        <v>2020</v>
      </c>
      <c r="D338">
        <v>1</v>
      </c>
      <c r="E338" t="s">
        <v>218</v>
      </c>
      <c r="F338" t="s">
        <v>251</v>
      </c>
      <c r="G338" t="s">
        <v>252</v>
      </c>
      <c r="H338" t="s">
        <v>17</v>
      </c>
      <c r="I338" t="s">
        <v>255</v>
      </c>
      <c r="J338" t="s">
        <v>239</v>
      </c>
      <c r="K338">
        <v>-201.20896694000001</v>
      </c>
      <c r="L338" t="s">
        <v>240</v>
      </c>
      <c r="M338" t="s">
        <v>237</v>
      </c>
      <c r="N338">
        <v>0.41680683696206</v>
      </c>
      <c r="O338">
        <v>83.865273000000002</v>
      </c>
      <c r="P338" t="s">
        <v>21</v>
      </c>
      <c r="Q338">
        <v>1</v>
      </c>
      <c r="V338">
        <v>66303.072</v>
      </c>
      <c r="W338">
        <v>1</v>
      </c>
      <c r="X338">
        <v>9.0493559999999998E-6</v>
      </c>
      <c r="Y338">
        <v>0.6</v>
      </c>
      <c r="Z338">
        <v>50.319164000000001</v>
      </c>
      <c r="AA338" t="s">
        <v>225</v>
      </c>
      <c r="AB338" t="s">
        <v>226</v>
      </c>
      <c r="AC338" t="s">
        <v>227</v>
      </c>
      <c r="AD338" t="s">
        <v>101</v>
      </c>
      <c r="AE338">
        <v>109.354</v>
      </c>
      <c r="AF338">
        <v>1.0727760310708341</v>
      </c>
      <c r="AG338">
        <v>117.31235010172</v>
      </c>
      <c r="AH338">
        <v>694.38</v>
      </c>
      <c r="AI338">
        <v>0.875</v>
      </c>
      <c r="AJ338">
        <v>71.276930955678296</v>
      </c>
      <c r="AK338">
        <v>1.0077</v>
      </c>
      <c r="AL338">
        <v>71.825999999999993</v>
      </c>
      <c r="AM338">
        <v>8.9176000000000002</v>
      </c>
      <c r="AN338">
        <v>9.5665875346772715</v>
      </c>
      <c r="AO338">
        <v>0.91300000000000003</v>
      </c>
      <c r="AP338">
        <v>6064.9193587765631</v>
      </c>
      <c r="AQ338">
        <v>1.0255267423014589</v>
      </c>
      <c r="AR338">
        <v>6219.7370000000001</v>
      </c>
      <c r="AS338">
        <v>3614.2242734639999</v>
      </c>
      <c r="AT338" t="s">
        <v>269</v>
      </c>
      <c r="AU338" t="s">
        <v>270</v>
      </c>
      <c r="AV338" t="s">
        <v>227</v>
      </c>
      <c r="AW338" t="s">
        <v>101</v>
      </c>
      <c r="AX338">
        <v>109.354</v>
      </c>
      <c r="AY338">
        <v>1.080821157758461</v>
      </c>
      <c r="AZ338">
        <v>118.1921168855188</v>
      </c>
      <c r="BA338">
        <v>779.31</v>
      </c>
      <c r="BB338">
        <v>0.879</v>
      </c>
      <c r="BC338">
        <v>80.963194478237142</v>
      </c>
      <c r="BD338">
        <v>1.0097</v>
      </c>
      <c r="BE338">
        <v>81.748999999999995</v>
      </c>
      <c r="BF338">
        <v>8.9176000000000002</v>
      </c>
      <c r="BG338">
        <v>0.80400000000000005</v>
      </c>
      <c r="BH338">
        <v>6039.0430235999738</v>
      </c>
      <c r="BI338">
        <v>1.0276539708265799</v>
      </c>
      <c r="BJ338">
        <v>6206.0465000000004</v>
      </c>
      <c r="BK338">
        <v>4113.5413378359999</v>
      </c>
    </row>
    <row r="339" spans="1:63" x14ac:dyDescent="0.25">
      <c r="A339">
        <v>3386</v>
      </c>
      <c r="B339" t="s">
        <v>102</v>
      </c>
      <c r="C339">
        <v>2020</v>
      </c>
      <c r="D339">
        <v>1</v>
      </c>
      <c r="E339" t="s">
        <v>218</v>
      </c>
      <c r="F339" t="s">
        <v>251</v>
      </c>
      <c r="G339" t="s">
        <v>252</v>
      </c>
      <c r="H339" t="s">
        <v>17</v>
      </c>
      <c r="I339" t="s">
        <v>256</v>
      </c>
      <c r="J339" t="s">
        <v>242</v>
      </c>
      <c r="K339">
        <v>-78.520972060000005</v>
      </c>
      <c r="L339" t="s">
        <v>242</v>
      </c>
      <c r="M339" t="s">
        <v>235</v>
      </c>
      <c r="N339">
        <v>0.67001574769252004</v>
      </c>
      <c r="O339">
        <v>52.610287999999997</v>
      </c>
      <c r="P339" t="s">
        <v>21</v>
      </c>
      <c r="Q339">
        <v>1</v>
      </c>
      <c r="V339">
        <v>66303.072</v>
      </c>
      <c r="W339">
        <v>1</v>
      </c>
      <c r="X339">
        <v>9.0493559999999998E-6</v>
      </c>
      <c r="Y339">
        <v>0.6</v>
      </c>
      <c r="Z339">
        <v>31.566172999999999</v>
      </c>
      <c r="AA339" t="s">
        <v>225</v>
      </c>
      <c r="AB339" t="s">
        <v>226</v>
      </c>
      <c r="AC339" t="s">
        <v>227</v>
      </c>
      <c r="AD339" t="s">
        <v>154</v>
      </c>
      <c r="AE339">
        <v>109.354</v>
      </c>
      <c r="AF339">
        <v>1.0727760310708341</v>
      </c>
      <c r="AG339">
        <v>117.31235010172</v>
      </c>
      <c r="AH339">
        <v>694.38</v>
      </c>
      <c r="AI339">
        <v>0.875</v>
      </c>
      <c r="AJ339">
        <v>71.276930955678296</v>
      </c>
      <c r="AK339">
        <v>1.0179</v>
      </c>
      <c r="AL339">
        <v>72.552999999999997</v>
      </c>
      <c r="AM339">
        <v>8.9176000000000002</v>
      </c>
      <c r="AN339">
        <v>9.5665875346772715</v>
      </c>
      <c r="AO339">
        <v>0.91300000000000003</v>
      </c>
      <c r="AP339">
        <v>6064.9193587765631</v>
      </c>
      <c r="AQ339">
        <v>0.98975009761811794</v>
      </c>
      <c r="AR339">
        <v>6002.7545</v>
      </c>
      <c r="AS339">
        <v>2290.2205496689999</v>
      </c>
      <c r="AT339" t="s">
        <v>269</v>
      </c>
      <c r="AU339" t="s">
        <v>270</v>
      </c>
      <c r="AV339" t="s">
        <v>227</v>
      </c>
      <c r="AW339" t="s">
        <v>154</v>
      </c>
      <c r="AX339">
        <v>109.354</v>
      </c>
      <c r="AY339">
        <v>1.080821157758461</v>
      </c>
      <c r="AZ339">
        <v>118.1921168855188</v>
      </c>
      <c r="BA339">
        <v>779.31</v>
      </c>
      <c r="BB339">
        <v>0.879</v>
      </c>
      <c r="BC339">
        <v>80.963194478237142</v>
      </c>
      <c r="BD339">
        <v>0.9899</v>
      </c>
      <c r="BE339">
        <v>80.144999999999996</v>
      </c>
      <c r="BF339">
        <v>8.9176000000000002</v>
      </c>
      <c r="BG339">
        <v>0.80400000000000005</v>
      </c>
      <c r="BH339">
        <v>6039.0430235999738</v>
      </c>
      <c r="BI339">
        <v>0.99199531433033972</v>
      </c>
      <c r="BJ339">
        <v>5990.7024000000001</v>
      </c>
      <c r="BK339">
        <v>2529.8709350849999</v>
      </c>
    </row>
    <row r="340" spans="1:63" x14ac:dyDescent="0.25">
      <c r="A340">
        <v>3388</v>
      </c>
      <c r="B340" t="s">
        <v>102</v>
      </c>
      <c r="C340">
        <v>2020</v>
      </c>
      <c r="D340">
        <v>1</v>
      </c>
      <c r="E340" t="s">
        <v>218</v>
      </c>
      <c r="F340" t="s">
        <v>251</v>
      </c>
      <c r="G340" t="s">
        <v>252</v>
      </c>
      <c r="H340" t="s">
        <v>17</v>
      </c>
      <c r="I340" t="s">
        <v>256</v>
      </c>
      <c r="J340" t="s">
        <v>242</v>
      </c>
      <c r="K340">
        <v>-78.520972060000005</v>
      </c>
      <c r="L340" t="s">
        <v>242</v>
      </c>
      <c r="M340" t="s">
        <v>236</v>
      </c>
      <c r="N340">
        <v>1.442552100634E-2</v>
      </c>
      <c r="O340">
        <v>1.132706</v>
      </c>
      <c r="P340" t="s">
        <v>21</v>
      </c>
      <c r="Q340">
        <v>1</v>
      </c>
      <c r="V340">
        <v>66303.072</v>
      </c>
      <c r="W340">
        <v>1</v>
      </c>
      <c r="X340">
        <v>9.0493559999999998E-6</v>
      </c>
      <c r="Y340">
        <v>0.6</v>
      </c>
      <c r="Z340">
        <v>0.67962400000000001</v>
      </c>
      <c r="AA340" t="s">
        <v>225</v>
      </c>
      <c r="AB340" t="s">
        <v>226</v>
      </c>
      <c r="AC340" t="s">
        <v>227</v>
      </c>
      <c r="AD340" t="s">
        <v>100</v>
      </c>
      <c r="AE340">
        <v>109.354</v>
      </c>
      <c r="AF340">
        <v>1.0727760310708341</v>
      </c>
      <c r="AG340">
        <v>117.31235010172</v>
      </c>
      <c r="AH340">
        <v>694.38</v>
      </c>
      <c r="AI340">
        <v>0.875</v>
      </c>
      <c r="AJ340">
        <v>71.276930955678296</v>
      </c>
      <c r="AK340">
        <v>0.96660000000000001</v>
      </c>
      <c r="AL340">
        <v>68.896000000000001</v>
      </c>
      <c r="AM340">
        <v>8.9176000000000002</v>
      </c>
      <c r="AN340">
        <v>9.5665875346772715</v>
      </c>
      <c r="AO340">
        <v>0.91300000000000003</v>
      </c>
      <c r="AP340">
        <v>6064.9193587765631</v>
      </c>
      <c r="AQ340">
        <v>0.98316430020283985</v>
      </c>
      <c r="AR340">
        <v>5962.8122000000003</v>
      </c>
      <c r="AS340">
        <v>46.823375104</v>
      </c>
      <c r="AT340" t="s">
        <v>269</v>
      </c>
      <c r="AU340" t="s">
        <v>270</v>
      </c>
      <c r="AV340" t="s">
        <v>227</v>
      </c>
      <c r="AW340" t="s">
        <v>100</v>
      </c>
      <c r="AX340">
        <v>109.354</v>
      </c>
      <c r="AY340">
        <v>1.080821157758461</v>
      </c>
      <c r="AZ340">
        <v>118.1921168855188</v>
      </c>
      <c r="BA340">
        <v>779.31</v>
      </c>
      <c r="BB340">
        <v>0.879</v>
      </c>
      <c r="BC340">
        <v>80.963194478237142</v>
      </c>
      <c r="BD340">
        <v>0.96560000000000001</v>
      </c>
      <c r="BE340">
        <v>78.177999999999997</v>
      </c>
      <c r="BF340">
        <v>8.9176000000000002</v>
      </c>
      <c r="BG340">
        <v>0.80400000000000005</v>
      </c>
      <c r="BH340">
        <v>6039.0430235999738</v>
      </c>
      <c r="BI340">
        <v>0.98955375253549693</v>
      </c>
      <c r="BJ340">
        <v>5975.9576999999999</v>
      </c>
      <c r="BK340">
        <v>53.131645071999998</v>
      </c>
    </row>
    <row r="341" spans="1:63" x14ac:dyDescent="0.25">
      <c r="A341">
        <v>3390</v>
      </c>
      <c r="B341" t="s">
        <v>102</v>
      </c>
      <c r="C341">
        <v>2020</v>
      </c>
      <c r="D341">
        <v>1</v>
      </c>
      <c r="E341" t="s">
        <v>218</v>
      </c>
      <c r="F341" t="s">
        <v>251</v>
      </c>
      <c r="G341" t="s">
        <v>252</v>
      </c>
      <c r="H341" t="s">
        <v>17</v>
      </c>
      <c r="I341" t="s">
        <v>256</v>
      </c>
      <c r="J341" t="s">
        <v>242</v>
      </c>
      <c r="K341">
        <v>-78.520972060000005</v>
      </c>
      <c r="L341" t="s">
        <v>242</v>
      </c>
      <c r="M341" t="s">
        <v>237</v>
      </c>
      <c r="N341">
        <v>0.37405093967954001</v>
      </c>
      <c r="O341">
        <v>29.370843000000001</v>
      </c>
      <c r="P341" t="s">
        <v>21</v>
      </c>
      <c r="Q341">
        <v>1</v>
      </c>
      <c r="V341">
        <v>66303.072</v>
      </c>
      <c r="W341">
        <v>1</v>
      </c>
      <c r="X341">
        <v>9.0493559999999998E-6</v>
      </c>
      <c r="Y341">
        <v>0.6</v>
      </c>
      <c r="Z341">
        <v>17.622506000000001</v>
      </c>
      <c r="AA341" t="s">
        <v>225</v>
      </c>
      <c r="AB341" t="s">
        <v>226</v>
      </c>
      <c r="AC341" t="s">
        <v>227</v>
      </c>
      <c r="AD341" t="s">
        <v>101</v>
      </c>
      <c r="AE341">
        <v>109.354</v>
      </c>
      <c r="AF341">
        <v>1.0727760310708341</v>
      </c>
      <c r="AG341">
        <v>117.31235010172</v>
      </c>
      <c r="AH341">
        <v>694.38</v>
      </c>
      <c r="AI341">
        <v>0.875</v>
      </c>
      <c r="AJ341">
        <v>71.276930955678296</v>
      </c>
      <c r="AK341">
        <v>1.0077</v>
      </c>
      <c r="AL341">
        <v>71.825999999999993</v>
      </c>
      <c r="AM341">
        <v>8.9176000000000002</v>
      </c>
      <c r="AN341">
        <v>9.5665875346772715</v>
      </c>
      <c r="AO341">
        <v>0.91300000000000003</v>
      </c>
      <c r="AP341">
        <v>6064.9193587765631</v>
      </c>
      <c r="AQ341">
        <v>1.0255267423014589</v>
      </c>
      <c r="AR341">
        <v>6219.7370000000001</v>
      </c>
      <c r="AS341">
        <v>1265.7541159560001</v>
      </c>
      <c r="AT341" t="s">
        <v>269</v>
      </c>
      <c r="AU341" t="s">
        <v>270</v>
      </c>
      <c r="AV341" t="s">
        <v>227</v>
      </c>
      <c r="AW341" t="s">
        <v>101</v>
      </c>
      <c r="AX341">
        <v>109.354</v>
      </c>
      <c r="AY341">
        <v>1.080821157758461</v>
      </c>
      <c r="AZ341">
        <v>118.1921168855188</v>
      </c>
      <c r="BA341">
        <v>779.31</v>
      </c>
      <c r="BB341">
        <v>0.879</v>
      </c>
      <c r="BC341">
        <v>80.963194478237142</v>
      </c>
      <c r="BD341">
        <v>1.0097</v>
      </c>
      <c r="BE341">
        <v>81.748999999999995</v>
      </c>
      <c r="BF341">
        <v>8.9176000000000002</v>
      </c>
      <c r="BG341">
        <v>0.80400000000000005</v>
      </c>
      <c r="BH341">
        <v>6039.0430235999738</v>
      </c>
      <c r="BI341">
        <v>1.0276539708265799</v>
      </c>
      <c r="BJ341">
        <v>6206.0465000000004</v>
      </c>
      <c r="BK341">
        <v>1440.6222429940001</v>
      </c>
    </row>
    <row r="342" spans="1:63" x14ac:dyDescent="0.25">
      <c r="A342">
        <v>2250</v>
      </c>
      <c r="B342" t="s">
        <v>102</v>
      </c>
      <c r="C342">
        <v>2020</v>
      </c>
      <c r="D342">
        <v>1</v>
      </c>
      <c r="E342" t="s">
        <v>218</v>
      </c>
      <c r="F342" t="s">
        <v>251</v>
      </c>
      <c r="G342" t="s">
        <v>252</v>
      </c>
      <c r="H342" t="s">
        <v>17</v>
      </c>
      <c r="I342" t="s">
        <v>257</v>
      </c>
      <c r="J342" t="s">
        <v>244</v>
      </c>
      <c r="K342">
        <v>-207.16497372000001</v>
      </c>
      <c r="L342" t="s">
        <v>245</v>
      </c>
      <c r="M342" t="s">
        <v>224</v>
      </c>
      <c r="N342">
        <v>1.1026262910890001E-2</v>
      </c>
      <c r="O342">
        <v>2.2842549999999999</v>
      </c>
      <c r="P342" t="s">
        <v>21</v>
      </c>
      <c r="Q342">
        <v>1</v>
      </c>
      <c r="V342">
        <v>66303.072</v>
      </c>
      <c r="W342">
        <v>1</v>
      </c>
      <c r="X342">
        <v>9.0493559999999998E-6</v>
      </c>
      <c r="Y342">
        <v>0.6</v>
      </c>
      <c r="Z342">
        <v>1.3705529999999999</v>
      </c>
      <c r="AA342" t="s">
        <v>225</v>
      </c>
      <c r="AB342" t="s">
        <v>226</v>
      </c>
      <c r="AC342" t="s">
        <v>227</v>
      </c>
      <c r="AD342" t="s">
        <v>153</v>
      </c>
      <c r="AE342">
        <v>109.354</v>
      </c>
      <c r="AF342">
        <v>1.0727760310708341</v>
      </c>
      <c r="AG342">
        <v>117.31235010172</v>
      </c>
      <c r="AH342">
        <v>694.38</v>
      </c>
      <c r="AI342">
        <v>0.875</v>
      </c>
      <c r="AJ342">
        <v>71.276930955678296</v>
      </c>
      <c r="AK342">
        <v>1.0034000000000001</v>
      </c>
      <c r="AL342">
        <v>71.519000000000005</v>
      </c>
      <c r="AM342">
        <v>8.9176000000000002</v>
      </c>
      <c r="AN342">
        <v>9.5665875346772715</v>
      </c>
      <c r="AO342">
        <v>0.91300000000000003</v>
      </c>
      <c r="AP342">
        <v>6064.9193587765631</v>
      </c>
      <c r="AQ342">
        <v>1</v>
      </c>
      <c r="AR342">
        <v>6064.9193999999998</v>
      </c>
      <c r="AS342">
        <v>98.020580007000007</v>
      </c>
      <c r="AT342" t="s">
        <v>269</v>
      </c>
      <c r="AU342" t="s">
        <v>270</v>
      </c>
      <c r="AV342" t="s">
        <v>227</v>
      </c>
      <c r="AW342" t="s">
        <v>153</v>
      </c>
      <c r="AX342">
        <v>109.354</v>
      </c>
      <c r="AY342">
        <v>1.080821157758461</v>
      </c>
      <c r="AZ342">
        <v>118.1921168855188</v>
      </c>
      <c r="BA342">
        <v>779.31</v>
      </c>
      <c r="BB342">
        <v>0.879</v>
      </c>
      <c r="BC342">
        <v>80.963194478237142</v>
      </c>
      <c r="BD342">
        <v>1.0078</v>
      </c>
      <c r="BE342">
        <v>81.594999999999999</v>
      </c>
      <c r="BF342">
        <v>8.9176000000000002</v>
      </c>
      <c r="BG342">
        <v>0.80400000000000005</v>
      </c>
      <c r="BH342">
        <v>6039.0430235999738</v>
      </c>
      <c r="BI342">
        <v>1</v>
      </c>
      <c r="BJ342">
        <v>6039.0429999999997</v>
      </c>
      <c r="BK342">
        <v>111.83027203499999</v>
      </c>
    </row>
    <row r="343" spans="1:63" x14ac:dyDescent="0.25">
      <c r="A343">
        <v>2252</v>
      </c>
      <c r="B343" t="s">
        <v>102</v>
      </c>
      <c r="C343">
        <v>2020</v>
      </c>
      <c r="D343">
        <v>1</v>
      </c>
      <c r="E343" t="s">
        <v>218</v>
      </c>
      <c r="F343" t="s">
        <v>251</v>
      </c>
      <c r="G343" t="s">
        <v>252</v>
      </c>
      <c r="H343" t="s">
        <v>17</v>
      </c>
      <c r="I343" t="s">
        <v>257</v>
      </c>
      <c r="J343" t="s">
        <v>244</v>
      </c>
      <c r="K343">
        <v>-207.16497372000001</v>
      </c>
      <c r="L343" t="s">
        <v>245</v>
      </c>
      <c r="M343" t="s">
        <v>235</v>
      </c>
      <c r="N343">
        <v>0.60074557881113</v>
      </c>
      <c r="O343">
        <v>124.453442</v>
      </c>
      <c r="P343" t="s">
        <v>21</v>
      </c>
      <c r="Q343">
        <v>1</v>
      </c>
      <c r="V343">
        <v>66303.072</v>
      </c>
      <c r="W343">
        <v>1</v>
      </c>
      <c r="X343">
        <v>9.0493559999999998E-6</v>
      </c>
      <c r="Y343">
        <v>0.6</v>
      </c>
      <c r="Z343">
        <v>74.672065000000003</v>
      </c>
      <c r="AA343" t="s">
        <v>225</v>
      </c>
      <c r="AB343" t="s">
        <v>226</v>
      </c>
      <c r="AC343" t="s">
        <v>227</v>
      </c>
      <c r="AD343" t="s">
        <v>154</v>
      </c>
      <c r="AE343">
        <v>109.354</v>
      </c>
      <c r="AF343">
        <v>1.0727760310708341</v>
      </c>
      <c r="AG343">
        <v>117.31235010172</v>
      </c>
      <c r="AH343">
        <v>694.38</v>
      </c>
      <c r="AI343">
        <v>0.875</v>
      </c>
      <c r="AJ343">
        <v>71.276930955678296</v>
      </c>
      <c r="AK343">
        <v>1.0179</v>
      </c>
      <c r="AL343">
        <v>72.552999999999997</v>
      </c>
      <c r="AM343">
        <v>8.9176000000000002</v>
      </c>
      <c r="AN343">
        <v>9.5665875346772715</v>
      </c>
      <c r="AO343">
        <v>0.91300000000000003</v>
      </c>
      <c r="AP343">
        <v>6064.9193587765631</v>
      </c>
      <c r="AQ343">
        <v>0.98975009761811794</v>
      </c>
      <c r="AR343">
        <v>6002.7545</v>
      </c>
      <c r="AS343">
        <v>5417.6823319450004</v>
      </c>
      <c r="AT343" t="s">
        <v>269</v>
      </c>
      <c r="AU343" t="s">
        <v>270</v>
      </c>
      <c r="AV343" t="s">
        <v>227</v>
      </c>
      <c r="AW343" t="s">
        <v>154</v>
      </c>
      <c r="AX343">
        <v>109.354</v>
      </c>
      <c r="AY343">
        <v>1.080821157758461</v>
      </c>
      <c r="AZ343">
        <v>118.1921168855188</v>
      </c>
      <c r="BA343">
        <v>779.31</v>
      </c>
      <c r="BB343">
        <v>0.879</v>
      </c>
      <c r="BC343">
        <v>80.963194478237142</v>
      </c>
      <c r="BD343">
        <v>0.9899</v>
      </c>
      <c r="BE343">
        <v>80.144999999999996</v>
      </c>
      <c r="BF343">
        <v>8.9176000000000002</v>
      </c>
      <c r="BG343">
        <v>0.80400000000000005</v>
      </c>
      <c r="BH343">
        <v>6039.0430235999738</v>
      </c>
      <c r="BI343">
        <v>0.99199531433033972</v>
      </c>
      <c r="BJ343">
        <v>5990.7024000000001</v>
      </c>
      <c r="BK343">
        <v>5984.5926494249998</v>
      </c>
    </row>
    <row r="344" spans="1:63" x14ac:dyDescent="0.25">
      <c r="A344">
        <v>2254</v>
      </c>
      <c r="B344" t="s">
        <v>102</v>
      </c>
      <c r="C344">
        <v>2020</v>
      </c>
      <c r="D344">
        <v>1</v>
      </c>
      <c r="E344" t="s">
        <v>218</v>
      </c>
      <c r="F344" t="s">
        <v>251</v>
      </c>
      <c r="G344" t="s">
        <v>252</v>
      </c>
      <c r="H344" t="s">
        <v>17</v>
      </c>
      <c r="I344" t="s">
        <v>257</v>
      </c>
      <c r="J344" t="s">
        <v>244</v>
      </c>
      <c r="K344">
        <v>-207.16497372000001</v>
      </c>
      <c r="L344" t="s">
        <v>245</v>
      </c>
      <c r="M344" t="s">
        <v>236</v>
      </c>
      <c r="N344">
        <v>1.775192921592E-2</v>
      </c>
      <c r="O344">
        <v>3.677578</v>
      </c>
      <c r="P344" t="s">
        <v>21</v>
      </c>
      <c r="Q344">
        <v>1</v>
      </c>
      <c r="V344">
        <v>66303.072</v>
      </c>
      <c r="W344">
        <v>1</v>
      </c>
      <c r="X344">
        <v>9.0493559999999998E-6</v>
      </c>
      <c r="Y344">
        <v>0.6</v>
      </c>
      <c r="Z344">
        <v>2.206547</v>
      </c>
      <c r="AA344" t="s">
        <v>225</v>
      </c>
      <c r="AB344" t="s">
        <v>226</v>
      </c>
      <c r="AC344" t="s">
        <v>227</v>
      </c>
      <c r="AD344" t="s">
        <v>100</v>
      </c>
      <c r="AE344">
        <v>109.354</v>
      </c>
      <c r="AF344">
        <v>1.0727760310708341</v>
      </c>
      <c r="AG344">
        <v>117.31235010172</v>
      </c>
      <c r="AH344">
        <v>694.38</v>
      </c>
      <c r="AI344">
        <v>0.875</v>
      </c>
      <c r="AJ344">
        <v>71.276930955678296</v>
      </c>
      <c r="AK344">
        <v>0.96660000000000001</v>
      </c>
      <c r="AL344">
        <v>68.896000000000001</v>
      </c>
      <c r="AM344">
        <v>8.9176000000000002</v>
      </c>
      <c r="AN344">
        <v>9.5665875346772715</v>
      </c>
      <c r="AO344">
        <v>0.91300000000000003</v>
      </c>
      <c r="AP344">
        <v>6064.9193587765631</v>
      </c>
      <c r="AQ344">
        <v>0.98316430020283985</v>
      </c>
      <c r="AR344">
        <v>5962.8122000000003</v>
      </c>
      <c r="AS344">
        <v>152.02226211199999</v>
      </c>
      <c r="AT344" t="s">
        <v>269</v>
      </c>
      <c r="AU344" t="s">
        <v>270</v>
      </c>
      <c r="AV344" t="s">
        <v>227</v>
      </c>
      <c r="AW344" t="s">
        <v>100</v>
      </c>
      <c r="AX344">
        <v>109.354</v>
      </c>
      <c r="AY344">
        <v>1.080821157758461</v>
      </c>
      <c r="AZ344">
        <v>118.1921168855188</v>
      </c>
      <c r="BA344">
        <v>779.31</v>
      </c>
      <c r="BB344">
        <v>0.879</v>
      </c>
      <c r="BC344">
        <v>80.963194478237142</v>
      </c>
      <c r="BD344">
        <v>0.96560000000000001</v>
      </c>
      <c r="BE344">
        <v>78.177999999999997</v>
      </c>
      <c r="BF344">
        <v>8.9176000000000002</v>
      </c>
      <c r="BG344">
        <v>0.80400000000000005</v>
      </c>
      <c r="BH344">
        <v>6039.0430235999738</v>
      </c>
      <c r="BI344">
        <v>0.98955375253549693</v>
      </c>
      <c r="BJ344">
        <v>5975.9576999999999</v>
      </c>
      <c r="BK344">
        <v>172.503431366</v>
      </c>
    </row>
    <row r="345" spans="1:63" x14ac:dyDescent="0.25">
      <c r="A345">
        <v>2256</v>
      </c>
      <c r="B345" t="s">
        <v>102</v>
      </c>
      <c r="C345">
        <v>2020</v>
      </c>
      <c r="D345">
        <v>1</v>
      </c>
      <c r="E345" t="s">
        <v>218</v>
      </c>
      <c r="F345" t="s">
        <v>251</v>
      </c>
      <c r="G345" t="s">
        <v>252</v>
      </c>
      <c r="H345" t="s">
        <v>17</v>
      </c>
      <c r="I345" t="s">
        <v>257</v>
      </c>
      <c r="J345" t="s">
        <v>244</v>
      </c>
      <c r="K345">
        <v>-207.16497372000001</v>
      </c>
      <c r="L345" t="s">
        <v>245</v>
      </c>
      <c r="M345" t="s">
        <v>237</v>
      </c>
      <c r="N345">
        <v>0.39766766032624001</v>
      </c>
      <c r="O345">
        <v>82.382810000000006</v>
      </c>
      <c r="P345" t="s">
        <v>21</v>
      </c>
      <c r="Q345">
        <v>1</v>
      </c>
      <c r="V345">
        <v>66303.072</v>
      </c>
      <c r="W345">
        <v>1</v>
      </c>
      <c r="X345">
        <v>9.0493559999999998E-6</v>
      </c>
      <c r="Y345">
        <v>0.6</v>
      </c>
      <c r="Z345">
        <v>49.429685999999997</v>
      </c>
      <c r="AA345" t="s">
        <v>225</v>
      </c>
      <c r="AB345" t="s">
        <v>226</v>
      </c>
      <c r="AC345" t="s">
        <v>227</v>
      </c>
      <c r="AD345" t="s">
        <v>101</v>
      </c>
      <c r="AE345">
        <v>109.354</v>
      </c>
      <c r="AF345">
        <v>1.0727760310708341</v>
      </c>
      <c r="AG345">
        <v>117.31235010172</v>
      </c>
      <c r="AH345">
        <v>694.38</v>
      </c>
      <c r="AI345">
        <v>0.875</v>
      </c>
      <c r="AJ345">
        <v>71.276930955678296</v>
      </c>
      <c r="AK345">
        <v>1.0077</v>
      </c>
      <c r="AL345">
        <v>71.825999999999993</v>
      </c>
      <c r="AM345">
        <v>8.9176000000000002</v>
      </c>
      <c r="AN345">
        <v>9.5665875346772715</v>
      </c>
      <c r="AO345">
        <v>0.91300000000000003</v>
      </c>
      <c r="AP345">
        <v>6064.9193587765631</v>
      </c>
      <c r="AQ345">
        <v>1.0255267423014589</v>
      </c>
      <c r="AR345">
        <v>6219.7370000000001</v>
      </c>
      <c r="AS345">
        <v>3550.336626635999</v>
      </c>
      <c r="AT345" t="s">
        <v>269</v>
      </c>
      <c r="AU345" t="s">
        <v>270</v>
      </c>
      <c r="AV345" t="s">
        <v>227</v>
      </c>
      <c r="AW345" t="s">
        <v>101</v>
      </c>
      <c r="AX345">
        <v>109.354</v>
      </c>
      <c r="AY345">
        <v>1.080821157758461</v>
      </c>
      <c r="AZ345">
        <v>118.1921168855188</v>
      </c>
      <c r="BA345">
        <v>779.31</v>
      </c>
      <c r="BB345">
        <v>0.879</v>
      </c>
      <c r="BC345">
        <v>80.963194478237142</v>
      </c>
      <c r="BD345">
        <v>1.0097</v>
      </c>
      <c r="BE345">
        <v>81.748999999999995</v>
      </c>
      <c r="BF345">
        <v>8.9176000000000002</v>
      </c>
      <c r="BG345">
        <v>0.80400000000000005</v>
      </c>
      <c r="BH345">
        <v>6039.0430235999738</v>
      </c>
      <c r="BI345">
        <v>1.0276539708265799</v>
      </c>
      <c r="BJ345">
        <v>6206.0465000000004</v>
      </c>
      <c r="BK345">
        <v>4040.8274008140002</v>
      </c>
    </row>
    <row r="346" spans="1:63" x14ac:dyDescent="0.25">
      <c r="A346">
        <v>4514</v>
      </c>
      <c r="B346" t="s">
        <v>102</v>
      </c>
      <c r="C346">
        <v>2020</v>
      </c>
      <c r="D346">
        <v>1</v>
      </c>
      <c r="E346" t="s">
        <v>218</v>
      </c>
      <c r="F346" t="s">
        <v>251</v>
      </c>
      <c r="G346" t="s">
        <v>252</v>
      </c>
      <c r="H346" t="s">
        <v>17</v>
      </c>
      <c r="I346" t="s">
        <v>258</v>
      </c>
      <c r="J346" t="s">
        <v>247</v>
      </c>
      <c r="K346">
        <v>-535.04770243999997</v>
      </c>
      <c r="L346" t="s">
        <v>248</v>
      </c>
      <c r="M346" t="s">
        <v>224</v>
      </c>
      <c r="N346">
        <v>4.9724862092599999E-3</v>
      </c>
      <c r="O346">
        <v>2.660517</v>
      </c>
      <c r="P346" t="s">
        <v>21</v>
      </c>
      <c r="Q346">
        <v>1</v>
      </c>
      <c r="V346">
        <v>66303.072</v>
      </c>
      <c r="W346">
        <v>1</v>
      </c>
      <c r="X346">
        <v>9.0493559999999998E-6</v>
      </c>
      <c r="Y346">
        <v>0.6</v>
      </c>
      <c r="Z346">
        <v>1.5963099999999999</v>
      </c>
      <c r="AA346" t="s">
        <v>225</v>
      </c>
      <c r="AB346" t="s">
        <v>226</v>
      </c>
      <c r="AC346" t="s">
        <v>227</v>
      </c>
      <c r="AD346" t="s">
        <v>153</v>
      </c>
      <c r="AE346">
        <v>109.354</v>
      </c>
      <c r="AF346">
        <v>1.0727760310708341</v>
      </c>
      <c r="AG346">
        <v>117.31235010172</v>
      </c>
      <c r="AH346">
        <v>694.38</v>
      </c>
      <c r="AI346">
        <v>0.875</v>
      </c>
      <c r="AJ346">
        <v>71.276930955678296</v>
      </c>
      <c r="AK346">
        <v>1.0034000000000001</v>
      </c>
      <c r="AL346">
        <v>71.519000000000005</v>
      </c>
      <c r="AM346">
        <v>8.9176000000000002</v>
      </c>
      <c r="AN346">
        <v>9.5665875346772715</v>
      </c>
      <c r="AO346">
        <v>0.91300000000000003</v>
      </c>
      <c r="AP346">
        <v>6064.9193587765631</v>
      </c>
      <c r="AQ346">
        <v>1</v>
      </c>
      <c r="AR346">
        <v>6064.9193999999998</v>
      </c>
      <c r="AS346">
        <v>114.16649489</v>
      </c>
      <c r="AT346" t="s">
        <v>269</v>
      </c>
      <c r="AU346" t="s">
        <v>270</v>
      </c>
      <c r="AV346" t="s">
        <v>227</v>
      </c>
      <c r="AW346" t="s">
        <v>153</v>
      </c>
      <c r="AX346">
        <v>109.354</v>
      </c>
      <c r="AY346">
        <v>1.080821157758461</v>
      </c>
      <c r="AZ346">
        <v>118.1921168855188</v>
      </c>
      <c r="BA346">
        <v>779.31</v>
      </c>
      <c r="BB346">
        <v>0.879</v>
      </c>
      <c r="BC346">
        <v>80.963194478237142</v>
      </c>
      <c r="BD346">
        <v>1.0078</v>
      </c>
      <c r="BE346">
        <v>81.594999999999999</v>
      </c>
      <c r="BF346">
        <v>8.9176000000000002</v>
      </c>
      <c r="BG346">
        <v>0.80400000000000005</v>
      </c>
      <c r="BH346">
        <v>6039.0430235999738</v>
      </c>
      <c r="BI346">
        <v>1</v>
      </c>
      <c r="BJ346">
        <v>6039.0429999999997</v>
      </c>
      <c r="BK346">
        <v>130.25091445000001</v>
      </c>
    </row>
    <row r="347" spans="1:63" x14ac:dyDescent="0.25">
      <c r="A347">
        <v>4516</v>
      </c>
      <c r="B347" t="s">
        <v>102</v>
      </c>
      <c r="C347">
        <v>2020</v>
      </c>
      <c r="D347">
        <v>1</v>
      </c>
      <c r="E347" t="s">
        <v>218</v>
      </c>
      <c r="F347" t="s">
        <v>251</v>
      </c>
      <c r="G347" t="s">
        <v>252</v>
      </c>
      <c r="H347" t="s">
        <v>17</v>
      </c>
      <c r="I347" t="s">
        <v>258</v>
      </c>
      <c r="J347" t="s">
        <v>247</v>
      </c>
      <c r="K347">
        <v>-535.04770243999997</v>
      </c>
      <c r="L347" t="s">
        <v>248</v>
      </c>
      <c r="M347" t="s">
        <v>235</v>
      </c>
      <c r="N347">
        <v>0.99209122360516</v>
      </c>
      <c r="O347">
        <v>530.81613000000004</v>
      </c>
      <c r="P347" t="s">
        <v>21</v>
      </c>
      <c r="Q347">
        <v>1</v>
      </c>
      <c r="V347">
        <v>66303.072</v>
      </c>
      <c r="W347">
        <v>1</v>
      </c>
      <c r="X347">
        <v>9.0493559999999998E-6</v>
      </c>
      <c r="Y347">
        <v>0.6</v>
      </c>
      <c r="Z347">
        <v>318.48967800000003</v>
      </c>
      <c r="AA347" t="s">
        <v>225</v>
      </c>
      <c r="AB347" t="s">
        <v>226</v>
      </c>
      <c r="AC347" t="s">
        <v>227</v>
      </c>
      <c r="AD347" t="s">
        <v>154</v>
      </c>
      <c r="AE347">
        <v>109.354</v>
      </c>
      <c r="AF347">
        <v>1.0727760310708341</v>
      </c>
      <c r="AG347">
        <v>117.31235010172</v>
      </c>
      <c r="AH347">
        <v>694.38</v>
      </c>
      <c r="AI347">
        <v>0.875</v>
      </c>
      <c r="AJ347">
        <v>71.276930955678296</v>
      </c>
      <c r="AK347">
        <v>1.0179</v>
      </c>
      <c r="AL347">
        <v>72.552999999999997</v>
      </c>
      <c r="AM347">
        <v>8.9176000000000002</v>
      </c>
      <c r="AN347">
        <v>9.5665875346772715</v>
      </c>
      <c r="AO347">
        <v>0.91300000000000003</v>
      </c>
      <c r="AP347">
        <v>6064.9193587765631</v>
      </c>
      <c r="AQ347">
        <v>0.98975009761811794</v>
      </c>
      <c r="AR347">
        <v>6002.7545</v>
      </c>
      <c r="AS347">
        <v>23107.381607933999</v>
      </c>
      <c r="AT347" t="s">
        <v>269</v>
      </c>
      <c r="AU347" t="s">
        <v>270</v>
      </c>
      <c r="AV347" t="s">
        <v>227</v>
      </c>
      <c r="AW347" t="s">
        <v>154</v>
      </c>
      <c r="AX347">
        <v>109.354</v>
      </c>
      <c r="AY347">
        <v>1.080821157758461</v>
      </c>
      <c r="AZ347">
        <v>118.1921168855188</v>
      </c>
      <c r="BA347">
        <v>779.31</v>
      </c>
      <c r="BB347">
        <v>0.879</v>
      </c>
      <c r="BC347">
        <v>80.963194478237142</v>
      </c>
      <c r="BD347">
        <v>0.9899</v>
      </c>
      <c r="BE347">
        <v>80.144999999999996</v>
      </c>
      <c r="BF347">
        <v>8.9176000000000002</v>
      </c>
      <c r="BG347">
        <v>0.80400000000000005</v>
      </c>
      <c r="BH347">
        <v>6039.0430235999738</v>
      </c>
      <c r="BI347">
        <v>0.99199531433033972</v>
      </c>
      <c r="BJ347">
        <v>5990.7024000000001</v>
      </c>
      <c r="BK347">
        <v>25525.355243310001</v>
      </c>
    </row>
    <row r="348" spans="1:63" x14ac:dyDescent="0.25">
      <c r="A348">
        <v>4518</v>
      </c>
      <c r="B348" t="s">
        <v>102</v>
      </c>
      <c r="C348">
        <v>2020</v>
      </c>
      <c r="D348">
        <v>1</v>
      </c>
      <c r="E348" t="s">
        <v>218</v>
      </c>
      <c r="F348" t="s">
        <v>251</v>
      </c>
      <c r="G348" t="s">
        <v>252</v>
      </c>
      <c r="H348" t="s">
        <v>17</v>
      </c>
      <c r="I348" t="s">
        <v>258</v>
      </c>
      <c r="J348" t="s">
        <v>247</v>
      </c>
      <c r="K348">
        <v>-535.04770243999997</v>
      </c>
      <c r="L348" t="s">
        <v>248</v>
      </c>
      <c r="M348" t="s">
        <v>236</v>
      </c>
      <c r="N348">
        <v>4.7995598170700003E-3</v>
      </c>
      <c r="O348">
        <v>2.567993</v>
      </c>
      <c r="P348" t="s">
        <v>21</v>
      </c>
      <c r="Q348">
        <v>1</v>
      </c>
      <c r="V348">
        <v>66303.072</v>
      </c>
      <c r="W348">
        <v>1</v>
      </c>
      <c r="X348">
        <v>9.0493559999999998E-6</v>
      </c>
      <c r="Y348">
        <v>0.6</v>
      </c>
      <c r="Z348">
        <v>1.5407960000000001</v>
      </c>
      <c r="AA348" t="s">
        <v>225</v>
      </c>
      <c r="AB348" t="s">
        <v>226</v>
      </c>
      <c r="AC348" t="s">
        <v>227</v>
      </c>
      <c r="AD348" t="s">
        <v>100</v>
      </c>
      <c r="AE348">
        <v>109.354</v>
      </c>
      <c r="AF348">
        <v>1.0727760310708341</v>
      </c>
      <c r="AG348">
        <v>117.31235010172</v>
      </c>
      <c r="AH348">
        <v>694.38</v>
      </c>
      <c r="AI348">
        <v>0.875</v>
      </c>
      <c r="AJ348">
        <v>71.276930955678296</v>
      </c>
      <c r="AK348">
        <v>0.96660000000000001</v>
      </c>
      <c r="AL348">
        <v>68.896000000000001</v>
      </c>
      <c r="AM348">
        <v>8.9176000000000002</v>
      </c>
      <c r="AN348">
        <v>9.5665875346772715</v>
      </c>
      <c r="AO348">
        <v>0.91300000000000003</v>
      </c>
      <c r="AP348">
        <v>6064.9193587765631</v>
      </c>
      <c r="AQ348">
        <v>0.98316430020283985</v>
      </c>
      <c r="AR348">
        <v>5962.8122000000003</v>
      </c>
      <c r="AS348">
        <v>106.154681216</v>
      </c>
      <c r="AT348" t="s">
        <v>269</v>
      </c>
      <c r="AU348" t="s">
        <v>270</v>
      </c>
      <c r="AV348" t="s">
        <v>227</v>
      </c>
      <c r="AW348" t="s">
        <v>100</v>
      </c>
      <c r="AX348">
        <v>109.354</v>
      </c>
      <c r="AY348">
        <v>1.080821157758461</v>
      </c>
      <c r="AZ348">
        <v>118.1921168855188</v>
      </c>
      <c r="BA348">
        <v>779.31</v>
      </c>
      <c r="BB348">
        <v>0.879</v>
      </c>
      <c r="BC348">
        <v>80.963194478237142</v>
      </c>
      <c r="BD348">
        <v>0.96560000000000001</v>
      </c>
      <c r="BE348">
        <v>78.177999999999997</v>
      </c>
      <c r="BF348">
        <v>8.9176000000000002</v>
      </c>
      <c r="BG348">
        <v>0.80400000000000005</v>
      </c>
      <c r="BH348">
        <v>6039.0430235999738</v>
      </c>
      <c r="BI348">
        <v>0.98955375253549693</v>
      </c>
      <c r="BJ348">
        <v>5975.9576999999999</v>
      </c>
      <c r="BK348">
        <v>120.456349688</v>
      </c>
    </row>
    <row r="349" spans="1:63" x14ac:dyDescent="0.25">
      <c r="A349">
        <v>4520</v>
      </c>
      <c r="B349" t="s">
        <v>102</v>
      </c>
      <c r="C349">
        <v>2020</v>
      </c>
      <c r="D349">
        <v>1</v>
      </c>
      <c r="E349" t="s">
        <v>218</v>
      </c>
      <c r="F349" t="s">
        <v>251</v>
      </c>
      <c r="G349" t="s">
        <v>252</v>
      </c>
      <c r="H349" t="s">
        <v>17</v>
      </c>
      <c r="I349" t="s">
        <v>258</v>
      </c>
      <c r="J349" t="s">
        <v>247</v>
      </c>
      <c r="K349">
        <v>-535.04770243999997</v>
      </c>
      <c r="L349" t="s">
        <v>248</v>
      </c>
      <c r="M349" t="s">
        <v>237</v>
      </c>
      <c r="N349">
        <v>2.2580780904460002E-2</v>
      </c>
      <c r="O349">
        <v>12.081795</v>
      </c>
      <c r="P349" t="s">
        <v>21</v>
      </c>
      <c r="Q349">
        <v>1</v>
      </c>
      <c r="V349">
        <v>66303.072</v>
      </c>
      <c r="W349">
        <v>1</v>
      </c>
      <c r="X349">
        <v>9.0493559999999998E-6</v>
      </c>
      <c r="Y349">
        <v>0.6</v>
      </c>
      <c r="Z349">
        <v>7.2490769999999998</v>
      </c>
      <c r="AA349" t="s">
        <v>225</v>
      </c>
      <c r="AB349" t="s">
        <v>226</v>
      </c>
      <c r="AC349" t="s">
        <v>227</v>
      </c>
      <c r="AD349" t="s">
        <v>101</v>
      </c>
      <c r="AE349">
        <v>109.354</v>
      </c>
      <c r="AF349">
        <v>1.0727760310708341</v>
      </c>
      <c r="AG349">
        <v>117.31235010172</v>
      </c>
      <c r="AH349">
        <v>694.38</v>
      </c>
      <c r="AI349">
        <v>0.875</v>
      </c>
      <c r="AJ349">
        <v>71.276930955678296</v>
      </c>
      <c r="AK349">
        <v>1.0077</v>
      </c>
      <c r="AL349">
        <v>71.825999999999993</v>
      </c>
      <c r="AM349">
        <v>8.9176000000000002</v>
      </c>
      <c r="AN349">
        <v>9.5665875346772715</v>
      </c>
      <c r="AO349">
        <v>0.91300000000000003</v>
      </c>
      <c r="AP349">
        <v>6064.9193587765631</v>
      </c>
      <c r="AQ349">
        <v>1.0255267423014589</v>
      </c>
      <c r="AR349">
        <v>6219.7370000000001</v>
      </c>
      <c r="AS349">
        <v>520.67220460199997</v>
      </c>
      <c r="AT349" t="s">
        <v>269</v>
      </c>
      <c r="AU349" t="s">
        <v>270</v>
      </c>
      <c r="AV349" t="s">
        <v>227</v>
      </c>
      <c r="AW349" t="s">
        <v>101</v>
      </c>
      <c r="AX349">
        <v>109.354</v>
      </c>
      <c r="AY349">
        <v>1.080821157758461</v>
      </c>
      <c r="AZ349">
        <v>118.1921168855188</v>
      </c>
      <c r="BA349">
        <v>779.31</v>
      </c>
      <c r="BB349">
        <v>0.879</v>
      </c>
      <c r="BC349">
        <v>80.963194478237142</v>
      </c>
      <c r="BD349">
        <v>1.0097</v>
      </c>
      <c r="BE349">
        <v>81.748999999999995</v>
      </c>
      <c r="BF349">
        <v>8.9176000000000002</v>
      </c>
      <c r="BG349">
        <v>0.80400000000000005</v>
      </c>
      <c r="BH349">
        <v>6039.0430235999738</v>
      </c>
      <c r="BI349">
        <v>1.0276539708265799</v>
      </c>
      <c r="BJ349">
        <v>6206.0465000000004</v>
      </c>
      <c r="BK349">
        <v>592.6047956729999</v>
      </c>
    </row>
    <row r="350" spans="1:63" x14ac:dyDescent="0.25">
      <c r="A350">
        <v>1126</v>
      </c>
      <c r="B350" t="s">
        <v>102</v>
      </c>
      <c r="C350">
        <v>2020</v>
      </c>
      <c r="D350">
        <v>1</v>
      </c>
      <c r="E350" t="s">
        <v>218</v>
      </c>
      <c r="F350" t="s">
        <v>251</v>
      </c>
      <c r="G350" t="s">
        <v>252</v>
      </c>
      <c r="H350" t="s">
        <v>17</v>
      </c>
      <c r="I350" t="s">
        <v>259</v>
      </c>
      <c r="J350" t="s">
        <v>250</v>
      </c>
      <c r="K350">
        <v>-735.04206915999998</v>
      </c>
      <c r="L350" t="s">
        <v>250</v>
      </c>
      <c r="M350" t="s">
        <v>231</v>
      </c>
      <c r="N350">
        <v>4.9898993999990003E-2</v>
      </c>
      <c r="O350">
        <v>36.677860000000003</v>
      </c>
      <c r="P350" t="s">
        <v>21</v>
      </c>
      <c r="Q350">
        <v>1</v>
      </c>
      <c r="V350">
        <v>66303.072</v>
      </c>
      <c r="W350">
        <v>1</v>
      </c>
      <c r="X350">
        <v>9.0493559999999998E-6</v>
      </c>
      <c r="Y350">
        <v>0.6</v>
      </c>
      <c r="Z350">
        <v>22.006716000000001</v>
      </c>
      <c r="AA350" t="s">
        <v>225</v>
      </c>
      <c r="AB350" t="s">
        <v>226</v>
      </c>
      <c r="AC350" t="s">
        <v>227</v>
      </c>
      <c r="AD350" t="s">
        <v>100</v>
      </c>
      <c r="AE350">
        <v>109.354</v>
      </c>
      <c r="AF350">
        <v>1.0727760310708341</v>
      </c>
      <c r="AG350">
        <v>117.31235010172</v>
      </c>
      <c r="AH350">
        <v>694.38</v>
      </c>
      <c r="AI350">
        <v>0.875</v>
      </c>
      <c r="AJ350">
        <v>71.276930955678296</v>
      </c>
      <c r="AK350">
        <v>0.96660000000000001</v>
      </c>
      <c r="AL350">
        <v>68.896000000000001</v>
      </c>
      <c r="AM350">
        <v>8.9176000000000002</v>
      </c>
      <c r="AN350">
        <v>9.5665875346772715</v>
      </c>
      <c r="AO350">
        <v>0.91300000000000003</v>
      </c>
      <c r="AP350">
        <v>6064.9193587765631</v>
      </c>
      <c r="AQ350">
        <v>0.98316430020283985</v>
      </c>
      <c r="AR350">
        <v>5962.8122000000003</v>
      </c>
      <c r="AS350">
        <v>1516.1747055359999</v>
      </c>
      <c r="AT350" t="s">
        <v>269</v>
      </c>
      <c r="AU350" t="s">
        <v>270</v>
      </c>
      <c r="AV350" t="s">
        <v>227</v>
      </c>
      <c r="AW350" t="s">
        <v>100</v>
      </c>
      <c r="AX350">
        <v>109.354</v>
      </c>
      <c r="AY350">
        <v>1.080821157758461</v>
      </c>
      <c r="AZ350">
        <v>118.1921168855188</v>
      </c>
      <c r="BA350">
        <v>779.31</v>
      </c>
      <c r="BB350">
        <v>0.879</v>
      </c>
      <c r="BC350">
        <v>80.963194478237142</v>
      </c>
      <c r="BD350">
        <v>0.96560000000000001</v>
      </c>
      <c r="BE350">
        <v>78.177999999999997</v>
      </c>
      <c r="BF350">
        <v>8.9176000000000002</v>
      </c>
      <c r="BG350">
        <v>0.80400000000000005</v>
      </c>
      <c r="BH350">
        <v>6039.0430235999738</v>
      </c>
      <c r="BI350">
        <v>0.98955375253549693</v>
      </c>
      <c r="BJ350">
        <v>5975.9576999999999</v>
      </c>
      <c r="BK350">
        <v>1720.4410434480001</v>
      </c>
    </row>
    <row r="351" spans="1:63" x14ac:dyDescent="0.25">
      <c r="A351">
        <v>1128</v>
      </c>
      <c r="B351" t="s">
        <v>102</v>
      </c>
      <c r="C351">
        <v>2020</v>
      </c>
      <c r="D351">
        <v>1</v>
      </c>
      <c r="E351" t="s">
        <v>218</v>
      </c>
      <c r="F351" t="s">
        <v>251</v>
      </c>
      <c r="G351" t="s">
        <v>252</v>
      </c>
      <c r="H351" t="s">
        <v>17</v>
      </c>
      <c r="I351" t="s">
        <v>259</v>
      </c>
      <c r="J351" t="s">
        <v>250</v>
      </c>
      <c r="K351">
        <v>-735.04206915999998</v>
      </c>
      <c r="L351" t="s">
        <v>250</v>
      </c>
      <c r="M351" t="s">
        <v>232</v>
      </c>
      <c r="N351">
        <v>0.97472100599996003</v>
      </c>
      <c r="O351">
        <v>716.46094500000004</v>
      </c>
      <c r="P351" t="s">
        <v>21</v>
      </c>
      <c r="Q351">
        <v>1</v>
      </c>
      <c r="V351">
        <v>66303.072</v>
      </c>
      <c r="W351">
        <v>1</v>
      </c>
      <c r="X351">
        <v>9.0493559999999998E-6</v>
      </c>
      <c r="Y351">
        <v>0.6</v>
      </c>
      <c r="Z351">
        <v>429.87656700000002</v>
      </c>
      <c r="AA351" t="s">
        <v>225</v>
      </c>
      <c r="AB351" t="s">
        <v>226</v>
      </c>
      <c r="AC351" t="s">
        <v>227</v>
      </c>
      <c r="AD351" t="s">
        <v>101</v>
      </c>
      <c r="AE351">
        <v>109.354</v>
      </c>
      <c r="AF351">
        <v>1.0727760310708341</v>
      </c>
      <c r="AG351">
        <v>117.31235010172</v>
      </c>
      <c r="AH351">
        <v>694.38</v>
      </c>
      <c r="AI351">
        <v>0.875</v>
      </c>
      <c r="AJ351">
        <v>71.276930955678296</v>
      </c>
      <c r="AK351">
        <v>1.0077</v>
      </c>
      <c r="AL351">
        <v>71.825999999999993</v>
      </c>
      <c r="AM351">
        <v>8.9176000000000002</v>
      </c>
      <c r="AN351">
        <v>9.5665875346772715</v>
      </c>
      <c r="AO351">
        <v>0.91300000000000003</v>
      </c>
      <c r="AP351">
        <v>6064.9193587765631</v>
      </c>
      <c r="AQ351">
        <v>1.0255267423014589</v>
      </c>
      <c r="AR351">
        <v>6219.7370000000001</v>
      </c>
      <c r="AS351">
        <v>30876.314301342001</v>
      </c>
      <c r="AT351" t="s">
        <v>269</v>
      </c>
      <c r="AU351" t="s">
        <v>270</v>
      </c>
      <c r="AV351" t="s">
        <v>227</v>
      </c>
      <c r="AW351" t="s">
        <v>101</v>
      </c>
      <c r="AX351">
        <v>109.354</v>
      </c>
      <c r="AY351">
        <v>1.080821157758461</v>
      </c>
      <c r="AZ351">
        <v>118.1921168855188</v>
      </c>
      <c r="BA351">
        <v>779.31</v>
      </c>
      <c r="BB351">
        <v>0.879</v>
      </c>
      <c r="BC351">
        <v>80.963194478237142</v>
      </c>
      <c r="BD351">
        <v>1.0097</v>
      </c>
      <c r="BE351">
        <v>81.748999999999995</v>
      </c>
      <c r="BF351">
        <v>8.9176000000000002</v>
      </c>
      <c r="BG351">
        <v>0.80400000000000005</v>
      </c>
      <c r="BH351">
        <v>6039.0430235999738</v>
      </c>
      <c r="BI351">
        <v>1.0276539708265799</v>
      </c>
      <c r="BJ351">
        <v>6206.0465000000004</v>
      </c>
      <c r="BK351">
        <v>35141.979475683002</v>
      </c>
    </row>
    <row r="352" spans="1:63" x14ac:dyDescent="0.25">
      <c r="A352">
        <v>4522</v>
      </c>
      <c r="B352" t="s">
        <v>102</v>
      </c>
      <c r="C352">
        <v>2020</v>
      </c>
      <c r="D352">
        <v>1</v>
      </c>
      <c r="E352" t="s">
        <v>218</v>
      </c>
      <c r="F352" t="s">
        <v>260</v>
      </c>
      <c r="G352" t="s">
        <v>261</v>
      </c>
      <c r="H352" t="s">
        <v>17</v>
      </c>
      <c r="I352" t="s">
        <v>262</v>
      </c>
      <c r="J352" t="s">
        <v>222</v>
      </c>
      <c r="K352">
        <v>-153.52378429000001</v>
      </c>
      <c r="L352" t="s">
        <v>223</v>
      </c>
      <c r="M352" t="s">
        <v>224</v>
      </c>
      <c r="N352">
        <v>8.7524974586199993E-3</v>
      </c>
      <c r="O352">
        <v>1.3437170000000001</v>
      </c>
      <c r="P352" t="s">
        <v>21</v>
      </c>
      <c r="Q352">
        <v>1</v>
      </c>
      <c r="V352">
        <v>66303.072</v>
      </c>
      <c r="W352">
        <v>1</v>
      </c>
      <c r="X352">
        <v>1.2927647999999999E-5</v>
      </c>
      <c r="Y352">
        <v>0.85714299999999999</v>
      </c>
      <c r="Z352">
        <v>1.1517580000000001</v>
      </c>
      <c r="AA352" t="s">
        <v>225</v>
      </c>
      <c r="AB352" t="s">
        <v>226</v>
      </c>
      <c r="AC352" t="s">
        <v>227</v>
      </c>
      <c r="AD352" t="s">
        <v>153</v>
      </c>
      <c r="AE352">
        <v>109.354</v>
      </c>
      <c r="AF352">
        <v>1.0727760310708341</v>
      </c>
      <c r="AG352">
        <v>117.31235010172</v>
      </c>
      <c r="AH352">
        <v>694.38</v>
      </c>
      <c r="AI352">
        <v>0.875</v>
      </c>
      <c r="AJ352">
        <v>71.276930955678296</v>
      </c>
      <c r="AK352">
        <v>1.0034000000000001</v>
      </c>
      <c r="AL352">
        <v>71.519000000000005</v>
      </c>
      <c r="AM352">
        <v>8.9176000000000002</v>
      </c>
      <c r="AN352">
        <v>9.5665875346772715</v>
      </c>
      <c r="AO352">
        <v>0.91300000000000003</v>
      </c>
      <c r="AP352">
        <v>6064.9193587765631</v>
      </c>
      <c r="AQ352">
        <v>1</v>
      </c>
      <c r="AR352">
        <v>6064.9193999999998</v>
      </c>
      <c r="AS352">
        <v>82.372580402000011</v>
      </c>
      <c r="AT352" t="s">
        <v>269</v>
      </c>
      <c r="AU352" t="s">
        <v>270</v>
      </c>
      <c r="AV352" t="s">
        <v>227</v>
      </c>
      <c r="AW352" t="s">
        <v>153</v>
      </c>
      <c r="AX352">
        <v>109.354</v>
      </c>
      <c r="AY352">
        <v>1.080821157758461</v>
      </c>
      <c r="AZ352">
        <v>118.1921168855188</v>
      </c>
      <c r="BA352">
        <v>779.31</v>
      </c>
      <c r="BB352">
        <v>0.879</v>
      </c>
      <c r="BC352">
        <v>80.963194478237142</v>
      </c>
      <c r="BD352">
        <v>1.0078</v>
      </c>
      <c r="BE352">
        <v>81.594999999999999</v>
      </c>
      <c r="BF352">
        <v>8.9176000000000002</v>
      </c>
      <c r="BG352">
        <v>0.80400000000000005</v>
      </c>
      <c r="BH352">
        <v>6039.0430235999738</v>
      </c>
      <c r="BI352">
        <v>1</v>
      </c>
      <c r="BJ352">
        <v>6039.0429999999997</v>
      </c>
      <c r="BK352">
        <v>93.977694010000008</v>
      </c>
    </row>
    <row r="353" spans="1:63" x14ac:dyDescent="0.25">
      <c r="A353">
        <v>4524</v>
      </c>
      <c r="B353" t="s">
        <v>102</v>
      </c>
      <c r="C353">
        <v>2020</v>
      </c>
      <c r="D353">
        <v>1</v>
      </c>
      <c r="E353" t="s">
        <v>218</v>
      </c>
      <c r="F353" t="s">
        <v>260</v>
      </c>
      <c r="G353" t="s">
        <v>261</v>
      </c>
      <c r="H353" t="s">
        <v>17</v>
      </c>
      <c r="I353" t="s">
        <v>262</v>
      </c>
      <c r="J353" t="s">
        <v>222</v>
      </c>
      <c r="K353">
        <v>-153.52378429000001</v>
      </c>
      <c r="L353" t="s">
        <v>223</v>
      </c>
      <c r="M353" t="s">
        <v>230</v>
      </c>
      <c r="N353">
        <v>0.16047331440265999</v>
      </c>
      <c r="O353">
        <v>24.636471</v>
      </c>
      <c r="P353" t="s">
        <v>21</v>
      </c>
      <c r="Q353">
        <v>1</v>
      </c>
      <c r="V353">
        <v>66303.072</v>
      </c>
      <c r="W353">
        <v>1</v>
      </c>
      <c r="X353">
        <v>1.2927647999999999E-5</v>
      </c>
      <c r="Y353">
        <v>0.85714299999999999</v>
      </c>
      <c r="Z353">
        <v>21.116979000000001</v>
      </c>
      <c r="AA353" t="s">
        <v>225</v>
      </c>
      <c r="AB353" t="s">
        <v>226</v>
      </c>
      <c r="AC353" t="s">
        <v>227</v>
      </c>
      <c r="AD353" t="s">
        <v>154</v>
      </c>
      <c r="AE353">
        <v>109.354</v>
      </c>
      <c r="AF353">
        <v>1.0727760310708341</v>
      </c>
      <c r="AG353">
        <v>117.31235010172</v>
      </c>
      <c r="AH353">
        <v>694.38</v>
      </c>
      <c r="AI353">
        <v>0.875</v>
      </c>
      <c r="AJ353">
        <v>71.276930955678296</v>
      </c>
      <c r="AK353">
        <v>1.0179</v>
      </c>
      <c r="AL353">
        <v>72.552999999999997</v>
      </c>
      <c r="AM353">
        <v>8.9176000000000002</v>
      </c>
      <c r="AN353">
        <v>9.5665875346772715</v>
      </c>
      <c r="AO353">
        <v>0.91300000000000003</v>
      </c>
      <c r="AP353">
        <v>6064.9193587765631</v>
      </c>
      <c r="AQ353">
        <v>0.98975009761811794</v>
      </c>
      <c r="AR353">
        <v>6002.7545</v>
      </c>
      <c r="AS353">
        <v>1532.100177387</v>
      </c>
      <c r="AT353" t="s">
        <v>269</v>
      </c>
      <c r="AU353" t="s">
        <v>270</v>
      </c>
      <c r="AV353" t="s">
        <v>227</v>
      </c>
      <c r="AW353" t="s">
        <v>154</v>
      </c>
      <c r="AX353">
        <v>109.354</v>
      </c>
      <c r="AY353">
        <v>1.080821157758461</v>
      </c>
      <c r="AZ353">
        <v>118.1921168855188</v>
      </c>
      <c r="BA353">
        <v>779.31</v>
      </c>
      <c r="BB353">
        <v>0.879</v>
      </c>
      <c r="BC353">
        <v>80.963194478237142</v>
      </c>
      <c r="BD353">
        <v>0.9899</v>
      </c>
      <c r="BE353">
        <v>80.144999999999996</v>
      </c>
      <c r="BF353">
        <v>8.9176000000000002</v>
      </c>
      <c r="BG353">
        <v>0.80400000000000005</v>
      </c>
      <c r="BH353">
        <v>6039.0430235999738</v>
      </c>
      <c r="BI353">
        <v>0.99199531433033972</v>
      </c>
      <c r="BJ353">
        <v>5990.7024000000001</v>
      </c>
      <c r="BK353">
        <v>1692.4202819550001</v>
      </c>
    </row>
    <row r="354" spans="1:63" x14ac:dyDescent="0.25">
      <c r="A354">
        <v>4526</v>
      </c>
      <c r="B354" t="s">
        <v>102</v>
      </c>
      <c r="C354">
        <v>2020</v>
      </c>
      <c r="D354">
        <v>1</v>
      </c>
      <c r="E354" t="s">
        <v>218</v>
      </c>
      <c r="F354" t="s">
        <v>260</v>
      </c>
      <c r="G354" t="s">
        <v>261</v>
      </c>
      <c r="H354" t="s">
        <v>17</v>
      </c>
      <c r="I354" t="s">
        <v>262</v>
      </c>
      <c r="J354" t="s">
        <v>222</v>
      </c>
      <c r="K354">
        <v>-153.52378429000001</v>
      </c>
      <c r="L354" t="s">
        <v>223</v>
      </c>
      <c r="M354" t="s">
        <v>231</v>
      </c>
      <c r="N354">
        <v>4.5018334813739999E-2</v>
      </c>
      <c r="O354">
        <v>6.9113850000000001</v>
      </c>
      <c r="P354" t="s">
        <v>21</v>
      </c>
      <c r="Q354">
        <v>1</v>
      </c>
      <c r="V354">
        <v>66303.072</v>
      </c>
      <c r="W354">
        <v>1</v>
      </c>
      <c r="X354">
        <v>1.2927647999999999E-5</v>
      </c>
      <c r="Y354">
        <v>0.85714299999999999</v>
      </c>
      <c r="Z354">
        <v>5.9240449999999996</v>
      </c>
      <c r="AA354" t="s">
        <v>225</v>
      </c>
      <c r="AB354" t="s">
        <v>226</v>
      </c>
      <c r="AC354" t="s">
        <v>227</v>
      </c>
      <c r="AD354" t="s">
        <v>100</v>
      </c>
      <c r="AE354">
        <v>109.354</v>
      </c>
      <c r="AF354">
        <v>1.0727760310708341</v>
      </c>
      <c r="AG354">
        <v>117.31235010172</v>
      </c>
      <c r="AH354">
        <v>694.38</v>
      </c>
      <c r="AI354">
        <v>0.875</v>
      </c>
      <c r="AJ354">
        <v>71.276930955678296</v>
      </c>
      <c r="AK354">
        <v>0.96660000000000001</v>
      </c>
      <c r="AL354">
        <v>68.896000000000001</v>
      </c>
      <c r="AM354">
        <v>8.9176000000000002</v>
      </c>
      <c r="AN354">
        <v>9.5665875346772715</v>
      </c>
      <c r="AO354">
        <v>0.91300000000000003</v>
      </c>
      <c r="AP354">
        <v>6064.9193587765631</v>
      </c>
      <c r="AQ354">
        <v>0.98316430020283985</v>
      </c>
      <c r="AR354">
        <v>5962.8122000000003</v>
      </c>
      <c r="AS354">
        <v>408.14300431999999</v>
      </c>
      <c r="AT354" t="s">
        <v>269</v>
      </c>
      <c r="AU354" t="s">
        <v>270</v>
      </c>
      <c r="AV354" t="s">
        <v>227</v>
      </c>
      <c r="AW354" t="s">
        <v>100</v>
      </c>
      <c r="AX354">
        <v>109.354</v>
      </c>
      <c r="AY354">
        <v>1.080821157758461</v>
      </c>
      <c r="AZ354">
        <v>118.1921168855188</v>
      </c>
      <c r="BA354">
        <v>779.31</v>
      </c>
      <c r="BB354">
        <v>0.879</v>
      </c>
      <c r="BC354">
        <v>80.963194478237142</v>
      </c>
      <c r="BD354">
        <v>0.96560000000000001</v>
      </c>
      <c r="BE354">
        <v>78.177999999999997</v>
      </c>
      <c r="BF354">
        <v>8.9176000000000002</v>
      </c>
      <c r="BG354">
        <v>0.80400000000000005</v>
      </c>
      <c r="BH354">
        <v>6039.0430235999738</v>
      </c>
      <c r="BI354">
        <v>0.98955375253549693</v>
      </c>
      <c r="BJ354">
        <v>5975.9576999999999</v>
      </c>
      <c r="BK354">
        <v>463.12999000999997</v>
      </c>
    </row>
    <row r="355" spans="1:63" x14ac:dyDescent="0.25">
      <c r="A355">
        <v>4528</v>
      </c>
      <c r="B355" t="s">
        <v>102</v>
      </c>
      <c r="C355">
        <v>2020</v>
      </c>
      <c r="D355">
        <v>1</v>
      </c>
      <c r="E355" t="s">
        <v>218</v>
      </c>
      <c r="F355" t="s">
        <v>260</v>
      </c>
      <c r="G355" t="s">
        <v>261</v>
      </c>
      <c r="H355" t="s">
        <v>17</v>
      </c>
      <c r="I355" t="s">
        <v>262</v>
      </c>
      <c r="J355" t="s">
        <v>222</v>
      </c>
      <c r="K355">
        <v>-153.52378429000001</v>
      </c>
      <c r="L355" t="s">
        <v>223</v>
      </c>
      <c r="M355" t="s">
        <v>232</v>
      </c>
      <c r="N355">
        <v>0.87398007306502001</v>
      </c>
      <c r="O355">
        <v>134.176728</v>
      </c>
      <c r="P355" t="s">
        <v>21</v>
      </c>
      <c r="Q355">
        <v>1</v>
      </c>
      <c r="V355">
        <v>66303.072</v>
      </c>
      <c r="W355">
        <v>1</v>
      </c>
      <c r="X355">
        <v>1.2927647999999999E-5</v>
      </c>
      <c r="Y355">
        <v>0.85714299999999999</v>
      </c>
      <c r="Z355">
        <v>115.00864300000001</v>
      </c>
      <c r="AA355" t="s">
        <v>225</v>
      </c>
      <c r="AB355" t="s">
        <v>226</v>
      </c>
      <c r="AC355" t="s">
        <v>227</v>
      </c>
      <c r="AD355" t="s">
        <v>101</v>
      </c>
      <c r="AE355">
        <v>109.354</v>
      </c>
      <c r="AF355">
        <v>1.0727760310708341</v>
      </c>
      <c r="AG355">
        <v>117.31235010172</v>
      </c>
      <c r="AH355">
        <v>694.38</v>
      </c>
      <c r="AI355">
        <v>0.875</v>
      </c>
      <c r="AJ355">
        <v>71.276930955678296</v>
      </c>
      <c r="AK355">
        <v>1.0077</v>
      </c>
      <c r="AL355">
        <v>71.825999999999993</v>
      </c>
      <c r="AM355">
        <v>8.9176000000000002</v>
      </c>
      <c r="AN355">
        <v>9.5665875346772715</v>
      </c>
      <c r="AO355">
        <v>0.91300000000000003</v>
      </c>
      <c r="AP355">
        <v>6064.9193587765631</v>
      </c>
      <c r="AQ355">
        <v>1.0255267423014589</v>
      </c>
      <c r="AR355">
        <v>6219.7370000000001</v>
      </c>
      <c r="AS355">
        <v>8260.6107921179992</v>
      </c>
      <c r="AT355" t="s">
        <v>269</v>
      </c>
      <c r="AU355" t="s">
        <v>270</v>
      </c>
      <c r="AV355" t="s">
        <v>227</v>
      </c>
      <c r="AW355" t="s">
        <v>101</v>
      </c>
      <c r="AX355">
        <v>109.354</v>
      </c>
      <c r="AY355">
        <v>1.080821157758461</v>
      </c>
      <c r="AZ355">
        <v>118.1921168855188</v>
      </c>
      <c r="BA355">
        <v>779.31</v>
      </c>
      <c r="BB355">
        <v>0.879</v>
      </c>
      <c r="BC355">
        <v>80.963194478237142</v>
      </c>
      <c r="BD355">
        <v>1.0097</v>
      </c>
      <c r="BE355">
        <v>81.748999999999995</v>
      </c>
      <c r="BF355">
        <v>8.9176000000000002</v>
      </c>
      <c r="BG355">
        <v>0.80400000000000005</v>
      </c>
      <c r="BH355">
        <v>6039.0430235999738</v>
      </c>
      <c r="BI355">
        <v>1.0276539708265799</v>
      </c>
      <c r="BJ355">
        <v>6206.0465000000004</v>
      </c>
      <c r="BK355">
        <v>9401.8415566069998</v>
      </c>
    </row>
    <row r="356" spans="1:63" x14ac:dyDescent="0.25">
      <c r="A356">
        <v>2258</v>
      </c>
      <c r="B356" t="s">
        <v>102</v>
      </c>
      <c r="C356">
        <v>2020</v>
      </c>
      <c r="D356">
        <v>1</v>
      </c>
      <c r="E356" t="s">
        <v>218</v>
      </c>
      <c r="F356" t="s">
        <v>260</v>
      </c>
      <c r="G356" t="s">
        <v>261</v>
      </c>
      <c r="H356" t="s">
        <v>17</v>
      </c>
      <c r="I356" t="s">
        <v>263</v>
      </c>
      <c r="J356" t="s">
        <v>234</v>
      </c>
      <c r="K356">
        <v>-630.21699656999999</v>
      </c>
      <c r="L356" t="s">
        <v>234</v>
      </c>
      <c r="M356" t="s">
        <v>224</v>
      </c>
      <c r="N356">
        <v>8.5771088379299996E-3</v>
      </c>
      <c r="O356">
        <v>5.4054399999999996</v>
      </c>
      <c r="P356" t="s">
        <v>21</v>
      </c>
      <c r="Q356">
        <v>1</v>
      </c>
      <c r="V356">
        <v>66303.072</v>
      </c>
      <c r="W356">
        <v>1</v>
      </c>
      <c r="X356">
        <v>1.2927647999999999E-5</v>
      </c>
      <c r="Y356">
        <v>0.85714299999999999</v>
      </c>
      <c r="Z356">
        <v>4.633235</v>
      </c>
      <c r="AA356" t="s">
        <v>225</v>
      </c>
      <c r="AB356" t="s">
        <v>226</v>
      </c>
      <c r="AC356" t="s">
        <v>227</v>
      </c>
      <c r="AD356" t="s">
        <v>153</v>
      </c>
      <c r="AE356">
        <v>109.354</v>
      </c>
      <c r="AF356">
        <v>1.0727760310708341</v>
      </c>
      <c r="AG356">
        <v>117.31235010172</v>
      </c>
      <c r="AH356">
        <v>694.38</v>
      </c>
      <c r="AI356">
        <v>0.875</v>
      </c>
      <c r="AJ356">
        <v>71.276930955678296</v>
      </c>
      <c r="AK356">
        <v>1.0034000000000001</v>
      </c>
      <c r="AL356">
        <v>71.519000000000005</v>
      </c>
      <c r="AM356">
        <v>8.9176000000000002</v>
      </c>
      <c r="AN356">
        <v>9.5665875346772715</v>
      </c>
      <c r="AO356">
        <v>0.91300000000000003</v>
      </c>
      <c r="AP356">
        <v>6064.9193587765631</v>
      </c>
      <c r="AQ356">
        <v>1</v>
      </c>
      <c r="AR356">
        <v>6064.9193999999998</v>
      </c>
      <c r="AS356">
        <v>331.36433396500001</v>
      </c>
      <c r="AT356" t="s">
        <v>269</v>
      </c>
      <c r="AU356" t="s">
        <v>270</v>
      </c>
      <c r="AV356" t="s">
        <v>227</v>
      </c>
      <c r="AW356" t="s">
        <v>153</v>
      </c>
      <c r="AX356">
        <v>109.354</v>
      </c>
      <c r="AY356">
        <v>1.080821157758461</v>
      </c>
      <c r="AZ356">
        <v>118.1921168855188</v>
      </c>
      <c r="BA356">
        <v>779.31</v>
      </c>
      <c r="BB356">
        <v>0.879</v>
      </c>
      <c r="BC356">
        <v>80.963194478237142</v>
      </c>
      <c r="BD356">
        <v>1.0078</v>
      </c>
      <c r="BE356">
        <v>81.594999999999999</v>
      </c>
      <c r="BF356">
        <v>8.9176000000000002</v>
      </c>
      <c r="BG356">
        <v>0.80400000000000005</v>
      </c>
      <c r="BH356">
        <v>6039.0430235999738</v>
      </c>
      <c r="BI356">
        <v>1</v>
      </c>
      <c r="BJ356">
        <v>6039.0429999999997</v>
      </c>
      <c r="BK356">
        <v>378.04880982499998</v>
      </c>
    </row>
    <row r="357" spans="1:63" x14ac:dyDescent="0.25">
      <c r="A357">
        <v>2260</v>
      </c>
      <c r="B357" t="s">
        <v>102</v>
      </c>
      <c r="C357">
        <v>2020</v>
      </c>
      <c r="D357">
        <v>1</v>
      </c>
      <c r="E357" t="s">
        <v>218</v>
      </c>
      <c r="F357" t="s">
        <v>260</v>
      </c>
      <c r="G357" t="s">
        <v>261</v>
      </c>
      <c r="H357" t="s">
        <v>17</v>
      </c>
      <c r="I357" t="s">
        <v>263</v>
      </c>
      <c r="J357" t="s">
        <v>234</v>
      </c>
      <c r="K357">
        <v>-630.21699656999999</v>
      </c>
      <c r="L357" t="s">
        <v>234</v>
      </c>
      <c r="M357" t="s">
        <v>235</v>
      </c>
      <c r="N357">
        <v>0.60124209651893001</v>
      </c>
      <c r="O357">
        <v>378.91298799999998</v>
      </c>
      <c r="P357" t="s">
        <v>21</v>
      </c>
      <c r="Q357">
        <v>1</v>
      </c>
      <c r="V357">
        <v>66303.072</v>
      </c>
      <c r="W357">
        <v>1</v>
      </c>
      <c r="X357">
        <v>1.2927647999999999E-5</v>
      </c>
      <c r="Y357">
        <v>0.85714299999999999</v>
      </c>
      <c r="Z357">
        <v>324.78261500000002</v>
      </c>
      <c r="AA357" t="s">
        <v>225</v>
      </c>
      <c r="AB357" t="s">
        <v>226</v>
      </c>
      <c r="AC357" t="s">
        <v>227</v>
      </c>
      <c r="AD357" t="s">
        <v>154</v>
      </c>
      <c r="AE357">
        <v>109.354</v>
      </c>
      <c r="AF357">
        <v>1.0727760310708341</v>
      </c>
      <c r="AG357">
        <v>117.31235010172</v>
      </c>
      <c r="AH357">
        <v>694.38</v>
      </c>
      <c r="AI357">
        <v>0.875</v>
      </c>
      <c r="AJ357">
        <v>71.276930955678296</v>
      </c>
      <c r="AK357">
        <v>1.0179</v>
      </c>
      <c r="AL357">
        <v>72.552999999999997</v>
      </c>
      <c r="AM357">
        <v>8.9176000000000002</v>
      </c>
      <c r="AN357">
        <v>9.5665875346772715</v>
      </c>
      <c r="AO357">
        <v>0.91300000000000003</v>
      </c>
      <c r="AP357">
        <v>6064.9193587765631</v>
      </c>
      <c r="AQ357">
        <v>0.98975009761811794</v>
      </c>
      <c r="AR357">
        <v>6002.7545</v>
      </c>
      <c r="AS357">
        <v>23563.953066095</v>
      </c>
      <c r="AT357" t="s">
        <v>269</v>
      </c>
      <c r="AU357" t="s">
        <v>270</v>
      </c>
      <c r="AV357" t="s">
        <v>227</v>
      </c>
      <c r="AW357" t="s">
        <v>154</v>
      </c>
      <c r="AX357">
        <v>109.354</v>
      </c>
      <c r="AY357">
        <v>1.080821157758461</v>
      </c>
      <c r="AZ357">
        <v>118.1921168855188</v>
      </c>
      <c r="BA357">
        <v>779.31</v>
      </c>
      <c r="BB357">
        <v>0.879</v>
      </c>
      <c r="BC357">
        <v>80.963194478237142</v>
      </c>
      <c r="BD357">
        <v>0.9899</v>
      </c>
      <c r="BE357">
        <v>80.144999999999996</v>
      </c>
      <c r="BF357">
        <v>8.9176000000000002</v>
      </c>
      <c r="BG357">
        <v>0.80400000000000005</v>
      </c>
      <c r="BH357">
        <v>6039.0430235999738</v>
      </c>
      <c r="BI357">
        <v>0.99199531433033972</v>
      </c>
      <c r="BJ357">
        <v>5990.7024000000001</v>
      </c>
      <c r="BK357">
        <v>26029.702679175</v>
      </c>
    </row>
    <row r="358" spans="1:63" x14ac:dyDescent="0.25">
      <c r="A358">
        <v>2262</v>
      </c>
      <c r="B358" t="s">
        <v>102</v>
      </c>
      <c r="C358">
        <v>2020</v>
      </c>
      <c r="D358">
        <v>1</v>
      </c>
      <c r="E358" t="s">
        <v>218</v>
      </c>
      <c r="F358" t="s">
        <v>260</v>
      </c>
      <c r="G358" t="s">
        <v>261</v>
      </c>
      <c r="H358" t="s">
        <v>17</v>
      </c>
      <c r="I358" t="s">
        <v>263</v>
      </c>
      <c r="J358" t="s">
        <v>234</v>
      </c>
      <c r="K358">
        <v>-630.21699656999999</v>
      </c>
      <c r="L358" t="s">
        <v>234</v>
      </c>
      <c r="M358" t="s">
        <v>236</v>
      </c>
      <c r="N358">
        <v>1.9808691721710001E-2</v>
      </c>
      <c r="O358">
        <v>12.483774</v>
      </c>
      <c r="P358" t="s">
        <v>21</v>
      </c>
      <c r="Q358">
        <v>1</v>
      </c>
      <c r="V358">
        <v>66303.072</v>
      </c>
      <c r="W358">
        <v>1</v>
      </c>
      <c r="X358">
        <v>1.2927647999999999E-5</v>
      </c>
      <c r="Y358">
        <v>0.85714299999999999</v>
      </c>
      <c r="Z358">
        <v>10.700379</v>
      </c>
      <c r="AA358" t="s">
        <v>225</v>
      </c>
      <c r="AB358" t="s">
        <v>226</v>
      </c>
      <c r="AC358" t="s">
        <v>227</v>
      </c>
      <c r="AD358" t="s">
        <v>100</v>
      </c>
      <c r="AE358">
        <v>109.354</v>
      </c>
      <c r="AF358">
        <v>1.0727760310708341</v>
      </c>
      <c r="AG358">
        <v>117.31235010172</v>
      </c>
      <c r="AH358">
        <v>694.38</v>
      </c>
      <c r="AI358">
        <v>0.875</v>
      </c>
      <c r="AJ358">
        <v>71.276930955678296</v>
      </c>
      <c r="AK358">
        <v>0.96660000000000001</v>
      </c>
      <c r="AL358">
        <v>68.896000000000001</v>
      </c>
      <c r="AM358">
        <v>8.9176000000000002</v>
      </c>
      <c r="AN358">
        <v>9.5665875346772715</v>
      </c>
      <c r="AO358">
        <v>0.91300000000000003</v>
      </c>
      <c r="AP358">
        <v>6064.9193587765631</v>
      </c>
      <c r="AQ358">
        <v>0.98316430020283985</v>
      </c>
      <c r="AR358">
        <v>5962.8122000000003</v>
      </c>
      <c r="AS358">
        <v>737.21331158400005</v>
      </c>
      <c r="AT358" t="s">
        <v>269</v>
      </c>
      <c r="AU358" t="s">
        <v>270</v>
      </c>
      <c r="AV358" t="s">
        <v>227</v>
      </c>
      <c r="AW358" t="s">
        <v>100</v>
      </c>
      <c r="AX358">
        <v>109.354</v>
      </c>
      <c r="AY358">
        <v>1.080821157758461</v>
      </c>
      <c r="AZ358">
        <v>118.1921168855188</v>
      </c>
      <c r="BA358">
        <v>779.31</v>
      </c>
      <c r="BB358">
        <v>0.879</v>
      </c>
      <c r="BC358">
        <v>80.963194478237142</v>
      </c>
      <c r="BD358">
        <v>0.96560000000000001</v>
      </c>
      <c r="BE358">
        <v>78.177999999999997</v>
      </c>
      <c r="BF358">
        <v>8.9176000000000002</v>
      </c>
      <c r="BG358">
        <v>0.80400000000000005</v>
      </c>
      <c r="BH358">
        <v>6039.0430235999738</v>
      </c>
      <c r="BI358">
        <v>0.98955375253549693</v>
      </c>
      <c r="BJ358">
        <v>5975.9576999999999</v>
      </c>
      <c r="BK358">
        <v>836.53422946199998</v>
      </c>
    </row>
    <row r="359" spans="1:63" x14ac:dyDescent="0.25">
      <c r="A359">
        <v>2264</v>
      </c>
      <c r="B359" t="s">
        <v>102</v>
      </c>
      <c r="C359">
        <v>2020</v>
      </c>
      <c r="D359">
        <v>1</v>
      </c>
      <c r="E359" t="s">
        <v>218</v>
      </c>
      <c r="F359" t="s">
        <v>260</v>
      </c>
      <c r="G359" t="s">
        <v>261</v>
      </c>
      <c r="H359" t="s">
        <v>17</v>
      </c>
      <c r="I359" t="s">
        <v>263</v>
      </c>
      <c r="J359" t="s">
        <v>234</v>
      </c>
      <c r="K359">
        <v>-630.21699656999999</v>
      </c>
      <c r="L359" t="s">
        <v>234</v>
      </c>
      <c r="M359" t="s">
        <v>237</v>
      </c>
      <c r="N359">
        <v>0.39660634608572998</v>
      </c>
      <c r="O359">
        <v>249.94806</v>
      </c>
      <c r="P359" t="s">
        <v>21</v>
      </c>
      <c r="Q359">
        <v>1</v>
      </c>
      <c r="V359">
        <v>66303.072</v>
      </c>
      <c r="W359">
        <v>1</v>
      </c>
      <c r="X359">
        <v>1.2927647999999999E-5</v>
      </c>
      <c r="Y359">
        <v>0.85714299999999999</v>
      </c>
      <c r="Z359">
        <v>214.24123</v>
      </c>
      <c r="AA359" t="s">
        <v>225</v>
      </c>
      <c r="AB359" t="s">
        <v>226</v>
      </c>
      <c r="AC359" t="s">
        <v>227</v>
      </c>
      <c r="AD359" t="s">
        <v>101</v>
      </c>
      <c r="AE359">
        <v>109.354</v>
      </c>
      <c r="AF359">
        <v>1.0727760310708341</v>
      </c>
      <c r="AG359">
        <v>117.31235010172</v>
      </c>
      <c r="AH359">
        <v>694.38</v>
      </c>
      <c r="AI359">
        <v>0.875</v>
      </c>
      <c r="AJ359">
        <v>71.276930955678296</v>
      </c>
      <c r="AK359">
        <v>1.0077</v>
      </c>
      <c r="AL359">
        <v>71.825999999999993</v>
      </c>
      <c r="AM359">
        <v>8.9176000000000002</v>
      </c>
      <c r="AN359">
        <v>9.5665875346772715</v>
      </c>
      <c r="AO359">
        <v>0.91300000000000003</v>
      </c>
      <c r="AP359">
        <v>6064.9193587765631</v>
      </c>
      <c r="AQ359">
        <v>1.0255267423014589</v>
      </c>
      <c r="AR359">
        <v>6219.7370000000001</v>
      </c>
      <c r="AS359">
        <v>15388.09058598</v>
      </c>
      <c r="AT359" t="s">
        <v>269</v>
      </c>
      <c r="AU359" t="s">
        <v>270</v>
      </c>
      <c r="AV359" t="s">
        <v>227</v>
      </c>
      <c r="AW359" t="s">
        <v>101</v>
      </c>
      <c r="AX359">
        <v>109.354</v>
      </c>
      <c r="AY359">
        <v>1.080821157758461</v>
      </c>
      <c r="AZ359">
        <v>118.1921168855188</v>
      </c>
      <c r="BA359">
        <v>779.31</v>
      </c>
      <c r="BB359">
        <v>0.879</v>
      </c>
      <c r="BC359">
        <v>80.963194478237142</v>
      </c>
      <c r="BD359">
        <v>1.0097</v>
      </c>
      <c r="BE359">
        <v>81.748999999999995</v>
      </c>
      <c r="BF359">
        <v>8.9176000000000002</v>
      </c>
      <c r="BG359">
        <v>0.80400000000000005</v>
      </c>
      <c r="BH359">
        <v>6039.0430235999738</v>
      </c>
      <c r="BI359">
        <v>1.0276539708265799</v>
      </c>
      <c r="BJ359">
        <v>6206.0465000000004</v>
      </c>
      <c r="BK359">
        <v>17514.006311270001</v>
      </c>
    </row>
    <row r="360" spans="1:63" x14ac:dyDescent="0.25">
      <c r="A360">
        <v>2258</v>
      </c>
      <c r="B360" t="s">
        <v>102</v>
      </c>
      <c r="C360">
        <v>2020</v>
      </c>
      <c r="D360">
        <v>1</v>
      </c>
      <c r="E360" t="s">
        <v>218</v>
      </c>
      <c r="F360" t="s">
        <v>260</v>
      </c>
      <c r="G360" t="s">
        <v>261</v>
      </c>
      <c r="H360" t="s">
        <v>17</v>
      </c>
      <c r="I360" t="s">
        <v>264</v>
      </c>
      <c r="J360" t="s">
        <v>239</v>
      </c>
      <c r="K360">
        <v>-117.04625245</v>
      </c>
      <c r="L360" t="s">
        <v>240</v>
      </c>
      <c r="M360" t="s">
        <v>224</v>
      </c>
      <c r="N360">
        <v>1.1109205873409999E-2</v>
      </c>
      <c r="O360">
        <v>1.3002910000000001</v>
      </c>
      <c r="P360" t="s">
        <v>21</v>
      </c>
      <c r="Q360">
        <v>1</v>
      </c>
      <c r="V360">
        <v>66303.072</v>
      </c>
      <c r="W360">
        <v>1</v>
      </c>
      <c r="X360">
        <v>1.2927647999999999E-5</v>
      </c>
      <c r="Y360">
        <v>0.85714299999999999</v>
      </c>
      <c r="Z360">
        <v>1.1145350000000001</v>
      </c>
      <c r="AA360" t="s">
        <v>225</v>
      </c>
      <c r="AB360" t="s">
        <v>226</v>
      </c>
      <c r="AC360" t="s">
        <v>227</v>
      </c>
      <c r="AD360" t="s">
        <v>153</v>
      </c>
      <c r="AE360">
        <v>109.354</v>
      </c>
      <c r="AF360">
        <v>1.0727760310708341</v>
      </c>
      <c r="AG360">
        <v>117.31235010172</v>
      </c>
      <c r="AH360">
        <v>694.38</v>
      </c>
      <c r="AI360">
        <v>0.875</v>
      </c>
      <c r="AJ360">
        <v>71.276930955678296</v>
      </c>
      <c r="AK360">
        <v>1.0034000000000001</v>
      </c>
      <c r="AL360">
        <v>71.519000000000005</v>
      </c>
      <c r="AM360">
        <v>8.9176000000000002</v>
      </c>
      <c r="AN360">
        <v>9.5665875346772715</v>
      </c>
      <c r="AO360">
        <v>0.91300000000000003</v>
      </c>
      <c r="AP360">
        <v>6064.9193587765631</v>
      </c>
      <c r="AQ360">
        <v>1</v>
      </c>
      <c r="AR360">
        <v>6064.9193999999998</v>
      </c>
      <c r="AS360">
        <v>79.710428665000009</v>
      </c>
      <c r="AT360" t="s">
        <v>269</v>
      </c>
      <c r="AU360" t="s">
        <v>270</v>
      </c>
      <c r="AV360" t="s">
        <v>227</v>
      </c>
      <c r="AW360" t="s">
        <v>153</v>
      </c>
      <c r="AX360">
        <v>109.354</v>
      </c>
      <c r="AY360">
        <v>1.080821157758461</v>
      </c>
      <c r="AZ360">
        <v>118.1921168855188</v>
      </c>
      <c r="BA360">
        <v>779.31</v>
      </c>
      <c r="BB360">
        <v>0.879</v>
      </c>
      <c r="BC360">
        <v>80.963194478237142</v>
      </c>
      <c r="BD360">
        <v>1.0078</v>
      </c>
      <c r="BE360">
        <v>81.594999999999999</v>
      </c>
      <c r="BF360">
        <v>8.9176000000000002</v>
      </c>
      <c r="BG360">
        <v>0.80400000000000005</v>
      </c>
      <c r="BH360">
        <v>6039.0430235999738</v>
      </c>
      <c r="BI360">
        <v>1</v>
      </c>
      <c r="BJ360">
        <v>6039.0429999999997</v>
      </c>
      <c r="BK360">
        <v>90.940483325000002</v>
      </c>
    </row>
    <row r="361" spans="1:63" x14ac:dyDescent="0.25">
      <c r="A361">
        <v>2260</v>
      </c>
      <c r="B361" t="s">
        <v>102</v>
      </c>
      <c r="C361">
        <v>2020</v>
      </c>
      <c r="D361">
        <v>1</v>
      </c>
      <c r="E361" t="s">
        <v>218</v>
      </c>
      <c r="F361" t="s">
        <v>260</v>
      </c>
      <c r="G361" t="s">
        <v>261</v>
      </c>
      <c r="H361" t="s">
        <v>17</v>
      </c>
      <c r="I361" t="s">
        <v>264</v>
      </c>
      <c r="J361" t="s">
        <v>239</v>
      </c>
      <c r="K361">
        <v>-117.04625245</v>
      </c>
      <c r="L361" t="s">
        <v>240</v>
      </c>
      <c r="M361" t="s">
        <v>235</v>
      </c>
      <c r="N361">
        <v>0.58148407621825005</v>
      </c>
      <c r="O361">
        <v>68.060531999999995</v>
      </c>
      <c r="P361" t="s">
        <v>21</v>
      </c>
      <c r="Q361">
        <v>1</v>
      </c>
      <c r="V361">
        <v>66303.072</v>
      </c>
      <c r="W361">
        <v>1</v>
      </c>
      <c r="X361">
        <v>1.2927647999999999E-5</v>
      </c>
      <c r="Y361">
        <v>0.85714299999999999</v>
      </c>
      <c r="Z361">
        <v>58.337609</v>
      </c>
      <c r="AA361" t="s">
        <v>225</v>
      </c>
      <c r="AB361" t="s">
        <v>226</v>
      </c>
      <c r="AC361" t="s">
        <v>227</v>
      </c>
      <c r="AD361" t="s">
        <v>154</v>
      </c>
      <c r="AE361">
        <v>109.354</v>
      </c>
      <c r="AF361">
        <v>1.0727760310708341</v>
      </c>
      <c r="AG361">
        <v>117.31235010172</v>
      </c>
      <c r="AH361">
        <v>694.38</v>
      </c>
      <c r="AI361">
        <v>0.875</v>
      </c>
      <c r="AJ361">
        <v>71.276930955678296</v>
      </c>
      <c r="AK361">
        <v>1.0179</v>
      </c>
      <c r="AL361">
        <v>72.552999999999997</v>
      </c>
      <c r="AM361">
        <v>8.9176000000000002</v>
      </c>
      <c r="AN361">
        <v>9.5665875346772715</v>
      </c>
      <c r="AO361">
        <v>0.91300000000000003</v>
      </c>
      <c r="AP361">
        <v>6064.9193587765631</v>
      </c>
      <c r="AQ361">
        <v>0.98975009761811794</v>
      </c>
      <c r="AR361">
        <v>6002.7545</v>
      </c>
      <c r="AS361">
        <v>4232.5685457769996</v>
      </c>
      <c r="AT361" t="s">
        <v>269</v>
      </c>
      <c r="AU361" t="s">
        <v>270</v>
      </c>
      <c r="AV361" t="s">
        <v>227</v>
      </c>
      <c r="AW361" t="s">
        <v>154</v>
      </c>
      <c r="AX361">
        <v>109.354</v>
      </c>
      <c r="AY361">
        <v>1.080821157758461</v>
      </c>
      <c r="AZ361">
        <v>118.1921168855188</v>
      </c>
      <c r="BA361">
        <v>779.31</v>
      </c>
      <c r="BB361">
        <v>0.879</v>
      </c>
      <c r="BC361">
        <v>80.963194478237142</v>
      </c>
      <c r="BD361">
        <v>0.9899</v>
      </c>
      <c r="BE361">
        <v>80.144999999999996</v>
      </c>
      <c r="BF361">
        <v>8.9176000000000002</v>
      </c>
      <c r="BG361">
        <v>0.80400000000000005</v>
      </c>
      <c r="BH361">
        <v>6039.0430235999738</v>
      </c>
      <c r="BI361">
        <v>0.99199531433033972</v>
      </c>
      <c r="BJ361">
        <v>5990.7024000000001</v>
      </c>
      <c r="BK361">
        <v>4675.4676733050001</v>
      </c>
    </row>
    <row r="362" spans="1:63" x14ac:dyDescent="0.25">
      <c r="A362">
        <v>2262</v>
      </c>
      <c r="B362" t="s">
        <v>102</v>
      </c>
      <c r="C362">
        <v>2020</v>
      </c>
      <c r="D362">
        <v>1</v>
      </c>
      <c r="E362" t="s">
        <v>218</v>
      </c>
      <c r="F362" t="s">
        <v>260</v>
      </c>
      <c r="G362" t="s">
        <v>261</v>
      </c>
      <c r="H362" t="s">
        <v>17</v>
      </c>
      <c r="I362" t="s">
        <v>264</v>
      </c>
      <c r="J362" t="s">
        <v>239</v>
      </c>
      <c r="K362">
        <v>-117.04625245</v>
      </c>
      <c r="L362" t="s">
        <v>240</v>
      </c>
      <c r="M362" t="s">
        <v>236</v>
      </c>
      <c r="N362">
        <v>1.8083569973560001E-2</v>
      </c>
      <c r="O362">
        <v>2.1166140000000002</v>
      </c>
      <c r="P362" t="s">
        <v>21</v>
      </c>
      <c r="Q362">
        <v>1</v>
      </c>
      <c r="V362">
        <v>66303.072</v>
      </c>
      <c r="W362">
        <v>1</v>
      </c>
      <c r="X362">
        <v>1.2927647999999999E-5</v>
      </c>
      <c r="Y362">
        <v>0.85714299999999999</v>
      </c>
      <c r="Z362">
        <v>1.814241</v>
      </c>
      <c r="AA362" t="s">
        <v>225</v>
      </c>
      <c r="AB362" t="s">
        <v>226</v>
      </c>
      <c r="AC362" t="s">
        <v>227</v>
      </c>
      <c r="AD362" t="s">
        <v>100</v>
      </c>
      <c r="AE362">
        <v>109.354</v>
      </c>
      <c r="AF362">
        <v>1.0727760310708341</v>
      </c>
      <c r="AG362">
        <v>117.31235010172</v>
      </c>
      <c r="AH362">
        <v>694.38</v>
      </c>
      <c r="AI362">
        <v>0.875</v>
      </c>
      <c r="AJ362">
        <v>71.276930955678296</v>
      </c>
      <c r="AK362">
        <v>0.96660000000000001</v>
      </c>
      <c r="AL362">
        <v>68.896000000000001</v>
      </c>
      <c r="AM362">
        <v>8.9176000000000002</v>
      </c>
      <c r="AN362">
        <v>9.5665875346772715</v>
      </c>
      <c r="AO362">
        <v>0.91300000000000003</v>
      </c>
      <c r="AP362">
        <v>6064.9193587765631</v>
      </c>
      <c r="AQ362">
        <v>0.98316430020283985</v>
      </c>
      <c r="AR362">
        <v>5962.8122000000003</v>
      </c>
      <c r="AS362">
        <v>124.993947936</v>
      </c>
      <c r="AT362" t="s">
        <v>269</v>
      </c>
      <c r="AU362" t="s">
        <v>270</v>
      </c>
      <c r="AV362" t="s">
        <v>227</v>
      </c>
      <c r="AW362" t="s">
        <v>100</v>
      </c>
      <c r="AX362">
        <v>109.354</v>
      </c>
      <c r="AY362">
        <v>1.080821157758461</v>
      </c>
      <c r="AZ362">
        <v>118.1921168855188</v>
      </c>
      <c r="BA362">
        <v>779.31</v>
      </c>
      <c r="BB362">
        <v>0.879</v>
      </c>
      <c r="BC362">
        <v>80.963194478237142</v>
      </c>
      <c r="BD362">
        <v>0.96560000000000001</v>
      </c>
      <c r="BE362">
        <v>78.177999999999997</v>
      </c>
      <c r="BF362">
        <v>8.9176000000000002</v>
      </c>
      <c r="BG362">
        <v>0.80400000000000005</v>
      </c>
      <c r="BH362">
        <v>6039.0430235999738</v>
      </c>
      <c r="BI362">
        <v>0.98955375253549693</v>
      </c>
      <c r="BJ362">
        <v>5975.9576999999999</v>
      </c>
      <c r="BK362">
        <v>141.83373289799999</v>
      </c>
    </row>
    <row r="363" spans="1:63" x14ac:dyDescent="0.25">
      <c r="A363">
        <v>2264</v>
      </c>
      <c r="B363" t="s">
        <v>102</v>
      </c>
      <c r="C363">
        <v>2020</v>
      </c>
      <c r="D363">
        <v>1</v>
      </c>
      <c r="E363" t="s">
        <v>218</v>
      </c>
      <c r="F363" t="s">
        <v>260</v>
      </c>
      <c r="G363" t="s">
        <v>261</v>
      </c>
      <c r="H363" t="s">
        <v>17</v>
      </c>
      <c r="I363" t="s">
        <v>264</v>
      </c>
      <c r="J363" t="s">
        <v>239</v>
      </c>
      <c r="K363">
        <v>-117.04625245</v>
      </c>
      <c r="L363" t="s">
        <v>240</v>
      </c>
      <c r="M363" t="s">
        <v>237</v>
      </c>
      <c r="N363">
        <v>0.41680683696206</v>
      </c>
      <c r="O363">
        <v>48.785677999999997</v>
      </c>
      <c r="P363" t="s">
        <v>21</v>
      </c>
      <c r="Q363">
        <v>1</v>
      </c>
      <c r="V363">
        <v>66303.072</v>
      </c>
      <c r="W363">
        <v>1</v>
      </c>
      <c r="X363">
        <v>1.2927647999999999E-5</v>
      </c>
      <c r="Y363">
        <v>0.85714299999999999</v>
      </c>
      <c r="Z363">
        <v>41.816302</v>
      </c>
      <c r="AA363" t="s">
        <v>225</v>
      </c>
      <c r="AB363" t="s">
        <v>226</v>
      </c>
      <c r="AC363" t="s">
        <v>227</v>
      </c>
      <c r="AD363" t="s">
        <v>101</v>
      </c>
      <c r="AE363">
        <v>109.354</v>
      </c>
      <c r="AF363">
        <v>1.0727760310708341</v>
      </c>
      <c r="AG363">
        <v>117.31235010172</v>
      </c>
      <c r="AH363">
        <v>694.38</v>
      </c>
      <c r="AI363">
        <v>0.875</v>
      </c>
      <c r="AJ363">
        <v>71.276930955678296</v>
      </c>
      <c r="AK363">
        <v>1.0077</v>
      </c>
      <c r="AL363">
        <v>71.825999999999993</v>
      </c>
      <c r="AM363">
        <v>8.9176000000000002</v>
      </c>
      <c r="AN363">
        <v>9.5665875346772715</v>
      </c>
      <c r="AO363">
        <v>0.91300000000000003</v>
      </c>
      <c r="AP363">
        <v>6064.9193587765631</v>
      </c>
      <c r="AQ363">
        <v>1.0255267423014589</v>
      </c>
      <c r="AR363">
        <v>6219.7370000000001</v>
      </c>
      <c r="AS363">
        <v>3003.4977074520002</v>
      </c>
      <c r="AT363" t="s">
        <v>269</v>
      </c>
      <c r="AU363" t="s">
        <v>270</v>
      </c>
      <c r="AV363" t="s">
        <v>227</v>
      </c>
      <c r="AW363" t="s">
        <v>101</v>
      </c>
      <c r="AX363">
        <v>109.354</v>
      </c>
      <c r="AY363">
        <v>1.080821157758461</v>
      </c>
      <c r="AZ363">
        <v>118.1921168855188</v>
      </c>
      <c r="BA363">
        <v>779.31</v>
      </c>
      <c r="BB363">
        <v>0.879</v>
      </c>
      <c r="BC363">
        <v>80.963194478237142</v>
      </c>
      <c r="BD363">
        <v>1.0097</v>
      </c>
      <c r="BE363">
        <v>81.748999999999995</v>
      </c>
      <c r="BF363">
        <v>8.9176000000000002</v>
      </c>
      <c r="BG363">
        <v>0.80400000000000005</v>
      </c>
      <c r="BH363">
        <v>6039.0430235999738</v>
      </c>
      <c r="BI363">
        <v>1.0276539708265799</v>
      </c>
      <c r="BJ363">
        <v>6206.0465000000004</v>
      </c>
      <c r="BK363">
        <v>3418.4408721979999</v>
      </c>
    </row>
    <row r="364" spans="1:63" x14ac:dyDescent="0.25">
      <c r="A364">
        <v>3392</v>
      </c>
      <c r="B364" t="s">
        <v>102</v>
      </c>
      <c r="C364">
        <v>2020</v>
      </c>
      <c r="D364">
        <v>1</v>
      </c>
      <c r="E364" t="s">
        <v>218</v>
      </c>
      <c r="F364" t="s">
        <v>260</v>
      </c>
      <c r="G364" t="s">
        <v>261</v>
      </c>
      <c r="H364" t="s">
        <v>17</v>
      </c>
      <c r="I364" t="s">
        <v>265</v>
      </c>
      <c r="J364" t="s">
        <v>242</v>
      </c>
      <c r="K364">
        <v>-44.918409769999997</v>
      </c>
      <c r="L364" t="s">
        <v>242</v>
      </c>
      <c r="M364" t="s">
        <v>235</v>
      </c>
      <c r="N364">
        <v>0.67001574769252004</v>
      </c>
      <c r="O364">
        <v>30.096042000000001</v>
      </c>
      <c r="P364" t="s">
        <v>21</v>
      </c>
      <c r="Q364">
        <v>1</v>
      </c>
      <c r="V364">
        <v>66303.072</v>
      </c>
      <c r="W364">
        <v>1</v>
      </c>
      <c r="X364">
        <v>1.2927647999999999E-5</v>
      </c>
      <c r="Y364">
        <v>0.85714299999999999</v>
      </c>
      <c r="Z364">
        <v>25.796612</v>
      </c>
      <c r="AA364" t="s">
        <v>225</v>
      </c>
      <c r="AB364" t="s">
        <v>226</v>
      </c>
      <c r="AC364" t="s">
        <v>227</v>
      </c>
      <c r="AD364" t="s">
        <v>154</v>
      </c>
      <c r="AE364">
        <v>109.354</v>
      </c>
      <c r="AF364">
        <v>1.0727760310708341</v>
      </c>
      <c r="AG364">
        <v>117.31235010172</v>
      </c>
      <c r="AH364">
        <v>694.38</v>
      </c>
      <c r="AI364">
        <v>0.875</v>
      </c>
      <c r="AJ364">
        <v>71.276930955678296</v>
      </c>
      <c r="AK364">
        <v>1.0179</v>
      </c>
      <c r="AL364">
        <v>72.552999999999997</v>
      </c>
      <c r="AM364">
        <v>8.9176000000000002</v>
      </c>
      <c r="AN364">
        <v>9.5665875346772715</v>
      </c>
      <c r="AO364">
        <v>0.91300000000000003</v>
      </c>
      <c r="AP364">
        <v>6064.9193587765631</v>
      </c>
      <c r="AQ364">
        <v>0.98975009761811794</v>
      </c>
      <c r="AR364">
        <v>6002.7545</v>
      </c>
      <c r="AS364">
        <v>1871.6215904359999</v>
      </c>
      <c r="AT364" t="s">
        <v>269</v>
      </c>
      <c r="AU364" t="s">
        <v>270</v>
      </c>
      <c r="AV364" t="s">
        <v>227</v>
      </c>
      <c r="AW364" t="s">
        <v>154</v>
      </c>
      <c r="AX364">
        <v>109.354</v>
      </c>
      <c r="AY364">
        <v>1.080821157758461</v>
      </c>
      <c r="AZ364">
        <v>118.1921168855188</v>
      </c>
      <c r="BA364">
        <v>779.31</v>
      </c>
      <c r="BB364">
        <v>0.879</v>
      </c>
      <c r="BC364">
        <v>80.963194478237142</v>
      </c>
      <c r="BD364">
        <v>0.9899</v>
      </c>
      <c r="BE364">
        <v>80.144999999999996</v>
      </c>
      <c r="BF364">
        <v>8.9176000000000002</v>
      </c>
      <c r="BG364">
        <v>0.80400000000000005</v>
      </c>
      <c r="BH364">
        <v>6039.0430235999738</v>
      </c>
      <c r="BI364">
        <v>0.99199531433033972</v>
      </c>
      <c r="BJ364">
        <v>5990.7024000000001</v>
      </c>
      <c r="BK364">
        <v>2067.4694687400001</v>
      </c>
    </row>
    <row r="365" spans="1:63" x14ac:dyDescent="0.25">
      <c r="A365">
        <v>3394</v>
      </c>
      <c r="B365" t="s">
        <v>102</v>
      </c>
      <c r="C365">
        <v>2020</v>
      </c>
      <c r="D365">
        <v>1</v>
      </c>
      <c r="E365" t="s">
        <v>218</v>
      </c>
      <c r="F365" t="s">
        <v>260</v>
      </c>
      <c r="G365" t="s">
        <v>261</v>
      </c>
      <c r="H365" t="s">
        <v>17</v>
      </c>
      <c r="I365" t="s">
        <v>265</v>
      </c>
      <c r="J365" t="s">
        <v>242</v>
      </c>
      <c r="K365">
        <v>-44.918409769999997</v>
      </c>
      <c r="L365" t="s">
        <v>242</v>
      </c>
      <c r="M365" t="s">
        <v>236</v>
      </c>
      <c r="N365">
        <v>1.442552100634E-2</v>
      </c>
      <c r="O365">
        <v>0.64797099999999996</v>
      </c>
      <c r="P365" t="s">
        <v>21</v>
      </c>
      <c r="Q365">
        <v>1</v>
      </c>
      <c r="V365">
        <v>66303.072</v>
      </c>
      <c r="W365">
        <v>1</v>
      </c>
      <c r="X365">
        <v>1.2927647999999999E-5</v>
      </c>
      <c r="Y365">
        <v>0.85714299999999999</v>
      </c>
      <c r="Z365">
        <v>0.55540400000000001</v>
      </c>
      <c r="AA365" t="s">
        <v>225</v>
      </c>
      <c r="AB365" t="s">
        <v>226</v>
      </c>
      <c r="AC365" t="s">
        <v>227</v>
      </c>
      <c r="AD365" t="s">
        <v>100</v>
      </c>
      <c r="AE365">
        <v>109.354</v>
      </c>
      <c r="AF365">
        <v>1.0727760310708341</v>
      </c>
      <c r="AG365">
        <v>117.31235010172</v>
      </c>
      <c r="AH365">
        <v>694.38</v>
      </c>
      <c r="AI365">
        <v>0.875</v>
      </c>
      <c r="AJ365">
        <v>71.276930955678296</v>
      </c>
      <c r="AK365">
        <v>0.96660000000000001</v>
      </c>
      <c r="AL365">
        <v>68.896000000000001</v>
      </c>
      <c r="AM365">
        <v>8.9176000000000002</v>
      </c>
      <c r="AN365">
        <v>9.5665875346772715</v>
      </c>
      <c r="AO365">
        <v>0.91300000000000003</v>
      </c>
      <c r="AP365">
        <v>6064.9193587765631</v>
      </c>
      <c r="AQ365">
        <v>0.98316430020283985</v>
      </c>
      <c r="AR365">
        <v>5962.8122000000003</v>
      </c>
      <c r="AS365">
        <v>38.265113984000003</v>
      </c>
      <c r="AT365" t="s">
        <v>269</v>
      </c>
      <c r="AU365" t="s">
        <v>270</v>
      </c>
      <c r="AV365" t="s">
        <v>227</v>
      </c>
      <c r="AW365" t="s">
        <v>100</v>
      </c>
      <c r="AX365">
        <v>109.354</v>
      </c>
      <c r="AY365">
        <v>1.080821157758461</v>
      </c>
      <c r="AZ365">
        <v>118.1921168855188</v>
      </c>
      <c r="BA365">
        <v>779.31</v>
      </c>
      <c r="BB365">
        <v>0.879</v>
      </c>
      <c r="BC365">
        <v>80.963194478237142</v>
      </c>
      <c r="BD365">
        <v>0.96560000000000001</v>
      </c>
      <c r="BE365">
        <v>78.177999999999997</v>
      </c>
      <c r="BF365">
        <v>8.9176000000000002</v>
      </c>
      <c r="BG365">
        <v>0.80400000000000005</v>
      </c>
      <c r="BH365">
        <v>6039.0430235999738</v>
      </c>
      <c r="BI365">
        <v>0.98955375253549693</v>
      </c>
      <c r="BJ365">
        <v>5975.9576999999999</v>
      </c>
      <c r="BK365">
        <v>43.420373912000002</v>
      </c>
    </row>
    <row r="366" spans="1:63" x14ac:dyDescent="0.25">
      <c r="A366">
        <v>3396</v>
      </c>
      <c r="B366" t="s">
        <v>102</v>
      </c>
      <c r="C366">
        <v>2020</v>
      </c>
      <c r="D366">
        <v>1</v>
      </c>
      <c r="E366" t="s">
        <v>218</v>
      </c>
      <c r="F366" t="s">
        <v>260</v>
      </c>
      <c r="G366" t="s">
        <v>261</v>
      </c>
      <c r="H366" t="s">
        <v>17</v>
      </c>
      <c r="I366" t="s">
        <v>265</v>
      </c>
      <c r="J366" t="s">
        <v>242</v>
      </c>
      <c r="K366">
        <v>-44.918409769999997</v>
      </c>
      <c r="L366" t="s">
        <v>242</v>
      </c>
      <c r="M366" t="s">
        <v>237</v>
      </c>
      <c r="N366">
        <v>0.37405093967954001</v>
      </c>
      <c r="O366">
        <v>16.801773000000001</v>
      </c>
      <c r="P366" t="s">
        <v>21</v>
      </c>
      <c r="Q366">
        <v>1</v>
      </c>
      <c r="V366">
        <v>66303.072</v>
      </c>
      <c r="W366">
        <v>1</v>
      </c>
      <c r="X366">
        <v>1.2927647999999999E-5</v>
      </c>
      <c r="Y366">
        <v>0.85714299999999999</v>
      </c>
      <c r="Z366">
        <v>14.401522</v>
      </c>
      <c r="AA366" t="s">
        <v>225</v>
      </c>
      <c r="AB366" t="s">
        <v>226</v>
      </c>
      <c r="AC366" t="s">
        <v>227</v>
      </c>
      <c r="AD366" t="s">
        <v>101</v>
      </c>
      <c r="AE366">
        <v>109.354</v>
      </c>
      <c r="AF366">
        <v>1.0727760310708341</v>
      </c>
      <c r="AG366">
        <v>117.31235010172</v>
      </c>
      <c r="AH366">
        <v>694.38</v>
      </c>
      <c r="AI366">
        <v>0.875</v>
      </c>
      <c r="AJ366">
        <v>71.276930955678296</v>
      </c>
      <c r="AK366">
        <v>1.0077</v>
      </c>
      <c r="AL366">
        <v>71.825999999999993</v>
      </c>
      <c r="AM366">
        <v>8.9176000000000002</v>
      </c>
      <c r="AN366">
        <v>9.5665875346772715</v>
      </c>
      <c r="AO366">
        <v>0.91300000000000003</v>
      </c>
      <c r="AP366">
        <v>6064.9193587765631</v>
      </c>
      <c r="AQ366">
        <v>1.0255267423014589</v>
      </c>
      <c r="AR366">
        <v>6219.7370000000001</v>
      </c>
      <c r="AS366">
        <v>1034.4037191719999</v>
      </c>
      <c r="AT366" t="s">
        <v>269</v>
      </c>
      <c r="AU366" t="s">
        <v>270</v>
      </c>
      <c r="AV366" t="s">
        <v>227</v>
      </c>
      <c r="AW366" t="s">
        <v>101</v>
      </c>
      <c r="AX366">
        <v>109.354</v>
      </c>
      <c r="AY366">
        <v>1.080821157758461</v>
      </c>
      <c r="AZ366">
        <v>118.1921168855188</v>
      </c>
      <c r="BA366">
        <v>779.31</v>
      </c>
      <c r="BB366">
        <v>0.879</v>
      </c>
      <c r="BC366">
        <v>80.963194478237142</v>
      </c>
      <c r="BD366">
        <v>1.0097</v>
      </c>
      <c r="BE366">
        <v>81.748999999999995</v>
      </c>
      <c r="BF366">
        <v>8.9176000000000002</v>
      </c>
      <c r="BG366">
        <v>0.80400000000000005</v>
      </c>
      <c r="BH366">
        <v>6039.0430235999738</v>
      </c>
      <c r="BI366">
        <v>1.0276539708265799</v>
      </c>
      <c r="BJ366">
        <v>6206.0465000000004</v>
      </c>
      <c r="BK366">
        <v>1177.3100219779999</v>
      </c>
    </row>
    <row r="367" spans="1:63" x14ac:dyDescent="0.25">
      <c r="A367">
        <v>2258</v>
      </c>
      <c r="B367" t="s">
        <v>102</v>
      </c>
      <c r="C367">
        <v>2020</v>
      </c>
      <c r="D367">
        <v>1</v>
      </c>
      <c r="E367" t="s">
        <v>218</v>
      </c>
      <c r="F367" t="s">
        <v>260</v>
      </c>
      <c r="G367" t="s">
        <v>261</v>
      </c>
      <c r="H367" t="s">
        <v>17</v>
      </c>
      <c r="I367" t="s">
        <v>266</v>
      </c>
      <c r="J367" t="s">
        <v>244</v>
      </c>
      <c r="K367">
        <v>-117.36645836</v>
      </c>
      <c r="L367" t="s">
        <v>245</v>
      </c>
      <c r="M367" t="s">
        <v>224</v>
      </c>
      <c r="N367">
        <v>1.1026262910890001E-2</v>
      </c>
      <c r="O367">
        <v>1.2941130000000001</v>
      </c>
      <c r="P367" t="s">
        <v>21</v>
      </c>
      <c r="Q367">
        <v>1</v>
      </c>
      <c r="V367">
        <v>66303.072</v>
      </c>
      <c r="W367">
        <v>1</v>
      </c>
      <c r="X367">
        <v>1.2927647999999999E-5</v>
      </c>
      <c r="Y367">
        <v>0.85714299999999999</v>
      </c>
      <c r="Z367">
        <v>1.10924</v>
      </c>
      <c r="AA367" t="s">
        <v>225</v>
      </c>
      <c r="AB367" t="s">
        <v>226</v>
      </c>
      <c r="AC367" t="s">
        <v>227</v>
      </c>
      <c r="AD367" t="s">
        <v>153</v>
      </c>
      <c r="AE367">
        <v>109.354</v>
      </c>
      <c r="AF367">
        <v>1.0727760310708341</v>
      </c>
      <c r="AG367">
        <v>117.31235010172</v>
      </c>
      <c r="AH367">
        <v>694.38</v>
      </c>
      <c r="AI367">
        <v>0.875</v>
      </c>
      <c r="AJ367">
        <v>71.276930955678296</v>
      </c>
      <c r="AK367">
        <v>1.0034000000000001</v>
      </c>
      <c r="AL367">
        <v>71.519000000000005</v>
      </c>
      <c r="AM367">
        <v>8.9176000000000002</v>
      </c>
      <c r="AN367">
        <v>9.5665875346772715</v>
      </c>
      <c r="AO367">
        <v>0.91300000000000003</v>
      </c>
      <c r="AP367">
        <v>6064.9193587765631</v>
      </c>
      <c r="AQ367">
        <v>1</v>
      </c>
      <c r="AR367">
        <v>6064.9193999999998</v>
      </c>
      <c r="AS367">
        <v>79.331735560000013</v>
      </c>
      <c r="AT367" t="s">
        <v>269</v>
      </c>
      <c r="AU367" t="s">
        <v>270</v>
      </c>
      <c r="AV367" t="s">
        <v>227</v>
      </c>
      <c r="AW367" t="s">
        <v>153</v>
      </c>
      <c r="AX367">
        <v>109.354</v>
      </c>
      <c r="AY367">
        <v>1.080821157758461</v>
      </c>
      <c r="AZ367">
        <v>118.1921168855188</v>
      </c>
      <c r="BA367">
        <v>779.31</v>
      </c>
      <c r="BB367">
        <v>0.879</v>
      </c>
      <c r="BC367">
        <v>80.963194478237142</v>
      </c>
      <c r="BD367">
        <v>1.0078</v>
      </c>
      <c r="BE367">
        <v>81.594999999999999</v>
      </c>
      <c r="BF367">
        <v>8.9176000000000002</v>
      </c>
      <c r="BG367">
        <v>0.80400000000000005</v>
      </c>
      <c r="BH367">
        <v>6039.0430235999738</v>
      </c>
      <c r="BI367">
        <v>1</v>
      </c>
      <c r="BJ367">
        <v>6039.0429999999997</v>
      </c>
      <c r="BK367">
        <v>90.508437799999996</v>
      </c>
    </row>
    <row r="368" spans="1:63" x14ac:dyDescent="0.25">
      <c r="A368">
        <v>2260</v>
      </c>
      <c r="B368" t="s">
        <v>102</v>
      </c>
      <c r="C368">
        <v>2020</v>
      </c>
      <c r="D368">
        <v>1</v>
      </c>
      <c r="E368" t="s">
        <v>218</v>
      </c>
      <c r="F368" t="s">
        <v>260</v>
      </c>
      <c r="G368" t="s">
        <v>261</v>
      </c>
      <c r="H368" t="s">
        <v>17</v>
      </c>
      <c r="I368" t="s">
        <v>266</v>
      </c>
      <c r="J368" t="s">
        <v>244</v>
      </c>
      <c r="K368">
        <v>-117.36645836</v>
      </c>
      <c r="L368" t="s">
        <v>245</v>
      </c>
      <c r="M368" t="s">
        <v>235</v>
      </c>
      <c r="N368">
        <v>0.60074557881113</v>
      </c>
      <c r="O368">
        <v>70.507380999999995</v>
      </c>
      <c r="P368" t="s">
        <v>21</v>
      </c>
      <c r="Q368">
        <v>1</v>
      </c>
      <c r="V368">
        <v>66303.072</v>
      </c>
      <c r="W368">
        <v>1</v>
      </c>
      <c r="X368">
        <v>1.2927647999999999E-5</v>
      </c>
      <c r="Y368">
        <v>0.85714299999999999</v>
      </c>
      <c r="Z368">
        <v>60.434908</v>
      </c>
      <c r="AA368" t="s">
        <v>225</v>
      </c>
      <c r="AB368" t="s">
        <v>226</v>
      </c>
      <c r="AC368" t="s">
        <v>227</v>
      </c>
      <c r="AD368" t="s">
        <v>154</v>
      </c>
      <c r="AE368">
        <v>109.354</v>
      </c>
      <c r="AF368">
        <v>1.0727760310708341</v>
      </c>
      <c r="AG368">
        <v>117.31235010172</v>
      </c>
      <c r="AH368">
        <v>694.38</v>
      </c>
      <c r="AI368">
        <v>0.875</v>
      </c>
      <c r="AJ368">
        <v>71.276930955678296</v>
      </c>
      <c r="AK368">
        <v>1.0179</v>
      </c>
      <c r="AL368">
        <v>72.552999999999997</v>
      </c>
      <c r="AM368">
        <v>8.9176000000000002</v>
      </c>
      <c r="AN368">
        <v>9.5665875346772715</v>
      </c>
      <c r="AO368">
        <v>0.91300000000000003</v>
      </c>
      <c r="AP368">
        <v>6064.9193587765631</v>
      </c>
      <c r="AQ368">
        <v>0.98975009761811794</v>
      </c>
      <c r="AR368">
        <v>6002.7545</v>
      </c>
      <c r="AS368">
        <v>4384.7338801240003</v>
      </c>
      <c r="AT368" t="s">
        <v>269</v>
      </c>
      <c r="AU368" t="s">
        <v>270</v>
      </c>
      <c r="AV368" t="s">
        <v>227</v>
      </c>
      <c r="AW368" t="s">
        <v>154</v>
      </c>
      <c r="AX368">
        <v>109.354</v>
      </c>
      <c r="AY368">
        <v>1.080821157758461</v>
      </c>
      <c r="AZ368">
        <v>118.1921168855188</v>
      </c>
      <c r="BA368">
        <v>779.31</v>
      </c>
      <c r="BB368">
        <v>0.879</v>
      </c>
      <c r="BC368">
        <v>80.963194478237142</v>
      </c>
      <c r="BD368">
        <v>0.9899</v>
      </c>
      <c r="BE368">
        <v>80.144999999999996</v>
      </c>
      <c r="BF368">
        <v>8.9176000000000002</v>
      </c>
      <c r="BG368">
        <v>0.80400000000000005</v>
      </c>
      <c r="BH368">
        <v>6039.0430235999738</v>
      </c>
      <c r="BI368">
        <v>0.99199531433033972</v>
      </c>
      <c r="BJ368">
        <v>5990.7024000000001</v>
      </c>
      <c r="BK368">
        <v>4843.5557016599996</v>
      </c>
    </row>
    <row r="369" spans="1:63" x14ac:dyDescent="0.25">
      <c r="A369">
        <v>2262</v>
      </c>
      <c r="B369" t="s">
        <v>102</v>
      </c>
      <c r="C369">
        <v>2020</v>
      </c>
      <c r="D369">
        <v>1</v>
      </c>
      <c r="E369" t="s">
        <v>218</v>
      </c>
      <c r="F369" t="s">
        <v>260</v>
      </c>
      <c r="G369" t="s">
        <v>261</v>
      </c>
      <c r="H369" t="s">
        <v>17</v>
      </c>
      <c r="I369" t="s">
        <v>266</v>
      </c>
      <c r="J369" t="s">
        <v>244</v>
      </c>
      <c r="K369">
        <v>-117.36645836</v>
      </c>
      <c r="L369" t="s">
        <v>245</v>
      </c>
      <c r="M369" t="s">
        <v>236</v>
      </c>
      <c r="N369">
        <v>1.775192921592E-2</v>
      </c>
      <c r="O369">
        <v>2.0834809999999999</v>
      </c>
      <c r="P369" t="s">
        <v>21</v>
      </c>
      <c r="Q369">
        <v>1</v>
      </c>
      <c r="V369">
        <v>66303.072</v>
      </c>
      <c r="W369">
        <v>1</v>
      </c>
      <c r="X369">
        <v>1.2927647999999999E-5</v>
      </c>
      <c r="Y369">
        <v>0.85714299999999999</v>
      </c>
      <c r="Z369">
        <v>1.785841</v>
      </c>
      <c r="AA369" t="s">
        <v>225</v>
      </c>
      <c r="AB369" t="s">
        <v>226</v>
      </c>
      <c r="AC369" t="s">
        <v>227</v>
      </c>
      <c r="AD369" t="s">
        <v>100</v>
      </c>
      <c r="AE369">
        <v>109.354</v>
      </c>
      <c r="AF369">
        <v>1.0727760310708341</v>
      </c>
      <c r="AG369">
        <v>117.31235010172</v>
      </c>
      <c r="AH369">
        <v>694.38</v>
      </c>
      <c r="AI369">
        <v>0.875</v>
      </c>
      <c r="AJ369">
        <v>71.276930955678296</v>
      </c>
      <c r="AK369">
        <v>0.96660000000000001</v>
      </c>
      <c r="AL369">
        <v>68.896000000000001</v>
      </c>
      <c r="AM369">
        <v>8.9176000000000002</v>
      </c>
      <c r="AN369">
        <v>9.5665875346772715</v>
      </c>
      <c r="AO369">
        <v>0.91300000000000003</v>
      </c>
      <c r="AP369">
        <v>6064.9193587765631</v>
      </c>
      <c r="AQ369">
        <v>0.98316430020283985</v>
      </c>
      <c r="AR369">
        <v>5962.8122000000003</v>
      </c>
      <c r="AS369">
        <v>123.037301536</v>
      </c>
      <c r="AT369" t="s">
        <v>269</v>
      </c>
      <c r="AU369" t="s">
        <v>270</v>
      </c>
      <c r="AV369" t="s">
        <v>227</v>
      </c>
      <c r="AW369" t="s">
        <v>100</v>
      </c>
      <c r="AX369">
        <v>109.354</v>
      </c>
      <c r="AY369">
        <v>1.080821157758461</v>
      </c>
      <c r="AZ369">
        <v>118.1921168855188</v>
      </c>
      <c r="BA369">
        <v>779.31</v>
      </c>
      <c r="BB369">
        <v>0.879</v>
      </c>
      <c r="BC369">
        <v>80.963194478237142</v>
      </c>
      <c r="BD369">
        <v>0.96560000000000001</v>
      </c>
      <c r="BE369">
        <v>78.177999999999997</v>
      </c>
      <c r="BF369">
        <v>8.9176000000000002</v>
      </c>
      <c r="BG369">
        <v>0.80400000000000005</v>
      </c>
      <c r="BH369">
        <v>6039.0430235999738</v>
      </c>
      <c r="BI369">
        <v>0.98955375253549693</v>
      </c>
      <c r="BJ369">
        <v>5975.9576999999999</v>
      </c>
      <c r="BK369">
        <v>139.613477698</v>
      </c>
    </row>
    <row r="370" spans="1:63" x14ac:dyDescent="0.25">
      <c r="A370">
        <v>2264</v>
      </c>
      <c r="B370" t="s">
        <v>102</v>
      </c>
      <c r="C370">
        <v>2020</v>
      </c>
      <c r="D370">
        <v>1</v>
      </c>
      <c r="E370" t="s">
        <v>218</v>
      </c>
      <c r="F370" t="s">
        <v>260</v>
      </c>
      <c r="G370" t="s">
        <v>261</v>
      </c>
      <c r="H370" t="s">
        <v>17</v>
      </c>
      <c r="I370" t="s">
        <v>266</v>
      </c>
      <c r="J370" t="s">
        <v>244</v>
      </c>
      <c r="K370">
        <v>-117.36645836</v>
      </c>
      <c r="L370" t="s">
        <v>245</v>
      </c>
      <c r="M370" t="s">
        <v>237</v>
      </c>
      <c r="N370">
        <v>0.39766766032624001</v>
      </c>
      <c r="O370">
        <v>46.672845000000002</v>
      </c>
      <c r="P370" t="s">
        <v>21</v>
      </c>
      <c r="Q370">
        <v>1</v>
      </c>
      <c r="V370">
        <v>66303.072</v>
      </c>
      <c r="W370">
        <v>1</v>
      </c>
      <c r="X370">
        <v>1.2927647999999999E-5</v>
      </c>
      <c r="Y370">
        <v>0.85714299999999999</v>
      </c>
      <c r="Z370">
        <v>40.005302</v>
      </c>
      <c r="AA370" t="s">
        <v>225</v>
      </c>
      <c r="AB370" t="s">
        <v>226</v>
      </c>
      <c r="AC370" t="s">
        <v>227</v>
      </c>
      <c r="AD370" t="s">
        <v>101</v>
      </c>
      <c r="AE370">
        <v>109.354</v>
      </c>
      <c r="AF370">
        <v>1.0727760310708341</v>
      </c>
      <c r="AG370">
        <v>117.31235010172</v>
      </c>
      <c r="AH370">
        <v>694.38</v>
      </c>
      <c r="AI370">
        <v>0.875</v>
      </c>
      <c r="AJ370">
        <v>71.276930955678296</v>
      </c>
      <c r="AK370">
        <v>1.0077</v>
      </c>
      <c r="AL370">
        <v>71.825999999999993</v>
      </c>
      <c r="AM370">
        <v>8.9176000000000002</v>
      </c>
      <c r="AN370">
        <v>9.5665875346772715</v>
      </c>
      <c r="AO370">
        <v>0.91300000000000003</v>
      </c>
      <c r="AP370">
        <v>6064.9193587765631</v>
      </c>
      <c r="AQ370">
        <v>1.0255267423014589</v>
      </c>
      <c r="AR370">
        <v>6219.7370000000001</v>
      </c>
      <c r="AS370">
        <v>2873.4208214519999</v>
      </c>
      <c r="AT370" t="s">
        <v>269</v>
      </c>
      <c r="AU370" t="s">
        <v>270</v>
      </c>
      <c r="AV370" t="s">
        <v>227</v>
      </c>
      <c r="AW370" t="s">
        <v>101</v>
      </c>
      <c r="AX370">
        <v>109.354</v>
      </c>
      <c r="AY370">
        <v>1.080821157758461</v>
      </c>
      <c r="AZ370">
        <v>118.1921168855188</v>
      </c>
      <c r="BA370">
        <v>779.31</v>
      </c>
      <c r="BB370">
        <v>0.879</v>
      </c>
      <c r="BC370">
        <v>80.963194478237142</v>
      </c>
      <c r="BD370">
        <v>1.0097</v>
      </c>
      <c r="BE370">
        <v>81.748999999999995</v>
      </c>
      <c r="BF370">
        <v>8.9176000000000002</v>
      </c>
      <c r="BG370">
        <v>0.80400000000000005</v>
      </c>
      <c r="BH370">
        <v>6039.0430235999738</v>
      </c>
      <c r="BI370">
        <v>1.0276539708265799</v>
      </c>
      <c r="BJ370">
        <v>6206.0465000000004</v>
      </c>
      <c r="BK370">
        <v>3270.3934331979999</v>
      </c>
    </row>
    <row r="371" spans="1:63" x14ac:dyDescent="0.25">
      <c r="A371">
        <v>4522</v>
      </c>
      <c r="B371" t="s">
        <v>102</v>
      </c>
      <c r="C371">
        <v>2020</v>
      </c>
      <c r="D371">
        <v>1</v>
      </c>
      <c r="E371" t="s">
        <v>218</v>
      </c>
      <c r="F371" t="s">
        <v>260</v>
      </c>
      <c r="G371" t="s">
        <v>261</v>
      </c>
      <c r="H371" t="s">
        <v>17</v>
      </c>
      <c r="I371" t="s">
        <v>267</v>
      </c>
      <c r="J371" t="s">
        <v>247</v>
      </c>
      <c r="K371">
        <v>-346.49307046000001</v>
      </c>
      <c r="L371" t="s">
        <v>248</v>
      </c>
      <c r="M371" t="s">
        <v>224</v>
      </c>
      <c r="N371">
        <v>4.9724862092599999E-3</v>
      </c>
      <c r="O371">
        <v>1.7229319999999999</v>
      </c>
      <c r="P371" t="s">
        <v>21</v>
      </c>
      <c r="Q371">
        <v>1</v>
      </c>
      <c r="V371">
        <v>66303.072</v>
      </c>
      <c r="W371">
        <v>1</v>
      </c>
      <c r="X371">
        <v>1.2927647999999999E-5</v>
      </c>
      <c r="Y371">
        <v>0.85714299999999999</v>
      </c>
      <c r="Z371">
        <v>1.476799</v>
      </c>
      <c r="AA371" t="s">
        <v>225</v>
      </c>
      <c r="AB371" t="s">
        <v>226</v>
      </c>
      <c r="AC371" t="s">
        <v>227</v>
      </c>
      <c r="AD371" t="s">
        <v>153</v>
      </c>
      <c r="AE371">
        <v>109.354</v>
      </c>
      <c r="AF371">
        <v>1.0727760310708341</v>
      </c>
      <c r="AG371">
        <v>117.31235010172</v>
      </c>
      <c r="AH371">
        <v>694.38</v>
      </c>
      <c r="AI371">
        <v>0.875</v>
      </c>
      <c r="AJ371">
        <v>71.276930955678296</v>
      </c>
      <c r="AK371">
        <v>1.0034000000000001</v>
      </c>
      <c r="AL371">
        <v>71.519000000000005</v>
      </c>
      <c r="AM371">
        <v>8.9176000000000002</v>
      </c>
      <c r="AN371">
        <v>9.5665875346772715</v>
      </c>
      <c r="AO371">
        <v>0.91300000000000003</v>
      </c>
      <c r="AP371">
        <v>6064.9193587765631</v>
      </c>
      <c r="AQ371">
        <v>1</v>
      </c>
      <c r="AR371">
        <v>6064.9193999999998</v>
      </c>
      <c r="AS371">
        <v>105.619187681</v>
      </c>
      <c r="AT371" t="s">
        <v>269</v>
      </c>
      <c r="AU371" t="s">
        <v>270</v>
      </c>
      <c r="AV371" t="s">
        <v>227</v>
      </c>
      <c r="AW371" t="s">
        <v>153</v>
      </c>
      <c r="AX371">
        <v>109.354</v>
      </c>
      <c r="AY371">
        <v>1.080821157758461</v>
      </c>
      <c r="AZ371">
        <v>118.1921168855188</v>
      </c>
      <c r="BA371">
        <v>779.31</v>
      </c>
      <c r="BB371">
        <v>0.879</v>
      </c>
      <c r="BC371">
        <v>80.963194478237142</v>
      </c>
      <c r="BD371">
        <v>1.0078</v>
      </c>
      <c r="BE371">
        <v>81.594999999999999</v>
      </c>
      <c r="BF371">
        <v>8.9176000000000002</v>
      </c>
      <c r="BG371">
        <v>0.80400000000000005</v>
      </c>
      <c r="BH371">
        <v>6039.0430235999738</v>
      </c>
      <c r="BI371">
        <v>1</v>
      </c>
      <c r="BJ371">
        <v>6039.0429999999997</v>
      </c>
      <c r="BK371">
        <v>120.499414405</v>
      </c>
    </row>
    <row r="372" spans="1:63" x14ac:dyDescent="0.25">
      <c r="A372">
        <v>4524</v>
      </c>
      <c r="B372" t="s">
        <v>102</v>
      </c>
      <c r="C372">
        <v>2020</v>
      </c>
      <c r="D372">
        <v>1</v>
      </c>
      <c r="E372" t="s">
        <v>218</v>
      </c>
      <c r="F372" t="s">
        <v>260</v>
      </c>
      <c r="G372" t="s">
        <v>261</v>
      </c>
      <c r="H372" t="s">
        <v>17</v>
      </c>
      <c r="I372" t="s">
        <v>267</v>
      </c>
      <c r="J372" t="s">
        <v>247</v>
      </c>
      <c r="K372">
        <v>-346.49307046000001</v>
      </c>
      <c r="L372" t="s">
        <v>248</v>
      </c>
      <c r="M372" t="s">
        <v>235</v>
      </c>
      <c r="N372">
        <v>0.99209122360516</v>
      </c>
      <c r="O372">
        <v>343.75273399999998</v>
      </c>
      <c r="P372" t="s">
        <v>21</v>
      </c>
      <c r="Q372">
        <v>1</v>
      </c>
      <c r="V372">
        <v>66303.072</v>
      </c>
      <c r="W372">
        <v>1</v>
      </c>
      <c r="X372">
        <v>1.2927647999999999E-5</v>
      </c>
      <c r="Y372">
        <v>0.85714299999999999</v>
      </c>
      <c r="Z372">
        <v>294.64524999999998</v>
      </c>
      <c r="AA372" t="s">
        <v>225</v>
      </c>
      <c r="AB372" t="s">
        <v>226</v>
      </c>
      <c r="AC372" t="s">
        <v>227</v>
      </c>
      <c r="AD372" t="s">
        <v>154</v>
      </c>
      <c r="AE372">
        <v>109.354</v>
      </c>
      <c r="AF372">
        <v>1.0727760310708341</v>
      </c>
      <c r="AG372">
        <v>117.31235010172</v>
      </c>
      <c r="AH372">
        <v>694.38</v>
      </c>
      <c r="AI372">
        <v>0.875</v>
      </c>
      <c r="AJ372">
        <v>71.276930955678296</v>
      </c>
      <c r="AK372">
        <v>1.0179</v>
      </c>
      <c r="AL372">
        <v>72.552999999999997</v>
      </c>
      <c r="AM372">
        <v>8.9176000000000002</v>
      </c>
      <c r="AN372">
        <v>9.5665875346772715</v>
      </c>
      <c r="AO372">
        <v>0.91300000000000003</v>
      </c>
      <c r="AP372">
        <v>6064.9193587765631</v>
      </c>
      <c r="AQ372">
        <v>0.98975009761811794</v>
      </c>
      <c r="AR372">
        <v>6002.7545</v>
      </c>
      <c r="AS372">
        <v>21377.396823250001</v>
      </c>
      <c r="AT372" t="s">
        <v>269</v>
      </c>
      <c r="AU372" t="s">
        <v>270</v>
      </c>
      <c r="AV372" t="s">
        <v>227</v>
      </c>
      <c r="AW372" t="s">
        <v>154</v>
      </c>
      <c r="AX372">
        <v>109.354</v>
      </c>
      <c r="AY372">
        <v>1.080821157758461</v>
      </c>
      <c r="AZ372">
        <v>118.1921168855188</v>
      </c>
      <c r="BA372">
        <v>779.31</v>
      </c>
      <c r="BB372">
        <v>0.879</v>
      </c>
      <c r="BC372">
        <v>80.963194478237142</v>
      </c>
      <c r="BD372">
        <v>0.9899</v>
      </c>
      <c r="BE372">
        <v>80.144999999999996</v>
      </c>
      <c r="BF372">
        <v>8.9176000000000002</v>
      </c>
      <c r="BG372">
        <v>0.80400000000000005</v>
      </c>
      <c r="BH372">
        <v>6039.0430235999738</v>
      </c>
      <c r="BI372">
        <v>0.99199531433033972</v>
      </c>
      <c r="BJ372">
        <v>5990.7024000000001</v>
      </c>
      <c r="BK372">
        <v>23614.34356125</v>
      </c>
    </row>
    <row r="373" spans="1:63" x14ac:dyDescent="0.25">
      <c r="A373">
        <v>4526</v>
      </c>
      <c r="B373" t="s">
        <v>102</v>
      </c>
      <c r="C373">
        <v>2020</v>
      </c>
      <c r="D373">
        <v>1</v>
      </c>
      <c r="E373" t="s">
        <v>218</v>
      </c>
      <c r="F373" t="s">
        <v>260</v>
      </c>
      <c r="G373" t="s">
        <v>261</v>
      </c>
      <c r="H373" t="s">
        <v>17</v>
      </c>
      <c r="I373" t="s">
        <v>267</v>
      </c>
      <c r="J373" t="s">
        <v>247</v>
      </c>
      <c r="K373">
        <v>-346.49307046000001</v>
      </c>
      <c r="L373" t="s">
        <v>248</v>
      </c>
      <c r="M373" t="s">
        <v>236</v>
      </c>
      <c r="N373">
        <v>4.7995598170700003E-3</v>
      </c>
      <c r="O373">
        <v>1.663014</v>
      </c>
      <c r="P373" t="s">
        <v>21</v>
      </c>
      <c r="Q373">
        <v>1</v>
      </c>
      <c r="V373">
        <v>66303.072</v>
      </c>
      <c r="W373">
        <v>1</v>
      </c>
      <c r="X373">
        <v>1.2927647999999999E-5</v>
      </c>
      <c r="Y373">
        <v>0.85714299999999999</v>
      </c>
      <c r="Z373">
        <v>1.425441</v>
      </c>
      <c r="AA373" t="s">
        <v>225</v>
      </c>
      <c r="AB373" t="s">
        <v>226</v>
      </c>
      <c r="AC373" t="s">
        <v>227</v>
      </c>
      <c r="AD373" t="s">
        <v>100</v>
      </c>
      <c r="AE373">
        <v>109.354</v>
      </c>
      <c r="AF373">
        <v>1.0727760310708341</v>
      </c>
      <c r="AG373">
        <v>117.31235010172</v>
      </c>
      <c r="AH373">
        <v>694.38</v>
      </c>
      <c r="AI373">
        <v>0.875</v>
      </c>
      <c r="AJ373">
        <v>71.276930955678296</v>
      </c>
      <c r="AK373">
        <v>0.96660000000000001</v>
      </c>
      <c r="AL373">
        <v>68.896000000000001</v>
      </c>
      <c r="AM373">
        <v>8.9176000000000002</v>
      </c>
      <c r="AN373">
        <v>9.5665875346772715</v>
      </c>
      <c r="AO373">
        <v>0.91300000000000003</v>
      </c>
      <c r="AP373">
        <v>6064.9193587765631</v>
      </c>
      <c r="AQ373">
        <v>0.98316430020283985</v>
      </c>
      <c r="AR373">
        <v>5962.8122000000003</v>
      </c>
      <c r="AS373">
        <v>98.207183135999998</v>
      </c>
      <c r="AT373" t="s">
        <v>269</v>
      </c>
      <c r="AU373" t="s">
        <v>270</v>
      </c>
      <c r="AV373" t="s">
        <v>227</v>
      </c>
      <c r="AW373" t="s">
        <v>100</v>
      </c>
      <c r="AX373">
        <v>109.354</v>
      </c>
      <c r="AY373">
        <v>1.080821157758461</v>
      </c>
      <c r="AZ373">
        <v>118.1921168855188</v>
      </c>
      <c r="BA373">
        <v>779.31</v>
      </c>
      <c r="BB373">
        <v>0.879</v>
      </c>
      <c r="BC373">
        <v>80.963194478237142</v>
      </c>
      <c r="BD373">
        <v>0.96560000000000001</v>
      </c>
      <c r="BE373">
        <v>78.177999999999997</v>
      </c>
      <c r="BF373">
        <v>8.9176000000000002</v>
      </c>
      <c r="BG373">
        <v>0.80400000000000005</v>
      </c>
      <c r="BH373">
        <v>6039.0430235999738</v>
      </c>
      <c r="BI373">
        <v>0.98955375253549693</v>
      </c>
      <c r="BJ373">
        <v>5975.9576999999999</v>
      </c>
      <c r="BK373">
        <v>111.438126498</v>
      </c>
    </row>
    <row r="374" spans="1:63" x14ac:dyDescent="0.25">
      <c r="A374">
        <v>4528</v>
      </c>
      <c r="B374" t="s">
        <v>102</v>
      </c>
      <c r="C374">
        <v>2020</v>
      </c>
      <c r="D374">
        <v>1</v>
      </c>
      <c r="E374" t="s">
        <v>218</v>
      </c>
      <c r="F374" t="s">
        <v>260</v>
      </c>
      <c r="G374" t="s">
        <v>261</v>
      </c>
      <c r="H374" t="s">
        <v>17</v>
      </c>
      <c r="I374" t="s">
        <v>267</v>
      </c>
      <c r="J374" t="s">
        <v>247</v>
      </c>
      <c r="K374">
        <v>-346.49307046000001</v>
      </c>
      <c r="L374" t="s">
        <v>248</v>
      </c>
      <c r="M374" t="s">
        <v>237</v>
      </c>
      <c r="N374">
        <v>2.2580780904460002E-2</v>
      </c>
      <c r="O374">
        <v>7.824084</v>
      </c>
      <c r="P374" t="s">
        <v>21</v>
      </c>
      <c r="Q374">
        <v>1</v>
      </c>
      <c r="V374">
        <v>66303.072</v>
      </c>
      <c r="W374">
        <v>1</v>
      </c>
      <c r="X374">
        <v>1.2927647999999999E-5</v>
      </c>
      <c r="Y374">
        <v>0.85714299999999999</v>
      </c>
      <c r="Z374">
        <v>6.706359</v>
      </c>
      <c r="AA374" t="s">
        <v>225</v>
      </c>
      <c r="AB374" t="s">
        <v>226</v>
      </c>
      <c r="AC374" t="s">
        <v>227</v>
      </c>
      <c r="AD374" t="s">
        <v>101</v>
      </c>
      <c r="AE374">
        <v>109.354</v>
      </c>
      <c r="AF374">
        <v>1.0727760310708341</v>
      </c>
      <c r="AG374">
        <v>117.31235010172</v>
      </c>
      <c r="AH374">
        <v>694.38</v>
      </c>
      <c r="AI374">
        <v>0.875</v>
      </c>
      <c r="AJ374">
        <v>71.276930955678296</v>
      </c>
      <c r="AK374">
        <v>1.0077</v>
      </c>
      <c r="AL374">
        <v>71.825999999999993</v>
      </c>
      <c r="AM374">
        <v>8.9176000000000002</v>
      </c>
      <c r="AN374">
        <v>9.5665875346772715</v>
      </c>
      <c r="AO374">
        <v>0.91300000000000003</v>
      </c>
      <c r="AP374">
        <v>6064.9193587765631</v>
      </c>
      <c r="AQ374">
        <v>1.0255267423014589</v>
      </c>
      <c r="AR374">
        <v>6219.7370000000001</v>
      </c>
      <c r="AS374">
        <v>481.69094153399988</v>
      </c>
      <c r="AT374" t="s">
        <v>269</v>
      </c>
      <c r="AU374" t="s">
        <v>270</v>
      </c>
      <c r="AV374" t="s">
        <v>227</v>
      </c>
      <c r="AW374" t="s">
        <v>101</v>
      </c>
      <c r="AX374">
        <v>109.354</v>
      </c>
      <c r="AY374">
        <v>1.080821157758461</v>
      </c>
      <c r="AZ374">
        <v>118.1921168855188</v>
      </c>
      <c r="BA374">
        <v>779.31</v>
      </c>
      <c r="BB374">
        <v>0.879</v>
      </c>
      <c r="BC374">
        <v>80.963194478237142</v>
      </c>
      <c r="BD374">
        <v>1.0097</v>
      </c>
      <c r="BE374">
        <v>81.748999999999995</v>
      </c>
      <c r="BF374">
        <v>8.9176000000000002</v>
      </c>
      <c r="BG374">
        <v>0.80400000000000005</v>
      </c>
      <c r="BH374">
        <v>6039.0430235999738</v>
      </c>
      <c r="BI374">
        <v>1.0276539708265799</v>
      </c>
      <c r="BJ374">
        <v>6206.0465000000004</v>
      </c>
      <c r="BK374">
        <v>548.23814189099994</v>
      </c>
    </row>
    <row r="375" spans="1:63" x14ac:dyDescent="0.25">
      <c r="A375">
        <v>1130</v>
      </c>
      <c r="B375" t="s">
        <v>102</v>
      </c>
      <c r="C375">
        <v>2020</v>
      </c>
      <c r="D375">
        <v>1</v>
      </c>
      <c r="E375" t="s">
        <v>218</v>
      </c>
      <c r="F375" t="s">
        <v>260</v>
      </c>
      <c r="G375" t="s">
        <v>261</v>
      </c>
      <c r="H375" t="s">
        <v>17</v>
      </c>
      <c r="I375" t="s">
        <v>268</v>
      </c>
      <c r="J375" t="s">
        <v>250</v>
      </c>
      <c r="K375">
        <v>-470.30500218999998</v>
      </c>
      <c r="L375" t="s">
        <v>250</v>
      </c>
      <c r="M375" t="s">
        <v>231</v>
      </c>
      <c r="N375">
        <v>4.9898993999990003E-2</v>
      </c>
      <c r="O375">
        <v>23.467746000000002</v>
      </c>
      <c r="P375" t="s">
        <v>21</v>
      </c>
      <c r="Q375">
        <v>1</v>
      </c>
      <c r="V375">
        <v>66303.072</v>
      </c>
      <c r="W375">
        <v>1</v>
      </c>
      <c r="X375">
        <v>1.2927647999999999E-5</v>
      </c>
      <c r="Y375">
        <v>0.85714299999999999</v>
      </c>
      <c r="Z375">
        <v>20.115214000000002</v>
      </c>
      <c r="AA375" t="s">
        <v>225</v>
      </c>
      <c r="AB375" t="s">
        <v>226</v>
      </c>
      <c r="AC375" t="s">
        <v>227</v>
      </c>
      <c r="AD375" t="s">
        <v>100</v>
      </c>
      <c r="AE375">
        <v>109.354</v>
      </c>
      <c r="AF375">
        <v>1.0727760310708341</v>
      </c>
      <c r="AG375">
        <v>117.31235010172</v>
      </c>
      <c r="AH375">
        <v>694.38</v>
      </c>
      <c r="AI375">
        <v>0.875</v>
      </c>
      <c r="AJ375">
        <v>71.276930955678296</v>
      </c>
      <c r="AK375">
        <v>0.96660000000000001</v>
      </c>
      <c r="AL375">
        <v>68.896000000000001</v>
      </c>
      <c r="AM375">
        <v>8.9176000000000002</v>
      </c>
      <c r="AN375">
        <v>9.5665875346772715</v>
      </c>
      <c r="AO375">
        <v>0.91300000000000003</v>
      </c>
      <c r="AP375">
        <v>6064.9193587765631</v>
      </c>
      <c r="AQ375">
        <v>0.98316430020283985</v>
      </c>
      <c r="AR375">
        <v>5962.8122000000003</v>
      </c>
      <c r="AS375">
        <v>1385.857783744</v>
      </c>
      <c r="AT375" t="s">
        <v>269</v>
      </c>
      <c r="AU375" t="s">
        <v>270</v>
      </c>
      <c r="AV375" t="s">
        <v>227</v>
      </c>
      <c r="AW375" t="s">
        <v>100</v>
      </c>
      <c r="AX375">
        <v>109.354</v>
      </c>
      <c r="AY375">
        <v>1.080821157758461</v>
      </c>
      <c r="AZ375">
        <v>118.1921168855188</v>
      </c>
      <c r="BA375">
        <v>779.31</v>
      </c>
      <c r="BB375">
        <v>0.879</v>
      </c>
      <c r="BC375">
        <v>80.963194478237142</v>
      </c>
      <c r="BD375">
        <v>0.96560000000000001</v>
      </c>
      <c r="BE375">
        <v>78.177999999999997</v>
      </c>
      <c r="BF375">
        <v>8.9176000000000002</v>
      </c>
      <c r="BG375">
        <v>0.80400000000000005</v>
      </c>
      <c r="BH375">
        <v>6039.0430235999738</v>
      </c>
      <c r="BI375">
        <v>0.98955375253549693</v>
      </c>
      <c r="BJ375">
        <v>5975.9576999999999</v>
      </c>
      <c r="BK375">
        <v>1572.5672000919999</v>
      </c>
    </row>
    <row r="376" spans="1:63" x14ac:dyDescent="0.25">
      <c r="A376">
        <v>1132</v>
      </c>
      <c r="B376" t="s">
        <v>102</v>
      </c>
      <c r="C376">
        <v>2020</v>
      </c>
      <c r="D376">
        <v>1</v>
      </c>
      <c r="E376" t="s">
        <v>218</v>
      </c>
      <c r="F376" t="s">
        <v>260</v>
      </c>
      <c r="G376" t="s">
        <v>261</v>
      </c>
      <c r="H376" t="s">
        <v>17</v>
      </c>
      <c r="I376" t="s">
        <v>268</v>
      </c>
      <c r="J376" t="s">
        <v>250</v>
      </c>
      <c r="K376">
        <v>-470.30500218999998</v>
      </c>
      <c r="L376" t="s">
        <v>250</v>
      </c>
      <c r="M376" t="s">
        <v>232</v>
      </c>
      <c r="N376">
        <v>0.97472100599996003</v>
      </c>
      <c r="O376">
        <v>458.41616499999998</v>
      </c>
      <c r="P376" t="s">
        <v>21</v>
      </c>
      <c r="Q376">
        <v>1</v>
      </c>
      <c r="V376">
        <v>66303.072</v>
      </c>
      <c r="W376">
        <v>1</v>
      </c>
      <c r="X376">
        <v>1.2927647999999999E-5</v>
      </c>
      <c r="Y376">
        <v>0.85714299999999999</v>
      </c>
      <c r="Z376">
        <v>392.92820699999999</v>
      </c>
      <c r="AA376" t="s">
        <v>225</v>
      </c>
      <c r="AB376" t="s">
        <v>226</v>
      </c>
      <c r="AC376" t="s">
        <v>227</v>
      </c>
      <c r="AD376" t="s">
        <v>101</v>
      </c>
      <c r="AE376">
        <v>109.354</v>
      </c>
      <c r="AF376">
        <v>1.0727760310708341</v>
      </c>
      <c r="AG376">
        <v>117.31235010172</v>
      </c>
      <c r="AH376">
        <v>694.38</v>
      </c>
      <c r="AI376">
        <v>0.875</v>
      </c>
      <c r="AJ376">
        <v>71.276930955678296</v>
      </c>
      <c r="AK376">
        <v>1.0077</v>
      </c>
      <c r="AL376">
        <v>71.825999999999993</v>
      </c>
      <c r="AM376">
        <v>8.9176000000000002</v>
      </c>
      <c r="AN376">
        <v>9.5665875346772715</v>
      </c>
      <c r="AO376">
        <v>0.91300000000000003</v>
      </c>
      <c r="AP376">
        <v>6064.9193587765631</v>
      </c>
      <c r="AQ376">
        <v>1.0255267423014589</v>
      </c>
      <c r="AR376">
        <v>6219.7370000000001</v>
      </c>
      <c r="AS376">
        <v>28222.461395982002</v>
      </c>
      <c r="AT376" t="s">
        <v>269</v>
      </c>
      <c r="AU376" t="s">
        <v>270</v>
      </c>
      <c r="AV376" t="s">
        <v>227</v>
      </c>
      <c r="AW376" t="s">
        <v>101</v>
      </c>
      <c r="AX376">
        <v>109.354</v>
      </c>
      <c r="AY376">
        <v>1.080821157758461</v>
      </c>
      <c r="AZ376">
        <v>118.1921168855188</v>
      </c>
      <c r="BA376">
        <v>779.31</v>
      </c>
      <c r="BB376">
        <v>0.879</v>
      </c>
      <c r="BC376">
        <v>80.963194478237142</v>
      </c>
      <c r="BD376">
        <v>1.0097</v>
      </c>
      <c r="BE376">
        <v>81.748999999999995</v>
      </c>
      <c r="BF376">
        <v>8.9176000000000002</v>
      </c>
      <c r="BG376">
        <v>0.80400000000000005</v>
      </c>
      <c r="BH376">
        <v>6039.0430235999738</v>
      </c>
      <c r="BI376">
        <v>1.0276539708265799</v>
      </c>
      <c r="BJ376">
        <v>6206.0465000000004</v>
      </c>
      <c r="BK376">
        <v>32121.487994043</v>
      </c>
    </row>
    <row r="377" spans="1:63" x14ac:dyDescent="0.25">
      <c r="A377">
        <v>4618</v>
      </c>
      <c r="B377" t="s">
        <v>106</v>
      </c>
      <c r="C377">
        <v>2020</v>
      </c>
      <c r="D377">
        <v>1</v>
      </c>
      <c r="E377" t="s">
        <v>218</v>
      </c>
      <c r="F377" t="s">
        <v>219</v>
      </c>
      <c r="G377" t="s">
        <v>220</v>
      </c>
      <c r="H377" t="s">
        <v>17</v>
      </c>
      <c r="I377" t="s">
        <v>221</v>
      </c>
      <c r="J377" t="s">
        <v>222</v>
      </c>
      <c r="K377">
        <v>-251.46123485999999</v>
      </c>
      <c r="L377" t="s">
        <v>223</v>
      </c>
      <c r="M377" t="s">
        <v>224</v>
      </c>
      <c r="N377">
        <v>8.7524974586199993E-3</v>
      </c>
      <c r="O377">
        <v>2.200914</v>
      </c>
      <c r="P377" t="s">
        <v>21</v>
      </c>
      <c r="Q377">
        <v>1</v>
      </c>
      <c r="V377">
        <v>66303.072</v>
      </c>
      <c r="W377">
        <v>1</v>
      </c>
      <c r="X377">
        <v>1.1311694000000001E-5</v>
      </c>
      <c r="Y377">
        <v>0.75</v>
      </c>
      <c r="Z377">
        <v>1.6506860000000001</v>
      </c>
      <c r="AA377" t="s">
        <v>225</v>
      </c>
      <c r="AB377" t="s">
        <v>226</v>
      </c>
      <c r="AC377" t="s">
        <v>227</v>
      </c>
      <c r="AD377" t="s">
        <v>153</v>
      </c>
      <c r="AE377">
        <v>109.354</v>
      </c>
      <c r="AF377">
        <v>1.0727760310708341</v>
      </c>
      <c r="AG377">
        <v>117.31235010172</v>
      </c>
      <c r="AH377">
        <v>694.38</v>
      </c>
      <c r="AI377">
        <v>0.875</v>
      </c>
      <c r="AJ377">
        <v>71.276930955678296</v>
      </c>
      <c r="AK377">
        <v>1.0034000000000001</v>
      </c>
      <c r="AL377">
        <v>71.519000000000005</v>
      </c>
      <c r="AM377">
        <v>8.9176000000000002</v>
      </c>
      <c r="AN377">
        <v>9.5665875346772715</v>
      </c>
      <c r="AO377">
        <v>0.91300000000000003</v>
      </c>
      <c r="AP377">
        <v>6064.9193587765631</v>
      </c>
      <c r="AQ377">
        <v>1</v>
      </c>
      <c r="AR377">
        <v>6064.9193999999998</v>
      </c>
      <c r="AS377">
        <v>118.055412034</v>
      </c>
      <c r="AT377" t="s">
        <v>269</v>
      </c>
      <c r="AU377" t="s">
        <v>270</v>
      </c>
      <c r="AV377" t="s">
        <v>227</v>
      </c>
      <c r="AW377" t="s">
        <v>153</v>
      </c>
      <c r="AX377">
        <v>109.354</v>
      </c>
      <c r="AY377">
        <v>1.080821157758461</v>
      </c>
      <c r="AZ377">
        <v>118.1921168855188</v>
      </c>
      <c r="BA377">
        <v>779.31</v>
      </c>
      <c r="BB377">
        <v>0.879</v>
      </c>
      <c r="BC377">
        <v>80.963194478237142</v>
      </c>
      <c r="BD377">
        <v>1.0078</v>
      </c>
      <c r="BE377">
        <v>81.594999999999999</v>
      </c>
      <c r="BF377">
        <v>8.9176000000000002</v>
      </c>
      <c r="BG377">
        <v>0.80400000000000005</v>
      </c>
      <c r="BH377">
        <v>6039.0430235999738</v>
      </c>
      <c r="BI377">
        <v>1</v>
      </c>
      <c r="BJ377">
        <v>6039.0429999999997</v>
      </c>
      <c r="BK377">
        <v>134.68772417</v>
      </c>
    </row>
    <row r="378" spans="1:63" x14ac:dyDescent="0.25">
      <c r="A378">
        <v>4620</v>
      </c>
      <c r="B378" t="s">
        <v>106</v>
      </c>
      <c r="C378">
        <v>2020</v>
      </c>
      <c r="D378">
        <v>1</v>
      </c>
      <c r="E378" t="s">
        <v>218</v>
      </c>
      <c r="F378" t="s">
        <v>219</v>
      </c>
      <c r="G378" t="s">
        <v>220</v>
      </c>
      <c r="H378" t="s">
        <v>17</v>
      </c>
      <c r="I378" t="s">
        <v>221</v>
      </c>
      <c r="J378" t="s">
        <v>222</v>
      </c>
      <c r="K378">
        <v>-251.46123485999999</v>
      </c>
      <c r="L378" t="s">
        <v>223</v>
      </c>
      <c r="M378" t="s">
        <v>230</v>
      </c>
      <c r="N378">
        <v>0.16047331440265999</v>
      </c>
      <c r="O378">
        <v>40.352817999999999</v>
      </c>
      <c r="P378" t="s">
        <v>21</v>
      </c>
      <c r="Q378">
        <v>1</v>
      </c>
      <c r="V378">
        <v>66303.072</v>
      </c>
      <c r="W378">
        <v>1</v>
      </c>
      <c r="X378">
        <v>1.1311694000000001E-5</v>
      </c>
      <c r="Y378">
        <v>0.75</v>
      </c>
      <c r="Z378">
        <v>30.264614000000002</v>
      </c>
      <c r="AA378" t="s">
        <v>225</v>
      </c>
      <c r="AB378" t="s">
        <v>226</v>
      </c>
      <c r="AC378" t="s">
        <v>227</v>
      </c>
      <c r="AD378" t="s">
        <v>154</v>
      </c>
      <c r="AE378">
        <v>109.354</v>
      </c>
      <c r="AF378">
        <v>1.0727760310708341</v>
      </c>
      <c r="AG378">
        <v>117.31235010172</v>
      </c>
      <c r="AH378">
        <v>694.38</v>
      </c>
      <c r="AI378">
        <v>0.875</v>
      </c>
      <c r="AJ378">
        <v>71.276930955678296</v>
      </c>
      <c r="AK378">
        <v>1.0179</v>
      </c>
      <c r="AL378">
        <v>72.552999999999997</v>
      </c>
      <c r="AM378">
        <v>8.9176000000000002</v>
      </c>
      <c r="AN378">
        <v>9.5665875346772715</v>
      </c>
      <c r="AO378">
        <v>0.91300000000000003</v>
      </c>
      <c r="AP378">
        <v>6064.9193587765631</v>
      </c>
      <c r="AQ378">
        <v>0.98975009761811794</v>
      </c>
      <c r="AR378">
        <v>6002.7545</v>
      </c>
      <c r="AS378">
        <v>2195.7885395419999</v>
      </c>
      <c r="AT378" t="s">
        <v>269</v>
      </c>
      <c r="AU378" t="s">
        <v>270</v>
      </c>
      <c r="AV378" t="s">
        <v>227</v>
      </c>
      <c r="AW378" t="s">
        <v>154</v>
      </c>
      <c r="AX378">
        <v>109.354</v>
      </c>
      <c r="AY378">
        <v>1.080821157758461</v>
      </c>
      <c r="AZ378">
        <v>118.1921168855188</v>
      </c>
      <c r="BA378">
        <v>779.31</v>
      </c>
      <c r="BB378">
        <v>0.879</v>
      </c>
      <c r="BC378">
        <v>80.963194478237142</v>
      </c>
      <c r="BD378">
        <v>0.9899</v>
      </c>
      <c r="BE378">
        <v>80.144999999999996</v>
      </c>
      <c r="BF378">
        <v>8.9176000000000002</v>
      </c>
      <c r="BG378">
        <v>0.80400000000000005</v>
      </c>
      <c r="BH378">
        <v>6039.0430235999738</v>
      </c>
      <c r="BI378">
        <v>0.99199531433033972</v>
      </c>
      <c r="BJ378">
        <v>5990.7024000000001</v>
      </c>
      <c r="BK378">
        <v>2425.5574890299999</v>
      </c>
    </row>
    <row r="379" spans="1:63" x14ac:dyDescent="0.25">
      <c r="A379">
        <v>4622</v>
      </c>
      <c r="B379" t="s">
        <v>106</v>
      </c>
      <c r="C379">
        <v>2020</v>
      </c>
      <c r="D379">
        <v>1</v>
      </c>
      <c r="E379" t="s">
        <v>218</v>
      </c>
      <c r="F379" t="s">
        <v>219</v>
      </c>
      <c r="G379" t="s">
        <v>220</v>
      </c>
      <c r="H379" t="s">
        <v>17</v>
      </c>
      <c r="I379" t="s">
        <v>221</v>
      </c>
      <c r="J379" t="s">
        <v>222</v>
      </c>
      <c r="K379">
        <v>-251.46123485999999</v>
      </c>
      <c r="L379" t="s">
        <v>223</v>
      </c>
      <c r="M379" t="s">
        <v>231</v>
      </c>
      <c r="N379">
        <v>4.5018334813739999E-2</v>
      </c>
      <c r="O379">
        <v>11.320366</v>
      </c>
      <c r="P379" t="s">
        <v>21</v>
      </c>
      <c r="Q379">
        <v>1</v>
      </c>
      <c r="V379">
        <v>66303.072</v>
      </c>
      <c r="W379">
        <v>1</v>
      </c>
      <c r="X379">
        <v>1.1311694000000001E-5</v>
      </c>
      <c r="Y379">
        <v>0.75</v>
      </c>
      <c r="Z379">
        <v>8.4902750000000005</v>
      </c>
      <c r="AA379" t="s">
        <v>225</v>
      </c>
      <c r="AB379" t="s">
        <v>226</v>
      </c>
      <c r="AC379" t="s">
        <v>227</v>
      </c>
      <c r="AD379" t="s">
        <v>100</v>
      </c>
      <c r="AE379">
        <v>109.354</v>
      </c>
      <c r="AF379">
        <v>1.0727760310708341</v>
      </c>
      <c r="AG379">
        <v>117.31235010172</v>
      </c>
      <c r="AH379">
        <v>694.38</v>
      </c>
      <c r="AI379">
        <v>0.875</v>
      </c>
      <c r="AJ379">
        <v>71.276930955678296</v>
      </c>
      <c r="AK379">
        <v>0.96660000000000001</v>
      </c>
      <c r="AL379">
        <v>68.896000000000001</v>
      </c>
      <c r="AM379">
        <v>8.9176000000000002</v>
      </c>
      <c r="AN379">
        <v>9.5665875346772715</v>
      </c>
      <c r="AO379">
        <v>0.91300000000000003</v>
      </c>
      <c r="AP379">
        <v>6064.9193587765631</v>
      </c>
      <c r="AQ379">
        <v>0.98316430020283985</v>
      </c>
      <c r="AR379">
        <v>5962.8122000000003</v>
      </c>
      <c r="AS379">
        <v>584.94598640000004</v>
      </c>
      <c r="AT379" t="s">
        <v>269</v>
      </c>
      <c r="AU379" t="s">
        <v>270</v>
      </c>
      <c r="AV379" t="s">
        <v>227</v>
      </c>
      <c r="AW379" t="s">
        <v>100</v>
      </c>
      <c r="AX379">
        <v>109.354</v>
      </c>
      <c r="AY379">
        <v>1.080821157758461</v>
      </c>
      <c r="AZ379">
        <v>118.1921168855188</v>
      </c>
      <c r="BA379">
        <v>779.31</v>
      </c>
      <c r="BB379">
        <v>0.879</v>
      </c>
      <c r="BC379">
        <v>80.963194478237142</v>
      </c>
      <c r="BD379">
        <v>0.96560000000000001</v>
      </c>
      <c r="BE379">
        <v>78.177999999999997</v>
      </c>
      <c r="BF379">
        <v>8.9176000000000002</v>
      </c>
      <c r="BG379">
        <v>0.80400000000000005</v>
      </c>
      <c r="BH379">
        <v>6039.0430235999738</v>
      </c>
      <c r="BI379">
        <v>0.98955375253549693</v>
      </c>
      <c r="BJ379">
        <v>5975.9576999999999</v>
      </c>
      <c r="BK379">
        <v>663.75271895000003</v>
      </c>
    </row>
    <row r="380" spans="1:63" x14ac:dyDescent="0.25">
      <c r="A380">
        <v>4624</v>
      </c>
      <c r="B380" t="s">
        <v>106</v>
      </c>
      <c r="C380">
        <v>2020</v>
      </c>
      <c r="D380">
        <v>1</v>
      </c>
      <c r="E380" t="s">
        <v>218</v>
      </c>
      <c r="F380" t="s">
        <v>219</v>
      </c>
      <c r="G380" t="s">
        <v>220</v>
      </c>
      <c r="H380" t="s">
        <v>17</v>
      </c>
      <c r="I380" t="s">
        <v>221</v>
      </c>
      <c r="J380" t="s">
        <v>222</v>
      </c>
      <c r="K380">
        <v>-251.46123485999999</v>
      </c>
      <c r="L380" t="s">
        <v>223</v>
      </c>
      <c r="M380" t="s">
        <v>232</v>
      </c>
      <c r="N380">
        <v>0.87398007306502001</v>
      </c>
      <c r="O380">
        <v>219.772108</v>
      </c>
      <c r="P380" t="s">
        <v>21</v>
      </c>
      <c r="Q380">
        <v>1</v>
      </c>
      <c r="V380">
        <v>66303.072</v>
      </c>
      <c r="W380">
        <v>1</v>
      </c>
      <c r="X380">
        <v>1.1311694000000001E-5</v>
      </c>
      <c r="Y380">
        <v>0.75</v>
      </c>
      <c r="Z380">
        <v>164.829081</v>
      </c>
      <c r="AA380" t="s">
        <v>225</v>
      </c>
      <c r="AB380" t="s">
        <v>226</v>
      </c>
      <c r="AC380" t="s">
        <v>227</v>
      </c>
      <c r="AD380" t="s">
        <v>101</v>
      </c>
      <c r="AE380">
        <v>109.354</v>
      </c>
      <c r="AF380">
        <v>1.0727760310708341</v>
      </c>
      <c r="AG380">
        <v>117.31235010172</v>
      </c>
      <c r="AH380">
        <v>694.38</v>
      </c>
      <c r="AI380">
        <v>0.875</v>
      </c>
      <c r="AJ380">
        <v>71.276930955678296</v>
      </c>
      <c r="AK380">
        <v>1.0077</v>
      </c>
      <c r="AL380">
        <v>71.825999999999993</v>
      </c>
      <c r="AM380">
        <v>8.9176000000000002</v>
      </c>
      <c r="AN380">
        <v>9.5665875346772715</v>
      </c>
      <c r="AO380">
        <v>0.91300000000000003</v>
      </c>
      <c r="AP380">
        <v>6064.9193587765631</v>
      </c>
      <c r="AQ380">
        <v>1.0255267423014589</v>
      </c>
      <c r="AR380">
        <v>6219.7370000000001</v>
      </c>
      <c r="AS380">
        <v>11839.013571906</v>
      </c>
      <c r="AT380" t="s">
        <v>269</v>
      </c>
      <c r="AU380" t="s">
        <v>270</v>
      </c>
      <c r="AV380" t="s">
        <v>227</v>
      </c>
      <c r="AW380" t="s">
        <v>101</v>
      </c>
      <c r="AX380">
        <v>109.354</v>
      </c>
      <c r="AY380">
        <v>1.080821157758461</v>
      </c>
      <c r="AZ380">
        <v>118.1921168855188</v>
      </c>
      <c r="BA380">
        <v>779.31</v>
      </c>
      <c r="BB380">
        <v>0.879</v>
      </c>
      <c r="BC380">
        <v>80.963194478237142</v>
      </c>
      <c r="BD380">
        <v>1.0097</v>
      </c>
      <c r="BE380">
        <v>81.748999999999995</v>
      </c>
      <c r="BF380">
        <v>8.9176000000000002</v>
      </c>
      <c r="BG380">
        <v>0.80400000000000005</v>
      </c>
      <c r="BH380">
        <v>6039.0430235999738</v>
      </c>
      <c r="BI380">
        <v>1.0276539708265799</v>
      </c>
      <c r="BJ380">
        <v>6206.0465000000004</v>
      </c>
      <c r="BK380">
        <v>13474.612542669</v>
      </c>
    </row>
    <row r="381" spans="1:63" x14ac:dyDescent="0.25">
      <c r="A381">
        <v>2298</v>
      </c>
      <c r="B381" t="s">
        <v>106</v>
      </c>
      <c r="C381">
        <v>2020</v>
      </c>
      <c r="D381">
        <v>1</v>
      </c>
      <c r="E381" t="s">
        <v>218</v>
      </c>
      <c r="F381" t="s">
        <v>219</v>
      </c>
      <c r="G381" t="s">
        <v>220</v>
      </c>
      <c r="H381" t="s">
        <v>17</v>
      </c>
      <c r="I381" t="s">
        <v>233</v>
      </c>
      <c r="J381" t="s">
        <v>234</v>
      </c>
      <c r="K381">
        <v>-1022.38926789</v>
      </c>
      <c r="L381" t="s">
        <v>234</v>
      </c>
      <c r="M381" t="s">
        <v>224</v>
      </c>
      <c r="N381">
        <v>8.5771088379299996E-3</v>
      </c>
      <c r="O381">
        <v>8.7691440000000007</v>
      </c>
      <c r="P381" t="s">
        <v>21</v>
      </c>
      <c r="Q381">
        <v>1</v>
      </c>
      <c r="V381">
        <v>66303.072</v>
      </c>
      <c r="W381">
        <v>1</v>
      </c>
      <c r="X381">
        <v>1.1311694000000001E-5</v>
      </c>
      <c r="Y381">
        <v>0.75</v>
      </c>
      <c r="Z381">
        <v>6.5768579999999996</v>
      </c>
      <c r="AA381" t="s">
        <v>225</v>
      </c>
      <c r="AB381" t="s">
        <v>226</v>
      </c>
      <c r="AC381" t="s">
        <v>227</v>
      </c>
      <c r="AD381" t="s">
        <v>153</v>
      </c>
      <c r="AE381">
        <v>109.354</v>
      </c>
      <c r="AF381">
        <v>1.0727760310708341</v>
      </c>
      <c r="AG381">
        <v>117.31235010172</v>
      </c>
      <c r="AH381">
        <v>694.38</v>
      </c>
      <c r="AI381">
        <v>0.875</v>
      </c>
      <c r="AJ381">
        <v>71.276930955678296</v>
      </c>
      <c r="AK381">
        <v>1.0034000000000001</v>
      </c>
      <c r="AL381">
        <v>71.519000000000005</v>
      </c>
      <c r="AM381">
        <v>8.9176000000000002</v>
      </c>
      <c r="AN381">
        <v>9.5665875346772715</v>
      </c>
      <c r="AO381">
        <v>0.91300000000000003</v>
      </c>
      <c r="AP381">
        <v>6064.9193587765631</v>
      </c>
      <c r="AQ381">
        <v>1</v>
      </c>
      <c r="AR381">
        <v>6064.9193999999998</v>
      </c>
      <c r="AS381">
        <v>470.37030730200001</v>
      </c>
      <c r="AT381" t="s">
        <v>269</v>
      </c>
      <c r="AU381" t="s">
        <v>270</v>
      </c>
      <c r="AV381" t="s">
        <v>227</v>
      </c>
      <c r="AW381" t="s">
        <v>153</v>
      </c>
      <c r="AX381">
        <v>109.354</v>
      </c>
      <c r="AY381">
        <v>1.080821157758461</v>
      </c>
      <c r="AZ381">
        <v>118.1921168855188</v>
      </c>
      <c r="BA381">
        <v>779.31</v>
      </c>
      <c r="BB381">
        <v>0.879</v>
      </c>
      <c r="BC381">
        <v>80.963194478237142</v>
      </c>
      <c r="BD381">
        <v>1.0078</v>
      </c>
      <c r="BE381">
        <v>81.594999999999999</v>
      </c>
      <c r="BF381">
        <v>8.9176000000000002</v>
      </c>
      <c r="BG381">
        <v>0.80400000000000005</v>
      </c>
      <c r="BH381">
        <v>6039.0430235999738</v>
      </c>
      <c r="BI381">
        <v>1</v>
      </c>
      <c r="BJ381">
        <v>6039.0429999999997</v>
      </c>
      <c r="BK381">
        <v>536.63872850999996</v>
      </c>
    </row>
    <row r="382" spans="1:63" x14ac:dyDescent="0.25">
      <c r="A382">
        <v>2300</v>
      </c>
      <c r="B382" t="s">
        <v>106</v>
      </c>
      <c r="C382">
        <v>2020</v>
      </c>
      <c r="D382">
        <v>1</v>
      </c>
      <c r="E382" t="s">
        <v>218</v>
      </c>
      <c r="F382" t="s">
        <v>219</v>
      </c>
      <c r="G382" t="s">
        <v>220</v>
      </c>
      <c r="H382" t="s">
        <v>17</v>
      </c>
      <c r="I382" t="s">
        <v>233</v>
      </c>
      <c r="J382" t="s">
        <v>234</v>
      </c>
      <c r="K382">
        <v>-1022.38926789</v>
      </c>
      <c r="L382" t="s">
        <v>234</v>
      </c>
      <c r="M382" t="s">
        <v>235</v>
      </c>
      <c r="N382">
        <v>0.60124209651893001</v>
      </c>
      <c r="O382">
        <v>614.70346700000005</v>
      </c>
      <c r="P382" t="s">
        <v>21</v>
      </c>
      <c r="Q382">
        <v>1</v>
      </c>
      <c r="V382">
        <v>66303.072</v>
      </c>
      <c r="W382">
        <v>1</v>
      </c>
      <c r="X382">
        <v>1.1311694000000001E-5</v>
      </c>
      <c r="Y382">
        <v>0.75</v>
      </c>
      <c r="Z382">
        <v>461.02760000000001</v>
      </c>
      <c r="AA382" t="s">
        <v>225</v>
      </c>
      <c r="AB382" t="s">
        <v>226</v>
      </c>
      <c r="AC382" t="s">
        <v>227</v>
      </c>
      <c r="AD382" t="s">
        <v>154</v>
      </c>
      <c r="AE382">
        <v>109.354</v>
      </c>
      <c r="AF382">
        <v>1.0727760310708341</v>
      </c>
      <c r="AG382">
        <v>117.31235010172</v>
      </c>
      <c r="AH382">
        <v>694.38</v>
      </c>
      <c r="AI382">
        <v>0.875</v>
      </c>
      <c r="AJ382">
        <v>71.276930955678296</v>
      </c>
      <c r="AK382">
        <v>1.0179</v>
      </c>
      <c r="AL382">
        <v>72.552999999999997</v>
      </c>
      <c r="AM382">
        <v>8.9176000000000002</v>
      </c>
      <c r="AN382">
        <v>9.5665875346772715</v>
      </c>
      <c r="AO382">
        <v>0.91300000000000003</v>
      </c>
      <c r="AP382">
        <v>6064.9193587765631</v>
      </c>
      <c r="AQ382">
        <v>0.98975009761811794</v>
      </c>
      <c r="AR382">
        <v>6002.7545</v>
      </c>
      <c r="AS382">
        <v>33448.9354628</v>
      </c>
      <c r="AT382" t="s">
        <v>269</v>
      </c>
      <c r="AU382" t="s">
        <v>270</v>
      </c>
      <c r="AV382" t="s">
        <v>227</v>
      </c>
      <c r="AW382" t="s">
        <v>154</v>
      </c>
      <c r="AX382">
        <v>109.354</v>
      </c>
      <c r="AY382">
        <v>1.080821157758461</v>
      </c>
      <c r="AZ382">
        <v>118.1921168855188</v>
      </c>
      <c r="BA382">
        <v>779.31</v>
      </c>
      <c r="BB382">
        <v>0.879</v>
      </c>
      <c r="BC382">
        <v>80.963194478237142</v>
      </c>
      <c r="BD382">
        <v>0.9899</v>
      </c>
      <c r="BE382">
        <v>80.144999999999996</v>
      </c>
      <c r="BF382">
        <v>8.9176000000000002</v>
      </c>
      <c r="BG382">
        <v>0.80400000000000005</v>
      </c>
      <c r="BH382">
        <v>6039.0430235999738</v>
      </c>
      <c r="BI382">
        <v>0.99199531433033972</v>
      </c>
      <c r="BJ382">
        <v>5990.7024000000001</v>
      </c>
      <c r="BK382">
        <v>36949.057002000001</v>
      </c>
    </row>
    <row r="383" spans="1:63" x14ac:dyDescent="0.25">
      <c r="A383">
        <v>2302</v>
      </c>
      <c r="B383" t="s">
        <v>106</v>
      </c>
      <c r="C383">
        <v>2020</v>
      </c>
      <c r="D383">
        <v>1</v>
      </c>
      <c r="E383" t="s">
        <v>218</v>
      </c>
      <c r="F383" t="s">
        <v>219</v>
      </c>
      <c r="G383" t="s">
        <v>220</v>
      </c>
      <c r="H383" t="s">
        <v>17</v>
      </c>
      <c r="I383" t="s">
        <v>233</v>
      </c>
      <c r="J383" t="s">
        <v>234</v>
      </c>
      <c r="K383">
        <v>-1022.38926789</v>
      </c>
      <c r="L383" t="s">
        <v>234</v>
      </c>
      <c r="M383" t="s">
        <v>236</v>
      </c>
      <c r="N383">
        <v>1.9808691721710001E-2</v>
      </c>
      <c r="O383">
        <v>20.252193999999999</v>
      </c>
      <c r="P383" t="s">
        <v>21</v>
      </c>
      <c r="Q383">
        <v>1</v>
      </c>
      <c r="V383">
        <v>66303.072</v>
      </c>
      <c r="W383">
        <v>1</v>
      </c>
      <c r="X383">
        <v>1.1311694000000001E-5</v>
      </c>
      <c r="Y383">
        <v>0.75</v>
      </c>
      <c r="Z383">
        <v>15.189145999999999</v>
      </c>
      <c r="AA383" t="s">
        <v>225</v>
      </c>
      <c r="AB383" t="s">
        <v>226</v>
      </c>
      <c r="AC383" t="s">
        <v>227</v>
      </c>
      <c r="AD383" t="s">
        <v>100</v>
      </c>
      <c r="AE383">
        <v>109.354</v>
      </c>
      <c r="AF383">
        <v>1.0727760310708341</v>
      </c>
      <c r="AG383">
        <v>117.31235010172</v>
      </c>
      <c r="AH383">
        <v>694.38</v>
      </c>
      <c r="AI383">
        <v>0.875</v>
      </c>
      <c r="AJ383">
        <v>71.276930955678296</v>
      </c>
      <c r="AK383">
        <v>0.96660000000000001</v>
      </c>
      <c r="AL383">
        <v>68.896000000000001</v>
      </c>
      <c r="AM383">
        <v>8.9176000000000002</v>
      </c>
      <c r="AN383">
        <v>9.5665875346772715</v>
      </c>
      <c r="AO383">
        <v>0.91300000000000003</v>
      </c>
      <c r="AP383">
        <v>6064.9193587765631</v>
      </c>
      <c r="AQ383">
        <v>0.98316430020283985</v>
      </c>
      <c r="AR383">
        <v>5962.8122000000003</v>
      </c>
      <c r="AS383">
        <v>1046.4714028159999</v>
      </c>
      <c r="AT383" t="s">
        <v>269</v>
      </c>
      <c r="AU383" t="s">
        <v>270</v>
      </c>
      <c r="AV383" t="s">
        <v>227</v>
      </c>
      <c r="AW383" t="s">
        <v>100</v>
      </c>
      <c r="AX383">
        <v>109.354</v>
      </c>
      <c r="AY383">
        <v>1.080821157758461</v>
      </c>
      <c r="AZ383">
        <v>118.1921168855188</v>
      </c>
      <c r="BA383">
        <v>779.31</v>
      </c>
      <c r="BB383">
        <v>0.879</v>
      </c>
      <c r="BC383">
        <v>80.963194478237142</v>
      </c>
      <c r="BD383">
        <v>0.96560000000000001</v>
      </c>
      <c r="BE383">
        <v>78.177999999999997</v>
      </c>
      <c r="BF383">
        <v>8.9176000000000002</v>
      </c>
      <c r="BG383">
        <v>0.80400000000000005</v>
      </c>
      <c r="BH383">
        <v>6039.0430235999738</v>
      </c>
      <c r="BI383">
        <v>0.98955375253549693</v>
      </c>
      <c r="BJ383">
        <v>5975.9576999999999</v>
      </c>
      <c r="BK383">
        <v>1187.4570559880001</v>
      </c>
    </row>
    <row r="384" spans="1:63" x14ac:dyDescent="0.25">
      <c r="A384">
        <v>2304</v>
      </c>
      <c r="B384" t="s">
        <v>106</v>
      </c>
      <c r="C384">
        <v>2020</v>
      </c>
      <c r="D384">
        <v>1</v>
      </c>
      <c r="E384" t="s">
        <v>218</v>
      </c>
      <c r="F384" t="s">
        <v>219</v>
      </c>
      <c r="G384" t="s">
        <v>220</v>
      </c>
      <c r="H384" t="s">
        <v>17</v>
      </c>
      <c r="I384" t="s">
        <v>233</v>
      </c>
      <c r="J384" t="s">
        <v>234</v>
      </c>
      <c r="K384">
        <v>-1022.38926789</v>
      </c>
      <c r="L384" t="s">
        <v>234</v>
      </c>
      <c r="M384" t="s">
        <v>237</v>
      </c>
      <c r="N384">
        <v>0.39660634608572998</v>
      </c>
      <c r="O384">
        <v>405.48607199999998</v>
      </c>
      <c r="P384" t="s">
        <v>21</v>
      </c>
      <c r="Q384">
        <v>1</v>
      </c>
      <c r="V384">
        <v>66303.072</v>
      </c>
      <c r="W384">
        <v>1</v>
      </c>
      <c r="X384">
        <v>1.1311694000000001E-5</v>
      </c>
      <c r="Y384">
        <v>0.75</v>
      </c>
      <c r="Z384">
        <v>304.114554</v>
      </c>
      <c r="AA384" t="s">
        <v>225</v>
      </c>
      <c r="AB384" t="s">
        <v>226</v>
      </c>
      <c r="AC384" t="s">
        <v>227</v>
      </c>
      <c r="AD384" t="s">
        <v>101</v>
      </c>
      <c r="AE384">
        <v>109.354</v>
      </c>
      <c r="AF384">
        <v>1.0727760310708341</v>
      </c>
      <c r="AG384">
        <v>117.31235010172</v>
      </c>
      <c r="AH384">
        <v>694.38</v>
      </c>
      <c r="AI384">
        <v>0.875</v>
      </c>
      <c r="AJ384">
        <v>71.276930955678296</v>
      </c>
      <c r="AK384">
        <v>1.0077</v>
      </c>
      <c r="AL384">
        <v>71.825999999999993</v>
      </c>
      <c r="AM384">
        <v>8.9176000000000002</v>
      </c>
      <c r="AN384">
        <v>9.5665875346772715</v>
      </c>
      <c r="AO384">
        <v>0.91300000000000003</v>
      </c>
      <c r="AP384">
        <v>6064.9193587765631</v>
      </c>
      <c r="AQ384">
        <v>1.0255267423014589</v>
      </c>
      <c r="AR384">
        <v>6219.7370000000001</v>
      </c>
      <c r="AS384">
        <v>21843.331955604001</v>
      </c>
      <c r="AT384" t="s">
        <v>269</v>
      </c>
      <c r="AU384" t="s">
        <v>270</v>
      </c>
      <c r="AV384" t="s">
        <v>227</v>
      </c>
      <c r="AW384" t="s">
        <v>101</v>
      </c>
      <c r="AX384">
        <v>109.354</v>
      </c>
      <c r="AY384">
        <v>1.080821157758461</v>
      </c>
      <c r="AZ384">
        <v>118.1921168855188</v>
      </c>
      <c r="BA384">
        <v>779.31</v>
      </c>
      <c r="BB384">
        <v>0.879</v>
      </c>
      <c r="BC384">
        <v>80.963194478237142</v>
      </c>
      <c r="BD384">
        <v>1.0097</v>
      </c>
      <c r="BE384">
        <v>81.748999999999995</v>
      </c>
      <c r="BF384">
        <v>8.9176000000000002</v>
      </c>
      <c r="BG384">
        <v>0.80400000000000005</v>
      </c>
      <c r="BH384">
        <v>6039.0430235999738</v>
      </c>
      <c r="BI384">
        <v>1.0276539708265799</v>
      </c>
      <c r="BJ384">
        <v>6206.0465000000004</v>
      </c>
      <c r="BK384">
        <v>24861.060674945998</v>
      </c>
    </row>
    <row r="385" spans="1:63" x14ac:dyDescent="0.25">
      <c r="A385">
        <v>2298</v>
      </c>
      <c r="B385" t="s">
        <v>106</v>
      </c>
      <c r="C385">
        <v>2020</v>
      </c>
      <c r="D385">
        <v>1</v>
      </c>
      <c r="E385" t="s">
        <v>218</v>
      </c>
      <c r="F385" t="s">
        <v>219</v>
      </c>
      <c r="G385" t="s">
        <v>220</v>
      </c>
      <c r="H385" t="s">
        <v>17</v>
      </c>
      <c r="I385" t="s">
        <v>238</v>
      </c>
      <c r="J385" t="s">
        <v>239</v>
      </c>
      <c r="K385">
        <v>-195.91685812</v>
      </c>
      <c r="L385" t="s">
        <v>240</v>
      </c>
      <c r="M385" t="s">
        <v>224</v>
      </c>
      <c r="N385">
        <v>1.1109205873409999E-2</v>
      </c>
      <c r="O385">
        <v>2.1764809999999999</v>
      </c>
      <c r="P385" t="s">
        <v>21</v>
      </c>
      <c r="Q385">
        <v>1</v>
      </c>
      <c r="V385">
        <v>66303.072</v>
      </c>
      <c r="W385">
        <v>1</v>
      </c>
      <c r="X385">
        <v>1.1311694000000001E-5</v>
      </c>
      <c r="Y385">
        <v>0.75</v>
      </c>
      <c r="Z385">
        <v>1.632361</v>
      </c>
      <c r="AA385" t="s">
        <v>225</v>
      </c>
      <c r="AB385" t="s">
        <v>226</v>
      </c>
      <c r="AC385" t="s">
        <v>227</v>
      </c>
      <c r="AD385" t="s">
        <v>153</v>
      </c>
      <c r="AE385">
        <v>109.354</v>
      </c>
      <c r="AF385">
        <v>1.0727760310708341</v>
      </c>
      <c r="AG385">
        <v>117.31235010172</v>
      </c>
      <c r="AH385">
        <v>694.38</v>
      </c>
      <c r="AI385">
        <v>0.875</v>
      </c>
      <c r="AJ385">
        <v>71.276930955678296</v>
      </c>
      <c r="AK385">
        <v>1.0034000000000001</v>
      </c>
      <c r="AL385">
        <v>71.519000000000005</v>
      </c>
      <c r="AM385">
        <v>8.9176000000000002</v>
      </c>
      <c r="AN385">
        <v>9.5665875346772715</v>
      </c>
      <c r="AO385">
        <v>0.91300000000000003</v>
      </c>
      <c r="AP385">
        <v>6064.9193587765631</v>
      </c>
      <c r="AQ385">
        <v>1</v>
      </c>
      <c r="AR385">
        <v>6064.9193999999998</v>
      </c>
      <c r="AS385">
        <v>116.744826359</v>
      </c>
      <c r="AT385" t="s">
        <v>269</v>
      </c>
      <c r="AU385" t="s">
        <v>270</v>
      </c>
      <c r="AV385" t="s">
        <v>227</v>
      </c>
      <c r="AW385" t="s">
        <v>153</v>
      </c>
      <c r="AX385">
        <v>109.354</v>
      </c>
      <c r="AY385">
        <v>1.080821157758461</v>
      </c>
      <c r="AZ385">
        <v>118.1921168855188</v>
      </c>
      <c r="BA385">
        <v>779.31</v>
      </c>
      <c r="BB385">
        <v>0.879</v>
      </c>
      <c r="BC385">
        <v>80.963194478237142</v>
      </c>
      <c r="BD385">
        <v>1.0078</v>
      </c>
      <c r="BE385">
        <v>81.594999999999999</v>
      </c>
      <c r="BF385">
        <v>8.9176000000000002</v>
      </c>
      <c r="BG385">
        <v>0.80400000000000005</v>
      </c>
      <c r="BH385">
        <v>6039.0430235999738</v>
      </c>
      <c r="BI385">
        <v>1</v>
      </c>
      <c r="BJ385">
        <v>6039.0429999999997</v>
      </c>
      <c r="BK385">
        <v>133.19249579500001</v>
      </c>
    </row>
    <row r="386" spans="1:63" x14ac:dyDescent="0.25">
      <c r="A386">
        <v>2300</v>
      </c>
      <c r="B386" t="s">
        <v>106</v>
      </c>
      <c r="C386">
        <v>2020</v>
      </c>
      <c r="D386">
        <v>1</v>
      </c>
      <c r="E386" t="s">
        <v>218</v>
      </c>
      <c r="F386" t="s">
        <v>219</v>
      </c>
      <c r="G386" t="s">
        <v>220</v>
      </c>
      <c r="H386" t="s">
        <v>17</v>
      </c>
      <c r="I386" t="s">
        <v>238</v>
      </c>
      <c r="J386" t="s">
        <v>239</v>
      </c>
      <c r="K386">
        <v>-195.91685812</v>
      </c>
      <c r="L386" t="s">
        <v>240</v>
      </c>
      <c r="M386" t="s">
        <v>235</v>
      </c>
      <c r="N386">
        <v>0.58148407621825005</v>
      </c>
      <c r="O386">
        <v>113.922533</v>
      </c>
      <c r="P386" t="s">
        <v>21</v>
      </c>
      <c r="Q386">
        <v>1</v>
      </c>
      <c r="V386">
        <v>66303.072</v>
      </c>
      <c r="W386">
        <v>1</v>
      </c>
      <c r="X386">
        <v>1.1311694000000001E-5</v>
      </c>
      <c r="Y386">
        <v>0.75</v>
      </c>
      <c r="Z386">
        <v>85.441900000000004</v>
      </c>
      <c r="AA386" t="s">
        <v>225</v>
      </c>
      <c r="AB386" t="s">
        <v>226</v>
      </c>
      <c r="AC386" t="s">
        <v>227</v>
      </c>
      <c r="AD386" t="s">
        <v>154</v>
      </c>
      <c r="AE386">
        <v>109.354</v>
      </c>
      <c r="AF386">
        <v>1.0727760310708341</v>
      </c>
      <c r="AG386">
        <v>117.31235010172</v>
      </c>
      <c r="AH386">
        <v>694.38</v>
      </c>
      <c r="AI386">
        <v>0.875</v>
      </c>
      <c r="AJ386">
        <v>71.276930955678296</v>
      </c>
      <c r="AK386">
        <v>1.0179</v>
      </c>
      <c r="AL386">
        <v>72.552999999999997</v>
      </c>
      <c r="AM386">
        <v>8.9176000000000002</v>
      </c>
      <c r="AN386">
        <v>9.5665875346772715</v>
      </c>
      <c r="AO386">
        <v>0.91300000000000003</v>
      </c>
      <c r="AP386">
        <v>6064.9193587765631</v>
      </c>
      <c r="AQ386">
        <v>0.98975009761811794</v>
      </c>
      <c r="AR386">
        <v>6002.7545</v>
      </c>
      <c r="AS386">
        <v>6199.0661706999999</v>
      </c>
      <c r="AT386" t="s">
        <v>269</v>
      </c>
      <c r="AU386" t="s">
        <v>270</v>
      </c>
      <c r="AV386" t="s">
        <v>227</v>
      </c>
      <c r="AW386" t="s">
        <v>154</v>
      </c>
      <c r="AX386">
        <v>109.354</v>
      </c>
      <c r="AY386">
        <v>1.080821157758461</v>
      </c>
      <c r="AZ386">
        <v>118.1921168855188</v>
      </c>
      <c r="BA386">
        <v>779.31</v>
      </c>
      <c r="BB386">
        <v>0.879</v>
      </c>
      <c r="BC386">
        <v>80.963194478237142</v>
      </c>
      <c r="BD386">
        <v>0.9899</v>
      </c>
      <c r="BE386">
        <v>80.144999999999996</v>
      </c>
      <c r="BF386">
        <v>8.9176000000000002</v>
      </c>
      <c r="BG386">
        <v>0.80400000000000005</v>
      </c>
      <c r="BH386">
        <v>6039.0430235999738</v>
      </c>
      <c r="BI386">
        <v>0.99199531433033972</v>
      </c>
      <c r="BJ386">
        <v>5990.7024000000001</v>
      </c>
      <c r="BK386">
        <v>6847.7410755000001</v>
      </c>
    </row>
    <row r="387" spans="1:63" x14ac:dyDescent="0.25">
      <c r="A387">
        <v>2302</v>
      </c>
      <c r="B387" t="s">
        <v>106</v>
      </c>
      <c r="C387">
        <v>2020</v>
      </c>
      <c r="D387">
        <v>1</v>
      </c>
      <c r="E387" t="s">
        <v>218</v>
      </c>
      <c r="F387" t="s">
        <v>219</v>
      </c>
      <c r="G387" t="s">
        <v>220</v>
      </c>
      <c r="H387" t="s">
        <v>17</v>
      </c>
      <c r="I387" t="s">
        <v>238</v>
      </c>
      <c r="J387" t="s">
        <v>239</v>
      </c>
      <c r="K387">
        <v>-195.91685812</v>
      </c>
      <c r="L387" t="s">
        <v>240</v>
      </c>
      <c r="M387" t="s">
        <v>236</v>
      </c>
      <c r="N387">
        <v>1.8083569973560001E-2</v>
      </c>
      <c r="O387">
        <v>3.5428760000000001</v>
      </c>
      <c r="P387" t="s">
        <v>21</v>
      </c>
      <c r="Q387">
        <v>1</v>
      </c>
      <c r="V387">
        <v>66303.072</v>
      </c>
      <c r="W387">
        <v>1</v>
      </c>
      <c r="X387">
        <v>1.1311694000000001E-5</v>
      </c>
      <c r="Y387">
        <v>0.75</v>
      </c>
      <c r="Z387">
        <v>2.6571570000000002</v>
      </c>
      <c r="AA387" t="s">
        <v>225</v>
      </c>
      <c r="AB387" t="s">
        <v>226</v>
      </c>
      <c r="AC387" t="s">
        <v>227</v>
      </c>
      <c r="AD387" t="s">
        <v>100</v>
      </c>
      <c r="AE387">
        <v>109.354</v>
      </c>
      <c r="AF387">
        <v>1.0727760310708341</v>
      </c>
      <c r="AG387">
        <v>117.31235010172</v>
      </c>
      <c r="AH387">
        <v>694.38</v>
      </c>
      <c r="AI387">
        <v>0.875</v>
      </c>
      <c r="AJ387">
        <v>71.276930955678296</v>
      </c>
      <c r="AK387">
        <v>0.96660000000000001</v>
      </c>
      <c r="AL387">
        <v>68.896000000000001</v>
      </c>
      <c r="AM387">
        <v>8.9176000000000002</v>
      </c>
      <c r="AN387">
        <v>9.5665875346772715</v>
      </c>
      <c r="AO387">
        <v>0.91300000000000003</v>
      </c>
      <c r="AP387">
        <v>6064.9193587765631</v>
      </c>
      <c r="AQ387">
        <v>0.98316430020283985</v>
      </c>
      <c r="AR387">
        <v>5962.8122000000003</v>
      </c>
      <c r="AS387">
        <v>183.067488672</v>
      </c>
      <c r="AT387" t="s">
        <v>269</v>
      </c>
      <c r="AU387" t="s">
        <v>270</v>
      </c>
      <c r="AV387" t="s">
        <v>227</v>
      </c>
      <c r="AW387" t="s">
        <v>100</v>
      </c>
      <c r="AX387">
        <v>109.354</v>
      </c>
      <c r="AY387">
        <v>1.080821157758461</v>
      </c>
      <c r="AZ387">
        <v>118.1921168855188</v>
      </c>
      <c r="BA387">
        <v>779.31</v>
      </c>
      <c r="BB387">
        <v>0.879</v>
      </c>
      <c r="BC387">
        <v>80.963194478237142</v>
      </c>
      <c r="BD387">
        <v>0.96560000000000001</v>
      </c>
      <c r="BE387">
        <v>78.177999999999997</v>
      </c>
      <c r="BF387">
        <v>8.9176000000000002</v>
      </c>
      <c r="BG387">
        <v>0.80400000000000005</v>
      </c>
      <c r="BH387">
        <v>6039.0430235999738</v>
      </c>
      <c r="BI387">
        <v>0.98955375253549693</v>
      </c>
      <c r="BJ387">
        <v>5975.9576999999999</v>
      </c>
      <c r="BK387">
        <v>207.73121994600001</v>
      </c>
    </row>
    <row r="388" spans="1:63" x14ac:dyDescent="0.25">
      <c r="A388">
        <v>2304</v>
      </c>
      <c r="B388" t="s">
        <v>106</v>
      </c>
      <c r="C388">
        <v>2020</v>
      </c>
      <c r="D388">
        <v>1</v>
      </c>
      <c r="E388" t="s">
        <v>218</v>
      </c>
      <c r="F388" t="s">
        <v>219</v>
      </c>
      <c r="G388" t="s">
        <v>220</v>
      </c>
      <c r="H388" t="s">
        <v>17</v>
      </c>
      <c r="I388" t="s">
        <v>238</v>
      </c>
      <c r="J388" t="s">
        <v>239</v>
      </c>
      <c r="K388">
        <v>-195.91685812</v>
      </c>
      <c r="L388" t="s">
        <v>240</v>
      </c>
      <c r="M388" t="s">
        <v>237</v>
      </c>
      <c r="N388">
        <v>0.41680683696206</v>
      </c>
      <c r="O388">
        <v>81.659486000000001</v>
      </c>
      <c r="P388" t="s">
        <v>21</v>
      </c>
      <c r="Q388">
        <v>1</v>
      </c>
      <c r="V388">
        <v>66303.072</v>
      </c>
      <c r="W388">
        <v>1</v>
      </c>
      <c r="X388">
        <v>1.1311694000000001E-5</v>
      </c>
      <c r="Y388">
        <v>0.75</v>
      </c>
      <c r="Z388">
        <v>61.244615000000003</v>
      </c>
      <c r="AA388" t="s">
        <v>225</v>
      </c>
      <c r="AB388" t="s">
        <v>226</v>
      </c>
      <c r="AC388" t="s">
        <v>227</v>
      </c>
      <c r="AD388" t="s">
        <v>101</v>
      </c>
      <c r="AE388">
        <v>109.354</v>
      </c>
      <c r="AF388">
        <v>1.0727760310708341</v>
      </c>
      <c r="AG388">
        <v>117.31235010172</v>
      </c>
      <c r="AH388">
        <v>694.38</v>
      </c>
      <c r="AI388">
        <v>0.875</v>
      </c>
      <c r="AJ388">
        <v>71.276930955678296</v>
      </c>
      <c r="AK388">
        <v>1.0077</v>
      </c>
      <c r="AL388">
        <v>71.825999999999993</v>
      </c>
      <c r="AM388">
        <v>8.9176000000000002</v>
      </c>
      <c r="AN388">
        <v>9.5665875346772715</v>
      </c>
      <c r="AO388">
        <v>0.91300000000000003</v>
      </c>
      <c r="AP388">
        <v>6064.9193587765631</v>
      </c>
      <c r="AQ388">
        <v>1.0255267423014589</v>
      </c>
      <c r="AR388">
        <v>6219.7370000000001</v>
      </c>
      <c r="AS388">
        <v>4398.9557169899999</v>
      </c>
      <c r="AT388" t="s">
        <v>269</v>
      </c>
      <c r="AU388" t="s">
        <v>270</v>
      </c>
      <c r="AV388" t="s">
        <v>227</v>
      </c>
      <c r="AW388" t="s">
        <v>101</v>
      </c>
      <c r="AX388">
        <v>109.354</v>
      </c>
      <c r="AY388">
        <v>1.080821157758461</v>
      </c>
      <c r="AZ388">
        <v>118.1921168855188</v>
      </c>
      <c r="BA388">
        <v>779.31</v>
      </c>
      <c r="BB388">
        <v>0.879</v>
      </c>
      <c r="BC388">
        <v>80.963194478237142</v>
      </c>
      <c r="BD388">
        <v>1.0097</v>
      </c>
      <c r="BE388">
        <v>81.748999999999995</v>
      </c>
      <c r="BF388">
        <v>8.9176000000000002</v>
      </c>
      <c r="BG388">
        <v>0.80400000000000005</v>
      </c>
      <c r="BH388">
        <v>6039.0430235999738</v>
      </c>
      <c r="BI388">
        <v>1.0276539708265799</v>
      </c>
      <c r="BJ388">
        <v>6206.0465000000004</v>
      </c>
      <c r="BK388">
        <v>5006.6860316350003</v>
      </c>
    </row>
    <row r="389" spans="1:63" x14ac:dyDescent="0.25">
      <c r="A389">
        <v>3464</v>
      </c>
      <c r="B389" t="s">
        <v>106</v>
      </c>
      <c r="C389">
        <v>2020</v>
      </c>
      <c r="D389">
        <v>1</v>
      </c>
      <c r="E389" t="s">
        <v>218</v>
      </c>
      <c r="F389" t="s">
        <v>219</v>
      </c>
      <c r="G389" t="s">
        <v>220</v>
      </c>
      <c r="H389" t="s">
        <v>17</v>
      </c>
      <c r="I389" t="s">
        <v>241</v>
      </c>
      <c r="J389" t="s">
        <v>242</v>
      </c>
      <c r="K389">
        <v>-84.229943559999995</v>
      </c>
      <c r="L389" t="s">
        <v>242</v>
      </c>
      <c r="M389" t="s">
        <v>235</v>
      </c>
      <c r="N389">
        <v>0.67001574769252004</v>
      </c>
      <c r="O389">
        <v>56.435389000000001</v>
      </c>
      <c r="P389" t="s">
        <v>21</v>
      </c>
      <c r="Q389">
        <v>1</v>
      </c>
      <c r="V389">
        <v>66303.072</v>
      </c>
      <c r="W389">
        <v>1</v>
      </c>
      <c r="X389">
        <v>1.1311694000000001E-5</v>
      </c>
      <c r="Y389">
        <v>0.75</v>
      </c>
      <c r="Z389">
        <v>42.326542000000003</v>
      </c>
      <c r="AA389" t="s">
        <v>225</v>
      </c>
      <c r="AB389" t="s">
        <v>226</v>
      </c>
      <c r="AC389" t="s">
        <v>227</v>
      </c>
      <c r="AD389" t="s">
        <v>154</v>
      </c>
      <c r="AE389">
        <v>109.354</v>
      </c>
      <c r="AF389">
        <v>1.0727760310708341</v>
      </c>
      <c r="AG389">
        <v>117.31235010172</v>
      </c>
      <c r="AH389">
        <v>694.38</v>
      </c>
      <c r="AI389">
        <v>0.875</v>
      </c>
      <c r="AJ389">
        <v>71.276930955678296</v>
      </c>
      <c r="AK389">
        <v>1.0179</v>
      </c>
      <c r="AL389">
        <v>72.552999999999997</v>
      </c>
      <c r="AM389">
        <v>8.9176000000000002</v>
      </c>
      <c r="AN389">
        <v>9.5665875346772715</v>
      </c>
      <c r="AO389">
        <v>0.91300000000000003</v>
      </c>
      <c r="AP389">
        <v>6064.9193587765631</v>
      </c>
      <c r="AQ389">
        <v>0.98975009761811794</v>
      </c>
      <c r="AR389">
        <v>6002.7545</v>
      </c>
      <c r="AS389">
        <v>3070.9176017260002</v>
      </c>
      <c r="AT389" t="s">
        <v>269</v>
      </c>
      <c r="AU389" t="s">
        <v>270</v>
      </c>
      <c r="AV389" t="s">
        <v>227</v>
      </c>
      <c r="AW389" t="s">
        <v>154</v>
      </c>
      <c r="AX389">
        <v>109.354</v>
      </c>
      <c r="AY389">
        <v>1.080821157758461</v>
      </c>
      <c r="AZ389">
        <v>118.1921168855188</v>
      </c>
      <c r="BA389">
        <v>779.31</v>
      </c>
      <c r="BB389">
        <v>0.879</v>
      </c>
      <c r="BC389">
        <v>80.963194478237142</v>
      </c>
      <c r="BD389">
        <v>0.9899</v>
      </c>
      <c r="BE389">
        <v>80.144999999999996</v>
      </c>
      <c r="BF389">
        <v>8.9176000000000002</v>
      </c>
      <c r="BG389">
        <v>0.80400000000000005</v>
      </c>
      <c r="BH389">
        <v>6039.0430235999738</v>
      </c>
      <c r="BI389">
        <v>0.99199531433033972</v>
      </c>
      <c r="BJ389">
        <v>5990.7024000000001</v>
      </c>
      <c r="BK389">
        <v>3392.2607085899999</v>
      </c>
    </row>
    <row r="390" spans="1:63" x14ac:dyDescent="0.25">
      <c r="A390">
        <v>3466</v>
      </c>
      <c r="B390" t="s">
        <v>106</v>
      </c>
      <c r="C390">
        <v>2020</v>
      </c>
      <c r="D390">
        <v>1</v>
      </c>
      <c r="E390" t="s">
        <v>218</v>
      </c>
      <c r="F390" t="s">
        <v>219</v>
      </c>
      <c r="G390" t="s">
        <v>220</v>
      </c>
      <c r="H390" t="s">
        <v>17</v>
      </c>
      <c r="I390" t="s">
        <v>241</v>
      </c>
      <c r="J390" t="s">
        <v>242</v>
      </c>
      <c r="K390">
        <v>-84.229943559999995</v>
      </c>
      <c r="L390" t="s">
        <v>242</v>
      </c>
      <c r="M390" t="s">
        <v>236</v>
      </c>
      <c r="N390">
        <v>1.442552100634E-2</v>
      </c>
      <c r="O390">
        <v>1.2150609999999999</v>
      </c>
      <c r="P390" t="s">
        <v>21</v>
      </c>
      <c r="Q390">
        <v>1</v>
      </c>
      <c r="V390">
        <v>66303.072</v>
      </c>
      <c r="W390">
        <v>1</v>
      </c>
      <c r="X390">
        <v>1.1311694000000001E-5</v>
      </c>
      <c r="Y390">
        <v>0.75</v>
      </c>
      <c r="Z390">
        <v>0.91129599999999999</v>
      </c>
      <c r="AA390" t="s">
        <v>225</v>
      </c>
      <c r="AB390" t="s">
        <v>226</v>
      </c>
      <c r="AC390" t="s">
        <v>227</v>
      </c>
      <c r="AD390" t="s">
        <v>100</v>
      </c>
      <c r="AE390">
        <v>109.354</v>
      </c>
      <c r="AF390">
        <v>1.0727760310708341</v>
      </c>
      <c r="AG390">
        <v>117.31235010172</v>
      </c>
      <c r="AH390">
        <v>694.38</v>
      </c>
      <c r="AI390">
        <v>0.875</v>
      </c>
      <c r="AJ390">
        <v>71.276930955678296</v>
      </c>
      <c r="AK390">
        <v>0.96660000000000001</v>
      </c>
      <c r="AL390">
        <v>68.896000000000001</v>
      </c>
      <c r="AM390">
        <v>8.9176000000000002</v>
      </c>
      <c r="AN390">
        <v>9.5665875346772715</v>
      </c>
      <c r="AO390">
        <v>0.91300000000000003</v>
      </c>
      <c r="AP390">
        <v>6064.9193587765631</v>
      </c>
      <c r="AQ390">
        <v>0.98316430020283985</v>
      </c>
      <c r="AR390">
        <v>5962.8122000000003</v>
      </c>
      <c r="AS390">
        <v>62.784649215999998</v>
      </c>
      <c r="AT390" t="s">
        <v>269</v>
      </c>
      <c r="AU390" t="s">
        <v>270</v>
      </c>
      <c r="AV390" t="s">
        <v>227</v>
      </c>
      <c r="AW390" t="s">
        <v>100</v>
      </c>
      <c r="AX390">
        <v>109.354</v>
      </c>
      <c r="AY390">
        <v>1.080821157758461</v>
      </c>
      <c r="AZ390">
        <v>118.1921168855188</v>
      </c>
      <c r="BA390">
        <v>779.31</v>
      </c>
      <c r="BB390">
        <v>0.879</v>
      </c>
      <c r="BC390">
        <v>80.963194478237142</v>
      </c>
      <c r="BD390">
        <v>0.96560000000000001</v>
      </c>
      <c r="BE390">
        <v>78.177999999999997</v>
      </c>
      <c r="BF390">
        <v>8.9176000000000002</v>
      </c>
      <c r="BG390">
        <v>0.80400000000000005</v>
      </c>
      <c r="BH390">
        <v>6039.0430235999738</v>
      </c>
      <c r="BI390">
        <v>0.98955375253549693</v>
      </c>
      <c r="BJ390">
        <v>5975.9576999999999</v>
      </c>
      <c r="BK390">
        <v>71.243298687999996</v>
      </c>
    </row>
    <row r="391" spans="1:63" x14ac:dyDescent="0.25">
      <c r="A391">
        <v>3468</v>
      </c>
      <c r="B391" t="s">
        <v>106</v>
      </c>
      <c r="C391">
        <v>2020</v>
      </c>
      <c r="D391">
        <v>1</v>
      </c>
      <c r="E391" t="s">
        <v>218</v>
      </c>
      <c r="F391" t="s">
        <v>219</v>
      </c>
      <c r="G391" t="s">
        <v>220</v>
      </c>
      <c r="H391" t="s">
        <v>17</v>
      </c>
      <c r="I391" t="s">
        <v>241</v>
      </c>
      <c r="J391" t="s">
        <v>242</v>
      </c>
      <c r="K391">
        <v>-84.229943559999995</v>
      </c>
      <c r="L391" t="s">
        <v>242</v>
      </c>
      <c r="M391" t="s">
        <v>237</v>
      </c>
      <c r="N391">
        <v>0.37405093967954001</v>
      </c>
      <c r="O391">
        <v>31.50629</v>
      </c>
      <c r="P391" t="s">
        <v>21</v>
      </c>
      <c r="Q391">
        <v>1</v>
      </c>
      <c r="V391">
        <v>66303.072</v>
      </c>
      <c r="W391">
        <v>1</v>
      </c>
      <c r="X391">
        <v>1.1311694000000001E-5</v>
      </c>
      <c r="Y391">
        <v>0.75</v>
      </c>
      <c r="Z391">
        <v>23.629718</v>
      </c>
      <c r="AA391" t="s">
        <v>225</v>
      </c>
      <c r="AB391" t="s">
        <v>226</v>
      </c>
      <c r="AC391" t="s">
        <v>227</v>
      </c>
      <c r="AD391" t="s">
        <v>101</v>
      </c>
      <c r="AE391">
        <v>109.354</v>
      </c>
      <c r="AF391">
        <v>1.0727760310708341</v>
      </c>
      <c r="AG391">
        <v>117.31235010172</v>
      </c>
      <c r="AH391">
        <v>694.38</v>
      </c>
      <c r="AI391">
        <v>0.875</v>
      </c>
      <c r="AJ391">
        <v>71.276930955678296</v>
      </c>
      <c r="AK391">
        <v>1.0077</v>
      </c>
      <c r="AL391">
        <v>71.825999999999993</v>
      </c>
      <c r="AM391">
        <v>8.9176000000000002</v>
      </c>
      <c r="AN391">
        <v>9.5665875346772715</v>
      </c>
      <c r="AO391">
        <v>0.91300000000000003</v>
      </c>
      <c r="AP391">
        <v>6064.9193587765631</v>
      </c>
      <c r="AQ391">
        <v>1.0255267423014589</v>
      </c>
      <c r="AR391">
        <v>6219.7370000000001</v>
      </c>
      <c r="AS391">
        <v>1697.2281250680001</v>
      </c>
      <c r="AT391" t="s">
        <v>269</v>
      </c>
      <c r="AU391" t="s">
        <v>270</v>
      </c>
      <c r="AV391" t="s">
        <v>227</v>
      </c>
      <c r="AW391" t="s">
        <v>101</v>
      </c>
      <c r="AX391">
        <v>109.354</v>
      </c>
      <c r="AY391">
        <v>1.080821157758461</v>
      </c>
      <c r="AZ391">
        <v>118.1921168855188</v>
      </c>
      <c r="BA391">
        <v>779.31</v>
      </c>
      <c r="BB391">
        <v>0.879</v>
      </c>
      <c r="BC391">
        <v>80.963194478237142</v>
      </c>
      <c r="BD391">
        <v>1.0097</v>
      </c>
      <c r="BE391">
        <v>81.748999999999995</v>
      </c>
      <c r="BF391">
        <v>8.9176000000000002</v>
      </c>
      <c r="BG391">
        <v>0.80400000000000005</v>
      </c>
      <c r="BH391">
        <v>6039.0430235999738</v>
      </c>
      <c r="BI391">
        <v>1.0276539708265799</v>
      </c>
      <c r="BJ391">
        <v>6206.0465000000004</v>
      </c>
      <c r="BK391">
        <v>1931.7058167820001</v>
      </c>
    </row>
    <row r="392" spans="1:63" x14ac:dyDescent="0.25">
      <c r="A392">
        <v>2298</v>
      </c>
      <c r="B392" t="s">
        <v>106</v>
      </c>
      <c r="C392">
        <v>2020</v>
      </c>
      <c r="D392">
        <v>1</v>
      </c>
      <c r="E392" t="s">
        <v>218</v>
      </c>
      <c r="F392" t="s">
        <v>219</v>
      </c>
      <c r="G392" t="s">
        <v>220</v>
      </c>
      <c r="H392" t="s">
        <v>17</v>
      </c>
      <c r="I392" t="s">
        <v>243</v>
      </c>
      <c r="J392" t="s">
        <v>244</v>
      </c>
      <c r="K392">
        <v>-207.13272491000001</v>
      </c>
      <c r="L392" t="s">
        <v>245</v>
      </c>
      <c r="M392" t="s">
        <v>224</v>
      </c>
      <c r="N392">
        <v>1.1026262910890001E-2</v>
      </c>
      <c r="O392">
        <v>2.2839</v>
      </c>
      <c r="P392" t="s">
        <v>21</v>
      </c>
      <c r="Q392">
        <v>1</v>
      </c>
      <c r="V392">
        <v>66303.072</v>
      </c>
      <c r="W392">
        <v>1</v>
      </c>
      <c r="X392">
        <v>1.1311694000000001E-5</v>
      </c>
      <c r="Y392">
        <v>0.75</v>
      </c>
      <c r="Z392">
        <v>1.712925</v>
      </c>
      <c r="AA392" t="s">
        <v>225</v>
      </c>
      <c r="AB392" t="s">
        <v>226</v>
      </c>
      <c r="AC392" t="s">
        <v>227</v>
      </c>
      <c r="AD392" t="s">
        <v>153</v>
      </c>
      <c r="AE392">
        <v>109.354</v>
      </c>
      <c r="AF392">
        <v>1.0727760310708341</v>
      </c>
      <c r="AG392">
        <v>117.31235010172</v>
      </c>
      <c r="AH392">
        <v>694.38</v>
      </c>
      <c r="AI392">
        <v>0.875</v>
      </c>
      <c r="AJ392">
        <v>71.276930955678296</v>
      </c>
      <c r="AK392">
        <v>1.0034000000000001</v>
      </c>
      <c r="AL392">
        <v>71.519000000000005</v>
      </c>
      <c r="AM392">
        <v>8.9176000000000002</v>
      </c>
      <c r="AN392">
        <v>9.5665875346772715</v>
      </c>
      <c r="AO392">
        <v>0.91300000000000003</v>
      </c>
      <c r="AP392">
        <v>6064.9193587765631</v>
      </c>
      <c r="AQ392">
        <v>1</v>
      </c>
      <c r="AR392">
        <v>6064.9193999999998</v>
      </c>
      <c r="AS392">
        <v>122.506683075</v>
      </c>
      <c r="AT392" t="s">
        <v>269</v>
      </c>
      <c r="AU392" t="s">
        <v>270</v>
      </c>
      <c r="AV392" t="s">
        <v>227</v>
      </c>
      <c r="AW392" t="s">
        <v>153</v>
      </c>
      <c r="AX392">
        <v>109.354</v>
      </c>
      <c r="AY392">
        <v>1.080821157758461</v>
      </c>
      <c r="AZ392">
        <v>118.1921168855188</v>
      </c>
      <c r="BA392">
        <v>779.31</v>
      </c>
      <c r="BB392">
        <v>0.879</v>
      </c>
      <c r="BC392">
        <v>80.963194478237142</v>
      </c>
      <c r="BD392">
        <v>1.0078</v>
      </c>
      <c r="BE392">
        <v>81.594999999999999</v>
      </c>
      <c r="BF392">
        <v>8.9176000000000002</v>
      </c>
      <c r="BG392">
        <v>0.80400000000000005</v>
      </c>
      <c r="BH392">
        <v>6039.0430235999738</v>
      </c>
      <c r="BI392">
        <v>1</v>
      </c>
      <c r="BJ392">
        <v>6039.0429999999997</v>
      </c>
      <c r="BK392">
        <v>139.766115375</v>
      </c>
    </row>
    <row r="393" spans="1:63" x14ac:dyDescent="0.25">
      <c r="A393">
        <v>2300</v>
      </c>
      <c r="B393" t="s">
        <v>106</v>
      </c>
      <c r="C393">
        <v>2020</v>
      </c>
      <c r="D393">
        <v>1</v>
      </c>
      <c r="E393" t="s">
        <v>218</v>
      </c>
      <c r="F393" t="s">
        <v>219</v>
      </c>
      <c r="G393" t="s">
        <v>220</v>
      </c>
      <c r="H393" t="s">
        <v>17</v>
      </c>
      <c r="I393" t="s">
        <v>243</v>
      </c>
      <c r="J393" t="s">
        <v>244</v>
      </c>
      <c r="K393">
        <v>-207.13272491000001</v>
      </c>
      <c r="L393" t="s">
        <v>245</v>
      </c>
      <c r="M393" t="s">
        <v>235</v>
      </c>
      <c r="N393">
        <v>0.60074557881113</v>
      </c>
      <c r="O393">
        <v>124.43406899999999</v>
      </c>
      <c r="P393" t="s">
        <v>21</v>
      </c>
      <c r="Q393">
        <v>1</v>
      </c>
      <c r="V393">
        <v>66303.072</v>
      </c>
      <c r="W393">
        <v>1</v>
      </c>
      <c r="X393">
        <v>1.1311694000000001E-5</v>
      </c>
      <c r="Y393">
        <v>0.75</v>
      </c>
      <c r="Z393">
        <v>93.325552000000002</v>
      </c>
      <c r="AA393" t="s">
        <v>225</v>
      </c>
      <c r="AB393" t="s">
        <v>226</v>
      </c>
      <c r="AC393" t="s">
        <v>227</v>
      </c>
      <c r="AD393" t="s">
        <v>154</v>
      </c>
      <c r="AE393">
        <v>109.354</v>
      </c>
      <c r="AF393">
        <v>1.0727760310708341</v>
      </c>
      <c r="AG393">
        <v>117.31235010172</v>
      </c>
      <c r="AH393">
        <v>694.38</v>
      </c>
      <c r="AI393">
        <v>0.875</v>
      </c>
      <c r="AJ393">
        <v>71.276930955678296</v>
      </c>
      <c r="AK393">
        <v>1.0179</v>
      </c>
      <c r="AL393">
        <v>72.552999999999997</v>
      </c>
      <c r="AM393">
        <v>8.9176000000000002</v>
      </c>
      <c r="AN393">
        <v>9.5665875346772715</v>
      </c>
      <c r="AO393">
        <v>0.91300000000000003</v>
      </c>
      <c r="AP393">
        <v>6064.9193587765631</v>
      </c>
      <c r="AQ393">
        <v>0.98975009761811794</v>
      </c>
      <c r="AR393">
        <v>6002.7545</v>
      </c>
      <c r="AS393">
        <v>6771.0487742559999</v>
      </c>
      <c r="AT393" t="s">
        <v>269</v>
      </c>
      <c r="AU393" t="s">
        <v>270</v>
      </c>
      <c r="AV393" t="s">
        <v>227</v>
      </c>
      <c r="AW393" t="s">
        <v>154</v>
      </c>
      <c r="AX393">
        <v>109.354</v>
      </c>
      <c r="AY393">
        <v>1.080821157758461</v>
      </c>
      <c r="AZ393">
        <v>118.1921168855188</v>
      </c>
      <c r="BA393">
        <v>779.31</v>
      </c>
      <c r="BB393">
        <v>0.879</v>
      </c>
      <c r="BC393">
        <v>80.963194478237142</v>
      </c>
      <c r="BD393">
        <v>0.9899</v>
      </c>
      <c r="BE393">
        <v>80.144999999999996</v>
      </c>
      <c r="BF393">
        <v>8.9176000000000002</v>
      </c>
      <c r="BG393">
        <v>0.80400000000000005</v>
      </c>
      <c r="BH393">
        <v>6039.0430235999738</v>
      </c>
      <c r="BI393">
        <v>0.99199531433033972</v>
      </c>
      <c r="BJ393">
        <v>5990.7024000000001</v>
      </c>
      <c r="BK393">
        <v>7479.5763650399986</v>
      </c>
    </row>
    <row r="394" spans="1:63" x14ac:dyDescent="0.25">
      <c r="A394">
        <v>2302</v>
      </c>
      <c r="B394" t="s">
        <v>106</v>
      </c>
      <c r="C394">
        <v>2020</v>
      </c>
      <c r="D394">
        <v>1</v>
      </c>
      <c r="E394" t="s">
        <v>218</v>
      </c>
      <c r="F394" t="s">
        <v>219</v>
      </c>
      <c r="G394" t="s">
        <v>220</v>
      </c>
      <c r="H394" t="s">
        <v>17</v>
      </c>
      <c r="I394" t="s">
        <v>243</v>
      </c>
      <c r="J394" t="s">
        <v>244</v>
      </c>
      <c r="K394">
        <v>-207.13272491000001</v>
      </c>
      <c r="L394" t="s">
        <v>245</v>
      </c>
      <c r="M394" t="s">
        <v>236</v>
      </c>
      <c r="N394">
        <v>1.775192921592E-2</v>
      </c>
      <c r="O394">
        <v>3.6770049999999999</v>
      </c>
      <c r="P394" t="s">
        <v>21</v>
      </c>
      <c r="Q394">
        <v>1</v>
      </c>
      <c r="V394">
        <v>66303.072</v>
      </c>
      <c r="W394">
        <v>1</v>
      </c>
      <c r="X394">
        <v>1.1311694000000001E-5</v>
      </c>
      <c r="Y394">
        <v>0.75</v>
      </c>
      <c r="Z394">
        <v>2.7577539999999998</v>
      </c>
      <c r="AA394" t="s">
        <v>225</v>
      </c>
      <c r="AB394" t="s">
        <v>226</v>
      </c>
      <c r="AC394" t="s">
        <v>227</v>
      </c>
      <c r="AD394" t="s">
        <v>100</v>
      </c>
      <c r="AE394">
        <v>109.354</v>
      </c>
      <c r="AF394">
        <v>1.0727760310708341</v>
      </c>
      <c r="AG394">
        <v>117.31235010172</v>
      </c>
      <c r="AH394">
        <v>694.38</v>
      </c>
      <c r="AI394">
        <v>0.875</v>
      </c>
      <c r="AJ394">
        <v>71.276930955678296</v>
      </c>
      <c r="AK394">
        <v>0.96660000000000001</v>
      </c>
      <c r="AL394">
        <v>68.896000000000001</v>
      </c>
      <c r="AM394">
        <v>8.9176000000000002</v>
      </c>
      <c r="AN394">
        <v>9.5665875346772715</v>
      </c>
      <c r="AO394">
        <v>0.91300000000000003</v>
      </c>
      <c r="AP394">
        <v>6064.9193587765631</v>
      </c>
      <c r="AQ394">
        <v>0.98316430020283985</v>
      </c>
      <c r="AR394">
        <v>5962.8122000000003</v>
      </c>
      <c r="AS394">
        <v>189.998219584</v>
      </c>
      <c r="AT394" t="s">
        <v>269</v>
      </c>
      <c r="AU394" t="s">
        <v>270</v>
      </c>
      <c r="AV394" t="s">
        <v>227</v>
      </c>
      <c r="AW394" t="s">
        <v>100</v>
      </c>
      <c r="AX394">
        <v>109.354</v>
      </c>
      <c r="AY394">
        <v>1.080821157758461</v>
      </c>
      <c r="AZ394">
        <v>118.1921168855188</v>
      </c>
      <c r="BA394">
        <v>779.31</v>
      </c>
      <c r="BB394">
        <v>0.879</v>
      </c>
      <c r="BC394">
        <v>80.963194478237142</v>
      </c>
      <c r="BD394">
        <v>0.96560000000000001</v>
      </c>
      <c r="BE394">
        <v>78.177999999999997</v>
      </c>
      <c r="BF394">
        <v>8.9176000000000002</v>
      </c>
      <c r="BG394">
        <v>0.80400000000000005</v>
      </c>
      <c r="BH394">
        <v>6039.0430235999738</v>
      </c>
      <c r="BI394">
        <v>0.98955375253549693</v>
      </c>
      <c r="BJ394">
        <v>5975.9576999999999</v>
      </c>
      <c r="BK394">
        <v>215.59569221199999</v>
      </c>
    </row>
    <row r="395" spans="1:63" x14ac:dyDescent="0.25">
      <c r="A395">
        <v>2304</v>
      </c>
      <c r="B395" t="s">
        <v>106</v>
      </c>
      <c r="C395">
        <v>2020</v>
      </c>
      <c r="D395">
        <v>1</v>
      </c>
      <c r="E395" t="s">
        <v>218</v>
      </c>
      <c r="F395" t="s">
        <v>219</v>
      </c>
      <c r="G395" t="s">
        <v>220</v>
      </c>
      <c r="H395" t="s">
        <v>17</v>
      </c>
      <c r="I395" t="s">
        <v>243</v>
      </c>
      <c r="J395" t="s">
        <v>244</v>
      </c>
      <c r="K395">
        <v>-207.13272491000001</v>
      </c>
      <c r="L395" t="s">
        <v>245</v>
      </c>
      <c r="M395" t="s">
        <v>237</v>
      </c>
      <c r="N395">
        <v>0.39766766032624001</v>
      </c>
      <c r="O395">
        <v>82.369985999999997</v>
      </c>
      <c r="P395" t="s">
        <v>21</v>
      </c>
      <c r="Q395">
        <v>1</v>
      </c>
      <c r="V395">
        <v>66303.072</v>
      </c>
      <c r="W395">
        <v>1</v>
      </c>
      <c r="X395">
        <v>1.1311694000000001E-5</v>
      </c>
      <c r="Y395">
        <v>0.75</v>
      </c>
      <c r="Z395">
        <v>61.77749</v>
      </c>
      <c r="AA395" t="s">
        <v>225</v>
      </c>
      <c r="AB395" t="s">
        <v>226</v>
      </c>
      <c r="AC395" t="s">
        <v>227</v>
      </c>
      <c r="AD395" t="s">
        <v>101</v>
      </c>
      <c r="AE395">
        <v>109.354</v>
      </c>
      <c r="AF395">
        <v>1.0727760310708341</v>
      </c>
      <c r="AG395">
        <v>117.31235010172</v>
      </c>
      <c r="AH395">
        <v>694.38</v>
      </c>
      <c r="AI395">
        <v>0.875</v>
      </c>
      <c r="AJ395">
        <v>71.276930955678296</v>
      </c>
      <c r="AK395">
        <v>1.0077</v>
      </c>
      <c r="AL395">
        <v>71.825999999999993</v>
      </c>
      <c r="AM395">
        <v>8.9176000000000002</v>
      </c>
      <c r="AN395">
        <v>9.5665875346772715</v>
      </c>
      <c r="AO395">
        <v>0.91300000000000003</v>
      </c>
      <c r="AP395">
        <v>6064.9193587765631</v>
      </c>
      <c r="AQ395">
        <v>1.0255267423014589</v>
      </c>
      <c r="AR395">
        <v>6219.7370000000001</v>
      </c>
      <c r="AS395">
        <v>4437.2299967399986</v>
      </c>
      <c r="AT395" t="s">
        <v>269</v>
      </c>
      <c r="AU395" t="s">
        <v>270</v>
      </c>
      <c r="AV395" t="s">
        <v>227</v>
      </c>
      <c r="AW395" t="s">
        <v>101</v>
      </c>
      <c r="AX395">
        <v>109.354</v>
      </c>
      <c r="AY395">
        <v>1.080821157758461</v>
      </c>
      <c r="AZ395">
        <v>118.1921168855188</v>
      </c>
      <c r="BA395">
        <v>779.31</v>
      </c>
      <c r="BB395">
        <v>0.879</v>
      </c>
      <c r="BC395">
        <v>80.963194478237142</v>
      </c>
      <c r="BD395">
        <v>1.0097</v>
      </c>
      <c r="BE395">
        <v>81.748999999999995</v>
      </c>
      <c r="BF395">
        <v>8.9176000000000002</v>
      </c>
      <c r="BG395">
        <v>0.80400000000000005</v>
      </c>
      <c r="BH395">
        <v>6039.0430235999738</v>
      </c>
      <c r="BI395">
        <v>1.0276539708265799</v>
      </c>
      <c r="BJ395">
        <v>6206.0465000000004</v>
      </c>
      <c r="BK395">
        <v>5050.2480300099996</v>
      </c>
    </row>
    <row r="396" spans="1:63" x14ac:dyDescent="0.25">
      <c r="A396">
        <v>4618</v>
      </c>
      <c r="B396" t="s">
        <v>106</v>
      </c>
      <c r="C396">
        <v>2020</v>
      </c>
      <c r="D396">
        <v>1</v>
      </c>
      <c r="E396" t="s">
        <v>218</v>
      </c>
      <c r="F396" t="s">
        <v>219</v>
      </c>
      <c r="G396" t="s">
        <v>220</v>
      </c>
      <c r="H396" t="s">
        <v>17</v>
      </c>
      <c r="I396" t="s">
        <v>246</v>
      </c>
      <c r="J396" t="s">
        <v>247</v>
      </c>
      <c r="K396">
        <v>-580.96220831000005</v>
      </c>
      <c r="L396" t="s">
        <v>248</v>
      </c>
      <c r="M396" t="s">
        <v>224</v>
      </c>
      <c r="N396">
        <v>4.9724862092599999E-3</v>
      </c>
      <c r="O396">
        <v>2.888827</v>
      </c>
      <c r="P396" t="s">
        <v>21</v>
      </c>
      <c r="Q396">
        <v>1</v>
      </c>
      <c r="V396">
        <v>66303.072</v>
      </c>
      <c r="W396">
        <v>1</v>
      </c>
      <c r="X396">
        <v>1.1311694000000001E-5</v>
      </c>
      <c r="Y396">
        <v>0.75</v>
      </c>
      <c r="Z396">
        <v>2.16662</v>
      </c>
      <c r="AA396" t="s">
        <v>225</v>
      </c>
      <c r="AB396" t="s">
        <v>226</v>
      </c>
      <c r="AC396" t="s">
        <v>227</v>
      </c>
      <c r="AD396" t="s">
        <v>153</v>
      </c>
      <c r="AE396">
        <v>109.354</v>
      </c>
      <c r="AF396">
        <v>1.0727760310708341</v>
      </c>
      <c r="AG396">
        <v>117.31235010172</v>
      </c>
      <c r="AH396">
        <v>694.38</v>
      </c>
      <c r="AI396">
        <v>0.875</v>
      </c>
      <c r="AJ396">
        <v>71.276930955678296</v>
      </c>
      <c r="AK396">
        <v>1.0034000000000001</v>
      </c>
      <c r="AL396">
        <v>71.519000000000005</v>
      </c>
      <c r="AM396">
        <v>8.9176000000000002</v>
      </c>
      <c r="AN396">
        <v>9.5665875346772715</v>
      </c>
      <c r="AO396">
        <v>0.91300000000000003</v>
      </c>
      <c r="AP396">
        <v>6064.9193587765631</v>
      </c>
      <c r="AQ396">
        <v>1</v>
      </c>
      <c r="AR396">
        <v>6064.9193999999998</v>
      </c>
      <c r="AS396">
        <v>154.95449578</v>
      </c>
      <c r="AT396" t="s">
        <v>269</v>
      </c>
      <c r="AU396" t="s">
        <v>270</v>
      </c>
      <c r="AV396" t="s">
        <v>227</v>
      </c>
      <c r="AW396" t="s">
        <v>153</v>
      </c>
      <c r="AX396">
        <v>109.354</v>
      </c>
      <c r="AY396">
        <v>1.080821157758461</v>
      </c>
      <c r="AZ396">
        <v>118.1921168855188</v>
      </c>
      <c r="BA396">
        <v>779.31</v>
      </c>
      <c r="BB396">
        <v>0.879</v>
      </c>
      <c r="BC396">
        <v>80.963194478237142</v>
      </c>
      <c r="BD396">
        <v>1.0078</v>
      </c>
      <c r="BE396">
        <v>81.594999999999999</v>
      </c>
      <c r="BF396">
        <v>8.9176000000000002</v>
      </c>
      <c r="BG396">
        <v>0.80400000000000005</v>
      </c>
      <c r="BH396">
        <v>6039.0430235999738</v>
      </c>
      <c r="BI396">
        <v>1</v>
      </c>
      <c r="BJ396">
        <v>6039.0429999999997</v>
      </c>
      <c r="BK396">
        <v>176.78535890000001</v>
      </c>
    </row>
    <row r="397" spans="1:63" x14ac:dyDescent="0.25">
      <c r="A397">
        <v>4620</v>
      </c>
      <c r="B397" t="s">
        <v>106</v>
      </c>
      <c r="C397">
        <v>2020</v>
      </c>
      <c r="D397">
        <v>1</v>
      </c>
      <c r="E397" t="s">
        <v>218</v>
      </c>
      <c r="F397" t="s">
        <v>219</v>
      </c>
      <c r="G397" t="s">
        <v>220</v>
      </c>
      <c r="H397" t="s">
        <v>17</v>
      </c>
      <c r="I397" t="s">
        <v>246</v>
      </c>
      <c r="J397" t="s">
        <v>247</v>
      </c>
      <c r="K397">
        <v>-580.96220831000005</v>
      </c>
      <c r="L397" t="s">
        <v>248</v>
      </c>
      <c r="M397" t="s">
        <v>235</v>
      </c>
      <c r="N397">
        <v>0.99209122360516</v>
      </c>
      <c r="O397">
        <v>576.36750800000004</v>
      </c>
      <c r="P397" t="s">
        <v>21</v>
      </c>
      <c r="Q397">
        <v>1</v>
      </c>
      <c r="V397">
        <v>66303.072</v>
      </c>
      <c r="W397">
        <v>1</v>
      </c>
      <c r="X397">
        <v>1.1311694000000001E-5</v>
      </c>
      <c r="Y397">
        <v>0.75</v>
      </c>
      <c r="Z397">
        <v>432.27563099999998</v>
      </c>
      <c r="AA397" t="s">
        <v>225</v>
      </c>
      <c r="AB397" t="s">
        <v>226</v>
      </c>
      <c r="AC397" t="s">
        <v>227</v>
      </c>
      <c r="AD397" t="s">
        <v>154</v>
      </c>
      <c r="AE397">
        <v>109.354</v>
      </c>
      <c r="AF397">
        <v>1.0727760310708341</v>
      </c>
      <c r="AG397">
        <v>117.31235010172</v>
      </c>
      <c r="AH397">
        <v>694.38</v>
      </c>
      <c r="AI397">
        <v>0.875</v>
      </c>
      <c r="AJ397">
        <v>71.276930955678296</v>
      </c>
      <c r="AK397">
        <v>1.0179</v>
      </c>
      <c r="AL397">
        <v>72.552999999999997</v>
      </c>
      <c r="AM397">
        <v>8.9176000000000002</v>
      </c>
      <c r="AN397">
        <v>9.5665875346772715</v>
      </c>
      <c r="AO397">
        <v>0.91300000000000003</v>
      </c>
      <c r="AP397">
        <v>6064.9193587765631</v>
      </c>
      <c r="AQ397">
        <v>0.98975009761811794</v>
      </c>
      <c r="AR397">
        <v>6002.7545</v>
      </c>
      <c r="AS397">
        <v>31362.893855942999</v>
      </c>
      <c r="AT397" t="s">
        <v>269</v>
      </c>
      <c r="AU397" t="s">
        <v>270</v>
      </c>
      <c r="AV397" t="s">
        <v>227</v>
      </c>
      <c r="AW397" t="s">
        <v>154</v>
      </c>
      <c r="AX397">
        <v>109.354</v>
      </c>
      <c r="AY397">
        <v>1.080821157758461</v>
      </c>
      <c r="AZ397">
        <v>118.1921168855188</v>
      </c>
      <c r="BA397">
        <v>779.31</v>
      </c>
      <c r="BB397">
        <v>0.879</v>
      </c>
      <c r="BC397">
        <v>80.963194478237142</v>
      </c>
      <c r="BD397">
        <v>0.9899</v>
      </c>
      <c r="BE397">
        <v>80.144999999999996</v>
      </c>
      <c r="BF397">
        <v>8.9176000000000002</v>
      </c>
      <c r="BG397">
        <v>0.80400000000000005</v>
      </c>
      <c r="BH397">
        <v>6039.0430235999738</v>
      </c>
      <c r="BI397">
        <v>0.99199531433033972</v>
      </c>
      <c r="BJ397">
        <v>5990.7024000000001</v>
      </c>
      <c r="BK397">
        <v>34644.730446494999</v>
      </c>
    </row>
    <row r="398" spans="1:63" x14ac:dyDescent="0.25">
      <c r="A398">
        <v>4622</v>
      </c>
      <c r="B398" t="s">
        <v>106</v>
      </c>
      <c r="C398">
        <v>2020</v>
      </c>
      <c r="D398">
        <v>1</v>
      </c>
      <c r="E398" t="s">
        <v>218</v>
      </c>
      <c r="F398" t="s">
        <v>219</v>
      </c>
      <c r="G398" t="s">
        <v>220</v>
      </c>
      <c r="H398" t="s">
        <v>17</v>
      </c>
      <c r="I398" t="s">
        <v>246</v>
      </c>
      <c r="J398" t="s">
        <v>247</v>
      </c>
      <c r="K398">
        <v>-580.96220831000005</v>
      </c>
      <c r="L398" t="s">
        <v>248</v>
      </c>
      <c r="M398" t="s">
        <v>236</v>
      </c>
      <c r="N398">
        <v>4.7995598170700003E-3</v>
      </c>
      <c r="O398">
        <v>2.7883629999999999</v>
      </c>
      <c r="P398" t="s">
        <v>21</v>
      </c>
      <c r="Q398">
        <v>1</v>
      </c>
      <c r="V398">
        <v>66303.072</v>
      </c>
      <c r="W398">
        <v>1</v>
      </c>
      <c r="X398">
        <v>1.1311694000000001E-5</v>
      </c>
      <c r="Y398">
        <v>0.75</v>
      </c>
      <c r="Z398">
        <v>2.091272</v>
      </c>
      <c r="AA398" t="s">
        <v>225</v>
      </c>
      <c r="AB398" t="s">
        <v>226</v>
      </c>
      <c r="AC398" t="s">
        <v>227</v>
      </c>
      <c r="AD398" t="s">
        <v>100</v>
      </c>
      <c r="AE398">
        <v>109.354</v>
      </c>
      <c r="AF398">
        <v>1.0727760310708341</v>
      </c>
      <c r="AG398">
        <v>117.31235010172</v>
      </c>
      <c r="AH398">
        <v>694.38</v>
      </c>
      <c r="AI398">
        <v>0.875</v>
      </c>
      <c r="AJ398">
        <v>71.276930955678296</v>
      </c>
      <c r="AK398">
        <v>0.96660000000000001</v>
      </c>
      <c r="AL398">
        <v>68.896000000000001</v>
      </c>
      <c r="AM398">
        <v>8.9176000000000002</v>
      </c>
      <c r="AN398">
        <v>9.5665875346772715</v>
      </c>
      <c r="AO398">
        <v>0.91300000000000003</v>
      </c>
      <c r="AP398">
        <v>6064.9193587765631</v>
      </c>
      <c r="AQ398">
        <v>0.98316430020283985</v>
      </c>
      <c r="AR398">
        <v>5962.8122000000003</v>
      </c>
      <c r="AS398">
        <v>144.080275712</v>
      </c>
      <c r="AT398" t="s">
        <v>269</v>
      </c>
      <c r="AU398" t="s">
        <v>270</v>
      </c>
      <c r="AV398" t="s">
        <v>227</v>
      </c>
      <c r="AW398" t="s">
        <v>100</v>
      </c>
      <c r="AX398">
        <v>109.354</v>
      </c>
      <c r="AY398">
        <v>1.080821157758461</v>
      </c>
      <c r="AZ398">
        <v>118.1921168855188</v>
      </c>
      <c r="BA398">
        <v>779.31</v>
      </c>
      <c r="BB398">
        <v>0.879</v>
      </c>
      <c r="BC398">
        <v>80.963194478237142</v>
      </c>
      <c r="BD398">
        <v>0.96560000000000001</v>
      </c>
      <c r="BE398">
        <v>78.177999999999997</v>
      </c>
      <c r="BF398">
        <v>8.9176000000000002</v>
      </c>
      <c r="BG398">
        <v>0.80400000000000005</v>
      </c>
      <c r="BH398">
        <v>6039.0430235999738</v>
      </c>
      <c r="BI398">
        <v>0.98955375253549693</v>
      </c>
      <c r="BJ398">
        <v>5975.9576999999999</v>
      </c>
      <c r="BK398">
        <v>163.49146241599999</v>
      </c>
    </row>
    <row r="399" spans="1:63" x14ac:dyDescent="0.25">
      <c r="A399">
        <v>4624</v>
      </c>
      <c r="B399" t="s">
        <v>106</v>
      </c>
      <c r="C399">
        <v>2020</v>
      </c>
      <c r="D399">
        <v>1</v>
      </c>
      <c r="E399" t="s">
        <v>218</v>
      </c>
      <c r="F399" t="s">
        <v>219</v>
      </c>
      <c r="G399" t="s">
        <v>220</v>
      </c>
      <c r="H399" t="s">
        <v>17</v>
      </c>
      <c r="I399" t="s">
        <v>246</v>
      </c>
      <c r="J399" t="s">
        <v>247</v>
      </c>
      <c r="K399">
        <v>-580.96220831000005</v>
      </c>
      <c r="L399" t="s">
        <v>248</v>
      </c>
      <c r="M399" t="s">
        <v>237</v>
      </c>
      <c r="N399">
        <v>2.2580780904460002E-2</v>
      </c>
      <c r="O399">
        <v>13.11858</v>
      </c>
      <c r="P399" t="s">
        <v>21</v>
      </c>
      <c r="Q399">
        <v>1</v>
      </c>
      <c r="V399">
        <v>66303.072</v>
      </c>
      <c r="W399">
        <v>1</v>
      </c>
      <c r="X399">
        <v>1.1311694000000001E-5</v>
      </c>
      <c r="Y399">
        <v>0.75</v>
      </c>
      <c r="Z399">
        <v>9.8389349999999993</v>
      </c>
      <c r="AA399" t="s">
        <v>225</v>
      </c>
      <c r="AB399" t="s">
        <v>226</v>
      </c>
      <c r="AC399" t="s">
        <v>227</v>
      </c>
      <c r="AD399" t="s">
        <v>101</v>
      </c>
      <c r="AE399">
        <v>109.354</v>
      </c>
      <c r="AF399">
        <v>1.0727760310708341</v>
      </c>
      <c r="AG399">
        <v>117.31235010172</v>
      </c>
      <c r="AH399">
        <v>694.38</v>
      </c>
      <c r="AI399">
        <v>0.875</v>
      </c>
      <c r="AJ399">
        <v>71.276930955678296</v>
      </c>
      <c r="AK399">
        <v>1.0077</v>
      </c>
      <c r="AL399">
        <v>71.825999999999993</v>
      </c>
      <c r="AM399">
        <v>8.9176000000000002</v>
      </c>
      <c r="AN399">
        <v>9.5665875346772715</v>
      </c>
      <c r="AO399">
        <v>0.91300000000000003</v>
      </c>
      <c r="AP399">
        <v>6064.9193587765631</v>
      </c>
      <c r="AQ399">
        <v>1.0255267423014589</v>
      </c>
      <c r="AR399">
        <v>6219.7370000000001</v>
      </c>
      <c r="AS399">
        <v>706.69134530999986</v>
      </c>
      <c r="AT399" t="s">
        <v>269</v>
      </c>
      <c r="AU399" t="s">
        <v>270</v>
      </c>
      <c r="AV399" t="s">
        <v>227</v>
      </c>
      <c r="AW399" t="s">
        <v>101</v>
      </c>
      <c r="AX399">
        <v>109.354</v>
      </c>
      <c r="AY399">
        <v>1.080821157758461</v>
      </c>
      <c r="AZ399">
        <v>118.1921168855188</v>
      </c>
      <c r="BA399">
        <v>779.31</v>
      </c>
      <c r="BB399">
        <v>0.879</v>
      </c>
      <c r="BC399">
        <v>80.963194478237142</v>
      </c>
      <c r="BD399">
        <v>1.0097</v>
      </c>
      <c r="BE399">
        <v>81.748999999999995</v>
      </c>
      <c r="BF399">
        <v>8.9176000000000002</v>
      </c>
      <c r="BG399">
        <v>0.80400000000000005</v>
      </c>
      <c r="BH399">
        <v>6039.0430235999738</v>
      </c>
      <c r="BI399">
        <v>1.0276539708265799</v>
      </c>
      <c r="BJ399">
        <v>6206.0465000000004</v>
      </c>
      <c r="BK399">
        <v>804.32309731499993</v>
      </c>
    </row>
    <row r="400" spans="1:63" x14ac:dyDescent="0.25">
      <c r="A400">
        <v>1150</v>
      </c>
      <c r="B400" t="s">
        <v>106</v>
      </c>
      <c r="C400">
        <v>2020</v>
      </c>
      <c r="D400">
        <v>1</v>
      </c>
      <c r="E400" t="s">
        <v>218</v>
      </c>
      <c r="F400" t="s">
        <v>219</v>
      </c>
      <c r="G400" t="s">
        <v>220</v>
      </c>
      <c r="H400" t="s">
        <v>17</v>
      </c>
      <c r="I400" t="s">
        <v>249</v>
      </c>
      <c r="J400" t="s">
        <v>250</v>
      </c>
      <c r="K400">
        <v>-740.48768103999998</v>
      </c>
      <c r="L400" t="s">
        <v>250</v>
      </c>
      <c r="M400" t="s">
        <v>231</v>
      </c>
      <c r="N400">
        <v>4.9898993999990003E-2</v>
      </c>
      <c r="O400">
        <v>36.949590000000001</v>
      </c>
      <c r="P400" t="s">
        <v>21</v>
      </c>
      <c r="Q400">
        <v>1</v>
      </c>
      <c r="V400">
        <v>66303.072</v>
      </c>
      <c r="W400">
        <v>1</v>
      </c>
      <c r="X400">
        <v>1.1311694000000001E-5</v>
      </c>
      <c r="Y400">
        <v>0.75</v>
      </c>
      <c r="Z400">
        <v>27.712192999999999</v>
      </c>
      <c r="AA400" t="s">
        <v>225</v>
      </c>
      <c r="AB400" t="s">
        <v>226</v>
      </c>
      <c r="AC400" t="s">
        <v>227</v>
      </c>
      <c r="AD400" t="s">
        <v>100</v>
      </c>
      <c r="AE400">
        <v>109.354</v>
      </c>
      <c r="AF400">
        <v>1.0727760310708341</v>
      </c>
      <c r="AG400">
        <v>117.31235010172</v>
      </c>
      <c r="AH400">
        <v>694.38</v>
      </c>
      <c r="AI400">
        <v>0.875</v>
      </c>
      <c r="AJ400">
        <v>71.276930955678296</v>
      </c>
      <c r="AK400">
        <v>0.96660000000000001</v>
      </c>
      <c r="AL400">
        <v>68.896000000000001</v>
      </c>
      <c r="AM400">
        <v>8.9176000000000002</v>
      </c>
      <c r="AN400">
        <v>9.5665875346772715</v>
      </c>
      <c r="AO400">
        <v>0.91300000000000003</v>
      </c>
      <c r="AP400">
        <v>6064.9193587765631</v>
      </c>
      <c r="AQ400">
        <v>0.98316430020283985</v>
      </c>
      <c r="AR400">
        <v>5962.8122000000003</v>
      </c>
      <c r="AS400">
        <v>1909.259248928</v>
      </c>
      <c r="AT400" t="s">
        <v>269</v>
      </c>
      <c r="AU400" t="s">
        <v>270</v>
      </c>
      <c r="AV400" t="s">
        <v>227</v>
      </c>
      <c r="AW400" t="s">
        <v>100</v>
      </c>
      <c r="AX400">
        <v>109.354</v>
      </c>
      <c r="AY400">
        <v>1.080821157758461</v>
      </c>
      <c r="AZ400">
        <v>118.1921168855188</v>
      </c>
      <c r="BA400">
        <v>779.31</v>
      </c>
      <c r="BB400">
        <v>0.879</v>
      </c>
      <c r="BC400">
        <v>80.963194478237142</v>
      </c>
      <c r="BD400">
        <v>0.96560000000000001</v>
      </c>
      <c r="BE400">
        <v>78.177999999999997</v>
      </c>
      <c r="BF400">
        <v>8.9176000000000002</v>
      </c>
      <c r="BG400">
        <v>0.80400000000000005</v>
      </c>
      <c r="BH400">
        <v>6039.0430235999738</v>
      </c>
      <c r="BI400">
        <v>0.98955375253549693</v>
      </c>
      <c r="BJ400">
        <v>5975.9576999999999</v>
      </c>
      <c r="BK400">
        <v>2166.4838243539998</v>
      </c>
    </row>
    <row r="401" spans="1:63" x14ac:dyDescent="0.25">
      <c r="A401">
        <v>1152</v>
      </c>
      <c r="B401" t="s">
        <v>106</v>
      </c>
      <c r="C401">
        <v>2020</v>
      </c>
      <c r="D401">
        <v>1</v>
      </c>
      <c r="E401" t="s">
        <v>218</v>
      </c>
      <c r="F401" t="s">
        <v>219</v>
      </c>
      <c r="G401" t="s">
        <v>220</v>
      </c>
      <c r="H401" t="s">
        <v>17</v>
      </c>
      <c r="I401" t="s">
        <v>249</v>
      </c>
      <c r="J401" t="s">
        <v>250</v>
      </c>
      <c r="K401">
        <v>-740.48768103999998</v>
      </c>
      <c r="L401" t="s">
        <v>250</v>
      </c>
      <c r="M401" t="s">
        <v>232</v>
      </c>
      <c r="N401">
        <v>0.97472100599996003</v>
      </c>
      <c r="O401">
        <v>721.76889700000004</v>
      </c>
      <c r="P401" t="s">
        <v>21</v>
      </c>
      <c r="Q401">
        <v>1</v>
      </c>
      <c r="V401">
        <v>66303.072</v>
      </c>
      <c r="W401">
        <v>1</v>
      </c>
      <c r="X401">
        <v>1.1311694000000001E-5</v>
      </c>
      <c r="Y401">
        <v>0.75</v>
      </c>
      <c r="Z401">
        <v>541.32667300000003</v>
      </c>
      <c r="AA401" t="s">
        <v>225</v>
      </c>
      <c r="AB401" t="s">
        <v>226</v>
      </c>
      <c r="AC401" t="s">
        <v>227</v>
      </c>
      <c r="AD401" t="s">
        <v>101</v>
      </c>
      <c r="AE401">
        <v>109.354</v>
      </c>
      <c r="AF401">
        <v>1.0727760310708341</v>
      </c>
      <c r="AG401">
        <v>117.31235010172</v>
      </c>
      <c r="AH401">
        <v>694.38</v>
      </c>
      <c r="AI401">
        <v>0.875</v>
      </c>
      <c r="AJ401">
        <v>71.276930955678296</v>
      </c>
      <c r="AK401">
        <v>1.0077</v>
      </c>
      <c r="AL401">
        <v>71.825999999999993</v>
      </c>
      <c r="AM401">
        <v>8.9176000000000002</v>
      </c>
      <c r="AN401">
        <v>9.5665875346772715</v>
      </c>
      <c r="AO401">
        <v>0.91300000000000003</v>
      </c>
      <c r="AP401">
        <v>6064.9193587765631</v>
      </c>
      <c r="AQ401">
        <v>1.0255267423014589</v>
      </c>
      <c r="AR401">
        <v>6219.7370000000001</v>
      </c>
      <c r="AS401">
        <v>38881.329614898001</v>
      </c>
      <c r="AT401" t="s">
        <v>269</v>
      </c>
      <c r="AU401" t="s">
        <v>270</v>
      </c>
      <c r="AV401" t="s">
        <v>227</v>
      </c>
      <c r="AW401" t="s">
        <v>101</v>
      </c>
      <c r="AX401">
        <v>109.354</v>
      </c>
      <c r="AY401">
        <v>1.080821157758461</v>
      </c>
      <c r="AZ401">
        <v>118.1921168855188</v>
      </c>
      <c r="BA401">
        <v>779.31</v>
      </c>
      <c r="BB401">
        <v>0.879</v>
      </c>
      <c r="BC401">
        <v>80.963194478237142</v>
      </c>
      <c r="BD401">
        <v>1.0097</v>
      </c>
      <c r="BE401">
        <v>81.748999999999995</v>
      </c>
      <c r="BF401">
        <v>8.9176000000000002</v>
      </c>
      <c r="BG401">
        <v>0.80400000000000005</v>
      </c>
      <c r="BH401">
        <v>6039.0430235999738</v>
      </c>
      <c r="BI401">
        <v>1.0276539708265799</v>
      </c>
      <c r="BJ401">
        <v>6206.0465000000004</v>
      </c>
      <c r="BK401">
        <v>44252.914191076998</v>
      </c>
    </row>
    <row r="402" spans="1:63" x14ac:dyDescent="0.25">
      <c r="A402">
        <v>4626</v>
      </c>
      <c r="B402" t="s">
        <v>106</v>
      </c>
      <c r="C402">
        <v>2020</v>
      </c>
      <c r="D402">
        <v>1</v>
      </c>
      <c r="E402" t="s">
        <v>218</v>
      </c>
      <c r="F402" t="s">
        <v>251</v>
      </c>
      <c r="G402" t="s">
        <v>252</v>
      </c>
      <c r="H402" t="s">
        <v>17</v>
      </c>
      <c r="I402" t="s">
        <v>253</v>
      </c>
      <c r="J402" t="s">
        <v>222</v>
      </c>
      <c r="K402">
        <v>-279.73905187000003</v>
      </c>
      <c r="L402" t="s">
        <v>223</v>
      </c>
      <c r="M402" t="s">
        <v>224</v>
      </c>
      <c r="N402">
        <v>8.7524974586199993E-3</v>
      </c>
      <c r="O402">
        <v>2.4484149999999998</v>
      </c>
      <c r="P402" t="s">
        <v>21</v>
      </c>
      <c r="Q402">
        <v>1</v>
      </c>
      <c r="V402">
        <v>66303.072</v>
      </c>
      <c r="W402">
        <v>1</v>
      </c>
      <c r="X402">
        <v>9.0493559999999998E-6</v>
      </c>
      <c r="Y402">
        <v>0.6</v>
      </c>
      <c r="Z402">
        <v>1.469049</v>
      </c>
      <c r="AA402" t="s">
        <v>225</v>
      </c>
      <c r="AB402" t="s">
        <v>226</v>
      </c>
      <c r="AC402" t="s">
        <v>227</v>
      </c>
      <c r="AD402" t="s">
        <v>153</v>
      </c>
      <c r="AE402">
        <v>109.354</v>
      </c>
      <c r="AF402">
        <v>1.0727760310708341</v>
      </c>
      <c r="AG402">
        <v>117.31235010172</v>
      </c>
      <c r="AH402">
        <v>694.38</v>
      </c>
      <c r="AI402">
        <v>0.875</v>
      </c>
      <c r="AJ402">
        <v>71.276930955678296</v>
      </c>
      <c r="AK402">
        <v>1.0034000000000001</v>
      </c>
      <c r="AL402">
        <v>71.519000000000005</v>
      </c>
      <c r="AM402">
        <v>8.9176000000000002</v>
      </c>
      <c r="AN402">
        <v>9.5665875346772715</v>
      </c>
      <c r="AO402">
        <v>0.91300000000000003</v>
      </c>
      <c r="AP402">
        <v>6064.9193587765631</v>
      </c>
      <c r="AQ402">
        <v>1</v>
      </c>
      <c r="AR402">
        <v>6064.9193999999998</v>
      </c>
      <c r="AS402">
        <v>105.064915431</v>
      </c>
      <c r="AT402" t="s">
        <v>269</v>
      </c>
      <c r="AU402" t="s">
        <v>270</v>
      </c>
      <c r="AV402" t="s">
        <v>227</v>
      </c>
      <c r="AW402" t="s">
        <v>153</v>
      </c>
      <c r="AX402">
        <v>109.354</v>
      </c>
      <c r="AY402">
        <v>1.080821157758461</v>
      </c>
      <c r="AZ402">
        <v>118.1921168855188</v>
      </c>
      <c r="BA402">
        <v>779.31</v>
      </c>
      <c r="BB402">
        <v>0.879</v>
      </c>
      <c r="BC402">
        <v>80.963194478237142</v>
      </c>
      <c r="BD402">
        <v>1.0078</v>
      </c>
      <c r="BE402">
        <v>81.594999999999999</v>
      </c>
      <c r="BF402">
        <v>8.9176000000000002</v>
      </c>
      <c r="BG402">
        <v>0.80400000000000005</v>
      </c>
      <c r="BH402">
        <v>6039.0430235999738</v>
      </c>
      <c r="BI402">
        <v>1</v>
      </c>
      <c r="BJ402">
        <v>6039.0429999999997</v>
      </c>
      <c r="BK402">
        <v>119.86705315499999</v>
      </c>
    </row>
    <row r="403" spans="1:63" x14ac:dyDescent="0.25">
      <c r="A403">
        <v>4628</v>
      </c>
      <c r="B403" t="s">
        <v>106</v>
      </c>
      <c r="C403">
        <v>2020</v>
      </c>
      <c r="D403">
        <v>1</v>
      </c>
      <c r="E403" t="s">
        <v>218</v>
      </c>
      <c r="F403" t="s">
        <v>251</v>
      </c>
      <c r="G403" t="s">
        <v>252</v>
      </c>
      <c r="H403" t="s">
        <v>17</v>
      </c>
      <c r="I403" t="s">
        <v>253</v>
      </c>
      <c r="J403" t="s">
        <v>222</v>
      </c>
      <c r="K403">
        <v>-279.73905187000003</v>
      </c>
      <c r="L403" t="s">
        <v>223</v>
      </c>
      <c r="M403" t="s">
        <v>230</v>
      </c>
      <c r="N403">
        <v>0.16047331440265999</v>
      </c>
      <c r="O403">
        <v>44.890653</v>
      </c>
      <c r="P403" t="s">
        <v>21</v>
      </c>
      <c r="Q403">
        <v>1</v>
      </c>
      <c r="V403">
        <v>66303.072</v>
      </c>
      <c r="W403">
        <v>1</v>
      </c>
      <c r="X403">
        <v>9.0493559999999998E-6</v>
      </c>
      <c r="Y403">
        <v>0.6</v>
      </c>
      <c r="Z403">
        <v>26.934391999999999</v>
      </c>
      <c r="AA403" t="s">
        <v>225</v>
      </c>
      <c r="AB403" t="s">
        <v>226</v>
      </c>
      <c r="AC403" t="s">
        <v>227</v>
      </c>
      <c r="AD403" t="s">
        <v>154</v>
      </c>
      <c r="AE403">
        <v>109.354</v>
      </c>
      <c r="AF403">
        <v>1.0727760310708341</v>
      </c>
      <c r="AG403">
        <v>117.31235010172</v>
      </c>
      <c r="AH403">
        <v>694.38</v>
      </c>
      <c r="AI403">
        <v>0.875</v>
      </c>
      <c r="AJ403">
        <v>71.276930955678296</v>
      </c>
      <c r="AK403">
        <v>1.0179</v>
      </c>
      <c r="AL403">
        <v>72.552999999999997</v>
      </c>
      <c r="AM403">
        <v>8.9176000000000002</v>
      </c>
      <c r="AN403">
        <v>9.5665875346772715</v>
      </c>
      <c r="AO403">
        <v>0.91300000000000003</v>
      </c>
      <c r="AP403">
        <v>6064.9193587765631</v>
      </c>
      <c r="AQ403">
        <v>0.98975009761811794</v>
      </c>
      <c r="AR403">
        <v>6002.7545</v>
      </c>
      <c r="AS403">
        <v>1954.1709427759999</v>
      </c>
      <c r="AT403" t="s">
        <v>269</v>
      </c>
      <c r="AU403" t="s">
        <v>270</v>
      </c>
      <c r="AV403" t="s">
        <v>227</v>
      </c>
      <c r="AW403" t="s">
        <v>154</v>
      </c>
      <c r="AX403">
        <v>109.354</v>
      </c>
      <c r="AY403">
        <v>1.080821157758461</v>
      </c>
      <c r="AZ403">
        <v>118.1921168855188</v>
      </c>
      <c r="BA403">
        <v>779.31</v>
      </c>
      <c r="BB403">
        <v>0.879</v>
      </c>
      <c r="BC403">
        <v>80.963194478237142</v>
      </c>
      <c r="BD403">
        <v>0.9899</v>
      </c>
      <c r="BE403">
        <v>80.144999999999996</v>
      </c>
      <c r="BF403">
        <v>8.9176000000000002</v>
      </c>
      <c r="BG403">
        <v>0.80400000000000005</v>
      </c>
      <c r="BH403">
        <v>6039.0430235999738</v>
      </c>
      <c r="BI403">
        <v>0.99199531433033972</v>
      </c>
      <c r="BJ403">
        <v>5990.7024000000001</v>
      </c>
      <c r="BK403">
        <v>2158.6568468400001</v>
      </c>
    </row>
    <row r="404" spans="1:63" x14ac:dyDescent="0.25">
      <c r="A404">
        <v>4630</v>
      </c>
      <c r="B404" t="s">
        <v>106</v>
      </c>
      <c r="C404">
        <v>2020</v>
      </c>
      <c r="D404">
        <v>1</v>
      </c>
      <c r="E404" t="s">
        <v>218</v>
      </c>
      <c r="F404" t="s">
        <v>251</v>
      </c>
      <c r="G404" t="s">
        <v>252</v>
      </c>
      <c r="H404" t="s">
        <v>17</v>
      </c>
      <c r="I404" t="s">
        <v>253</v>
      </c>
      <c r="J404" t="s">
        <v>222</v>
      </c>
      <c r="K404">
        <v>-279.73905187000003</v>
      </c>
      <c r="L404" t="s">
        <v>223</v>
      </c>
      <c r="M404" t="s">
        <v>231</v>
      </c>
      <c r="N404">
        <v>4.5018334813739999E-2</v>
      </c>
      <c r="O404">
        <v>12.593386000000001</v>
      </c>
      <c r="P404" t="s">
        <v>21</v>
      </c>
      <c r="Q404">
        <v>1</v>
      </c>
      <c r="V404">
        <v>66303.072</v>
      </c>
      <c r="W404">
        <v>1</v>
      </c>
      <c r="X404">
        <v>9.0493559999999998E-6</v>
      </c>
      <c r="Y404">
        <v>0.6</v>
      </c>
      <c r="Z404">
        <v>7.5560320000000001</v>
      </c>
      <c r="AA404" t="s">
        <v>225</v>
      </c>
      <c r="AB404" t="s">
        <v>226</v>
      </c>
      <c r="AC404" t="s">
        <v>227</v>
      </c>
      <c r="AD404" t="s">
        <v>100</v>
      </c>
      <c r="AE404">
        <v>109.354</v>
      </c>
      <c r="AF404">
        <v>1.0727760310708341</v>
      </c>
      <c r="AG404">
        <v>117.31235010172</v>
      </c>
      <c r="AH404">
        <v>694.38</v>
      </c>
      <c r="AI404">
        <v>0.875</v>
      </c>
      <c r="AJ404">
        <v>71.276930955678296</v>
      </c>
      <c r="AK404">
        <v>0.96660000000000001</v>
      </c>
      <c r="AL404">
        <v>68.896000000000001</v>
      </c>
      <c r="AM404">
        <v>8.9176000000000002</v>
      </c>
      <c r="AN404">
        <v>9.5665875346772715</v>
      </c>
      <c r="AO404">
        <v>0.91300000000000003</v>
      </c>
      <c r="AP404">
        <v>6064.9193587765631</v>
      </c>
      <c r="AQ404">
        <v>0.98316430020283985</v>
      </c>
      <c r="AR404">
        <v>5962.8122000000003</v>
      </c>
      <c r="AS404">
        <v>520.58038067200005</v>
      </c>
      <c r="AT404" t="s">
        <v>269</v>
      </c>
      <c r="AU404" t="s">
        <v>270</v>
      </c>
      <c r="AV404" t="s">
        <v>227</v>
      </c>
      <c r="AW404" t="s">
        <v>100</v>
      </c>
      <c r="AX404">
        <v>109.354</v>
      </c>
      <c r="AY404">
        <v>1.080821157758461</v>
      </c>
      <c r="AZ404">
        <v>118.1921168855188</v>
      </c>
      <c r="BA404">
        <v>779.31</v>
      </c>
      <c r="BB404">
        <v>0.879</v>
      </c>
      <c r="BC404">
        <v>80.963194478237142</v>
      </c>
      <c r="BD404">
        <v>0.96560000000000001</v>
      </c>
      <c r="BE404">
        <v>78.177999999999997</v>
      </c>
      <c r="BF404">
        <v>8.9176000000000002</v>
      </c>
      <c r="BG404">
        <v>0.80400000000000005</v>
      </c>
      <c r="BH404">
        <v>6039.0430235999738</v>
      </c>
      <c r="BI404">
        <v>0.98955375253549693</v>
      </c>
      <c r="BJ404">
        <v>5975.9576999999999</v>
      </c>
      <c r="BK404">
        <v>590.71546969600001</v>
      </c>
    </row>
    <row r="405" spans="1:63" x14ac:dyDescent="0.25">
      <c r="A405">
        <v>4632</v>
      </c>
      <c r="B405" t="s">
        <v>106</v>
      </c>
      <c r="C405">
        <v>2020</v>
      </c>
      <c r="D405">
        <v>1</v>
      </c>
      <c r="E405" t="s">
        <v>218</v>
      </c>
      <c r="F405" t="s">
        <v>251</v>
      </c>
      <c r="G405" t="s">
        <v>252</v>
      </c>
      <c r="H405" t="s">
        <v>17</v>
      </c>
      <c r="I405" t="s">
        <v>253</v>
      </c>
      <c r="J405" t="s">
        <v>222</v>
      </c>
      <c r="K405">
        <v>-279.73905187000003</v>
      </c>
      <c r="L405" t="s">
        <v>223</v>
      </c>
      <c r="M405" t="s">
        <v>232</v>
      </c>
      <c r="N405">
        <v>0.87398007306502001</v>
      </c>
      <c r="O405">
        <v>244.486357</v>
      </c>
      <c r="P405" t="s">
        <v>21</v>
      </c>
      <c r="Q405">
        <v>1</v>
      </c>
      <c r="V405">
        <v>66303.072</v>
      </c>
      <c r="W405">
        <v>1</v>
      </c>
      <c r="X405">
        <v>9.0493559999999998E-6</v>
      </c>
      <c r="Y405">
        <v>0.6</v>
      </c>
      <c r="Z405">
        <v>146.69181399999999</v>
      </c>
      <c r="AA405" t="s">
        <v>225</v>
      </c>
      <c r="AB405" t="s">
        <v>226</v>
      </c>
      <c r="AC405" t="s">
        <v>227</v>
      </c>
      <c r="AD405" t="s">
        <v>101</v>
      </c>
      <c r="AE405">
        <v>109.354</v>
      </c>
      <c r="AF405">
        <v>1.0727760310708341</v>
      </c>
      <c r="AG405">
        <v>117.31235010172</v>
      </c>
      <c r="AH405">
        <v>694.38</v>
      </c>
      <c r="AI405">
        <v>0.875</v>
      </c>
      <c r="AJ405">
        <v>71.276930955678296</v>
      </c>
      <c r="AK405">
        <v>1.0077</v>
      </c>
      <c r="AL405">
        <v>71.825999999999993</v>
      </c>
      <c r="AM405">
        <v>8.9176000000000002</v>
      </c>
      <c r="AN405">
        <v>9.5665875346772715</v>
      </c>
      <c r="AO405">
        <v>0.91300000000000003</v>
      </c>
      <c r="AP405">
        <v>6064.9193587765631</v>
      </c>
      <c r="AQ405">
        <v>1.0255267423014589</v>
      </c>
      <c r="AR405">
        <v>6219.7370000000001</v>
      </c>
      <c r="AS405">
        <v>10536.286232364</v>
      </c>
      <c r="AT405" t="s">
        <v>269</v>
      </c>
      <c r="AU405" t="s">
        <v>270</v>
      </c>
      <c r="AV405" t="s">
        <v>227</v>
      </c>
      <c r="AW405" t="s">
        <v>101</v>
      </c>
      <c r="AX405">
        <v>109.354</v>
      </c>
      <c r="AY405">
        <v>1.080821157758461</v>
      </c>
      <c r="AZ405">
        <v>118.1921168855188</v>
      </c>
      <c r="BA405">
        <v>779.31</v>
      </c>
      <c r="BB405">
        <v>0.879</v>
      </c>
      <c r="BC405">
        <v>80.963194478237142</v>
      </c>
      <c r="BD405">
        <v>1.0097</v>
      </c>
      <c r="BE405">
        <v>81.748999999999995</v>
      </c>
      <c r="BF405">
        <v>8.9176000000000002</v>
      </c>
      <c r="BG405">
        <v>0.80400000000000005</v>
      </c>
      <c r="BH405">
        <v>6039.0430235999738</v>
      </c>
      <c r="BI405">
        <v>1.0276539708265799</v>
      </c>
      <c r="BJ405">
        <v>6206.0465000000004</v>
      </c>
      <c r="BK405">
        <v>11991.909102686001</v>
      </c>
    </row>
    <row r="406" spans="1:63" x14ac:dyDescent="0.25">
      <c r="A406">
        <v>2306</v>
      </c>
      <c r="B406" t="s">
        <v>106</v>
      </c>
      <c r="C406">
        <v>2020</v>
      </c>
      <c r="D406">
        <v>1</v>
      </c>
      <c r="E406" t="s">
        <v>218</v>
      </c>
      <c r="F406" t="s">
        <v>251</v>
      </c>
      <c r="G406" t="s">
        <v>252</v>
      </c>
      <c r="H406" t="s">
        <v>17</v>
      </c>
      <c r="I406" t="s">
        <v>254</v>
      </c>
      <c r="J406" t="s">
        <v>234</v>
      </c>
      <c r="K406">
        <v>-1048.70659753</v>
      </c>
      <c r="L406" t="s">
        <v>234</v>
      </c>
      <c r="M406" t="s">
        <v>224</v>
      </c>
      <c r="N406">
        <v>8.5771088379299996E-3</v>
      </c>
      <c r="O406">
        <v>8.9948709999999998</v>
      </c>
      <c r="P406" t="s">
        <v>21</v>
      </c>
      <c r="Q406">
        <v>1</v>
      </c>
      <c r="V406">
        <v>66303.072</v>
      </c>
      <c r="W406">
        <v>1</v>
      </c>
      <c r="X406">
        <v>9.0493559999999998E-6</v>
      </c>
      <c r="Y406">
        <v>0.6</v>
      </c>
      <c r="Z406">
        <v>5.3969230000000001</v>
      </c>
      <c r="AA406" t="s">
        <v>225</v>
      </c>
      <c r="AB406" t="s">
        <v>226</v>
      </c>
      <c r="AC406" t="s">
        <v>227</v>
      </c>
      <c r="AD406" t="s">
        <v>153</v>
      </c>
      <c r="AE406">
        <v>109.354</v>
      </c>
      <c r="AF406">
        <v>1.0727760310708341</v>
      </c>
      <c r="AG406">
        <v>117.31235010172</v>
      </c>
      <c r="AH406">
        <v>694.38</v>
      </c>
      <c r="AI406">
        <v>0.875</v>
      </c>
      <c r="AJ406">
        <v>71.276930955678296</v>
      </c>
      <c r="AK406">
        <v>1.0034000000000001</v>
      </c>
      <c r="AL406">
        <v>71.519000000000005</v>
      </c>
      <c r="AM406">
        <v>8.9176000000000002</v>
      </c>
      <c r="AN406">
        <v>9.5665875346772715</v>
      </c>
      <c r="AO406">
        <v>0.91300000000000003</v>
      </c>
      <c r="AP406">
        <v>6064.9193587765631</v>
      </c>
      <c r="AQ406">
        <v>1</v>
      </c>
      <c r="AR406">
        <v>6064.9193999999998</v>
      </c>
      <c r="AS406">
        <v>385.98253603699999</v>
      </c>
      <c r="AT406" t="s">
        <v>269</v>
      </c>
      <c r="AU406" t="s">
        <v>270</v>
      </c>
      <c r="AV406" t="s">
        <v>227</v>
      </c>
      <c r="AW406" t="s">
        <v>153</v>
      </c>
      <c r="AX406">
        <v>109.354</v>
      </c>
      <c r="AY406">
        <v>1.080821157758461</v>
      </c>
      <c r="AZ406">
        <v>118.1921168855188</v>
      </c>
      <c r="BA406">
        <v>779.31</v>
      </c>
      <c r="BB406">
        <v>0.879</v>
      </c>
      <c r="BC406">
        <v>80.963194478237142</v>
      </c>
      <c r="BD406">
        <v>1.0078</v>
      </c>
      <c r="BE406">
        <v>81.594999999999999</v>
      </c>
      <c r="BF406">
        <v>8.9176000000000002</v>
      </c>
      <c r="BG406">
        <v>0.80400000000000005</v>
      </c>
      <c r="BH406">
        <v>6039.0430235999738</v>
      </c>
      <c r="BI406">
        <v>1</v>
      </c>
      <c r="BJ406">
        <v>6039.0429999999997</v>
      </c>
      <c r="BK406">
        <v>440.361932185</v>
      </c>
    </row>
    <row r="407" spans="1:63" x14ac:dyDescent="0.25">
      <c r="A407">
        <v>2308</v>
      </c>
      <c r="B407" t="s">
        <v>106</v>
      </c>
      <c r="C407">
        <v>2020</v>
      </c>
      <c r="D407">
        <v>1</v>
      </c>
      <c r="E407" t="s">
        <v>218</v>
      </c>
      <c r="F407" t="s">
        <v>251</v>
      </c>
      <c r="G407" t="s">
        <v>252</v>
      </c>
      <c r="H407" t="s">
        <v>17</v>
      </c>
      <c r="I407" t="s">
        <v>254</v>
      </c>
      <c r="J407" t="s">
        <v>234</v>
      </c>
      <c r="K407">
        <v>-1048.70659753</v>
      </c>
      <c r="L407" t="s">
        <v>234</v>
      </c>
      <c r="M407" t="s">
        <v>235</v>
      </c>
      <c r="N407">
        <v>0.60124209651893001</v>
      </c>
      <c r="O407">
        <v>630.52655300000004</v>
      </c>
      <c r="P407" t="s">
        <v>21</v>
      </c>
      <c r="Q407">
        <v>1</v>
      </c>
      <c r="V407">
        <v>66303.072</v>
      </c>
      <c r="W407">
        <v>1</v>
      </c>
      <c r="X407">
        <v>9.0493559999999998E-6</v>
      </c>
      <c r="Y407">
        <v>0.6</v>
      </c>
      <c r="Z407">
        <v>378.31593199999998</v>
      </c>
      <c r="AA407" t="s">
        <v>225</v>
      </c>
      <c r="AB407" t="s">
        <v>226</v>
      </c>
      <c r="AC407" t="s">
        <v>227</v>
      </c>
      <c r="AD407" t="s">
        <v>154</v>
      </c>
      <c r="AE407">
        <v>109.354</v>
      </c>
      <c r="AF407">
        <v>1.0727760310708341</v>
      </c>
      <c r="AG407">
        <v>117.31235010172</v>
      </c>
      <c r="AH407">
        <v>694.38</v>
      </c>
      <c r="AI407">
        <v>0.875</v>
      </c>
      <c r="AJ407">
        <v>71.276930955678296</v>
      </c>
      <c r="AK407">
        <v>1.0179</v>
      </c>
      <c r="AL407">
        <v>72.552999999999997</v>
      </c>
      <c r="AM407">
        <v>8.9176000000000002</v>
      </c>
      <c r="AN407">
        <v>9.5665875346772715</v>
      </c>
      <c r="AO407">
        <v>0.91300000000000003</v>
      </c>
      <c r="AP407">
        <v>6064.9193587765631</v>
      </c>
      <c r="AQ407">
        <v>0.98975009761811794</v>
      </c>
      <c r="AR407">
        <v>6002.7545</v>
      </c>
      <c r="AS407">
        <v>27447.955814395998</v>
      </c>
      <c r="AT407" t="s">
        <v>269</v>
      </c>
      <c r="AU407" t="s">
        <v>270</v>
      </c>
      <c r="AV407" t="s">
        <v>227</v>
      </c>
      <c r="AW407" t="s">
        <v>154</v>
      </c>
      <c r="AX407">
        <v>109.354</v>
      </c>
      <c r="AY407">
        <v>1.080821157758461</v>
      </c>
      <c r="AZ407">
        <v>118.1921168855188</v>
      </c>
      <c r="BA407">
        <v>779.31</v>
      </c>
      <c r="BB407">
        <v>0.879</v>
      </c>
      <c r="BC407">
        <v>80.963194478237142</v>
      </c>
      <c r="BD407">
        <v>0.9899</v>
      </c>
      <c r="BE407">
        <v>80.144999999999996</v>
      </c>
      <c r="BF407">
        <v>8.9176000000000002</v>
      </c>
      <c r="BG407">
        <v>0.80400000000000005</v>
      </c>
      <c r="BH407">
        <v>6039.0430235999738</v>
      </c>
      <c r="BI407">
        <v>0.99199531433033972</v>
      </c>
      <c r="BJ407">
        <v>5990.7024000000001</v>
      </c>
      <c r="BK407">
        <v>30320.130370139999</v>
      </c>
    </row>
    <row r="408" spans="1:63" x14ac:dyDescent="0.25">
      <c r="A408">
        <v>2310</v>
      </c>
      <c r="B408" t="s">
        <v>106</v>
      </c>
      <c r="C408">
        <v>2020</v>
      </c>
      <c r="D408">
        <v>1</v>
      </c>
      <c r="E408" t="s">
        <v>218</v>
      </c>
      <c r="F408" t="s">
        <v>251</v>
      </c>
      <c r="G408" t="s">
        <v>252</v>
      </c>
      <c r="H408" t="s">
        <v>17</v>
      </c>
      <c r="I408" t="s">
        <v>254</v>
      </c>
      <c r="J408" t="s">
        <v>234</v>
      </c>
      <c r="K408">
        <v>-1048.70659753</v>
      </c>
      <c r="L408" t="s">
        <v>234</v>
      </c>
      <c r="M408" t="s">
        <v>236</v>
      </c>
      <c r="N408">
        <v>1.9808691721710001E-2</v>
      </c>
      <c r="O408">
        <v>20.773506000000001</v>
      </c>
      <c r="P408" t="s">
        <v>21</v>
      </c>
      <c r="Q408">
        <v>1</v>
      </c>
      <c r="V408">
        <v>66303.072</v>
      </c>
      <c r="W408">
        <v>1</v>
      </c>
      <c r="X408">
        <v>9.0493559999999998E-6</v>
      </c>
      <c r="Y408">
        <v>0.6</v>
      </c>
      <c r="Z408">
        <v>12.464104000000001</v>
      </c>
      <c r="AA408" t="s">
        <v>225</v>
      </c>
      <c r="AB408" t="s">
        <v>226</v>
      </c>
      <c r="AC408" t="s">
        <v>227</v>
      </c>
      <c r="AD408" t="s">
        <v>100</v>
      </c>
      <c r="AE408">
        <v>109.354</v>
      </c>
      <c r="AF408">
        <v>1.0727760310708341</v>
      </c>
      <c r="AG408">
        <v>117.31235010172</v>
      </c>
      <c r="AH408">
        <v>694.38</v>
      </c>
      <c r="AI408">
        <v>0.875</v>
      </c>
      <c r="AJ408">
        <v>71.276930955678296</v>
      </c>
      <c r="AK408">
        <v>0.96660000000000001</v>
      </c>
      <c r="AL408">
        <v>68.896000000000001</v>
      </c>
      <c r="AM408">
        <v>8.9176000000000002</v>
      </c>
      <c r="AN408">
        <v>9.5665875346772715</v>
      </c>
      <c r="AO408">
        <v>0.91300000000000003</v>
      </c>
      <c r="AP408">
        <v>6064.9193587765631</v>
      </c>
      <c r="AQ408">
        <v>0.98316430020283985</v>
      </c>
      <c r="AR408">
        <v>5962.8122000000003</v>
      </c>
      <c r="AS408">
        <v>858.72690918400008</v>
      </c>
      <c r="AT408" t="s">
        <v>269</v>
      </c>
      <c r="AU408" t="s">
        <v>270</v>
      </c>
      <c r="AV408" t="s">
        <v>227</v>
      </c>
      <c r="AW408" t="s">
        <v>100</v>
      </c>
      <c r="AX408">
        <v>109.354</v>
      </c>
      <c r="AY408">
        <v>1.080821157758461</v>
      </c>
      <c r="AZ408">
        <v>118.1921168855188</v>
      </c>
      <c r="BA408">
        <v>779.31</v>
      </c>
      <c r="BB408">
        <v>0.879</v>
      </c>
      <c r="BC408">
        <v>80.963194478237142</v>
      </c>
      <c r="BD408">
        <v>0.96560000000000001</v>
      </c>
      <c r="BE408">
        <v>78.177999999999997</v>
      </c>
      <c r="BF408">
        <v>8.9176000000000002</v>
      </c>
      <c r="BG408">
        <v>0.80400000000000005</v>
      </c>
      <c r="BH408">
        <v>6039.0430235999738</v>
      </c>
      <c r="BI408">
        <v>0.98955375253549693</v>
      </c>
      <c r="BJ408">
        <v>5975.9576999999999</v>
      </c>
      <c r="BK408">
        <v>974.41872251200004</v>
      </c>
    </row>
    <row r="409" spans="1:63" x14ac:dyDescent="0.25">
      <c r="A409">
        <v>2312</v>
      </c>
      <c r="B409" t="s">
        <v>106</v>
      </c>
      <c r="C409">
        <v>2020</v>
      </c>
      <c r="D409">
        <v>1</v>
      </c>
      <c r="E409" t="s">
        <v>218</v>
      </c>
      <c r="F409" t="s">
        <v>251</v>
      </c>
      <c r="G409" t="s">
        <v>252</v>
      </c>
      <c r="H409" t="s">
        <v>17</v>
      </c>
      <c r="I409" t="s">
        <v>254</v>
      </c>
      <c r="J409" t="s">
        <v>234</v>
      </c>
      <c r="K409">
        <v>-1048.70659753</v>
      </c>
      <c r="L409" t="s">
        <v>234</v>
      </c>
      <c r="M409" t="s">
        <v>237</v>
      </c>
      <c r="N409">
        <v>0.39660634608572998</v>
      </c>
      <c r="O409">
        <v>415.92369200000002</v>
      </c>
      <c r="P409" t="s">
        <v>21</v>
      </c>
      <c r="Q409">
        <v>1</v>
      </c>
      <c r="V409">
        <v>66303.072</v>
      </c>
      <c r="W409">
        <v>1</v>
      </c>
      <c r="X409">
        <v>9.0493559999999998E-6</v>
      </c>
      <c r="Y409">
        <v>0.6</v>
      </c>
      <c r="Z409">
        <v>249.554215</v>
      </c>
      <c r="AA409" t="s">
        <v>225</v>
      </c>
      <c r="AB409" t="s">
        <v>226</v>
      </c>
      <c r="AC409" t="s">
        <v>227</v>
      </c>
      <c r="AD409" t="s">
        <v>101</v>
      </c>
      <c r="AE409">
        <v>109.354</v>
      </c>
      <c r="AF409">
        <v>1.0727760310708341</v>
      </c>
      <c r="AG409">
        <v>117.31235010172</v>
      </c>
      <c r="AH409">
        <v>694.38</v>
      </c>
      <c r="AI409">
        <v>0.875</v>
      </c>
      <c r="AJ409">
        <v>71.276930955678296</v>
      </c>
      <c r="AK409">
        <v>1.0077</v>
      </c>
      <c r="AL409">
        <v>71.825999999999993</v>
      </c>
      <c r="AM409">
        <v>8.9176000000000002</v>
      </c>
      <c r="AN409">
        <v>9.5665875346772715</v>
      </c>
      <c r="AO409">
        <v>0.91300000000000003</v>
      </c>
      <c r="AP409">
        <v>6064.9193587765631</v>
      </c>
      <c r="AQ409">
        <v>1.0255267423014589</v>
      </c>
      <c r="AR409">
        <v>6219.7370000000001</v>
      </c>
      <c r="AS409">
        <v>17924.481046590001</v>
      </c>
      <c r="AT409" t="s">
        <v>269</v>
      </c>
      <c r="AU409" t="s">
        <v>270</v>
      </c>
      <c r="AV409" t="s">
        <v>227</v>
      </c>
      <c r="AW409" t="s">
        <v>101</v>
      </c>
      <c r="AX409">
        <v>109.354</v>
      </c>
      <c r="AY409">
        <v>1.080821157758461</v>
      </c>
      <c r="AZ409">
        <v>118.1921168855188</v>
      </c>
      <c r="BA409">
        <v>779.31</v>
      </c>
      <c r="BB409">
        <v>0.879</v>
      </c>
      <c r="BC409">
        <v>80.963194478237142</v>
      </c>
      <c r="BD409">
        <v>1.0097</v>
      </c>
      <c r="BE409">
        <v>81.748999999999995</v>
      </c>
      <c r="BF409">
        <v>8.9176000000000002</v>
      </c>
      <c r="BG409">
        <v>0.80400000000000005</v>
      </c>
      <c r="BH409">
        <v>6039.0430235999738</v>
      </c>
      <c r="BI409">
        <v>1.0276539708265799</v>
      </c>
      <c r="BJ409">
        <v>6206.0465000000004</v>
      </c>
      <c r="BK409">
        <v>20400.807522035</v>
      </c>
    </row>
    <row r="410" spans="1:63" x14ac:dyDescent="0.25">
      <c r="A410">
        <v>2306</v>
      </c>
      <c r="B410" t="s">
        <v>106</v>
      </c>
      <c r="C410">
        <v>2020</v>
      </c>
      <c r="D410">
        <v>1</v>
      </c>
      <c r="E410" t="s">
        <v>218</v>
      </c>
      <c r="F410" t="s">
        <v>251</v>
      </c>
      <c r="G410" t="s">
        <v>252</v>
      </c>
      <c r="H410" t="s">
        <v>17</v>
      </c>
      <c r="I410" t="s">
        <v>255</v>
      </c>
      <c r="J410" t="s">
        <v>239</v>
      </c>
      <c r="K410">
        <v>-202.08962127000001</v>
      </c>
      <c r="L410" t="s">
        <v>240</v>
      </c>
      <c r="M410" t="s">
        <v>224</v>
      </c>
      <c r="N410">
        <v>1.1109205873409999E-2</v>
      </c>
      <c r="O410">
        <v>2.2450549999999998</v>
      </c>
      <c r="P410" t="s">
        <v>21</v>
      </c>
      <c r="Q410">
        <v>1</v>
      </c>
      <c r="V410">
        <v>66303.072</v>
      </c>
      <c r="W410">
        <v>1</v>
      </c>
      <c r="X410">
        <v>9.0493559999999998E-6</v>
      </c>
      <c r="Y410">
        <v>0.6</v>
      </c>
      <c r="Z410">
        <v>1.3470329999999999</v>
      </c>
      <c r="AA410" t="s">
        <v>225</v>
      </c>
      <c r="AB410" t="s">
        <v>226</v>
      </c>
      <c r="AC410" t="s">
        <v>227</v>
      </c>
      <c r="AD410" t="s">
        <v>153</v>
      </c>
      <c r="AE410">
        <v>109.354</v>
      </c>
      <c r="AF410">
        <v>1.0727760310708341</v>
      </c>
      <c r="AG410">
        <v>117.31235010172</v>
      </c>
      <c r="AH410">
        <v>694.38</v>
      </c>
      <c r="AI410">
        <v>0.875</v>
      </c>
      <c r="AJ410">
        <v>71.276930955678296</v>
      </c>
      <c r="AK410">
        <v>1.0034000000000001</v>
      </c>
      <c r="AL410">
        <v>71.519000000000005</v>
      </c>
      <c r="AM410">
        <v>8.9176000000000002</v>
      </c>
      <c r="AN410">
        <v>9.5665875346772715</v>
      </c>
      <c r="AO410">
        <v>0.91300000000000003</v>
      </c>
      <c r="AP410">
        <v>6064.9193587765631</v>
      </c>
      <c r="AQ410">
        <v>1</v>
      </c>
      <c r="AR410">
        <v>6064.9193999999998</v>
      </c>
      <c r="AS410">
        <v>96.338453127000008</v>
      </c>
      <c r="AT410" t="s">
        <v>269</v>
      </c>
      <c r="AU410" t="s">
        <v>270</v>
      </c>
      <c r="AV410" t="s">
        <v>227</v>
      </c>
      <c r="AW410" t="s">
        <v>153</v>
      </c>
      <c r="AX410">
        <v>109.354</v>
      </c>
      <c r="AY410">
        <v>1.080821157758461</v>
      </c>
      <c r="AZ410">
        <v>118.1921168855188</v>
      </c>
      <c r="BA410">
        <v>779.31</v>
      </c>
      <c r="BB410">
        <v>0.879</v>
      </c>
      <c r="BC410">
        <v>80.963194478237142</v>
      </c>
      <c r="BD410">
        <v>1.0078</v>
      </c>
      <c r="BE410">
        <v>81.594999999999999</v>
      </c>
      <c r="BF410">
        <v>8.9176000000000002</v>
      </c>
      <c r="BG410">
        <v>0.80400000000000005</v>
      </c>
      <c r="BH410">
        <v>6039.0430235999738</v>
      </c>
      <c r="BI410">
        <v>1</v>
      </c>
      <c r="BJ410">
        <v>6039.0429999999997</v>
      </c>
      <c r="BK410">
        <v>109.911157635</v>
      </c>
    </row>
    <row r="411" spans="1:63" x14ac:dyDescent="0.25">
      <c r="A411">
        <v>2308</v>
      </c>
      <c r="B411" t="s">
        <v>106</v>
      </c>
      <c r="C411">
        <v>2020</v>
      </c>
      <c r="D411">
        <v>1</v>
      </c>
      <c r="E411" t="s">
        <v>218</v>
      </c>
      <c r="F411" t="s">
        <v>251</v>
      </c>
      <c r="G411" t="s">
        <v>252</v>
      </c>
      <c r="H411" t="s">
        <v>17</v>
      </c>
      <c r="I411" t="s">
        <v>255</v>
      </c>
      <c r="J411" t="s">
        <v>239</v>
      </c>
      <c r="K411">
        <v>-202.08962127000001</v>
      </c>
      <c r="L411" t="s">
        <v>240</v>
      </c>
      <c r="M411" t="s">
        <v>235</v>
      </c>
      <c r="N411">
        <v>0.58148407621825005</v>
      </c>
      <c r="O411">
        <v>117.511897</v>
      </c>
      <c r="P411" t="s">
        <v>21</v>
      </c>
      <c r="Q411">
        <v>1</v>
      </c>
      <c r="V411">
        <v>66303.072</v>
      </c>
      <c r="W411">
        <v>1</v>
      </c>
      <c r="X411">
        <v>9.0493559999999998E-6</v>
      </c>
      <c r="Y411">
        <v>0.6</v>
      </c>
      <c r="Z411">
        <v>70.507137999999998</v>
      </c>
      <c r="AA411" t="s">
        <v>225</v>
      </c>
      <c r="AB411" t="s">
        <v>226</v>
      </c>
      <c r="AC411" t="s">
        <v>227</v>
      </c>
      <c r="AD411" t="s">
        <v>154</v>
      </c>
      <c r="AE411">
        <v>109.354</v>
      </c>
      <c r="AF411">
        <v>1.0727760310708341</v>
      </c>
      <c r="AG411">
        <v>117.31235010172</v>
      </c>
      <c r="AH411">
        <v>694.38</v>
      </c>
      <c r="AI411">
        <v>0.875</v>
      </c>
      <c r="AJ411">
        <v>71.276930955678296</v>
      </c>
      <c r="AK411">
        <v>1.0179</v>
      </c>
      <c r="AL411">
        <v>72.552999999999997</v>
      </c>
      <c r="AM411">
        <v>8.9176000000000002</v>
      </c>
      <c r="AN411">
        <v>9.5665875346772715</v>
      </c>
      <c r="AO411">
        <v>0.91300000000000003</v>
      </c>
      <c r="AP411">
        <v>6064.9193587765631</v>
      </c>
      <c r="AQ411">
        <v>0.98975009761811794</v>
      </c>
      <c r="AR411">
        <v>6002.7545</v>
      </c>
      <c r="AS411">
        <v>5115.5043833139998</v>
      </c>
      <c r="AT411" t="s">
        <v>269</v>
      </c>
      <c r="AU411" t="s">
        <v>270</v>
      </c>
      <c r="AV411" t="s">
        <v>227</v>
      </c>
      <c r="AW411" t="s">
        <v>154</v>
      </c>
      <c r="AX411">
        <v>109.354</v>
      </c>
      <c r="AY411">
        <v>1.080821157758461</v>
      </c>
      <c r="AZ411">
        <v>118.1921168855188</v>
      </c>
      <c r="BA411">
        <v>779.31</v>
      </c>
      <c r="BB411">
        <v>0.879</v>
      </c>
      <c r="BC411">
        <v>80.963194478237142</v>
      </c>
      <c r="BD411">
        <v>0.9899</v>
      </c>
      <c r="BE411">
        <v>80.144999999999996</v>
      </c>
      <c r="BF411">
        <v>8.9176000000000002</v>
      </c>
      <c r="BG411">
        <v>0.80400000000000005</v>
      </c>
      <c r="BH411">
        <v>6039.0430235999738</v>
      </c>
      <c r="BI411">
        <v>0.99199531433033972</v>
      </c>
      <c r="BJ411">
        <v>5990.7024000000001</v>
      </c>
      <c r="BK411">
        <v>5650.7945750099998</v>
      </c>
    </row>
    <row r="412" spans="1:63" x14ac:dyDescent="0.25">
      <c r="A412">
        <v>2310</v>
      </c>
      <c r="B412" t="s">
        <v>106</v>
      </c>
      <c r="C412">
        <v>2020</v>
      </c>
      <c r="D412">
        <v>1</v>
      </c>
      <c r="E412" t="s">
        <v>218</v>
      </c>
      <c r="F412" t="s">
        <v>251</v>
      </c>
      <c r="G412" t="s">
        <v>252</v>
      </c>
      <c r="H412" t="s">
        <v>17</v>
      </c>
      <c r="I412" t="s">
        <v>255</v>
      </c>
      <c r="J412" t="s">
        <v>239</v>
      </c>
      <c r="K412">
        <v>-202.08962127000001</v>
      </c>
      <c r="L412" t="s">
        <v>240</v>
      </c>
      <c r="M412" t="s">
        <v>236</v>
      </c>
      <c r="N412">
        <v>1.8083569973560001E-2</v>
      </c>
      <c r="O412">
        <v>3.6545019999999999</v>
      </c>
      <c r="P412" t="s">
        <v>21</v>
      </c>
      <c r="Q412">
        <v>1</v>
      </c>
      <c r="V412">
        <v>66303.072</v>
      </c>
      <c r="W412">
        <v>1</v>
      </c>
      <c r="X412">
        <v>9.0493559999999998E-6</v>
      </c>
      <c r="Y412">
        <v>0.6</v>
      </c>
      <c r="Z412">
        <v>2.192701</v>
      </c>
      <c r="AA412" t="s">
        <v>225</v>
      </c>
      <c r="AB412" t="s">
        <v>226</v>
      </c>
      <c r="AC412" t="s">
        <v>227</v>
      </c>
      <c r="AD412" t="s">
        <v>100</v>
      </c>
      <c r="AE412">
        <v>109.354</v>
      </c>
      <c r="AF412">
        <v>1.0727760310708341</v>
      </c>
      <c r="AG412">
        <v>117.31235010172</v>
      </c>
      <c r="AH412">
        <v>694.38</v>
      </c>
      <c r="AI412">
        <v>0.875</v>
      </c>
      <c r="AJ412">
        <v>71.276930955678296</v>
      </c>
      <c r="AK412">
        <v>0.96660000000000001</v>
      </c>
      <c r="AL412">
        <v>68.896000000000001</v>
      </c>
      <c r="AM412">
        <v>8.9176000000000002</v>
      </c>
      <c r="AN412">
        <v>9.5665875346772715</v>
      </c>
      <c r="AO412">
        <v>0.91300000000000003</v>
      </c>
      <c r="AP412">
        <v>6064.9193587765631</v>
      </c>
      <c r="AQ412">
        <v>0.98316430020283985</v>
      </c>
      <c r="AR412">
        <v>5962.8122000000003</v>
      </c>
      <c r="AS412">
        <v>151.06832809599999</v>
      </c>
      <c r="AT412" t="s">
        <v>269</v>
      </c>
      <c r="AU412" t="s">
        <v>270</v>
      </c>
      <c r="AV412" t="s">
        <v>227</v>
      </c>
      <c r="AW412" t="s">
        <v>100</v>
      </c>
      <c r="AX412">
        <v>109.354</v>
      </c>
      <c r="AY412">
        <v>1.080821157758461</v>
      </c>
      <c r="AZ412">
        <v>118.1921168855188</v>
      </c>
      <c r="BA412">
        <v>779.31</v>
      </c>
      <c r="BB412">
        <v>0.879</v>
      </c>
      <c r="BC412">
        <v>80.963194478237142</v>
      </c>
      <c r="BD412">
        <v>0.96560000000000001</v>
      </c>
      <c r="BE412">
        <v>78.177999999999997</v>
      </c>
      <c r="BF412">
        <v>8.9176000000000002</v>
      </c>
      <c r="BG412">
        <v>0.80400000000000005</v>
      </c>
      <c r="BH412">
        <v>6039.0430235999738</v>
      </c>
      <c r="BI412">
        <v>0.98955375253549693</v>
      </c>
      <c r="BJ412">
        <v>5975.9576999999999</v>
      </c>
      <c r="BK412">
        <v>171.42097877800001</v>
      </c>
    </row>
    <row r="413" spans="1:63" x14ac:dyDescent="0.25">
      <c r="A413">
        <v>2312</v>
      </c>
      <c r="B413" t="s">
        <v>106</v>
      </c>
      <c r="C413">
        <v>2020</v>
      </c>
      <c r="D413">
        <v>1</v>
      </c>
      <c r="E413" t="s">
        <v>218</v>
      </c>
      <c r="F413" t="s">
        <v>251</v>
      </c>
      <c r="G413" t="s">
        <v>252</v>
      </c>
      <c r="H413" t="s">
        <v>17</v>
      </c>
      <c r="I413" t="s">
        <v>255</v>
      </c>
      <c r="J413" t="s">
        <v>239</v>
      </c>
      <c r="K413">
        <v>-202.08962127000001</v>
      </c>
      <c r="L413" t="s">
        <v>240</v>
      </c>
      <c r="M413" t="s">
        <v>237</v>
      </c>
      <c r="N413">
        <v>0.41680683696206</v>
      </c>
      <c r="O413">
        <v>84.232336000000004</v>
      </c>
      <c r="P413" t="s">
        <v>21</v>
      </c>
      <c r="Q413">
        <v>1</v>
      </c>
      <c r="V413">
        <v>66303.072</v>
      </c>
      <c r="W413">
        <v>1</v>
      </c>
      <c r="X413">
        <v>9.0493559999999998E-6</v>
      </c>
      <c r="Y413">
        <v>0.6</v>
      </c>
      <c r="Z413">
        <v>50.539402000000003</v>
      </c>
      <c r="AA413" t="s">
        <v>225</v>
      </c>
      <c r="AB413" t="s">
        <v>226</v>
      </c>
      <c r="AC413" t="s">
        <v>227</v>
      </c>
      <c r="AD413" t="s">
        <v>101</v>
      </c>
      <c r="AE413">
        <v>109.354</v>
      </c>
      <c r="AF413">
        <v>1.0727760310708341</v>
      </c>
      <c r="AG413">
        <v>117.31235010172</v>
      </c>
      <c r="AH413">
        <v>694.38</v>
      </c>
      <c r="AI413">
        <v>0.875</v>
      </c>
      <c r="AJ413">
        <v>71.276930955678296</v>
      </c>
      <c r="AK413">
        <v>1.0077</v>
      </c>
      <c r="AL413">
        <v>71.825999999999993</v>
      </c>
      <c r="AM413">
        <v>8.9176000000000002</v>
      </c>
      <c r="AN413">
        <v>9.5665875346772715</v>
      </c>
      <c r="AO413">
        <v>0.91300000000000003</v>
      </c>
      <c r="AP413">
        <v>6064.9193587765631</v>
      </c>
      <c r="AQ413">
        <v>1.0255267423014589</v>
      </c>
      <c r="AR413">
        <v>6219.7370000000001</v>
      </c>
      <c r="AS413">
        <v>3630.0430880519998</v>
      </c>
      <c r="AT413" t="s">
        <v>269</v>
      </c>
      <c r="AU413" t="s">
        <v>270</v>
      </c>
      <c r="AV413" t="s">
        <v>227</v>
      </c>
      <c r="AW413" t="s">
        <v>101</v>
      </c>
      <c r="AX413">
        <v>109.354</v>
      </c>
      <c r="AY413">
        <v>1.080821157758461</v>
      </c>
      <c r="AZ413">
        <v>118.1921168855188</v>
      </c>
      <c r="BA413">
        <v>779.31</v>
      </c>
      <c r="BB413">
        <v>0.879</v>
      </c>
      <c r="BC413">
        <v>80.963194478237142</v>
      </c>
      <c r="BD413">
        <v>1.0097</v>
      </c>
      <c r="BE413">
        <v>81.748999999999995</v>
      </c>
      <c r="BF413">
        <v>8.9176000000000002</v>
      </c>
      <c r="BG413">
        <v>0.80400000000000005</v>
      </c>
      <c r="BH413">
        <v>6039.0430235999738</v>
      </c>
      <c r="BI413">
        <v>1.0276539708265799</v>
      </c>
      <c r="BJ413">
        <v>6206.0465000000004</v>
      </c>
      <c r="BK413">
        <v>4131.5455740979996</v>
      </c>
    </row>
    <row r="414" spans="1:63" x14ac:dyDescent="0.25">
      <c r="A414">
        <v>3470</v>
      </c>
      <c r="B414" t="s">
        <v>106</v>
      </c>
      <c r="C414">
        <v>2020</v>
      </c>
      <c r="D414">
        <v>1</v>
      </c>
      <c r="E414" t="s">
        <v>218</v>
      </c>
      <c r="F414" t="s">
        <v>251</v>
      </c>
      <c r="G414" t="s">
        <v>252</v>
      </c>
      <c r="H414" t="s">
        <v>17</v>
      </c>
      <c r="I414" t="s">
        <v>256</v>
      </c>
      <c r="J414" t="s">
        <v>242</v>
      </c>
      <c r="K414">
        <v>-79.96248679</v>
      </c>
      <c r="L414" t="s">
        <v>242</v>
      </c>
      <c r="M414" t="s">
        <v>235</v>
      </c>
      <c r="N414">
        <v>0.67001574769252004</v>
      </c>
      <c r="O414">
        <v>53.576124999999998</v>
      </c>
      <c r="P414" t="s">
        <v>21</v>
      </c>
      <c r="Q414">
        <v>1</v>
      </c>
      <c r="V414">
        <v>66303.072</v>
      </c>
      <c r="W414">
        <v>1</v>
      </c>
      <c r="X414">
        <v>9.0493559999999998E-6</v>
      </c>
      <c r="Y414">
        <v>0.6</v>
      </c>
      <c r="Z414">
        <v>32.145674999999997</v>
      </c>
      <c r="AA414" t="s">
        <v>225</v>
      </c>
      <c r="AB414" t="s">
        <v>226</v>
      </c>
      <c r="AC414" t="s">
        <v>227</v>
      </c>
      <c r="AD414" t="s">
        <v>154</v>
      </c>
      <c r="AE414">
        <v>109.354</v>
      </c>
      <c r="AF414">
        <v>1.0727760310708341</v>
      </c>
      <c r="AG414">
        <v>117.31235010172</v>
      </c>
      <c r="AH414">
        <v>694.38</v>
      </c>
      <c r="AI414">
        <v>0.875</v>
      </c>
      <c r="AJ414">
        <v>71.276930955678296</v>
      </c>
      <c r="AK414">
        <v>1.0179</v>
      </c>
      <c r="AL414">
        <v>72.552999999999997</v>
      </c>
      <c r="AM414">
        <v>8.9176000000000002</v>
      </c>
      <c r="AN414">
        <v>9.5665875346772715</v>
      </c>
      <c r="AO414">
        <v>0.91300000000000003</v>
      </c>
      <c r="AP414">
        <v>6064.9193587765631</v>
      </c>
      <c r="AQ414">
        <v>0.98975009761811794</v>
      </c>
      <c r="AR414">
        <v>6002.7545</v>
      </c>
      <c r="AS414">
        <v>2332.265158275</v>
      </c>
      <c r="AT414" t="s">
        <v>269</v>
      </c>
      <c r="AU414" t="s">
        <v>270</v>
      </c>
      <c r="AV414" t="s">
        <v>227</v>
      </c>
      <c r="AW414" t="s">
        <v>154</v>
      </c>
      <c r="AX414">
        <v>109.354</v>
      </c>
      <c r="AY414">
        <v>1.080821157758461</v>
      </c>
      <c r="AZ414">
        <v>118.1921168855188</v>
      </c>
      <c r="BA414">
        <v>779.31</v>
      </c>
      <c r="BB414">
        <v>0.879</v>
      </c>
      <c r="BC414">
        <v>80.963194478237142</v>
      </c>
      <c r="BD414">
        <v>0.9899</v>
      </c>
      <c r="BE414">
        <v>80.144999999999996</v>
      </c>
      <c r="BF414">
        <v>8.9176000000000002</v>
      </c>
      <c r="BG414">
        <v>0.80400000000000005</v>
      </c>
      <c r="BH414">
        <v>6039.0430235999738</v>
      </c>
      <c r="BI414">
        <v>0.99199531433033972</v>
      </c>
      <c r="BJ414">
        <v>5990.7024000000001</v>
      </c>
      <c r="BK414">
        <v>2576.3151228749998</v>
      </c>
    </row>
    <row r="415" spans="1:63" x14ac:dyDescent="0.25">
      <c r="A415">
        <v>3472</v>
      </c>
      <c r="B415" t="s">
        <v>106</v>
      </c>
      <c r="C415">
        <v>2020</v>
      </c>
      <c r="D415">
        <v>1</v>
      </c>
      <c r="E415" t="s">
        <v>218</v>
      </c>
      <c r="F415" t="s">
        <v>251</v>
      </c>
      <c r="G415" t="s">
        <v>252</v>
      </c>
      <c r="H415" t="s">
        <v>17</v>
      </c>
      <c r="I415" t="s">
        <v>256</v>
      </c>
      <c r="J415" t="s">
        <v>242</v>
      </c>
      <c r="K415">
        <v>-79.96248679</v>
      </c>
      <c r="L415" t="s">
        <v>242</v>
      </c>
      <c r="M415" t="s">
        <v>236</v>
      </c>
      <c r="N415">
        <v>1.442552100634E-2</v>
      </c>
      <c r="O415">
        <v>1.1535010000000001</v>
      </c>
      <c r="P415" t="s">
        <v>21</v>
      </c>
      <c r="Q415">
        <v>1</v>
      </c>
      <c r="V415">
        <v>66303.072</v>
      </c>
      <c r="W415">
        <v>1</v>
      </c>
      <c r="X415">
        <v>9.0493559999999998E-6</v>
      </c>
      <c r="Y415">
        <v>0.6</v>
      </c>
      <c r="Z415">
        <v>0.69210099999999997</v>
      </c>
      <c r="AA415" t="s">
        <v>225</v>
      </c>
      <c r="AB415" t="s">
        <v>226</v>
      </c>
      <c r="AC415" t="s">
        <v>227</v>
      </c>
      <c r="AD415" t="s">
        <v>100</v>
      </c>
      <c r="AE415">
        <v>109.354</v>
      </c>
      <c r="AF415">
        <v>1.0727760310708341</v>
      </c>
      <c r="AG415">
        <v>117.31235010172</v>
      </c>
      <c r="AH415">
        <v>694.38</v>
      </c>
      <c r="AI415">
        <v>0.875</v>
      </c>
      <c r="AJ415">
        <v>71.276930955678296</v>
      </c>
      <c r="AK415">
        <v>0.96660000000000001</v>
      </c>
      <c r="AL415">
        <v>68.896000000000001</v>
      </c>
      <c r="AM415">
        <v>8.9176000000000002</v>
      </c>
      <c r="AN415">
        <v>9.5665875346772715</v>
      </c>
      <c r="AO415">
        <v>0.91300000000000003</v>
      </c>
      <c r="AP415">
        <v>6064.9193587765631</v>
      </c>
      <c r="AQ415">
        <v>0.98316430020283985</v>
      </c>
      <c r="AR415">
        <v>5962.8122000000003</v>
      </c>
      <c r="AS415">
        <v>47.682990496000002</v>
      </c>
      <c r="AT415" t="s">
        <v>269</v>
      </c>
      <c r="AU415" t="s">
        <v>270</v>
      </c>
      <c r="AV415" t="s">
        <v>227</v>
      </c>
      <c r="AW415" t="s">
        <v>100</v>
      </c>
      <c r="AX415">
        <v>109.354</v>
      </c>
      <c r="AY415">
        <v>1.080821157758461</v>
      </c>
      <c r="AZ415">
        <v>118.1921168855188</v>
      </c>
      <c r="BA415">
        <v>779.31</v>
      </c>
      <c r="BB415">
        <v>0.879</v>
      </c>
      <c r="BC415">
        <v>80.963194478237142</v>
      </c>
      <c r="BD415">
        <v>0.96560000000000001</v>
      </c>
      <c r="BE415">
        <v>78.177999999999997</v>
      </c>
      <c r="BF415">
        <v>8.9176000000000002</v>
      </c>
      <c r="BG415">
        <v>0.80400000000000005</v>
      </c>
      <c r="BH415">
        <v>6039.0430235999738</v>
      </c>
      <c r="BI415">
        <v>0.98955375253549693</v>
      </c>
      <c r="BJ415">
        <v>5975.9576999999999</v>
      </c>
      <c r="BK415">
        <v>54.107071977999993</v>
      </c>
    </row>
    <row r="416" spans="1:63" x14ac:dyDescent="0.25">
      <c r="A416">
        <v>3474</v>
      </c>
      <c r="B416" t="s">
        <v>106</v>
      </c>
      <c r="C416">
        <v>2020</v>
      </c>
      <c r="D416">
        <v>1</v>
      </c>
      <c r="E416" t="s">
        <v>218</v>
      </c>
      <c r="F416" t="s">
        <v>251</v>
      </c>
      <c r="G416" t="s">
        <v>252</v>
      </c>
      <c r="H416" t="s">
        <v>17</v>
      </c>
      <c r="I416" t="s">
        <v>256</v>
      </c>
      <c r="J416" t="s">
        <v>242</v>
      </c>
      <c r="K416">
        <v>-79.96248679</v>
      </c>
      <c r="L416" t="s">
        <v>242</v>
      </c>
      <c r="M416" t="s">
        <v>237</v>
      </c>
      <c r="N416">
        <v>0.37405093967954001</v>
      </c>
      <c r="O416">
        <v>29.910043000000002</v>
      </c>
      <c r="P416" t="s">
        <v>21</v>
      </c>
      <c r="Q416">
        <v>1</v>
      </c>
      <c r="V416">
        <v>66303.072</v>
      </c>
      <c r="W416">
        <v>1</v>
      </c>
      <c r="X416">
        <v>9.0493559999999998E-6</v>
      </c>
      <c r="Y416">
        <v>0.6</v>
      </c>
      <c r="Z416">
        <v>17.946026</v>
      </c>
      <c r="AA416" t="s">
        <v>225</v>
      </c>
      <c r="AB416" t="s">
        <v>226</v>
      </c>
      <c r="AC416" t="s">
        <v>227</v>
      </c>
      <c r="AD416" t="s">
        <v>101</v>
      </c>
      <c r="AE416">
        <v>109.354</v>
      </c>
      <c r="AF416">
        <v>1.0727760310708341</v>
      </c>
      <c r="AG416">
        <v>117.31235010172</v>
      </c>
      <c r="AH416">
        <v>694.38</v>
      </c>
      <c r="AI416">
        <v>0.875</v>
      </c>
      <c r="AJ416">
        <v>71.276930955678296</v>
      </c>
      <c r="AK416">
        <v>1.0077</v>
      </c>
      <c r="AL416">
        <v>71.825999999999993</v>
      </c>
      <c r="AM416">
        <v>8.9176000000000002</v>
      </c>
      <c r="AN416">
        <v>9.5665875346772715</v>
      </c>
      <c r="AO416">
        <v>0.91300000000000003</v>
      </c>
      <c r="AP416">
        <v>6064.9193587765631</v>
      </c>
      <c r="AQ416">
        <v>1.0255267423014589</v>
      </c>
      <c r="AR416">
        <v>6219.7370000000001</v>
      </c>
      <c r="AS416">
        <v>1288.9912634760001</v>
      </c>
      <c r="AT416" t="s">
        <v>269</v>
      </c>
      <c r="AU416" t="s">
        <v>270</v>
      </c>
      <c r="AV416" t="s">
        <v>227</v>
      </c>
      <c r="AW416" t="s">
        <v>101</v>
      </c>
      <c r="AX416">
        <v>109.354</v>
      </c>
      <c r="AY416">
        <v>1.080821157758461</v>
      </c>
      <c r="AZ416">
        <v>118.1921168855188</v>
      </c>
      <c r="BA416">
        <v>779.31</v>
      </c>
      <c r="BB416">
        <v>0.879</v>
      </c>
      <c r="BC416">
        <v>80.963194478237142</v>
      </c>
      <c r="BD416">
        <v>1.0097</v>
      </c>
      <c r="BE416">
        <v>81.748999999999995</v>
      </c>
      <c r="BF416">
        <v>8.9176000000000002</v>
      </c>
      <c r="BG416">
        <v>0.80400000000000005</v>
      </c>
      <c r="BH416">
        <v>6039.0430235999738</v>
      </c>
      <c r="BI416">
        <v>1.0276539708265799</v>
      </c>
      <c r="BJ416">
        <v>6206.0465000000004</v>
      </c>
      <c r="BK416">
        <v>1467.0696794739999</v>
      </c>
    </row>
    <row r="417" spans="1:63" x14ac:dyDescent="0.25">
      <c r="A417">
        <v>2306</v>
      </c>
      <c r="B417" t="s">
        <v>106</v>
      </c>
      <c r="C417">
        <v>2020</v>
      </c>
      <c r="D417">
        <v>1</v>
      </c>
      <c r="E417" t="s">
        <v>218</v>
      </c>
      <c r="F417" t="s">
        <v>251</v>
      </c>
      <c r="G417" t="s">
        <v>252</v>
      </c>
      <c r="H417" t="s">
        <v>17</v>
      </c>
      <c r="I417" t="s">
        <v>257</v>
      </c>
      <c r="J417" t="s">
        <v>244</v>
      </c>
      <c r="K417">
        <v>-216.03586865</v>
      </c>
      <c r="L417" t="s">
        <v>245</v>
      </c>
      <c r="M417" t="s">
        <v>224</v>
      </c>
      <c r="N417">
        <v>1.1026262910890001E-2</v>
      </c>
      <c r="O417">
        <v>2.3820679999999999</v>
      </c>
      <c r="P417" t="s">
        <v>21</v>
      </c>
      <c r="Q417">
        <v>1</v>
      </c>
      <c r="V417">
        <v>66303.072</v>
      </c>
      <c r="W417">
        <v>1</v>
      </c>
      <c r="X417">
        <v>9.0493559999999998E-6</v>
      </c>
      <c r="Y417">
        <v>0.6</v>
      </c>
      <c r="Z417">
        <v>1.429241</v>
      </c>
      <c r="AA417" t="s">
        <v>225</v>
      </c>
      <c r="AB417" t="s">
        <v>226</v>
      </c>
      <c r="AC417" t="s">
        <v>227</v>
      </c>
      <c r="AD417" t="s">
        <v>153</v>
      </c>
      <c r="AE417">
        <v>109.354</v>
      </c>
      <c r="AF417">
        <v>1.0727760310708341</v>
      </c>
      <c r="AG417">
        <v>117.31235010172</v>
      </c>
      <c r="AH417">
        <v>694.38</v>
      </c>
      <c r="AI417">
        <v>0.875</v>
      </c>
      <c r="AJ417">
        <v>71.276930955678296</v>
      </c>
      <c r="AK417">
        <v>1.0034000000000001</v>
      </c>
      <c r="AL417">
        <v>71.519000000000005</v>
      </c>
      <c r="AM417">
        <v>8.9176000000000002</v>
      </c>
      <c r="AN417">
        <v>9.5665875346772715</v>
      </c>
      <c r="AO417">
        <v>0.91300000000000003</v>
      </c>
      <c r="AP417">
        <v>6064.9193587765631</v>
      </c>
      <c r="AQ417">
        <v>1</v>
      </c>
      <c r="AR417">
        <v>6064.9193999999998</v>
      </c>
      <c r="AS417">
        <v>102.21788707899999</v>
      </c>
      <c r="AT417" t="s">
        <v>269</v>
      </c>
      <c r="AU417" t="s">
        <v>270</v>
      </c>
      <c r="AV417" t="s">
        <v>227</v>
      </c>
      <c r="AW417" t="s">
        <v>153</v>
      </c>
      <c r="AX417">
        <v>109.354</v>
      </c>
      <c r="AY417">
        <v>1.080821157758461</v>
      </c>
      <c r="AZ417">
        <v>118.1921168855188</v>
      </c>
      <c r="BA417">
        <v>779.31</v>
      </c>
      <c r="BB417">
        <v>0.879</v>
      </c>
      <c r="BC417">
        <v>80.963194478237142</v>
      </c>
      <c r="BD417">
        <v>1.0078</v>
      </c>
      <c r="BE417">
        <v>81.594999999999999</v>
      </c>
      <c r="BF417">
        <v>8.9176000000000002</v>
      </c>
      <c r="BG417">
        <v>0.80400000000000005</v>
      </c>
      <c r="BH417">
        <v>6039.0430235999738</v>
      </c>
      <c r="BI417">
        <v>1</v>
      </c>
      <c r="BJ417">
        <v>6039.0429999999997</v>
      </c>
      <c r="BK417">
        <v>116.61891939500001</v>
      </c>
    </row>
    <row r="418" spans="1:63" x14ac:dyDescent="0.25">
      <c r="A418">
        <v>2308</v>
      </c>
      <c r="B418" t="s">
        <v>106</v>
      </c>
      <c r="C418">
        <v>2020</v>
      </c>
      <c r="D418">
        <v>1</v>
      </c>
      <c r="E418" t="s">
        <v>218</v>
      </c>
      <c r="F418" t="s">
        <v>251</v>
      </c>
      <c r="G418" t="s">
        <v>252</v>
      </c>
      <c r="H418" t="s">
        <v>17</v>
      </c>
      <c r="I418" t="s">
        <v>257</v>
      </c>
      <c r="J418" t="s">
        <v>244</v>
      </c>
      <c r="K418">
        <v>-216.03586865</v>
      </c>
      <c r="L418" t="s">
        <v>245</v>
      </c>
      <c r="M418" t="s">
        <v>235</v>
      </c>
      <c r="N418">
        <v>0.60074557881113</v>
      </c>
      <c r="O418">
        <v>129.78259299999999</v>
      </c>
      <c r="P418" t="s">
        <v>21</v>
      </c>
      <c r="Q418">
        <v>1</v>
      </c>
      <c r="V418">
        <v>66303.072</v>
      </c>
      <c r="W418">
        <v>1</v>
      </c>
      <c r="X418">
        <v>9.0493559999999998E-6</v>
      </c>
      <c r="Y418">
        <v>0.6</v>
      </c>
      <c r="Z418">
        <v>77.869556000000003</v>
      </c>
      <c r="AA418" t="s">
        <v>225</v>
      </c>
      <c r="AB418" t="s">
        <v>226</v>
      </c>
      <c r="AC418" t="s">
        <v>227</v>
      </c>
      <c r="AD418" t="s">
        <v>154</v>
      </c>
      <c r="AE418">
        <v>109.354</v>
      </c>
      <c r="AF418">
        <v>1.0727760310708341</v>
      </c>
      <c r="AG418">
        <v>117.31235010172</v>
      </c>
      <c r="AH418">
        <v>694.38</v>
      </c>
      <c r="AI418">
        <v>0.875</v>
      </c>
      <c r="AJ418">
        <v>71.276930955678296</v>
      </c>
      <c r="AK418">
        <v>1.0179</v>
      </c>
      <c r="AL418">
        <v>72.552999999999997</v>
      </c>
      <c r="AM418">
        <v>8.9176000000000002</v>
      </c>
      <c r="AN418">
        <v>9.5665875346772715</v>
      </c>
      <c r="AO418">
        <v>0.91300000000000003</v>
      </c>
      <c r="AP418">
        <v>6064.9193587765631</v>
      </c>
      <c r="AQ418">
        <v>0.98975009761811794</v>
      </c>
      <c r="AR418">
        <v>6002.7545</v>
      </c>
      <c r="AS418">
        <v>5649.6698964679999</v>
      </c>
      <c r="AT418" t="s">
        <v>269</v>
      </c>
      <c r="AU418" t="s">
        <v>270</v>
      </c>
      <c r="AV418" t="s">
        <v>227</v>
      </c>
      <c r="AW418" t="s">
        <v>154</v>
      </c>
      <c r="AX418">
        <v>109.354</v>
      </c>
      <c r="AY418">
        <v>1.080821157758461</v>
      </c>
      <c r="AZ418">
        <v>118.1921168855188</v>
      </c>
      <c r="BA418">
        <v>779.31</v>
      </c>
      <c r="BB418">
        <v>0.879</v>
      </c>
      <c r="BC418">
        <v>80.963194478237142</v>
      </c>
      <c r="BD418">
        <v>0.9899</v>
      </c>
      <c r="BE418">
        <v>80.144999999999996</v>
      </c>
      <c r="BF418">
        <v>8.9176000000000002</v>
      </c>
      <c r="BG418">
        <v>0.80400000000000005</v>
      </c>
      <c r="BH418">
        <v>6039.0430235999738</v>
      </c>
      <c r="BI418">
        <v>0.99199531433033972</v>
      </c>
      <c r="BJ418">
        <v>5990.7024000000001</v>
      </c>
      <c r="BK418">
        <v>6240.8555656199997</v>
      </c>
    </row>
    <row r="419" spans="1:63" x14ac:dyDescent="0.25">
      <c r="A419">
        <v>2310</v>
      </c>
      <c r="B419" t="s">
        <v>106</v>
      </c>
      <c r="C419">
        <v>2020</v>
      </c>
      <c r="D419">
        <v>1</v>
      </c>
      <c r="E419" t="s">
        <v>218</v>
      </c>
      <c r="F419" t="s">
        <v>251</v>
      </c>
      <c r="G419" t="s">
        <v>252</v>
      </c>
      <c r="H419" t="s">
        <v>17</v>
      </c>
      <c r="I419" t="s">
        <v>257</v>
      </c>
      <c r="J419" t="s">
        <v>244</v>
      </c>
      <c r="K419">
        <v>-216.03586865</v>
      </c>
      <c r="L419" t="s">
        <v>245</v>
      </c>
      <c r="M419" t="s">
        <v>236</v>
      </c>
      <c r="N419">
        <v>1.775192921592E-2</v>
      </c>
      <c r="O419">
        <v>3.8350529999999998</v>
      </c>
      <c r="P419" t="s">
        <v>21</v>
      </c>
      <c r="Q419">
        <v>1</v>
      </c>
      <c r="V419">
        <v>66303.072</v>
      </c>
      <c r="W419">
        <v>1</v>
      </c>
      <c r="X419">
        <v>9.0493559999999998E-6</v>
      </c>
      <c r="Y419">
        <v>0.6</v>
      </c>
      <c r="Z419">
        <v>2.3010320000000002</v>
      </c>
      <c r="AA419" t="s">
        <v>225</v>
      </c>
      <c r="AB419" t="s">
        <v>226</v>
      </c>
      <c r="AC419" t="s">
        <v>227</v>
      </c>
      <c r="AD419" t="s">
        <v>100</v>
      </c>
      <c r="AE419">
        <v>109.354</v>
      </c>
      <c r="AF419">
        <v>1.0727760310708341</v>
      </c>
      <c r="AG419">
        <v>117.31235010172</v>
      </c>
      <c r="AH419">
        <v>694.38</v>
      </c>
      <c r="AI419">
        <v>0.875</v>
      </c>
      <c r="AJ419">
        <v>71.276930955678296</v>
      </c>
      <c r="AK419">
        <v>0.96660000000000001</v>
      </c>
      <c r="AL419">
        <v>68.896000000000001</v>
      </c>
      <c r="AM419">
        <v>8.9176000000000002</v>
      </c>
      <c r="AN419">
        <v>9.5665875346772715</v>
      </c>
      <c r="AO419">
        <v>0.91300000000000003</v>
      </c>
      <c r="AP419">
        <v>6064.9193587765631</v>
      </c>
      <c r="AQ419">
        <v>0.98316430020283985</v>
      </c>
      <c r="AR419">
        <v>5962.8122000000003</v>
      </c>
      <c r="AS419">
        <v>158.53190067200001</v>
      </c>
      <c r="AT419" t="s">
        <v>269</v>
      </c>
      <c r="AU419" t="s">
        <v>270</v>
      </c>
      <c r="AV419" t="s">
        <v>227</v>
      </c>
      <c r="AW419" t="s">
        <v>100</v>
      </c>
      <c r="AX419">
        <v>109.354</v>
      </c>
      <c r="AY419">
        <v>1.080821157758461</v>
      </c>
      <c r="AZ419">
        <v>118.1921168855188</v>
      </c>
      <c r="BA419">
        <v>779.31</v>
      </c>
      <c r="BB419">
        <v>0.879</v>
      </c>
      <c r="BC419">
        <v>80.963194478237142</v>
      </c>
      <c r="BD419">
        <v>0.96560000000000001</v>
      </c>
      <c r="BE419">
        <v>78.177999999999997</v>
      </c>
      <c r="BF419">
        <v>8.9176000000000002</v>
      </c>
      <c r="BG419">
        <v>0.80400000000000005</v>
      </c>
      <c r="BH419">
        <v>6039.0430235999738</v>
      </c>
      <c r="BI419">
        <v>0.98955375253549693</v>
      </c>
      <c r="BJ419">
        <v>5975.9576999999999</v>
      </c>
      <c r="BK419">
        <v>179.89007969599999</v>
      </c>
    </row>
    <row r="420" spans="1:63" x14ac:dyDescent="0.25">
      <c r="A420">
        <v>2312</v>
      </c>
      <c r="B420" t="s">
        <v>106</v>
      </c>
      <c r="C420">
        <v>2020</v>
      </c>
      <c r="D420">
        <v>1</v>
      </c>
      <c r="E420" t="s">
        <v>218</v>
      </c>
      <c r="F420" t="s">
        <v>251</v>
      </c>
      <c r="G420" t="s">
        <v>252</v>
      </c>
      <c r="H420" t="s">
        <v>17</v>
      </c>
      <c r="I420" t="s">
        <v>257</v>
      </c>
      <c r="J420" t="s">
        <v>244</v>
      </c>
      <c r="K420">
        <v>-216.03586865</v>
      </c>
      <c r="L420" t="s">
        <v>245</v>
      </c>
      <c r="M420" t="s">
        <v>237</v>
      </c>
      <c r="N420">
        <v>0.39766766032624001</v>
      </c>
      <c r="O420">
        <v>85.910477999999998</v>
      </c>
      <c r="P420" t="s">
        <v>21</v>
      </c>
      <c r="Q420">
        <v>1</v>
      </c>
      <c r="V420">
        <v>66303.072</v>
      </c>
      <c r="W420">
        <v>1</v>
      </c>
      <c r="X420">
        <v>9.0493559999999998E-6</v>
      </c>
      <c r="Y420">
        <v>0.6</v>
      </c>
      <c r="Z420">
        <v>51.546287</v>
      </c>
      <c r="AA420" t="s">
        <v>225</v>
      </c>
      <c r="AB420" t="s">
        <v>226</v>
      </c>
      <c r="AC420" t="s">
        <v>227</v>
      </c>
      <c r="AD420" t="s">
        <v>101</v>
      </c>
      <c r="AE420">
        <v>109.354</v>
      </c>
      <c r="AF420">
        <v>1.0727760310708341</v>
      </c>
      <c r="AG420">
        <v>117.31235010172</v>
      </c>
      <c r="AH420">
        <v>694.38</v>
      </c>
      <c r="AI420">
        <v>0.875</v>
      </c>
      <c r="AJ420">
        <v>71.276930955678296</v>
      </c>
      <c r="AK420">
        <v>1.0077</v>
      </c>
      <c r="AL420">
        <v>71.825999999999993</v>
      </c>
      <c r="AM420">
        <v>8.9176000000000002</v>
      </c>
      <c r="AN420">
        <v>9.5665875346772715</v>
      </c>
      <c r="AO420">
        <v>0.91300000000000003</v>
      </c>
      <c r="AP420">
        <v>6064.9193587765631</v>
      </c>
      <c r="AQ420">
        <v>1.0255267423014589</v>
      </c>
      <c r="AR420">
        <v>6219.7370000000001</v>
      </c>
      <c r="AS420">
        <v>3702.3636100620001</v>
      </c>
      <c r="AT420" t="s">
        <v>269</v>
      </c>
      <c r="AU420" t="s">
        <v>270</v>
      </c>
      <c r="AV420" t="s">
        <v>227</v>
      </c>
      <c r="AW420" t="s">
        <v>101</v>
      </c>
      <c r="AX420">
        <v>109.354</v>
      </c>
      <c r="AY420">
        <v>1.080821157758461</v>
      </c>
      <c r="AZ420">
        <v>118.1921168855188</v>
      </c>
      <c r="BA420">
        <v>779.31</v>
      </c>
      <c r="BB420">
        <v>0.879</v>
      </c>
      <c r="BC420">
        <v>80.963194478237142</v>
      </c>
      <c r="BD420">
        <v>1.0097</v>
      </c>
      <c r="BE420">
        <v>81.748999999999995</v>
      </c>
      <c r="BF420">
        <v>8.9176000000000002</v>
      </c>
      <c r="BG420">
        <v>0.80400000000000005</v>
      </c>
      <c r="BH420">
        <v>6039.0430235999738</v>
      </c>
      <c r="BI420">
        <v>1.0276539708265799</v>
      </c>
      <c r="BJ420">
        <v>6206.0465000000004</v>
      </c>
      <c r="BK420">
        <v>4213.8574159629998</v>
      </c>
    </row>
    <row r="421" spans="1:63" x14ac:dyDescent="0.25">
      <c r="A421">
        <v>4626</v>
      </c>
      <c r="B421" t="s">
        <v>106</v>
      </c>
      <c r="C421">
        <v>2020</v>
      </c>
      <c r="D421">
        <v>1</v>
      </c>
      <c r="E421" t="s">
        <v>218</v>
      </c>
      <c r="F421" t="s">
        <v>251</v>
      </c>
      <c r="G421" t="s">
        <v>252</v>
      </c>
      <c r="H421" t="s">
        <v>17</v>
      </c>
      <c r="I421" t="s">
        <v>258</v>
      </c>
      <c r="J421" t="s">
        <v>247</v>
      </c>
      <c r="K421">
        <v>-539.19102296000005</v>
      </c>
      <c r="L421" t="s">
        <v>248</v>
      </c>
      <c r="M421" t="s">
        <v>224</v>
      </c>
      <c r="N421">
        <v>4.9724862092599999E-3</v>
      </c>
      <c r="O421">
        <v>2.6811199999999999</v>
      </c>
      <c r="P421" t="s">
        <v>21</v>
      </c>
      <c r="Q421">
        <v>1</v>
      </c>
      <c r="V421">
        <v>66303.072</v>
      </c>
      <c r="W421">
        <v>1</v>
      </c>
      <c r="X421">
        <v>9.0493559999999998E-6</v>
      </c>
      <c r="Y421">
        <v>0.6</v>
      </c>
      <c r="Z421">
        <v>1.6086720000000001</v>
      </c>
      <c r="AA421" t="s">
        <v>225</v>
      </c>
      <c r="AB421" t="s">
        <v>226</v>
      </c>
      <c r="AC421" t="s">
        <v>227</v>
      </c>
      <c r="AD421" t="s">
        <v>153</v>
      </c>
      <c r="AE421">
        <v>109.354</v>
      </c>
      <c r="AF421">
        <v>1.0727760310708341</v>
      </c>
      <c r="AG421">
        <v>117.31235010172</v>
      </c>
      <c r="AH421">
        <v>694.38</v>
      </c>
      <c r="AI421">
        <v>0.875</v>
      </c>
      <c r="AJ421">
        <v>71.276930955678296</v>
      </c>
      <c r="AK421">
        <v>1.0034000000000001</v>
      </c>
      <c r="AL421">
        <v>71.519000000000005</v>
      </c>
      <c r="AM421">
        <v>8.9176000000000002</v>
      </c>
      <c r="AN421">
        <v>9.5665875346772715</v>
      </c>
      <c r="AO421">
        <v>0.91300000000000003</v>
      </c>
      <c r="AP421">
        <v>6064.9193587765631</v>
      </c>
      <c r="AQ421">
        <v>1</v>
      </c>
      <c r="AR421">
        <v>6064.9193999999998</v>
      </c>
      <c r="AS421">
        <v>115.05061276799999</v>
      </c>
      <c r="AT421" t="s">
        <v>269</v>
      </c>
      <c r="AU421" t="s">
        <v>270</v>
      </c>
      <c r="AV421" t="s">
        <v>227</v>
      </c>
      <c r="AW421" t="s">
        <v>153</v>
      </c>
      <c r="AX421">
        <v>109.354</v>
      </c>
      <c r="AY421">
        <v>1.080821157758461</v>
      </c>
      <c r="AZ421">
        <v>118.1921168855188</v>
      </c>
      <c r="BA421">
        <v>779.31</v>
      </c>
      <c r="BB421">
        <v>0.879</v>
      </c>
      <c r="BC421">
        <v>80.963194478237142</v>
      </c>
      <c r="BD421">
        <v>1.0078</v>
      </c>
      <c r="BE421">
        <v>81.594999999999999</v>
      </c>
      <c r="BF421">
        <v>8.9176000000000002</v>
      </c>
      <c r="BG421">
        <v>0.80400000000000005</v>
      </c>
      <c r="BH421">
        <v>6039.0430235999738</v>
      </c>
      <c r="BI421">
        <v>1</v>
      </c>
      <c r="BJ421">
        <v>6039.0429999999997</v>
      </c>
      <c r="BK421">
        <v>131.25959184000001</v>
      </c>
    </row>
    <row r="422" spans="1:63" x14ac:dyDescent="0.25">
      <c r="A422">
        <v>4628</v>
      </c>
      <c r="B422" t="s">
        <v>106</v>
      </c>
      <c r="C422">
        <v>2020</v>
      </c>
      <c r="D422">
        <v>1</v>
      </c>
      <c r="E422" t="s">
        <v>218</v>
      </c>
      <c r="F422" t="s">
        <v>251</v>
      </c>
      <c r="G422" t="s">
        <v>252</v>
      </c>
      <c r="H422" t="s">
        <v>17</v>
      </c>
      <c r="I422" t="s">
        <v>258</v>
      </c>
      <c r="J422" t="s">
        <v>247</v>
      </c>
      <c r="K422">
        <v>-539.19102296000005</v>
      </c>
      <c r="L422" t="s">
        <v>248</v>
      </c>
      <c r="M422" t="s">
        <v>235</v>
      </c>
      <c r="N422">
        <v>0.99209122360516</v>
      </c>
      <c r="O422">
        <v>534.92668200000003</v>
      </c>
      <c r="P422" t="s">
        <v>21</v>
      </c>
      <c r="Q422">
        <v>1</v>
      </c>
      <c r="V422">
        <v>66303.072</v>
      </c>
      <c r="W422">
        <v>1</v>
      </c>
      <c r="X422">
        <v>9.0493559999999998E-6</v>
      </c>
      <c r="Y422">
        <v>0.6</v>
      </c>
      <c r="Z422">
        <v>320.95600899999999</v>
      </c>
      <c r="AA422" t="s">
        <v>225</v>
      </c>
      <c r="AB422" t="s">
        <v>226</v>
      </c>
      <c r="AC422" t="s">
        <v>227</v>
      </c>
      <c r="AD422" t="s">
        <v>154</v>
      </c>
      <c r="AE422">
        <v>109.354</v>
      </c>
      <c r="AF422">
        <v>1.0727760310708341</v>
      </c>
      <c r="AG422">
        <v>117.31235010172</v>
      </c>
      <c r="AH422">
        <v>694.38</v>
      </c>
      <c r="AI422">
        <v>0.875</v>
      </c>
      <c r="AJ422">
        <v>71.276930955678296</v>
      </c>
      <c r="AK422">
        <v>1.0179</v>
      </c>
      <c r="AL422">
        <v>72.552999999999997</v>
      </c>
      <c r="AM422">
        <v>8.9176000000000002</v>
      </c>
      <c r="AN422">
        <v>9.5665875346772715</v>
      </c>
      <c r="AO422">
        <v>0.91300000000000003</v>
      </c>
      <c r="AP422">
        <v>6064.9193587765631</v>
      </c>
      <c r="AQ422">
        <v>0.98975009761811794</v>
      </c>
      <c r="AR422">
        <v>6002.7545</v>
      </c>
      <c r="AS422">
        <v>23286.321320977</v>
      </c>
      <c r="AT422" t="s">
        <v>269</v>
      </c>
      <c r="AU422" t="s">
        <v>270</v>
      </c>
      <c r="AV422" t="s">
        <v>227</v>
      </c>
      <c r="AW422" t="s">
        <v>154</v>
      </c>
      <c r="AX422">
        <v>109.354</v>
      </c>
      <c r="AY422">
        <v>1.080821157758461</v>
      </c>
      <c r="AZ422">
        <v>118.1921168855188</v>
      </c>
      <c r="BA422">
        <v>779.31</v>
      </c>
      <c r="BB422">
        <v>0.879</v>
      </c>
      <c r="BC422">
        <v>80.963194478237142</v>
      </c>
      <c r="BD422">
        <v>0.9899</v>
      </c>
      <c r="BE422">
        <v>80.144999999999996</v>
      </c>
      <c r="BF422">
        <v>8.9176000000000002</v>
      </c>
      <c r="BG422">
        <v>0.80400000000000005</v>
      </c>
      <c r="BH422">
        <v>6039.0430235999738</v>
      </c>
      <c r="BI422">
        <v>0.99199531433033972</v>
      </c>
      <c r="BJ422">
        <v>5990.7024000000001</v>
      </c>
      <c r="BK422">
        <v>25723.019341305</v>
      </c>
    </row>
    <row r="423" spans="1:63" x14ac:dyDescent="0.25">
      <c r="A423">
        <v>4630</v>
      </c>
      <c r="B423" t="s">
        <v>106</v>
      </c>
      <c r="C423">
        <v>2020</v>
      </c>
      <c r="D423">
        <v>1</v>
      </c>
      <c r="E423" t="s">
        <v>218</v>
      </c>
      <c r="F423" t="s">
        <v>251</v>
      </c>
      <c r="G423" t="s">
        <v>252</v>
      </c>
      <c r="H423" t="s">
        <v>17</v>
      </c>
      <c r="I423" t="s">
        <v>258</v>
      </c>
      <c r="J423" t="s">
        <v>247</v>
      </c>
      <c r="K423">
        <v>-539.19102296000005</v>
      </c>
      <c r="L423" t="s">
        <v>248</v>
      </c>
      <c r="M423" t="s">
        <v>236</v>
      </c>
      <c r="N423">
        <v>4.7995598170700003E-3</v>
      </c>
      <c r="O423">
        <v>2.5878800000000002</v>
      </c>
      <c r="P423" t="s">
        <v>21</v>
      </c>
      <c r="Q423">
        <v>1</v>
      </c>
      <c r="V423">
        <v>66303.072</v>
      </c>
      <c r="W423">
        <v>1</v>
      </c>
      <c r="X423">
        <v>9.0493559999999998E-6</v>
      </c>
      <c r="Y423">
        <v>0.6</v>
      </c>
      <c r="Z423">
        <v>1.5527280000000001</v>
      </c>
      <c r="AA423" t="s">
        <v>225</v>
      </c>
      <c r="AB423" t="s">
        <v>226</v>
      </c>
      <c r="AC423" t="s">
        <v>227</v>
      </c>
      <c r="AD423" t="s">
        <v>100</v>
      </c>
      <c r="AE423">
        <v>109.354</v>
      </c>
      <c r="AF423">
        <v>1.0727760310708341</v>
      </c>
      <c r="AG423">
        <v>117.31235010172</v>
      </c>
      <c r="AH423">
        <v>694.38</v>
      </c>
      <c r="AI423">
        <v>0.875</v>
      </c>
      <c r="AJ423">
        <v>71.276930955678296</v>
      </c>
      <c r="AK423">
        <v>0.96660000000000001</v>
      </c>
      <c r="AL423">
        <v>68.896000000000001</v>
      </c>
      <c r="AM423">
        <v>8.9176000000000002</v>
      </c>
      <c r="AN423">
        <v>9.5665875346772715</v>
      </c>
      <c r="AO423">
        <v>0.91300000000000003</v>
      </c>
      <c r="AP423">
        <v>6064.9193587765631</v>
      </c>
      <c r="AQ423">
        <v>0.98316430020283985</v>
      </c>
      <c r="AR423">
        <v>5962.8122000000003</v>
      </c>
      <c r="AS423">
        <v>106.976748288</v>
      </c>
      <c r="AT423" t="s">
        <v>269</v>
      </c>
      <c r="AU423" t="s">
        <v>270</v>
      </c>
      <c r="AV423" t="s">
        <v>227</v>
      </c>
      <c r="AW423" t="s">
        <v>100</v>
      </c>
      <c r="AX423">
        <v>109.354</v>
      </c>
      <c r="AY423">
        <v>1.080821157758461</v>
      </c>
      <c r="AZ423">
        <v>118.1921168855188</v>
      </c>
      <c r="BA423">
        <v>779.31</v>
      </c>
      <c r="BB423">
        <v>0.879</v>
      </c>
      <c r="BC423">
        <v>80.963194478237142</v>
      </c>
      <c r="BD423">
        <v>0.96560000000000001</v>
      </c>
      <c r="BE423">
        <v>78.177999999999997</v>
      </c>
      <c r="BF423">
        <v>8.9176000000000002</v>
      </c>
      <c r="BG423">
        <v>0.80400000000000005</v>
      </c>
      <c r="BH423">
        <v>6039.0430235999738</v>
      </c>
      <c r="BI423">
        <v>0.98955375253549693</v>
      </c>
      <c r="BJ423">
        <v>5975.9576999999999</v>
      </c>
      <c r="BK423">
        <v>121.389169584</v>
      </c>
    </row>
    <row r="424" spans="1:63" x14ac:dyDescent="0.25">
      <c r="A424">
        <v>4632</v>
      </c>
      <c r="B424" t="s">
        <v>106</v>
      </c>
      <c r="C424">
        <v>2020</v>
      </c>
      <c r="D424">
        <v>1</v>
      </c>
      <c r="E424" t="s">
        <v>218</v>
      </c>
      <c r="F424" t="s">
        <v>251</v>
      </c>
      <c r="G424" t="s">
        <v>252</v>
      </c>
      <c r="H424" t="s">
        <v>17</v>
      </c>
      <c r="I424" t="s">
        <v>258</v>
      </c>
      <c r="J424" t="s">
        <v>247</v>
      </c>
      <c r="K424">
        <v>-539.19102296000005</v>
      </c>
      <c r="L424" t="s">
        <v>248</v>
      </c>
      <c r="M424" t="s">
        <v>237</v>
      </c>
      <c r="N424">
        <v>2.2580780904460002E-2</v>
      </c>
      <c r="O424">
        <v>12.175354</v>
      </c>
      <c r="P424" t="s">
        <v>21</v>
      </c>
      <c r="Q424">
        <v>1</v>
      </c>
      <c r="V424">
        <v>66303.072</v>
      </c>
      <c r="W424">
        <v>1</v>
      </c>
      <c r="X424">
        <v>9.0493559999999998E-6</v>
      </c>
      <c r="Y424">
        <v>0.6</v>
      </c>
      <c r="Z424">
        <v>7.305212</v>
      </c>
      <c r="AA424" t="s">
        <v>225</v>
      </c>
      <c r="AB424" t="s">
        <v>226</v>
      </c>
      <c r="AC424" t="s">
        <v>227</v>
      </c>
      <c r="AD424" t="s">
        <v>101</v>
      </c>
      <c r="AE424">
        <v>109.354</v>
      </c>
      <c r="AF424">
        <v>1.0727760310708341</v>
      </c>
      <c r="AG424">
        <v>117.31235010172</v>
      </c>
      <c r="AH424">
        <v>694.38</v>
      </c>
      <c r="AI424">
        <v>0.875</v>
      </c>
      <c r="AJ424">
        <v>71.276930955678296</v>
      </c>
      <c r="AK424">
        <v>1.0077</v>
      </c>
      <c r="AL424">
        <v>71.825999999999993</v>
      </c>
      <c r="AM424">
        <v>8.9176000000000002</v>
      </c>
      <c r="AN424">
        <v>9.5665875346772715</v>
      </c>
      <c r="AO424">
        <v>0.91300000000000003</v>
      </c>
      <c r="AP424">
        <v>6064.9193587765631</v>
      </c>
      <c r="AQ424">
        <v>1.0255267423014589</v>
      </c>
      <c r="AR424">
        <v>6219.7370000000001</v>
      </c>
      <c r="AS424">
        <v>524.70415711199996</v>
      </c>
      <c r="AT424" t="s">
        <v>269</v>
      </c>
      <c r="AU424" t="s">
        <v>270</v>
      </c>
      <c r="AV424" t="s">
        <v>227</v>
      </c>
      <c r="AW424" t="s">
        <v>101</v>
      </c>
      <c r="AX424">
        <v>109.354</v>
      </c>
      <c r="AY424">
        <v>1.080821157758461</v>
      </c>
      <c r="AZ424">
        <v>118.1921168855188</v>
      </c>
      <c r="BA424">
        <v>779.31</v>
      </c>
      <c r="BB424">
        <v>0.879</v>
      </c>
      <c r="BC424">
        <v>80.963194478237142</v>
      </c>
      <c r="BD424">
        <v>1.0097</v>
      </c>
      <c r="BE424">
        <v>81.748999999999995</v>
      </c>
      <c r="BF424">
        <v>8.9176000000000002</v>
      </c>
      <c r="BG424">
        <v>0.80400000000000005</v>
      </c>
      <c r="BH424">
        <v>6039.0430235999738</v>
      </c>
      <c r="BI424">
        <v>1.0276539708265799</v>
      </c>
      <c r="BJ424">
        <v>6206.0465000000004</v>
      </c>
      <c r="BK424">
        <v>597.19377578799993</v>
      </c>
    </row>
    <row r="425" spans="1:63" x14ac:dyDescent="0.25">
      <c r="A425">
        <v>1154</v>
      </c>
      <c r="B425" t="s">
        <v>106</v>
      </c>
      <c r="C425">
        <v>2020</v>
      </c>
      <c r="D425">
        <v>1</v>
      </c>
      <c r="E425" t="s">
        <v>218</v>
      </c>
      <c r="F425" t="s">
        <v>251</v>
      </c>
      <c r="G425" t="s">
        <v>252</v>
      </c>
      <c r="H425" t="s">
        <v>17</v>
      </c>
      <c r="I425" t="s">
        <v>259</v>
      </c>
      <c r="J425" t="s">
        <v>250</v>
      </c>
      <c r="K425">
        <v>-705.05034780000005</v>
      </c>
      <c r="L425" t="s">
        <v>250</v>
      </c>
      <c r="M425" t="s">
        <v>231</v>
      </c>
      <c r="N425">
        <v>4.9898993999990003E-2</v>
      </c>
      <c r="O425">
        <v>35.181303</v>
      </c>
      <c r="P425" t="s">
        <v>21</v>
      </c>
      <c r="Q425">
        <v>1</v>
      </c>
      <c r="V425">
        <v>66303.072</v>
      </c>
      <c r="W425">
        <v>1</v>
      </c>
      <c r="X425">
        <v>9.0493559999999998E-6</v>
      </c>
      <c r="Y425">
        <v>0.6</v>
      </c>
      <c r="Z425">
        <v>21.108782000000001</v>
      </c>
      <c r="AA425" t="s">
        <v>225</v>
      </c>
      <c r="AB425" t="s">
        <v>226</v>
      </c>
      <c r="AC425" t="s">
        <v>227</v>
      </c>
      <c r="AD425" t="s">
        <v>100</v>
      </c>
      <c r="AE425">
        <v>109.354</v>
      </c>
      <c r="AF425">
        <v>1.0727760310708341</v>
      </c>
      <c r="AG425">
        <v>117.31235010172</v>
      </c>
      <c r="AH425">
        <v>694.38</v>
      </c>
      <c r="AI425">
        <v>0.875</v>
      </c>
      <c r="AJ425">
        <v>71.276930955678296</v>
      </c>
      <c r="AK425">
        <v>0.96660000000000001</v>
      </c>
      <c r="AL425">
        <v>68.896000000000001</v>
      </c>
      <c r="AM425">
        <v>8.9176000000000002</v>
      </c>
      <c r="AN425">
        <v>9.5665875346772715</v>
      </c>
      <c r="AO425">
        <v>0.91300000000000003</v>
      </c>
      <c r="AP425">
        <v>6064.9193587765631</v>
      </c>
      <c r="AQ425">
        <v>0.98316430020283985</v>
      </c>
      <c r="AR425">
        <v>5962.8122000000003</v>
      </c>
      <c r="AS425">
        <v>1454.3106446720001</v>
      </c>
      <c r="AT425" t="s">
        <v>269</v>
      </c>
      <c r="AU425" t="s">
        <v>270</v>
      </c>
      <c r="AV425" t="s">
        <v>227</v>
      </c>
      <c r="AW425" t="s">
        <v>100</v>
      </c>
      <c r="AX425">
        <v>109.354</v>
      </c>
      <c r="AY425">
        <v>1.080821157758461</v>
      </c>
      <c r="AZ425">
        <v>118.1921168855188</v>
      </c>
      <c r="BA425">
        <v>779.31</v>
      </c>
      <c r="BB425">
        <v>0.879</v>
      </c>
      <c r="BC425">
        <v>80.963194478237142</v>
      </c>
      <c r="BD425">
        <v>0.96560000000000001</v>
      </c>
      <c r="BE425">
        <v>78.177999999999997</v>
      </c>
      <c r="BF425">
        <v>8.9176000000000002</v>
      </c>
      <c r="BG425">
        <v>0.80400000000000005</v>
      </c>
      <c r="BH425">
        <v>6039.0430235999738</v>
      </c>
      <c r="BI425">
        <v>0.98955375253549693</v>
      </c>
      <c r="BJ425">
        <v>5975.9576999999999</v>
      </c>
      <c r="BK425">
        <v>1650.2423591960001</v>
      </c>
    </row>
    <row r="426" spans="1:63" x14ac:dyDescent="0.25">
      <c r="A426">
        <v>1156</v>
      </c>
      <c r="B426" t="s">
        <v>106</v>
      </c>
      <c r="C426">
        <v>2020</v>
      </c>
      <c r="D426">
        <v>1</v>
      </c>
      <c r="E426" t="s">
        <v>218</v>
      </c>
      <c r="F426" t="s">
        <v>251</v>
      </c>
      <c r="G426" t="s">
        <v>252</v>
      </c>
      <c r="H426" t="s">
        <v>17</v>
      </c>
      <c r="I426" t="s">
        <v>259</v>
      </c>
      <c r="J426" t="s">
        <v>250</v>
      </c>
      <c r="K426">
        <v>-705.05034780000005</v>
      </c>
      <c r="L426" t="s">
        <v>250</v>
      </c>
      <c r="M426" t="s">
        <v>232</v>
      </c>
      <c r="N426">
        <v>0.97472100599996003</v>
      </c>
      <c r="O426">
        <v>687.22738400000003</v>
      </c>
      <c r="P426" t="s">
        <v>21</v>
      </c>
      <c r="Q426">
        <v>1</v>
      </c>
      <c r="V426">
        <v>66303.072</v>
      </c>
      <c r="W426">
        <v>1</v>
      </c>
      <c r="X426">
        <v>9.0493559999999998E-6</v>
      </c>
      <c r="Y426">
        <v>0.6</v>
      </c>
      <c r="Z426">
        <v>412.33643000000001</v>
      </c>
      <c r="AA426" t="s">
        <v>225</v>
      </c>
      <c r="AB426" t="s">
        <v>226</v>
      </c>
      <c r="AC426" t="s">
        <v>227</v>
      </c>
      <c r="AD426" t="s">
        <v>101</v>
      </c>
      <c r="AE426">
        <v>109.354</v>
      </c>
      <c r="AF426">
        <v>1.0727760310708341</v>
      </c>
      <c r="AG426">
        <v>117.31235010172</v>
      </c>
      <c r="AH426">
        <v>694.38</v>
      </c>
      <c r="AI426">
        <v>0.875</v>
      </c>
      <c r="AJ426">
        <v>71.276930955678296</v>
      </c>
      <c r="AK426">
        <v>1.0077</v>
      </c>
      <c r="AL426">
        <v>71.825999999999993</v>
      </c>
      <c r="AM426">
        <v>8.9176000000000002</v>
      </c>
      <c r="AN426">
        <v>9.5665875346772715</v>
      </c>
      <c r="AO426">
        <v>0.91300000000000003</v>
      </c>
      <c r="AP426">
        <v>6064.9193587765631</v>
      </c>
      <c r="AQ426">
        <v>1.0255267423014589</v>
      </c>
      <c r="AR426">
        <v>6219.7370000000001</v>
      </c>
      <c r="AS426">
        <v>29616.476421179999</v>
      </c>
      <c r="AT426" t="s">
        <v>269</v>
      </c>
      <c r="AU426" t="s">
        <v>270</v>
      </c>
      <c r="AV426" t="s">
        <v>227</v>
      </c>
      <c r="AW426" t="s">
        <v>101</v>
      </c>
      <c r="AX426">
        <v>109.354</v>
      </c>
      <c r="AY426">
        <v>1.080821157758461</v>
      </c>
      <c r="AZ426">
        <v>118.1921168855188</v>
      </c>
      <c r="BA426">
        <v>779.31</v>
      </c>
      <c r="BB426">
        <v>0.879</v>
      </c>
      <c r="BC426">
        <v>80.963194478237142</v>
      </c>
      <c r="BD426">
        <v>1.0097</v>
      </c>
      <c r="BE426">
        <v>81.748999999999995</v>
      </c>
      <c r="BF426">
        <v>8.9176000000000002</v>
      </c>
      <c r="BG426">
        <v>0.80400000000000005</v>
      </c>
      <c r="BH426">
        <v>6039.0430235999738</v>
      </c>
      <c r="BI426">
        <v>1.0276539708265799</v>
      </c>
      <c r="BJ426">
        <v>6206.0465000000004</v>
      </c>
      <c r="BK426">
        <v>33708.090816069998</v>
      </c>
    </row>
    <row r="427" spans="1:63" x14ac:dyDescent="0.25">
      <c r="A427">
        <v>4634</v>
      </c>
      <c r="B427" t="s">
        <v>106</v>
      </c>
      <c r="C427">
        <v>2020</v>
      </c>
      <c r="D427">
        <v>1</v>
      </c>
      <c r="E427" t="s">
        <v>218</v>
      </c>
      <c r="F427" t="s">
        <v>260</v>
      </c>
      <c r="G427" t="s">
        <v>261</v>
      </c>
      <c r="H427" t="s">
        <v>17</v>
      </c>
      <c r="I427" t="s">
        <v>262</v>
      </c>
      <c r="J427" t="s">
        <v>222</v>
      </c>
      <c r="K427">
        <v>-149.04545716000001</v>
      </c>
      <c r="L427" t="s">
        <v>223</v>
      </c>
      <c r="M427" t="s">
        <v>224</v>
      </c>
      <c r="N427">
        <v>8.7524974586199993E-3</v>
      </c>
      <c r="O427">
        <v>1.3045199999999999</v>
      </c>
      <c r="P427" t="s">
        <v>21</v>
      </c>
      <c r="Q427">
        <v>1</v>
      </c>
      <c r="V427">
        <v>66303.072</v>
      </c>
      <c r="W427">
        <v>1</v>
      </c>
      <c r="X427">
        <v>1.2927647999999999E-5</v>
      </c>
      <c r="Y427">
        <v>0.85714299999999999</v>
      </c>
      <c r="Z427">
        <v>1.11816</v>
      </c>
      <c r="AA427" t="s">
        <v>225</v>
      </c>
      <c r="AB427" t="s">
        <v>226</v>
      </c>
      <c r="AC427" t="s">
        <v>227</v>
      </c>
      <c r="AD427" t="s">
        <v>153</v>
      </c>
      <c r="AE427">
        <v>109.354</v>
      </c>
      <c r="AF427">
        <v>1.0727760310708341</v>
      </c>
      <c r="AG427">
        <v>117.31235010172</v>
      </c>
      <c r="AH427">
        <v>694.38</v>
      </c>
      <c r="AI427">
        <v>0.875</v>
      </c>
      <c r="AJ427">
        <v>71.276930955678296</v>
      </c>
      <c r="AK427">
        <v>1.0034000000000001</v>
      </c>
      <c r="AL427">
        <v>71.519000000000005</v>
      </c>
      <c r="AM427">
        <v>8.9176000000000002</v>
      </c>
      <c r="AN427">
        <v>9.5665875346772715</v>
      </c>
      <c r="AO427">
        <v>0.91300000000000003</v>
      </c>
      <c r="AP427">
        <v>6064.9193587765631</v>
      </c>
      <c r="AQ427">
        <v>1</v>
      </c>
      <c r="AR427">
        <v>6064.9193999999998</v>
      </c>
      <c r="AS427">
        <v>79.969685040000016</v>
      </c>
      <c r="AT427" t="s">
        <v>269</v>
      </c>
      <c r="AU427" t="s">
        <v>270</v>
      </c>
      <c r="AV427" t="s">
        <v>227</v>
      </c>
      <c r="AW427" t="s">
        <v>153</v>
      </c>
      <c r="AX427">
        <v>109.354</v>
      </c>
      <c r="AY427">
        <v>1.080821157758461</v>
      </c>
      <c r="AZ427">
        <v>118.1921168855188</v>
      </c>
      <c r="BA427">
        <v>779.31</v>
      </c>
      <c r="BB427">
        <v>0.879</v>
      </c>
      <c r="BC427">
        <v>80.963194478237142</v>
      </c>
      <c r="BD427">
        <v>1.0078</v>
      </c>
      <c r="BE427">
        <v>81.594999999999999</v>
      </c>
      <c r="BF427">
        <v>8.9176000000000002</v>
      </c>
      <c r="BG427">
        <v>0.80400000000000005</v>
      </c>
      <c r="BH427">
        <v>6039.0430235999738</v>
      </c>
      <c r="BI427">
        <v>1</v>
      </c>
      <c r="BJ427">
        <v>6039.0429999999997</v>
      </c>
      <c r="BK427">
        <v>91.236265200000005</v>
      </c>
    </row>
    <row r="428" spans="1:63" x14ac:dyDescent="0.25">
      <c r="A428">
        <v>4636</v>
      </c>
      <c r="B428" t="s">
        <v>106</v>
      </c>
      <c r="C428">
        <v>2020</v>
      </c>
      <c r="D428">
        <v>1</v>
      </c>
      <c r="E428" t="s">
        <v>218</v>
      </c>
      <c r="F428" t="s">
        <v>260</v>
      </c>
      <c r="G428" t="s">
        <v>261</v>
      </c>
      <c r="H428" t="s">
        <v>17</v>
      </c>
      <c r="I428" t="s">
        <v>262</v>
      </c>
      <c r="J428" t="s">
        <v>222</v>
      </c>
      <c r="K428">
        <v>-149.04545716000001</v>
      </c>
      <c r="L428" t="s">
        <v>223</v>
      </c>
      <c r="M428" t="s">
        <v>230</v>
      </c>
      <c r="N428">
        <v>0.16047331440265999</v>
      </c>
      <c r="O428">
        <v>23.917819000000001</v>
      </c>
      <c r="P428" t="s">
        <v>21</v>
      </c>
      <c r="Q428">
        <v>1</v>
      </c>
      <c r="V428">
        <v>66303.072</v>
      </c>
      <c r="W428">
        <v>1</v>
      </c>
      <c r="X428">
        <v>1.2927647999999999E-5</v>
      </c>
      <c r="Y428">
        <v>0.85714299999999999</v>
      </c>
      <c r="Z428">
        <v>20.500990999999999</v>
      </c>
      <c r="AA428" t="s">
        <v>225</v>
      </c>
      <c r="AB428" t="s">
        <v>226</v>
      </c>
      <c r="AC428" t="s">
        <v>227</v>
      </c>
      <c r="AD428" t="s">
        <v>154</v>
      </c>
      <c r="AE428">
        <v>109.354</v>
      </c>
      <c r="AF428">
        <v>1.0727760310708341</v>
      </c>
      <c r="AG428">
        <v>117.31235010172</v>
      </c>
      <c r="AH428">
        <v>694.38</v>
      </c>
      <c r="AI428">
        <v>0.875</v>
      </c>
      <c r="AJ428">
        <v>71.276930955678296</v>
      </c>
      <c r="AK428">
        <v>1.0179</v>
      </c>
      <c r="AL428">
        <v>72.552999999999997</v>
      </c>
      <c r="AM428">
        <v>8.9176000000000002</v>
      </c>
      <c r="AN428">
        <v>9.5665875346772715</v>
      </c>
      <c r="AO428">
        <v>0.91300000000000003</v>
      </c>
      <c r="AP428">
        <v>6064.9193587765631</v>
      </c>
      <c r="AQ428">
        <v>0.98975009761811794</v>
      </c>
      <c r="AR428">
        <v>6002.7545</v>
      </c>
      <c r="AS428">
        <v>1487.408400023</v>
      </c>
      <c r="AT428" t="s">
        <v>269</v>
      </c>
      <c r="AU428" t="s">
        <v>270</v>
      </c>
      <c r="AV428" t="s">
        <v>227</v>
      </c>
      <c r="AW428" t="s">
        <v>154</v>
      </c>
      <c r="AX428">
        <v>109.354</v>
      </c>
      <c r="AY428">
        <v>1.080821157758461</v>
      </c>
      <c r="AZ428">
        <v>118.1921168855188</v>
      </c>
      <c r="BA428">
        <v>779.31</v>
      </c>
      <c r="BB428">
        <v>0.879</v>
      </c>
      <c r="BC428">
        <v>80.963194478237142</v>
      </c>
      <c r="BD428">
        <v>0.9899</v>
      </c>
      <c r="BE428">
        <v>80.144999999999996</v>
      </c>
      <c r="BF428">
        <v>8.9176000000000002</v>
      </c>
      <c r="BG428">
        <v>0.80400000000000005</v>
      </c>
      <c r="BH428">
        <v>6039.0430235999738</v>
      </c>
      <c r="BI428">
        <v>0.99199531433033972</v>
      </c>
      <c r="BJ428">
        <v>5990.7024000000001</v>
      </c>
      <c r="BK428">
        <v>1643.0519236949999</v>
      </c>
    </row>
    <row r="429" spans="1:63" x14ac:dyDescent="0.25">
      <c r="A429">
        <v>4638</v>
      </c>
      <c r="B429" t="s">
        <v>106</v>
      </c>
      <c r="C429">
        <v>2020</v>
      </c>
      <c r="D429">
        <v>1</v>
      </c>
      <c r="E429" t="s">
        <v>218</v>
      </c>
      <c r="F429" t="s">
        <v>260</v>
      </c>
      <c r="G429" t="s">
        <v>261</v>
      </c>
      <c r="H429" t="s">
        <v>17</v>
      </c>
      <c r="I429" t="s">
        <v>262</v>
      </c>
      <c r="J429" t="s">
        <v>222</v>
      </c>
      <c r="K429">
        <v>-149.04545716000001</v>
      </c>
      <c r="L429" t="s">
        <v>223</v>
      </c>
      <c r="M429" t="s">
        <v>231</v>
      </c>
      <c r="N429">
        <v>4.5018334813739999E-2</v>
      </c>
      <c r="O429">
        <v>6.709778</v>
      </c>
      <c r="P429" t="s">
        <v>21</v>
      </c>
      <c r="Q429">
        <v>1</v>
      </c>
      <c r="V429">
        <v>66303.072</v>
      </c>
      <c r="W429">
        <v>1</v>
      </c>
      <c r="X429">
        <v>1.2927647999999999E-5</v>
      </c>
      <c r="Y429">
        <v>0.85714299999999999</v>
      </c>
      <c r="Z429">
        <v>5.751239</v>
      </c>
      <c r="AA429" t="s">
        <v>225</v>
      </c>
      <c r="AB429" t="s">
        <v>226</v>
      </c>
      <c r="AC429" t="s">
        <v>227</v>
      </c>
      <c r="AD429" t="s">
        <v>100</v>
      </c>
      <c r="AE429">
        <v>109.354</v>
      </c>
      <c r="AF429">
        <v>1.0727760310708341</v>
      </c>
      <c r="AG429">
        <v>117.31235010172</v>
      </c>
      <c r="AH429">
        <v>694.38</v>
      </c>
      <c r="AI429">
        <v>0.875</v>
      </c>
      <c r="AJ429">
        <v>71.276930955678296</v>
      </c>
      <c r="AK429">
        <v>0.96660000000000001</v>
      </c>
      <c r="AL429">
        <v>68.896000000000001</v>
      </c>
      <c r="AM429">
        <v>8.9176000000000002</v>
      </c>
      <c r="AN429">
        <v>9.5665875346772715</v>
      </c>
      <c r="AO429">
        <v>0.91300000000000003</v>
      </c>
      <c r="AP429">
        <v>6064.9193587765631</v>
      </c>
      <c r="AQ429">
        <v>0.98316430020283985</v>
      </c>
      <c r="AR429">
        <v>5962.8122000000003</v>
      </c>
      <c r="AS429">
        <v>396.23736214399997</v>
      </c>
      <c r="AT429" t="s">
        <v>269</v>
      </c>
      <c r="AU429" t="s">
        <v>270</v>
      </c>
      <c r="AV429" t="s">
        <v>227</v>
      </c>
      <c r="AW429" t="s">
        <v>100</v>
      </c>
      <c r="AX429">
        <v>109.354</v>
      </c>
      <c r="AY429">
        <v>1.080821157758461</v>
      </c>
      <c r="AZ429">
        <v>118.1921168855188</v>
      </c>
      <c r="BA429">
        <v>779.31</v>
      </c>
      <c r="BB429">
        <v>0.879</v>
      </c>
      <c r="BC429">
        <v>80.963194478237142</v>
      </c>
      <c r="BD429">
        <v>0.96560000000000001</v>
      </c>
      <c r="BE429">
        <v>78.177999999999997</v>
      </c>
      <c r="BF429">
        <v>8.9176000000000002</v>
      </c>
      <c r="BG429">
        <v>0.80400000000000005</v>
      </c>
      <c r="BH429">
        <v>6039.0430235999738</v>
      </c>
      <c r="BI429">
        <v>0.98955375253549693</v>
      </c>
      <c r="BJ429">
        <v>5975.9576999999999</v>
      </c>
      <c r="BK429">
        <v>449.62036254200001</v>
      </c>
    </row>
    <row r="430" spans="1:63" x14ac:dyDescent="0.25">
      <c r="A430">
        <v>4640</v>
      </c>
      <c r="B430" t="s">
        <v>106</v>
      </c>
      <c r="C430">
        <v>2020</v>
      </c>
      <c r="D430">
        <v>1</v>
      </c>
      <c r="E430" t="s">
        <v>218</v>
      </c>
      <c r="F430" t="s">
        <v>260</v>
      </c>
      <c r="G430" t="s">
        <v>261</v>
      </c>
      <c r="H430" t="s">
        <v>17</v>
      </c>
      <c r="I430" t="s">
        <v>262</v>
      </c>
      <c r="J430" t="s">
        <v>222</v>
      </c>
      <c r="K430">
        <v>-149.04545716000001</v>
      </c>
      <c r="L430" t="s">
        <v>223</v>
      </c>
      <c r="M430" t="s">
        <v>232</v>
      </c>
      <c r="N430">
        <v>0.87398007306502001</v>
      </c>
      <c r="O430">
        <v>130.26275999999999</v>
      </c>
      <c r="P430" t="s">
        <v>21</v>
      </c>
      <c r="Q430">
        <v>1</v>
      </c>
      <c r="V430">
        <v>66303.072</v>
      </c>
      <c r="W430">
        <v>1</v>
      </c>
      <c r="X430">
        <v>1.2927647999999999E-5</v>
      </c>
      <c r="Y430">
        <v>0.85714299999999999</v>
      </c>
      <c r="Z430">
        <v>111.653813</v>
      </c>
      <c r="AA430" t="s">
        <v>225</v>
      </c>
      <c r="AB430" t="s">
        <v>226</v>
      </c>
      <c r="AC430" t="s">
        <v>227</v>
      </c>
      <c r="AD430" t="s">
        <v>101</v>
      </c>
      <c r="AE430">
        <v>109.354</v>
      </c>
      <c r="AF430">
        <v>1.0727760310708341</v>
      </c>
      <c r="AG430">
        <v>117.31235010172</v>
      </c>
      <c r="AH430">
        <v>694.38</v>
      </c>
      <c r="AI430">
        <v>0.875</v>
      </c>
      <c r="AJ430">
        <v>71.276930955678296</v>
      </c>
      <c r="AK430">
        <v>1.0077</v>
      </c>
      <c r="AL430">
        <v>71.825999999999993</v>
      </c>
      <c r="AM430">
        <v>8.9176000000000002</v>
      </c>
      <c r="AN430">
        <v>9.5665875346772715</v>
      </c>
      <c r="AO430">
        <v>0.91300000000000003</v>
      </c>
      <c r="AP430">
        <v>6064.9193587765631</v>
      </c>
      <c r="AQ430">
        <v>1.0255267423014589</v>
      </c>
      <c r="AR430">
        <v>6219.7370000000001</v>
      </c>
      <c r="AS430">
        <v>8019.6467725379989</v>
      </c>
      <c r="AT430" t="s">
        <v>269</v>
      </c>
      <c r="AU430" t="s">
        <v>270</v>
      </c>
      <c r="AV430" t="s">
        <v>227</v>
      </c>
      <c r="AW430" t="s">
        <v>101</v>
      </c>
      <c r="AX430">
        <v>109.354</v>
      </c>
      <c r="AY430">
        <v>1.080821157758461</v>
      </c>
      <c r="AZ430">
        <v>118.1921168855188</v>
      </c>
      <c r="BA430">
        <v>779.31</v>
      </c>
      <c r="BB430">
        <v>0.879</v>
      </c>
      <c r="BC430">
        <v>80.963194478237142</v>
      </c>
      <c r="BD430">
        <v>1.0097</v>
      </c>
      <c r="BE430">
        <v>81.748999999999995</v>
      </c>
      <c r="BF430">
        <v>8.9176000000000002</v>
      </c>
      <c r="BG430">
        <v>0.80400000000000005</v>
      </c>
      <c r="BH430">
        <v>6039.0430235999738</v>
      </c>
      <c r="BI430">
        <v>1.0276539708265799</v>
      </c>
      <c r="BJ430">
        <v>6206.0465000000004</v>
      </c>
      <c r="BK430">
        <v>9127.5875589369989</v>
      </c>
    </row>
    <row r="431" spans="1:63" x14ac:dyDescent="0.25">
      <c r="A431">
        <v>2314</v>
      </c>
      <c r="B431" t="s">
        <v>106</v>
      </c>
      <c r="C431">
        <v>2020</v>
      </c>
      <c r="D431">
        <v>1</v>
      </c>
      <c r="E431" t="s">
        <v>218</v>
      </c>
      <c r="F431" t="s">
        <v>260</v>
      </c>
      <c r="G431" t="s">
        <v>261</v>
      </c>
      <c r="H431" t="s">
        <v>17</v>
      </c>
      <c r="I431" t="s">
        <v>263</v>
      </c>
      <c r="J431" t="s">
        <v>234</v>
      </c>
      <c r="K431">
        <v>-608.99309273999995</v>
      </c>
      <c r="L431" t="s">
        <v>234</v>
      </c>
      <c r="M431" t="s">
        <v>224</v>
      </c>
      <c r="N431">
        <v>8.5771088379299996E-3</v>
      </c>
      <c r="O431">
        <v>5.2233999999999998</v>
      </c>
      <c r="P431" t="s">
        <v>21</v>
      </c>
      <c r="Q431">
        <v>1</v>
      </c>
      <c r="V431">
        <v>66303.072</v>
      </c>
      <c r="W431">
        <v>1</v>
      </c>
      <c r="X431">
        <v>1.2927647999999999E-5</v>
      </c>
      <c r="Y431">
        <v>0.85714299999999999</v>
      </c>
      <c r="Z431">
        <v>4.477201</v>
      </c>
      <c r="AA431" t="s">
        <v>225</v>
      </c>
      <c r="AB431" t="s">
        <v>226</v>
      </c>
      <c r="AC431" t="s">
        <v>227</v>
      </c>
      <c r="AD431" t="s">
        <v>153</v>
      </c>
      <c r="AE431">
        <v>109.354</v>
      </c>
      <c r="AF431">
        <v>1.0727760310708341</v>
      </c>
      <c r="AG431">
        <v>117.31235010172</v>
      </c>
      <c r="AH431">
        <v>694.38</v>
      </c>
      <c r="AI431">
        <v>0.875</v>
      </c>
      <c r="AJ431">
        <v>71.276930955678296</v>
      </c>
      <c r="AK431">
        <v>1.0034000000000001</v>
      </c>
      <c r="AL431">
        <v>71.519000000000005</v>
      </c>
      <c r="AM431">
        <v>8.9176000000000002</v>
      </c>
      <c r="AN431">
        <v>9.5665875346772715</v>
      </c>
      <c r="AO431">
        <v>0.91300000000000003</v>
      </c>
      <c r="AP431">
        <v>6064.9193587765631</v>
      </c>
      <c r="AQ431">
        <v>1</v>
      </c>
      <c r="AR431">
        <v>6064.9193999999998</v>
      </c>
      <c r="AS431">
        <v>320.20493831900001</v>
      </c>
      <c r="AT431" t="s">
        <v>269</v>
      </c>
      <c r="AU431" t="s">
        <v>270</v>
      </c>
      <c r="AV431" t="s">
        <v>227</v>
      </c>
      <c r="AW431" t="s">
        <v>153</v>
      </c>
      <c r="AX431">
        <v>109.354</v>
      </c>
      <c r="AY431">
        <v>1.080821157758461</v>
      </c>
      <c r="AZ431">
        <v>118.1921168855188</v>
      </c>
      <c r="BA431">
        <v>779.31</v>
      </c>
      <c r="BB431">
        <v>0.879</v>
      </c>
      <c r="BC431">
        <v>80.963194478237142</v>
      </c>
      <c r="BD431">
        <v>1.0078</v>
      </c>
      <c r="BE431">
        <v>81.594999999999999</v>
      </c>
      <c r="BF431">
        <v>8.9176000000000002</v>
      </c>
      <c r="BG431">
        <v>0.80400000000000005</v>
      </c>
      <c r="BH431">
        <v>6039.0430235999738</v>
      </c>
      <c r="BI431">
        <v>1</v>
      </c>
      <c r="BJ431">
        <v>6039.0429999999997</v>
      </c>
      <c r="BK431">
        <v>365.31721559499999</v>
      </c>
    </row>
    <row r="432" spans="1:63" x14ac:dyDescent="0.25">
      <c r="A432">
        <v>2316</v>
      </c>
      <c r="B432" t="s">
        <v>106</v>
      </c>
      <c r="C432">
        <v>2020</v>
      </c>
      <c r="D432">
        <v>1</v>
      </c>
      <c r="E432" t="s">
        <v>218</v>
      </c>
      <c r="F432" t="s">
        <v>260</v>
      </c>
      <c r="G432" t="s">
        <v>261</v>
      </c>
      <c r="H432" t="s">
        <v>17</v>
      </c>
      <c r="I432" t="s">
        <v>263</v>
      </c>
      <c r="J432" t="s">
        <v>234</v>
      </c>
      <c r="K432">
        <v>-608.99309273999995</v>
      </c>
      <c r="L432" t="s">
        <v>234</v>
      </c>
      <c r="M432" t="s">
        <v>235</v>
      </c>
      <c r="N432">
        <v>0.60124209651893001</v>
      </c>
      <c r="O432">
        <v>366.15228400000001</v>
      </c>
      <c r="P432" t="s">
        <v>21</v>
      </c>
      <c r="Q432">
        <v>1</v>
      </c>
      <c r="V432">
        <v>66303.072</v>
      </c>
      <c r="W432">
        <v>1</v>
      </c>
      <c r="X432">
        <v>1.2927647999999999E-5</v>
      </c>
      <c r="Y432">
        <v>0.85714299999999999</v>
      </c>
      <c r="Z432">
        <v>313.84486700000002</v>
      </c>
      <c r="AA432" t="s">
        <v>225</v>
      </c>
      <c r="AB432" t="s">
        <v>226</v>
      </c>
      <c r="AC432" t="s">
        <v>227</v>
      </c>
      <c r="AD432" t="s">
        <v>154</v>
      </c>
      <c r="AE432">
        <v>109.354</v>
      </c>
      <c r="AF432">
        <v>1.0727760310708341</v>
      </c>
      <c r="AG432">
        <v>117.31235010172</v>
      </c>
      <c r="AH432">
        <v>694.38</v>
      </c>
      <c r="AI432">
        <v>0.875</v>
      </c>
      <c r="AJ432">
        <v>71.276930955678296</v>
      </c>
      <c r="AK432">
        <v>1.0179</v>
      </c>
      <c r="AL432">
        <v>72.552999999999997</v>
      </c>
      <c r="AM432">
        <v>8.9176000000000002</v>
      </c>
      <c r="AN432">
        <v>9.5665875346772715</v>
      </c>
      <c r="AO432">
        <v>0.91300000000000003</v>
      </c>
      <c r="AP432">
        <v>6064.9193587765631</v>
      </c>
      <c r="AQ432">
        <v>0.98975009761811794</v>
      </c>
      <c r="AR432">
        <v>6002.7545</v>
      </c>
      <c r="AS432">
        <v>22770.386635450999</v>
      </c>
      <c r="AT432" t="s">
        <v>269</v>
      </c>
      <c r="AU432" t="s">
        <v>270</v>
      </c>
      <c r="AV432" t="s">
        <v>227</v>
      </c>
      <c r="AW432" t="s">
        <v>154</v>
      </c>
      <c r="AX432">
        <v>109.354</v>
      </c>
      <c r="AY432">
        <v>1.080821157758461</v>
      </c>
      <c r="AZ432">
        <v>118.1921168855188</v>
      </c>
      <c r="BA432">
        <v>779.31</v>
      </c>
      <c r="BB432">
        <v>0.879</v>
      </c>
      <c r="BC432">
        <v>80.963194478237142</v>
      </c>
      <c r="BD432">
        <v>0.9899</v>
      </c>
      <c r="BE432">
        <v>80.144999999999996</v>
      </c>
      <c r="BF432">
        <v>8.9176000000000002</v>
      </c>
      <c r="BG432">
        <v>0.80400000000000005</v>
      </c>
      <c r="BH432">
        <v>6039.0430235999738</v>
      </c>
      <c r="BI432">
        <v>0.99199531433033972</v>
      </c>
      <c r="BJ432">
        <v>5990.7024000000001</v>
      </c>
      <c r="BK432">
        <v>25153.096865715001</v>
      </c>
    </row>
    <row r="433" spans="1:63" x14ac:dyDescent="0.25">
      <c r="A433">
        <v>2318</v>
      </c>
      <c r="B433" t="s">
        <v>106</v>
      </c>
      <c r="C433">
        <v>2020</v>
      </c>
      <c r="D433">
        <v>1</v>
      </c>
      <c r="E433" t="s">
        <v>218</v>
      </c>
      <c r="F433" t="s">
        <v>260</v>
      </c>
      <c r="G433" t="s">
        <v>261</v>
      </c>
      <c r="H433" t="s">
        <v>17</v>
      </c>
      <c r="I433" t="s">
        <v>263</v>
      </c>
      <c r="J433" t="s">
        <v>234</v>
      </c>
      <c r="K433">
        <v>-608.99309273999995</v>
      </c>
      <c r="L433" t="s">
        <v>234</v>
      </c>
      <c r="M433" t="s">
        <v>236</v>
      </c>
      <c r="N433">
        <v>1.9808691721710001E-2</v>
      </c>
      <c r="O433">
        <v>12.063356000000001</v>
      </c>
      <c r="P433" t="s">
        <v>21</v>
      </c>
      <c r="Q433">
        <v>1</v>
      </c>
      <c r="V433">
        <v>66303.072</v>
      </c>
      <c r="W433">
        <v>1</v>
      </c>
      <c r="X433">
        <v>1.2927647999999999E-5</v>
      </c>
      <c r="Y433">
        <v>0.85714299999999999</v>
      </c>
      <c r="Z433">
        <v>10.340021</v>
      </c>
      <c r="AA433" t="s">
        <v>225</v>
      </c>
      <c r="AB433" t="s">
        <v>226</v>
      </c>
      <c r="AC433" t="s">
        <v>227</v>
      </c>
      <c r="AD433" t="s">
        <v>100</v>
      </c>
      <c r="AE433">
        <v>109.354</v>
      </c>
      <c r="AF433">
        <v>1.0727760310708341</v>
      </c>
      <c r="AG433">
        <v>117.31235010172</v>
      </c>
      <c r="AH433">
        <v>694.38</v>
      </c>
      <c r="AI433">
        <v>0.875</v>
      </c>
      <c r="AJ433">
        <v>71.276930955678296</v>
      </c>
      <c r="AK433">
        <v>0.96660000000000001</v>
      </c>
      <c r="AL433">
        <v>68.896000000000001</v>
      </c>
      <c r="AM433">
        <v>8.9176000000000002</v>
      </c>
      <c r="AN433">
        <v>9.5665875346772715</v>
      </c>
      <c r="AO433">
        <v>0.91300000000000003</v>
      </c>
      <c r="AP433">
        <v>6064.9193587765631</v>
      </c>
      <c r="AQ433">
        <v>0.98316430020283985</v>
      </c>
      <c r="AR433">
        <v>5962.8122000000003</v>
      </c>
      <c r="AS433">
        <v>712.38608681599999</v>
      </c>
      <c r="AT433" t="s">
        <v>269</v>
      </c>
      <c r="AU433" t="s">
        <v>270</v>
      </c>
      <c r="AV433" t="s">
        <v>227</v>
      </c>
      <c r="AW433" t="s">
        <v>100</v>
      </c>
      <c r="AX433">
        <v>109.354</v>
      </c>
      <c r="AY433">
        <v>1.080821157758461</v>
      </c>
      <c r="AZ433">
        <v>118.1921168855188</v>
      </c>
      <c r="BA433">
        <v>779.31</v>
      </c>
      <c r="BB433">
        <v>0.879</v>
      </c>
      <c r="BC433">
        <v>80.963194478237142</v>
      </c>
      <c r="BD433">
        <v>0.96560000000000001</v>
      </c>
      <c r="BE433">
        <v>78.177999999999997</v>
      </c>
      <c r="BF433">
        <v>8.9176000000000002</v>
      </c>
      <c r="BG433">
        <v>0.80400000000000005</v>
      </c>
      <c r="BH433">
        <v>6039.0430235999738</v>
      </c>
      <c r="BI433">
        <v>0.98955375253549693</v>
      </c>
      <c r="BJ433">
        <v>5975.9576999999999</v>
      </c>
      <c r="BK433">
        <v>808.36216173799994</v>
      </c>
    </row>
    <row r="434" spans="1:63" x14ac:dyDescent="0.25">
      <c r="A434">
        <v>2320</v>
      </c>
      <c r="B434" t="s">
        <v>106</v>
      </c>
      <c r="C434">
        <v>2020</v>
      </c>
      <c r="D434">
        <v>1</v>
      </c>
      <c r="E434" t="s">
        <v>218</v>
      </c>
      <c r="F434" t="s">
        <v>260</v>
      </c>
      <c r="G434" t="s">
        <v>261</v>
      </c>
      <c r="H434" t="s">
        <v>17</v>
      </c>
      <c r="I434" t="s">
        <v>263</v>
      </c>
      <c r="J434" t="s">
        <v>234</v>
      </c>
      <c r="K434">
        <v>-608.99309273999995</v>
      </c>
      <c r="L434" t="s">
        <v>234</v>
      </c>
      <c r="M434" t="s">
        <v>237</v>
      </c>
      <c r="N434">
        <v>0.39660634608572998</v>
      </c>
      <c r="O434">
        <v>241.53052500000001</v>
      </c>
      <c r="P434" t="s">
        <v>21</v>
      </c>
      <c r="Q434">
        <v>1</v>
      </c>
      <c r="V434">
        <v>66303.072</v>
      </c>
      <c r="W434">
        <v>1</v>
      </c>
      <c r="X434">
        <v>1.2927647999999999E-5</v>
      </c>
      <c r="Y434">
        <v>0.85714299999999999</v>
      </c>
      <c r="Z434">
        <v>207.02619899999999</v>
      </c>
      <c r="AA434" t="s">
        <v>225</v>
      </c>
      <c r="AB434" t="s">
        <v>226</v>
      </c>
      <c r="AC434" t="s">
        <v>227</v>
      </c>
      <c r="AD434" t="s">
        <v>101</v>
      </c>
      <c r="AE434">
        <v>109.354</v>
      </c>
      <c r="AF434">
        <v>1.0727760310708341</v>
      </c>
      <c r="AG434">
        <v>117.31235010172</v>
      </c>
      <c r="AH434">
        <v>694.38</v>
      </c>
      <c r="AI434">
        <v>0.875</v>
      </c>
      <c r="AJ434">
        <v>71.276930955678296</v>
      </c>
      <c r="AK434">
        <v>1.0077</v>
      </c>
      <c r="AL434">
        <v>71.825999999999993</v>
      </c>
      <c r="AM434">
        <v>8.9176000000000002</v>
      </c>
      <c r="AN434">
        <v>9.5665875346772715</v>
      </c>
      <c r="AO434">
        <v>0.91300000000000003</v>
      </c>
      <c r="AP434">
        <v>6064.9193587765631</v>
      </c>
      <c r="AQ434">
        <v>1.0255267423014589</v>
      </c>
      <c r="AR434">
        <v>6219.7370000000001</v>
      </c>
      <c r="AS434">
        <v>14869.863769374</v>
      </c>
      <c r="AT434" t="s">
        <v>269</v>
      </c>
      <c r="AU434" t="s">
        <v>270</v>
      </c>
      <c r="AV434" t="s">
        <v>227</v>
      </c>
      <c r="AW434" t="s">
        <v>101</v>
      </c>
      <c r="AX434">
        <v>109.354</v>
      </c>
      <c r="AY434">
        <v>1.080821157758461</v>
      </c>
      <c r="AZ434">
        <v>118.1921168855188</v>
      </c>
      <c r="BA434">
        <v>779.31</v>
      </c>
      <c r="BB434">
        <v>0.879</v>
      </c>
      <c r="BC434">
        <v>80.963194478237142</v>
      </c>
      <c r="BD434">
        <v>1.0097</v>
      </c>
      <c r="BE434">
        <v>81.748999999999995</v>
      </c>
      <c r="BF434">
        <v>8.9176000000000002</v>
      </c>
      <c r="BG434">
        <v>0.80400000000000005</v>
      </c>
      <c r="BH434">
        <v>6039.0430235999738</v>
      </c>
      <c r="BI434">
        <v>1.0276539708265799</v>
      </c>
      <c r="BJ434">
        <v>6206.0465000000004</v>
      </c>
      <c r="BK434">
        <v>16924.184742050998</v>
      </c>
    </row>
    <row r="435" spans="1:63" x14ac:dyDescent="0.25">
      <c r="A435">
        <v>2314</v>
      </c>
      <c r="B435" t="s">
        <v>106</v>
      </c>
      <c r="C435">
        <v>2020</v>
      </c>
      <c r="D435">
        <v>1</v>
      </c>
      <c r="E435" t="s">
        <v>218</v>
      </c>
      <c r="F435" t="s">
        <v>260</v>
      </c>
      <c r="G435" t="s">
        <v>261</v>
      </c>
      <c r="H435" t="s">
        <v>17</v>
      </c>
      <c r="I435" t="s">
        <v>264</v>
      </c>
      <c r="J435" t="s">
        <v>239</v>
      </c>
      <c r="K435">
        <v>-118.24143685999999</v>
      </c>
      <c r="L435" t="s">
        <v>240</v>
      </c>
      <c r="M435" t="s">
        <v>224</v>
      </c>
      <c r="N435">
        <v>1.1109205873409999E-2</v>
      </c>
      <c r="O435">
        <v>1.3135680000000001</v>
      </c>
      <c r="P435" t="s">
        <v>21</v>
      </c>
      <c r="Q435">
        <v>1</v>
      </c>
      <c r="V435">
        <v>66303.072</v>
      </c>
      <c r="W435">
        <v>1</v>
      </c>
      <c r="X435">
        <v>1.2927647999999999E-5</v>
      </c>
      <c r="Y435">
        <v>0.85714299999999999</v>
      </c>
      <c r="Z435">
        <v>1.1259159999999999</v>
      </c>
      <c r="AA435" t="s">
        <v>225</v>
      </c>
      <c r="AB435" t="s">
        <v>226</v>
      </c>
      <c r="AC435" t="s">
        <v>227</v>
      </c>
      <c r="AD435" t="s">
        <v>153</v>
      </c>
      <c r="AE435">
        <v>109.354</v>
      </c>
      <c r="AF435">
        <v>1.0727760310708341</v>
      </c>
      <c r="AG435">
        <v>117.31235010172</v>
      </c>
      <c r="AH435">
        <v>694.38</v>
      </c>
      <c r="AI435">
        <v>0.875</v>
      </c>
      <c r="AJ435">
        <v>71.276930955678296</v>
      </c>
      <c r="AK435">
        <v>1.0034000000000001</v>
      </c>
      <c r="AL435">
        <v>71.519000000000005</v>
      </c>
      <c r="AM435">
        <v>8.9176000000000002</v>
      </c>
      <c r="AN435">
        <v>9.5665875346772715</v>
      </c>
      <c r="AO435">
        <v>0.91300000000000003</v>
      </c>
      <c r="AP435">
        <v>6064.9193587765631</v>
      </c>
      <c r="AQ435">
        <v>1</v>
      </c>
      <c r="AR435">
        <v>6064.9193999999998</v>
      </c>
      <c r="AS435">
        <v>80.524386403999998</v>
      </c>
      <c r="AT435" t="s">
        <v>269</v>
      </c>
      <c r="AU435" t="s">
        <v>270</v>
      </c>
      <c r="AV435" t="s">
        <v>227</v>
      </c>
      <c r="AW435" t="s">
        <v>153</v>
      </c>
      <c r="AX435">
        <v>109.354</v>
      </c>
      <c r="AY435">
        <v>1.080821157758461</v>
      </c>
      <c r="AZ435">
        <v>118.1921168855188</v>
      </c>
      <c r="BA435">
        <v>779.31</v>
      </c>
      <c r="BB435">
        <v>0.879</v>
      </c>
      <c r="BC435">
        <v>80.963194478237142</v>
      </c>
      <c r="BD435">
        <v>1.0078</v>
      </c>
      <c r="BE435">
        <v>81.594999999999999</v>
      </c>
      <c r="BF435">
        <v>8.9176000000000002</v>
      </c>
      <c r="BG435">
        <v>0.80400000000000005</v>
      </c>
      <c r="BH435">
        <v>6039.0430235999738</v>
      </c>
      <c r="BI435">
        <v>1</v>
      </c>
      <c r="BJ435">
        <v>6039.0429999999997</v>
      </c>
      <c r="BK435">
        <v>91.869116019999993</v>
      </c>
    </row>
    <row r="436" spans="1:63" x14ac:dyDescent="0.25">
      <c r="A436">
        <v>2316</v>
      </c>
      <c r="B436" t="s">
        <v>106</v>
      </c>
      <c r="C436">
        <v>2020</v>
      </c>
      <c r="D436">
        <v>1</v>
      </c>
      <c r="E436" t="s">
        <v>218</v>
      </c>
      <c r="F436" t="s">
        <v>260</v>
      </c>
      <c r="G436" t="s">
        <v>261</v>
      </c>
      <c r="H436" t="s">
        <v>17</v>
      </c>
      <c r="I436" t="s">
        <v>264</v>
      </c>
      <c r="J436" t="s">
        <v>239</v>
      </c>
      <c r="K436">
        <v>-118.24143685999999</v>
      </c>
      <c r="L436" t="s">
        <v>240</v>
      </c>
      <c r="M436" t="s">
        <v>235</v>
      </c>
      <c r="N436">
        <v>0.58148407621825005</v>
      </c>
      <c r="O436">
        <v>68.755512999999993</v>
      </c>
      <c r="P436" t="s">
        <v>21</v>
      </c>
      <c r="Q436">
        <v>1</v>
      </c>
      <c r="V436">
        <v>66303.072</v>
      </c>
      <c r="W436">
        <v>1</v>
      </c>
      <c r="X436">
        <v>1.2927647999999999E-5</v>
      </c>
      <c r="Y436">
        <v>0.85714299999999999</v>
      </c>
      <c r="Z436">
        <v>58.933306999999999</v>
      </c>
      <c r="AA436" t="s">
        <v>225</v>
      </c>
      <c r="AB436" t="s">
        <v>226</v>
      </c>
      <c r="AC436" t="s">
        <v>227</v>
      </c>
      <c r="AD436" t="s">
        <v>154</v>
      </c>
      <c r="AE436">
        <v>109.354</v>
      </c>
      <c r="AF436">
        <v>1.0727760310708341</v>
      </c>
      <c r="AG436">
        <v>117.31235010172</v>
      </c>
      <c r="AH436">
        <v>694.38</v>
      </c>
      <c r="AI436">
        <v>0.875</v>
      </c>
      <c r="AJ436">
        <v>71.276930955678296</v>
      </c>
      <c r="AK436">
        <v>1.0179</v>
      </c>
      <c r="AL436">
        <v>72.552999999999997</v>
      </c>
      <c r="AM436">
        <v>8.9176000000000002</v>
      </c>
      <c r="AN436">
        <v>9.5665875346772715</v>
      </c>
      <c r="AO436">
        <v>0.91300000000000003</v>
      </c>
      <c r="AP436">
        <v>6064.9193587765631</v>
      </c>
      <c r="AQ436">
        <v>0.98975009761811794</v>
      </c>
      <c r="AR436">
        <v>6002.7545</v>
      </c>
      <c r="AS436">
        <v>4275.7882227709997</v>
      </c>
      <c r="AT436" t="s">
        <v>269</v>
      </c>
      <c r="AU436" t="s">
        <v>270</v>
      </c>
      <c r="AV436" t="s">
        <v>227</v>
      </c>
      <c r="AW436" t="s">
        <v>154</v>
      </c>
      <c r="AX436">
        <v>109.354</v>
      </c>
      <c r="AY436">
        <v>1.080821157758461</v>
      </c>
      <c r="AZ436">
        <v>118.1921168855188</v>
      </c>
      <c r="BA436">
        <v>779.31</v>
      </c>
      <c r="BB436">
        <v>0.879</v>
      </c>
      <c r="BC436">
        <v>80.963194478237142</v>
      </c>
      <c r="BD436">
        <v>0.9899</v>
      </c>
      <c r="BE436">
        <v>80.144999999999996</v>
      </c>
      <c r="BF436">
        <v>8.9176000000000002</v>
      </c>
      <c r="BG436">
        <v>0.80400000000000005</v>
      </c>
      <c r="BH436">
        <v>6039.0430235999738</v>
      </c>
      <c r="BI436">
        <v>0.99199531433033972</v>
      </c>
      <c r="BJ436">
        <v>5990.7024000000001</v>
      </c>
      <c r="BK436">
        <v>4723.2098895149993</v>
      </c>
    </row>
    <row r="437" spans="1:63" x14ac:dyDescent="0.25">
      <c r="A437">
        <v>2318</v>
      </c>
      <c r="B437" t="s">
        <v>106</v>
      </c>
      <c r="C437">
        <v>2020</v>
      </c>
      <c r="D437">
        <v>1</v>
      </c>
      <c r="E437" t="s">
        <v>218</v>
      </c>
      <c r="F437" t="s">
        <v>260</v>
      </c>
      <c r="G437" t="s">
        <v>261</v>
      </c>
      <c r="H437" t="s">
        <v>17</v>
      </c>
      <c r="I437" t="s">
        <v>264</v>
      </c>
      <c r="J437" t="s">
        <v>239</v>
      </c>
      <c r="K437">
        <v>-118.24143685999999</v>
      </c>
      <c r="L437" t="s">
        <v>240</v>
      </c>
      <c r="M437" t="s">
        <v>236</v>
      </c>
      <c r="N437">
        <v>1.8083569973560001E-2</v>
      </c>
      <c r="O437">
        <v>2.1382270000000001</v>
      </c>
      <c r="P437" t="s">
        <v>21</v>
      </c>
      <c r="Q437">
        <v>1</v>
      </c>
      <c r="V437">
        <v>66303.072</v>
      </c>
      <c r="W437">
        <v>1</v>
      </c>
      <c r="X437">
        <v>1.2927647999999999E-5</v>
      </c>
      <c r="Y437">
        <v>0.85714299999999999</v>
      </c>
      <c r="Z437">
        <v>1.8327659999999999</v>
      </c>
      <c r="AA437" t="s">
        <v>225</v>
      </c>
      <c r="AB437" t="s">
        <v>226</v>
      </c>
      <c r="AC437" t="s">
        <v>227</v>
      </c>
      <c r="AD437" t="s">
        <v>100</v>
      </c>
      <c r="AE437">
        <v>109.354</v>
      </c>
      <c r="AF437">
        <v>1.0727760310708341</v>
      </c>
      <c r="AG437">
        <v>117.31235010172</v>
      </c>
      <c r="AH437">
        <v>694.38</v>
      </c>
      <c r="AI437">
        <v>0.875</v>
      </c>
      <c r="AJ437">
        <v>71.276930955678296</v>
      </c>
      <c r="AK437">
        <v>0.96660000000000001</v>
      </c>
      <c r="AL437">
        <v>68.896000000000001</v>
      </c>
      <c r="AM437">
        <v>8.9176000000000002</v>
      </c>
      <c r="AN437">
        <v>9.5665875346772715</v>
      </c>
      <c r="AO437">
        <v>0.91300000000000003</v>
      </c>
      <c r="AP437">
        <v>6064.9193587765631</v>
      </c>
      <c r="AQ437">
        <v>0.98316430020283985</v>
      </c>
      <c r="AR437">
        <v>5962.8122000000003</v>
      </c>
      <c r="AS437">
        <v>126.270246336</v>
      </c>
      <c r="AT437" t="s">
        <v>269</v>
      </c>
      <c r="AU437" t="s">
        <v>270</v>
      </c>
      <c r="AV437" t="s">
        <v>227</v>
      </c>
      <c r="AW437" t="s">
        <v>100</v>
      </c>
      <c r="AX437">
        <v>109.354</v>
      </c>
      <c r="AY437">
        <v>1.080821157758461</v>
      </c>
      <c r="AZ437">
        <v>118.1921168855188</v>
      </c>
      <c r="BA437">
        <v>779.31</v>
      </c>
      <c r="BB437">
        <v>0.879</v>
      </c>
      <c r="BC437">
        <v>80.963194478237142</v>
      </c>
      <c r="BD437">
        <v>0.96560000000000001</v>
      </c>
      <c r="BE437">
        <v>78.177999999999997</v>
      </c>
      <c r="BF437">
        <v>8.9176000000000002</v>
      </c>
      <c r="BG437">
        <v>0.80400000000000005</v>
      </c>
      <c r="BH437">
        <v>6039.0430235999738</v>
      </c>
      <c r="BI437">
        <v>0.98955375253549693</v>
      </c>
      <c r="BJ437">
        <v>5975.9576999999999</v>
      </c>
      <c r="BK437">
        <v>143.28198034799999</v>
      </c>
    </row>
    <row r="438" spans="1:63" x14ac:dyDescent="0.25">
      <c r="A438">
        <v>2320</v>
      </c>
      <c r="B438" t="s">
        <v>106</v>
      </c>
      <c r="C438">
        <v>2020</v>
      </c>
      <c r="D438">
        <v>1</v>
      </c>
      <c r="E438" t="s">
        <v>218</v>
      </c>
      <c r="F438" t="s">
        <v>260</v>
      </c>
      <c r="G438" t="s">
        <v>261</v>
      </c>
      <c r="H438" t="s">
        <v>17</v>
      </c>
      <c r="I438" t="s">
        <v>264</v>
      </c>
      <c r="J438" t="s">
        <v>239</v>
      </c>
      <c r="K438">
        <v>-118.24143685999999</v>
      </c>
      <c r="L438" t="s">
        <v>240</v>
      </c>
      <c r="M438" t="s">
        <v>237</v>
      </c>
      <c r="N438">
        <v>0.41680683696206</v>
      </c>
      <c r="O438">
        <v>49.283839</v>
      </c>
      <c r="P438" t="s">
        <v>21</v>
      </c>
      <c r="Q438">
        <v>1</v>
      </c>
      <c r="V438">
        <v>66303.072</v>
      </c>
      <c r="W438">
        <v>1</v>
      </c>
      <c r="X438">
        <v>1.2927647999999999E-5</v>
      </c>
      <c r="Y438">
        <v>0.85714299999999999</v>
      </c>
      <c r="Z438">
        <v>42.243298000000003</v>
      </c>
      <c r="AA438" t="s">
        <v>225</v>
      </c>
      <c r="AB438" t="s">
        <v>226</v>
      </c>
      <c r="AC438" t="s">
        <v>227</v>
      </c>
      <c r="AD438" t="s">
        <v>101</v>
      </c>
      <c r="AE438">
        <v>109.354</v>
      </c>
      <c r="AF438">
        <v>1.0727760310708341</v>
      </c>
      <c r="AG438">
        <v>117.31235010172</v>
      </c>
      <c r="AH438">
        <v>694.38</v>
      </c>
      <c r="AI438">
        <v>0.875</v>
      </c>
      <c r="AJ438">
        <v>71.276930955678296</v>
      </c>
      <c r="AK438">
        <v>1.0077</v>
      </c>
      <c r="AL438">
        <v>71.825999999999993</v>
      </c>
      <c r="AM438">
        <v>8.9176000000000002</v>
      </c>
      <c r="AN438">
        <v>9.5665875346772715</v>
      </c>
      <c r="AO438">
        <v>0.91300000000000003</v>
      </c>
      <c r="AP438">
        <v>6064.9193587765631</v>
      </c>
      <c r="AQ438">
        <v>1.0255267423014589</v>
      </c>
      <c r="AR438">
        <v>6219.7370000000001</v>
      </c>
      <c r="AS438">
        <v>3034.1671221480001</v>
      </c>
      <c r="AT438" t="s">
        <v>269</v>
      </c>
      <c r="AU438" t="s">
        <v>270</v>
      </c>
      <c r="AV438" t="s">
        <v>227</v>
      </c>
      <c r="AW438" t="s">
        <v>101</v>
      </c>
      <c r="AX438">
        <v>109.354</v>
      </c>
      <c r="AY438">
        <v>1.080821157758461</v>
      </c>
      <c r="AZ438">
        <v>118.1921168855188</v>
      </c>
      <c r="BA438">
        <v>779.31</v>
      </c>
      <c r="BB438">
        <v>0.879</v>
      </c>
      <c r="BC438">
        <v>80.963194478237142</v>
      </c>
      <c r="BD438">
        <v>1.0097</v>
      </c>
      <c r="BE438">
        <v>81.748999999999995</v>
      </c>
      <c r="BF438">
        <v>8.9176000000000002</v>
      </c>
      <c r="BG438">
        <v>0.80400000000000005</v>
      </c>
      <c r="BH438">
        <v>6039.0430235999738</v>
      </c>
      <c r="BI438">
        <v>1.0276539708265799</v>
      </c>
      <c r="BJ438">
        <v>6206.0465000000004</v>
      </c>
      <c r="BK438">
        <v>3453.3473682019999</v>
      </c>
    </row>
    <row r="439" spans="1:63" x14ac:dyDescent="0.25">
      <c r="A439">
        <v>3476</v>
      </c>
      <c r="B439" t="s">
        <v>106</v>
      </c>
      <c r="C439">
        <v>2020</v>
      </c>
      <c r="D439">
        <v>1</v>
      </c>
      <c r="E439" t="s">
        <v>218</v>
      </c>
      <c r="F439" t="s">
        <v>260</v>
      </c>
      <c r="G439" t="s">
        <v>261</v>
      </c>
      <c r="H439" t="s">
        <v>17</v>
      </c>
      <c r="I439" t="s">
        <v>265</v>
      </c>
      <c r="J439" t="s">
        <v>242</v>
      </c>
      <c r="K439">
        <v>-46.029758819999998</v>
      </c>
      <c r="L439" t="s">
        <v>242</v>
      </c>
      <c r="M439" t="s">
        <v>235</v>
      </c>
      <c r="N439">
        <v>0.67001574769252004</v>
      </c>
      <c r="O439">
        <v>30.840662999999999</v>
      </c>
      <c r="P439" t="s">
        <v>21</v>
      </c>
      <c r="Q439">
        <v>1</v>
      </c>
      <c r="V439">
        <v>66303.072</v>
      </c>
      <c r="W439">
        <v>1</v>
      </c>
      <c r="X439">
        <v>1.2927647999999999E-5</v>
      </c>
      <c r="Y439">
        <v>0.85714299999999999</v>
      </c>
      <c r="Z439">
        <v>26.434857999999998</v>
      </c>
      <c r="AA439" t="s">
        <v>225</v>
      </c>
      <c r="AB439" t="s">
        <v>226</v>
      </c>
      <c r="AC439" t="s">
        <v>227</v>
      </c>
      <c r="AD439" t="s">
        <v>154</v>
      </c>
      <c r="AE439">
        <v>109.354</v>
      </c>
      <c r="AF439">
        <v>1.0727760310708341</v>
      </c>
      <c r="AG439">
        <v>117.31235010172</v>
      </c>
      <c r="AH439">
        <v>694.38</v>
      </c>
      <c r="AI439">
        <v>0.875</v>
      </c>
      <c r="AJ439">
        <v>71.276930955678296</v>
      </c>
      <c r="AK439">
        <v>1.0179</v>
      </c>
      <c r="AL439">
        <v>72.552999999999997</v>
      </c>
      <c r="AM439">
        <v>8.9176000000000002</v>
      </c>
      <c r="AN439">
        <v>9.5665875346772715</v>
      </c>
      <c r="AO439">
        <v>0.91300000000000003</v>
      </c>
      <c r="AP439">
        <v>6064.9193587765631</v>
      </c>
      <c r="AQ439">
        <v>0.98975009761811794</v>
      </c>
      <c r="AR439">
        <v>6002.7545</v>
      </c>
      <c r="AS439">
        <v>1917.9282524739999</v>
      </c>
      <c r="AT439" t="s">
        <v>269</v>
      </c>
      <c r="AU439" t="s">
        <v>270</v>
      </c>
      <c r="AV439" t="s">
        <v>227</v>
      </c>
      <c r="AW439" t="s">
        <v>154</v>
      </c>
      <c r="AX439">
        <v>109.354</v>
      </c>
      <c r="AY439">
        <v>1.080821157758461</v>
      </c>
      <c r="AZ439">
        <v>118.1921168855188</v>
      </c>
      <c r="BA439">
        <v>779.31</v>
      </c>
      <c r="BB439">
        <v>0.879</v>
      </c>
      <c r="BC439">
        <v>80.963194478237142</v>
      </c>
      <c r="BD439">
        <v>0.9899</v>
      </c>
      <c r="BE439">
        <v>80.144999999999996</v>
      </c>
      <c r="BF439">
        <v>8.9176000000000002</v>
      </c>
      <c r="BG439">
        <v>0.80400000000000005</v>
      </c>
      <c r="BH439">
        <v>6039.0430235999738</v>
      </c>
      <c r="BI439">
        <v>0.99199531433033972</v>
      </c>
      <c r="BJ439">
        <v>5990.7024000000001</v>
      </c>
      <c r="BK439">
        <v>2118.6216944100001</v>
      </c>
    </row>
    <row r="440" spans="1:63" x14ac:dyDescent="0.25">
      <c r="A440">
        <v>3478</v>
      </c>
      <c r="B440" t="s">
        <v>106</v>
      </c>
      <c r="C440">
        <v>2020</v>
      </c>
      <c r="D440">
        <v>1</v>
      </c>
      <c r="E440" t="s">
        <v>218</v>
      </c>
      <c r="F440" t="s">
        <v>260</v>
      </c>
      <c r="G440" t="s">
        <v>261</v>
      </c>
      <c r="H440" t="s">
        <v>17</v>
      </c>
      <c r="I440" t="s">
        <v>265</v>
      </c>
      <c r="J440" t="s">
        <v>242</v>
      </c>
      <c r="K440">
        <v>-46.029758819999998</v>
      </c>
      <c r="L440" t="s">
        <v>242</v>
      </c>
      <c r="M440" t="s">
        <v>236</v>
      </c>
      <c r="N440">
        <v>1.442552100634E-2</v>
      </c>
      <c r="O440">
        <v>0.66400300000000001</v>
      </c>
      <c r="P440" t="s">
        <v>21</v>
      </c>
      <c r="Q440">
        <v>1</v>
      </c>
      <c r="V440">
        <v>66303.072</v>
      </c>
      <c r="W440">
        <v>1</v>
      </c>
      <c r="X440">
        <v>1.2927647999999999E-5</v>
      </c>
      <c r="Y440">
        <v>0.85714299999999999</v>
      </c>
      <c r="Z440">
        <v>0.56914600000000004</v>
      </c>
      <c r="AA440" t="s">
        <v>225</v>
      </c>
      <c r="AB440" t="s">
        <v>226</v>
      </c>
      <c r="AC440" t="s">
        <v>227</v>
      </c>
      <c r="AD440" t="s">
        <v>100</v>
      </c>
      <c r="AE440">
        <v>109.354</v>
      </c>
      <c r="AF440">
        <v>1.0727760310708341</v>
      </c>
      <c r="AG440">
        <v>117.31235010172</v>
      </c>
      <c r="AH440">
        <v>694.38</v>
      </c>
      <c r="AI440">
        <v>0.875</v>
      </c>
      <c r="AJ440">
        <v>71.276930955678296</v>
      </c>
      <c r="AK440">
        <v>0.96660000000000001</v>
      </c>
      <c r="AL440">
        <v>68.896000000000001</v>
      </c>
      <c r="AM440">
        <v>8.9176000000000002</v>
      </c>
      <c r="AN440">
        <v>9.5665875346772715</v>
      </c>
      <c r="AO440">
        <v>0.91300000000000003</v>
      </c>
      <c r="AP440">
        <v>6064.9193587765631</v>
      </c>
      <c r="AQ440">
        <v>0.98316430020283985</v>
      </c>
      <c r="AR440">
        <v>5962.8122000000003</v>
      </c>
      <c r="AS440">
        <v>39.211882816000013</v>
      </c>
      <c r="AT440" t="s">
        <v>269</v>
      </c>
      <c r="AU440" t="s">
        <v>270</v>
      </c>
      <c r="AV440" t="s">
        <v>227</v>
      </c>
      <c r="AW440" t="s">
        <v>100</v>
      </c>
      <c r="AX440">
        <v>109.354</v>
      </c>
      <c r="AY440">
        <v>1.080821157758461</v>
      </c>
      <c r="AZ440">
        <v>118.1921168855188</v>
      </c>
      <c r="BA440">
        <v>779.31</v>
      </c>
      <c r="BB440">
        <v>0.879</v>
      </c>
      <c r="BC440">
        <v>80.963194478237142</v>
      </c>
      <c r="BD440">
        <v>0.96560000000000001</v>
      </c>
      <c r="BE440">
        <v>78.177999999999997</v>
      </c>
      <c r="BF440">
        <v>8.9176000000000002</v>
      </c>
      <c r="BG440">
        <v>0.80400000000000005</v>
      </c>
      <c r="BH440">
        <v>6039.0430235999738</v>
      </c>
      <c r="BI440">
        <v>0.98955375253549693</v>
      </c>
      <c r="BJ440">
        <v>5975.9576999999999</v>
      </c>
      <c r="BK440">
        <v>44.494695987999997</v>
      </c>
    </row>
    <row r="441" spans="1:63" x14ac:dyDescent="0.25">
      <c r="A441">
        <v>3480</v>
      </c>
      <c r="B441" t="s">
        <v>106</v>
      </c>
      <c r="C441">
        <v>2020</v>
      </c>
      <c r="D441">
        <v>1</v>
      </c>
      <c r="E441" t="s">
        <v>218</v>
      </c>
      <c r="F441" t="s">
        <v>260</v>
      </c>
      <c r="G441" t="s">
        <v>261</v>
      </c>
      <c r="H441" t="s">
        <v>17</v>
      </c>
      <c r="I441" t="s">
        <v>265</v>
      </c>
      <c r="J441" t="s">
        <v>242</v>
      </c>
      <c r="K441">
        <v>-46.029758819999998</v>
      </c>
      <c r="L441" t="s">
        <v>242</v>
      </c>
      <c r="M441" t="s">
        <v>237</v>
      </c>
      <c r="N441">
        <v>0.37405093967954001</v>
      </c>
      <c r="O441">
        <v>17.217475</v>
      </c>
      <c r="P441" t="s">
        <v>21</v>
      </c>
      <c r="Q441">
        <v>1</v>
      </c>
      <c r="V441">
        <v>66303.072</v>
      </c>
      <c r="W441">
        <v>1</v>
      </c>
      <c r="X441">
        <v>1.2927647999999999E-5</v>
      </c>
      <c r="Y441">
        <v>0.85714299999999999</v>
      </c>
      <c r="Z441">
        <v>14.757838</v>
      </c>
      <c r="AA441" t="s">
        <v>225</v>
      </c>
      <c r="AB441" t="s">
        <v>226</v>
      </c>
      <c r="AC441" t="s">
        <v>227</v>
      </c>
      <c r="AD441" t="s">
        <v>101</v>
      </c>
      <c r="AE441">
        <v>109.354</v>
      </c>
      <c r="AF441">
        <v>1.0727760310708341</v>
      </c>
      <c r="AG441">
        <v>117.31235010172</v>
      </c>
      <c r="AH441">
        <v>694.38</v>
      </c>
      <c r="AI441">
        <v>0.875</v>
      </c>
      <c r="AJ441">
        <v>71.276930955678296</v>
      </c>
      <c r="AK441">
        <v>1.0077</v>
      </c>
      <c r="AL441">
        <v>71.825999999999993</v>
      </c>
      <c r="AM441">
        <v>8.9176000000000002</v>
      </c>
      <c r="AN441">
        <v>9.5665875346772715</v>
      </c>
      <c r="AO441">
        <v>0.91300000000000003</v>
      </c>
      <c r="AP441">
        <v>6064.9193587765631</v>
      </c>
      <c r="AQ441">
        <v>1.0255267423014589</v>
      </c>
      <c r="AR441">
        <v>6219.7370000000001</v>
      </c>
      <c r="AS441">
        <v>1059.9964721880001</v>
      </c>
      <c r="AT441" t="s">
        <v>269</v>
      </c>
      <c r="AU441" t="s">
        <v>270</v>
      </c>
      <c r="AV441" t="s">
        <v>227</v>
      </c>
      <c r="AW441" t="s">
        <v>101</v>
      </c>
      <c r="AX441">
        <v>109.354</v>
      </c>
      <c r="AY441">
        <v>1.080821157758461</v>
      </c>
      <c r="AZ441">
        <v>118.1921168855188</v>
      </c>
      <c r="BA441">
        <v>779.31</v>
      </c>
      <c r="BB441">
        <v>0.879</v>
      </c>
      <c r="BC441">
        <v>80.963194478237142</v>
      </c>
      <c r="BD441">
        <v>1.0097</v>
      </c>
      <c r="BE441">
        <v>81.748999999999995</v>
      </c>
      <c r="BF441">
        <v>8.9176000000000002</v>
      </c>
      <c r="BG441">
        <v>0.80400000000000005</v>
      </c>
      <c r="BH441">
        <v>6039.0430235999738</v>
      </c>
      <c r="BI441">
        <v>1.0276539708265799</v>
      </c>
      <c r="BJ441">
        <v>6206.0465000000004</v>
      </c>
      <c r="BK441">
        <v>1206.438498662</v>
      </c>
    </row>
    <row r="442" spans="1:63" x14ac:dyDescent="0.25">
      <c r="A442">
        <v>2314</v>
      </c>
      <c r="B442" t="s">
        <v>106</v>
      </c>
      <c r="C442">
        <v>2020</v>
      </c>
      <c r="D442">
        <v>1</v>
      </c>
      <c r="E442" t="s">
        <v>218</v>
      </c>
      <c r="F442" t="s">
        <v>260</v>
      </c>
      <c r="G442" t="s">
        <v>261</v>
      </c>
      <c r="H442" t="s">
        <v>17</v>
      </c>
      <c r="I442" t="s">
        <v>266</v>
      </c>
      <c r="J442" t="s">
        <v>244</v>
      </c>
      <c r="K442">
        <v>-111.97314313</v>
      </c>
      <c r="L442" t="s">
        <v>245</v>
      </c>
      <c r="M442" t="s">
        <v>224</v>
      </c>
      <c r="N442">
        <v>1.1026262910890001E-2</v>
      </c>
      <c r="O442">
        <v>1.234645</v>
      </c>
      <c r="P442" t="s">
        <v>21</v>
      </c>
      <c r="Q442">
        <v>1</v>
      </c>
      <c r="V442">
        <v>66303.072</v>
      </c>
      <c r="W442">
        <v>1</v>
      </c>
      <c r="X442">
        <v>1.2927647999999999E-5</v>
      </c>
      <c r="Y442">
        <v>0.85714299999999999</v>
      </c>
      <c r="Z442">
        <v>1.0582670000000001</v>
      </c>
      <c r="AA442" t="s">
        <v>225</v>
      </c>
      <c r="AB442" t="s">
        <v>226</v>
      </c>
      <c r="AC442" t="s">
        <v>227</v>
      </c>
      <c r="AD442" t="s">
        <v>153</v>
      </c>
      <c r="AE442">
        <v>109.354</v>
      </c>
      <c r="AF442">
        <v>1.0727760310708341</v>
      </c>
      <c r="AG442">
        <v>117.31235010172</v>
      </c>
      <c r="AH442">
        <v>694.38</v>
      </c>
      <c r="AI442">
        <v>0.875</v>
      </c>
      <c r="AJ442">
        <v>71.276930955678296</v>
      </c>
      <c r="AK442">
        <v>1.0034000000000001</v>
      </c>
      <c r="AL442">
        <v>71.519000000000005</v>
      </c>
      <c r="AM442">
        <v>8.9176000000000002</v>
      </c>
      <c r="AN442">
        <v>9.5665875346772715</v>
      </c>
      <c r="AO442">
        <v>0.91300000000000003</v>
      </c>
      <c r="AP442">
        <v>6064.9193587765631</v>
      </c>
      <c r="AQ442">
        <v>1</v>
      </c>
      <c r="AR442">
        <v>6064.9193999999998</v>
      </c>
      <c r="AS442">
        <v>75.686197573000015</v>
      </c>
      <c r="AT442" t="s">
        <v>269</v>
      </c>
      <c r="AU442" t="s">
        <v>270</v>
      </c>
      <c r="AV442" t="s">
        <v>227</v>
      </c>
      <c r="AW442" t="s">
        <v>153</v>
      </c>
      <c r="AX442">
        <v>109.354</v>
      </c>
      <c r="AY442">
        <v>1.080821157758461</v>
      </c>
      <c r="AZ442">
        <v>118.1921168855188</v>
      </c>
      <c r="BA442">
        <v>779.31</v>
      </c>
      <c r="BB442">
        <v>0.879</v>
      </c>
      <c r="BC442">
        <v>80.963194478237142</v>
      </c>
      <c r="BD442">
        <v>1.0078</v>
      </c>
      <c r="BE442">
        <v>81.594999999999999</v>
      </c>
      <c r="BF442">
        <v>8.9176000000000002</v>
      </c>
      <c r="BG442">
        <v>0.80400000000000005</v>
      </c>
      <c r="BH442">
        <v>6039.0430235999738</v>
      </c>
      <c r="BI442">
        <v>1</v>
      </c>
      <c r="BJ442">
        <v>6039.0429999999997</v>
      </c>
      <c r="BK442">
        <v>86.349295865000002</v>
      </c>
    </row>
    <row r="443" spans="1:63" x14ac:dyDescent="0.25">
      <c r="A443">
        <v>2316</v>
      </c>
      <c r="B443" t="s">
        <v>106</v>
      </c>
      <c r="C443">
        <v>2020</v>
      </c>
      <c r="D443">
        <v>1</v>
      </c>
      <c r="E443" t="s">
        <v>218</v>
      </c>
      <c r="F443" t="s">
        <v>260</v>
      </c>
      <c r="G443" t="s">
        <v>261</v>
      </c>
      <c r="H443" t="s">
        <v>17</v>
      </c>
      <c r="I443" t="s">
        <v>266</v>
      </c>
      <c r="J443" t="s">
        <v>244</v>
      </c>
      <c r="K443">
        <v>-111.97314313</v>
      </c>
      <c r="L443" t="s">
        <v>245</v>
      </c>
      <c r="M443" t="s">
        <v>235</v>
      </c>
      <c r="N443">
        <v>0.60074557881113</v>
      </c>
      <c r="O443">
        <v>67.267370999999997</v>
      </c>
      <c r="P443" t="s">
        <v>21</v>
      </c>
      <c r="Q443">
        <v>1</v>
      </c>
      <c r="V443">
        <v>66303.072</v>
      </c>
      <c r="W443">
        <v>1</v>
      </c>
      <c r="X443">
        <v>1.2927647999999999E-5</v>
      </c>
      <c r="Y443">
        <v>0.85714299999999999</v>
      </c>
      <c r="Z443">
        <v>57.657755999999999</v>
      </c>
      <c r="AA443" t="s">
        <v>225</v>
      </c>
      <c r="AB443" t="s">
        <v>226</v>
      </c>
      <c r="AC443" t="s">
        <v>227</v>
      </c>
      <c r="AD443" t="s">
        <v>154</v>
      </c>
      <c r="AE443">
        <v>109.354</v>
      </c>
      <c r="AF443">
        <v>1.0727760310708341</v>
      </c>
      <c r="AG443">
        <v>117.31235010172</v>
      </c>
      <c r="AH443">
        <v>694.38</v>
      </c>
      <c r="AI443">
        <v>0.875</v>
      </c>
      <c r="AJ443">
        <v>71.276930955678296</v>
      </c>
      <c r="AK443">
        <v>1.0179</v>
      </c>
      <c r="AL443">
        <v>72.552999999999997</v>
      </c>
      <c r="AM443">
        <v>8.9176000000000002</v>
      </c>
      <c r="AN443">
        <v>9.5665875346772715</v>
      </c>
      <c r="AO443">
        <v>0.91300000000000003</v>
      </c>
      <c r="AP443">
        <v>6064.9193587765631</v>
      </c>
      <c r="AQ443">
        <v>0.98975009761811794</v>
      </c>
      <c r="AR443">
        <v>6002.7545</v>
      </c>
      <c r="AS443">
        <v>4183.2431710679994</v>
      </c>
      <c r="AT443" t="s">
        <v>269</v>
      </c>
      <c r="AU443" t="s">
        <v>270</v>
      </c>
      <c r="AV443" t="s">
        <v>227</v>
      </c>
      <c r="AW443" t="s">
        <v>154</v>
      </c>
      <c r="AX443">
        <v>109.354</v>
      </c>
      <c r="AY443">
        <v>1.080821157758461</v>
      </c>
      <c r="AZ443">
        <v>118.1921168855188</v>
      </c>
      <c r="BA443">
        <v>779.31</v>
      </c>
      <c r="BB443">
        <v>0.879</v>
      </c>
      <c r="BC443">
        <v>80.963194478237142</v>
      </c>
      <c r="BD443">
        <v>0.9899</v>
      </c>
      <c r="BE443">
        <v>80.144999999999996</v>
      </c>
      <c r="BF443">
        <v>8.9176000000000002</v>
      </c>
      <c r="BG443">
        <v>0.80400000000000005</v>
      </c>
      <c r="BH443">
        <v>6039.0430235999738</v>
      </c>
      <c r="BI443">
        <v>0.99199531433033972</v>
      </c>
      <c r="BJ443">
        <v>5990.7024000000001</v>
      </c>
      <c r="BK443">
        <v>4620.9808546199993</v>
      </c>
    </row>
    <row r="444" spans="1:63" x14ac:dyDescent="0.25">
      <c r="A444">
        <v>2318</v>
      </c>
      <c r="B444" t="s">
        <v>106</v>
      </c>
      <c r="C444">
        <v>2020</v>
      </c>
      <c r="D444">
        <v>1</v>
      </c>
      <c r="E444" t="s">
        <v>218</v>
      </c>
      <c r="F444" t="s">
        <v>260</v>
      </c>
      <c r="G444" t="s">
        <v>261</v>
      </c>
      <c r="H444" t="s">
        <v>17</v>
      </c>
      <c r="I444" t="s">
        <v>266</v>
      </c>
      <c r="J444" t="s">
        <v>244</v>
      </c>
      <c r="K444">
        <v>-111.97314313</v>
      </c>
      <c r="L444" t="s">
        <v>245</v>
      </c>
      <c r="M444" t="s">
        <v>236</v>
      </c>
      <c r="N444">
        <v>1.775192921592E-2</v>
      </c>
      <c r="O444">
        <v>1.9877389999999999</v>
      </c>
      <c r="P444" t="s">
        <v>21</v>
      </c>
      <c r="Q444">
        <v>1</v>
      </c>
      <c r="V444">
        <v>66303.072</v>
      </c>
      <c r="W444">
        <v>1</v>
      </c>
      <c r="X444">
        <v>1.2927647999999999E-5</v>
      </c>
      <c r="Y444">
        <v>0.85714299999999999</v>
      </c>
      <c r="Z444">
        <v>1.7037770000000001</v>
      </c>
      <c r="AA444" t="s">
        <v>225</v>
      </c>
      <c r="AB444" t="s">
        <v>226</v>
      </c>
      <c r="AC444" t="s">
        <v>227</v>
      </c>
      <c r="AD444" t="s">
        <v>100</v>
      </c>
      <c r="AE444">
        <v>109.354</v>
      </c>
      <c r="AF444">
        <v>1.0727760310708341</v>
      </c>
      <c r="AG444">
        <v>117.31235010172</v>
      </c>
      <c r="AH444">
        <v>694.38</v>
      </c>
      <c r="AI444">
        <v>0.875</v>
      </c>
      <c r="AJ444">
        <v>71.276930955678296</v>
      </c>
      <c r="AK444">
        <v>0.96660000000000001</v>
      </c>
      <c r="AL444">
        <v>68.896000000000001</v>
      </c>
      <c r="AM444">
        <v>8.9176000000000002</v>
      </c>
      <c r="AN444">
        <v>9.5665875346772715</v>
      </c>
      <c r="AO444">
        <v>0.91300000000000003</v>
      </c>
      <c r="AP444">
        <v>6064.9193587765631</v>
      </c>
      <c r="AQ444">
        <v>0.98316430020283985</v>
      </c>
      <c r="AR444">
        <v>5962.8122000000003</v>
      </c>
      <c r="AS444">
        <v>117.383420192</v>
      </c>
      <c r="AT444" t="s">
        <v>269</v>
      </c>
      <c r="AU444" t="s">
        <v>270</v>
      </c>
      <c r="AV444" t="s">
        <v>227</v>
      </c>
      <c r="AW444" t="s">
        <v>100</v>
      </c>
      <c r="AX444">
        <v>109.354</v>
      </c>
      <c r="AY444">
        <v>1.080821157758461</v>
      </c>
      <c r="AZ444">
        <v>118.1921168855188</v>
      </c>
      <c r="BA444">
        <v>779.31</v>
      </c>
      <c r="BB444">
        <v>0.879</v>
      </c>
      <c r="BC444">
        <v>80.963194478237142</v>
      </c>
      <c r="BD444">
        <v>0.96560000000000001</v>
      </c>
      <c r="BE444">
        <v>78.177999999999997</v>
      </c>
      <c r="BF444">
        <v>8.9176000000000002</v>
      </c>
      <c r="BG444">
        <v>0.80400000000000005</v>
      </c>
      <c r="BH444">
        <v>6039.0430235999738</v>
      </c>
      <c r="BI444">
        <v>0.98955375253549693</v>
      </c>
      <c r="BJ444">
        <v>5975.9576999999999</v>
      </c>
      <c r="BK444">
        <v>133.19787830600001</v>
      </c>
    </row>
    <row r="445" spans="1:63" x14ac:dyDescent="0.25">
      <c r="A445">
        <v>2320</v>
      </c>
      <c r="B445" t="s">
        <v>106</v>
      </c>
      <c r="C445">
        <v>2020</v>
      </c>
      <c r="D445">
        <v>1</v>
      </c>
      <c r="E445" t="s">
        <v>218</v>
      </c>
      <c r="F445" t="s">
        <v>260</v>
      </c>
      <c r="G445" t="s">
        <v>261</v>
      </c>
      <c r="H445" t="s">
        <v>17</v>
      </c>
      <c r="I445" t="s">
        <v>266</v>
      </c>
      <c r="J445" t="s">
        <v>244</v>
      </c>
      <c r="K445">
        <v>-111.97314313</v>
      </c>
      <c r="L445" t="s">
        <v>245</v>
      </c>
      <c r="M445" t="s">
        <v>237</v>
      </c>
      <c r="N445">
        <v>0.39766766032624001</v>
      </c>
      <c r="O445">
        <v>44.528098</v>
      </c>
      <c r="P445" t="s">
        <v>21</v>
      </c>
      <c r="Q445">
        <v>1</v>
      </c>
      <c r="V445">
        <v>66303.072</v>
      </c>
      <c r="W445">
        <v>1</v>
      </c>
      <c r="X445">
        <v>1.2927647999999999E-5</v>
      </c>
      <c r="Y445">
        <v>0.85714299999999999</v>
      </c>
      <c r="Z445">
        <v>38.166947999999998</v>
      </c>
      <c r="AA445" t="s">
        <v>225</v>
      </c>
      <c r="AB445" t="s">
        <v>226</v>
      </c>
      <c r="AC445" t="s">
        <v>227</v>
      </c>
      <c r="AD445" t="s">
        <v>101</v>
      </c>
      <c r="AE445">
        <v>109.354</v>
      </c>
      <c r="AF445">
        <v>1.0727760310708341</v>
      </c>
      <c r="AG445">
        <v>117.31235010172</v>
      </c>
      <c r="AH445">
        <v>694.38</v>
      </c>
      <c r="AI445">
        <v>0.875</v>
      </c>
      <c r="AJ445">
        <v>71.276930955678296</v>
      </c>
      <c r="AK445">
        <v>1.0077</v>
      </c>
      <c r="AL445">
        <v>71.825999999999993</v>
      </c>
      <c r="AM445">
        <v>8.9176000000000002</v>
      </c>
      <c r="AN445">
        <v>9.5665875346772715</v>
      </c>
      <c r="AO445">
        <v>0.91300000000000003</v>
      </c>
      <c r="AP445">
        <v>6064.9193587765631</v>
      </c>
      <c r="AQ445">
        <v>1.0255267423014589</v>
      </c>
      <c r="AR445">
        <v>6219.7370000000001</v>
      </c>
      <c r="AS445">
        <v>2741.379207047999</v>
      </c>
      <c r="AT445" t="s">
        <v>269</v>
      </c>
      <c r="AU445" t="s">
        <v>270</v>
      </c>
      <c r="AV445" t="s">
        <v>227</v>
      </c>
      <c r="AW445" t="s">
        <v>101</v>
      </c>
      <c r="AX445">
        <v>109.354</v>
      </c>
      <c r="AY445">
        <v>1.080821157758461</v>
      </c>
      <c r="AZ445">
        <v>118.1921168855188</v>
      </c>
      <c r="BA445">
        <v>779.31</v>
      </c>
      <c r="BB445">
        <v>0.879</v>
      </c>
      <c r="BC445">
        <v>80.963194478237142</v>
      </c>
      <c r="BD445">
        <v>1.0097</v>
      </c>
      <c r="BE445">
        <v>81.748999999999995</v>
      </c>
      <c r="BF445">
        <v>8.9176000000000002</v>
      </c>
      <c r="BG445">
        <v>0.80400000000000005</v>
      </c>
      <c r="BH445">
        <v>6039.0430235999738</v>
      </c>
      <c r="BI445">
        <v>1.0276539708265799</v>
      </c>
      <c r="BJ445">
        <v>6206.0465000000004</v>
      </c>
      <c r="BK445">
        <v>3120.109832052</v>
      </c>
    </row>
    <row r="446" spans="1:63" x14ac:dyDescent="0.25">
      <c r="A446">
        <v>4634</v>
      </c>
      <c r="B446" t="s">
        <v>106</v>
      </c>
      <c r="C446">
        <v>2020</v>
      </c>
      <c r="D446">
        <v>1</v>
      </c>
      <c r="E446" t="s">
        <v>218</v>
      </c>
      <c r="F446" t="s">
        <v>260</v>
      </c>
      <c r="G446" t="s">
        <v>261</v>
      </c>
      <c r="H446" t="s">
        <v>17</v>
      </c>
      <c r="I446" t="s">
        <v>267</v>
      </c>
      <c r="J446" t="s">
        <v>247</v>
      </c>
      <c r="K446">
        <v>-344.59219533999999</v>
      </c>
      <c r="L446" t="s">
        <v>248</v>
      </c>
      <c r="M446" t="s">
        <v>224</v>
      </c>
      <c r="N446">
        <v>4.9724862092599999E-3</v>
      </c>
      <c r="O446">
        <v>1.7134799999999999</v>
      </c>
      <c r="P446" t="s">
        <v>21</v>
      </c>
      <c r="Q446">
        <v>1</v>
      </c>
      <c r="V446">
        <v>66303.072</v>
      </c>
      <c r="W446">
        <v>1</v>
      </c>
      <c r="X446">
        <v>1.2927647999999999E-5</v>
      </c>
      <c r="Y446">
        <v>0.85714299999999999</v>
      </c>
      <c r="Z446">
        <v>1.4686969999999999</v>
      </c>
      <c r="AA446" t="s">
        <v>225</v>
      </c>
      <c r="AB446" t="s">
        <v>226</v>
      </c>
      <c r="AC446" t="s">
        <v>227</v>
      </c>
      <c r="AD446" t="s">
        <v>153</v>
      </c>
      <c r="AE446">
        <v>109.354</v>
      </c>
      <c r="AF446">
        <v>1.0727760310708341</v>
      </c>
      <c r="AG446">
        <v>117.31235010172</v>
      </c>
      <c r="AH446">
        <v>694.38</v>
      </c>
      <c r="AI446">
        <v>0.875</v>
      </c>
      <c r="AJ446">
        <v>71.276930955678296</v>
      </c>
      <c r="AK446">
        <v>1.0034000000000001</v>
      </c>
      <c r="AL446">
        <v>71.519000000000005</v>
      </c>
      <c r="AM446">
        <v>8.9176000000000002</v>
      </c>
      <c r="AN446">
        <v>9.5665875346772715</v>
      </c>
      <c r="AO446">
        <v>0.91300000000000003</v>
      </c>
      <c r="AP446">
        <v>6064.9193587765631</v>
      </c>
      <c r="AQ446">
        <v>1</v>
      </c>
      <c r="AR446">
        <v>6064.9193999999998</v>
      </c>
      <c r="AS446">
        <v>105.039740743</v>
      </c>
      <c r="AT446" t="s">
        <v>269</v>
      </c>
      <c r="AU446" t="s">
        <v>270</v>
      </c>
      <c r="AV446" t="s">
        <v>227</v>
      </c>
      <c r="AW446" t="s">
        <v>153</v>
      </c>
      <c r="AX446">
        <v>109.354</v>
      </c>
      <c r="AY446">
        <v>1.080821157758461</v>
      </c>
      <c r="AZ446">
        <v>118.1921168855188</v>
      </c>
      <c r="BA446">
        <v>779.31</v>
      </c>
      <c r="BB446">
        <v>0.879</v>
      </c>
      <c r="BC446">
        <v>80.963194478237142</v>
      </c>
      <c r="BD446">
        <v>1.0078</v>
      </c>
      <c r="BE446">
        <v>81.594999999999999</v>
      </c>
      <c r="BF446">
        <v>8.9176000000000002</v>
      </c>
      <c r="BG446">
        <v>0.80400000000000005</v>
      </c>
      <c r="BH446">
        <v>6039.0430235999738</v>
      </c>
      <c r="BI446">
        <v>1</v>
      </c>
      <c r="BJ446">
        <v>6039.0429999999997</v>
      </c>
      <c r="BK446">
        <v>119.838331715</v>
      </c>
    </row>
    <row r="447" spans="1:63" x14ac:dyDescent="0.25">
      <c r="A447">
        <v>4636</v>
      </c>
      <c r="B447" t="s">
        <v>106</v>
      </c>
      <c r="C447">
        <v>2020</v>
      </c>
      <c r="D447">
        <v>1</v>
      </c>
      <c r="E447" t="s">
        <v>218</v>
      </c>
      <c r="F447" t="s">
        <v>260</v>
      </c>
      <c r="G447" t="s">
        <v>261</v>
      </c>
      <c r="H447" t="s">
        <v>17</v>
      </c>
      <c r="I447" t="s">
        <v>267</v>
      </c>
      <c r="J447" t="s">
        <v>247</v>
      </c>
      <c r="K447">
        <v>-344.59219533999999</v>
      </c>
      <c r="L447" t="s">
        <v>248</v>
      </c>
      <c r="M447" t="s">
        <v>235</v>
      </c>
      <c r="N447">
        <v>0.99209122360516</v>
      </c>
      <c r="O447">
        <v>341.866893</v>
      </c>
      <c r="P447" t="s">
        <v>21</v>
      </c>
      <c r="Q447">
        <v>1</v>
      </c>
      <c r="V447">
        <v>66303.072</v>
      </c>
      <c r="W447">
        <v>1</v>
      </c>
      <c r="X447">
        <v>1.2927647999999999E-5</v>
      </c>
      <c r="Y447">
        <v>0.85714299999999999</v>
      </c>
      <c r="Z447">
        <v>293.02881400000001</v>
      </c>
      <c r="AA447" t="s">
        <v>225</v>
      </c>
      <c r="AB447" t="s">
        <v>226</v>
      </c>
      <c r="AC447" t="s">
        <v>227</v>
      </c>
      <c r="AD447" t="s">
        <v>154</v>
      </c>
      <c r="AE447">
        <v>109.354</v>
      </c>
      <c r="AF447">
        <v>1.0727760310708341</v>
      </c>
      <c r="AG447">
        <v>117.31235010172</v>
      </c>
      <c r="AH447">
        <v>694.38</v>
      </c>
      <c r="AI447">
        <v>0.875</v>
      </c>
      <c r="AJ447">
        <v>71.276930955678296</v>
      </c>
      <c r="AK447">
        <v>1.0179</v>
      </c>
      <c r="AL447">
        <v>72.552999999999997</v>
      </c>
      <c r="AM447">
        <v>8.9176000000000002</v>
      </c>
      <c r="AN447">
        <v>9.5665875346772715</v>
      </c>
      <c r="AO447">
        <v>0.91300000000000003</v>
      </c>
      <c r="AP447">
        <v>6064.9193587765631</v>
      </c>
      <c r="AQ447">
        <v>0.98975009761811794</v>
      </c>
      <c r="AR447">
        <v>6002.7545</v>
      </c>
      <c r="AS447">
        <v>21260.119542142002</v>
      </c>
      <c r="AT447" t="s">
        <v>269</v>
      </c>
      <c r="AU447" t="s">
        <v>270</v>
      </c>
      <c r="AV447" t="s">
        <v>227</v>
      </c>
      <c r="AW447" t="s">
        <v>154</v>
      </c>
      <c r="AX447">
        <v>109.354</v>
      </c>
      <c r="AY447">
        <v>1.080821157758461</v>
      </c>
      <c r="AZ447">
        <v>118.1921168855188</v>
      </c>
      <c r="BA447">
        <v>779.31</v>
      </c>
      <c r="BB447">
        <v>0.879</v>
      </c>
      <c r="BC447">
        <v>80.963194478237142</v>
      </c>
      <c r="BD447">
        <v>0.9899</v>
      </c>
      <c r="BE447">
        <v>80.144999999999996</v>
      </c>
      <c r="BF447">
        <v>8.9176000000000002</v>
      </c>
      <c r="BG447">
        <v>0.80400000000000005</v>
      </c>
      <c r="BH447">
        <v>6039.0430235999738</v>
      </c>
      <c r="BI447">
        <v>0.99199531433033972</v>
      </c>
      <c r="BJ447">
        <v>5990.7024000000001</v>
      </c>
      <c r="BK447">
        <v>23484.794298029999</v>
      </c>
    </row>
    <row r="448" spans="1:63" x14ac:dyDescent="0.25">
      <c r="A448">
        <v>4638</v>
      </c>
      <c r="B448" t="s">
        <v>106</v>
      </c>
      <c r="C448">
        <v>2020</v>
      </c>
      <c r="D448">
        <v>1</v>
      </c>
      <c r="E448" t="s">
        <v>218</v>
      </c>
      <c r="F448" t="s">
        <v>260</v>
      </c>
      <c r="G448" t="s">
        <v>261</v>
      </c>
      <c r="H448" t="s">
        <v>17</v>
      </c>
      <c r="I448" t="s">
        <v>267</v>
      </c>
      <c r="J448" t="s">
        <v>247</v>
      </c>
      <c r="K448">
        <v>-344.59219533999999</v>
      </c>
      <c r="L448" t="s">
        <v>248</v>
      </c>
      <c r="M448" t="s">
        <v>236</v>
      </c>
      <c r="N448">
        <v>4.7995598170700003E-3</v>
      </c>
      <c r="O448">
        <v>1.653891</v>
      </c>
      <c r="P448" t="s">
        <v>21</v>
      </c>
      <c r="Q448">
        <v>1</v>
      </c>
      <c r="V448">
        <v>66303.072</v>
      </c>
      <c r="W448">
        <v>1</v>
      </c>
      <c r="X448">
        <v>1.2927647999999999E-5</v>
      </c>
      <c r="Y448">
        <v>0.85714299999999999</v>
      </c>
      <c r="Z448">
        <v>1.417621</v>
      </c>
      <c r="AA448" t="s">
        <v>225</v>
      </c>
      <c r="AB448" t="s">
        <v>226</v>
      </c>
      <c r="AC448" t="s">
        <v>227</v>
      </c>
      <c r="AD448" t="s">
        <v>100</v>
      </c>
      <c r="AE448">
        <v>109.354</v>
      </c>
      <c r="AF448">
        <v>1.0727760310708341</v>
      </c>
      <c r="AG448">
        <v>117.31235010172</v>
      </c>
      <c r="AH448">
        <v>694.38</v>
      </c>
      <c r="AI448">
        <v>0.875</v>
      </c>
      <c r="AJ448">
        <v>71.276930955678296</v>
      </c>
      <c r="AK448">
        <v>0.96660000000000001</v>
      </c>
      <c r="AL448">
        <v>68.896000000000001</v>
      </c>
      <c r="AM448">
        <v>8.9176000000000002</v>
      </c>
      <c r="AN448">
        <v>9.5665875346772715</v>
      </c>
      <c r="AO448">
        <v>0.91300000000000003</v>
      </c>
      <c r="AP448">
        <v>6064.9193587765631</v>
      </c>
      <c r="AQ448">
        <v>0.98316430020283985</v>
      </c>
      <c r="AR448">
        <v>5962.8122000000003</v>
      </c>
      <c r="AS448">
        <v>97.668416415999999</v>
      </c>
      <c r="AT448" t="s">
        <v>269</v>
      </c>
      <c r="AU448" t="s">
        <v>270</v>
      </c>
      <c r="AV448" t="s">
        <v>227</v>
      </c>
      <c r="AW448" t="s">
        <v>100</v>
      </c>
      <c r="AX448">
        <v>109.354</v>
      </c>
      <c r="AY448">
        <v>1.080821157758461</v>
      </c>
      <c r="AZ448">
        <v>118.1921168855188</v>
      </c>
      <c r="BA448">
        <v>779.31</v>
      </c>
      <c r="BB448">
        <v>0.879</v>
      </c>
      <c r="BC448">
        <v>80.963194478237142</v>
      </c>
      <c r="BD448">
        <v>0.96560000000000001</v>
      </c>
      <c r="BE448">
        <v>78.177999999999997</v>
      </c>
      <c r="BF448">
        <v>8.9176000000000002</v>
      </c>
      <c r="BG448">
        <v>0.80400000000000005</v>
      </c>
      <c r="BH448">
        <v>6039.0430235999738</v>
      </c>
      <c r="BI448">
        <v>0.98955375253549693</v>
      </c>
      <c r="BJ448">
        <v>5975.9576999999999</v>
      </c>
      <c r="BK448">
        <v>110.826774538</v>
      </c>
    </row>
    <row r="449" spans="1:63" x14ac:dyDescent="0.25">
      <c r="A449">
        <v>4640</v>
      </c>
      <c r="B449" t="s">
        <v>106</v>
      </c>
      <c r="C449">
        <v>2020</v>
      </c>
      <c r="D449">
        <v>1</v>
      </c>
      <c r="E449" t="s">
        <v>218</v>
      </c>
      <c r="F449" t="s">
        <v>260</v>
      </c>
      <c r="G449" t="s">
        <v>261</v>
      </c>
      <c r="H449" t="s">
        <v>17</v>
      </c>
      <c r="I449" t="s">
        <v>267</v>
      </c>
      <c r="J449" t="s">
        <v>247</v>
      </c>
      <c r="K449">
        <v>-344.59219533999999</v>
      </c>
      <c r="L449" t="s">
        <v>248</v>
      </c>
      <c r="M449" t="s">
        <v>237</v>
      </c>
      <c r="N449">
        <v>2.2580780904460002E-2</v>
      </c>
      <c r="O449">
        <v>7.781161</v>
      </c>
      <c r="P449" t="s">
        <v>21</v>
      </c>
      <c r="Q449">
        <v>1</v>
      </c>
      <c r="V449">
        <v>66303.072</v>
      </c>
      <c r="W449">
        <v>1</v>
      </c>
      <c r="X449">
        <v>1.2927647999999999E-5</v>
      </c>
      <c r="Y449">
        <v>0.85714299999999999</v>
      </c>
      <c r="Z449">
        <v>6.6695679999999999</v>
      </c>
      <c r="AA449" t="s">
        <v>225</v>
      </c>
      <c r="AB449" t="s">
        <v>226</v>
      </c>
      <c r="AC449" t="s">
        <v>227</v>
      </c>
      <c r="AD449" t="s">
        <v>101</v>
      </c>
      <c r="AE449">
        <v>109.354</v>
      </c>
      <c r="AF449">
        <v>1.0727760310708341</v>
      </c>
      <c r="AG449">
        <v>117.31235010172</v>
      </c>
      <c r="AH449">
        <v>694.38</v>
      </c>
      <c r="AI449">
        <v>0.875</v>
      </c>
      <c r="AJ449">
        <v>71.276930955678296</v>
      </c>
      <c r="AK449">
        <v>1.0077</v>
      </c>
      <c r="AL449">
        <v>71.825999999999993</v>
      </c>
      <c r="AM449">
        <v>8.9176000000000002</v>
      </c>
      <c r="AN449">
        <v>9.5665875346772715</v>
      </c>
      <c r="AO449">
        <v>0.91300000000000003</v>
      </c>
      <c r="AP449">
        <v>6064.9193587765631</v>
      </c>
      <c r="AQ449">
        <v>1.0255267423014589</v>
      </c>
      <c r="AR449">
        <v>6219.7370000000001</v>
      </c>
      <c r="AS449">
        <v>479.04839116800002</v>
      </c>
      <c r="AT449" t="s">
        <v>269</v>
      </c>
      <c r="AU449" t="s">
        <v>270</v>
      </c>
      <c r="AV449" t="s">
        <v>227</v>
      </c>
      <c r="AW449" t="s">
        <v>101</v>
      </c>
      <c r="AX449">
        <v>109.354</v>
      </c>
      <c r="AY449">
        <v>1.080821157758461</v>
      </c>
      <c r="AZ449">
        <v>118.1921168855188</v>
      </c>
      <c r="BA449">
        <v>779.31</v>
      </c>
      <c r="BB449">
        <v>0.879</v>
      </c>
      <c r="BC449">
        <v>80.963194478237142</v>
      </c>
      <c r="BD449">
        <v>1.0097</v>
      </c>
      <c r="BE449">
        <v>81.748999999999995</v>
      </c>
      <c r="BF449">
        <v>8.9176000000000002</v>
      </c>
      <c r="BG449">
        <v>0.80400000000000005</v>
      </c>
      <c r="BH449">
        <v>6039.0430235999738</v>
      </c>
      <c r="BI449">
        <v>1.0276539708265799</v>
      </c>
      <c r="BJ449">
        <v>6206.0465000000004</v>
      </c>
      <c r="BK449">
        <v>545.23051443199995</v>
      </c>
    </row>
    <row r="450" spans="1:63" x14ac:dyDescent="0.25">
      <c r="A450">
        <v>1158</v>
      </c>
      <c r="B450" t="s">
        <v>106</v>
      </c>
      <c r="C450">
        <v>2020</v>
      </c>
      <c r="D450">
        <v>1</v>
      </c>
      <c r="E450" t="s">
        <v>218</v>
      </c>
      <c r="F450" t="s">
        <v>260</v>
      </c>
      <c r="G450" t="s">
        <v>261</v>
      </c>
      <c r="H450" t="s">
        <v>17</v>
      </c>
      <c r="I450" t="s">
        <v>268</v>
      </c>
      <c r="J450" t="s">
        <v>250</v>
      </c>
      <c r="K450">
        <v>-431.06480413000003</v>
      </c>
      <c r="L450" t="s">
        <v>250</v>
      </c>
      <c r="M450" t="s">
        <v>231</v>
      </c>
      <c r="N450">
        <v>4.9898993999990003E-2</v>
      </c>
      <c r="O450">
        <v>21.509699999999999</v>
      </c>
      <c r="P450" t="s">
        <v>21</v>
      </c>
      <c r="Q450">
        <v>1</v>
      </c>
      <c r="V450">
        <v>66303.072</v>
      </c>
      <c r="W450">
        <v>1</v>
      </c>
      <c r="X450">
        <v>1.2927647999999999E-5</v>
      </c>
      <c r="Y450">
        <v>0.85714299999999999</v>
      </c>
      <c r="Z450">
        <v>18.436889000000001</v>
      </c>
      <c r="AA450" t="s">
        <v>225</v>
      </c>
      <c r="AB450" t="s">
        <v>226</v>
      </c>
      <c r="AC450" t="s">
        <v>227</v>
      </c>
      <c r="AD450" t="s">
        <v>100</v>
      </c>
      <c r="AE450">
        <v>109.354</v>
      </c>
      <c r="AF450">
        <v>1.0727760310708341</v>
      </c>
      <c r="AG450">
        <v>117.31235010172</v>
      </c>
      <c r="AH450">
        <v>694.38</v>
      </c>
      <c r="AI450">
        <v>0.875</v>
      </c>
      <c r="AJ450">
        <v>71.276930955678296</v>
      </c>
      <c r="AK450">
        <v>0.96660000000000001</v>
      </c>
      <c r="AL450">
        <v>68.896000000000001</v>
      </c>
      <c r="AM450">
        <v>8.9176000000000002</v>
      </c>
      <c r="AN450">
        <v>9.5665875346772715</v>
      </c>
      <c r="AO450">
        <v>0.91300000000000003</v>
      </c>
      <c r="AP450">
        <v>6064.9193587765631</v>
      </c>
      <c r="AQ450">
        <v>0.98316430020283985</v>
      </c>
      <c r="AR450">
        <v>5962.8122000000003</v>
      </c>
      <c r="AS450">
        <v>1270.227904544</v>
      </c>
      <c r="AT450" t="s">
        <v>269</v>
      </c>
      <c r="AU450" t="s">
        <v>270</v>
      </c>
      <c r="AV450" t="s">
        <v>227</v>
      </c>
      <c r="AW450" t="s">
        <v>100</v>
      </c>
      <c r="AX450">
        <v>109.354</v>
      </c>
      <c r="AY450">
        <v>1.080821157758461</v>
      </c>
      <c r="AZ450">
        <v>118.1921168855188</v>
      </c>
      <c r="BA450">
        <v>779.31</v>
      </c>
      <c r="BB450">
        <v>0.879</v>
      </c>
      <c r="BC450">
        <v>80.963194478237142</v>
      </c>
      <c r="BD450">
        <v>0.96560000000000001</v>
      </c>
      <c r="BE450">
        <v>78.177999999999997</v>
      </c>
      <c r="BF450">
        <v>8.9176000000000002</v>
      </c>
      <c r="BG450">
        <v>0.80400000000000005</v>
      </c>
      <c r="BH450">
        <v>6039.0430235999738</v>
      </c>
      <c r="BI450">
        <v>0.98955375253549693</v>
      </c>
      <c r="BJ450">
        <v>5975.9576999999999</v>
      </c>
      <c r="BK450">
        <v>1441.359108242</v>
      </c>
    </row>
    <row r="451" spans="1:63" x14ac:dyDescent="0.25">
      <c r="A451">
        <v>1160</v>
      </c>
      <c r="B451" t="s">
        <v>106</v>
      </c>
      <c r="C451">
        <v>2020</v>
      </c>
      <c r="D451">
        <v>1</v>
      </c>
      <c r="E451" t="s">
        <v>218</v>
      </c>
      <c r="F451" t="s">
        <v>260</v>
      </c>
      <c r="G451" t="s">
        <v>261</v>
      </c>
      <c r="H451" t="s">
        <v>17</v>
      </c>
      <c r="I451" t="s">
        <v>268</v>
      </c>
      <c r="J451" t="s">
        <v>250</v>
      </c>
      <c r="K451">
        <v>-431.06480413000003</v>
      </c>
      <c r="L451" t="s">
        <v>250</v>
      </c>
      <c r="M451" t="s">
        <v>232</v>
      </c>
      <c r="N451">
        <v>0.97472100599996003</v>
      </c>
      <c r="O451">
        <v>420.16791999999998</v>
      </c>
      <c r="P451" t="s">
        <v>21</v>
      </c>
      <c r="Q451">
        <v>1</v>
      </c>
      <c r="V451">
        <v>66303.072</v>
      </c>
      <c r="W451">
        <v>1</v>
      </c>
      <c r="X451">
        <v>1.2927647999999999E-5</v>
      </c>
      <c r="Y451">
        <v>0.85714299999999999</v>
      </c>
      <c r="Z451">
        <v>360.14399100000003</v>
      </c>
      <c r="AA451" t="s">
        <v>225</v>
      </c>
      <c r="AB451" t="s">
        <v>226</v>
      </c>
      <c r="AC451" t="s">
        <v>227</v>
      </c>
      <c r="AD451" t="s">
        <v>101</v>
      </c>
      <c r="AE451">
        <v>109.354</v>
      </c>
      <c r="AF451">
        <v>1.0727760310708341</v>
      </c>
      <c r="AG451">
        <v>117.31235010172</v>
      </c>
      <c r="AH451">
        <v>694.38</v>
      </c>
      <c r="AI451">
        <v>0.875</v>
      </c>
      <c r="AJ451">
        <v>71.276930955678296</v>
      </c>
      <c r="AK451">
        <v>1.0077</v>
      </c>
      <c r="AL451">
        <v>71.825999999999993</v>
      </c>
      <c r="AM451">
        <v>8.9176000000000002</v>
      </c>
      <c r="AN451">
        <v>9.5665875346772715</v>
      </c>
      <c r="AO451">
        <v>0.91300000000000003</v>
      </c>
      <c r="AP451">
        <v>6064.9193587765631</v>
      </c>
      <c r="AQ451">
        <v>1.0255267423014589</v>
      </c>
      <c r="AR451">
        <v>6219.7370000000001</v>
      </c>
      <c r="AS451">
        <v>25867.702297566</v>
      </c>
      <c r="AT451" t="s">
        <v>269</v>
      </c>
      <c r="AU451" t="s">
        <v>270</v>
      </c>
      <c r="AV451" t="s">
        <v>227</v>
      </c>
      <c r="AW451" t="s">
        <v>101</v>
      </c>
      <c r="AX451">
        <v>109.354</v>
      </c>
      <c r="AY451">
        <v>1.080821157758461</v>
      </c>
      <c r="AZ451">
        <v>118.1921168855188</v>
      </c>
      <c r="BA451">
        <v>779.31</v>
      </c>
      <c r="BB451">
        <v>0.879</v>
      </c>
      <c r="BC451">
        <v>80.963194478237142</v>
      </c>
      <c r="BD451">
        <v>1.0097</v>
      </c>
      <c r="BE451">
        <v>81.748999999999995</v>
      </c>
      <c r="BF451">
        <v>8.9176000000000002</v>
      </c>
      <c r="BG451">
        <v>0.80400000000000005</v>
      </c>
      <c r="BH451">
        <v>6039.0430235999738</v>
      </c>
      <c r="BI451">
        <v>1.0276539708265799</v>
      </c>
      <c r="BJ451">
        <v>6206.0465000000004</v>
      </c>
      <c r="BK451">
        <v>29441.411120258999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76"/>
  <sheetViews>
    <sheetView workbookViewId="0"/>
  </sheetViews>
  <sheetFormatPr baseColWidth="10" defaultColWidth="9.140625" defaultRowHeight="15" x14ac:dyDescent="0.25"/>
  <sheetData>
    <row r="1" spans="1:55" x14ac:dyDescent="0.25">
      <c r="A1" s="1" t="s">
        <v>80</v>
      </c>
      <c r="B1" s="1" t="s">
        <v>58</v>
      </c>
      <c r="C1" s="1" t="s">
        <v>123</v>
      </c>
      <c r="D1" s="1" t="s">
        <v>35</v>
      </c>
      <c r="E1" s="1" t="s">
        <v>57</v>
      </c>
      <c r="F1" s="1" t="s">
        <v>271</v>
      </c>
      <c r="G1" s="1" t="s">
        <v>164</v>
      </c>
      <c r="H1" s="1" t="s">
        <v>272</v>
      </c>
      <c r="I1" s="1" t="s">
        <v>163</v>
      </c>
      <c r="J1" s="1" t="s">
        <v>273</v>
      </c>
      <c r="K1" s="1" t="s">
        <v>274</v>
      </c>
      <c r="L1" s="1" t="s">
        <v>168</v>
      </c>
      <c r="M1" s="1" t="s">
        <v>275</v>
      </c>
      <c r="N1" s="1" t="s">
        <v>276</v>
      </c>
      <c r="O1" s="1" t="s">
        <v>277</v>
      </c>
      <c r="P1" s="1" t="s">
        <v>178</v>
      </c>
      <c r="Q1" s="1" t="s">
        <v>179</v>
      </c>
      <c r="R1" s="1" t="s">
        <v>278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279</v>
      </c>
      <c r="AL1" s="1" t="s">
        <v>200</v>
      </c>
      <c r="AM1" s="1" t="s">
        <v>201</v>
      </c>
      <c r="AN1" s="1" t="s">
        <v>202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207</v>
      </c>
      <c r="AT1" s="1" t="s">
        <v>208</v>
      </c>
      <c r="AU1" s="1" t="s">
        <v>209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216</v>
      </c>
      <c r="BC1" s="1" t="s">
        <v>280</v>
      </c>
    </row>
    <row r="2" spans="1:55" x14ac:dyDescent="0.25">
      <c r="A2">
        <v>262548</v>
      </c>
      <c r="B2" t="s">
        <v>87</v>
      </c>
      <c r="C2">
        <v>2020</v>
      </c>
      <c r="D2">
        <v>10</v>
      </c>
      <c r="E2" t="s">
        <v>218</v>
      </c>
      <c r="F2" t="s">
        <v>260</v>
      </c>
      <c r="G2" t="s">
        <v>17</v>
      </c>
      <c r="H2" t="s">
        <v>234</v>
      </c>
      <c r="I2" t="s">
        <v>261</v>
      </c>
      <c r="J2">
        <v>-4.41090787</v>
      </c>
      <c r="K2" t="s">
        <v>21</v>
      </c>
      <c r="L2" t="s">
        <v>224</v>
      </c>
      <c r="M2">
        <v>5.7753817618500002E-3</v>
      </c>
      <c r="N2">
        <v>2.5474676860575491E-2</v>
      </c>
      <c r="O2">
        <v>66303.072</v>
      </c>
      <c r="P2">
        <v>1.2927647999999999E-5</v>
      </c>
      <c r="Q2">
        <v>0.85714299999999999</v>
      </c>
      <c r="R2">
        <v>2.1835440948304259E-2</v>
      </c>
      <c r="S2" t="s">
        <v>225</v>
      </c>
      <c r="T2" t="s">
        <v>226</v>
      </c>
      <c r="U2" t="s">
        <v>227</v>
      </c>
      <c r="V2" t="s">
        <v>153</v>
      </c>
      <c r="W2">
        <v>109.354</v>
      </c>
      <c r="X2">
        <v>1.0727760310708341</v>
      </c>
      <c r="Y2">
        <v>117.31235010172</v>
      </c>
      <c r="Z2">
        <v>694.38</v>
      </c>
      <c r="AA2">
        <v>0.875</v>
      </c>
      <c r="AB2">
        <v>71.276930955678296</v>
      </c>
      <c r="AC2">
        <v>1.0034000000000001</v>
      </c>
      <c r="AD2">
        <v>71.519000000000005</v>
      </c>
      <c r="AE2">
        <v>8.9176000000000002</v>
      </c>
      <c r="AF2">
        <v>9.5665875346772715</v>
      </c>
      <c r="AG2">
        <v>0.91300000000000003</v>
      </c>
      <c r="AH2">
        <v>6064.9193587765631</v>
      </c>
      <c r="AI2">
        <v>1</v>
      </c>
      <c r="AJ2">
        <v>6064.9193999999998</v>
      </c>
      <c r="AK2">
        <v>132.43018941492491</v>
      </c>
      <c r="AL2" t="s">
        <v>269</v>
      </c>
      <c r="AM2" t="s">
        <v>270</v>
      </c>
      <c r="AN2" t="s">
        <v>227</v>
      </c>
      <c r="AO2" t="s">
        <v>153</v>
      </c>
      <c r="AP2">
        <v>109.354</v>
      </c>
      <c r="AQ2">
        <v>1.080821157758461</v>
      </c>
      <c r="AR2">
        <v>118.1921168855188</v>
      </c>
      <c r="AS2">
        <v>779.31</v>
      </c>
      <c r="AT2">
        <v>0.879</v>
      </c>
      <c r="AU2">
        <v>80.963194478237142</v>
      </c>
      <c r="AV2">
        <v>1.0078</v>
      </c>
      <c r="AW2">
        <v>81.594999999999999</v>
      </c>
      <c r="AX2">
        <v>8.9176000000000002</v>
      </c>
      <c r="AY2">
        <v>0.80400000000000005</v>
      </c>
      <c r="AZ2">
        <v>6039.0430235999738</v>
      </c>
      <c r="BA2">
        <v>1</v>
      </c>
      <c r="BB2">
        <v>6039.0429999999997</v>
      </c>
      <c r="BC2">
        <v>131.86516681077021</v>
      </c>
    </row>
    <row r="3" spans="1:55" x14ac:dyDescent="0.25">
      <c r="A3">
        <v>262552</v>
      </c>
      <c r="B3" t="s">
        <v>87</v>
      </c>
      <c r="C3">
        <v>2020</v>
      </c>
      <c r="D3">
        <v>10</v>
      </c>
      <c r="E3" t="s">
        <v>218</v>
      </c>
      <c r="F3" t="s">
        <v>260</v>
      </c>
      <c r="G3" t="s">
        <v>17</v>
      </c>
      <c r="H3" t="s">
        <v>234</v>
      </c>
      <c r="I3" t="s">
        <v>261</v>
      </c>
      <c r="J3">
        <v>-4.41090787</v>
      </c>
      <c r="K3" t="s">
        <v>21</v>
      </c>
      <c r="L3" t="s">
        <v>236</v>
      </c>
      <c r="M3">
        <v>1.344693251911E-2</v>
      </c>
      <c r="N3">
        <v>5.9313180464205743E-2</v>
      </c>
      <c r="O3">
        <v>66303.072</v>
      </c>
      <c r="P3">
        <v>1.2927647999999999E-5</v>
      </c>
      <c r="Q3">
        <v>0.85714299999999999</v>
      </c>
      <c r="R3">
        <v>5.0839877442630702E-2</v>
      </c>
      <c r="S3" t="s">
        <v>225</v>
      </c>
      <c r="T3" t="s">
        <v>226</v>
      </c>
      <c r="U3" t="s">
        <v>227</v>
      </c>
      <c r="V3" t="s">
        <v>100</v>
      </c>
      <c r="W3">
        <v>109.354</v>
      </c>
      <c r="X3">
        <v>1.0727760310708341</v>
      </c>
      <c r="Y3">
        <v>117.31235010172</v>
      </c>
      <c r="Z3">
        <v>694.38</v>
      </c>
      <c r="AA3">
        <v>0.875</v>
      </c>
      <c r="AB3">
        <v>71.276930955678296</v>
      </c>
      <c r="AC3">
        <v>0.96660000000000001</v>
      </c>
      <c r="AD3">
        <v>68.896000000000001</v>
      </c>
      <c r="AE3">
        <v>8.9176000000000002</v>
      </c>
      <c r="AF3">
        <v>9.5665875346772715</v>
      </c>
      <c r="AG3">
        <v>0.91300000000000003</v>
      </c>
      <c r="AH3">
        <v>6064.9193587765631</v>
      </c>
      <c r="AI3">
        <v>0.98316430020283985</v>
      </c>
      <c r="AJ3">
        <v>5962.8122000000003</v>
      </c>
      <c r="AK3">
        <v>303.14864146142321</v>
      </c>
      <c r="AL3" t="s">
        <v>269</v>
      </c>
      <c r="AM3" t="s">
        <v>270</v>
      </c>
      <c r="AN3" t="s">
        <v>227</v>
      </c>
      <c r="AO3" t="s">
        <v>100</v>
      </c>
      <c r="AP3">
        <v>109.354</v>
      </c>
      <c r="AQ3">
        <v>1.080821157758461</v>
      </c>
      <c r="AR3">
        <v>118.1921168855188</v>
      </c>
      <c r="AS3">
        <v>779.31</v>
      </c>
      <c r="AT3">
        <v>0.879</v>
      </c>
      <c r="AU3">
        <v>80.963194478237142</v>
      </c>
      <c r="AV3">
        <v>0.96560000000000001</v>
      </c>
      <c r="AW3">
        <v>78.177999999999997</v>
      </c>
      <c r="AX3">
        <v>8.9176000000000002</v>
      </c>
      <c r="AY3">
        <v>0.80400000000000005</v>
      </c>
      <c r="AZ3">
        <v>6039.0430235999738</v>
      </c>
      <c r="BA3">
        <v>0.98955375253549693</v>
      </c>
      <c r="BB3">
        <v>5975.9576999999999</v>
      </c>
      <c r="BC3">
        <v>303.81695707034532</v>
      </c>
    </row>
    <row r="4" spans="1:55" x14ac:dyDescent="0.25">
      <c r="A4">
        <v>262554</v>
      </c>
      <c r="B4" t="s">
        <v>87</v>
      </c>
      <c r="C4">
        <v>2020</v>
      </c>
      <c r="D4">
        <v>10</v>
      </c>
      <c r="E4" t="s">
        <v>218</v>
      </c>
      <c r="F4" t="s">
        <v>260</v>
      </c>
      <c r="G4" t="s">
        <v>17</v>
      </c>
      <c r="H4" t="s">
        <v>234</v>
      </c>
      <c r="I4" t="s">
        <v>261</v>
      </c>
      <c r="J4">
        <v>-4.41090787</v>
      </c>
      <c r="K4" t="s">
        <v>21</v>
      </c>
      <c r="L4" t="s">
        <v>237</v>
      </c>
      <c r="M4">
        <v>0.26896781836192002</v>
      </c>
      <c r="N4">
        <v>1.186392266555389</v>
      </c>
      <c r="O4">
        <v>66303.072</v>
      </c>
      <c r="P4">
        <v>1.2927647999999999E-5</v>
      </c>
      <c r="Q4">
        <v>0.85714299999999999</v>
      </c>
      <c r="R4">
        <v>1.016907826532085</v>
      </c>
      <c r="S4" t="s">
        <v>225</v>
      </c>
      <c r="T4" t="s">
        <v>226</v>
      </c>
      <c r="U4" t="s">
        <v>227</v>
      </c>
      <c r="V4" t="s">
        <v>101</v>
      </c>
      <c r="W4">
        <v>109.354</v>
      </c>
      <c r="X4">
        <v>1.0727760310708341</v>
      </c>
      <c r="Y4">
        <v>117.31235010172</v>
      </c>
      <c r="Z4">
        <v>694.38</v>
      </c>
      <c r="AA4">
        <v>0.875</v>
      </c>
      <c r="AB4">
        <v>71.276930955678296</v>
      </c>
      <c r="AC4">
        <v>1.0077</v>
      </c>
      <c r="AD4">
        <v>71.825999999999993</v>
      </c>
      <c r="AE4">
        <v>8.9176000000000002</v>
      </c>
      <c r="AF4">
        <v>9.5665875346772715</v>
      </c>
      <c r="AG4">
        <v>0.91300000000000003</v>
      </c>
      <c r="AH4">
        <v>6064.9193587765631</v>
      </c>
      <c r="AI4">
        <v>1.0255267423014589</v>
      </c>
      <c r="AJ4">
        <v>6219.7370000000001</v>
      </c>
      <c r="AK4">
        <v>6324.8992342711936</v>
      </c>
      <c r="AL4" t="s">
        <v>269</v>
      </c>
      <c r="AM4" t="s">
        <v>270</v>
      </c>
      <c r="AN4" t="s">
        <v>227</v>
      </c>
      <c r="AO4" t="s">
        <v>101</v>
      </c>
      <c r="AP4">
        <v>109.354</v>
      </c>
      <c r="AQ4">
        <v>1.080821157758461</v>
      </c>
      <c r="AR4">
        <v>118.1921168855188</v>
      </c>
      <c r="AS4">
        <v>779.31</v>
      </c>
      <c r="AT4">
        <v>0.879</v>
      </c>
      <c r="AU4">
        <v>80.963194478237142</v>
      </c>
      <c r="AV4">
        <v>1.0097</v>
      </c>
      <c r="AW4">
        <v>81.748999999999995</v>
      </c>
      <c r="AX4">
        <v>8.9176000000000002</v>
      </c>
      <c r="AY4">
        <v>0.80400000000000005</v>
      </c>
      <c r="AZ4">
        <v>6039.0430235999738</v>
      </c>
      <c r="BA4">
        <v>1.0276539708265799</v>
      </c>
      <c r="BB4">
        <v>6206.0465000000004</v>
      </c>
      <c r="BC4">
        <v>6310.9772576720561</v>
      </c>
    </row>
    <row r="5" spans="1:55" x14ac:dyDescent="0.25">
      <c r="A5">
        <v>262550</v>
      </c>
      <c r="B5" t="s">
        <v>87</v>
      </c>
      <c r="C5">
        <v>2020</v>
      </c>
      <c r="D5">
        <v>10</v>
      </c>
      <c r="E5" t="s">
        <v>218</v>
      </c>
      <c r="F5" t="s">
        <v>260</v>
      </c>
      <c r="G5" t="s">
        <v>17</v>
      </c>
      <c r="H5" t="s">
        <v>234</v>
      </c>
      <c r="I5" t="s">
        <v>261</v>
      </c>
      <c r="J5">
        <v>-4.41090787</v>
      </c>
      <c r="K5" t="s">
        <v>21</v>
      </c>
      <c r="L5" t="s">
        <v>235</v>
      </c>
      <c r="M5">
        <v>0.40158130132905001</v>
      </c>
      <c r="N5">
        <v>1.771338122127873</v>
      </c>
      <c r="O5">
        <v>66303.072</v>
      </c>
      <c r="P5">
        <v>1.2927647999999999E-5</v>
      </c>
      <c r="Q5">
        <v>0.85714299999999999</v>
      </c>
      <c r="R5">
        <v>1.518290072015051</v>
      </c>
      <c r="S5" t="s">
        <v>225</v>
      </c>
      <c r="T5" t="s">
        <v>226</v>
      </c>
      <c r="U5" t="s">
        <v>227</v>
      </c>
      <c r="V5" t="s">
        <v>154</v>
      </c>
      <c r="W5">
        <v>109.354</v>
      </c>
      <c r="X5">
        <v>1.0727760310708341</v>
      </c>
      <c r="Y5">
        <v>117.31235010172</v>
      </c>
      <c r="Z5">
        <v>694.38</v>
      </c>
      <c r="AA5">
        <v>0.875</v>
      </c>
      <c r="AB5">
        <v>71.276930955678296</v>
      </c>
      <c r="AC5">
        <v>1.0179</v>
      </c>
      <c r="AD5">
        <v>72.552999999999997</v>
      </c>
      <c r="AE5">
        <v>8.9176000000000002</v>
      </c>
      <c r="AF5">
        <v>9.5665875346772715</v>
      </c>
      <c r="AG5">
        <v>0.91300000000000003</v>
      </c>
      <c r="AH5">
        <v>6064.9193587765631</v>
      </c>
      <c r="AI5">
        <v>0.98975009761811794</v>
      </c>
      <c r="AJ5">
        <v>6002.7545</v>
      </c>
      <c r="AK5">
        <v>9113.9225620936704</v>
      </c>
      <c r="AL5" t="s">
        <v>269</v>
      </c>
      <c r="AM5" t="s">
        <v>270</v>
      </c>
      <c r="AN5" t="s">
        <v>227</v>
      </c>
      <c r="AO5" t="s">
        <v>154</v>
      </c>
      <c r="AP5">
        <v>109.354</v>
      </c>
      <c r="AQ5">
        <v>1.080821157758461</v>
      </c>
      <c r="AR5">
        <v>118.1921168855188</v>
      </c>
      <c r="AS5">
        <v>779.31</v>
      </c>
      <c r="AT5">
        <v>0.879</v>
      </c>
      <c r="AU5">
        <v>80.963194478237142</v>
      </c>
      <c r="AV5">
        <v>0.9899</v>
      </c>
      <c r="AW5">
        <v>80.144999999999996</v>
      </c>
      <c r="AX5">
        <v>8.9176000000000002</v>
      </c>
      <c r="AY5">
        <v>0.80400000000000005</v>
      </c>
      <c r="AZ5">
        <v>6039.0430235999738</v>
      </c>
      <c r="BA5">
        <v>0.99199531433033972</v>
      </c>
      <c r="BB5">
        <v>5990.7024000000001</v>
      </c>
      <c r="BC5">
        <v>9095.6239783167384</v>
      </c>
    </row>
    <row r="6" spans="1:55" x14ac:dyDescent="0.25">
      <c r="A6">
        <v>262586</v>
      </c>
      <c r="B6" t="s">
        <v>87</v>
      </c>
      <c r="C6">
        <v>2020</v>
      </c>
      <c r="D6">
        <v>10</v>
      </c>
      <c r="E6" t="s">
        <v>218</v>
      </c>
      <c r="F6" t="s">
        <v>260</v>
      </c>
      <c r="G6" t="s">
        <v>17</v>
      </c>
      <c r="H6" t="s">
        <v>250</v>
      </c>
      <c r="I6" t="s">
        <v>261</v>
      </c>
      <c r="J6">
        <v>-2.4304891400000002</v>
      </c>
      <c r="K6" t="s">
        <v>21</v>
      </c>
      <c r="L6" t="s">
        <v>231</v>
      </c>
      <c r="M6">
        <v>4.997788799735E-2</v>
      </c>
      <c r="N6">
        <v>0.1214707140382052</v>
      </c>
      <c r="O6">
        <v>66303.072</v>
      </c>
      <c r="P6">
        <v>1.2927647999999999E-5</v>
      </c>
      <c r="Q6">
        <v>0.85714299999999999</v>
      </c>
      <c r="R6">
        <v>0.10411777224284929</v>
      </c>
      <c r="S6" t="s">
        <v>225</v>
      </c>
      <c r="T6" t="s">
        <v>226</v>
      </c>
      <c r="U6" t="s">
        <v>227</v>
      </c>
      <c r="V6" t="s">
        <v>100</v>
      </c>
      <c r="W6">
        <v>109.354</v>
      </c>
      <c r="X6">
        <v>1.0727760310708341</v>
      </c>
      <c r="Y6">
        <v>117.31235010172</v>
      </c>
      <c r="Z6">
        <v>694.38</v>
      </c>
      <c r="AA6">
        <v>0.875</v>
      </c>
      <c r="AB6">
        <v>71.276930955678296</v>
      </c>
      <c r="AC6">
        <v>0.96660000000000001</v>
      </c>
      <c r="AD6">
        <v>68.896000000000001</v>
      </c>
      <c r="AE6">
        <v>8.9176000000000002</v>
      </c>
      <c r="AF6">
        <v>9.5665875346772715</v>
      </c>
      <c r="AG6">
        <v>0.91300000000000003</v>
      </c>
      <c r="AH6">
        <v>6064.9193587765631</v>
      </c>
      <c r="AI6">
        <v>0.98316430020283985</v>
      </c>
      <c r="AJ6">
        <v>5962.8122000000003</v>
      </c>
      <c r="AK6">
        <v>620.83472256648338</v>
      </c>
      <c r="AL6" t="s">
        <v>269</v>
      </c>
      <c r="AM6" t="s">
        <v>270</v>
      </c>
      <c r="AN6" t="s">
        <v>227</v>
      </c>
      <c r="AO6" t="s">
        <v>100</v>
      </c>
      <c r="AP6">
        <v>109.354</v>
      </c>
      <c r="AQ6">
        <v>1.080821157758461</v>
      </c>
      <c r="AR6">
        <v>118.1921168855188</v>
      </c>
      <c r="AS6">
        <v>779.31</v>
      </c>
      <c r="AT6">
        <v>0.879</v>
      </c>
      <c r="AU6">
        <v>80.963194478237142</v>
      </c>
      <c r="AV6">
        <v>0.96560000000000001</v>
      </c>
      <c r="AW6">
        <v>78.177999999999997</v>
      </c>
      <c r="AX6">
        <v>8.9176000000000002</v>
      </c>
      <c r="AY6">
        <v>0.80400000000000005</v>
      </c>
      <c r="AZ6">
        <v>6039.0430235999738</v>
      </c>
      <c r="BA6">
        <v>0.98955375253549693</v>
      </c>
      <c r="BB6">
        <v>5975.9576999999999</v>
      </c>
      <c r="BC6">
        <v>622.20340274150169</v>
      </c>
    </row>
    <row r="7" spans="1:55" x14ac:dyDescent="0.25">
      <c r="A7">
        <v>262588</v>
      </c>
      <c r="B7" t="s">
        <v>87</v>
      </c>
      <c r="C7">
        <v>2020</v>
      </c>
      <c r="D7">
        <v>10</v>
      </c>
      <c r="E7" t="s">
        <v>218</v>
      </c>
      <c r="F7" t="s">
        <v>260</v>
      </c>
      <c r="G7" t="s">
        <v>17</v>
      </c>
      <c r="H7" t="s">
        <v>250</v>
      </c>
      <c r="I7" t="s">
        <v>261</v>
      </c>
      <c r="J7">
        <v>-2.4304891400000002</v>
      </c>
      <c r="K7" t="s">
        <v>21</v>
      </c>
      <c r="L7" t="s">
        <v>232</v>
      </c>
      <c r="M7">
        <v>0.97626211201923996</v>
      </c>
      <c r="N7">
        <v>2.3727944614568601</v>
      </c>
      <c r="O7">
        <v>66303.072</v>
      </c>
      <c r="P7">
        <v>1.2927647999999999E-5</v>
      </c>
      <c r="Q7">
        <v>0.85714299999999999</v>
      </c>
      <c r="R7">
        <v>2.0338241630765168</v>
      </c>
      <c r="S7" t="s">
        <v>225</v>
      </c>
      <c r="T7" t="s">
        <v>226</v>
      </c>
      <c r="U7" t="s">
        <v>227</v>
      </c>
      <c r="V7" t="s">
        <v>101</v>
      </c>
      <c r="W7">
        <v>109.354</v>
      </c>
      <c r="X7">
        <v>1.0727760310708341</v>
      </c>
      <c r="Y7">
        <v>117.31235010172</v>
      </c>
      <c r="Z7">
        <v>694.38</v>
      </c>
      <c r="AA7">
        <v>0.875</v>
      </c>
      <c r="AB7">
        <v>71.276930955678296</v>
      </c>
      <c r="AC7">
        <v>1.0077</v>
      </c>
      <c r="AD7">
        <v>71.825999999999993</v>
      </c>
      <c r="AE7">
        <v>8.9176000000000002</v>
      </c>
      <c r="AF7">
        <v>9.5665875346772715</v>
      </c>
      <c r="AG7">
        <v>0.91300000000000003</v>
      </c>
      <c r="AH7">
        <v>6064.9193587765631</v>
      </c>
      <c r="AI7">
        <v>1.0255267423014589</v>
      </c>
      <c r="AJ7">
        <v>6219.7370000000001</v>
      </c>
      <c r="AK7">
        <v>12649.85139858105</v>
      </c>
      <c r="AL7" t="s">
        <v>269</v>
      </c>
      <c r="AM7" t="s">
        <v>270</v>
      </c>
      <c r="AN7" t="s">
        <v>227</v>
      </c>
      <c r="AO7" t="s">
        <v>101</v>
      </c>
      <c r="AP7">
        <v>109.354</v>
      </c>
      <c r="AQ7">
        <v>1.080821157758461</v>
      </c>
      <c r="AR7">
        <v>118.1921168855188</v>
      </c>
      <c r="AS7">
        <v>779.31</v>
      </c>
      <c r="AT7">
        <v>0.879</v>
      </c>
      <c r="AU7">
        <v>80.963194478237142</v>
      </c>
      <c r="AV7">
        <v>1.0097</v>
      </c>
      <c r="AW7">
        <v>81.748999999999995</v>
      </c>
      <c r="AX7">
        <v>8.9176000000000002</v>
      </c>
      <c r="AY7">
        <v>0.80400000000000005</v>
      </c>
      <c r="AZ7">
        <v>6039.0430235999738</v>
      </c>
      <c r="BA7">
        <v>1.0276539708265799</v>
      </c>
      <c r="BB7">
        <v>6206.0465000000004</v>
      </c>
      <c r="BC7">
        <v>12622.007328876451</v>
      </c>
    </row>
    <row r="8" spans="1:55" x14ac:dyDescent="0.25">
      <c r="A8">
        <v>262582</v>
      </c>
      <c r="B8" t="s">
        <v>87</v>
      </c>
      <c r="C8">
        <v>2020</v>
      </c>
      <c r="D8">
        <v>10</v>
      </c>
      <c r="E8" t="s">
        <v>218</v>
      </c>
      <c r="F8" t="s">
        <v>260</v>
      </c>
      <c r="G8" t="s">
        <v>17</v>
      </c>
      <c r="H8" t="s">
        <v>247</v>
      </c>
      <c r="I8" t="s">
        <v>261</v>
      </c>
      <c r="J8">
        <v>-2.3972693700000001</v>
      </c>
      <c r="K8" t="s">
        <v>21</v>
      </c>
      <c r="L8" t="s">
        <v>236</v>
      </c>
      <c r="M8">
        <v>3.25790860905E-3</v>
      </c>
      <c r="N8">
        <v>7.8100845171117364E-3</v>
      </c>
      <c r="O8">
        <v>66303.072</v>
      </c>
      <c r="P8">
        <v>1.2927647999999999E-5</v>
      </c>
      <c r="Q8">
        <v>0.85714299999999999</v>
      </c>
      <c r="R8">
        <v>6.6943592732507046E-3</v>
      </c>
      <c r="S8" t="s">
        <v>225</v>
      </c>
      <c r="T8" t="s">
        <v>226</v>
      </c>
      <c r="U8" t="s">
        <v>227</v>
      </c>
      <c r="V8" t="s">
        <v>100</v>
      </c>
      <c r="W8">
        <v>109.354</v>
      </c>
      <c r="X8">
        <v>1.0727760310708341</v>
      </c>
      <c r="Y8">
        <v>117.31235010172</v>
      </c>
      <c r="Z8">
        <v>694.38</v>
      </c>
      <c r="AA8">
        <v>0.875</v>
      </c>
      <c r="AB8">
        <v>71.276930955678296</v>
      </c>
      <c r="AC8">
        <v>0.96660000000000001</v>
      </c>
      <c r="AD8">
        <v>68.896000000000001</v>
      </c>
      <c r="AE8">
        <v>8.9176000000000002</v>
      </c>
      <c r="AF8">
        <v>9.5665875346772715</v>
      </c>
      <c r="AG8">
        <v>0.91300000000000003</v>
      </c>
      <c r="AH8">
        <v>6064.9193587765631</v>
      </c>
      <c r="AI8">
        <v>0.98316430020283985</v>
      </c>
      <c r="AJ8">
        <v>5962.8122000000003</v>
      </c>
      <c r="AK8">
        <v>39.917207145722443</v>
      </c>
      <c r="AL8" t="s">
        <v>269</v>
      </c>
      <c r="AM8" t="s">
        <v>270</v>
      </c>
      <c r="AN8" t="s">
        <v>227</v>
      </c>
      <c r="AO8" t="s">
        <v>100</v>
      </c>
      <c r="AP8">
        <v>109.354</v>
      </c>
      <c r="AQ8">
        <v>1.080821157758461</v>
      </c>
      <c r="AR8">
        <v>118.1921168855188</v>
      </c>
      <c r="AS8">
        <v>779.31</v>
      </c>
      <c r="AT8">
        <v>0.879</v>
      </c>
      <c r="AU8">
        <v>80.963194478237142</v>
      </c>
      <c r="AV8">
        <v>0.96560000000000001</v>
      </c>
      <c r="AW8">
        <v>78.177999999999997</v>
      </c>
      <c r="AX8">
        <v>8.9176000000000002</v>
      </c>
      <c r="AY8">
        <v>0.80400000000000005</v>
      </c>
      <c r="AZ8">
        <v>6039.0430235999738</v>
      </c>
      <c r="BA8">
        <v>0.98955375253549693</v>
      </c>
      <c r="BB8">
        <v>5975.9576999999999</v>
      </c>
      <c r="BC8">
        <v>40.005207845548952</v>
      </c>
    </row>
    <row r="9" spans="1:55" x14ac:dyDescent="0.25">
      <c r="A9">
        <v>262578</v>
      </c>
      <c r="B9" t="s">
        <v>87</v>
      </c>
      <c r="C9">
        <v>2020</v>
      </c>
      <c r="D9">
        <v>10</v>
      </c>
      <c r="E9" t="s">
        <v>218</v>
      </c>
      <c r="F9" t="s">
        <v>260</v>
      </c>
      <c r="G9" t="s">
        <v>17</v>
      </c>
      <c r="H9" t="s">
        <v>247</v>
      </c>
      <c r="I9" t="s">
        <v>261</v>
      </c>
      <c r="J9">
        <v>-2.3972693700000001</v>
      </c>
      <c r="K9" t="s">
        <v>21</v>
      </c>
      <c r="L9" t="s">
        <v>224</v>
      </c>
      <c r="M9">
        <v>3.3335599647500002E-3</v>
      </c>
      <c r="N9">
        <v>7.9914411948926317E-3</v>
      </c>
      <c r="O9">
        <v>66303.072</v>
      </c>
      <c r="P9">
        <v>1.2927647999999999E-5</v>
      </c>
      <c r="Q9">
        <v>0.85714299999999999</v>
      </c>
      <c r="R9">
        <v>6.8498078801138554E-3</v>
      </c>
      <c r="S9" t="s">
        <v>225</v>
      </c>
      <c r="T9" t="s">
        <v>226</v>
      </c>
      <c r="U9" t="s">
        <v>227</v>
      </c>
      <c r="V9" t="s">
        <v>153</v>
      </c>
      <c r="W9">
        <v>109.354</v>
      </c>
      <c r="X9">
        <v>1.0727760310708341</v>
      </c>
      <c r="Y9">
        <v>117.31235010172</v>
      </c>
      <c r="Z9">
        <v>694.38</v>
      </c>
      <c r="AA9">
        <v>0.875</v>
      </c>
      <c r="AB9">
        <v>71.276930955678296</v>
      </c>
      <c r="AC9">
        <v>1.0034000000000001</v>
      </c>
      <c r="AD9">
        <v>71.519000000000005</v>
      </c>
      <c r="AE9">
        <v>8.9176000000000002</v>
      </c>
      <c r="AF9">
        <v>9.5665875346772715</v>
      </c>
      <c r="AG9">
        <v>0.91300000000000003</v>
      </c>
      <c r="AH9">
        <v>6064.9193587765631</v>
      </c>
      <c r="AI9">
        <v>1</v>
      </c>
      <c r="AJ9">
        <v>6064.9193999999998</v>
      </c>
      <c r="AK9">
        <v>41.543532698375387</v>
      </c>
      <c r="AL9" t="s">
        <v>269</v>
      </c>
      <c r="AM9" t="s">
        <v>270</v>
      </c>
      <c r="AN9" t="s">
        <v>227</v>
      </c>
      <c r="AO9" t="s">
        <v>153</v>
      </c>
      <c r="AP9">
        <v>109.354</v>
      </c>
      <c r="AQ9">
        <v>1.080821157758461</v>
      </c>
      <c r="AR9">
        <v>118.1921168855188</v>
      </c>
      <c r="AS9">
        <v>779.31</v>
      </c>
      <c r="AT9">
        <v>0.879</v>
      </c>
      <c r="AU9">
        <v>80.963194478237142</v>
      </c>
      <c r="AV9">
        <v>1.0078</v>
      </c>
      <c r="AW9">
        <v>81.594999999999999</v>
      </c>
      <c r="AX9">
        <v>8.9176000000000002</v>
      </c>
      <c r="AY9">
        <v>0.80400000000000005</v>
      </c>
      <c r="AZ9">
        <v>6039.0430235999738</v>
      </c>
      <c r="BA9">
        <v>1</v>
      </c>
      <c r="BB9">
        <v>6039.0429999999997</v>
      </c>
      <c r="BC9">
        <v>41.366284329746406</v>
      </c>
    </row>
    <row r="10" spans="1:55" x14ac:dyDescent="0.25">
      <c r="A10">
        <v>262584</v>
      </c>
      <c r="B10" t="s">
        <v>87</v>
      </c>
      <c r="C10">
        <v>2020</v>
      </c>
      <c r="D10">
        <v>10</v>
      </c>
      <c r="E10" t="s">
        <v>218</v>
      </c>
      <c r="F10" t="s">
        <v>260</v>
      </c>
      <c r="G10" t="s">
        <v>17</v>
      </c>
      <c r="H10" t="s">
        <v>247</v>
      </c>
      <c r="I10" t="s">
        <v>261</v>
      </c>
      <c r="J10">
        <v>-2.3972693700000001</v>
      </c>
      <c r="K10" t="s">
        <v>21</v>
      </c>
      <c r="L10" t="s">
        <v>237</v>
      </c>
      <c r="M10">
        <v>1.512012895177E-2</v>
      </c>
      <c r="N10">
        <v>3.6247021998995377E-2</v>
      </c>
      <c r="O10">
        <v>66303.072</v>
      </c>
      <c r="P10">
        <v>1.2927647999999999E-5</v>
      </c>
      <c r="Q10">
        <v>0.85714299999999999</v>
      </c>
      <c r="R10">
        <v>3.1068881177284891E-2</v>
      </c>
      <c r="S10" t="s">
        <v>225</v>
      </c>
      <c r="T10" t="s">
        <v>226</v>
      </c>
      <c r="U10" t="s">
        <v>227</v>
      </c>
      <c r="V10" t="s">
        <v>101</v>
      </c>
      <c r="W10">
        <v>109.354</v>
      </c>
      <c r="X10">
        <v>1.0727760310708341</v>
      </c>
      <c r="Y10">
        <v>117.31235010172</v>
      </c>
      <c r="Z10">
        <v>694.38</v>
      </c>
      <c r="AA10">
        <v>0.875</v>
      </c>
      <c r="AB10">
        <v>71.276930955678296</v>
      </c>
      <c r="AC10">
        <v>1.0077</v>
      </c>
      <c r="AD10">
        <v>71.825999999999993</v>
      </c>
      <c r="AE10">
        <v>8.9176000000000002</v>
      </c>
      <c r="AF10">
        <v>9.5665875346772715</v>
      </c>
      <c r="AG10">
        <v>0.91300000000000003</v>
      </c>
      <c r="AH10">
        <v>6064.9193587765631</v>
      </c>
      <c r="AI10">
        <v>1.0255267423014589</v>
      </c>
      <c r="AJ10">
        <v>6219.7370000000001</v>
      </c>
      <c r="AK10">
        <v>193.2402698069624</v>
      </c>
      <c r="AL10" t="s">
        <v>269</v>
      </c>
      <c r="AM10" t="s">
        <v>270</v>
      </c>
      <c r="AN10" t="s">
        <v>227</v>
      </c>
      <c r="AO10" t="s">
        <v>101</v>
      </c>
      <c r="AP10">
        <v>109.354</v>
      </c>
      <c r="AQ10">
        <v>1.080821157758461</v>
      </c>
      <c r="AR10">
        <v>118.1921168855188</v>
      </c>
      <c r="AS10">
        <v>779.31</v>
      </c>
      <c r="AT10">
        <v>0.879</v>
      </c>
      <c r="AU10">
        <v>80.963194478237142</v>
      </c>
      <c r="AV10">
        <v>1.0097</v>
      </c>
      <c r="AW10">
        <v>81.748999999999995</v>
      </c>
      <c r="AX10">
        <v>8.9176000000000002</v>
      </c>
      <c r="AY10">
        <v>0.80400000000000005</v>
      </c>
      <c r="AZ10">
        <v>6039.0430235999738</v>
      </c>
      <c r="BA10">
        <v>1.0276539708265799</v>
      </c>
      <c r="BB10">
        <v>6206.0465000000004</v>
      </c>
      <c r="BC10">
        <v>192.81492128920479</v>
      </c>
    </row>
    <row r="11" spans="1:55" x14ac:dyDescent="0.25">
      <c r="A11">
        <v>262580</v>
      </c>
      <c r="B11" t="s">
        <v>87</v>
      </c>
      <c r="C11">
        <v>2020</v>
      </c>
      <c r="D11">
        <v>10</v>
      </c>
      <c r="E11" t="s">
        <v>218</v>
      </c>
      <c r="F11" t="s">
        <v>260</v>
      </c>
      <c r="G11" t="s">
        <v>17</v>
      </c>
      <c r="H11" t="s">
        <v>247</v>
      </c>
      <c r="I11" t="s">
        <v>261</v>
      </c>
      <c r="J11">
        <v>-2.3972693700000001</v>
      </c>
      <c r="K11" t="s">
        <v>21</v>
      </c>
      <c r="L11" t="s">
        <v>235</v>
      </c>
      <c r="M11">
        <v>0.66685075620597001</v>
      </c>
      <c r="N11">
        <v>1.5986208918816751</v>
      </c>
      <c r="O11">
        <v>66303.072</v>
      </c>
      <c r="P11">
        <v>1.2927647999999999E-5</v>
      </c>
      <c r="Q11">
        <v>0.85714299999999999</v>
      </c>
      <c r="R11">
        <v>1.370246707130135</v>
      </c>
      <c r="S11" t="s">
        <v>225</v>
      </c>
      <c r="T11" t="s">
        <v>226</v>
      </c>
      <c r="U11" t="s">
        <v>227</v>
      </c>
      <c r="V11" t="s">
        <v>154</v>
      </c>
      <c r="W11">
        <v>109.354</v>
      </c>
      <c r="X11">
        <v>1.0727760310708341</v>
      </c>
      <c r="Y11">
        <v>117.31235010172</v>
      </c>
      <c r="Z11">
        <v>694.38</v>
      </c>
      <c r="AA11">
        <v>0.875</v>
      </c>
      <c r="AB11">
        <v>71.276930955678296</v>
      </c>
      <c r="AC11">
        <v>1.0179</v>
      </c>
      <c r="AD11">
        <v>72.552999999999997</v>
      </c>
      <c r="AE11">
        <v>8.9176000000000002</v>
      </c>
      <c r="AF11">
        <v>9.5665875346772715</v>
      </c>
      <c r="AG11">
        <v>0.91300000000000003</v>
      </c>
      <c r="AH11">
        <v>6064.9193587765631</v>
      </c>
      <c r="AI11">
        <v>0.98975009761811794</v>
      </c>
      <c r="AJ11">
        <v>6002.7545</v>
      </c>
      <c r="AK11">
        <v>8225.2545873355975</v>
      </c>
      <c r="AL11" t="s">
        <v>269</v>
      </c>
      <c r="AM11" t="s">
        <v>270</v>
      </c>
      <c r="AN11" t="s">
        <v>227</v>
      </c>
      <c r="AO11" t="s">
        <v>154</v>
      </c>
      <c r="AP11">
        <v>109.354</v>
      </c>
      <c r="AQ11">
        <v>1.080821157758461</v>
      </c>
      <c r="AR11">
        <v>118.1921168855188</v>
      </c>
      <c r="AS11">
        <v>779.31</v>
      </c>
      <c r="AT11">
        <v>0.879</v>
      </c>
      <c r="AU11">
        <v>80.963194478237142</v>
      </c>
      <c r="AV11">
        <v>0.9899</v>
      </c>
      <c r="AW11">
        <v>80.144999999999996</v>
      </c>
      <c r="AX11">
        <v>8.9176000000000002</v>
      </c>
      <c r="AY11">
        <v>0.80400000000000005</v>
      </c>
      <c r="AZ11">
        <v>6039.0430235999738</v>
      </c>
      <c r="BA11">
        <v>0.99199531433033972</v>
      </c>
      <c r="BB11">
        <v>5990.7024000000001</v>
      </c>
      <c r="BC11">
        <v>8208.7402369965948</v>
      </c>
    </row>
    <row r="12" spans="1:55" x14ac:dyDescent="0.25">
      <c r="A12">
        <v>262570</v>
      </c>
      <c r="B12" t="s">
        <v>87</v>
      </c>
      <c r="C12">
        <v>2020</v>
      </c>
      <c r="D12">
        <v>10</v>
      </c>
      <c r="E12" t="s">
        <v>218</v>
      </c>
      <c r="F12" t="s">
        <v>260</v>
      </c>
      <c r="G12" t="s">
        <v>17</v>
      </c>
      <c r="H12" t="s">
        <v>244</v>
      </c>
      <c r="I12" t="s">
        <v>261</v>
      </c>
      <c r="J12">
        <v>-0.98013452000000001</v>
      </c>
      <c r="K12" t="s">
        <v>21</v>
      </c>
      <c r="L12" t="s">
        <v>224</v>
      </c>
      <c r="M12">
        <v>7.3056120995999996E-3</v>
      </c>
      <c r="N12">
        <v>7.1604825779056549E-3</v>
      </c>
      <c r="O12">
        <v>66303.072</v>
      </c>
      <c r="P12">
        <v>1.2927647999999999E-5</v>
      </c>
      <c r="Q12">
        <v>0.85714299999999999</v>
      </c>
      <c r="R12">
        <v>6.1375575182737868E-3</v>
      </c>
      <c r="S12" t="s">
        <v>225</v>
      </c>
      <c r="T12" t="s">
        <v>226</v>
      </c>
      <c r="U12" t="s">
        <v>227</v>
      </c>
      <c r="V12" t="s">
        <v>153</v>
      </c>
      <c r="W12">
        <v>109.354</v>
      </c>
      <c r="X12">
        <v>1.0727760310708341</v>
      </c>
      <c r="Y12">
        <v>117.31235010172</v>
      </c>
      <c r="Z12">
        <v>694.38</v>
      </c>
      <c r="AA12">
        <v>0.875</v>
      </c>
      <c r="AB12">
        <v>71.276930955678296</v>
      </c>
      <c r="AC12">
        <v>1.0034000000000001</v>
      </c>
      <c r="AD12">
        <v>71.519000000000005</v>
      </c>
      <c r="AE12">
        <v>8.9176000000000002</v>
      </c>
      <c r="AF12">
        <v>9.5665875346772715</v>
      </c>
      <c r="AG12">
        <v>0.91300000000000003</v>
      </c>
      <c r="AH12">
        <v>6064.9193587765631</v>
      </c>
      <c r="AI12">
        <v>1</v>
      </c>
      <c r="AJ12">
        <v>6064.9193999999998</v>
      </c>
      <c r="AK12">
        <v>37.223791661194539</v>
      </c>
      <c r="AL12" t="s">
        <v>269</v>
      </c>
      <c r="AM12" t="s">
        <v>270</v>
      </c>
      <c r="AN12" t="s">
        <v>227</v>
      </c>
      <c r="AO12" t="s">
        <v>153</v>
      </c>
      <c r="AP12">
        <v>109.354</v>
      </c>
      <c r="AQ12">
        <v>1.080821157758461</v>
      </c>
      <c r="AR12">
        <v>118.1921168855188</v>
      </c>
      <c r="AS12">
        <v>779.31</v>
      </c>
      <c r="AT12">
        <v>0.879</v>
      </c>
      <c r="AU12">
        <v>80.963194478237142</v>
      </c>
      <c r="AV12">
        <v>1.0078</v>
      </c>
      <c r="AW12">
        <v>81.594999999999999</v>
      </c>
      <c r="AX12">
        <v>8.9176000000000002</v>
      </c>
      <c r="AY12">
        <v>0.80400000000000005</v>
      </c>
      <c r="AZ12">
        <v>6039.0430235999738</v>
      </c>
      <c r="BA12">
        <v>1</v>
      </c>
      <c r="BB12">
        <v>6039.0429999999997</v>
      </c>
      <c r="BC12">
        <v>37.064973767828683</v>
      </c>
    </row>
    <row r="13" spans="1:55" x14ac:dyDescent="0.25">
      <c r="A13">
        <v>262574</v>
      </c>
      <c r="B13" t="s">
        <v>87</v>
      </c>
      <c r="C13">
        <v>2020</v>
      </c>
      <c r="D13">
        <v>10</v>
      </c>
      <c r="E13" t="s">
        <v>218</v>
      </c>
      <c r="F13" t="s">
        <v>260</v>
      </c>
      <c r="G13" t="s">
        <v>17</v>
      </c>
      <c r="H13" t="s">
        <v>244</v>
      </c>
      <c r="I13" t="s">
        <v>261</v>
      </c>
      <c r="J13">
        <v>-0.98013452000000001</v>
      </c>
      <c r="K13" t="s">
        <v>21</v>
      </c>
      <c r="L13" t="s">
        <v>236</v>
      </c>
      <c r="M13">
        <v>1.204832970364E-2</v>
      </c>
      <c r="N13">
        <v>1.1808983800344539E-2</v>
      </c>
      <c r="O13">
        <v>66303.072</v>
      </c>
      <c r="P13">
        <v>1.2927647999999999E-5</v>
      </c>
      <c r="Q13">
        <v>0.85714299999999999</v>
      </c>
      <c r="R13">
        <v>1.0121987801578721E-2</v>
      </c>
      <c r="S13" t="s">
        <v>225</v>
      </c>
      <c r="T13" t="s">
        <v>226</v>
      </c>
      <c r="U13" t="s">
        <v>227</v>
      </c>
      <c r="V13" t="s">
        <v>100</v>
      </c>
      <c r="W13">
        <v>109.354</v>
      </c>
      <c r="X13">
        <v>1.0727760310708341</v>
      </c>
      <c r="Y13">
        <v>117.31235010172</v>
      </c>
      <c r="Z13">
        <v>694.38</v>
      </c>
      <c r="AA13">
        <v>0.875</v>
      </c>
      <c r="AB13">
        <v>71.276930955678296</v>
      </c>
      <c r="AC13">
        <v>0.96660000000000001</v>
      </c>
      <c r="AD13">
        <v>68.896000000000001</v>
      </c>
      <c r="AE13">
        <v>8.9176000000000002</v>
      </c>
      <c r="AF13">
        <v>9.5665875346772715</v>
      </c>
      <c r="AG13">
        <v>0.91300000000000003</v>
      </c>
      <c r="AH13">
        <v>6064.9193587765631</v>
      </c>
      <c r="AI13">
        <v>0.98316430020283985</v>
      </c>
      <c r="AJ13">
        <v>5962.8122000000003</v>
      </c>
      <c r="AK13">
        <v>60.35551235150475</v>
      </c>
      <c r="AL13" t="s">
        <v>269</v>
      </c>
      <c r="AM13" t="s">
        <v>270</v>
      </c>
      <c r="AN13" t="s">
        <v>227</v>
      </c>
      <c r="AO13" t="s">
        <v>100</v>
      </c>
      <c r="AP13">
        <v>109.354</v>
      </c>
      <c r="AQ13">
        <v>1.080821157758461</v>
      </c>
      <c r="AR13">
        <v>118.1921168855188</v>
      </c>
      <c r="AS13">
        <v>779.31</v>
      </c>
      <c r="AT13">
        <v>0.879</v>
      </c>
      <c r="AU13">
        <v>80.963194478237142</v>
      </c>
      <c r="AV13">
        <v>0.96560000000000001</v>
      </c>
      <c r="AW13">
        <v>78.177999999999997</v>
      </c>
      <c r="AX13">
        <v>8.9176000000000002</v>
      </c>
      <c r="AY13">
        <v>0.80400000000000005</v>
      </c>
      <c r="AZ13">
        <v>6039.0430235999738</v>
      </c>
      <c r="BA13">
        <v>0.98955375253549693</v>
      </c>
      <c r="BB13">
        <v>5975.9576999999999</v>
      </c>
      <c r="BC13">
        <v>60.488570942150403</v>
      </c>
    </row>
    <row r="14" spans="1:55" x14ac:dyDescent="0.25">
      <c r="A14">
        <v>262576</v>
      </c>
      <c r="B14" t="s">
        <v>87</v>
      </c>
      <c r="C14">
        <v>2020</v>
      </c>
      <c r="D14">
        <v>10</v>
      </c>
      <c r="E14" t="s">
        <v>218</v>
      </c>
      <c r="F14" t="s">
        <v>260</v>
      </c>
      <c r="G14" t="s">
        <v>17</v>
      </c>
      <c r="H14" t="s">
        <v>244</v>
      </c>
      <c r="I14" t="s">
        <v>261</v>
      </c>
      <c r="J14">
        <v>-0.98013452000000001</v>
      </c>
      <c r="K14" t="s">
        <v>21</v>
      </c>
      <c r="L14" t="s">
        <v>237</v>
      </c>
      <c r="M14">
        <v>0.26972628532287002</v>
      </c>
      <c r="N14">
        <v>0.26436804206499931</v>
      </c>
      <c r="O14">
        <v>66303.072</v>
      </c>
      <c r="P14">
        <v>1.2927647999999999E-5</v>
      </c>
      <c r="Q14">
        <v>0.85714299999999999</v>
      </c>
      <c r="R14">
        <v>0.22660121667971969</v>
      </c>
      <c r="S14" t="s">
        <v>225</v>
      </c>
      <c r="T14" t="s">
        <v>226</v>
      </c>
      <c r="U14" t="s">
        <v>227</v>
      </c>
      <c r="V14" t="s">
        <v>101</v>
      </c>
      <c r="W14">
        <v>109.354</v>
      </c>
      <c r="X14">
        <v>1.0727760310708341</v>
      </c>
      <c r="Y14">
        <v>117.31235010172</v>
      </c>
      <c r="Z14">
        <v>694.38</v>
      </c>
      <c r="AA14">
        <v>0.875</v>
      </c>
      <c r="AB14">
        <v>71.276930955678296</v>
      </c>
      <c r="AC14">
        <v>1.0077</v>
      </c>
      <c r="AD14">
        <v>71.825999999999993</v>
      </c>
      <c r="AE14">
        <v>8.9176000000000002</v>
      </c>
      <c r="AF14">
        <v>9.5665875346772715</v>
      </c>
      <c r="AG14">
        <v>0.91300000000000003</v>
      </c>
      <c r="AH14">
        <v>6064.9193587765631</v>
      </c>
      <c r="AI14">
        <v>1.0255267423014589</v>
      </c>
      <c r="AJ14">
        <v>6219.7370000000001</v>
      </c>
      <c r="AK14">
        <v>1409.3999716278699</v>
      </c>
      <c r="AL14" t="s">
        <v>269</v>
      </c>
      <c r="AM14" t="s">
        <v>270</v>
      </c>
      <c r="AN14" t="s">
        <v>227</v>
      </c>
      <c r="AO14" t="s">
        <v>101</v>
      </c>
      <c r="AP14">
        <v>109.354</v>
      </c>
      <c r="AQ14">
        <v>1.080821157758461</v>
      </c>
      <c r="AR14">
        <v>118.1921168855188</v>
      </c>
      <c r="AS14">
        <v>779.31</v>
      </c>
      <c r="AT14">
        <v>0.879</v>
      </c>
      <c r="AU14">
        <v>80.963194478237142</v>
      </c>
      <c r="AV14">
        <v>1.0097</v>
      </c>
      <c r="AW14">
        <v>81.748999999999995</v>
      </c>
      <c r="AX14">
        <v>8.9176000000000002</v>
      </c>
      <c r="AY14">
        <v>0.80400000000000005</v>
      </c>
      <c r="AZ14">
        <v>6039.0430235999738</v>
      </c>
      <c r="BA14">
        <v>1.0276539708265799</v>
      </c>
      <c r="BB14">
        <v>6206.0465000000004</v>
      </c>
      <c r="BC14">
        <v>1406.297687670916</v>
      </c>
    </row>
    <row r="15" spans="1:55" x14ac:dyDescent="0.25">
      <c r="A15">
        <v>262572</v>
      </c>
      <c r="B15" t="s">
        <v>87</v>
      </c>
      <c r="C15">
        <v>2020</v>
      </c>
      <c r="D15">
        <v>10</v>
      </c>
      <c r="E15" t="s">
        <v>218</v>
      </c>
      <c r="F15" t="s">
        <v>260</v>
      </c>
      <c r="G15" t="s">
        <v>17</v>
      </c>
      <c r="H15" t="s">
        <v>244</v>
      </c>
      <c r="I15" t="s">
        <v>261</v>
      </c>
      <c r="J15">
        <v>-0.98013452000000001</v>
      </c>
      <c r="K15" t="s">
        <v>21</v>
      </c>
      <c r="L15" t="s">
        <v>235</v>
      </c>
      <c r="M15">
        <v>0.40128928011011999</v>
      </c>
      <c r="N15">
        <v>0.39331747425874741</v>
      </c>
      <c r="O15">
        <v>66303.072</v>
      </c>
      <c r="P15">
        <v>1.2927647999999999E-5</v>
      </c>
      <c r="Q15">
        <v>0.85714299999999999</v>
      </c>
      <c r="R15">
        <v>0.33712931983856548</v>
      </c>
      <c r="S15" t="s">
        <v>225</v>
      </c>
      <c r="T15" t="s">
        <v>226</v>
      </c>
      <c r="U15" t="s">
        <v>227</v>
      </c>
      <c r="V15" t="s">
        <v>154</v>
      </c>
      <c r="W15">
        <v>109.354</v>
      </c>
      <c r="X15">
        <v>1.0727760310708341</v>
      </c>
      <c r="Y15">
        <v>117.31235010172</v>
      </c>
      <c r="Z15">
        <v>694.38</v>
      </c>
      <c r="AA15">
        <v>0.875</v>
      </c>
      <c r="AB15">
        <v>71.276930955678296</v>
      </c>
      <c r="AC15">
        <v>1.0179</v>
      </c>
      <c r="AD15">
        <v>72.552999999999997</v>
      </c>
      <c r="AE15">
        <v>8.9176000000000002</v>
      </c>
      <c r="AF15">
        <v>9.5665875346772715</v>
      </c>
      <c r="AG15">
        <v>0.91300000000000003</v>
      </c>
      <c r="AH15">
        <v>6064.9193587765631</v>
      </c>
      <c r="AI15">
        <v>0.98975009761811794</v>
      </c>
      <c r="AJ15">
        <v>6002.7545</v>
      </c>
      <c r="AK15">
        <v>2023.704541742889</v>
      </c>
      <c r="AL15" t="s">
        <v>269</v>
      </c>
      <c r="AM15" t="s">
        <v>270</v>
      </c>
      <c r="AN15" t="s">
        <v>227</v>
      </c>
      <c r="AO15" t="s">
        <v>154</v>
      </c>
      <c r="AP15">
        <v>109.354</v>
      </c>
      <c r="AQ15">
        <v>1.080821157758461</v>
      </c>
      <c r="AR15">
        <v>118.1921168855188</v>
      </c>
      <c r="AS15">
        <v>779.31</v>
      </c>
      <c r="AT15">
        <v>0.879</v>
      </c>
      <c r="AU15">
        <v>80.963194478237142</v>
      </c>
      <c r="AV15">
        <v>0.9899</v>
      </c>
      <c r="AW15">
        <v>80.144999999999996</v>
      </c>
      <c r="AX15">
        <v>8.9176000000000002</v>
      </c>
      <c r="AY15">
        <v>0.80400000000000005</v>
      </c>
      <c r="AZ15">
        <v>6039.0430235999738</v>
      </c>
      <c r="BA15">
        <v>0.99199531433033972</v>
      </c>
      <c r="BB15">
        <v>5990.7024000000001</v>
      </c>
      <c r="BC15">
        <v>2019.641425467262</v>
      </c>
    </row>
    <row r="16" spans="1:55" x14ac:dyDescent="0.25">
      <c r="A16">
        <v>262556</v>
      </c>
      <c r="B16" t="s">
        <v>87</v>
      </c>
      <c r="C16">
        <v>2020</v>
      </c>
      <c r="D16">
        <v>10</v>
      </c>
      <c r="E16" t="s">
        <v>218</v>
      </c>
      <c r="F16" t="s">
        <v>260</v>
      </c>
      <c r="G16" t="s">
        <v>17</v>
      </c>
      <c r="H16" t="s">
        <v>239</v>
      </c>
      <c r="I16" t="s">
        <v>261</v>
      </c>
      <c r="J16">
        <v>-0.79908979000000002</v>
      </c>
      <c r="K16" t="s">
        <v>21</v>
      </c>
      <c r="L16" t="s">
        <v>224</v>
      </c>
      <c r="M16">
        <v>7.4408908718700002E-3</v>
      </c>
      <c r="N16">
        <v>5.9459399229797984E-3</v>
      </c>
      <c r="O16">
        <v>66303.072</v>
      </c>
      <c r="P16">
        <v>1.2927647999999999E-5</v>
      </c>
      <c r="Q16">
        <v>0.85714299999999999</v>
      </c>
      <c r="R16">
        <v>5.0965207834026728E-3</v>
      </c>
      <c r="S16" t="s">
        <v>225</v>
      </c>
      <c r="T16" t="s">
        <v>226</v>
      </c>
      <c r="U16" t="s">
        <v>227</v>
      </c>
      <c r="V16" t="s">
        <v>153</v>
      </c>
      <c r="W16">
        <v>109.354</v>
      </c>
      <c r="X16">
        <v>1.0727760310708341</v>
      </c>
      <c r="Y16">
        <v>117.31235010172</v>
      </c>
      <c r="Z16">
        <v>694.38</v>
      </c>
      <c r="AA16">
        <v>0.875</v>
      </c>
      <c r="AB16">
        <v>71.276930955678296</v>
      </c>
      <c r="AC16">
        <v>1.0034000000000001</v>
      </c>
      <c r="AD16">
        <v>71.519000000000005</v>
      </c>
      <c r="AE16">
        <v>8.9176000000000002</v>
      </c>
      <c r="AF16">
        <v>9.5665875346772715</v>
      </c>
      <c r="AG16">
        <v>0.91300000000000003</v>
      </c>
      <c r="AH16">
        <v>6064.9193587765631</v>
      </c>
      <c r="AI16">
        <v>1</v>
      </c>
      <c r="AJ16">
        <v>6064.9193999999998</v>
      </c>
      <c r="AK16">
        <v>30.909987771762069</v>
      </c>
      <c r="AL16" t="s">
        <v>269</v>
      </c>
      <c r="AM16" t="s">
        <v>270</v>
      </c>
      <c r="AN16" t="s">
        <v>227</v>
      </c>
      <c r="AO16" t="s">
        <v>153</v>
      </c>
      <c r="AP16">
        <v>109.354</v>
      </c>
      <c r="AQ16">
        <v>1.080821157758461</v>
      </c>
      <c r="AR16">
        <v>118.1921168855188</v>
      </c>
      <c r="AS16">
        <v>779.31</v>
      </c>
      <c r="AT16">
        <v>0.879</v>
      </c>
      <c r="AU16">
        <v>80.963194478237142</v>
      </c>
      <c r="AV16">
        <v>1.0078</v>
      </c>
      <c r="AW16">
        <v>81.594999999999999</v>
      </c>
      <c r="AX16">
        <v>8.9176000000000002</v>
      </c>
      <c r="AY16">
        <v>0.80400000000000005</v>
      </c>
      <c r="AZ16">
        <v>6039.0430235999738</v>
      </c>
      <c r="BA16">
        <v>1</v>
      </c>
      <c r="BB16">
        <v>6039.0429999999997</v>
      </c>
      <c r="BC16">
        <v>30.778108161362429</v>
      </c>
    </row>
    <row r="17" spans="1:55" x14ac:dyDescent="0.25">
      <c r="A17">
        <v>262560</v>
      </c>
      <c r="B17" t="s">
        <v>87</v>
      </c>
      <c r="C17">
        <v>2020</v>
      </c>
      <c r="D17">
        <v>10</v>
      </c>
      <c r="E17" t="s">
        <v>218</v>
      </c>
      <c r="F17" t="s">
        <v>260</v>
      </c>
      <c r="G17" t="s">
        <v>17</v>
      </c>
      <c r="H17" t="s">
        <v>239</v>
      </c>
      <c r="I17" t="s">
        <v>261</v>
      </c>
      <c r="J17">
        <v>-0.79908979000000002</v>
      </c>
      <c r="K17" t="s">
        <v>21</v>
      </c>
      <c r="L17" t="s">
        <v>236</v>
      </c>
      <c r="M17">
        <v>1.2734836093020001E-2</v>
      </c>
      <c r="N17">
        <v>1.017627749714088E-2</v>
      </c>
      <c r="O17">
        <v>66303.072</v>
      </c>
      <c r="P17">
        <v>1.2927647999999999E-5</v>
      </c>
      <c r="Q17">
        <v>0.85714299999999999</v>
      </c>
      <c r="R17">
        <v>8.7225250227318286E-3</v>
      </c>
      <c r="S17" t="s">
        <v>225</v>
      </c>
      <c r="T17" t="s">
        <v>226</v>
      </c>
      <c r="U17" t="s">
        <v>227</v>
      </c>
      <c r="V17" t="s">
        <v>100</v>
      </c>
      <c r="W17">
        <v>109.354</v>
      </c>
      <c r="X17">
        <v>1.0727760310708341</v>
      </c>
      <c r="Y17">
        <v>117.31235010172</v>
      </c>
      <c r="Z17">
        <v>694.38</v>
      </c>
      <c r="AA17">
        <v>0.875</v>
      </c>
      <c r="AB17">
        <v>71.276930955678296</v>
      </c>
      <c r="AC17">
        <v>0.96660000000000001</v>
      </c>
      <c r="AD17">
        <v>68.896000000000001</v>
      </c>
      <c r="AE17">
        <v>8.9176000000000002</v>
      </c>
      <c r="AF17">
        <v>9.5665875346772715</v>
      </c>
      <c r="AG17">
        <v>0.91300000000000003</v>
      </c>
      <c r="AH17">
        <v>6064.9193587765631</v>
      </c>
      <c r="AI17">
        <v>0.98316430020283985</v>
      </c>
      <c r="AJ17">
        <v>5962.8122000000003</v>
      </c>
      <c r="AK17">
        <v>52.010778620350628</v>
      </c>
      <c r="AL17" t="s">
        <v>269</v>
      </c>
      <c r="AM17" t="s">
        <v>270</v>
      </c>
      <c r="AN17" t="s">
        <v>227</v>
      </c>
      <c r="AO17" t="s">
        <v>100</v>
      </c>
      <c r="AP17">
        <v>109.354</v>
      </c>
      <c r="AQ17">
        <v>1.080821157758461</v>
      </c>
      <c r="AR17">
        <v>118.1921168855188</v>
      </c>
      <c r="AS17">
        <v>779.31</v>
      </c>
      <c r="AT17">
        <v>0.879</v>
      </c>
      <c r="AU17">
        <v>80.963194478237142</v>
      </c>
      <c r="AV17">
        <v>0.96560000000000001</v>
      </c>
      <c r="AW17">
        <v>78.177999999999997</v>
      </c>
      <c r="AX17">
        <v>8.9176000000000002</v>
      </c>
      <c r="AY17">
        <v>0.80400000000000005</v>
      </c>
      <c r="AZ17">
        <v>6039.0430235999738</v>
      </c>
      <c r="BA17">
        <v>0.98955375253549693</v>
      </c>
      <c r="BB17">
        <v>5975.9576999999999</v>
      </c>
      <c r="BC17">
        <v>52.125440573036947</v>
      </c>
    </row>
    <row r="18" spans="1:55" x14ac:dyDescent="0.25">
      <c r="A18">
        <v>262562</v>
      </c>
      <c r="B18" t="s">
        <v>87</v>
      </c>
      <c r="C18">
        <v>2020</v>
      </c>
      <c r="D18">
        <v>10</v>
      </c>
      <c r="E18" t="s">
        <v>218</v>
      </c>
      <c r="F18" t="s">
        <v>260</v>
      </c>
      <c r="G18" t="s">
        <v>17</v>
      </c>
      <c r="H18" t="s">
        <v>239</v>
      </c>
      <c r="I18" t="s">
        <v>261</v>
      </c>
      <c r="J18">
        <v>-0.79908979000000002</v>
      </c>
      <c r="K18" t="s">
        <v>21</v>
      </c>
      <c r="L18" t="s">
        <v>237</v>
      </c>
      <c r="M18">
        <v>0.29281613276294</v>
      </c>
      <c r="N18">
        <v>0.23398638198952151</v>
      </c>
      <c r="O18">
        <v>66303.072</v>
      </c>
      <c r="P18">
        <v>1.2927647999999999E-5</v>
      </c>
      <c r="Q18">
        <v>0.85714299999999999</v>
      </c>
      <c r="R18">
        <v>0.20055978941764441</v>
      </c>
      <c r="S18" t="s">
        <v>225</v>
      </c>
      <c r="T18" t="s">
        <v>226</v>
      </c>
      <c r="U18" t="s">
        <v>227</v>
      </c>
      <c r="V18" t="s">
        <v>101</v>
      </c>
      <c r="W18">
        <v>109.354</v>
      </c>
      <c r="X18">
        <v>1.0727760310708341</v>
      </c>
      <c r="Y18">
        <v>117.31235010172</v>
      </c>
      <c r="Z18">
        <v>694.38</v>
      </c>
      <c r="AA18">
        <v>0.875</v>
      </c>
      <c r="AB18">
        <v>71.276930955678296</v>
      </c>
      <c r="AC18">
        <v>1.0077</v>
      </c>
      <c r="AD18">
        <v>71.825999999999993</v>
      </c>
      <c r="AE18">
        <v>8.9176000000000002</v>
      </c>
      <c r="AF18">
        <v>9.5665875346772715</v>
      </c>
      <c r="AG18">
        <v>0.91300000000000003</v>
      </c>
      <c r="AH18">
        <v>6064.9193587765631</v>
      </c>
      <c r="AI18">
        <v>1.0255267423014589</v>
      </c>
      <c r="AJ18">
        <v>6219.7370000000001</v>
      </c>
      <c r="AK18">
        <v>1247.429142953132</v>
      </c>
      <c r="AL18" t="s">
        <v>269</v>
      </c>
      <c r="AM18" t="s">
        <v>270</v>
      </c>
      <c r="AN18" t="s">
        <v>227</v>
      </c>
      <c r="AO18" t="s">
        <v>101</v>
      </c>
      <c r="AP18">
        <v>109.354</v>
      </c>
      <c r="AQ18">
        <v>1.080821157758461</v>
      </c>
      <c r="AR18">
        <v>118.1921168855188</v>
      </c>
      <c r="AS18">
        <v>779.31</v>
      </c>
      <c r="AT18">
        <v>0.879</v>
      </c>
      <c r="AU18">
        <v>80.963194478237142</v>
      </c>
      <c r="AV18">
        <v>1.0097</v>
      </c>
      <c r="AW18">
        <v>81.748999999999995</v>
      </c>
      <c r="AX18">
        <v>8.9176000000000002</v>
      </c>
      <c r="AY18">
        <v>0.80400000000000005</v>
      </c>
      <c r="AZ18">
        <v>6039.0430235999738</v>
      </c>
      <c r="BA18">
        <v>1.0276539708265799</v>
      </c>
      <c r="BB18">
        <v>6206.0465000000004</v>
      </c>
      <c r="BC18">
        <v>1244.6833791561089</v>
      </c>
    </row>
    <row r="19" spans="1:55" x14ac:dyDescent="0.25">
      <c r="A19">
        <v>262558</v>
      </c>
      <c r="B19" t="s">
        <v>87</v>
      </c>
      <c r="C19">
        <v>2020</v>
      </c>
      <c r="D19">
        <v>10</v>
      </c>
      <c r="E19" t="s">
        <v>218</v>
      </c>
      <c r="F19" t="s">
        <v>260</v>
      </c>
      <c r="G19" t="s">
        <v>17</v>
      </c>
      <c r="H19" t="s">
        <v>239</v>
      </c>
      <c r="I19" t="s">
        <v>261</v>
      </c>
      <c r="J19">
        <v>-0.79908979000000002</v>
      </c>
      <c r="K19" t="s">
        <v>21</v>
      </c>
      <c r="L19" t="s">
        <v>235</v>
      </c>
      <c r="M19">
        <v>0.38838662878487001</v>
      </c>
      <c r="N19">
        <v>0.31035578957000992</v>
      </c>
      <c r="O19">
        <v>66303.072</v>
      </c>
      <c r="P19">
        <v>1.2927647999999999E-5</v>
      </c>
      <c r="Q19">
        <v>0.85714299999999999</v>
      </c>
      <c r="R19">
        <v>0.26601929253940698</v>
      </c>
      <c r="S19" t="s">
        <v>225</v>
      </c>
      <c r="T19" t="s">
        <v>226</v>
      </c>
      <c r="U19" t="s">
        <v>227</v>
      </c>
      <c r="V19" t="s">
        <v>154</v>
      </c>
      <c r="W19">
        <v>109.354</v>
      </c>
      <c r="X19">
        <v>1.0727760310708341</v>
      </c>
      <c r="Y19">
        <v>117.31235010172</v>
      </c>
      <c r="Z19">
        <v>694.38</v>
      </c>
      <c r="AA19">
        <v>0.875</v>
      </c>
      <c r="AB19">
        <v>71.276930955678296</v>
      </c>
      <c r="AC19">
        <v>1.0179</v>
      </c>
      <c r="AD19">
        <v>72.552999999999997</v>
      </c>
      <c r="AE19">
        <v>8.9176000000000002</v>
      </c>
      <c r="AF19">
        <v>9.5665875346772715</v>
      </c>
      <c r="AG19">
        <v>0.91300000000000003</v>
      </c>
      <c r="AH19">
        <v>6064.9193587765631</v>
      </c>
      <c r="AI19">
        <v>0.98975009761811794</v>
      </c>
      <c r="AJ19">
        <v>6002.7545</v>
      </c>
      <c r="AK19">
        <v>1596.848505377742</v>
      </c>
      <c r="AL19" t="s">
        <v>269</v>
      </c>
      <c r="AM19" t="s">
        <v>270</v>
      </c>
      <c r="AN19" t="s">
        <v>227</v>
      </c>
      <c r="AO19" t="s">
        <v>154</v>
      </c>
      <c r="AP19">
        <v>109.354</v>
      </c>
      <c r="AQ19">
        <v>1.080821157758461</v>
      </c>
      <c r="AR19">
        <v>118.1921168855188</v>
      </c>
      <c r="AS19">
        <v>779.31</v>
      </c>
      <c r="AT19">
        <v>0.879</v>
      </c>
      <c r="AU19">
        <v>80.963194478237142</v>
      </c>
      <c r="AV19">
        <v>0.9899</v>
      </c>
      <c r="AW19">
        <v>80.144999999999996</v>
      </c>
      <c r="AX19">
        <v>8.9176000000000002</v>
      </c>
      <c r="AY19">
        <v>0.80400000000000005</v>
      </c>
      <c r="AZ19">
        <v>6039.0430235999738</v>
      </c>
      <c r="BA19">
        <v>0.99199531433033972</v>
      </c>
      <c r="BB19">
        <v>5990.7024000000001</v>
      </c>
      <c r="BC19">
        <v>1593.642414262127</v>
      </c>
    </row>
    <row r="20" spans="1:55" x14ac:dyDescent="0.25">
      <c r="A20">
        <v>262540</v>
      </c>
      <c r="B20" t="s">
        <v>87</v>
      </c>
      <c r="C20">
        <v>2020</v>
      </c>
      <c r="D20">
        <v>10</v>
      </c>
      <c r="E20" t="s">
        <v>218</v>
      </c>
      <c r="F20" t="s">
        <v>260</v>
      </c>
      <c r="G20" t="s">
        <v>17</v>
      </c>
      <c r="H20" t="s">
        <v>222</v>
      </c>
      <c r="I20" t="s">
        <v>261</v>
      </c>
      <c r="J20">
        <v>-0.53563099000000003</v>
      </c>
      <c r="K20" t="s">
        <v>21</v>
      </c>
      <c r="L20" t="s">
        <v>224</v>
      </c>
      <c r="M20">
        <v>5.5256916615899999E-3</v>
      </c>
      <c r="N20">
        <v>2.9597316807677149E-3</v>
      </c>
      <c r="O20">
        <v>66303.072</v>
      </c>
      <c r="P20">
        <v>1.2927647999999999E-5</v>
      </c>
      <c r="Q20">
        <v>0.85714299999999999</v>
      </c>
      <c r="R20">
        <v>2.536913292048281E-3</v>
      </c>
      <c r="S20" t="s">
        <v>225</v>
      </c>
      <c r="T20" t="s">
        <v>226</v>
      </c>
      <c r="U20" t="s">
        <v>227</v>
      </c>
      <c r="V20" t="s">
        <v>153</v>
      </c>
      <c r="W20">
        <v>109.354</v>
      </c>
      <c r="X20">
        <v>1.0727760310708341</v>
      </c>
      <c r="Y20">
        <v>117.31235010172</v>
      </c>
      <c r="Z20">
        <v>694.38</v>
      </c>
      <c r="AA20">
        <v>0.875</v>
      </c>
      <c r="AB20">
        <v>71.276930955678296</v>
      </c>
      <c r="AC20">
        <v>1.0034000000000001</v>
      </c>
      <c r="AD20">
        <v>71.519000000000005</v>
      </c>
      <c r="AE20">
        <v>8.9176000000000002</v>
      </c>
      <c r="AF20">
        <v>9.5665875346772715</v>
      </c>
      <c r="AG20">
        <v>0.91300000000000003</v>
      </c>
      <c r="AH20">
        <v>6064.9193587765631</v>
      </c>
      <c r="AI20">
        <v>1</v>
      </c>
      <c r="AJ20">
        <v>6064.9193999999998</v>
      </c>
      <c r="AK20">
        <v>15.386174641061491</v>
      </c>
      <c r="AL20" t="s">
        <v>269</v>
      </c>
      <c r="AM20" t="s">
        <v>270</v>
      </c>
      <c r="AN20" t="s">
        <v>227</v>
      </c>
      <c r="AO20" t="s">
        <v>153</v>
      </c>
      <c r="AP20">
        <v>109.354</v>
      </c>
      <c r="AQ20">
        <v>1.080821157758461</v>
      </c>
      <c r="AR20">
        <v>118.1921168855188</v>
      </c>
      <c r="AS20">
        <v>779.31</v>
      </c>
      <c r="AT20">
        <v>0.879</v>
      </c>
      <c r="AU20">
        <v>80.963194478237142</v>
      </c>
      <c r="AV20">
        <v>1.0078</v>
      </c>
      <c r="AW20">
        <v>81.594999999999999</v>
      </c>
      <c r="AX20">
        <v>8.9176000000000002</v>
      </c>
      <c r="AY20">
        <v>0.80400000000000005</v>
      </c>
      <c r="AZ20">
        <v>6039.0430235999738</v>
      </c>
      <c r="BA20">
        <v>1</v>
      </c>
      <c r="BB20">
        <v>6039.0429999999997</v>
      </c>
      <c r="BC20">
        <v>15.320528457951131</v>
      </c>
    </row>
    <row r="21" spans="1:55" x14ac:dyDescent="0.25">
      <c r="A21">
        <v>262544</v>
      </c>
      <c r="B21" t="s">
        <v>87</v>
      </c>
      <c r="C21">
        <v>2020</v>
      </c>
      <c r="D21">
        <v>10</v>
      </c>
      <c r="E21" t="s">
        <v>218</v>
      </c>
      <c r="F21" t="s">
        <v>260</v>
      </c>
      <c r="G21" t="s">
        <v>17</v>
      </c>
      <c r="H21" t="s">
        <v>222</v>
      </c>
      <c r="I21" t="s">
        <v>261</v>
      </c>
      <c r="J21">
        <v>-0.53563099000000003</v>
      </c>
      <c r="K21" t="s">
        <v>21</v>
      </c>
      <c r="L21" t="s">
        <v>231</v>
      </c>
      <c r="M21">
        <v>2.8087183570580002E-2</v>
      </c>
      <c r="N21">
        <v>1.50443658692066E-2</v>
      </c>
      <c r="O21">
        <v>66303.072</v>
      </c>
      <c r="P21">
        <v>1.2927647999999999E-5</v>
      </c>
      <c r="Q21">
        <v>0.85714299999999999</v>
      </c>
      <c r="R21">
        <v>1.289517289422935E-2</v>
      </c>
      <c r="S21" t="s">
        <v>225</v>
      </c>
      <c r="T21" t="s">
        <v>226</v>
      </c>
      <c r="U21" t="s">
        <v>227</v>
      </c>
      <c r="V21" t="s">
        <v>100</v>
      </c>
      <c r="W21">
        <v>109.354</v>
      </c>
      <c r="X21">
        <v>1.0727760310708341</v>
      </c>
      <c r="Y21">
        <v>117.31235010172</v>
      </c>
      <c r="Z21">
        <v>694.38</v>
      </c>
      <c r="AA21">
        <v>0.875</v>
      </c>
      <c r="AB21">
        <v>71.276930955678296</v>
      </c>
      <c r="AC21">
        <v>0.96660000000000001</v>
      </c>
      <c r="AD21">
        <v>68.896000000000001</v>
      </c>
      <c r="AE21">
        <v>8.9176000000000002</v>
      </c>
      <c r="AF21">
        <v>9.5665875346772715</v>
      </c>
      <c r="AG21">
        <v>0.91300000000000003</v>
      </c>
      <c r="AH21">
        <v>6064.9193587765631</v>
      </c>
      <c r="AI21">
        <v>0.98316430020283985</v>
      </c>
      <c r="AJ21">
        <v>5962.8122000000003</v>
      </c>
      <c r="AK21">
        <v>76.891494254820088</v>
      </c>
      <c r="AL21" t="s">
        <v>269</v>
      </c>
      <c r="AM21" t="s">
        <v>270</v>
      </c>
      <c r="AN21" t="s">
        <v>227</v>
      </c>
      <c r="AO21" t="s">
        <v>100</v>
      </c>
      <c r="AP21">
        <v>109.354</v>
      </c>
      <c r="AQ21">
        <v>1.080821157758461</v>
      </c>
      <c r="AR21">
        <v>118.1921168855188</v>
      </c>
      <c r="AS21">
        <v>779.31</v>
      </c>
      <c r="AT21">
        <v>0.879</v>
      </c>
      <c r="AU21">
        <v>80.963194478237142</v>
      </c>
      <c r="AV21">
        <v>0.96560000000000001</v>
      </c>
      <c r="AW21">
        <v>78.177999999999997</v>
      </c>
      <c r="AX21">
        <v>8.9176000000000002</v>
      </c>
      <c r="AY21">
        <v>0.80400000000000005</v>
      </c>
      <c r="AZ21">
        <v>6039.0430235999738</v>
      </c>
      <c r="BA21">
        <v>0.98955375253549693</v>
      </c>
      <c r="BB21">
        <v>5975.9576999999999</v>
      </c>
      <c r="BC21">
        <v>77.061007750101183</v>
      </c>
    </row>
    <row r="22" spans="1:55" x14ac:dyDescent="0.25">
      <c r="A22">
        <v>262542</v>
      </c>
      <c r="B22" t="s">
        <v>87</v>
      </c>
      <c r="C22">
        <v>2020</v>
      </c>
      <c r="D22">
        <v>10</v>
      </c>
      <c r="E22" t="s">
        <v>218</v>
      </c>
      <c r="F22" t="s">
        <v>260</v>
      </c>
      <c r="G22" t="s">
        <v>17</v>
      </c>
      <c r="H22" t="s">
        <v>222</v>
      </c>
      <c r="I22" t="s">
        <v>261</v>
      </c>
      <c r="J22">
        <v>-0.53563099000000003</v>
      </c>
      <c r="K22" t="s">
        <v>21</v>
      </c>
      <c r="L22" t="s">
        <v>230</v>
      </c>
      <c r="M22">
        <v>0.10131184195162</v>
      </c>
      <c r="N22">
        <v>5.4265761939901437E-2</v>
      </c>
      <c r="O22">
        <v>66303.072</v>
      </c>
      <c r="P22">
        <v>1.2927647999999999E-5</v>
      </c>
      <c r="Q22">
        <v>0.85714299999999999</v>
      </c>
      <c r="R22">
        <v>4.6513517986452937E-2</v>
      </c>
      <c r="S22" t="s">
        <v>225</v>
      </c>
      <c r="T22" t="s">
        <v>226</v>
      </c>
      <c r="U22" t="s">
        <v>227</v>
      </c>
      <c r="V22" t="s">
        <v>154</v>
      </c>
      <c r="W22">
        <v>109.354</v>
      </c>
      <c r="X22">
        <v>1.0727760310708341</v>
      </c>
      <c r="Y22">
        <v>117.31235010172</v>
      </c>
      <c r="Z22">
        <v>694.38</v>
      </c>
      <c r="AA22">
        <v>0.875</v>
      </c>
      <c r="AB22">
        <v>71.276930955678296</v>
      </c>
      <c r="AC22">
        <v>1.0179</v>
      </c>
      <c r="AD22">
        <v>72.552999999999997</v>
      </c>
      <c r="AE22">
        <v>8.9176000000000002</v>
      </c>
      <c r="AF22">
        <v>9.5665875346772715</v>
      </c>
      <c r="AG22">
        <v>0.91300000000000003</v>
      </c>
      <c r="AH22">
        <v>6064.9193587765631</v>
      </c>
      <c r="AI22">
        <v>0.98975009761811794</v>
      </c>
      <c r="AJ22">
        <v>6002.7545</v>
      </c>
      <c r="AK22">
        <v>279.20922940401141</v>
      </c>
      <c r="AL22" t="s">
        <v>269</v>
      </c>
      <c r="AM22" t="s">
        <v>270</v>
      </c>
      <c r="AN22" t="s">
        <v>227</v>
      </c>
      <c r="AO22" t="s">
        <v>154</v>
      </c>
      <c r="AP22">
        <v>109.354</v>
      </c>
      <c r="AQ22">
        <v>1.080821157758461</v>
      </c>
      <c r="AR22">
        <v>118.1921168855188</v>
      </c>
      <c r="AS22">
        <v>779.31</v>
      </c>
      <c r="AT22">
        <v>0.879</v>
      </c>
      <c r="AU22">
        <v>80.963194478237142</v>
      </c>
      <c r="AV22">
        <v>0.9899</v>
      </c>
      <c r="AW22">
        <v>80.144999999999996</v>
      </c>
      <c r="AX22">
        <v>8.9176000000000002</v>
      </c>
      <c r="AY22">
        <v>0.80400000000000005</v>
      </c>
      <c r="AZ22">
        <v>6039.0430235999738</v>
      </c>
      <c r="BA22">
        <v>0.99199531433033972</v>
      </c>
      <c r="BB22">
        <v>5990.7024000000001</v>
      </c>
      <c r="BC22">
        <v>278.64864383388681</v>
      </c>
    </row>
    <row r="23" spans="1:55" x14ac:dyDescent="0.25">
      <c r="A23">
        <v>262546</v>
      </c>
      <c r="B23" t="s">
        <v>87</v>
      </c>
      <c r="C23">
        <v>2020</v>
      </c>
      <c r="D23">
        <v>10</v>
      </c>
      <c r="E23" t="s">
        <v>218</v>
      </c>
      <c r="F23" t="s">
        <v>260</v>
      </c>
      <c r="G23" t="s">
        <v>17</v>
      </c>
      <c r="H23" t="s">
        <v>222</v>
      </c>
      <c r="I23" t="s">
        <v>261</v>
      </c>
      <c r="J23">
        <v>-0.53563099000000003</v>
      </c>
      <c r="K23" t="s">
        <v>21</v>
      </c>
      <c r="L23" t="s">
        <v>232</v>
      </c>
      <c r="M23">
        <v>0.54528233781308</v>
      </c>
      <c r="N23">
        <v>0.29207011701482899</v>
      </c>
      <c r="O23">
        <v>66303.072</v>
      </c>
      <c r="P23">
        <v>1.2927647999999999E-5</v>
      </c>
      <c r="Q23">
        <v>0.85714299999999999</v>
      </c>
      <c r="R23">
        <v>0.25034585630844158</v>
      </c>
      <c r="S23" t="s">
        <v>225</v>
      </c>
      <c r="T23" t="s">
        <v>226</v>
      </c>
      <c r="U23" t="s">
        <v>227</v>
      </c>
      <c r="V23" t="s">
        <v>101</v>
      </c>
      <c r="W23">
        <v>109.354</v>
      </c>
      <c r="X23">
        <v>1.0727760310708341</v>
      </c>
      <c r="Y23">
        <v>117.31235010172</v>
      </c>
      <c r="Z23">
        <v>694.38</v>
      </c>
      <c r="AA23">
        <v>0.875</v>
      </c>
      <c r="AB23">
        <v>71.276930955678296</v>
      </c>
      <c r="AC23">
        <v>1.0077</v>
      </c>
      <c r="AD23">
        <v>71.825999999999993</v>
      </c>
      <c r="AE23">
        <v>8.9176000000000002</v>
      </c>
      <c r="AF23">
        <v>9.5665875346772715</v>
      </c>
      <c r="AG23">
        <v>0.91300000000000003</v>
      </c>
      <c r="AH23">
        <v>6064.9193587765631</v>
      </c>
      <c r="AI23">
        <v>1.0255267423014589</v>
      </c>
      <c r="AJ23">
        <v>6219.7370000000001</v>
      </c>
      <c r="AK23">
        <v>1557.085385278298</v>
      </c>
      <c r="AL23" t="s">
        <v>269</v>
      </c>
      <c r="AM23" t="s">
        <v>270</v>
      </c>
      <c r="AN23" t="s">
        <v>227</v>
      </c>
      <c r="AO23" t="s">
        <v>101</v>
      </c>
      <c r="AP23">
        <v>109.354</v>
      </c>
      <c r="AQ23">
        <v>1.080821157758461</v>
      </c>
      <c r="AR23">
        <v>118.1921168855188</v>
      </c>
      <c r="AS23">
        <v>779.31</v>
      </c>
      <c r="AT23">
        <v>0.879</v>
      </c>
      <c r="AU23">
        <v>80.963194478237142</v>
      </c>
      <c r="AV23">
        <v>1.0097</v>
      </c>
      <c r="AW23">
        <v>81.748999999999995</v>
      </c>
      <c r="AX23">
        <v>8.9176000000000002</v>
      </c>
      <c r="AY23">
        <v>0.80400000000000005</v>
      </c>
      <c r="AZ23">
        <v>6039.0430235999738</v>
      </c>
      <c r="BA23">
        <v>1.0276539708265799</v>
      </c>
      <c r="BB23">
        <v>6206.0465000000004</v>
      </c>
      <c r="BC23">
        <v>1553.6580253325069</v>
      </c>
    </row>
    <row r="24" spans="1:55" x14ac:dyDescent="0.25">
      <c r="A24">
        <v>262566</v>
      </c>
      <c r="B24" t="s">
        <v>87</v>
      </c>
      <c r="C24">
        <v>2020</v>
      </c>
      <c r="D24">
        <v>10</v>
      </c>
      <c r="E24" t="s">
        <v>218</v>
      </c>
      <c r="F24" t="s">
        <v>260</v>
      </c>
      <c r="G24" t="s">
        <v>17</v>
      </c>
      <c r="H24" t="s">
        <v>242</v>
      </c>
      <c r="I24" t="s">
        <v>261</v>
      </c>
      <c r="J24">
        <v>-0.25407981000000002</v>
      </c>
      <c r="K24" t="s">
        <v>21</v>
      </c>
      <c r="L24" t="s">
        <v>236</v>
      </c>
      <c r="M24">
        <v>9.4045844512900007E-3</v>
      </c>
      <c r="N24">
        <v>2.389515070857621E-3</v>
      </c>
      <c r="O24">
        <v>66303.072</v>
      </c>
      <c r="P24">
        <v>1.2927647999999999E-5</v>
      </c>
      <c r="Q24">
        <v>0.85714299999999999</v>
      </c>
      <c r="R24">
        <v>2.0481561163801141E-3</v>
      </c>
      <c r="S24" t="s">
        <v>225</v>
      </c>
      <c r="T24" t="s">
        <v>226</v>
      </c>
      <c r="U24" t="s">
        <v>227</v>
      </c>
      <c r="V24" t="s">
        <v>100</v>
      </c>
      <c r="W24">
        <v>109.354</v>
      </c>
      <c r="X24">
        <v>1.0727760310708341</v>
      </c>
      <c r="Y24">
        <v>117.31235010172</v>
      </c>
      <c r="Z24">
        <v>694.38</v>
      </c>
      <c r="AA24">
        <v>0.875</v>
      </c>
      <c r="AB24">
        <v>71.276930955678296</v>
      </c>
      <c r="AC24">
        <v>0.96660000000000001</v>
      </c>
      <c r="AD24">
        <v>68.896000000000001</v>
      </c>
      <c r="AE24">
        <v>8.9176000000000002</v>
      </c>
      <c r="AF24">
        <v>9.5665875346772715</v>
      </c>
      <c r="AG24">
        <v>0.91300000000000003</v>
      </c>
      <c r="AH24">
        <v>6064.9193587765631</v>
      </c>
      <c r="AI24">
        <v>0.98316430020283985</v>
      </c>
      <c r="AJ24">
        <v>5962.8122000000003</v>
      </c>
      <c r="AK24">
        <v>12.21277027825596</v>
      </c>
      <c r="AL24" t="s">
        <v>269</v>
      </c>
      <c r="AM24" t="s">
        <v>270</v>
      </c>
      <c r="AN24" t="s">
        <v>227</v>
      </c>
      <c r="AO24" t="s">
        <v>100</v>
      </c>
      <c r="AP24">
        <v>109.354</v>
      </c>
      <c r="AQ24">
        <v>1.080821157758461</v>
      </c>
      <c r="AR24">
        <v>118.1921168855188</v>
      </c>
      <c r="AS24">
        <v>779.31</v>
      </c>
      <c r="AT24">
        <v>0.879</v>
      </c>
      <c r="AU24">
        <v>80.963194478237142</v>
      </c>
      <c r="AV24">
        <v>0.96560000000000001</v>
      </c>
      <c r="AW24">
        <v>78.177999999999997</v>
      </c>
      <c r="AX24">
        <v>8.9176000000000002</v>
      </c>
      <c r="AY24">
        <v>0.80400000000000005</v>
      </c>
      <c r="AZ24">
        <v>6039.0430235999738</v>
      </c>
      <c r="BA24">
        <v>0.98955375253549693</v>
      </c>
      <c r="BB24">
        <v>5975.9576999999999</v>
      </c>
      <c r="BC24">
        <v>12.23969431448384</v>
      </c>
    </row>
    <row r="25" spans="1:55" x14ac:dyDescent="0.25">
      <c r="A25">
        <v>262568</v>
      </c>
      <c r="B25" t="s">
        <v>87</v>
      </c>
      <c r="C25">
        <v>2020</v>
      </c>
      <c r="D25">
        <v>10</v>
      </c>
      <c r="E25" t="s">
        <v>218</v>
      </c>
      <c r="F25" t="s">
        <v>260</v>
      </c>
      <c r="G25" t="s">
        <v>17</v>
      </c>
      <c r="H25" t="s">
        <v>242</v>
      </c>
      <c r="I25" t="s">
        <v>261</v>
      </c>
      <c r="J25">
        <v>-0.25407981000000002</v>
      </c>
      <c r="K25" t="s">
        <v>21</v>
      </c>
      <c r="L25" t="s">
        <v>237</v>
      </c>
      <c r="M25">
        <v>0.24379295604019999</v>
      </c>
      <c r="N25">
        <v>6.1942868995884331E-2</v>
      </c>
      <c r="O25">
        <v>66303.072</v>
      </c>
      <c r="P25">
        <v>1.2927647999999999E-5</v>
      </c>
      <c r="Q25">
        <v>0.85714299999999999</v>
      </c>
      <c r="R25">
        <v>5.3093896559739277E-2</v>
      </c>
      <c r="S25" t="s">
        <v>225</v>
      </c>
      <c r="T25" t="s">
        <v>226</v>
      </c>
      <c r="U25" t="s">
        <v>227</v>
      </c>
      <c r="V25" t="s">
        <v>101</v>
      </c>
      <c r="W25">
        <v>109.354</v>
      </c>
      <c r="X25">
        <v>1.0727760310708341</v>
      </c>
      <c r="Y25">
        <v>117.31235010172</v>
      </c>
      <c r="Z25">
        <v>694.38</v>
      </c>
      <c r="AA25">
        <v>0.875</v>
      </c>
      <c r="AB25">
        <v>71.276930955678296</v>
      </c>
      <c r="AC25">
        <v>1.0077</v>
      </c>
      <c r="AD25">
        <v>71.825999999999993</v>
      </c>
      <c r="AE25">
        <v>8.9176000000000002</v>
      </c>
      <c r="AF25">
        <v>9.5665875346772715</v>
      </c>
      <c r="AG25">
        <v>0.91300000000000003</v>
      </c>
      <c r="AH25">
        <v>6064.9193587765631</v>
      </c>
      <c r="AI25">
        <v>1.0255267423014589</v>
      </c>
      <c r="AJ25">
        <v>6219.7370000000001</v>
      </c>
      <c r="AK25">
        <v>330.23007290678322</v>
      </c>
      <c r="AL25" t="s">
        <v>269</v>
      </c>
      <c r="AM25" t="s">
        <v>270</v>
      </c>
      <c r="AN25" t="s">
        <v>227</v>
      </c>
      <c r="AO25" t="s">
        <v>101</v>
      </c>
      <c r="AP25">
        <v>109.354</v>
      </c>
      <c r="AQ25">
        <v>1.080821157758461</v>
      </c>
      <c r="AR25">
        <v>118.1921168855188</v>
      </c>
      <c r="AS25">
        <v>779.31</v>
      </c>
      <c r="AT25">
        <v>0.879</v>
      </c>
      <c r="AU25">
        <v>80.963194478237142</v>
      </c>
      <c r="AV25">
        <v>1.0097</v>
      </c>
      <c r="AW25">
        <v>81.748999999999995</v>
      </c>
      <c r="AX25">
        <v>8.9176000000000002</v>
      </c>
      <c r="AY25">
        <v>0.80400000000000005</v>
      </c>
      <c r="AZ25">
        <v>6039.0430235999738</v>
      </c>
      <c r="BA25">
        <v>1.0276539708265799</v>
      </c>
      <c r="BB25">
        <v>6206.0465000000004</v>
      </c>
      <c r="BC25">
        <v>329.50319091593212</v>
      </c>
    </row>
    <row r="26" spans="1:55" x14ac:dyDescent="0.25">
      <c r="A26">
        <v>262564</v>
      </c>
      <c r="B26" t="s">
        <v>87</v>
      </c>
      <c r="C26">
        <v>2020</v>
      </c>
      <c r="D26">
        <v>10</v>
      </c>
      <c r="E26" t="s">
        <v>218</v>
      </c>
      <c r="F26" t="s">
        <v>260</v>
      </c>
      <c r="G26" t="s">
        <v>17</v>
      </c>
      <c r="H26" t="s">
        <v>242</v>
      </c>
      <c r="I26" t="s">
        <v>261</v>
      </c>
      <c r="J26">
        <v>-0.25407981000000002</v>
      </c>
      <c r="K26" t="s">
        <v>21</v>
      </c>
      <c r="L26" t="s">
        <v>235</v>
      </c>
      <c r="M26">
        <v>0.43852094634854</v>
      </c>
      <c r="N26">
        <v>0.11141932061047639</v>
      </c>
      <c r="O26">
        <v>66303.072</v>
      </c>
      <c r="P26">
        <v>1.2927647999999999E-5</v>
      </c>
      <c r="Q26">
        <v>0.85714299999999999</v>
      </c>
      <c r="R26">
        <v>9.5502290726025618E-2</v>
      </c>
      <c r="S26" t="s">
        <v>225</v>
      </c>
      <c r="T26" t="s">
        <v>226</v>
      </c>
      <c r="U26" t="s">
        <v>227</v>
      </c>
      <c r="V26" t="s">
        <v>154</v>
      </c>
      <c r="W26">
        <v>109.354</v>
      </c>
      <c r="X26">
        <v>1.0727760310708341</v>
      </c>
      <c r="Y26">
        <v>117.31235010172</v>
      </c>
      <c r="Z26">
        <v>694.38</v>
      </c>
      <c r="AA26">
        <v>0.875</v>
      </c>
      <c r="AB26">
        <v>71.276930955678296</v>
      </c>
      <c r="AC26">
        <v>1.0179</v>
      </c>
      <c r="AD26">
        <v>72.552999999999997</v>
      </c>
      <c r="AE26">
        <v>8.9176000000000002</v>
      </c>
      <c r="AF26">
        <v>9.5665875346772715</v>
      </c>
      <c r="AG26">
        <v>0.91300000000000003</v>
      </c>
      <c r="AH26">
        <v>6064.9193587765631</v>
      </c>
      <c r="AI26">
        <v>0.98975009761811794</v>
      </c>
      <c r="AJ26">
        <v>6002.7545</v>
      </c>
      <c r="AK26">
        <v>573.27680541595851</v>
      </c>
      <c r="AL26" t="s">
        <v>269</v>
      </c>
      <c r="AM26" t="s">
        <v>270</v>
      </c>
      <c r="AN26" t="s">
        <v>227</v>
      </c>
      <c r="AO26" t="s">
        <v>154</v>
      </c>
      <c r="AP26">
        <v>109.354</v>
      </c>
      <c r="AQ26">
        <v>1.080821157758461</v>
      </c>
      <c r="AR26">
        <v>118.1921168855188</v>
      </c>
      <c r="AS26">
        <v>779.31</v>
      </c>
      <c r="AT26">
        <v>0.879</v>
      </c>
      <c r="AU26">
        <v>80.963194478237142</v>
      </c>
      <c r="AV26">
        <v>0.9899</v>
      </c>
      <c r="AW26">
        <v>80.144999999999996</v>
      </c>
      <c r="AX26">
        <v>8.9176000000000002</v>
      </c>
      <c r="AY26">
        <v>0.80400000000000005</v>
      </c>
      <c r="AZ26">
        <v>6039.0430235999738</v>
      </c>
      <c r="BA26">
        <v>0.99199531433033972</v>
      </c>
      <c r="BB26">
        <v>5990.7024000000001</v>
      </c>
      <c r="BC26">
        <v>572.12580225789941</v>
      </c>
    </row>
    <row r="27" spans="1:55" x14ac:dyDescent="0.25">
      <c r="A27">
        <v>269793</v>
      </c>
      <c r="B27" t="s">
        <v>102</v>
      </c>
      <c r="C27">
        <v>2020</v>
      </c>
      <c r="D27">
        <v>11</v>
      </c>
      <c r="E27" t="s">
        <v>218</v>
      </c>
      <c r="F27" t="s">
        <v>260</v>
      </c>
      <c r="G27" t="s">
        <v>17</v>
      </c>
      <c r="H27" t="s">
        <v>234</v>
      </c>
      <c r="I27" t="s">
        <v>261</v>
      </c>
      <c r="J27">
        <v>-4.4042445399999997</v>
      </c>
      <c r="K27" t="s">
        <v>21</v>
      </c>
      <c r="L27" t="s">
        <v>224</v>
      </c>
      <c r="M27">
        <v>5.7753817618500002E-3</v>
      </c>
      <c r="N27">
        <v>2.5436193612213519E-2</v>
      </c>
      <c r="O27">
        <v>66303.072</v>
      </c>
      <c r="P27">
        <v>1.2927647999999999E-5</v>
      </c>
      <c r="Q27">
        <v>0.85714299999999999</v>
      </c>
      <c r="R27">
        <v>2.1802455301353531E-2</v>
      </c>
      <c r="S27" t="s">
        <v>225</v>
      </c>
      <c r="T27" t="s">
        <v>226</v>
      </c>
      <c r="U27" t="s">
        <v>227</v>
      </c>
      <c r="V27" t="s">
        <v>153</v>
      </c>
      <c r="W27">
        <v>109.354</v>
      </c>
      <c r="X27">
        <v>1.0727760310708341</v>
      </c>
      <c r="Y27">
        <v>117.31235010172</v>
      </c>
      <c r="Z27">
        <v>694.38</v>
      </c>
      <c r="AA27">
        <v>0.875</v>
      </c>
      <c r="AB27">
        <v>71.276930955678296</v>
      </c>
      <c r="AC27">
        <v>1.0034000000000001</v>
      </c>
      <c r="AD27">
        <v>71.519000000000005</v>
      </c>
      <c r="AE27">
        <v>8.9176000000000002</v>
      </c>
      <c r="AF27">
        <v>9.5665875346772715</v>
      </c>
      <c r="AG27">
        <v>0.91300000000000003</v>
      </c>
      <c r="AH27">
        <v>6064.9193587765631</v>
      </c>
      <c r="AI27">
        <v>1</v>
      </c>
      <c r="AJ27">
        <v>6064.9193999999998</v>
      </c>
      <c r="AK27">
        <v>132.23013412481191</v>
      </c>
      <c r="AL27" t="s">
        <v>269</v>
      </c>
      <c r="AM27" t="s">
        <v>270</v>
      </c>
      <c r="AN27" t="s">
        <v>227</v>
      </c>
      <c r="AO27" t="s">
        <v>153</v>
      </c>
      <c r="AP27">
        <v>109.354</v>
      </c>
      <c r="AQ27">
        <v>1.080821157758461</v>
      </c>
      <c r="AR27">
        <v>118.1921168855188</v>
      </c>
      <c r="AS27">
        <v>779.31</v>
      </c>
      <c r="AT27">
        <v>0.879</v>
      </c>
      <c r="AU27">
        <v>80.963194478237142</v>
      </c>
      <c r="AV27">
        <v>1.0078</v>
      </c>
      <c r="AW27">
        <v>81.594999999999999</v>
      </c>
      <c r="AX27">
        <v>8.9176000000000002</v>
      </c>
      <c r="AY27">
        <v>0.80400000000000005</v>
      </c>
      <c r="AZ27">
        <v>6039.0430235999738</v>
      </c>
      <c r="BA27">
        <v>1</v>
      </c>
      <c r="BB27">
        <v>6039.0429999999997</v>
      </c>
      <c r="BC27">
        <v>131.6659650704519</v>
      </c>
    </row>
    <row r="28" spans="1:55" x14ac:dyDescent="0.25">
      <c r="A28">
        <v>269797</v>
      </c>
      <c r="B28" t="s">
        <v>102</v>
      </c>
      <c r="C28">
        <v>2020</v>
      </c>
      <c r="D28">
        <v>11</v>
      </c>
      <c r="E28" t="s">
        <v>218</v>
      </c>
      <c r="F28" t="s">
        <v>260</v>
      </c>
      <c r="G28" t="s">
        <v>17</v>
      </c>
      <c r="H28" t="s">
        <v>234</v>
      </c>
      <c r="I28" t="s">
        <v>261</v>
      </c>
      <c r="J28">
        <v>-4.4042445399999997</v>
      </c>
      <c r="K28" t="s">
        <v>21</v>
      </c>
      <c r="L28" t="s">
        <v>236</v>
      </c>
      <c r="M28">
        <v>1.344693251911E-2</v>
      </c>
      <c r="N28">
        <v>5.9223579176329352E-2</v>
      </c>
      <c r="O28">
        <v>66303.072</v>
      </c>
      <c r="P28">
        <v>1.2927647999999999E-5</v>
      </c>
      <c r="Q28">
        <v>0.85714299999999999</v>
      </c>
      <c r="R28">
        <v>5.076307632593647E-2</v>
      </c>
      <c r="S28" t="s">
        <v>225</v>
      </c>
      <c r="T28" t="s">
        <v>226</v>
      </c>
      <c r="U28" t="s">
        <v>227</v>
      </c>
      <c r="V28" t="s">
        <v>100</v>
      </c>
      <c r="W28">
        <v>109.354</v>
      </c>
      <c r="X28">
        <v>1.0727760310708341</v>
      </c>
      <c r="Y28">
        <v>117.31235010172</v>
      </c>
      <c r="Z28">
        <v>694.38</v>
      </c>
      <c r="AA28">
        <v>0.875</v>
      </c>
      <c r="AB28">
        <v>71.276930955678296</v>
      </c>
      <c r="AC28">
        <v>0.96660000000000001</v>
      </c>
      <c r="AD28">
        <v>68.896000000000001</v>
      </c>
      <c r="AE28">
        <v>8.9176000000000002</v>
      </c>
      <c r="AF28">
        <v>9.5665875346772715</v>
      </c>
      <c r="AG28">
        <v>0.91300000000000003</v>
      </c>
      <c r="AH28">
        <v>6064.9193587765631</v>
      </c>
      <c r="AI28">
        <v>0.98316430020283985</v>
      </c>
      <c r="AJ28">
        <v>5962.8122000000003</v>
      </c>
      <c r="AK28">
        <v>302.69069082582519</v>
      </c>
      <c r="AL28" t="s">
        <v>269</v>
      </c>
      <c r="AM28" t="s">
        <v>270</v>
      </c>
      <c r="AN28" t="s">
        <v>227</v>
      </c>
      <c r="AO28" t="s">
        <v>100</v>
      </c>
      <c r="AP28">
        <v>109.354</v>
      </c>
      <c r="AQ28">
        <v>1.080821157758461</v>
      </c>
      <c r="AR28">
        <v>118.1921168855188</v>
      </c>
      <c r="AS28">
        <v>779.31</v>
      </c>
      <c r="AT28">
        <v>0.879</v>
      </c>
      <c r="AU28">
        <v>80.963194478237142</v>
      </c>
      <c r="AV28">
        <v>0.96560000000000001</v>
      </c>
      <c r="AW28">
        <v>78.177999999999997</v>
      </c>
      <c r="AX28">
        <v>8.9176000000000002</v>
      </c>
      <c r="AY28">
        <v>0.80400000000000005</v>
      </c>
      <c r="AZ28">
        <v>6039.0430235999738</v>
      </c>
      <c r="BA28">
        <v>0.98955375253549693</v>
      </c>
      <c r="BB28">
        <v>5975.9576999999999</v>
      </c>
      <c r="BC28">
        <v>303.35799684566769</v>
      </c>
    </row>
    <row r="29" spans="1:55" x14ac:dyDescent="0.25">
      <c r="A29">
        <v>269799</v>
      </c>
      <c r="B29" t="s">
        <v>102</v>
      </c>
      <c r="C29">
        <v>2020</v>
      </c>
      <c r="D29">
        <v>11</v>
      </c>
      <c r="E29" t="s">
        <v>218</v>
      </c>
      <c r="F29" t="s">
        <v>260</v>
      </c>
      <c r="G29" t="s">
        <v>17</v>
      </c>
      <c r="H29" t="s">
        <v>234</v>
      </c>
      <c r="I29" t="s">
        <v>261</v>
      </c>
      <c r="J29">
        <v>-4.4042445399999997</v>
      </c>
      <c r="K29" t="s">
        <v>21</v>
      </c>
      <c r="L29" t="s">
        <v>237</v>
      </c>
      <c r="M29">
        <v>0.26896781836192002</v>
      </c>
      <c r="N29">
        <v>1.1846000464421189</v>
      </c>
      <c r="O29">
        <v>66303.072</v>
      </c>
      <c r="P29">
        <v>1.2927647999999999E-5</v>
      </c>
      <c r="Q29">
        <v>0.85714299999999999</v>
      </c>
      <c r="R29">
        <v>1.015371637607537</v>
      </c>
      <c r="S29" t="s">
        <v>225</v>
      </c>
      <c r="T29" t="s">
        <v>226</v>
      </c>
      <c r="U29" t="s">
        <v>227</v>
      </c>
      <c r="V29" t="s">
        <v>101</v>
      </c>
      <c r="W29">
        <v>109.354</v>
      </c>
      <c r="X29">
        <v>1.0727760310708341</v>
      </c>
      <c r="Y29">
        <v>117.31235010172</v>
      </c>
      <c r="Z29">
        <v>694.38</v>
      </c>
      <c r="AA29">
        <v>0.875</v>
      </c>
      <c r="AB29">
        <v>71.276930955678296</v>
      </c>
      <c r="AC29">
        <v>1.0077</v>
      </c>
      <c r="AD29">
        <v>71.825999999999993</v>
      </c>
      <c r="AE29">
        <v>8.9176000000000002</v>
      </c>
      <c r="AF29">
        <v>9.5665875346772715</v>
      </c>
      <c r="AG29">
        <v>0.91300000000000003</v>
      </c>
      <c r="AH29">
        <v>6064.9193587765631</v>
      </c>
      <c r="AI29">
        <v>1.0255267423014589</v>
      </c>
      <c r="AJ29">
        <v>6219.7370000000001</v>
      </c>
      <c r="AK29">
        <v>6315.3445431781893</v>
      </c>
      <c r="AL29" t="s">
        <v>269</v>
      </c>
      <c r="AM29" t="s">
        <v>270</v>
      </c>
      <c r="AN29" t="s">
        <v>227</v>
      </c>
      <c r="AO29" t="s">
        <v>101</v>
      </c>
      <c r="AP29">
        <v>109.354</v>
      </c>
      <c r="AQ29">
        <v>1.080821157758461</v>
      </c>
      <c r="AR29">
        <v>118.1921168855188</v>
      </c>
      <c r="AS29">
        <v>779.31</v>
      </c>
      <c r="AT29">
        <v>0.879</v>
      </c>
      <c r="AU29">
        <v>80.963194478237142</v>
      </c>
      <c r="AV29">
        <v>1.0097</v>
      </c>
      <c r="AW29">
        <v>81.748999999999995</v>
      </c>
      <c r="AX29">
        <v>8.9176000000000002</v>
      </c>
      <c r="AY29">
        <v>0.80400000000000005</v>
      </c>
      <c r="AZ29">
        <v>6039.0430235999738</v>
      </c>
      <c r="BA29">
        <v>1.0276539708265799</v>
      </c>
      <c r="BB29">
        <v>6206.0465000000004</v>
      </c>
      <c r="BC29">
        <v>6301.4435977735238</v>
      </c>
    </row>
    <row r="30" spans="1:55" x14ac:dyDescent="0.25">
      <c r="A30">
        <v>269795</v>
      </c>
      <c r="B30" t="s">
        <v>102</v>
      </c>
      <c r="C30">
        <v>2020</v>
      </c>
      <c r="D30">
        <v>11</v>
      </c>
      <c r="E30" t="s">
        <v>218</v>
      </c>
      <c r="F30" t="s">
        <v>260</v>
      </c>
      <c r="G30" t="s">
        <v>17</v>
      </c>
      <c r="H30" t="s">
        <v>234</v>
      </c>
      <c r="I30" t="s">
        <v>261</v>
      </c>
      <c r="J30">
        <v>-4.4042445399999997</v>
      </c>
      <c r="K30" t="s">
        <v>21</v>
      </c>
      <c r="L30" t="s">
        <v>235</v>
      </c>
      <c r="M30">
        <v>0.40158130132905001</v>
      </c>
      <c r="N30">
        <v>1.768662255216588</v>
      </c>
      <c r="O30">
        <v>66303.072</v>
      </c>
      <c r="P30">
        <v>1.2927647999999999E-5</v>
      </c>
      <c r="Q30">
        <v>0.85714299999999999</v>
      </c>
      <c r="R30">
        <v>1.515996471423112</v>
      </c>
      <c r="S30" t="s">
        <v>225</v>
      </c>
      <c r="T30" t="s">
        <v>226</v>
      </c>
      <c r="U30" t="s">
        <v>227</v>
      </c>
      <c r="V30" t="s">
        <v>154</v>
      </c>
      <c r="W30">
        <v>109.354</v>
      </c>
      <c r="X30">
        <v>1.0727760310708341</v>
      </c>
      <c r="Y30">
        <v>117.31235010172</v>
      </c>
      <c r="Z30">
        <v>694.38</v>
      </c>
      <c r="AA30">
        <v>0.875</v>
      </c>
      <c r="AB30">
        <v>71.276930955678296</v>
      </c>
      <c r="AC30">
        <v>1.0179</v>
      </c>
      <c r="AD30">
        <v>72.552999999999997</v>
      </c>
      <c r="AE30">
        <v>8.9176000000000002</v>
      </c>
      <c r="AF30">
        <v>9.5665875346772715</v>
      </c>
      <c r="AG30">
        <v>0.91300000000000003</v>
      </c>
      <c r="AH30">
        <v>6064.9193587765631</v>
      </c>
      <c r="AI30">
        <v>0.98975009761811794</v>
      </c>
      <c r="AJ30">
        <v>6002.7545</v>
      </c>
      <c r="AK30">
        <v>9100.1546408192062</v>
      </c>
      <c r="AL30" t="s">
        <v>269</v>
      </c>
      <c r="AM30" t="s">
        <v>270</v>
      </c>
      <c r="AN30" t="s">
        <v>227</v>
      </c>
      <c r="AO30" t="s">
        <v>154</v>
      </c>
      <c r="AP30">
        <v>109.354</v>
      </c>
      <c r="AQ30">
        <v>1.080821157758461</v>
      </c>
      <c r="AR30">
        <v>118.1921168855188</v>
      </c>
      <c r="AS30">
        <v>779.31</v>
      </c>
      <c r="AT30">
        <v>0.879</v>
      </c>
      <c r="AU30">
        <v>80.963194478237142</v>
      </c>
      <c r="AV30">
        <v>0.9899</v>
      </c>
      <c r="AW30">
        <v>80.144999999999996</v>
      </c>
      <c r="AX30">
        <v>8.9176000000000002</v>
      </c>
      <c r="AY30">
        <v>0.80400000000000005</v>
      </c>
      <c r="AZ30">
        <v>6039.0430235999738</v>
      </c>
      <c r="BA30">
        <v>0.99199531433033972</v>
      </c>
      <c r="BB30">
        <v>5990.7024000000001</v>
      </c>
      <c r="BC30">
        <v>9081.8836997459694</v>
      </c>
    </row>
    <row r="31" spans="1:55" x14ac:dyDescent="0.25">
      <c r="A31">
        <v>269831</v>
      </c>
      <c r="B31" t="s">
        <v>102</v>
      </c>
      <c r="C31">
        <v>2020</v>
      </c>
      <c r="D31">
        <v>11</v>
      </c>
      <c r="E31" t="s">
        <v>218</v>
      </c>
      <c r="F31" t="s">
        <v>260</v>
      </c>
      <c r="G31" t="s">
        <v>17</v>
      </c>
      <c r="H31" t="s">
        <v>250</v>
      </c>
      <c r="I31" t="s">
        <v>261</v>
      </c>
      <c r="J31">
        <v>-2.4268175300000001</v>
      </c>
      <c r="K31" t="s">
        <v>21</v>
      </c>
      <c r="L31" t="s">
        <v>231</v>
      </c>
      <c r="M31">
        <v>4.997788799735E-2</v>
      </c>
      <c r="N31">
        <v>0.12128721464849281</v>
      </c>
      <c r="O31">
        <v>66303.072</v>
      </c>
      <c r="P31">
        <v>1.2927647999999999E-5</v>
      </c>
      <c r="Q31">
        <v>0.85714299999999999</v>
      </c>
      <c r="R31">
        <v>0.10396048702545301</v>
      </c>
      <c r="S31" t="s">
        <v>225</v>
      </c>
      <c r="T31" t="s">
        <v>226</v>
      </c>
      <c r="U31" t="s">
        <v>227</v>
      </c>
      <c r="V31" t="s">
        <v>100</v>
      </c>
      <c r="W31">
        <v>109.354</v>
      </c>
      <c r="X31">
        <v>1.0727760310708341</v>
      </c>
      <c r="Y31">
        <v>117.31235010172</v>
      </c>
      <c r="Z31">
        <v>694.38</v>
      </c>
      <c r="AA31">
        <v>0.875</v>
      </c>
      <c r="AB31">
        <v>71.276930955678296</v>
      </c>
      <c r="AC31">
        <v>0.96660000000000001</v>
      </c>
      <c r="AD31">
        <v>68.896000000000001</v>
      </c>
      <c r="AE31">
        <v>8.9176000000000002</v>
      </c>
      <c r="AF31">
        <v>9.5665875346772715</v>
      </c>
      <c r="AG31">
        <v>0.91300000000000003</v>
      </c>
      <c r="AH31">
        <v>6064.9193587765631</v>
      </c>
      <c r="AI31">
        <v>0.98316430020283985</v>
      </c>
      <c r="AJ31">
        <v>5962.8122000000003</v>
      </c>
      <c r="AK31">
        <v>619.89686035331306</v>
      </c>
      <c r="AL31" t="s">
        <v>269</v>
      </c>
      <c r="AM31" t="s">
        <v>270</v>
      </c>
      <c r="AN31" t="s">
        <v>227</v>
      </c>
      <c r="AO31" t="s">
        <v>100</v>
      </c>
      <c r="AP31">
        <v>109.354</v>
      </c>
      <c r="AQ31">
        <v>1.080821157758461</v>
      </c>
      <c r="AR31">
        <v>118.1921168855188</v>
      </c>
      <c r="AS31">
        <v>779.31</v>
      </c>
      <c r="AT31">
        <v>0.879</v>
      </c>
      <c r="AU31">
        <v>80.963194478237142</v>
      </c>
      <c r="AV31">
        <v>0.96560000000000001</v>
      </c>
      <c r="AW31">
        <v>78.177999999999997</v>
      </c>
      <c r="AX31">
        <v>8.9176000000000002</v>
      </c>
      <c r="AY31">
        <v>0.80400000000000005</v>
      </c>
      <c r="AZ31">
        <v>6039.0430235999738</v>
      </c>
      <c r="BA31">
        <v>0.98955375253549693</v>
      </c>
      <c r="BB31">
        <v>5975.9576999999999</v>
      </c>
      <c r="BC31">
        <v>621.26347293550612</v>
      </c>
    </row>
    <row r="32" spans="1:55" x14ac:dyDescent="0.25">
      <c r="A32">
        <v>269833</v>
      </c>
      <c r="B32" t="s">
        <v>102</v>
      </c>
      <c r="C32">
        <v>2020</v>
      </c>
      <c r="D32">
        <v>11</v>
      </c>
      <c r="E32" t="s">
        <v>218</v>
      </c>
      <c r="F32" t="s">
        <v>260</v>
      </c>
      <c r="G32" t="s">
        <v>17</v>
      </c>
      <c r="H32" t="s">
        <v>250</v>
      </c>
      <c r="I32" t="s">
        <v>261</v>
      </c>
      <c r="J32">
        <v>-2.4268175300000001</v>
      </c>
      <c r="K32" t="s">
        <v>21</v>
      </c>
      <c r="L32" t="s">
        <v>232</v>
      </c>
      <c r="M32">
        <v>0.97626211201923996</v>
      </c>
      <c r="N32">
        <v>2.3692100062320929</v>
      </c>
      <c r="O32">
        <v>66303.072</v>
      </c>
      <c r="P32">
        <v>1.2927647999999999E-5</v>
      </c>
      <c r="Q32">
        <v>0.85714299999999999</v>
      </c>
      <c r="R32">
        <v>2.0307517723717949</v>
      </c>
      <c r="S32" t="s">
        <v>225</v>
      </c>
      <c r="T32" t="s">
        <v>226</v>
      </c>
      <c r="U32" t="s">
        <v>227</v>
      </c>
      <c r="V32" t="s">
        <v>101</v>
      </c>
      <c r="W32">
        <v>109.354</v>
      </c>
      <c r="X32">
        <v>1.0727760310708341</v>
      </c>
      <c r="Y32">
        <v>117.31235010172</v>
      </c>
      <c r="Z32">
        <v>694.38</v>
      </c>
      <c r="AA32">
        <v>0.875</v>
      </c>
      <c r="AB32">
        <v>71.276930955678296</v>
      </c>
      <c r="AC32">
        <v>1.0077</v>
      </c>
      <c r="AD32">
        <v>71.825999999999993</v>
      </c>
      <c r="AE32">
        <v>8.9176000000000002</v>
      </c>
      <c r="AF32">
        <v>9.5665875346772715</v>
      </c>
      <c r="AG32">
        <v>0.91300000000000003</v>
      </c>
      <c r="AH32">
        <v>6064.9193587765631</v>
      </c>
      <c r="AI32">
        <v>1.0255267423014589</v>
      </c>
      <c r="AJ32">
        <v>6219.7370000000001</v>
      </c>
      <c r="AK32">
        <v>12630.74193643643</v>
      </c>
      <c r="AL32" t="s">
        <v>269</v>
      </c>
      <c r="AM32" t="s">
        <v>270</v>
      </c>
      <c r="AN32" t="s">
        <v>227</v>
      </c>
      <c r="AO32" t="s">
        <v>101</v>
      </c>
      <c r="AP32">
        <v>109.354</v>
      </c>
      <c r="AQ32">
        <v>1.080821157758461</v>
      </c>
      <c r="AR32">
        <v>118.1921168855188</v>
      </c>
      <c r="AS32">
        <v>779.31</v>
      </c>
      <c r="AT32">
        <v>0.879</v>
      </c>
      <c r="AU32">
        <v>80.963194478237142</v>
      </c>
      <c r="AV32">
        <v>1.0097</v>
      </c>
      <c r="AW32">
        <v>81.748999999999995</v>
      </c>
      <c r="AX32">
        <v>8.9176000000000002</v>
      </c>
      <c r="AY32">
        <v>0.80400000000000005</v>
      </c>
      <c r="AZ32">
        <v>6039.0430235999738</v>
      </c>
      <c r="BA32">
        <v>1.0276539708265799</v>
      </c>
      <c r="BB32">
        <v>6206.0465000000004</v>
      </c>
      <c r="BC32">
        <v>12602.939929296779</v>
      </c>
    </row>
    <row r="33" spans="1:55" x14ac:dyDescent="0.25">
      <c r="A33">
        <v>269827</v>
      </c>
      <c r="B33" t="s">
        <v>102</v>
      </c>
      <c r="C33">
        <v>2020</v>
      </c>
      <c r="D33">
        <v>11</v>
      </c>
      <c r="E33" t="s">
        <v>218</v>
      </c>
      <c r="F33" t="s">
        <v>260</v>
      </c>
      <c r="G33" t="s">
        <v>17</v>
      </c>
      <c r="H33" t="s">
        <v>247</v>
      </c>
      <c r="I33" t="s">
        <v>261</v>
      </c>
      <c r="J33">
        <v>-2.3936479400000001</v>
      </c>
      <c r="K33" t="s">
        <v>21</v>
      </c>
      <c r="L33" t="s">
        <v>236</v>
      </c>
      <c r="M33">
        <v>3.25790860905E-3</v>
      </c>
      <c r="N33">
        <v>7.7982862350826857E-3</v>
      </c>
      <c r="O33">
        <v>66303.072</v>
      </c>
      <c r="P33">
        <v>1.2927647999999999E-5</v>
      </c>
      <c r="Q33">
        <v>0.85714299999999999</v>
      </c>
      <c r="R33">
        <v>6.6842464583974784E-3</v>
      </c>
      <c r="S33" t="s">
        <v>225</v>
      </c>
      <c r="T33" t="s">
        <v>226</v>
      </c>
      <c r="U33" t="s">
        <v>227</v>
      </c>
      <c r="V33" t="s">
        <v>100</v>
      </c>
      <c r="W33">
        <v>109.354</v>
      </c>
      <c r="X33">
        <v>1.0727760310708341</v>
      </c>
      <c r="Y33">
        <v>117.31235010172</v>
      </c>
      <c r="Z33">
        <v>694.38</v>
      </c>
      <c r="AA33">
        <v>0.875</v>
      </c>
      <c r="AB33">
        <v>71.276930955678296</v>
      </c>
      <c r="AC33">
        <v>0.96660000000000001</v>
      </c>
      <c r="AD33">
        <v>68.896000000000001</v>
      </c>
      <c r="AE33">
        <v>8.9176000000000002</v>
      </c>
      <c r="AF33">
        <v>9.5665875346772715</v>
      </c>
      <c r="AG33">
        <v>0.91300000000000003</v>
      </c>
      <c r="AH33">
        <v>6064.9193587765631</v>
      </c>
      <c r="AI33">
        <v>0.98316430020283985</v>
      </c>
      <c r="AJ33">
        <v>5962.8122000000003</v>
      </c>
      <c r="AK33">
        <v>39.856906329939278</v>
      </c>
      <c r="AL33" t="s">
        <v>269</v>
      </c>
      <c r="AM33" t="s">
        <v>270</v>
      </c>
      <c r="AN33" t="s">
        <v>227</v>
      </c>
      <c r="AO33" t="s">
        <v>100</v>
      </c>
      <c r="AP33">
        <v>109.354</v>
      </c>
      <c r="AQ33">
        <v>1.080821157758461</v>
      </c>
      <c r="AR33">
        <v>118.1921168855188</v>
      </c>
      <c r="AS33">
        <v>779.31</v>
      </c>
      <c r="AT33">
        <v>0.879</v>
      </c>
      <c r="AU33">
        <v>80.963194478237142</v>
      </c>
      <c r="AV33">
        <v>0.96560000000000001</v>
      </c>
      <c r="AW33">
        <v>78.177999999999997</v>
      </c>
      <c r="AX33">
        <v>8.9176000000000002</v>
      </c>
      <c r="AY33">
        <v>0.80400000000000005</v>
      </c>
      <c r="AZ33">
        <v>6039.0430235999738</v>
      </c>
      <c r="BA33">
        <v>0.98955375253549693</v>
      </c>
      <c r="BB33">
        <v>5975.9576999999999</v>
      </c>
      <c r="BC33">
        <v>39.944774091758141</v>
      </c>
    </row>
    <row r="34" spans="1:55" x14ac:dyDescent="0.25">
      <c r="A34">
        <v>269823</v>
      </c>
      <c r="B34" t="s">
        <v>102</v>
      </c>
      <c r="C34">
        <v>2020</v>
      </c>
      <c r="D34">
        <v>11</v>
      </c>
      <c r="E34" t="s">
        <v>218</v>
      </c>
      <c r="F34" t="s">
        <v>260</v>
      </c>
      <c r="G34" t="s">
        <v>17</v>
      </c>
      <c r="H34" t="s">
        <v>247</v>
      </c>
      <c r="I34" t="s">
        <v>261</v>
      </c>
      <c r="J34">
        <v>-2.3936479400000001</v>
      </c>
      <c r="K34" t="s">
        <v>21</v>
      </c>
      <c r="L34" t="s">
        <v>224</v>
      </c>
      <c r="M34">
        <v>3.3335599647500002E-3</v>
      </c>
      <c r="N34">
        <v>7.9793689469125559E-3</v>
      </c>
      <c r="O34">
        <v>66303.072</v>
      </c>
      <c r="P34">
        <v>1.2927647999999999E-5</v>
      </c>
      <c r="Q34">
        <v>0.85714299999999999</v>
      </c>
      <c r="R34">
        <v>6.8394602372634688E-3</v>
      </c>
      <c r="S34" t="s">
        <v>225</v>
      </c>
      <c r="T34" t="s">
        <v>226</v>
      </c>
      <c r="U34" t="s">
        <v>227</v>
      </c>
      <c r="V34" t="s">
        <v>153</v>
      </c>
      <c r="W34">
        <v>109.354</v>
      </c>
      <c r="X34">
        <v>1.0727760310708341</v>
      </c>
      <c r="Y34">
        <v>117.31235010172</v>
      </c>
      <c r="Z34">
        <v>694.38</v>
      </c>
      <c r="AA34">
        <v>0.875</v>
      </c>
      <c r="AB34">
        <v>71.276930955678296</v>
      </c>
      <c r="AC34">
        <v>1.0034000000000001</v>
      </c>
      <c r="AD34">
        <v>71.519000000000005</v>
      </c>
      <c r="AE34">
        <v>8.9176000000000002</v>
      </c>
      <c r="AF34">
        <v>9.5665875346772715</v>
      </c>
      <c r="AG34">
        <v>0.91300000000000003</v>
      </c>
      <c r="AH34">
        <v>6064.9193587765631</v>
      </c>
      <c r="AI34">
        <v>1</v>
      </c>
      <c r="AJ34">
        <v>6064.9193999999998</v>
      </c>
      <c r="AK34">
        <v>41.480775078507811</v>
      </c>
      <c r="AL34" t="s">
        <v>269</v>
      </c>
      <c r="AM34" t="s">
        <v>270</v>
      </c>
      <c r="AN34" t="s">
        <v>227</v>
      </c>
      <c r="AO34" t="s">
        <v>153</v>
      </c>
      <c r="AP34">
        <v>109.354</v>
      </c>
      <c r="AQ34">
        <v>1.080821157758461</v>
      </c>
      <c r="AR34">
        <v>118.1921168855188</v>
      </c>
      <c r="AS34">
        <v>779.31</v>
      </c>
      <c r="AT34">
        <v>0.879</v>
      </c>
      <c r="AU34">
        <v>80.963194478237142</v>
      </c>
      <c r="AV34">
        <v>1.0078</v>
      </c>
      <c r="AW34">
        <v>81.594999999999999</v>
      </c>
      <c r="AX34">
        <v>8.9176000000000002</v>
      </c>
      <c r="AY34">
        <v>0.80400000000000005</v>
      </c>
      <c r="AZ34">
        <v>6039.0430235999738</v>
      </c>
      <c r="BA34">
        <v>1</v>
      </c>
      <c r="BB34">
        <v>6039.0429999999997</v>
      </c>
      <c r="BC34">
        <v>41.303794469624293</v>
      </c>
    </row>
    <row r="35" spans="1:55" x14ac:dyDescent="0.25">
      <c r="A35">
        <v>269829</v>
      </c>
      <c r="B35" t="s">
        <v>102</v>
      </c>
      <c r="C35">
        <v>2020</v>
      </c>
      <c r="D35">
        <v>11</v>
      </c>
      <c r="E35" t="s">
        <v>218</v>
      </c>
      <c r="F35" t="s">
        <v>260</v>
      </c>
      <c r="G35" t="s">
        <v>17</v>
      </c>
      <c r="H35" t="s">
        <v>247</v>
      </c>
      <c r="I35" t="s">
        <v>261</v>
      </c>
      <c r="J35">
        <v>-2.3936479400000001</v>
      </c>
      <c r="K35" t="s">
        <v>21</v>
      </c>
      <c r="L35" t="s">
        <v>237</v>
      </c>
      <c r="M35">
        <v>1.512012895177E-2</v>
      </c>
      <c r="N35">
        <v>3.6192265537996732E-2</v>
      </c>
      <c r="O35">
        <v>66303.072</v>
      </c>
      <c r="P35">
        <v>1.2927647999999999E-5</v>
      </c>
      <c r="Q35">
        <v>0.85714299999999999</v>
      </c>
      <c r="R35">
        <v>3.1021947060035131E-2</v>
      </c>
      <c r="S35" t="s">
        <v>225</v>
      </c>
      <c r="T35" t="s">
        <v>226</v>
      </c>
      <c r="U35" t="s">
        <v>227</v>
      </c>
      <c r="V35" t="s">
        <v>101</v>
      </c>
      <c r="W35">
        <v>109.354</v>
      </c>
      <c r="X35">
        <v>1.0727760310708341</v>
      </c>
      <c r="Y35">
        <v>117.31235010172</v>
      </c>
      <c r="Z35">
        <v>694.38</v>
      </c>
      <c r="AA35">
        <v>0.875</v>
      </c>
      <c r="AB35">
        <v>71.276930955678296</v>
      </c>
      <c r="AC35">
        <v>1.0077</v>
      </c>
      <c r="AD35">
        <v>71.825999999999993</v>
      </c>
      <c r="AE35">
        <v>8.9176000000000002</v>
      </c>
      <c r="AF35">
        <v>9.5665875346772715</v>
      </c>
      <c r="AG35">
        <v>0.91300000000000003</v>
      </c>
      <c r="AH35">
        <v>6064.9193587765631</v>
      </c>
      <c r="AI35">
        <v>1.0255267423014589</v>
      </c>
      <c r="AJ35">
        <v>6219.7370000000001</v>
      </c>
      <c r="AK35">
        <v>192.94835194134171</v>
      </c>
      <c r="AL35" t="s">
        <v>269</v>
      </c>
      <c r="AM35" t="s">
        <v>270</v>
      </c>
      <c r="AN35" t="s">
        <v>227</v>
      </c>
      <c r="AO35" t="s">
        <v>101</v>
      </c>
      <c r="AP35">
        <v>109.354</v>
      </c>
      <c r="AQ35">
        <v>1.080821157758461</v>
      </c>
      <c r="AR35">
        <v>118.1921168855188</v>
      </c>
      <c r="AS35">
        <v>779.31</v>
      </c>
      <c r="AT35">
        <v>0.879</v>
      </c>
      <c r="AU35">
        <v>80.963194478237142</v>
      </c>
      <c r="AV35">
        <v>1.0097</v>
      </c>
      <c r="AW35">
        <v>81.748999999999995</v>
      </c>
      <c r="AX35">
        <v>8.9176000000000002</v>
      </c>
      <c r="AY35">
        <v>0.80400000000000005</v>
      </c>
      <c r="AZ35">
        <v>6039.0430235999738</v>
      </c>
      <c r="BA35">
        <v>1.0276539708265799</v>
      </c>
      <c r="BB35">
        <v>6206.0465000000004</v>
      </c>
      <c r="BC35">
        <v>192.5236459751163</v>
      </c>
    </row>
    <row r="36" spans="1:55" x14ac:dyDescent="0.25">
      <c r="A36">
        <v>269825</v>
      </c>
      <c r="B36" t="s">
        <v>102</v>
      </c>
      <c r="C36">
        <v>2020</v>
      </c>
      <c r="D36">
        <v>11</v>
      </c>
      <c r="E36" t="s">
        <v>218</v>
      </c>
      <c r="F36" t="s">
        <v>260</v>
      </c>
      <c r="G36" t="s">
        <v>17</v>
      </c>
      <c r="H36" t="s">
        <v>247</v>
      </c>
      <c r="I36" t="s">
        <v>261</v>
      </c>
      <c r="J36">
        <v>-2.3936479400000001</v>
      </c>
      <c r="K36" t="s">
        <v>21</v>
      </c>
      <c r="L36" t="s">
        <v>235</v>
      </c>
      <c r="M36">
        <v>0.66685075620597001</v>
      </c>
      <c r="N36">
        <v>1.596205939764495</v>
      </c>
      <c r="O36">
        <v>66303.072</v>
      </c>
      <c r="P36">
        <v>1.2927647999999999E-5</v>
      </c>
      <c r="Q36">
        <v>0.85714299999999999</v>
      </c>
      <c r="R36">
        <v>1.368176747827559</v>
      </c>
      <c r="S36" t="s">
        <v>225</v>
      </c>
      <c r="T36" t="s">
        <v>226</v>
      </c>
      <c r="U36" t="s">
        <v>227</v>
      </c>
      <c r="V36" t="s">
        <v>154</v>
      </c>
      <c r="W36">
        <v>109.354</v>
      </c>
      <c r="X36">
        <v>1.0727760310708341</v>
      </c>
      <c r="Y36">
        <v>117.31235010172</v>
      </c>
      <c r="Z36">
        <v>694.38</v>
      </c>
      <c r="AA36">
        <v>0.875</v>
      </c>
      <c r="AB36">
        <v>71.276930955678296</v>
      </c>
      <c r="AC36">
        <v>1.0179</v>
      </c>
      <c r="AD36">
        <v>72.552999999999997</v>
      </c>
      <c r="AE36">
        <v>8.9176000000000002</v>
      </c>
      <c r="AF36">
        <v>9.5665875346772715</v>
      </c>
      <c r="AG36">
        <v>0.91300000000000003</v>
      </c>
      <c r="AH36">
        <v>6064.9193587765631</v>
      </c>
      <c r="AI36">
        <v>0.98975009761811794</v>
      </c>
      <c r="AJ36">
        <v>6002.7545</v>
      </c>
      <c r="AK36">
        <v>8212.8291298172444</v>
      </c>
      <c r="AL36" t="s">
        <v>269</v>
      </c>
      <c r="AM36" t="s">
        <v>270</v>
      </c>
      <c r="AN36" t="s">
        <v>227</v>
      </c>
      <c r="AO36" t="s">
        <v>154</v>
      </c>
      <c r="AP36">
        <v>109.354</v>
      </c>
      <c r="AQ36">
        <v>1.080821157758461</v>
      </c>
      <c r="AR36">
        <v>118.1921168855188</v>
      </c>
      <c r="AS36">
        <v>779.31</v>
      </c>
      <c r="AT36">
        <v>0.879</v>
      </c>
      <c r="AU36">
        <v>80.963194478237142</v>
      </c>
      <c r="AV36">
        <v>0.9899</v>
      </c>
      <c r="AW36">
        <v>80.144999999999996</v>
      </c>
      <c r="AX36">
        <v>8.9176000000000002</v>
      </c>
      <c r="AY36">
        <v>0.80400000000000005</v>
      </c>
      <c r="AZ36">
        <v>6039.0430235999738</v>
      </c>
      <c r="BA36">
        <v>0.99199531433033972</v>
      </c>
      <c r="BB36">
        <v>5990.7024000000001</v>
      </c>
      <c r="BC36">
        <v>8196.3397268347508</v>
      </c>
    </row>
    <row r="37" spans="1:55" x14ac:dyDescent="0.25">
      <c r="A37">
        <v>269815</v>
      </c>
      <c r="B37" t="s">
        <v>102</v>
      </c>
      <c r="C37">
        <v>2020</v>
      </c>
      <c r="D37">
        <v>11</v>
      </c>
      <c r="E37" t="s">
        <v>218</v>
      </c>
      <c r="F37" t="s">
        <v>260</v>
      </c>
      <c r="G37" t="s">
        <v>17</v>
      </c>
      <c r="H37" t="s">
        <v>244</v>
      </c>
      <c r="I37" t="s">
        <v>261</v>
      </c>
      <c r="J37">
        <v>-0.97865387999999998</v>
      </c>
      <c r="K37" t="s">
        <v>21</v>
      </c>
      <c r="L37" t="s">
        <v>224</v>
      </c>
      <c r="M37">
        <v>7.3056120995999996E-3</v>
      </c>
      <c r="N37">
        <v>7.1496656152040192E-3</v>
      </c>
      <c r="O37">
        <v>66303.072</v>
      </c>
      <c r="P37">
        <v>1.2927647999999999E-5</v>
      </c>
      <c r="Q37">
        <v>0.85714299999999999</v>
      </c>
      <c r="R37">
        <v>6.1282858344128182E-3</v>
      </c>
      <c r="S37" t="s">
        <v>225</v>
      </c>
      <c r="T37" t="s">
        <v>226</v>
      </c>
      <c r="U37" t="s">
        <v>227</v>
      </c>
      <c r="V37" t="s">
        <v>153</v>
      </c>
      <c r="W37">
        <v>109.354</v>
      </c>
      <c r="X37">
        <v>1.0727760310708341</v>
      </c>
      <c r="Y37">
        <v>117.31235010172</v>
      </c>
      <c r="Z37">
        <v>694.38</v>
      </c>
      <c r="AA37">
        <v>0.875</v>
      </c>
      <c r="AB37">
        <v>71.276930955678296</v>
      </c>
      <c r="AC37">
        <v>1.0034000000000001</v>
      </c>
      <c r="AD37">
        <v>71.519000000000005</v>
      </c>
      <c r="AE37">
        <v>8.9176000000000002</v>
      </c>
      <c r="AF37">
        <v>9.5665875346772715</v>
      </c>
      <c r="AG37">
        <v>0.91300000000000003</v>
      </c>
      <c r="AH37">
        <v>6064.9193587765631</v>
      </c>
      <c r="AI37">
        <v>1</v>
      </c>
      <c r="AJ37">
        <v>6064.9193999999998</v>
      </c>
      <c r="AK37">
        <v>37.167559645875492</v>
      </c>
      <c r="AL37" t="s">
        <v>269</v>
      </c>
      <c r="AM37" t="s">
        <v>270</v>
      </c>
      <c r="AN37" t="s">
        <v>227</v>
      </c>
      <c r="AO37" t="s">
        <v>153</v>
      </c>
      <c r="AP37">
        <v>109.354</v>
      </c>
      <c r="AQ37">
        <v>1.080821157758461</v>
      </c>
      <c r="AR37">
        <v>118.1921168855188</v>
      </c>
      <c r="AS37">
        <v>779.31</v>
      </c>
      <c r="AT37">
        <v>0.879</v>
      </c>
      <c r="AU37">
        <v>80.963194478237142</v>
      </c>
      <c r="AV37">
        <v>1.0078</v>
      </c>
      <c r="AW37">
        <v>81.594999999999999</v>
      </c>
      <c r="AX37">
        <v>8.9176000000000002</v>
      </c>
      <c r="AY37">
        <v>0.80400000000000005</v>
      </c>
      <c r="AZ37">
        <v>6039.0430235999738</v>
      </c>
      <c r="BA37">
        <v>1</v>
      </c>
      <c r="BB37">
        <v>6039.0429999999997</v>
      </c>
      <c r="BC37">
        <v>37.008981670309893</v>
      </c>
    </row>
    <row r="38" spans="1:55" x14ac:dyDescent="0.25">
      <c r="A38">
        <v>269819</v>
      </c>
      <c r="B38" t="s">
        <v>102</v>
      </c>
      <c r="C38">
        <v>2020</v>
      </c>
      <c r="D38">
        <v>11</v>
      </c>
      <c r="E38" t="s">
        <v>218</v>
      </c>
      <c r="F38" t="s">
        <v>260</v>
      </c>
      <c r="G38" t="s">
        <v>17</v>
      </c>
      <c r="H38" t="s">
        <v>244</v>
      </c>
      <c r="I38" t="s">
        <v>261</v>
      </c>
      <c r="J38">
        <v>-0.97865387999999998</v>
      </c>
      <c r="K38" t="s">
        <v>21</v>
      </c>
      <c r="L38" t="s">
        <v>236</v>
      </c>
      <c r="M38">
        <v>1.204832970364E-2</v>
      </c>
      <c r="N38">
        <v>1.1791144592452779E-2</v>
      </c>
      <c r="O38">
        <v>66303.072</v>
      </c>
      <c r="P38">
        <v>1.2927647999999999E-5</v>
      </c>
      <c r="Q38">
        <v>0.85714299999999999</v>
      </c>
      <c r="R38">
        <v>1.0106697049408749E-2</v>
      </c>
      <c r="S38" t="s">
        <v>225</v>
      </c>
      <c r="T38" t="s">
        <v>226</v>
      </c>
      <c r="U38" t="s">
        <v>227</v>
      </c>
      <c r="V38" t="s">
        <v>100</v>
      </c>
      <c r="W38">
        <v>109.354</v>
      </c>
      <c r="X38">
        <v>1.0727760310708341</v>
      </c>
      <c r="Y38">
        <v>117.31235010172</v>
      </c>
      <c r="Z38">
        <v>694.38</v>
      </c>
      <c r="AA38">
        <v>0.875</v>
      </c>
      <c r="AB38">
        <v>71.276930955678296</v>
      </c>
      <c r="AC38">
        <v>0.96660000000000001</v>
      </c>
      <c r="AD38">
        <v>68.896000000000001</v>
      </c>
      <c r="AE38">
        <v>8.9176000000000002</v>
      </c>
      <c r="AF38">
        <v>9.5665875346772715</v>
      </c>
      <c r="AG38">
        <v>0.91300000000000003</v>
      </c>
      <c r="AH38">
        <v>6064.9193587765631</v>
      </c>
      <c r="AI38">
        <v>0.98316430020283985</v>
      </c>
      <c r="AJ38">
        <v>5962.8122000000003</v>
      </c>
      <c r="AK38">
        <v>60.264336467918518</v>
      </c>
      <c r="AL38" t="s">
        <v>269</v>
      </c>
      <c r="AM38" t="s">
        <v>270</v>
      </c>
      <c r="AN38" t="s">
        <v>227</v>
      </c>
      <c r="AO38" t="s">
        <v>100</v>
      </c>
      <c r="AP38">
        <v>109.354</v>
      </c>
      <c r="AQ38">
        <v>1.080821157758461</v>
      </c>
      <c r="AR38">
        <v>118.1921168855188</v>
      </c>
      <c r="AS38">
        <v>779.31</v>
      </c>
      <c r="AT38">
        <v>0.879</v>
      </c>
      <c r="AU38">
        <v>80.963194478237142</v>
      </c>
      <c r="AV38">
        <v>0.96560000000000001</v>
      </c>
      <c r="AW38">
        <v>78.177999999999997</v>
      </c>
      <c r="AX38">
        <v>8.9176000000000002</v>
      </c>
      <c r="AY38">
        <v>0.80400000000000005</v>
      </c>
      <c r="AZ38">
        <v>6039.0430235999738</v>
      </c>
      <c r="BA38">
        <v>0.98955375253549693</v>
      </c>
      <c r="BB38">
        <v>5975.9576999999999</v>
      </c>
      <c r="BC38">
        <v>60.397194053981522</v>
      </c>
    </row>
    <row r="39" spans="1:55" x14ac:dyDescent="0.25">
      <c r="A39">
        <v>269821</v>
      </c>
      <c r="B39" t="s">
        <v>102</v>
      </c>
      <c r="C39">
        <v>2020</v>
      </c>
      <c r="D39">
        <v>11</v>
      </c>
      <c r="E39" t="s">
        <v>218</v>
      </c>
      <c r="F39" t="s">
        <v>260</v>
      </c>
      <c r="G39" t="s">
        <v>17</v>
      </c>
      <c r="H39" t="s">
        <v>244</v>
      </c>
      <c r="I39" t="s">
        <v>261</v>
      </c>
      <c r="J39">
        <v>-0.97865387999999998</v>
      </c>
      <c r="K39" t="s">
        <v>21</v>
      </c>
      <c r="L39" t="s">
        <v>237</v>
      </c>
      <c r="M39">
        <v>0.26972628532287002</v>
      </c>
      <c r="N39">
        <v>0.26396867523191109</v>
      </c>
      <c r="O39">
        <v>66303.072</v>
      </c>
      <c r="P39">
        <v>1.2927647999999999E-5</v>
      </c>
      <c r="Q39">
        <v>0.85714299999999999</v>
      </c>
      <c r="R39">
        <v>0.226258902194306</v>
      </c>
      <c r="S39" t="s">
        <v>225</v>
      </c>
      <c r="T39" t="s">
        <v>226</v>
      </c>
      <c r="U39" t="s">
        <v>227</v>
      </c>
      <c r="V39" t="s">
        <v>101</v>
      </c>
      <c r="W39">
        <v>109.354</v>
      </c>
      <c r="X39">
        <v>1.0727760310708341</v>
      </c>
      <c r="Y39">
        <v>117.31235010172</v>
      </c>
      <c r="Z39">
        <v>694.38</v>
      </c>
      <c r="AA39">
        <v>0.875</v>
      </c>
      <c r="AB39">
        <v>71.276930955678296</v>
      </c>
      <c r="AC39">
        <v>1.0077</v>
      </c>
      <c r="AD39">
        <v>71.825999999999993</v>
      </c>
      <c r="AE39">
        <v>8.9176000000000002</v>
      </c>
      <c r="AF39">
        <v>9.5665875346772715</v>
      </c>
      <c r="AG39">
        <v>0.91300000000000003</v>
      </c>
      <c r="AH39">
        <v>6064.9193587765631</v>
      </c>
      <c r="AI39">
        <v>1.0255267423014589</v>
      </c>
      <c r="AJ39">
        <v>6219.7370000000001</v>
      </c>
      <c r="AK39">
        <v>1407.270865557306</v>
      </c>
      <c r="AL39" t="s">
        <v>269</v>
      </c>
      <c r="AM39" t="s">
        <v>270</v>
      </c>
      <c r="AN39" t="s">
        <v>227</v>
      </c>
      <c r="AO39" t="s">
        <v>101</v>
      </c>
      <c r="AP39">
        <v>109.354</v>
      </c>
      <c r="AQ39">
        <v>1.080821157758461</v>
      </c>
      <c r="AR39">
        <v>118.1921168855188</v>
      </c>
      <c r="AS39">
        <v>779.31</v>
      </c>
      <c r="AT39">
        <v>0.879</v>
      </c>
      <c r="AU39">
        <v>80.963194478237142</v>
      </c>
      <c r="AV39">
        <v>1.0097</v>
      </c>
      <c r="AW39">
        <v>81.748999999999995</v>
      </c>
      <c r="AX39">
        <v>8.9176000000000002</v>
      </c>
      <c r="AY39">
        <v>0.80400000000000005</v>
      </c>
      <c r="AZ39">
        <v>6039.0430235999738</v>
      </c>
      <c r="BA39">
        <v>1.0276539708265799</v>
      </c>
      <c r="BB39">
        <v>6206.0465000000004</v>
      </c>
      <c r="BC39">
        <v>1404.173268056815</v>
      </c>
    </row>
    <row r="40" spans="1:55" x14ac:dyDescent="0.25">
      <c r="A40">
        <v>269817</v>
      </c>
      <c r="B40" t="s">
        <v>102</v>
      </c>
      <c r="C40">
        <v>2020</v>
      </c>
      <c r="D40">
        <v>11</v>
      </c>
      <c r="E40" t="s">
        <v>218</v>
      </c>
      <c r="F40" t="s">
        <v>260</v>
      </c>
      <c r="G40" t="s">
        <v>17</v>
      </c>
      <c r="H40" t="s">
        <v>244</v>
      </c>
      <c r="I40" t="s">
        <v>261</v>
      </c>
      <c r="J40">
        <v>-0.97865387999999998</v>
      </c>
      <c r="K40" t="s">
        <v>21</v>
      </c>
      <c r="L40" t="s">
        <v>235</v>
      </c>
      <c r="M40">
        <v>0.40128928011011999</v>
      </c>
      <c r="N40">
        <v>0.39272331033157221</v>
      </c>
      <c r="O40">
        <v>66303.072</v>
      </c>
      <c r="P40">
        <v>1.2927647999999999E-5</v>
      </c>
      <c r="Q40">
        <v>0.85714299999999999</v>
      </c>
      <c r="R40">
        <v>0.33662003638753468</v>
      </c>
      <c r="S40" t="s">
        <v>225</v>
      </c>
      <c r="T40" t="s">
        <v>226</v>
      </c>
      <c r="U40" t="s">
        <v>227</v>
      </c>
      <c r="V40" t="s">
        <v>154</v>
      </c>
      <c r="W40">
        <v>109.354</v>
      </c>
      <c r="X40">
        <v>1.0727760310708341</v>
      </c>
      <c r="Y40">
        <v>117.31235010172</v>
      </c>
      <c r="Z40">
        <v>694.38</v>
      </c>
      <c r="AA40">
        <v>0.875</v>
      </c>
      <c r="AB40">
        <v>71.276930955678296</v>
      </c>
      <c r="AC40">
        <v>1.0179</v>
      </c>
      <c r="AD40">
        <v>72.552999999999997</v>
      </c>
      <c r="AE40">
        <v>8.9176000000000002</v>
      </c>
      <c r="AF40">
        <v>9.5665875346772715</v>
      </c>
      <c r="AG40">
        <v>0.91300000000000003</v>
      </c>
      <c r="AH40">
        <v>6064.9193587765631</v>
      </c>
      <c r="AI40">
        <v>0.98975009761811794</v>
      </c>
      <c r="AJ40">
        <v>6002.7545</v>
      </c>
      <c r="AK40">
        <v>2020.6474382154379</v>
      </c>
      <c r="AL40" t="s">
        <v>269</v>
      </c>
      <c r="AM40" t="s">
        <v>270</v>
      </c>
      <c r="AN40" t="s">
        <v>227</v>
      </c>
      <c r="AO40" t="s">
        <v>154</v>
      </c>
      <c r="AP40">
        <v>109.354</v>
      </c>
      <c r="AQ40">
        <v>1.080821157758461</v>
      </c>
      <c r="AR40">
        <v>118.1921168855188</v>
      </c>
      <c r="AS40">
        <v>779.31</v>
      </c>
      <c r="AT40">
        <v>0.879</v>
      </c>
      <c r="AU40">
        <v>80.963194478237142</v>
      </c>
      <c r="AV40">
        <v>0.9899</v>
      </c>
      <c r="AW40">
        <v>80.144999999999996</v>
      </c>
      <c r="AX40">
        <v>8.9176000000000002</v>
      </c>
      <c r="AY40">
        <v>0.80400000000000005</v>
      </c>
      <c r="AZ40">
        <v>6039.0430235999738</v>
      </c>
      <c r="BA40">
        <v>0.99199531433033972</v>
      </c>
      <c r="BB40">
        <v>5990.7024000000001</v>
      </c>
      <c r="BC40">
        <v>2016.5904598748921</v>
      </c>
    </row>
    <row r="41" spans="1:55" x14ac:dyDescent="0.25">
      <c r="A41">
        <v>269801</v>
      </c>
      <c r="B41" t="s">
        <v>102</v>
      </c>
      <c r="C41">
        <v>2020</v>
      </c>
      <c r="D41">
        <v>11</v>
      </c>
      <c r="E41" t="s">
        <v>218</v>
      </c>
      <c r="F41" t="s">
        <v>260</v>
      </c>
      <c r="G41" t="s">
        <v>17</v>
      </c>
      <c r="H41" t="s">
        <v>239</v>
      </c>
      <c r="I41" t="s">
        <v>261</v>
      </c>
      <c r="J41">
        <v>-0.79788265000000003</v>
      </c>
      <c r="K41" t="s">
        <v>21</v>
      </c>
      <c r="L41" t="s">
        <v>224</v>
      </c>
      <c r="M41">
        <v>7.4408908718700002E-3</v>
      </c>
      <c r="N41">
        <v>5.9369577056957966E-3</v>
      </c>
      <c r="O41">
        <v>66303.072</v>
      </c>
      <c r="P41">
        <v>1.2927647999999999E-5</v>
      </c>
      <c r="Q41">
        <v>0.85714299999999999</v>
      </c>
      <c r="R41">
        <v>5.0888217387332129E-3</v>
      </c>
      <c r="S41" t="s">
        <v>225</v>
      </c>
      <c r="T41" t="s">
        <v>226</v>
      </c>
      <c r="U41" t="s">
        <v>227</v>
      </c>
      <c r="V41" t="s">
        <v>153</v>
      </c>
      <c r="W41">
        <v>109.354</v>
      </c>
      <c r="X41">
        <v>1.0727760310708341</v>
      </c>
      <c r="Y41">
        <v>117.31235010172</v>
      </c>
      <c r="Z41">
        <v>694.38</v>
      </c>
      <c r="AA41">
        <v>0.875</v>
      </c>
      <c r="AB41">
        <v>71.276930955678296</v>
      </c>
      <c r="AC41">
        <v>1.0034000000000001</v>
      </c>
      <c r="AD41">
        <v>71.519000000000005</v>
      </c>
      <c r="AE41">
        <v>8.9176000000000002</v>
      </c>
      <c r="AF41">
        <v>9.5665875346772715</v>
      </c>
      <c r="AG41">
        <v>0.91300000000000003</v>
      </c>
      <c r="AH41">
        <v>6064.9193587765631</v>
      </c>
      <c r="AI41">
        <v>1</v>
      </c>
      <c r="AJ41">
        <v>6064.9193999999998</v>
      </c>
      <c r="AK41">
        <v>30.86329368638479</v>
      </c>
      <c r="AL41" t="s">
        <v>269</v>
      </c>
      <c r="AM41" t="s">
        <v>270</v>
      </c>
      <c r="AN41" t="s">
        <v>227</v>
      </c>
      <c r="AO41" t="s">
        <v>153</v>
      </c>
      <c r="AP41">
        <v>109.354</v>
      </c>
      <c r="AQ41">
        <v>1.080821157758461</v>
      </c>
      <c r="AR41">
        <v>118.1921168855188</v>
      </c>
      <c r="AS41">
        <v>779.31</v>
      </c>
      <c r="AT41">
        <v>0.879</v>
      </c>
      <c r="AU41">
        <v>80.963194478237142</v>
      </c>
      <c r="AV41">
        <v>1.0078</v>
      </c>
      <c r="AW41">
        <v>81.594999999999999</v>
      </c>
      <c r="AX41">
        <v>8.9176000000000002</v>
      </c>
      <c r="AY41">
        <v>0.80400000000000005</v>
      </c>
      <c r="AZ41">
        <v>6039.0430235999738</v>
      </c>
      <c r="BA41">
        <v>1</v>
      </c>
      <c r="BB41">
        <v>6039.0429999999997</v>
      </c>
      <c r="BC41">
        <v>30.731613299544641</v>
      </c>
    </row>
    <row r="42" spans="1:55" x14ac:dyDescent="0.25">
      <c r="A42">
        <v>269805</v>
      </c>
      <c r="B42" t="s">
        <v>102</v>
      </c>
      <c r="C42">
        <v>2020</v>
      </c>
      <c r="D42">
        <v>11</v>
      </c>
      <c r="E42" t="s">
        <v>218</v>
      </c>
      <c r="F42" t="s">
        <v>260</v>
      </c>
      <c r="G42" t="s">
        <v>17</v>
      </c>
      <c r="H42" t="s">
        <v>239</v>
      </c>
      <c r="I42" t="s">
        <v>261</v>
      </c>
      <c r="J42">
        <v>-0.79788265000000003</v>
      </c>
      <c r="K42" t="s">
        <v>21</v>
      </c>
      <c r="L42" t="s">
        <v>236</v>
      </c>
      <c r="M42">
        <v>1.2734836093020001E-2</v>
      </c>
      <c r="N42">
        <v>1.016090473239627E-2</v>
      </c>
      <c r="O42">
        <v>66303.072</v>
      </c>
      <c r="P42">
        <v>1.2927647999999999E-5</v>
      </c>
      <c r="Q42">
        <v>0.85714299999999999</v>
      </c>
      <c r="R42">
        <v>8.7093483650403317E-3</v>
      </c>
      <c r="S42" t="s">
        <v>225</v>
      </c>
      <c r="T42" t="s">
        <v>226</v>
      </c>
      <c r="U42" t="s">
        <v>227</v>
      </c>
      <c r="V42" t="s">
        <v>100</v>
      </c>
      <c r="W42">
        <v>109.354</v>
      </c>
      <c r="X42">
        <v>1.0727760310708341</v>
      </c>
      <c r="Y42">
        <v>117.31235010172</v>
      </c>
      <c r="Z42">
        <v>694.38</v>
      </c>
      <c r="AA42">
        <v>0.875</v>
      </c>
      <c r="AB42">
        <v>71.276930955678296</v>
      </c>
      <c r="AC42">
        <v>0.96660000000000001</v>
      </c>
      <c r="AD42">
        <v>68.896000000000001</v>
      </c>
      <c r="AE42">
        <v>8.9176000000000002</v>
      </c>
      <c r="AF42">
        <v>9.5665875346772715</v>
      </c>
      <c r="AG42">
        <v>0.91300000000000003</v>
      </c>
      <c r="AH42">
        <v>6064.9193587765631</v>
      </c>
      <c r="AI42">
        <v>0.98316430020283985</v>
      </c>
      <c r="AJ42">
        <v>5962.8122000000003</v>
      </c>
      <c r="AK42">
        <v>51.932208685112549</v>
      </c>
      <c r="AL42" t="s">
        <v>269</v>
      </c>
      <c r="AM42" t="s">
        <v>270</v>
      </c>
      <c r="AN42" t="s">
        <v>227</v>
      </c>
      <c r="AO42" t="s">
        <v>100</v>
      </c>
      <c r="AP42">
        <v>109.354</v>
      </c>
      <c r="AQ42">
        <v>1.080821157758461</v>
      </c>
      <c r="AR42">
        <v>118.1921168855188</v>
      </c>
      <c r="AS42">
        <v>779.31</v>
      </c>
      <c r="AT42">
        <v>0.879</v>
      </c>
      <c r="AU42">
        <v>80.963194478237142</v>
      </c>
      <c r="AV42">
        <v>0.96560000000000001</v>
      </c>
      <c r="AW42">
        <v>78.177999999999997</v>
      </c>
      <c r="AX42">
        <v>8.9176000000000002</v>
      </c>
      <c r="AY42">
        <v>0.80400000000000005</v>
      </c>
      <c r="AZ42">
        <v>6039.0430235999738</v>
      </c>
      <c r="BA42">
        <v>0.98955375253549693</v>
      </c>
      <c r="BB42">
        <v>5975.9576999999999</v>
      </c>
      <c r="BC42">
        <v>52.046697424045178</v>
      </c>
    </row>
    <row r="43" spans="1:55" x14ac:dyDescent="0.25">
      <c r="A43">
        <v>269807</v>
      </c>
      <c r="B43" t="s">
        <v>102</v>
      </c>
      <c r="C43">
        <v>2020</v>
      </c>
      <c r="D43">
        <v>11</v>
      </c>
      <c r="E43" t="s">
        <v>218</v>
      </c>
      <c r="F43" t="s">
        <v>260</v>
      </c>
      <c r="G43" t="s">
        <v>17</v>
      </c>
      <c r="H43" t="s">
        <v>239</v>
      </c>
      <c r="I43" t="s">
        <v>261</v>
      </c>
      <c r="J43">
        <v>-0.79788265000000003</v>
      </c>
      <c r="K43" t="s">
        <v>21</v>
      </c>
      <c r="L43" t="s">
        <v>237</v>
      </c>
      <c r="M43">
        <v>0.29281613276294</v>
      </c>
      <c r="N43">
        <v>0.23363291112507431</v>
      </c>
      <c r="O43">
        <v>66303.072</v>
      </c>
      <c r="P43">
        <v>1.2927647999999999E-5</v>
      </c>
      <c r="Q43">
        <v>0.85714299999999999</v>
      </c>
      <c r="R43">
        <v>0.20025681434047951</v>
      </c>
      <c r="S43" t="s">
        <v>225</v>
      </c>
      <c r="T43" t="s">
        <v>226</v>
      </c>
      <c r="U43" t="s">
        <v>227</v>
      </c>
      <c r="V43" t="s">
        <v>101</v>
      </c>
      <c r="W43">
        <v>109.354</v>
      </c>
      <c r="X43">
        <v>1.0727760310708341</v>
      </c>
      <c r="Y43">
        <v>117.31235010172</v>
      </c>
      <c r="Z43">
        <v>694.38</v>
      </c>
      <c r="AA43">
        <v>0.875</v>
      </c>
      <c r="AB43">
        <v>71.276930955678296</v>
      </c>
      <c r="AC43">
        <v>1.0077</v>
      </c>
      <c r="AD43">
        <v>71.825999999999993</v>
      </c>
      <c r="AE43">
        <v>8.9176000000000002</v>
      </c>
      <c r="AF43">
        <v>9.5665875346772715</v>
      </c>
      <c r="AG43">
        <v>0.91300000000000003</v>
      </c>
      <c r="AH43">
        <v>6064.9193587765631</v>
      </c>
      <c r="AI43">
        <v>1.0255267423014589</v>
      </c>
      <c r="AJ43">
        <v>6219.7370000000001</v>
      </c>
      <c r="AK43">
        <v>1245.5447176556111</v>
      </c>
      <c r="AL43" t="s">
        <v>269</v>
      </c>
      <c r="AM43" t="s">
        <v>270</v>
      </c>
      <c r="AN43" t="s">
        <v>227</v>
      </c>
      <c r="AO43" t="s">
        <v>101</v>
      </c>
      <c r="AP43">
        <v>109.354</v>
      </c>
      <c r="AQ43">
        <v>1.080821157758461</v>
      </c>
      <c r="AR43">
        <v>118.1921168855188</v>
      </c>
      <c r="AS43">
        <v>779.31</v>
      </c>
      <c r="AT43">
        <v>0.879</v>
      </c>
      <c r="AU43">
        <v>80.963194478237142</v>
      </c>
      <c r="AV43">
        <v>1.0097</v>
      </c>
      <c r="AW43">
        <v>81.748999999999995</v>
      </c>
      <c r="AX43">
        <v>8.9176000000000002</v>
      </c>
      <c r="AY43">
        <v>0.80400000000000005</v>
      </c>
      <c r="AZ43">
        <v>6039.0430235999738</v>
      </c>
      <c r="BA43">
        <v>1.0276539708265799</v>
      </c>
      <c r="BB43">
        <v>6206.0465000000004</v>
      </c>
      <c r="BC43">
        <v>1242.803101738883</v>
      </c>
    </row>
    <row r="44" spans="1:55" x14ac:dyDescent="0.25">
      <c r="A44">
        <v>269803</v>
      </c>
      <c r="B44" t="s">
        <v>102</v>
      </c>
      <c r="C44">
        <v>2020</v>
      </c>
      <c r="D44">
        <v>11</v>
      </c>
      <c r="E44" t="s">
        <v>218</v>
      </c>
      <c r="F44" t="s">
        <v>260</v>
      </c>
      <c r="G44" t="s">
        <v>17</v>
      </c>
      <c r="H44" t="s">
        <v>239</v>
      </c>
      <c r="I44" t="s">
        <v>261</v>
      </c>
      <c r="J44">
        <v>-0.79788265000000003</v>
      </c>
      <c r="K44" t="s">
        <v>21</v>
      </c>
      <c r="L44" t="s">
        <v>235</v>
      </c>
      <c r="M44">
        <v>0.38838662878487001</v>
      </c>
      <c r="N44">
        <v>0.3098869514765587</v>
      </c>
      <c r="O44">
        <v>66303.072</v>
      </c>
      <c r="P44">
        <v>1.2927647999999999E-5</v>
      </c>
      <c r="Q44">
        <v>0.85714299999999999</v>
      </c>
      <c r="R44">
        <v>0.26561743124947201</v>
      </c>
      <c r="S44" t="s">
        <v>225</v>
      </c>
      <c r="T44" t="s">
        <v>226</v>
      </c>
      <c r="U44" t="s">
        <v>227</v>
      </c>
      <c r="V44" t="s">
        <v>154</v>
      </c>
      <c r="W44">
        <v>109.354</v>
      </c>
      <c r="X44">
        <v>1.0727760310708341</v>
      </c>
      <c r="Y44">
        <v>117.31235010172</v>
      </c>
      <c r="Z44">
        <v>694.38</v>
      </c>
      <c r="AA44">
        <v>0.875</v>
      </c>
      <c r="AB44">
        <v>71.276930955678296</v>
      </c>
      <c r="AC44">
        <v>1.0179</v>
      </c>
      <c r="AD44">
        <v>72.552999999999997</v>
      </c>
      <c r="AE44">
        <v>8.9176000000000002</v>
      </c>
      <c r="AF44">
        <v>9.5665875346772715</v>
      </c>
      <c r="AG44">
        <v>0.91300000000000003</v>
      </c>
      <c r="AH44">
        <v>6064.9193587765631</v>
      </c>
      <c r="AI44">
        <v>0.98975009761811794</v>
      </c>
      <c r="AJ44">
        <v>6002.7545</v>
      </c>
      <c r="AK44">
        <v>1594.436230711209</v>
      </c>
      <c r="AL44" t="s">
        <v>269</v>
      </c>
      <c r="AM44" t="s">
        <v>270</v>
      </c>
      <c r="AN44" t="s">
        <v>227</v>
      </c>
      <c r="AO44" t="s">
        <v>154</v>
      </c>
      <c r="AP44">
        <v>109.354</v>
      </c>
      <c r="AQ44">
        <v>1.080821157758461</v>
      </c>
      <c r="AR44">
        <v>118.1921168855188</v>
      </c>
      <c r="AS44">
        <v>779.31</v>
      </c>
      <c r="AT44">
        <v>0.879</v>
      </c>
      <c r="AU44">
        <v>80.963194478237142</v>
      </c>
      <c r="AV44">
        <v>0.9899</v>
      </c>
      <c r="AW44">
        <v>80.144999999999996</v>
      </c>
      <c r="AX44">
        <v>8.9176000000000002</v>
      </c>
      <c r="AY44">
        <v>0.80400000000000005</v>
      </c>
      <c r="AZ44">
        <v>6039.0430235999738</v>
      </c>
      <c r="BA44">
        <v>0.99199531433033972</v>
      </c>
      <c r="BB44">
        <v>5990.7024000000001</v>
      </c>
      <c r="BC44">
        <v>1591.2349828680469</v>
      </c>
    </row>
    <row r="45" spans="1:55" x14ac:dyDescent="0.25">
      <c r="A45">
        <v>269785</v>
      </c>
      <c r="B45" t="s">
        <v>102</v>
      </c>
      <c r="C45">
        <v>2020</v>
      </c>
      <c r="D45">
        <v>11</v>
      </c>
      <c r="E45" t="s">
        <v>218</v>
      </c>
      <c r="F45" t="s">
        <v>260</v>
      </c>
      <c r="G45" t="s">
        <v>17</v>
      </c>
      <c r="H45" t="s">
        <v>222</v>
      </c>
      <c r="I45" t="s">
        <v>261</v>
      </c>
      <c r="J45">
        <v>-0.53482183999999999</v>
      </c>
      <c r="K45" t="s">
        <v>21</v>
      </c>
      <c r="L45" t="s">
        <v>224</v>
      </c>
      <c r="M45">
        <v>5.5256916615899999E-3</v>
      </c>
      <c r="N45">
        <v>2.9552605704969491E-3</v>
      </c>
      <c r="O45">
        <v>66303.072</v>
      </c>
      <c r="P45">
        <v>1.2927647999999999E-5</v>
      </c>
      <c r="Q45">
        <v>0.85714299999999999</v>
      </c>
      <c r="R45">
        <v>2.533080911177466E-3</v>
      </c>
      <c r="S45" t="s">
        <v>225</v>
      </c>
      <c r="T45" t="s">
        <v>226</v>
      </c>
      <c r="U45" t="s">
        <v>227</v>
      </c>
      <c r="V45" t="s">
        <v>153</v>
      </c>
      <c r="W45">
        <v>109.354</v>
      </c>
      <c r="X45">
        <v>1.0727760310708341</v>
      </c>
      <c r="Y45">
        <v>117.31235010172</v>
      </c>
      <c r="Z45">
        <v>694.38</v>
      </c>
      <c r="AA45">
        <v>0.875</v>
      </c>
      <c r="AB45">
        <v>71.276930955678296</v>
      </c>
      <c r="AC45">
        <v>1.0034000000000001</v>
      </c>
      <c r="AD45">
        <v>71.519000000000005</v>
      </c>
      <c r="AE45">
        <v>8.9176000000000002</v>
      </c>
      <c r="AF45">
        <v>9.5665875346772715</v>
      </c>
      <c r="AG45">
        <v>0.91300000000000003</v>
      </c>
      <c r="AH45">
        <v>6064.9193587765631</v>
      </c>
      <c r="AI45">
        <v>1</v>
      </c>
      <c r="AJ45">
        <v>6064.9193999999998</v>
      </c>
      <c r="AK45">
        <v>15.362931559969891</v>
      </c>
      <c r="AL45" t="s">
        <v>269</v>
      </c>
      <c r="AM45" t="s">
        <v>270</v>
      </c>
      <c r="AN45" t="s">
        <v>227</v>
      </c>
      <c r="AO45" t="s">
        <v>153</v>
      </c>
      <c r="AP45">
        <v>109.354</v>
      </c>
      <c r="AQ45">
        <v>1.080821157758461</v>
      </c>
      <c r="AR45">
        <v>118.1921168855188</v>
      </c>
      <c r="AS45">
        <v>779.31</v>
      </c>
      <c r="AT45">
        <v>0.879</v>
      </c>
      <c r="AU45">
        <v>80.963194478237142</v>
      </c>
      <c r="AV45">
        <v>1.0078</v>
      </c>
      <c r="AW45">
        <v>81.594999999999999</v>
      </c>
      <c r="AX45">
        <v>8.9176000000000002</v>
      </c>
      <c r="AY45">
        <v>0.80400000000000005</v>
      </c>
      <c r="AZ45">
        <v>6039.0430235999738</v>
      </c>
      <c r="BA45">
        <v>1</v>
      </c>
      <c r="BB45">
        <v>6039.0429999999997</v>
      </c>
      <c r="BC45">
        <v>15.2973845450799</v>
      </c>
    </row>
    <row r="46" spans="1:55" x14ac:dyDescent="0.25">
      <c r="A46">
        <v>269789</v>
      </c>
      <c r="B46" t="s">
        <v>102</v>
      </c>
      <c r="C46">
        <v>2020</v>
      </c>
      <c r="D46">
        <v>11</v>
      </c>
      <c r="E46" t="s">
        <v>218</v>
      </c>
      <c r="F46" t="s">
        <v>260</v>
      </c>
      <c r="G46" t="s">
        <v>17</v>
      </c>
      <c r="H46" t="s">
        <v>222</v>
      </c>
      <c r="I46" t="s">
        <v>261</v>
      </c>
      <c r="J46">
        <v>-0.53482183999999999</v>
      </c>
      <c r="K46" t="s">
        <v>21</v>
      </c>
      <c r="L46" t="s">
        <v>231</v>
      </c>
      <c r="M46">
        <v>2.8087183570580002E-2</v>
      </c>
      <c r="N46">
        <v>1.5021639140566961E-2</v>
      </c>
      <c r="O46">
        <v>66303.072</v>
      </c>
      <c r="P46">
        <v>1.2927647999999999E-5</v>
      </c>
      <c r="Q46">
        <v>0.85714299999999999</v>
      </c>
      <c r="R46">
        <v>1.287569283786298E-2</v>
      </c>
      <c r="S46" t="s">
        <v>225</v>
      </c>
      <c r="T46" t="s">
        <v>226</v>
      </c>
      <c r="U46" t="s">
        <v>227</v>
      </c>
      <c r="V46" t="s">
        <v>100</v>
      </c>
      <c r="W46">
        <v>109.354</v>
      </c>
      <c r="X46">
        <v>1.0727760310708341</v>
      </c>
      <c r="Y46">
        <v>117.31235010172</v>
      </c>
      <c r="Z46">
        <v>694.38</v>
      </c>
      <c r="AA46">
        <v>0.875</v>
      </c>
      <c r="AB46">
        <v>71.276930955678296</v>
      </c>
      <c r="AC46">
        <v>0.96660000000000001</v>
      </c>
      <c r="AD46">
        <v>68.896000000000001</v>
      </c>
      <c r="AE46">
        <v>8.9176000000000002</v>
      </c>
      <c r="AF46">
        <v>9.5665875346772715</v>
      </c>
      <c r="AG46">
        <v>0.91300000000000003</v>
      </c>
      <c r="AH46">
        <v>6064.9193587765631</v>
      </c>
      <c r="AI46">
        <v>0.98316430020283985</v>
      </c>
      <c r="AJ46">
        <v>5962.8122000000003</v>
      </c>
      <c r="AK46">
        <v>76.77533833706201</v>
      </c>
      <c r="AL46" t="s">
        <v>269</v>
      </c>
      <c r="AM46" t="s">
        <v>270</v>
      </c>
      <c r="AN46" t="s">
        <v>227</v>
      </c>
      <c r="AO46" t="s">
        <v>100</v>
      </c>
      <c r="AP46">
        <v>109.354</v>
      </c>
      <c r="AQ46">
        <v>1.080821157758461</v>
      </c>
      <c r="AR46">
        <v>118.1921168855188</v>
      </c>
      <c r="AS46">
        <v>779.31</v>
      </c>
      <c r="AT46">
        <v>0.879</v>
      </c>
      <c r="AU46">
        <v>80.963194478237142</v>
      </c>
      <c r="AV46">
        <v>0.96560000000000001</v>
      </c>
      <c r="AW46">
        <v>78.177999999999997</v>
      </c>
      <c r="AX46">
        <v>8.9176000000000002</v>
      </c>
      <c r="AY46">
        <v>0.80400000000000005</v>
      </c>
      <c r="AZ46">
        <v>6039.0430235999738</v>
      </c>
      <c r="BA46">
        <v>0.98955375253549693</v>
      </c>
      <c r="BB46">
        <v>5975.9576999999999</v>
      </c>
      <c r="BC46">
        <v>76.944595757262135</v>
      </c>
    </row>
    <row r="47" spans="1:55" x14ac:dyDescent="0.25">
      <c r="A47">
        <v>269787</v>
      </c>
      <c r="B47" t="s">
        <v>102</v>
      </c>
      <c r="C47">
        <v>2020</v>
      </c>
      <c r="D47">
        <v>11</v>
      </c>
      <c r="E47" t="s">
        <v>218</v>
      </c>
      <c r="F47" t="s">
        <v>260</v>
      </c>
      <c r="G47" t="s">
        <v>17</v>
      </c>
      <c r="H47" t="s">
        <v>222</v>
      </c>
      <c r="I47" t="s">
        <v>261</v>
      </c>
      <c r="J47">
        <v>-0.53482183999999999</v>
      </c>
      <c r="K47" t="s">
        <v>21</v>
      </c>
      <c r="L47" t="s">
        <v>230</v>
      </c>
      <c r="M47">
        <v>0.10131184195162</v>
      </c>
      <c r="N47">
        <v>5.4183785520506053E-2</v>
      </c>
      <c r="O47">
        <v>66303.072</v>
      </c>
      <c r="P47">
        <v>1.2927647999999999E-5</v>
      </c>
      <c r="Q47">
        <v>0.85714299999999999</v>
      </c>
      <c r="R47">
        <v>4.6443252472403121E-2</v>
      </c>
      <c r="S47" t="s">
        <v>225</v>
      </c>
      <c r="T47" t="s">
        <v>226</v>
      </c>
      <c r="U47" t="s">
        <v>227</v>
      </c>
      <c r="V47" t="s">
        <v>154</v>
      </c>
      <c r="W47">
        <v>109.354</v>
      </c>
      <c r="X47">
        <v>1.0727760310708341</v>
      </c>
      <c r="Y47">
        <v>117.31235010172</v>
      </c>
      <c r="Z47">
        <v>694.38</v>
      </c>
      <c r="AA47">
        <v>0.875</v>
      </c>
      <c r="AB47">
        <v>71.276930955678296</v>
      </c>
      <c r="AC47">
        <v>1.0179</v>
      </c>
      <c r="AD47">
        <v>72.552999999999997</v>
      </c>
      <c r="AE47">
        <v>8.9176000000000002</v>
      </c>
      <c r="AF47">
        <v>9.5665875346772715</v>
      </c>
      <c r="AG47">
        <v>0.91300000000000003</v>
      </c>
      <c r="AH47">
        <v>6064.9193587765631</v>
      </c>
      <c r="AI47">
        <v>0.98975009761811794</v>
      </c>
      <c r="AJ47">
        <v>6002.7545</v>
      </c>
      <c r="AK47">
        <v>278.78744277335397</v>
      </c>
      <c r="AL47" t="s">
        <v>269</v>
      </c>
      <c r="AM47" t="s">
        <v>270</v>
      </c>
      <c r="AN47" t="s">
        <v>227</v>
      </c>
      <c r="AO47" t="s">
        <v>154</v>
      </c>
      <c r="AP47">
        <v>109.354</v>
      </c>
      <c r="AQ47">
        <v>1.080821157758461</v>
      </c>
      <c r="AR47">
        <v>118.1921168855188</v>
      </c>
      <c r="AS47">
        <v>779.31</v>
      </c>
      <c r="AT47">
        <v>0.879</v>
      </c>
      <c r="AU47">
        <v>80.963194478237142</v>
      </c>
      <c r="AV47">
        <v>0.9899</v>
      </c>
      <c r="AW47">
        <v>80.144999999999996</v>
      </c>
      <c r="AX47">
        <v>8.9176000000000002</v>
      </c>
      <c r="AY47">
        <v>0.80400000000000005</v>
      </c>
      <c r="AZ47">
        <v>6039.0430235999738</v>
      </c>
      <c r="BA47">
        <v>0.99199531433033972</v>
      </c>
      <c r="BB47">
        <v>5990.7024000000001</v>
      </c>
      <c r="BC47">
        <v>278.2277040502313</v>
      </c>
    </row>
    <row r="48" spans="1:55" x14ac:dyDescent="0.25">
      <c r="A48">
        <v>269791</v>
      </c>
      <c r="B48" t="s">
        <v>102</v>
      </c>
      <c r="C48">
        <v>2020</v>
      </c>
      <c r="D48">
        <v>11</v>
      </c>
      <c r="E48" t="s">
        <v>218</v>
      </c>
      <c r="F48" t="s">
        <v>260</v>
      </c>
      <c r="G48" t="s">
        <v>17</v>
      </c>
      <c r="H48" t="s">
        <v>222</v>
      </c>
      <c r="I48" t="s">
        <v>261</v>
      </c>
      <c r="J48">
        <v>-0.53482183999999999</v>
      </c>
      <c r="K48" t="s">
        <v>21</v>
      </c>
      <c r="L48" t="s">
        <v>232</v>
      </c>
      <c r="M48">
        <v>0.54528233781308</v>
      </c>
      <c r="N48">
        <v>0.29162890212077142</v>
      </c>
      <c r="O48">
        <v>66303.072</v>
      </c>
      <c r="P48">
        <v>1.2927647999999999E-5</v>
      </c>
      <c r="Q48">
        <v>0.85714299999999999</v>
      </c>
      <c r="R48">
        <v>0.24996767205050441</v>
      </c>
      <c r="S48" t="s">
        <v>225</v>
      </c>
      <c r="T48" t="s">
        <v>226</v>
      </c>
      <c r="U48" t="s">
        <v>227</v>
      </c>
      <c r="V48" t="s">
        <v>101</v>
      </c>
      <c r="W48">
        <v>109.354</v>
      </c>
      <c r="X48">
        <v>1.0727760310708341</v>
      </c>
      <c r="Y48">
        <v>117.31235010172</v>
      </c>
      <c r="Z48">
        <v>694.38</v>
      </c>
      <c r="AA48">
        <v>0.875</v>
      </c>
      <c r="AB48">
        <v>71.276930955678296</v>
      </c>
      <c r="AC48">
        <v>1.0077</v>
      </c>
      <c r="AD48">
        <v>71.825999999999993</v>
      </c>
      <c r="AE48">
        <v>8.9176000000000002</v>
      </c>
      <c r="AF48">
        <v>9.5665875346772715</v>
      </c>
      <c r="AG48">
        <v>0.91300000000000003</v>
      </c>
      <c r="AH48">
        <v>6064.9193587765631</v>
      </c>
      <c r="AI48">
        <v>1.0255267423014589</v>
      </c>
      <c r="AJ48">
        <v>6219.7370000000001</v>
      </c>
      <c r="AK48">
        <v>1554.733178656388</v>
      </c>
      <c r="AL48" t="s">
        <v>269</v>
      </c>
      <c r="AM48" t="s">
        <v>270</v>
      </c>
      <c r="AN48" t="s">
        <v>227</v>
      </c>
      <c r="AO48" t="s">
        <v>101</v>
      </c>
      <c r="AP48">
        <v>109.354</v>
      </c>
      <c r="AQ48">
        <v>1.080821157758461</v>
      </c>
      <c r="AR48">
        <v>118.1921168855188</v>
      </c>
      <c r="AS48">
        <v>779.31</v>
      </c>
      <c r="AT48">
        <v>0.879</v>
      </c>
      <c r="AU48">
        <v>80.963194478237142</v>
      </c>
      <c r="AV48">
        <v>1.0097</v>
      </c>
      <c r="AW48">
        <v>81.748999999999995</v>
      </c>
      <c r="AX48">
        <v>8.9176000000000002</v>
      </c>
      <c r="AY48">
        <v>0.80400000000000005</v>
      </c>
      <c r="AZ48">
        <v>6039.0430235999738</v>
      </c>
      <c r="BA48">
        <v>1.0276539708265799</v>
      </c>
      <c r="BB48">
        <v>6206.0465000000004</v>
      </c>
      <c r="BC48">
        <v>1551.3109962421811</v>
      </c>
    </row>
    <row r="49" spans="1:55" x14ac:dyDescent="0.25">
      <c r="A49">
        <v>269811</v>
      </c>
      <c r="B49" t="s">
        <v>102</v>
      </c>
      <c r="C49">
        <v>2020</v>
      </c>
      <c r="D49">
        <v>11</v>
      </c>
      <c r="E49" t="s">
        <v>218</v>
      </c>
      <c r="F49" t="s">
        <v>260</v>
      </c>
      <c r="G49" t="s">
        <v>17</v>
      </c>
      <c r="H49" t="s">
        <v>242</v>
      </c>
      <c r="I49" t="s">
        <v>261</v>
      </c>
      <c r="J49">
        <v>-0.25369598999999998</v>
      </c>
      <c r="K49" t="s">
        <v>21</v>
      </c>
      <c r="L49" t="s">
        <v>236</v>
      </c>
      <c r="M49">
        <v>9.4045844512900007E-3</v>
      </c>
      <c r="N49">
        <v>2.385905356691676E-3</v>
      </c>
      <c r="O49">
        <v>66303.072</v>
      </c>
      <c r="P49">
        <v>1.2927647999999999E-5</v>
      </c>
      <c r="Q49">
        <v>0.85714299999999999</v>
      </c>
      <c r="R49">
        <v>2.045062075150773E-3</v>
      </c>
      <c r="S49" t="s">
        <v>225</v>
      </c>
      <c r="T49" t="s">
        <v>226</v>
      </c>
      <c r="U49" t="s">
        <v>227</v>
      </c>
      <c r="V49" t="s">
        <v>100</v>
      </c>
      <c r="W49">
        <v>109.354</v>
      </c>
      <c r="X49">
        <v>1.0727760310708341</v>
      </c>
      <c r="Y49">
        <v>117.31235010172</v>
      </c>
      <c r="Z49">
        <v>694.38</v>
      </c>
      <c r="AA49">
        <v>0.875</v>
      </c>
      <c r="AB49">
        <v>71.276930955678296</v>
      </c>
      <c r="AC49">
        <v>0.96660000000000001</v>
      </c>
      <c r="AD49">
        <v>68.896000000000001</v>
      </c>
      <c r="AE49">
        <v>8.9176000000000002</v>
      </c>
      <c r="AF49">
        <v>9.5665875346772715</v>
      </c>
      <c r="AG49">
        <v>0.91300000000000003</v>
      </c>
      <c r="AH49">
        <v>6064.9193587765631</v>
      </c>
      <c r="AI49">
        <v>0.98316430020283985</v>
      </c>
      <c r="AJ49">
        <v>5962.8122000000003</v>
      </c>
      <c r="AK49">
        <v>12.19432109146635</v>
      </c>
      <c r="AL49" t="s">
        <v>269</v>
      </c>
      <c r="AM49" t="s">
        <v>270</v>
      </c>
      <c r="AN49" t="s">
        <v>227</v>
      </c>
      <c r="AO49" t="s">
        <v>100</v>
      </c>
      <c r="AP49">
        <v>109.354</v>
      </c>
      <c r="AQ49">
        <v>1.080821157758461</v>
      </c>
      <c r="AR49">
        <v>118.1921168855188</v>
      </c>
      <c r="AS49">
        <v>779.31</v>
      </c>
      <c r="AT49">
        <v>0.879</v>
      </c>
      <c r="AU49">
        <v>80.963194478237142</v>
      </c>
      <c r="AV49">
        <v>0.96560000000000001</v>
      </c>
      <c r="AW49">
        <v>78.177999999999997</v>
      </c>
      <c r="AX49">
        <v>8.9176000000000002</v>
      </c>
      <c r="AY49">
        <v>0.80400000000000005</v>
      </c>
      <c r="AZ49">
        <v>6039.0430235999738</v>
      </c>
      <c r="BA49">
        <v>0.98955375253549693</v>
      </c>
      <c r="BB49">
        <v>5975.9576999999999</v>
      </c>
      <c r="BC49">
        <v>12.22120445497524</v>
      </c>
    </row>
    <row r="50" spans="1:55" x14ac:dyDescent="0.25">
      <c r="A50">
        <v>269813</v>
      </c>
      <c r="B50" t="s">
        <v>102</v>
      </c>
      <c r="C50">
        <v>2020</v>
      </c>
      <c r="D50">
        <v>11</v>
      </c>
      <c r="E50" t="s">
        <v>218</v>
      </c>
      <c r="F50" t="s">
        <v>260</v>
      </c>
      <c r="G50" t="s">
        <v>17</v>
      </c>
      <c r="H50" t="s">
        <v>242</v>
      </c>
      <c r="I50" t="s">
        <v>261</v>
      </c>
      <c r="J50">
        <v>-0.25369598999999998</v>
      </c>
      <c r="K50" t="s">
        <v>21</v>
      </c>
      <c r="L50" t="s">
        <v>237</v>
      </c>
      <c r="M50">
        <v>0.24379295604019999</v>
      </c>
      <c r="N50">
        <v>6.1849295176484478E-2</v>
      </c>
      <c r="O50">
        <v>66303.072</v>
      </c>
      <c r="P50">
        <v>1.2927647999999999E-5</v>
      </c>
      <c r="Q50">
        <v>0.85714299999999999</v>
      </c>
      <c r="R50">
        <v>5.3013690415457428E-2</v>
      </c>
      <c r="S50" t="s">
        <v>225</v>
      </c>
      <c r="T50" t="s">
        <v>226</v>
      </c>
      <c r="U50" t="s">
        <v>227</v>
      </c>
      <c r="V50" t="s">
        <v>101</v>
      </c>
      <c r="W50">
        <v>109.354</v>
      </c>
      <c r="X50">
        <v>1.0727760310708341</v>
      </c>
      <c r="Y50">
        <v>117.31235010172</v>
      </c>
      <c r="Z50">
        <v>694.38</v>
      </c>
      <c r="AA50">
        <v>0.875</v>
      </c>
      <c r="AB50">
        <v>71.276930955678296</v>
      </c>
      <c r="AC50">
        <v>1.0077</v>
      </c>
      <c r="AD50">
        <v>71.825999999999993</v>
      </c>
      <c r="AE50">
        <v>8.9176000000000002</v>
      </c>
      <c r="AF50">
        <v>9.5665875346772715</v>
      </c>
      <c r="AG50">
        <v>0.91300000000000003</v>
      </c>
      <c r="AH50">
        <v>6064.9193587765631</v>
      </c>
      <c r="AI50">
        <v>1.0255267423014589</v>
      </c>
      <c r="AJ50">
        <v>6219.7370000000001</v>
      </c>
      <c r="AK50">
        <v>329.73121178356598</v>
      </c>
      <c r="AL50" t="s">
        <v>269</v>
      </c>
      <c r="AM50" t="s">
        <v>270</v>
      </c>
      <c r="AN50" t="s">
        <v>227</v>
      </c>
      <c r="AO50" t="s">
        <v>101</v>
      </c>
      <c r="AP50">
        <v>109.354</v>
      </c>
      <c r="AQ50">
        <v>1.080821157758461</v>
      </c>
      <c r="AR50">
        <v>118.1921168855188</v>
      </c>
      <c r="AS50">
        <v>779.31</v>
      </c>
      <c r="AT50">
        <v>0.879</v>
      </c>
      <c r="AU50">
        <v>80.963194478237142</v>
      </c>
      <c r="AV50">
        <v>1.0097</v>
      </c>
      <c r="AW50">
        <v>81.748999999999995</v>
      </c>
      <c r="AX50">
        <v>8.9176000000000002</v>
      </c>
      <c r="AY50">
        <v>0.80400000000000005</v>
      </c>
      <c r="AZ50">
        <v>6039.0430235999738</v>
      </c>
      <c r="BA50">
        <v>1.0276539708265799</v>
      </c>
      <c r="BB50">
        <v>6206.0465000000004</v>
      </c>
      <c r="BC50">
        <v>329.0054278549332</v>
      </c>
    </row>
    <row r="51" spans="1:55" x14ac:dyDescent="0.25">
      <c r="A51">
        <v>269809</v>
      </c>
      <c r="B51" t="s">
        <v>102</v>
      </c>
      <c r="C51">
        <v>2020</v>
      </c>
      <c r="D51">
        <v>11</v>
      </c>
      <c r="E51" t="s">
        <v>218</v>
      </c>
      <c r="F51" t="s">
        <v>260</v>
      </c>
      <c r="G51" t="s">
        <v>17</v>
      </c>
      <c r="H51" t="s">
        <v>242</v>
      </c>
      <c r="I51" t="s">
        <v>261</v>
      </c>
      <c r="J51">
        <v>-0.25369598999999998</v>
      </c>
      <c r="K51" t="s">
        <v>21</v>
      </c>
      <c r="L51" t="s">
        <v>235</v>
      </c>
      <c r="M51">
        <v>0.43852094634854</v>
      </c>
      <c r="N51">
        <v>0.1112510053297433</v>
      </c>
      <c r="O51">
        <v>66303.072</v>
      </c>
      <c r="P51">
        <v>1.2927647999999999E-5</v>
      </c>
      <c r="Q51">
        <v>0.85714299999999999</v>
      </c>
      <c r="R51">
        <v>9.5358020461352166E-2</v>
      </c>
      <c r="S51" t="s">
        <v>225</v>
      </c>
      <c r="T51" t="s">
        <v>226</v>
      </c>
      <c r="U51" t="s">
        <v>227</v>
      </c>
      <c r="V51" t="s">
        <v>154</v>
      </c>
      <c r="W51">
        <v>109.354</v>
      </c>
      <c r="X51">
        <v>1.0727760310708341</v>
      </c>
      <c r="Y51">
        <v>117.31235010172</v>
      </c>
      <c r="Z51">
        <v>694.38</v>
      </c>
      <c r="AA51">
        <v>0.875</v>
      </c>
      <c r="AB51">
        <v>71.276930955678296</v>
      </c>
      <c r="AC51">
        <v>1.0179</v>
      </c>
      <c r="AD51">
        <v>72.552999999999997</v>
      </c>
      <c r="AE51">
        <v>8.9176000000000002</v>
      </c>
      <c r="AF51">
        <v>9.5665875346772715</v>
      </c>
      <c r="AG51">
        <v>0.91300000000000003</v>
      </c>
      <c r="AH51">
        <v>6064.9193587765631</v>
      </c>
      <c r="AI51">
        <v>0.98975009761811794</v>
      </c>
      <c r="AJ51">
        <v>6002.7545</v>
      </c>
      <c r="AK51">
        <v>572.41078643547382</v>
      </c>
      <c r="AL51" t="s">
        <v>269</v>
      </c>
      <c r="AM51" t="s">
        <v>270</v>
      </c>
      <c r="AN51" t="s">
        <v>227</v>
      </c>
      <c r="AO51" t="s">
        <v>154</v>
      </c>
      <c r="AP51">
        <v>109.354</v>
      </c>
      <c r="AQ51">
        <v>1.080821157758461</v>
      </c>
      <c r="AR51">
        <v>118.1921168855188</v>
      </c>
      <c r="AS51">
        <v>779.31</v>
      </c>
      <c r="AT51">
        <v>0.879</v>
      </c>
      <c r="AU51">
        <v>80.963194478237142</v>
      </c>
      <c r="AV51">
        <v>0.9899</v>
      </c>
      <c r="AW51">
        <v>80.144999999999996</v>
      </c>
      <c r="AX51">
        <v>8.9176000000000002</v>
      </c>
      <c r="AY51">
        <v>0.80400000000000005</v>
      </c>
      <c r="AZ51">
        <v>6039.0430235999738</v>
      </c>
      <c r="BA51">
        <v>0.99199531433033972</v>
      </c>
      <c r="BB51">
        <v>5990.7024000000001</v>
      </c>
      <c r="BC51">
        <v>571.26152203707159</v>
      </c>
    </row>
    <row r="52" spans="1:55" x14ac:dyDescent="0.25">
      <c r="A52">
        <v>277038</v>
      </c>
      <c r="B52" t="s">
        <v>106</v>
      </c>
      <c r="C52">
        <v>2020</v>
      </c>
      <c r="D52">
        <v>12</v>
      </c>
      <c r="E52" t="s">
        <v>218</v>
      </c>
      <c r="F52" t="s">
        <v>260</v>
      </c>
      <c r="G52" t="s">
        <v>17</v>
      </c>
      <c r="H52" t="s">
        <v>234</v>
      </c>
      <c r="I52" t="s">
        <v>261</v>
      </c>
      <c r="J52">
        <v>-4.3950872900000002</v>
      </c>
      <c r="K52" t="s">
        <v>21</v>
      </c>
      <c r="L52" t="s">
        <v>224</v>
      </c>
      <c r="M52">
        <v>5.7753817618500002E-3</v>
      </c>
      <c r="N52">
        <v>2.53833069624873E-2</v>
      </c>
      <c r="O52">
        <v>66303.072</v>
      </c>
      <c r="P52">
        <v>1.2927647999999999E-5</v>
      </c>
      <c r="Q52">
        <v>0.85714299999999999</v>
      </c>
      <c r="R52">
        <v>2.175712387974725E-2</v>
      </c>
      <c r="S52" t="s">
        <v>225</v>
      </c>
      <c r="T52" t="s">
        <v>226</v>
      </c>
      <c r="U52" t="s">
        <v>227</v>
      </c>
      <c r="V52" t="s">
        <v>153</v>
      </c>
      <c r="W52">
        <v>109.354</v>
      </c>
      <c r="X52">
        <v>1.0727760310708341</v>
      </c>
      <c r="Y52">
        <v>117.31235010172</v>
      </c>
      <c r="Z52">
        <v>694.38</v>
      </c>
      <c r="AA52">
        <v>0.875</v>
      </c>
      <c r="AB52">
        <v>71.276930955678296</v>
      </c>
      <c r="AC52">
        <v>1.0034000000000001</v>
      </c>
      <c r="AD52">
        <v>71.519000000000005</v>
      </c>
      <c r="AE52">
        <v>8.9176000000000002</v>
      </c>
      <c r="AF52">
        <v>9.5665875346772715</v>
      </c>
      <c r="AG52">
        <v>0.91300000000000003</v>
      </c>
      <c r="AH52">
        <v>6064.9193587765631</v>
      </c>
      <c r="AI52">
        <v>1</v>
      </c>
      <c r="AJ52">
        <v>6064.9193999999998</v>
      </c>
      <c r="AK52">
        <v>131.9552027064824</v>
      </c>
      <c r="AL52" t="s">
        <v>269</v>
      </c>
      <c r="AM52" t="s">
        <v>270</v>
      </c>
      <c r="AN52" t="s">
        <v>227</v>
      </c>
      <c r="AO52" t="s">
        <v>153</v>
      </c>
      <c r="AP52">
        <v>109.354</v>
      </c>
      <c r="AQ52">
        <v>1.080821157758461</v>
      </c>
      <c r="AR52">
        <v>118.1921168855188</v>
      </c>
      <c r="AS52">
        <v>779.31</v>
      </c>
      <c r="AT52">
        <v>0.879</v>
      </c>
      <c r="AU52">
        <v>80.963194478237142</v>
      </c>
      <c r="AV52">
        <v>1.0078</v>
      </c>
      <c r="AW52">
        <v>81.594999999999999</v>
      </c>
      <c r="AX52">
        <v>8.9176000000000002</v>
      </c>
      <c r="AY52">
        <v>0.80400000000000005</v>
      </c>
      <c r="AZ52">
        <v>6039.0430235999738</v>
      </c>
      <c r="BA52">
        <v>1</v>
      </c>
      <c r="BB52">
        <v>6039.0429999999997</v>
      </c>
      <c r="BC52">
        <v>131.3922066661205</v>
      </c>
    </row>
    <row r="53" spans="1:55" x14ac:dyDescent="0.25">
      <c r="A53">
        <v>277042</v>
      </c>
      <c r="B53" t="s">
        <v>106</v>
      </c>
      <c r="C53">
        <v>2020</v>
      </c>
      <c r="D53">
        <v>12</v>
      </c>
      <c r="E53" t="s">
        <v>218</v>
      </c>
      <c r="F53" t="s">
        <v>260</v>
      </c>
      <c r="G53" t="s">
        <v>17</v>
      </c>
      <c r="H53" t="s">
        <v>234</v>
      </c>
      <c r="I53" t="s">
        <v>261</v>
      </c>
      <c r="J53">
        <v>-4.3950872900000002</v>
      </c>
      <c r="K53" t="s">
        <v>21</v>
      </c>
      <c r="L53" t="s">
        <v>236</v>
      </c>
      <c r="M53">
        <v>1.344693251911E-2</v>
      </c>
      <c r="N53">
        <v>5.9100442171823787E-2</v>
      </c>
      <c r="O53">
        <v>66303.072</v>
      </c>
      <c r="P53">
        <v>1.2927647999999999E-5</v>
      </c>
      <c r="Q53">
        <v>0.85714299999999999</v>
      </c>
      <c r="R53">
        <v>5.0657530304483563E-2</v>
      </c>
      <c r="S53" t="s">
        <v>225</v>
      </c>
      <c r="T53" t="s">
        <v>226</v>
      </c>
      <c r="U53" t="s">
        <v>227</v>
      </c>
      <c r="V53" t="s">
        <v>100</v>
      </c>
      <c r="W53">
        <v>109.354</v>
      </c>
      <c r="X53">
        <v>1.0727760310708341</v>
      </c>
      <c r="Y53">
        <v>117.31235010172</v>
      </c>
      <c r="Z53">
        <v>694.38</v>
      </c>
      <c r="AA53">
        <v>0.875</v>
      </c>
      <c r="AB53">
        <v>71.276930955678296</v>
      </c>
      <c r="AC53">
        <v>0.96660000000000001</v>
      </c>
      <c r="AD53">
        <v>68.896000000000001</v>
      </c>
      <c r="AE53">
        <v>8.9176000000000002</v>
      </c>
      <c r="AF53">
        <v>9.5665875346772715</v>
      </c>
      <c r="AG53">
        <v>0.91300000000000003</v>
      </c>
      <c r="AH53">
        <v>6064.9193587765631</v>
      </c>
      <c r="AI53">
        <v>0.98316430020283985</v>
      </c>
      <c r="AJ53">
        <v>5962.8122000000003</v>
      </c>
      <c r="AK53">
        <v>302.06133972144431</v>
      </c>
      <c r="AL53" t="s">
        <v>269</v>
      </c>
      <c r="AM53" t="s">
        <v>270</v>
      </c>
      <c r="AN53" t="s">
        <v>227</v>
      </c>
      <c r="AO53" t="s">
        <v>100</v>
      </c>
      <c r="AP53">
        <v>109.354</v>
      </c>
      <c r="AQ53">
        <v>1.080821157758461</v>
      </c>
      <c r="AR53">
        <v>118.1921168855188</v>
      </c>
      <c r="AS53">
        <v>779.31</v>
      </c>
      <c r="AT53">
        <v>0.879</v>
      </c>
      <c r="AU53">
        <v>80.963194478237142</v>
      </c>
      <c r="AV53">
        <v>0.96560000000000001</v>
      </c>
      <c r="AW53">
        <v>78.177999999999997</v>
      </c>
      <c r="AX53">
        <v>8.9176000000000002</v>
      </c>
      <c r="AY53">
        <v>0.80400000000000005</v>
      </c>
      <c r="AZ53">
        <v>6039.0430235999738</v>
      </c>
      <c r="BA53">
        <v>0.98955375253549693</v>
      </c>
      <c r="BB53">
        <v>5975.9576999999999</v>
      </c>
      <c r="BC53">
        <v>302.72725828606178</v>
      </c>
    </row>
    <row r="54" spans="1:55" x14ac:dyDescent="0.25">
      <c r="A54">
        <v>277044</v>
      </c>
      <c r="B54" t="s">
        <v>106</v>
      </c>
      <c r="C54">
        <v>2020</v>
      </c>
      <c r="D54">
        <v>12</v>
      </c>
      <c r="E54" t="s">
        <v>218</v>
      </c>
      <c r="F54" t="s">
        <v>260</v>
      </c>
      <c r="G54" t="s">
        <v>17</v>
      </c>
      <c r="H54" t="s">
        <v>234</v>
      </c>
      <c r="I54" t="s">
        <v>261</v>
      </c>
      <c r="J54">
        <v>-4.3950872900000002</v>
      </c>
      <c r="K54" t="s">
        <v>21</v>
      </c>
      <c r="L54" t="s">
        <v>237</v>
      </c>
      <c r="M54">
        <v>0.26896781836192002</v>
      </c>
      <c r="N54">
        <v>1.1821370392533479</v>
      </c>
      <c r="O54">
        <v>66303.072</v>
      </c>
      <c r="P54">
        <v>1.2927647999999999E-5</v>
      </c>
      <c r="Q54">
        <v>0.85714299999999999</v>
      </c>
      <c r="R54">
        <v>1.013260488236732</v>
      </c>
      <c r="S54" t="s">
        <v>225</v>
      </c>
      <c r="T54" t="s">
        <v>226</v>
      </c>
      <c r="U54" t="s">
        <v>227</v>
      </c>
      <c r="V54" t="s">
        <v>101</v>
      </c>
      <c r="W54">
        <v>109.354</v>
      </c>
      <c r="X54">
        <v>1.0727760310708341</v>
      </c>
      <c r="Y54">
        <v>117.31235010172</v>
      </c>
      <c r="Z54">
        <v>694.38</v>
      </c>
      <c r="AA54">
        <v>0.875</v>
      </c>
      <c r="AB54">
        <v>71.276930955678296</v>
      </c>
      <c r="AC54">
        <v>1.0077</v>
      </c>
      <c r="AD54">
        <v>71.825999999999993</v>
      </c>
      <c r="AE54">
        <v>8.9176000000000002</v>
      </c>
      <c r="AF54">
        <v>9.5665875346772715</v>
      </c>
      <c r="AG54">
        <v>0.91300000000000003</v>
      </c>
      <c r="AH54">
        <v>6064.9193587765631</v>
      </c>
      <c r="AI54">
        <v>1.0255267423014589</v>
      </c>
      <c r="AJ54">
        <v>6219.7370000000001</v>
      </c>
      <c r="AK54">
        <v>6302.2137493240698</v>
      </c>
      <c r="AL54" t="s">
        <v>269</v>
      </c>
      <c r="AM54" t="s">
        <v>270</v>
      </c>
      <c r="AN54" t="s">
        <v>227</v>
      </c>
      <c r="AO54" t="s">
        <v>101</v>
      </c>
      <c r="AP54">
        <v>109.354</v>
      </c>
      <c r="AQ54">
        <v>1.080821157758461</v>
      </c>
      <c r="AR54">
        <v>118.1921168855188</v>
      </c>
      <c r="AS54">
        <v>779.31</v>
      </c>
      <c r="AT54">
        <v>0.879</v>
      </c>
      <c r="AU54">
        <v>80.963194478237142</v>
      </c>
      <c r="AV54">
        <v>1.0097</v>
      </c>
      <c r="AW54">
        <v>81.748999999999995</v>
      </c>
      <c r="AX54">
        <v>8.9176000000000002</v>
      </c>
      <c r="AY54">
        <v>0.80400000000000005</v>
      </c>
      <c r="AZ54">
        <v>6039.0430235999738</v>
      </c>
      <c r="BA54">
        <v>1.0276539708265799</v>
      </c>
      <c r="BB54">
        <v>6206.0465000000004</v>
      </c>
      <c r="BC54">
        <v>6288.3417066098646</v>
      </c>
    </row>
    <row r="55" spans="1:55" x14ac:dyDescent="0.25">
      <c r="A55">
        <v>277040</v>
      </c>
      <c r="B55" t="s">
        <v>106</v>
      </c>
      <c r="C55">
        <v>2020</v>
      </c>
      <c r="D55">
        <v>12</v>
      </c>
      <c r="E55" t="s">
        <v>218</v>
      </c>
      <c r="F55" t="s">
        <v>260</v>
      </c>
      <c r="G55" t="s">
        <v>17</v>
      </c>
      <c r="H55" t="s">
        <v>234</v>
      </c>
      <c r="I55" t="s">
        <v>261</v>
      </c>
      <c r="J55">
        <v>-4.3950872900000002</v>
      </c>
      <c r="K55" t="s">
        <v>21</v>
      </c>
      <c r="L55" t="s">
        <v>235</v>
      </c>
      <c r="M55">
        <v>0.40158130132905001</v>
      </c>
      <c r="N55">
        <v>1.7649848724052419</v>
      </c>
      <c r="O55">
        <v>66303.072</v>
      </c>
      <c r="P55">
        <v>1.2927647999999999E-5</v>
      </c>
      <c r="Q55">
        <v>0.85714299999999999</v>
      </c>
      <c r="R55">
        <v>1.512844428488046</v>
      </c>
      <c r="S55" t="s">
        <v>225</v>
      </c>
      <c r="T55" t="s">
        <v>226</v>
      </c>
      <c r="U55" t="s">
        <v>227</v>
      </c>
      <c r="V55" t="s">
        <v>154</v>
      </c>
      <c r="W55">
        <v>109.354</v>
      </c>
      <c r="X55">
        <v>1.0727760310708341</v>
      </c>
      <c r="Y55">
        <v>117.31235010172</v>
      </c>
      <c r="Z55">
        <v>694.38</v>
      </c>
      <c r="AA55">
        <v>0.875</v>
      </c>
      <c r="AB55">
        <v>71.276930955678296</v>
      </c>
      <c r="AC55">
        <v>1.0179</v>
      </c>
      <c r="AD55">
        <v>72.552999999999997</v>
      </c>
      <c r="AE55">
        <v>8.9176000000000002</v>
      </c>
      <c r="AF55">
        <v>9.5665875346772715</v>
      </c>
      <c r="AG55">
        <v>0.91300000000000003</v>
      </c>
      <c r="AH55">
        <v>6064.9193587765631</v>
      </c>
      <c r="AI55">
        <v>0.98975009761811794</v>
      </c>
      <c r="AJ55">
        <v>6002.7545</v>
      </c>
      <c r="AK55">
        <v>9081.2337009065486</v>
      </c>
      <c r="AL55" t="s">
        <v>269</v>
      </c>
      <c r="AM55" t="s">
        <v>270</v>
      </c>
      <c r="AN55" t="s">
        <v>227</v>
      </c>
      <c r="AO55" t="s">
        <v>154</v>
      </c>
      <c r="AP55">
        <v>109.354</v>
      </c>
      <c r="AQ55">
        <v>1.080821157758461</v>
      </c>
      <c r="AR55">
        <v>118.1921168855188</v>
      </c>
      <c r="AS55">
        <v>779.31</v>
      </c>
      <c r="AT55">
        <v>0.879</v>
      </c>
      <c r="AU55">
        <v>80.963194478237142</v>
      </c>
      <c r="AV55">
        <v>0.9899</v>
      </c>
      <c r="AW55">
        <v>80.144999999999996</v>
      </c>
      <c r="AX55">
        <v>8.9176000000000002</v>
      </c>
      <c r="AY55">
        <v>0.80400000000000005</v>
      </c>
      <c r="AZ55">
        <v>6039.0430235999738</v>
      </c>
      <c r="BA55">
        <v>0.99199531433033972</v>
      </c>
      <c r="BB55">
        <v>5990.7024000000001</v>
      </c>
      <c r="BC55">
        <v>9063.000748569968</v>
      </c>
    </row>
    <row r="56" spans="1:55" x14ac:dyDescent="0.25">
      <c r="A56">
        <v>277076</v>
      </c>
      <c r="B56" t="s">
        <v>106</v>
      </c>
      <c r="C56">
        <v>2020</v>
      </c>
      <c r="D56">
        <v>12</v>
      </c>
      <c r="E56" t="s">
        <v>218</v>
      </c>
      <c r="F56" t="s">
        <v>260</v>
      </c>
      <c r="G56" t="s">
        <v>17</v>
      </c>
      <c r="H56" t="s">
        <v>250</v>
      </c>
      <c r="I56" t="s">
        <v>261</v>
      </c>
      <c r="J56">
        <v>-2.4217717200000002</v>
      </c>
      <c r="K56" t="s">
        <v>21</v>
      </c>
      <c r="L56" t="s">
        <v>231</v>
      </c>
      <c r="M56">
        <v>4.997788799735E-2</v>
      </c>
      <c r="N56">
        <v>0.1210350356261447</v>
      </c>
      <c r="O56">
        <v>66303.072</v>
      </c>
      <c r="P56">
        <v>1.2927647999999999E-5</v>
      </c>
      <c r="Q56">
        <v>0.85714299999999999</v>
      </c>
      <c r="R56">
        <v>0.1037443335417006</v>
      </c>
      <c r="S56" t="s">
        <v>225</v>
      </c>
      <c r="T56" t="s">
        <v>226</v>
      </c>
      <c r="U56" t="s">
        <v>227</v>
      </c>
      <c r="V56" t="s">
        <v>100</v>
      </c>
      <c r="W56">
        <v>109.354</v>
      </c>
      <c r="X56">
        <v>1.0727760310708341</v>
      </c>
      <c r="Y56">
        <v>117.31235010172</v>
      </c>
      <c r="Z56">
        <v>694.38</v>
      </c>
      <c r="AA56">
        <v>0.875</v>
      </c>
      <c r="AB56">
        <v>71.276930955678296</v>
      </c>
      <c r="AC56">
        <v>0.96660000000000001</v>
      </c>
      <c r="AD56">
        <v>68.896000000000001</v>
      </c>
      <c r="AE56">
        <v>8.9176000000000002</v>
      </c>
      <c r="AF56">
        <v>9.5665875346772715</v>
      </c>
      <c r="AG56">
        <v>0.91300000000000003</v>
      </c>
      <c r="AH56">
        <v>6064.9193587765631</v>
      </c>
      <c r="AI56">
        <v>0.98316430020283985</v>
      </c>
      <c r="AJ56">
        <v>5962.8122000000003</v>
      </c>
      <c r="AK56">
        <v>618.60797772332126</v>
      </c>
      <c r="AL56" t="s">
        <v>269</v>
      </c>
      <c r="AM56" t="s">
        <v>270</v>
      </c>
      <c r="AN56" t="s">
        <v>227</v>
      </c>
      <c r="AO56" t="s">
        <v>100</v>
      </c>
      <c r="AP56">
        <v>109.354</v>
      </c>
      <c r="AQ56">
        <v>1.080821157758461</v>
      </c>
      <c r="AR56">
        <v>118.1921168855188</v>
      </c>
      <c r="AS56">
        <v>779.31</v>
      </c>
      <c r="AT56">
        <v>0.879</v>
      </c>
      <c r="AU56">
        <v>80.963194478237142</v>
      </c>
      <c r="AV56">
        <v>0.96560000000000001</v>
      </c>
      <c r="AW56">
        <v>78.177999999999997</v>
      </c>
      <c r="AX56">
        <v>8.9176000000000002</v>
      </c>
      <c r="AY56">
        <v>0.80400000000000005</v>
      </c>
      <c r="AZ56">
        <v>6039.0430235999738</v>
      </c>
      <c r="BA56">
        <v>0.98955375253549693</v>
      </c>
      <c r="BB56">
        <v>5975.9576999999999</v>
      </c>
      <c r="BC56">
        <v>619.97174885989364</v>
      </c>
    </row>
    <row r="57" spans="1:55" x14ac:dyDescent="0.25">
      <c r="A57">
        <v>277078</v>
      </c>
      <c r="B57" t="s">
        <v>106</v>
      </c>
      <c r="C57">
        <v>2020</v>
      </c>
      <c r="D57">
        <v>12</v>
      </c>
      <c r="E57" t="s">
        <v>218</v>
      </c>
      <c r="F57" t="s">
        <v>260</v>
      </c>
      <c r="G57" t="s">
        <v>17</v>
      </c>
      <c r="H57" t="s">
        <v>250</v>
      </c>
      <c r="I57" t="s">
        <v>261</v>
      </c>
      <c r="J57">
        <v>-2.4217717200000002</v>
      </c>
      <c r="K57" t="s">
        <v>21</v>
      </c>
      <c r="L57" t="s">
        <v>232</v>
      </c>
      <c r="M57">
        <v>0.97626211201923996</v>
      </c>
      <c r="N57">
        <v>2.3642839712428292</v>
      </c>
      <c r="O57">
        <v>66303.072</v>
      </c>
      <c r="P57">
        <v>1.2927647999999999E-5</v>
      </c>
      <c r="Q57">
        <v>0.85714299999999999</v>
      </c>
      <c r="R57">
        <v>2.0265294559629918</v>
      </c>
      <c r="S57" t="s">
        <v>225</v>
      </c>
      <c r="T57" t="s">
        <v>226</v>
      </c>
      <c r="U57" t="s">
        <v>227</v>
      </c>
      <c r="V57" t="s">
        <v>101</v>
      </c>
      <c r="W57">
        <v>109.354</v>
      </c>
      <c r="X57">
        <v>1.0727760310708341</v>
      </c>
      <c r="Y57">
        <v>117.31235010172</v>
      </c>
      <c r="Z57">
        <v>694.38</v>
      </c>
      <c r="AA57">
        <v>0.875</v>
      </c>
      <c r="AB57">
        <v>71.276930955678296</v>
      </c>
      <c r="AC57">
        <v>1.0077</v>
      </c>
      <c r="AD57">
        <v>71.825999999999993</v>
      </c>
      <c r="AE57">
        <v>8.9176000000000002</v>
      </c>
      <c r="AF57">
        <v>9.5665875346772715</v>
      </c>
      <c r="AG57">
        <v>0.91300000000000003</v>
      </c>
      <c r="AH57">
        <v>6064.9193587765631</v>
      </c>
      <c r="AI57">
        <v>1.0255267423014589</v>
      </c>
      <c r="AJ57">
        <v>6219.7370000000001</v>
      </c>
      <c r="AK57">
        <v>12604.480238842891</v>
      </c>
      <c r="AL57" t="s">
        <v>269</v>
      </c>
      <c r="AM57" t="s">
        <v>270</v>
      </c>
      <c r="AN57" t="s">
        <v>227</v>
      </c>
      <c r="AO57" t="s">
        <v>101</v>
      </c>
      <c r="AP57">
        <v>109.354</v>
      </c>
      <c r="AQ57">
        <v>1.080821157758461</v>
      </c>
      <c r="AR57">
        <v>118.1921168855188</v>
      </c>
      <c r="AS57">
        <v>779.31</v>
      </c>
      <c r="AT57">
        <v>0.879</v>
      </c>
      <c r="AU57">
        <v>80.963194478237142</v>
      </c>
      <c r="AV57">
        <v>1.0097</v>
      </c>
      <c r="AW57">
        <v>81.748999999999995</v>
      </c>
      <c r="AX57">
        <v>8.9176000000000002</v>
      </c>
      <c r="AY57">
        <v>0.80400000000000005</v>
      </c>
      <c r="AZ57">
        <v>6039.0430235999738</v>
      </c>
      <c r="BA57">
        <v>1.0276539708265799</v>
      </c>
      <c r="BB57">
        <v>6206.0465000000004</v>
      </c>
      <c r="BC57">
        <v>12576.736037326031</v>
      </c>
    </row>
    <row r="58" spans="1:55" x14ac:dyDescent="0.25">
      <c r="A58">
        <v>277072</v>
      </c>
      <c r="B58" t="s">
        <v>106</v>
      </c>
      <c r="C58">
        <v>2020</v>
      </c>
      <c r="D58">
        <v>12</v>
      </c>
      <c r="E58" t="s">
        <v>218</v>
      </c>
      <c r="F58" t="s">
        <v>260</v>
      </c>
      <c r="G58" t="s">
        <v>17</v>
      </c>
      <c r="H58" t="s">
        <v>247</v>
      </c>
      <c r="I58" t="s">
        <v>261</v>
      </c>
      <c r="J58">
        <v>-2.3886710999999998</v>
      </c>
      <c r="K58" t="s">
        <v>21</v>
      </c>
      <c r="L58" t="s">
        <v>236</v>
      </c>
      <c r="M58">
        <v>3.25790860905E-3</v>
      </c>
      <c r="N58">
        <v>7.7820721254219698E-3</v>
      </c>
      <c r="O58">
        <v>66303.072</v>
      </c>
      <c r="P58">
        <v>1.2927647999999999E-5</v>
      </c>
      <c r="Q58">
        <v>0.85714299999999999</v>
      </c>
      <c r="R58">
        <v>6.6703486478005636E-3</v>
      </c>
      <c r="S58" t="s">
        <v>225</v>
      </c>
      <c r="T58" t="s">
        <v>226</v>
      </c>
      <c r="U58" t="s">
        <v>227</v>
      </c>
      <c r="V58" t="s">
        <v>100</v>
      </c>
      <c r="W58">
        <v>109.354</v>
      </c>
      <c r="X58">
        <v>1.0727760310708341</v>
      </c>
      <c r="Y58">
        <v>117.31235010172</v>
      </c>
      <c r="Z58">
        <v>694.38</v>
      </c>
      <c r="AA58">
        <v>0.875</v>
      </c>
      <c r="AB58">
        <v>71.276930955678296</v>
      </c>
      <c r="AC58">
        <v>0.96660000000000001</v>
      </c>
      <c r="AD58">
        <v>68.896000000000001</v>
      </c>
      <c r="AE58">
        <v>8.9176000000000002</v>
      </c>
      <c r="AF58">
        <v>9.5665875346772715</v>
      </c>
      <c r="AG58">
        <v>0.91300000000000003</v>
      </c>
      <c r="AH58">
        <v>6064.9193587765631</v>
      </c>
      <c r="AI58">
        <v>0.98316430020283985</v>
      </c>
      <c r="AJ58">
        <v>5962.8122000000003</v>
      </c>
      <c r="AK58">
        <v>39.774036295358712</v>
      </c>
      <c r="AL58" t="s">
        <v>269</v>
      </c>
      <c r="AM58" t="s">
        <v>270</v>
      </c>
      <c r="AN58" t="s">
        <v>227</v>
      </c>
      <c r="AO58" t="s">
        <v>100</v>
      </c>
      <c r="AP58">
        <v>109.354</v>
      </c>
      <c r="AQ58">
        <v>1.080821157758461</v>
      </c>
      <c r="AR58">
        <v>118.1921168855188</v>
      </c>
      <c r="AS58">
        <v>779.31</v>
      </c>
      <c r="AT58">
        <v>0.879</v>
      </c>
      <c r="AU58">
        <v>80.963194478237142</v>
      </c>
      <c r="AV58">
        <v>0.96560000000000001</v>
      </c>
      <c r="AW58">
        <v>78.177999999999997</v>
      </c>
      <c r="AX58">
        <v>8.9176000000000002</v>
      </c>
      <c r="AY58">
        <v>0.80400000000000005</v>
      </c>
      <c r="AZ58">
        <v>6039.0430235999738</v>
      </c>
      <c r="BA58">
        <v>0.98955375253549693</v>
      </c>
      <c r="BB58">
        <v>5975.9576999999999</v>
      </c>
      <c r="BC58">
        <v>39.861721363508373</v>
      </c>
    </row>
    <row r="59" spans="1:55" x14ac:dyDescent="0.25">
      <c r="A59">
        <v>277068</v>
      </c>
      <c r="B59" t="s">
        <v>106</v>
      </c>
      <c r="C59">
        <v>2020</v>
      </c>
      <c r="D59">
        <v>12</v>
      </c>
      <c r="E59" t="s">
        <v>218</v>
      </c>
      <c r="F59" t="s">
        <v>260</v>
      </c>
      <c r="G59" t="s">
        <v>17</v>
      </c>
      <c r="H59" t="s">
        <v>247</v>
      </c>
      <c r="I59" t="s">
        <v>261</v>
      </c>
      <c r="J59">
        <v>-2.3886710999999998</v>
      </c>
      <c r="K59" t="s">
        <v>21</v>
      </c>
      <c r="L59" t="s">
        <v>224</v>
      </c>
      <c r="M59">
        <v>3.3335599647500002E-3</v>
      </c>
      <c r="N59">
        <v>7.9627783320994575E-3</v>
      </c>
      <c r="O59">
        <v>66303.072</v>
      </c>
      <c r="P59">
        <v>1.2927647999999999E-5</v>
      </c>
      <c r="Q59">
        <v>0.85714299999999999</v>
      </c>
      <c r="R59">
        <v>6.8252397079107251E-3</v>
      </c>
      <c r="S59" t="s">
        <v>225</v>
      </c>
      <c r="T59" t="s">
        <v>226</v>
      </c>
      <c r="U59" t="s">
        <v>227</v>
      </c>
      <c r="V59" t="s">
        <v>153</v>
      </c>
      <c r="W59">
        <v>109.354</v>
      </c>
      <c r="X59">
        <v>1.0727760310708341</v>
      </c>
      <c r="Y59">
        <v>117.31235010172</v>
      </c>
      <c r="Z59">
        <v>694.38</v>
      </c>
      <c r="AA59">
        <v>0.875</v>
      </c>
      <c r="AB59">
        <v>71.276930955678296</v>
      </c>
      <c r="AC59">
        <v>1.0034000000000001</v>
      </c>
      <c r="AD59">
        <v>71.519000000000005</v>
      </c>
      <c r="AE59">
        <v>8.9176000000000002</v>
      </c>
      <c r="AF59">
        <v>9.5665875346772715</v>
      </c>
      <c r="AG59">
        <v>0.91300000000000003</v>
      </c>
      <c r="AH59">
        <v>6064.9193587765631</v>
      </c>
      <c r="AI59">
        <v>1</v>
      </c>
      <c r="AJ59">
        <v>6064.9193999999998</v>
      </c>
      <c r="AK59">
        <v>41.394528714158092</v>
      </c>
      <c r="AL59" t="s">
        <v>269</v>
      </c>
      <c r="AM59" t="s">
        <v>270</v>
      </c>
      <c r="AN59" t="s">
        <v>227</v>
      </c>
      <c r="AO59" t="s">
        <v>153</v>
      </c>
      <c r="AP59">
        <v>109.354</v>
      </c>
      <c r="AQ59">
        <v>1.080821157758461</v>
      </c>
      <c r="AR59">
        <v>118.1921168855188</v>
      </c>
      <c r="AS59">
        <v>779.31</v>
      </c>
      <c r="AT59">
        <v>0.879</v>
      </c>
      <c r="AU59">
        <v>80.963194478237142</v>
      </c>
      <c r="AV59">
        <v>1.0078</v>
      </c>
      <c r="AW59">
        <v>81.594999999999999</v>
      </c>
      <c r="AX59">
        <v>8.9176000000000002</v>
      </c>
      <c r="AY59">
        <v>0.80400000000000005</v>
      </c>
      <c r="AZ59">
        <v>6039.0430235999738</v>
      </c>
      <c r="BA59">
        <v>1</v>
      </c>
      <c r="BB59">
        <v>6039.0429999999997</v>
      </c>
      <c r="BC59">
        <v>41.217916081380309</v>
      </c>
    </row>
    <row r="60" spans="1:55" x14ac:dyDescent="0.25">
      <c r="A60">
        <v>277074</v>
      </c>
      <c r="B60" t="s">
        <v>106</v>
      </c>
      <c r="C60">
        <v>2020</v>
      </c>
      <c r="D60">
        <v>12</v>
      </c>
      <c r="E60" t="s">
        <v>218</v>
      </c>
      <c r="F60" t="s">
        <v>260</v>
      </c>
      <c r="G60" t="s">
        <v>17</v>
      </c>
      <c r="H60" t="s">
        <v>247</v>
      </c>
      <c r="I60" t="s">
        <v>261</v>
      </c>
      <c r="J60">
        <v>-2.3886710999999998</v>
      </c>
      <c r="K60" t="s">
        <v>21</v>
      </c>
      <c r="L60" t="s">
        <v>237</v>
      </c>
      <c r="M60">
        <v>1.512012895177E-2</v>
      </c>
      <c r="N60">
        <v>3.6117014983629687E-2</v>
      </c>
      <c r="O60">
        <v>66303.072</v>
      </c>
      <c r="P60">
        <v>1.2927647999999999E-5</v>
      </c>
      <c r="Q60">
        <v>0.85714299999999999</v>
      </c>
      <c r="R60">
        <v>3.0957446574113309E-2</v>
      </c>
      <c r="S60" t="s">
        <v>225</v>
      </c>
      <c r="T60" t="s">
        <v>226</v>
      </c>
      <c r="U60" t="s">
        <v>227</v>
      </c>
      <c r="V60" t="s">
        <v>101</v>
      </c>
      <c r="W60">
        <v>109.354</v>
      </c>
      <c r="X60">
        <v>1.0727760310708341</v>
      </c>
      <c r="Y60">
        <v>117.31235010172</v>
      </c>
      <c r="Z60">
        <v>694.38</v>
      </c>
      <c r="AA60">
        <v>0.875</v>
      </c>
      <c r="AB60">
        <v>71.276930955678296</v>
      </c>
      <c r="AC60">
        <v>1.0077</v>
      </c>
      <c r="AD60">
        <v>71.825999999999993</v>
      </c>
      <c r="AE60">
        <v>8.9176000000000002</v>
      </c>
      <c r="AF60">
        <v>9.5665875346772715</v>
      </c>
      <c r="AG60">
        <v>0.91300000000000003</v>
      </c>
      <c r="AH60">
        <v>6064.9193587765631</v>
      </c>
      <c r="AI60">
        <v>1.0255267423014589</v>
      </c>
      <c r="AJ60">
        <v>6219.7370000000001</v>
      </c>
      <c r="AK60">
        <v>192.54717588253581</v>
      </c>
      <c r="AL60" t="s">
        <v>269</v>
      </c>
      <c r="AM60" t="s">
        <v>270</v>
      </c>
      <c r="AN60" t="s">
        <v>227</v>
      </c>
      <c r="AO60" t="s">
        <v>101</v>
      </c>
      <c r="AP60">
        <v>109.354</v>
      </c>
      <c r="AQ60">
        <v>1.080821157758461</v>
      </c>
      <c r="AR60">
        <v>118.1921168855188</v>
      </c>
      <c r="AS60">
        <v>779.31</v>
      </c>
      <c r="AT60">
        <v>0.879</v>
      </c>
      <c r="AU60">
        <v>80.963194478237142</v>
      </c>
      <c r="AV60">
        <v>1.0097</v>
      </c>
      <c r="AW60">
        <v>81.748999999999995</v>
      </c>
      <c r="AX60">
        <v>8.9176000000000002</v>
      </c>
      <c r="AY60">
        <v>0.80400000000000005</v>
      </c>
      <c r="AZ60">
        <v>6039.0430235999738</v>
      </c>
      <c r="BA60">
        <v>1.0276539708265799</v>
      </c>
      <c r="BB60">
        <v>6206.0465000000004</v>
      </c>
      <c r="BC60">
        <v>192.12335296021291</v>
      </c>
    </row>
    <row r="61" spans="1:55" x14ac:dyDescent="0.25">
      <c r="A61">
        <v>277070</v>
      </c>
      <c r="B61" t="s">
        <v>106</v>
      </c>
      <c r="C61">
        <v>2020</v>
      </c>
      <c r="D61">
        <v>12</v>
      </c>
      <c r="E61" t="s">
        <v>218</v>
      </c>
      <c r="F61" t="s">
        <v>260</v>
      </c>
      <c r="G61" t="s">
        <v>17</v>
      </c>
      <c r="H61" t="s">
        <v>247</v>
      </c>
      <c r="I61" t="s">
        <v>261</v>
      </c>
      <c r="J61">
        <v>-2.3886710999999998</v>
      </c>
      <c r="K61" t="s">
        <v>21</v>
      </c>
      <c r="L61" t="s">
        <v>235</v>
      </c>
      <c r="M61">
        <v>0.66685075620597001</v>
      </c>
      <c r="N61">
        <v>1.59288712619851</v>
      </c>
      <c r="O61">
        <v>66303.072</v>
      </c>
      <c r="P61">
        <v>1.2927647999999999E-5</v>
      </c>
      <c r="Q61">
        <v>0.85714299999999999</v>
      </c>
      <c r="R61">
        <v>1.3653320500111701</v>
      </c>
      <c r="S61" t="s">
        <v>225</v>
      </c>
      <c r="T61" t="s">
        <v>226</v>
      </c>
      <c r="U61" t="s">
        <v>227</v>
      </c>
      <c r="V61" t="s">
        <v>154</v>
      </c>
      <c r="W61">
        <v>109.354</v>
      </c>
      <c r="X61">
        <v>1.0727760310708341</v>
      </c>
      <c r="Y61">
        <v>117.31235010172</v>
      </c>
      <c r="Z61">
        <v>694.38</v>
      </c>
      <c r="AA61">
        <v>0.875</v>
      </c>
      <c r="AB61">
        <v>71.276930955678296</v>
      </c>
      <c r="AC61">
        <v>1.0179</v>
      </c>
      <c r="AD61">
        <v>72.552999999999997</v>
      </c>
      <c r="AE61">
        <v>8.9176000000000002</v>
      </c>
      <c r="AF61">
        <v>9.5665875346772715</v>
      </c>
      <c r="AG61">
        <v>0.91300000000000003</v>
      </c>
      <c r="AH61">
        <v>6064.9193587765631</v>
      </c>
      <c r="AI61">
        <v>0.98975009761811794</v>
      </c>
      <c r="AJ61">
        <v>6002.7545</v>
      </c>
      <c r="AK61">
        <v>8195.7531071987742</v>
      </c>
      <c r="AL61" t="s">
        <v>269</v>
      </c>
      <c r="AM61" t="s">
        <v>270</v>
      </c>
      <c r="AN61" t="s">
        <v>227</v>
      </c>
      <c r="AO61" t="s">
        <v>154</v>
      </c>
      <c r="AP61">
        <v>109.354</v>
      </c>
      <c r="AQ61">
        <v>1.080821157758461</v>
      </c>
      <c r="AR61">
        <v>118.1921168855188</v>
      </c>
      <c r="AS61">
        <v>779.31</v>
      </c>
      <c r="AT61">
        <v>0.879</v>
      </c>
      <c r="AU61">
        <v>80.963194478237142</v>
      </c>
      <c r="AV61">
        <v>0.9899</v>
      </c>
      <c r="AW61">
        <v>80.144999999999996</v>
      </c>
      <c r="AX61">
        <v>8.9176000000000002</v>
      </c>
      <c r="AY61">
        <v>0.80400000000000005</v>
      </c>
      <c r="AZ61">
        <v>6039.0430235999738</v>
      </c>
      <c r="BA61">
        <v>0.99199531433033972</v>
      </c>
      <c r="BB61">
        <v>5990.7024000000001</v>
      </c>
      <c r="BC61">
        <v>8179.297988798834</v>
      </c>
    </row>
    <row r="62" spans="1:55" x14ac:dyDescent="0.25">
      <c r="A62">
        <v>277060</v>
      </c>
      <c r="B62" t="s">
        <v>106</v>
      </c>
      <c r="C62">
        <v>2020</v>
      </c>
      <c r="D62">
        <v>12</v>
      </c>
      <c r="E62" t="s">
        <v>218</v>
      </c>
      <c r="F62" t="s">
        <v>260</v>
      </c>
      <c r="G62" t="s">
        <v>17</v>
      </c>
      <c r="H62" t="s">
        <v>244</v>
      </c>
      <c r="I62" t="s">
        <v>261</v>
      </c>
      <c r="J62">
        <v>-0.97661907000000003</v>
      </c>
      <c r="K62" t="s">
        <v>21</v>
      </c>
      <c r="L62" t="s">
        <v>224</v>
      </c>
      <c r="M62">
        <v>7.3056120995999996E-3</v>
      </c>
      <c r="N62">
        <v>7.1348001102933562E-3</v>
      </c>
      <c r="O62">
        <v>66303.072</v>
      </c>
      <c r="P62">
        <v>1.2927647999999999E-5</v>
      </c>
      <c r="Q62">
        <v>0.85714299999999999</v>
      </c>
      <c r="R62">
        <v>6.1155439709371781E-3</v>
      </c>
      <c r="S62" t="s">
        <v>225</v>
      </c>
      <c r="T62" t="s">
        <v>226</v>
      </c>
      <c r="U62" t="s">
        <v>227</v>
      </c>
      <c r="V62" t="s">
        <v>153</v>
      </c>
      <c r="W62">
        <v>109.354</v>
      </c>
      <c r="X62">
        <v>1.0727760310708341</v>
      </c>
      <c r="Y62">
        <v>117.31235010172</v>
      </c>
      <c r="Z62">
        <v>694.38</v>
      </c>
      <c r="AA62">
        <v>0.875</v>
      </c>
      <c r="AB62">
        <v>71.276930955678296</v>
      </c>
      <c r="AC62">
        <v>1.0034000000000001</v>
      </c>
      <c r="AD62">
        <v>71.519000000000005</v>
      </c>
      <c r="AE62">
        <v>8.9176000000000002</v>
      </c>
      <c r="AF62">
        <v>9.5665875346772715</v>
      </c>
      <c r="AG62">
        <v>0.91300000000000003</v>
      </c>
      <c r="AH62">
        <v>6064.9193587765631</v>
      </c>
      <c r="AI62">
        <v>1</v>
      </c>
      <c r="AJ62">
        <v>6064.9193999999998</v>
      </c>
      <c r="AK62">
        <v>37.090281270889918</v>
      </c>
      <c r="AL62" t="s">
        <v>269</v>
      </c>
      <c r="AM62" t="s">
        <v>270</v>
      </c>
      <c r="AN62" t="s">
        <v>227</v>
      </c>
      <c r="AO62" t="s">
        <v>153</v>
      </c>
      <c r="AP62">
        <v>109.354</v>
      </c>
      <c r="AQ62">
        <v>1.080821157758461</v>
      </c>
      <c r="AR62">
        <v>118.1921168855188</v>
      </c>
      <c r="AS62">
        <v>779.31</v>
      </c>
      <c r="AT62">
        <v>0.879</v>
      </c>
      <c r="AU62">
        <v>80.963194478237142</v>
      </c>
      <c r="AV62">
        <v>1.0078</v>
      </c>
      <c r="AW62">
        <v>81.594999999999999</v>
      </c>
      <c r="AX62">
        <v>8.9176000000000002</v>
      </c>
      <c r="AY62">
        <v>0.80400000000000005</v>
      </c>
      <c r="AZ62">
        <v>6039.0430235999738</v>
      </c>
      <c r="BA62">
        <v>1</v>
      </c>
      <c r="BB62">
        <v>6039.0429999999997</v>
      </c>
      <c r="BC62">
        <v>36.932033008880367</v>
      </c>
    </row>
    <row r="63" spans="1:55" x14ac:dyDescent="0.25">
      <c r="A63">
        <v>277064</v>
      </c>
      <c r="B63" t="s">
        <v>106</v>
      </c>
      <c r="C63">
        <v>2020</v>
      </c>
      <c r="D63">
        <v>12</v>
      </c>
      <c r="E63" t="s">
        <v>218</v>
      </c>
      <c r="F63" t="s">
        <v>260</v>
      </c>
      <c r="G63" t="s">
        <v>17</v>
      </c>
      <c r="H63" t="s">
        <v>244</v>
      </c>
      <c r="I63" t="s">
        <v>261</v>
      </c>
      <c r="J63">
        <v>-0.97661907000000003</v>
      </c>
      <c r="K63" t="s">
        <v>21</v>
      </c>
      <c r="L63" t="s">
        <v>236</v>
      </c>
      <c r="M63">
        <v>1.204832970364E-2</v>
      </c>
      <c r="N63">
        <v>1.176662857628152E-2</v>
      </c>
      <c r="O63">
        <v>66303.072</v>
      </c>
      <c r="P63">
        <v>1.2927647999999999E-5</v>
      </c>
      <c r="Q63">
        <v>0.85714299999999999</v>
      </c>
      <c r="R63">
        <v>1.0085683317759671E-2</v>
      </c>
      <c r="S63" t="s">
        <v>225</v>
      </c>
      <c r="T63" t="s">
        <v>226</v>
      </c>
      <c r="U63" t="s">
        <v>227</v>
      </c>
      <c r="V63" t="s">
        <v>100</v>
      </c>
      <c r="W63">
        <v>109.354</v>
      </c>
      <c r="X63">
        <v>1.0727760310708341</v>
      </c>
      <c r="Y63">
        <v>117.31235010172</v>
      </c>
      <c r="Z63">
        <v>694.38</v>
      </c>
      <c r="AA63">
        <v>0.875</v>
      </c>
      <c r="AB63">
        <v>71.276930955678296</v>
      </c>
      <c r="AC63">
        <v>0.96660000000000001</v>
      </c>
      <c r="AD63">
        <v>68.896000000000001</v>
      </c>
      <c r="AE63">
        <v>8.9176000000000002</v>
      </c>
      <c r="AF63">
        <v>9.5665875346772715</v>
      </c>
      <c r="AG63">
        <v>0.91300000000000003</v>
      </c>
      <c r="AH63">
        <v>6064.9193587765631</v>
      </c>
      <c r="AI63">
        <v>0.98316430020283985</v>
      </c>
      <c r="AJ63">
        <v>5962.8122000000003</v>
      </c>
      <c r="AK63">
        <v>60.139035532473848</v>
      </c>
      <c r="AL63" t="s">
        <v>269</v>
      </c>
      <c r="AM63" t="s">
        <v>270</v>
      </c>
      <c r="AN63" t="s">
        <v>227</v>
      </c>
      <c r="AO63" t="s">
        <v>100</v>
      </c>
      <c r="AP63">
        <v>109.354</v>
      </c>
      <c r="AQ63">
        <v>1.080821157758461</v>
      </c>
      <c r="AR63">
        <v>118.1921168855188</v>
      </c>
      <c r="AS63">
        <v>779.31</v>
      </c>
      <c r="AT63">
        <v>0.879</v>
      </c>
      <c r="AU63">
        <v>80.963194478237142</v>
      </c>
      <c r="AV63">
        <v>0.96560000000000001</v>
      </c>
      <c r="AW63">
        <v>78.177999999999997</v>
      </c>
      <c r="AX63">
        <v>8.9176000000000002</v>
      </c>
      <c r="AY63">
        <v>0.80400000000000005</v>
      </c>
      <c r="AZ63">
        <v>6039.0430235999738</v>
      </c>
      <c r="BA63">
        <v>0.98955375253549693</v>
      </c>
      <c r="BB63">
        <v>5975.9576999999999</v>
      </c>
      <c r="BC63">
        <v>60.271616882527447</v>
      </c>
    </row>
    <row r="64" spans="1:55" x14ac:dyDescent="0.25">
      <c r="A64">
        <v>277066</v>
      </c>
      <c r="B64" t="s">
        <v>106</v>
      </c>
      <c r="C64">
        <v>2020</v>
      </c>
      <c r="D64">
        <v>12</v>
      </c>
      <c r="E64" t="s">
        <v>218</v>
      </c>
      <c r="F64" t="s">
        <v>260</v>
      </c>
      <c r="G64" t="s">
        <v>17</v>
      </c>
      <c r="H64" t="s">
        <v>244</v>
      </c>
      <c r="I64" t="s">
        <v>261</v>
      </c>
      <c r="J64">
        <v>-0.97661907000000003</v>
      </c>
      <c r="K64" t="s">
        <v>21</v>
      </c>
      <c r="L64" t="s">
        <v>237</v>
      </c>
      <c r="M64">
        <v>0.26972628532287002</v>
      </c>
      <c r="N64">
        <v>0.26341983450996509</v>
      </c>
      <c r="O64">
        <v>66303.072</v>
      </c>
      <c r="P64">
        <v>1.2927647999999999E-5</v>
      </c>
      <c r="Q64">
        <v>0.85714299999999999</v>
      </c>
      <c r="R64">
        <v>0.22578846721137499</v>
      </c>
      <c r="S64" t="s">
        <v>225</v>
      </c>
      <c r="T64" t="s">
        <v>226</v>
      </c>
      <c r="U64" t="s">
        <v>227</v>
      </c>
      <c r="V64" t="s">
        <v>101</v>
      </c>
      <c r="W64">
        <v>109.354</v>
      </c>
      <c r="X64">
        <v>1.0727760310708341</v>
      </c>
      <c r="Y64">
        <v>117.31235010172</v>
      </c>
      <c r="Z64">
        <v>694.38</v>
      </c>
      <c r="AA64">
        <v>0.875</v>
      </c>
      <c r="AB64">
        <v>71.276930955678296</v>
      </c>
      <c r="AC64">
        <v>1.0077</v>
      </c>
      <c r="AD64">
        <v>71.825999999999993</v>
      </c>
      <c r="AE64">
        <v>8.9176000000000002</v>
      </c>
      <c r="AF64">
        <v>9.5665875346772715</v>
      </c>
      <c r="AG64">
        <v>0.91300000000000003</v>
      </c>
      <c r="AH64">
        <v>6064.9193587765631</v>
      </c>
      <c r="AI64">
        <v>1.0255267423014589</v>
      </c>
      <c r="AJ64">
        <v>6219.7370000000001</v>
      </c>
      <c r="AK64">
        <v>1404.3448836878761</v>
      </c>
      <c r="AL64" t="s">
        <v>269</v>
      </c>
      <c r="AM64" t="s">
        <v>270</v>
      </c>
      <c r="AN64" t="s">
        <v>227</v>
      </c>
      <c r="AO64" t="s">
        <v>101</v>
      </c>
      <c r="AP64">
        <v>109.354</v>
      </c>
      <c r="AQ64">
        <v>1.080821157758461</v>
      </c>
      <c r="AR64">
        <v>118.1921168855188</v>
      </c>
      <c r="AS64">
        <v>779.31</v>
      </c>
      <c r="AT64">
        <v>0.879</v>
      </c>
      <c r="AU64">
        <v>80.963194478237142</v>
      </c>
      <c r="AV64">
        <v>1.0097</v>
      </c>
      <c r="AW64">
        <v>81.748999999999995</v>
      </c>
      <c r="AX64">
        <v>8.9176000000000002</v>
      </c>
      <c r="AY64">
        <v>0.80400000000000005</v>
      </c>
      <c r="AZ64">
        <v>6039.0430235999738</v>
      </c>
      <c r="BA64">
        <v>1.0276539708265799</v>
      </c>
      <c r="BB64">
        <v>6206.0465000000004</v>
      </c>
      <c r="BC64">
        <v>1401.2537266775189</v>
      </c>
    </row>
    <row r="65" spans="1:55" x14ac:dyDescent="0.25">
      <c r="A65">
        <v>277062</v>
      </c>
      <c r="B65" t="s">
        <v>106</v>
      </c>
      <c r="C65">
        <v>2020</v>
      </c>
      <c r="D65">
        <v>12</v>
      </c>
      <c r="E65" t="s">
        <v>218</v>
      </c>
      <c r="F65" t="s">
        <v>260</v>
      </c>
      <c r="G65" t="s">
        <v>17</v>
      </c>
      <c r="H65" t="s">
        <v>244</v>
      </c>
      <c r="I65" t="s">
        <v>261</v>
      </c>
      <c r="J65">
        <v>-0.97661907000000003</v>
      </c>
      <c r="K65" t="s">
        <v>21</v>
      </c>
      <c r="L65" t="s">
        <v>235</v>
      </c>
      <c r="M65">
        <v>0.40128928011011999</v>
      </c>
      <c r="N65">
        <v>0.39190676441006073</v>
      </c>
      <c r="O65">
        <v>66303.072</v>
      </c>
      <c r="P65">
        <v>1.2927647999999999E-5</v>
      </c>
      <c r="Q65">
        <v>0.85714299999999999</v>
      </c>
      <c r="R65">
        <v>0.33592013976673257</v>
      </c>
      <c r="S65" t="s">
        <v>225</v>
      </c>
      <c r="T65" t="s">
        <v>226</v>
      </c>
      <c r="U65" t="s">
        <v>227</v>
      </c>
      <c r="V65" t="s">
        <v>154</v>
      </c>
      <c r="W65">
        <v>109.354</v>
      </c>
      <c r="X65">
        <v>1.0727760310708341</v>
      </c>
      <c r="Y65">
        <v>117.31235010172</v>
      </c>
      <c r="Z65">
        <v>694.38</v>
      </c>
      <c r="AA65">
        <v>0.875</v>
      </c>
      <c r="AB65">
        <v>71.276930955678296</v>
      </c>
      <c r="AC65">
        <v>1.0179</v>
      </c>
      <c r="AD65">
        <v>72.552999999999997</v>
      </c>
      <c r="AE65">
        <v>8.9176000000000002</v>
      </c>
      <c r="AF65">
        <v>9.5665875346772715</v>
      </c>
      <c r="AG65">
        <v>0.91300000000000003</v>
      </c>
      <c r="AH65">
        <v>6064.9193587765631</v>
      </c>
      <c r="AI65">
        <v>0.98975009761811794</v>
      </c>
      <c r="AJ65">
        <v>6002.7545</v>
      </c>
      <c r="AK65">
        <v>2016.4461306253829</v>
      </c>
      <c r="AL65" t="s">
        <v>269</v>
      </c>
      <c r="AM65" t="s">
        <v>270</v>
      </c>
      <c r="AN65" t="s">
        <v>227</v>
      </c>
      <c r="AO65" t="s">
        <v>154</v>
      </c>
      <c r="AP65">
        <v>109.354</v>
      </c>
      <c r="AQ65">
        <v>1.080821157758461</v>
      </c>
      <c r="AR65">
        <v>118.1921168855188</v>
      </c>
      <c r="AS65">
        <v>779.31</v>
      </c>
      <c r="AT65">
        <v>0.879</v>
      </c>
      <c r="AU65">
        <v>80.963194478237142</v>
      </c>
      <c r="AV65">
        <v>0.9899</v>
      </c>
      <c r="AW65">
        <v>80.144999999999996</v>
      </c>
      <c r="AX65">
        <v>8.9176000000000002</v>
      </c>
      <c r="AY65">
        <v>0.80400000000000005</v>
      </c>
      <c r="AZ65">
        <v>6039.0430235999738</v>
      </c>
      <c r="BA65">
        <v>0.99199531433033972</v>
      </c>
      <c r="BB65">
        <v>5990.7024000000001</v>
      </c>
      <c r="BC65">
        <v>2012.3975875089011</v>
      </c>
    </row>
    <row r="66" spans="1:55" x14ac:dyDescent="0.25">
      <c r="A66">
        <v>277046</v>
      </c>
      <c r="B66" t="s">
        <v>106</v>
      </c>
      <c r="C66">
        <v>2020</v>
      </c>
      <c r="D66">
        <v>12</v>
      </c>
      <c r="E66" t="s">
        <v>218</v>
      </c>
      <c r="F66" t="s">
        <v>260</v>
      </c>
      <c r="G66" t="s">
        <v>17</v>
      </c>
      <c r="H66" t="s">
        <v>239</v>
      </c>
      <c r="I66" t="s">
        <v>261</v>
      </c>
      <c r="J66">
        <v>-0.79622369999999998</v>
      </c>
      <c r="K66" t="s">
        <v>21</v>
      </c>
      <c r="L66" t="s">
        <v>224</v>
      </c>
      <c r="M66">
        <v>7.4408908718700002E-3</v>
      </c>
      <c r="N66">
        <v>5.9246136495289276E-3</v>
      </c>
      <c r="O66">
        <v>66303.072</v>
      </c>
      <c r="P66">
        <v>1.2927647999999999E-5</v>
      </c>
      <c r="Q66">
        <v>0.85714299999999999</v>
      </c>
      <c r="R66">
        <v>5.0782411173981726E-3</v>
      </c>
      <c r="S66" t="s">
        <v>225</v>
      </c>
      <c r="T66" t="s">
        <v>226</v>
      </c>
      <c r="U66" t="s">
        <v>227</v>
      </c>
      <c r="V66" t="s">
        <v>153</v>
      </c>
      <c r="W66">
        <v>109.354</v>
      </c>
      <c r="X66">
        <v>1.0727760310708341</v>
      </c>
      <c r="Y66">
        <v>117.31235010172</v>
      </c>
      <c r="Z66">
        <v>694.38</v>
      </c>
      <c r="AA66">
        <v>0.875</v>
      </c>
      <c r="AB66">
        <v>71.276930955678296</v>
      </c>
      <c r="AC66">
        <v>1.0034000000000001</v>
      </c>
      <c r="AD66">
        <v>71.519000000000005</v>
      </c>
      <c r="AE66">
        <v>8.9176000000000002</v>
      </c>
      <c r="AF66">
        <v>9.5665875346772715</v>
      </c>
      <c r="AG66">
        <v>0.91300000000000003</v>
      </c>
      <c r="AH66">
        <v>6064.9193587765631</v>
      </c>
      <c r="AI66">
        <v>1</v>
      </c>
      <c r="AJ66">
        <v>6064.9193999999998</v>
      </c>
      <c r="AK66">
        <v>30.799123070785861</v>
      </c>
      <c r="AL66" t="s">
        <v>269</v>
      </c>
      <c r="AM66" t="s">
        <v>270</v>
      </c>
      <c r="AN66" t="s">
        <v>227</v>
      </c>
      <c r="AO66" t="s">
        <v>153</v>
      </c>
      <c r="AP66">
        <v>109.354</v>
      </c>
      <c r="AQ66">
        <v>1.080821157758461</v>
      </c>
      <c r="AR66">
        <v>118.1921168855188</v>
      </c>
      <c r="AS66">
        <v>779.31</v>
      </c>
      <c r="AT66">
        <v>0.879</v>
      </c>
      <c r="AU66">
        <v>80.963194478237142</v>
      </c>
      <c r="AV66">
        <v>1.0078</v>
      </c>
      <c r="AW66">
        <v>81.594999999999999</v>
      </c>
      <c r="AX66">
        <v>8.9176000000000002</v>
      </c>
      <c r="AY66">
        <v>0.80400000000000005</v>
      </c>
      <c r="AZ66">
        <v>6039.0430235999738</v>
      </c>
      <c r="BA66">
        <v>1</v>
      </c>
      <c r="BB66">
        <v>6039.0429999999997</v>
      </c>
      <c r="BC66">
        <v>30.66771647233562</v>
      </c>
    </row>
    <row r="67" spans="1:55" x14ac:dyDescent="0.25">
      <c r="A67">
        <v>277050</v>
      </c>
      <c r="B67" t="s">
        <v>106</v>
      </c>
      <c r="C67">
        <v>2020</v>
      </c>
      <c r="D67">
        <v>12</v>
      </c>
      <c r="E67" t="s">
        <v>218</v>
      </c>
      <c r="F67" t="s">
        <v>260</v>
      </c>
      <c r="G67" t="s">
        <v>17</v>
      </c>
      <c r="H67" t="s">
        <v>239</v>
      </c>
      <c r="I67" t="s">
        <v>261</v>
      </c>
      <c r="J67">
        <v>-0.79622369999999998</v>
      </c>
      <c r="K67" t="s">
        <v>21</v>
      </c>
      <c r="L67" t="s">
        <v>236</v>
      </c>
      <c r="M67">
        <v>1.2734836093020001E-2</v>
      </c>
      <c r="N67">
        <v>1.013977829273802E-2</v>
      </c>
      <c r="O67">
        <v>66303.072</v>
      </c>
      <c r="P67">
        <v>1.2927647999999999E-5</v>
      </c>
      <c r="Q67">
        <v>0.85714299999999999</v>
      </c>
      <c r="R67">
        <v>8.6912399851723481E-3</v>
      </c>
      <c r="S67" t="s">
        <v>225</v>
      </c>
      <c r="T67" t="s">
        <v>226</v>
      </c>
      <c r="U67" t="s">
        <v>227</v>
      </c>
      <c r="V67" t="s">
        <v>100</v>
      </c>
      <c r="W67">
        <v>109.354</v>
      </c>
      <c r="X67">
        <v>1.0727760310708341</v>
      </c>
      <c r="Y67">
        <v>117.31235010172</v>
      </c>
      <c r="Z67">
        <v>694.38</v>
      </c>
      <c r="AA67">
        <v>0.875</v>
      </c>
      <c r="AB67">
        <v>71.276930955678296</v>
      </c>
      <c r="AC67">
        <v>0.96660000000000001</v>
      </c>
      <c r="AD67">
        <v>68.896000000000001</v>
      </c>
      <c r="AE67">
        <v>8.9176000000000002</v>
      </c>
      <c r="AF67">
        <v>9.5665875346772715</v>
      </c>
      <c r="AG67">
        <v>0.91300000000000003</v>
      </c>
      <c r="AH67">
        <v>6064.9193587765631</v>
      </c>
      <c r="AI67">
        <v>0.98316430020283985</v>
      </c>
      <c r="AJ67">
        <v>5962.8122000000003</v>
      </c>
      <c r="AK67">
        <v>51.8242318167135</v>
      </c>
      <c r="AL67" t="s">
        <v>269</v>
      </c>
      <c r="AM67" t="s">
        <v>270</v>
      </c>
      <c r="AN67" t="s">
        <v>227</v>
      </c>
      <c r="AO67" t="s">
        <v>100</v>
      </c>
      <c r="AP67">
        <v>109.354</v>
      </c>
      <c r="AQ67">
        <v>1.080821157758461</v>
      </c>
      <c r="AR67">
        <v>118.1921168855188</v>
      </c>
      <c r="AS67">
        <v>779.31</v>
      </c>
      <c r="AT67">
        <v>0.879</v>
      </c>
      <c r="AU67">
        <v>80.963194478237142</v>
      </c>
      <c r="AV67">
        <v>0.96560000000000001</v>
      </c>
      <c r="AW67">
        <v>78.177999999999997</v>
      </c>
      <c r="AX67">
        <v>8.9176000000000002</v>
      </c>
      <c r="AY67">
        <v>0.80400000000000005</v>
      </c>
      <c r="AZ67">
        <v>6039.0430235999738</v>
      </c>
      <c r="BA67">
        <v>0.98955375253549693</v>
      </c>
      <c r="BB67">
        <v>5975.9576999999999</v>
      </c>
      <c r="BC67">
        <v>51.938482511938581</v>
      </c>
    </row>
    <row r="68" spans="1:55" x14ac:dyDescent="0.25">
      <c r="A68">
        <v>277052</v>
      </c>
      <c r="B68" t="s">
        <v>106</v>
      </c>
      <c r="C68">
        <v>2020</v>
      </c>
      <c r="D68">
        <v>12</v>
      </c>
      <c r="E68" t="s">
        <v>218</v>
      </c>
      <c r="F68" t="s">
        <v>260</v>
      </c>
      <c r="G68" t="s">
        <v>17</v>
      </c>
      <c r="H68" t="s">
        <v>239</v>
      </c>
      <c r="I68" t="s">
        <v>261</v>
      </c>
      <c r="J68">
        <v>-0.79622369999999998</v>
      </c>
      <c r="K68" t="s">
        <v>21</v>
      </c>
      <c r="L68" t="s">
        <v>237</v>
      </c>
      <c r="M68">
        <v>0.29281613276294</v>
      </c>
      <c r="N68">
        <v>0.23314714418511609</v>
      </c>
      <c r="O68">
        <v>66303.072</v>
      </c>
      <c r="P68">
        <v>1.2927647999999999E-5</v>
      </c>
      <c r="Q68">
        <v>0.85714299999999999</v>
      </c>
      <c r="R68">
        <v>0.19984044260826289</v>
      </c>
      <c r="S68" t="s">
        <v>225</v>
      </c>
      <c r="T68" t="s">
        <v>226</v>
      </c>
      <c r="U68" t="s">
        <v>227</v>
      </c>
      <c r="V68" t="s">
        <v>101</v>
      </c>
      <c r="W68">
        <v>109.354</v>
      </c>
      <c r="X68">
        <v>1.0727760310708341</v>
      </c>
      <c r="Y68">
        <v>117.31235010172</v>
      </c>
      <c r="Z68">
        <v>694.38</v>
      </c>
      <c r="AA68">
        <v>0.875</v>
      </c>
      <c r="AB68">
        <v>71.276930955678296</v>
      </c>
      <c r="AC68">
        <v>1.0077</v>
      </c>
      <c r="AD68">
        <v>71.825999999999993</v>
      </c>
      <c r="AE68">
        <v>8.9176000000000002</v>
      </c>
      <c r="AF68">
        <v>9.5665875346772715</v>
      </c>
      <c r="AG68">
        <v>0.91300000000000003</v>
      </c>
      <c r="AH68">
        <v>6064.9193587765631</v>
      </c>
      <c r="AI68">
        <v>1.0255267423014589</v>
      </c>
      <c r="AJ68">
        <v>6219.7370000000001</v>
      </c>
      <c r="AK68">
        <v>1242.95499498699</v>
      </c>
      <c r="AL68" t="s">
        <v>269</v>
      </c>
      <c r="AM68" t="s">
        <v>270</v>
      </c>
      <c r="AN68" t="s">
        <v>227</v>
      </c>
      <c r="AO68" t="s">
        <v>101</v>
      </c>
      <c r="AP68">
        <v>109.354</v>
      </c>
      <c r="AQ68">
        <v>1.080821157758461</v>
      </c>
      <c r="AR68">
        <v>118.1921168855188</v>
      </c>
      <c r="AS68">
        <v>779.31</v>
      </c>
      <c r="AT68">
        <v>0.879</v>
      </c>
      <c r="AU68">
        <v>80.963194478237142</v>
      </c>
      <c r="AV68">
        <v>1.0097</v>
      </c>
      <c r="AW68">
        <v>81.748999999999995</v>
      </c>
      <c r="AX68">
        <v>8.9176000000000002</v>
      </c>
      <c r="AY68">
        <v>0.80400000000000005</v>
      </c>
      <c r="AZ68">
        <v>6039.0430235999738</v>
      </c>
      <c r="BA68">
        <v>1.0276539708265799</v>
      </c>
      <c r="BB68">
        <v>6206.0465000000004</v>
      </c>
      <c r="BC68">
        <v>1240.2190794074611</v>
      </c>
    </row>
    <row r="69" spans="1:55" x14ac:dyDescent="0.25">
      <c r="A69">
        <v>277048</v>
      </c>
      <c r="B69" t="s">
        <v>106</v>
      </c>
      <c r="C69">
        <v>2020</v>
      </c>
      <c r="D69">
        <v>12</v>
      </c>
      <c r="E69" t="s">
        <v>218</v>
      </c>
      <c r="F69" t="s">
        <v>260</v>
      </c>
      <c r="G69" t="s">
        <v>17</v>
      </c>
      <c r="H69" t="s">
        <v>239</v>
      </c>
      <c r="I69" t="s">
        <v>261</v>
      </c>
      <c r="J69">
        <v>-0.79622369999999998</v>
      </c>
      <c r="K69" t="s">
        <v>21</v>
      </c>
      <c r="L69" t="s">
        <v>235</v>
      </c>
      <c r="M69">
        <v>0.38838662878487001</v>
      </c>
      <c r="N69">
        <v>0.30924263798738949</v>
      </c>
      <c r="O69">
        <v>66303.072</v>
      </c>
      <c r="P69">
        <v>1.2927647999999999E-5</v>
      </c>
      <c r="Q69">
        <v>0.85714299999999999</v>
      </c>
      <c r="R69">
        <v>0.26506516245242501</v>
      </c>
      <c r="S69" t="s">
        <v>225</v>
      </c>
      <c r="T69" t="s">
        <v>226</v>
      </c>
      <c r="U69" t="s">
        <v>227</v>
      </c>
      <c r="V69" t="s">
        <v>154</v>
      </c>
      <c r="W69">
        <v>109.354</v>
      </c>
      <c r="X69">
        <v>1.0727760310708341</v>
      </c>
      <c r="Y69">
        <v>117.31235010172</v>
      </c>
      <c r="Z69">
        <v>694.38</v>
      </c>
      <c r="AA69">
        <v>0.875</v>
      </c>
      <c r="AB69">
        <v>71.276930955678296</v>
      </c>
      <c r="AC69">
        <v>1.0179</v>
      </c>
      <c r="AD69">
        <v>72.552999999999997</v>
      </c>
      <c r="AE69">
        <v>8.9176000000000002</v>
      </c>
      <c r="AF69">
        <v>9.5665875346772715</v>
      </c>
      <c r="AG69">
        <v>0.91300000000000003</v>
      </c>
      <c r="AH69">
        <v>6064.9193587765631</v>
      </c>
      <c r="AI69">
        <v>0.98975009761811794</v>
      </c>
      <c r="AJ69">
        <v>6002.7545</v>
      </c>
      <c r="AK69">
        <v>1591.1210967045249</v>
      </c>
      <c r="AL69" t="s">
        <v>269</v>
      </c>
      <c r="AM69" t="s">
        <v>270</v>
      </c>
      <c r="AN69" t="s">
        <v>227</v>
      </c>
      <c r="AO69" t="s">
        <v>154</v>
      </c>
      <c r="AP69">
        <v>109.354</v>
      </c>
      <c r="AQ69">
        <v>1.080821157758461</v>
      </c>
      <c r="AR69">
        <v>118.1921168855188</v>
      </c>
      <c r="AS69">
        <v>779.31</v>
      </c>
      <c r="AT69">
        <v>0.879</v>
      </c>
      <c r="AU69">
        <v>80.963194478237142</v>
      </c>
      <c r="AV69">
        <v>0.9899</v>
      </c>
      <c r="AW69">
        <v>80.144999999999996</v>
      </c>
      <c r="AX69">
        <v>8.9176000000000002</v>
      </c>
      <c r="AY69">
        <v>0.80400000000000005</v>
      </c>
      <c r="AZ69">
        <v>6039.0430235999738</v>
      </c>
      <c r="BA69">
        <v>0.99199531433033972</v>
      </c>
      <c r="BB69">
        <v>5990.7024000000001</v>
      </c>
      <c r="BC69">
        <v>1587.9265048601319</v>
      </c>
    </row>
    <row r="70" spans="1:55" x14ac:dyDescent="0.25">
      <c r="A70">
        <v>277030</v>
      </c>
      <c r="B70" t="s">
        <v>106</v>
      </c>
      <c r="C70">
        <v>2020</v>
      </c>
      <c r="D70">
        <v>12</v>
      </c>
      <c r="E70" t="s">
        <v>218</v>
      </c>
      <c r="F70" t="s">
        <v>260</v>
      </c>
      <c r="G70" t="s">
        <v>17</v>
      </c>
      <c r="H70" t="s">
        <v>222</v>
      </c>
      <c r="I70" t="s">
        <v>261</v>
      </c>
      <c r="J70">
        <v>-0.53370983999999999</v>
      </c>
      <c r="K70" t="s">
        <v>21</v>
      </c>
      <c r="L70" t="s">
        <v>224</v>
      </c>
      <c r="M70">
        <v>5.5256916615899999E-3</v>
      </c>
      <c r="N70">
        <v>2.9491160257185769E-3</v>
      </c>
      <c r="O70">
        <v>66303.072</v>
      </c>
      <c r="P70">
        <v>1.2927647999999999E-5</v>
      </c>
      <c r="Q70">
        <v>0.85714299999999999</v>
      </c>
      <c r="R70">
        <v>2.527814157632498E-3</v>
      </c>
      <c r="S70" t="s">
        <v>225</v>
      </c>
      <c r="T70" t="s">
        <v>226</v>
      </c>
      <c r="U70" t="s">
        <v>227</v>
      </c>
      <c r="V70" t="s">
        <v>153</v>
      </c>
      <c r="W70">
        <v>109.354</v>
      </c>
      <c r="X70">
        <v>1.0727760310708341</v>
      </c>
      <c r="Y70">
        <v>117.31235010172</v>
      </c>
      <c r="Z70">
        <v>694.38</v>
      </c>
      <c r="AA70">
        <v>0.875</v>
      </c>
      <c r="AB70">
        <v>71.276930955678296</v>
      </c>
      <c r="AC70">
        <v>1.0034000000000001</v>
      </c>
      <c r="AD70">
        <v>71.519000000000005</v>
      </c>
      <c r="AE70">
        <v>8.9176000000000002</v>
      </c>
      <c r="AF70">
        <v>9.5665875346772715</v>
      </c>
      <c r="AG70">
        <v>0.91300000000000003</v>
      </c>
      <c r="AH70">
        <v>6064.9193587765631</v>
      </c>
      <c r="AI70">
        <v>1</v>
      </c>
      <c r="AJ70">
        <v>6064.9193999999998</v>
      </c>
      <c r="AK70">
        <v>15.33098912421999</v>
      </c>
      <c r="AL70" t="s">
        <v>269</v>
      </c>
      <c r="AM70" t="s">
        <v>270</v>
      </c>
      <c r="AN70" t="s">
        <v>227</v>
      </c>
      <c r="AO70" t="s">
        <v>153</v>
      </c>
      <c r="AP70">
        <v>109.354</v>
      </c>
      <c r="AQ70">
        <v>1.080821157758461</v>
      </c>
      <c r="AR70">
        <v>118.1921168855188</v>
      </c>
      <c r="AS70">
        <v>779.31</v>
      </c>
      <c r="AT70">
        <v>0.879</v>
      </c>
      <c r="AU70">
        <v>80.963194478237142</v>
      </c>
      <c r="AV70">
        <v>1.0078</v>
      </c>
      <c r="AW70">
        <v>81.594999999999999</v>
      </c>
      <c r="AX70">
        <v>8.9176000000000002</v>
      </c>
      <c r="AY70">
        <v>0.80400000000000005</v>
      </c>
      <c r="AZ70">
        <v>6039.0430235999738</v>
      </c>
      <c r="BA70">
        <v>1</v>
      </c>
      <c r="BB70">
        <v>6039.0429999999997</v>
      </c>
      <c r="BC70">
        <v>15.265578393951429</v>
      </c>
    </row>
    <row r="71" spans="1:55" x14ac:dyDescent="0.25">
      <c r="A71">
        <v>277034</v>
      </c>
      <c r="B71" t="s">
        <v>106</v>
      </c>
      <c r="C71">
        <v>2020</v>
      </c>
      <c r="D71">
        <v>12</v>
      </c>
      <c r="E71" t="s">
        <v>218</v>
      </c>
      <c r="F71" t="s">
        <v>260</v>
      </c>
      <c r="G71" t="s">
        <v>17</v>
      </c>
      <c r="H71" t="s">
        <v>222</v>
      </c>
      <c r="I71" t="s">
        <v>261</v>
      </c>
      <c r="J71">
        <v>-0.53370983999999999</v>
      </c>
      <c r="K71" t="s">
        <v>21</v>
      </c>
      <c r="L71" t="s">
        <v>231</v>
      </c>
      <c r="M71">
        <v>2.8087183570580002E-2</v>
      </c>
      <c r="N71">
        <v>1.4990406316204449E-2</v>
      </c>
      <c r="O71">
        <v>66303.072</v>
      </c>
      <c r="P71">
        <v>1.2927647999999999E-5</v>
      </c>
      <c r="Q71">
        <v>0.85714299999999999</v>
      </c>
      <c r="R71">
        <v>1.2848921841090429E-2</v>
      </c>
      <c r="S71" t="s">
        <v>225</v>
      </c>
      <c r="T71" t="s">
        <v>226</v>
      </c>
      <c r="U71" t="s">
        <v>227</v>
      </c>
      <c r="V71" t="s">
        <v>100</v>
      </c>
      <c r="W71">
        <v>109.354</v>
      </c>
      <c r="X71">
        <v>1.0727760310708341</v>
      </c>
      <c r="Y71">
        <v>117.31235010172</v>
      </c>
      <c r="Z71">
        <v>694.38</v>
      </c>
      <c r="AA71">
        <v>0.875</v>
      </c>
      <c r="AB71">
        <v>71.276930955678296</v>
      </c>
      <c r="AC71">
        <v>0.96660000000000001</v>
      </c>
      <c r="AD71">
        <v>68.896000000000001</v>
      </c>
      <c r="AE71">
        <v>8.9176000000000002</v>
      </c>
      <c r="AF71">
        <v>9.5665875346772715</v>
      </c>
      <c r="AG71">
        <v>0.91300000000000003</v>
      </c>
      <c r="AH71">
        <v>6064.9193587765631</v>
      </c>
      <c r="AI71">
        <v>0.98316430020283985</v>
      </c>
      <c r="AJ71">
        <v>5962.8122000000003</v>
      </c>
      <c r="AK71">
        <v>76.615707910900483</v>
      </c>
      <c r="AL71" t="s">
        <v>269</v>
      </c>
      <c r="AM71" t="s">
        <v>270</v>
      </c>
      <c r="AN71" t="s">
        <v>227</v>
      </c>
      <c r="AO71" t="s">
        <v>100</v>
      </c>
      <c r="AP71">
        <v>109.354</v>
      </c>
      <c r="AQ71">
        <v>1.080821157758461</v>
      </c>
      <c r="AR71">
        <v>118.1921168855188</v>
      </c>
      <c r="AS71">
        <v>779.31</v>
      </c>
      <c r="AT71">
        <v>0.879</v>
      </c>
      <c r="AU71">
        <v>80.963194478237142</v>
      </c>
      <c r="AV71">
        <v>0.96560000000000001</v>
      </c>
      <c r="AW71">
        <v>78.177999999999997</v>
      </c>
      <c r="AX71">
        <v>8.9176000000000002</v>
      </c>
      <c r="AY71">
        <v>0.80400000000000005</v>
      </c>
      <c r="AZ71">
        <v>6039.0430235999738</v>
      </c>
      <c r="BA71">
        <v>0.98955375253549693</v>
      </c>
      <c r="BB71">
        <v>5975.9576999999999</v>
      </c>
      <c r="BC71">
        <v>76.784613412962543</v>
      </c>
    </row>
    <row r="72" spans="1:55" x14ac:dyDescent="0.25">
      <c r="A72">
        <v>277032</v>
      </c>
      <c r="B72" t="s">
        <v>106</v>
      </c>
      <c r="C72">
        <v>2020</v>
      </c>
      <c r="D72">
        <v>12</v>
      </c>
      <c r="E72" t="s">
        <v>218</v>
      </c>
      <c r="F72" t="s">
        <v>260</v>
      </c>
      <c r="G72" t="s">
        <v>17</v>
      </c>
      <c r="H72" t="s">
        <v>222</v>
      </c>
      <c r="I72" t="s">
        <v>261</v>
      </c>
      <c r="J72">
        <v>-0.53370983999999999</v>
      </c>
      <c r="K72" t="s">
        <v>21</v>
      </c>
      <c r="L72" t="s">
        <v>230</v>
      </c>
      <c r="M72">
        <v>0.10131184195162</v>
      </c>
      <c r="N72">
        <v>5.4071127198693003E-2</v>
      </c>
      <c r="O72">
        <v>66303.072</v>
      </c>
      <c r="P72">
        <v>1.2927647999999999E-5</v>
      </c>
      <c r="Q72">
        <v>0.85714299999999999</v>
      </c>
      <c r="R72">
        <v>4.6346688180469317E-2</v>
      </c>
      <c r="S72" t="s">
        <v>225</v>
      </c>
      <c r="T72" t="s">
        <v>226</v>
      </c>
      <c r="U72" t="s">
        <v>227</v>
      </c>
      <c r="V72" t="s">
        <v>154</v>
      </c>
      <c r="W72">
        <v>109.354</v>
      </c>
      <c r="X72">
        <v>1.0727760310708341</v>
      </c>
      <c r="Y72">
        <v>117.31235010172</v>
      </c>
      <c r="Z72">
        <v>694.38</v>
      </c>
      <c r="AA72">
        <v>0.875</v>
      </c>
      <c r="AB72">
        <v>71.276930955678296</v>
      </c>
      <c r="AC72">
        <v>1.0179</v>
      </c>
      <c r="AD72">
        <v>72.552999999999997</v>
      </c>
      <c r="AE72">
        <v>8.9176000000000002</v>
      </c>
      <c r="AF72">
        <v>9.5665875346772715</v>
      </c>
      <c r="AG72">
        <v>0.91300000000000003</v>
      </c>
      <c r="AH72">
        <v>6064.9193587765631</v>
      </c>
      <c r="AI72">
        <v>0.98975009761811794</v>
      </c>
      <c r="AJ72">
        <v>6002.7545</v>
      </c>
      <c r="AK72">
        <v>278.207791035409</v>
      </c>
      <c r="AL72" t="s">
        <v>269</v>
      </c>
      <c r="AM72" t="s">
        <v>270</v>
      </c>
      <c r="AN72" t="s">
        <v>227</v>
      </c>
      <c r="AO72" t="s">
        <v>154</v>
      </c>
      <c r="AP72">
        <v>109.354</v>
      </c>
      <c r="AQ72">
        <v>1.080821157758461</v>
      </c>
      <c r="AR72">
        <v>118.1921168855188</v>
      </c>
      <c r="AS72">
        <v>779.31</v>
      </c>
      <c r="AT72">
        <v>0.879</v>
      </c>
      <c r="AU72">
        <v>80.963194478237142</v>
      </c>
      <c r="AV72">
        <v>0.9899</v>
      </c>
      <c r="AW72">
        <v>80.144999999999996</v>
      </c>
      <c r="AX72">
        <v>8.9176000000000002</v>
      </c>
      <c r="AY72">
        <v>0.80400000000000005</v>
      </c>
      <c r="AZ72">
        <v>6039.0430235999738</v>
      </c>
      <c r="BA72">
        <v>0.99199531433033972</v>
      </c>
      <c r="BB72">
        <v>5990.7024000000001</v>
      </c>
      <c r="BC72">
        <v>277.64921611478923</v>
      </c>
    </row>
    <row r="73" spans="1:55" x14ac:dyDescent="0.25">
      <c r="A73">
        <v>277036</v>
      </c>
      <c r="B73" t="s">
        <v>106</v>
      </c>
      <c r="C73">
        <v>2020</v>
      </c>
      <c r="D73">
        <v>12</v>
      </c>
      <c r="E73" t="s">
        <v>218</v>
      </c>
      <c r="F73" t="s">
        <v>260</v>
      </c>
      <c r="G73" t="s">
        <v>17</v>
      </c>
      <c r="H73" t="s">
        <v>222</v>
      </c>
      <c r="I73" t="s">
        <v>261</v>
      </c>
      <c r="J73">
        <v>-0.53370983999999999</v>
      </c>
      <c r="K73" t="s">
        <v>21</v>
      </c>
      <c r="L73" t="s">
        <v>232</v>
      </c>
      <c r="M73">
        <v>0.54528233781308</v>
      </c>
      <c r="N73">
        <v>0.29102255056394499</v>
      </c>
      <c r="O73">
        <v>66303.072</v>
      </c>
      <c r="P73">
        <v>1.2927647999999999E-5</v>
      </c>
      <c r="Q73">
        <v>0.85714299999999999</v>
      </c>
      <c r="R73">
        <v>0.2494479420580315</v>
      </c>
      <c r="S73" t="s">
        <v>225</v>
      </c>
      <c r="T73" t="s">
        <v>226</v>
      </c>
      <c r="U73" t="s">
        <v>227</v>
      </c>
      <c r="V73" t="s">
        <v>101</v>
      </c>
      <c r="W73">
        <v>109.354</v>
      </c>
      <c r="X73">
        <v>1.0727760310708341</v>
      </c>
      <c r="Y73">
        <v>117.31235010172</v>
      </c>
      <c r="Z73">
        <v>694.38</v>
      </c>
      <c r="AA73">
        <v>0.875</v>
      </c>
      <c r="AB73">
        <v>71.276930955678296</v>
      </c>
      <c r="AC73">
        <v>1.0077</v>
      </c>
      <c r="AD73">
        <v>71.825999999999993</v>
      </c>
      <c r="AE73">
        <v>8.9176000000000002</v>
      </c>
      <c r="AF73">
        <v>9.5665875346772715</v>
      </c>
      <c r="AG73">
        <v>0.91300000000000003</v>
      </c>
      <c r="AH73">
        <v>6064.9193587765631</v>
      </c>
      <c r="AI73">
        <v>1.0255267423014589</v>
      </c>
      <c r="AJ73">
        <v>6219.7370000000001</v>
      </c>
      <c r="AK73">
        <v>1551.500594792195</v>
      </c>
      <c r="AL73" t="s">
        <v>269</v>
      </c>
      <c r="AM73" t="s">
        <v>270</v>
      </c>
      <c r="AN73" t="s">
        <v>227</v>
      </c>
      <c r="AO73" t="s">
        <v>101</v>
      </c>
      <c r="AP73">
        <v>109.354</v>
      </c>
      <c r="AQ73">
        <v>1.080821157758461</v>
      </c>
      <c r="AR73">
        <v>118.1921168855188</v>
      </c>
      <c r="AS73">
        <v>779.31</v>
      </c>
      <c r="AT73">
        <v>0.879</v>
      </c>
      <c r="AU73">
        <v>80.963194478237142</v>
      </c>
      <c r="AV73">
        <v>1.0097</v>
      </c>
      <c r="AW73">
        <v>81.748999999999995</v>
      </c>
      <c r="AX73">
        <v>8.9176000000000002</v>
      </c>
      <c r="AY73">
        <v>0.80400000000000005</v>
      </c>
      <c r="AZ73">
        <v>6039.0430235999738</v>
      </c>
      <c r="BA73">
        <v>1.0276539708265799</v>
      </c>
      <c r="BB73">
        <v>6206.0465000000004</v>
      </c>
      <c r="BC73">
        <v>1548.0855277414489</v>
      </c>
    </row>
    <row r="74" spans="1:55" x14ac:dyDescent="0.25">
      <c r="A74">
        <v>277056</v>
      </c>
      <c r="B74" t="s">
        <v>106</v>
      </c>
      <c r="C74">
        <v>2020</v>
      </c>
      <c r="D74">
        <v>12</v>
      </c>
      <c r="E74" t="s">
        <v>218</v>
      </c>
      <c r="F74" t="s">
        <v>260</v>
      </c>
      <c r="G74" t="s">
        <v>17</v>
      </c>
      <c r="H74" t="s">
        <v>242</v>
      </c>
      <c r="I74" t="s">
        <v>261</v>
      </c>
      <c r="J74">
        <v>-0.25316851000000001</v>
      </c>
      <c r="K74" t="s">
        <v>21</v>
      </c>
      <c r="L74" t="s">
        <v>236</v>
      </c>
      <c r="M74">
        <v>9.4045844512900007E-3</v>
      </c>
      <c r="N74">
        <v>2.3809446089161652E-3</v>
      </c>
      <c r="O74">
        <v>66303.072</v>
      </c>
      <c r="P74">
        <v>1.2927647999999999E-5</v>
      </c>
      <c r="Q74">
        <v>0.85714299999999999</v>
      </c>
      <c r="R74">
        <v>2.040810004920228E-3</v>
      </c>
      <c r="S74" t="s">
        <v>225</v>
      </c>
      <c r="T74" t="s">
        <v>226</v>
      </c>
      <c r="U74" t="s">
        <v>227</v>
      </c>
      <c r="V74" t="s">
        <v>100</v>
      </c>
      <c r="W74">
        <v>109.354</v>
      </c>
      <c r="X74">
        <v>1.0727760310708341</v>
      </c>
      <c r="Y74">
        <v>117.31235010172</v>
      </c>
      <c r="Z74">
        <v>694.38</v>
      </c>
      <c r="AA74">
        <v>0.875</v>
      </c>
      <c r="AB74">
        <v>71.276930955678296</v>
      </c>
      <c r="AC74">
        <v>0.96660000000000001</v>
      </c>
      <c r="AD74">
        <v>68.896000000000001</v>
      </c>
      <c r="AE74">
        <v>8.9176000000000002</v>
      </c>
      <c r="AF74">
        <v>9.5665875346772715</v>
      </c>
      <c r="AG74">
        <v>0.91300000000000003</v>
      </c>
      <c r="AH74">
        <v>6064.9193587765631</v>
      </c>
      <c r="AI74">
        <v>0.98316430020283985</v>
      </c>
      <c r="AJ74">
        <v>5962.8122000000003</v>
      </c>
      <c r="AK74">
        <v>12.168966795220401</v>
      </c>
      <c r="AL74" t="s">
        <v>269</v>
      </c>
      <c r="AM74" t="s">
        <v>270</v>
      </c>
      <c r="AN74" t="s">
        <v>227</v>
      </c>
      <c r="AO74" t="s">
        <v>100</v>
      </c>
      <c r="AP74">
        <v>109.354</v>
      </c>
      <c r="AQ74">
        <v>1.080821157758461</v>
      </c>
      <c r="AR74">
        <v>118.1921168855188</v>
      </c>
      <c r="AS74">
        <v>779.31</v>
      </c>
      <c r="AT74">
        <v>0.879</v>
      </c>
      <c r="AU74">
        <v>80.963194478237142</v>
      </c>
      <c r="AV74">
        <v>0.96560000000000001</v>
      </c>
      <c r="AW74">
        <v>78.177999999999997</v>
      </c>
      <c r="AX74">
        <v>8.9176000000000002</v>
      </c>
      <c r="AY74">
        <v>0.80400000000000005</v>
      </c>
      <c r="AZ74">
        <v>6039.0430235999738</v>
      </c>
      <c r="BA74">
        <v>0.98955375253549693</v>
      </c>
      <c r="BB74">
        <v>5975.9576999999999</v>
      </c>
      <c r="BC74">
        <v>12.195794263140071</v>
      </c>
    </row>
    <row r="75" spans="1:55" x14ac:dyDescent="0.25">
      <c r="A75">
        <v>277058</v>
      </c>
      <c r="B75" t="s">
        <v>106</v>
      </c>
      <c r="C75">
        <v>2020</v>
      </c>
      <c r="D75">
        <v>12</v>
      </c>
      <c r="E75" t="s">
        <v>218</v>
      </c>
      <c r="F75" t="s">
        <v>260</v>
      </c>
      <c r="G75" t="s">
        <v>17</v>
      </c>
      <c r="H75" t="s">
        <v>242</v>
      </c>
      <c r="I75" t="s">
        <v>261</v>
      </c>
      <c r="J75">
        <v>-0.25316851000000001</v>
      </c>
      <c r="K75" t="s">
        <v>21</v>
      </c>
      <c r="L75" t="s">
        <v>237</v>
      </c>
      <c r="M75">
        <v>0.24379295604019999</v>
      </c>
      <c r="N75">
        <v>6.1720698812591339E-2</v>
      </c>
      <c r="O75">
        <v>66303.072</v>
      </c>
      <c r="P75">
        <v>1.2927647999999999E-5</v>
      </c>
      <c r="Q75">
        <v>0.85714299999999999</v>
      </c>
      <c r="R75">
        <v>5.2903464942320982E-2</v>
      </c>
      <c r="S75" t="s">
        <v>225</v>
      </c>
      <c r="T75" t="s">
        <v>226</v>
      </c>
      <c r="U75" t="s">
        <v>227</v>
      </c>
      <c r="V75" t="s">
        <v>101</v>
      </c>
      <c r="W75">
        <v>109.354</v>
      </c>
      <c r="X75">
        <v>1.0727760310708341</v>
      </c>
      <c r="Y75">
        <v>117.31235010172</v>
      </c>
      <c r="Z75">
        <v>694.38</v>
      </c>
      <c r="AA75">
        <v>0.875</v>
      </c>
      <c r="AB75">
        <v>71.276930955678296</v>
      </c>
      <c r="AC75">
        <v>1.0077</v>
      </c>
      <c r="AD75">
        <v>71.825999999999993</v>
      </c>
      <c r="AE75">
        <v>8.9176000000000002</v>
      </c>
      <c r="AF75">
        <v>9.5665875346772715</v>
      </c>
      <c r="AG75">
        <v>0.91300000000000003</v>
      </c>
      <c r="AH75">
        <v>6064.9193587765631</v>
      </c>
      <c r="AI75">
        <v>1.0255267423014589</v>
      </c>
      <c r="AJ75">
        <v>6219.7370000000001</v>
      </c>
      <c r="AK75">
        <v>329.04563832995672</v>
      </c>
      <c r="AL75" t="s">
        <v>269</v>
      </c>
      <c r="AM75" t="s">
        <v>270</v>
      </c>
      <c r="AN75" t="s">
        <v>227</v>
      </c>
      <c r="AO75" t="s">
        <v>101</v>
      </c>
      <c r="AP75">
        <v>109.354</v>
      </c>
      <c r="AQ75">
        <v>1.080821157758461</v>
      </c>
      <c r="AR75">
        <v>118.1921168855188</v>
      </c>
      <c r="AS75">
        <v>779.31</v>
      </c>
      <c r="AT75">
        <v>0.879</v>
      </c>
      <c r="AU75">
        <v>80.963194478237142</v>
      </c>
      <c r="AV75">
        <v>1.0097</v>
      </c>
      <c r="AW75">
        <v>81.748999999999995</v>
      </c>
      <c r="AX75">
        <v>8.9176000000000002</v>
      </c>
      <c r="AY75">
        <v>0.80400000000000005</v>
      </c>
      <c r="AZ75">
        <v>6039.0430235999738</v>
      </c>
      <c r="BA75">
        <v>1.0276539708265799</v>
      </c>
      <c r="BB75">
        <v>6206.0465000000004</v>
      </c>
      <c r="BC75">
        <v>328.32136344316382</v>
      </c>
    </row>
    <row r="76" spans="1:55" x14ac:dyDescent="0.25">
      <c r="A76">
        <v>277054</v>
      </c>
      <c r="B76" t="s">
        <v>106</v>
      </c>
      <c r="C76">
        <v>2020</v>
      </c>
      <c r="D76">
        <v>12</v>
      </c>
      <c r="E76" t="s">
        <v>218</v>
      </c>
      <c r="F76" t="s">
        <v>260</v>
      </c>
      <c r="G76" t="s">
        <v>17</v>
      </c>
      <c r="H76" t="s">
        <v>242</v>
      </c>
      <c r="I76" t="s">
        <v>261</v>
      </c>
      <c r="J76">
        <v>-0.25316851000000001</v>
      </c>
      <c r="K76" t="s">
        <v>21</v>
      </c>
      <c r="L76" t="s">
        <v>235</v>
      </c>
      <c r="M76">
        <v>0.43852094634854</v>
      </c>
      <c r="N76">
        <v>0.1110196934817418</v>
      </c>
      <c r="O76">
        <v>66303.072</v>
      </c>
      <c r="P76">
        <v>1.2927647999999999E-5</v>
      </c>
      <c r="Q76">
        <v>0.85714299999999999</v>
      </c>
      <c r="R76">
        <v>9.5159753130020633E-2</v>
      </c>
      <c r="S76" t="s">
        <v>225</v>
      </c>
      <c r="T76" t="s">
        <v>226</v>
      </c>
      <c r="U76" t="s">
        <v>227</v>
      </c>
      <c r="V76" t="s">
        <v>154</v>
      </c>
      <c r="W76">
        <v>109.354</v>
      </c>
      <c r="X76">
        <v>1.0727760310708341</v>
      </c>
      <c r="Y76">
        <v>117.31235010172</v>
      </c>
      <c r="Z76">
        <v>694.38</v>
      </c>
      <c r="AA76">
        <v>0.875</v>
      </c>
      <c r="AB76">
        <v>71.276930955678296</v>
      </c>
      <c r="AC76">
        <v>1.0179</v>
      </c>
      <c r="AD76">
        <v>72.552999999999997</v>
      </c>
      <c r="AE76">
        <v>8.9176000000000002</v>
      </c>
      <c r="AF76">
        <v>9.5665875346772715</v>
      </c>
      <c r="AG76">
        <v>0.91300000000000003</v>
      </c>
      <c r="AH76">
        <v>6064.9193587765631</v>
      </c>
      <c r="AI76">
        <v>0.98975009761811794</v>
      </c>
      <c r="AJ76">
        <v>6002.7545</v>
      </c>
      <c r="AK76">
        <v>571.22063632012043</v>
      </c>
      <c r="AL76" t="s">
        <v>269</v>
      </c>
      <c r="AM76" t="s">
        <v>270</v>
      </c>
      <c r="AN76" t="s">
        <v>227</v>
      </c>
      <c r="AO76" t="s">
        <v>154</v>
      </c>
      <c r="AP76">
        <v>109.354</v>
      </c>
      <c r="AQ76">
        <v>1.080821157758461</v>
      </c>
      <c r="AR76">
        <v>118.1921168855188</v>
      </c>
      <c r="AS76">
        <v>779.31</v>
      </c>
      <c r="AT76">
        <v>0.879</v>
      </c>
      <c r="AU76">
        <v>80.963194478237142</v>
      </c>
      <c r="AV76">
        <v>0.9899</v>
      </c>
      <c r="AW76">
        <v>80.144999999999996</v>
      </c>
      <c r="AX76">
        <v>8.9176000000000002</v>
      </c>
      <c r="AY76">
        <v>0.80400000000000005</v>
      </c>
      <c r="AZ76">
        <v>6039.0430235999738</v>
      </c>
      <c r="BA76">
        <v>0.99199531433033972</v>
      </c>
      <c r="BB76">
        <v>5990.7024000000001</v>
      </c>
      <c r="BC76">
        <v>570.07376145942214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7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281</v>
      </c>
      <c r="B1" s="1" t="s">
        <v>58</v>
      </c>
      <c r="C1" s="1" t="s">
        <v>123</v>
      </c>
      <c r="D1" s="1" t="s">
        <v>35</v>
      </c>
      <c r="E1" s="1" t="s">
        <v>57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130</v>
      </c>
      <c r="K1" s="1" t="s">
        <v>282</v>
      </c>
      <c r="L1" s="1" t="s">
        <v>179</v>
      </c>
      <c r="M1" s="1" t="s">
        <v>166</v>
      </c>
      <c r="N1" s="1" t="s">
        <v>167</v>
      </c>
      <c r="O1" s="1" t="s">
        <v>20</v>
      </c>
      <c r="P1" s="1" t="s">
        <v>171</v>
      </c>
    </row>
    <row r="2" spans="1:16" x14ac:dyDescent="0.25">
      <c r="A2" t="s">
        <v>283</v>
      </c>
      <c r="B2" t="s">
        <v>110</v>
      </c>
      <c r="C2">
        <v>2021</v>
      </c>
      <c r="D2">
        <v>1</v>
      </c>
      <c r="E2" t="s">
        <v>218</v>
      </c>
      <c r="F2" t="s">
        <v>219</v>
      </c>
      <c r="G2" t="s">
        <v>220</v>
      </c>
      <c r="H2" t="s">
        <v>17</v>
      </c>
      <c r="I2" t="s">
        <v>221</v>
      </c>
      <c r="J2" t="s">
        <v>222</v>
      </c>
      <c r="M2">
        <v>276.44111803999999</v>
      </c>
      <c r="N2" t="s">
        <v>223</v>
      </c>
      <c r="O2" t="s">
        <v>21</v>
      </c>
      <c r="P2">
        <v>1</v>
      </c>
    </row>
    <row r="3" spans="1:16" x14ac:dyDescent="0.25">
      <c r="A3" t="s">
        <v>283</v>
      </c>
      <c r="B3" t="s">
        <v>110</v>
      </c>
      <c r="C3">
        <v>2021</v>
      </c>
      <c r="D3">
        <v>1</v>
      </c>
      <c r="E3" t="s">
        <v>218</v>
      </c>
      <c r="F3" t="s">
        <v>219</v>
      </c>
      <c r="G3" t="s">
        <v>220</v>
      </c>
      <c r="H3" t="s">
        <v>17</v>
      </c>
      <c r="I3" t="s">
        <v>233</v>
      </c>
      <c r="J3" t="s">
        <v>234</v>
      </c>
      <c r="M3">
        <v>1096.34941643</v>
      </c>
      <c r="N3" t="s">
        <v>234</v>
      </c>
      <c r="O3" t="s">
        <v>21</v>
      </c>
      <c r="P3">
        <v>1</v>
      </c>
    </row>
    <row r="4" spans="1:16" x14ac:dyDescent="0.25">
      <c r="A4" t="s">
        <v>283</v>
      </c>
      <c r="B4" t="s">
        <v>110</v>
      </c>
      <c r="C4">
        <v>2021</v>
      </c>
      <c r="D4">
        <v>1</v>
      </c>
      <c r="E4" t="s">
        <v>218</v>
      </c>
      <c r="F4" t="s">
        <v>219</v>
      </c>
      <c r="G4" t="s">
        <v>220</v>
      </c>
      <c r="H4" t="s">
        <v>17</v>
      </c>
      <c r="I4" t="s">
        <v>243</v>
      </c>
      <c r="J4" t="s">
        <v>244</v>
      </c>
      <c r="M4">
        <v>229.28177454999999</v>
      </c>
      <c r="N4" t="s">
        <v>245</v>
      </c>
      <c r="O4" t="s">
        <v>21</v>
      </c>
      <c r="P4">
        <v>1</v>
      </c>
    </row>
    <row r="5" spans="1:16" x14ac:dyDescent="0.25">
      <c r="A5" t="s">
        <v>283</v>
      </c>
      <c r="B5" t="s">
        <v>110</v>
      </c>
      <c r="C5">
        <v>2021</v>
      </c>
      <c r="D5">
        <v>1</v>
      </c>
      <c r="E5" t="s">
        <v>218</v>
      </c>
      <c r="F5" t="s">
        <v>219</v>
      </c>
      <c r="G5" t="s">
        <v>220</v>
      </c>
      <c r="H5" t="s">
        <v>17</v>
      </c>
      <c r="I5" t="s">
        <v>238</v>
      </c>
      <c r="J5" t="s">
        <v>239</v>
      </c>
      <c r="M5">
        <v>204.53825117</v>
      </c>
      <c r="N5" t="s">
        <v>240</v>
      </c>
      <c r="O5" t="s">
        <v>21</v>
      </c>
      <c r="P5">
        <v>1</v>
      </c>
    </row>
    <row r="6" spans="1:16" x14ac:dyDescent="0.25">
      <c r="A6" t="s">
        <v>283</v>
      </c>
      <c r="B6" t="s">
        <v>110</v>
      </c>
      <c r="C6">
        <v>2021</v>
      </c>
      <c r="D6">
        <v>1</v>
      </c>
      <c r="E6" t="s">
        <v>218</v>
      </c>
      <c r="F6" t="s">
        <v>219</v>
      </c>
      <c r="G6" t="s">
        <v>220</v>
      </c>
      <c r="H6" t="s">
        <v>17</v>
      </c>
      <c r="I6" t="s">
        <v>241</v>
      </c>
      <c r="J6" t="s">
        <v>242</v>
      </c>
      <c r="M6">
        <v>85.228445769999993</v>
      </c>
      <c r="N6" t="s">
        <v>242</v>
      </c>
      <c r="O6" t="s">
        <v>21</v>
      </c>
      <c r="P6">
        <v>1</v>
      </c>
    </row>
    <row r="7" spans="1:16" x14ac:dyDescent="0.25">
      <c r="A7" t="s">
        <v>283</v>
      </c>
      <c r="B7" t="s">
        <v>110</v>
      </c>
      <c r="C7">
        <v>2021</v>
      </c>
      <c r="D7">
        <v>1</v>
      </c>
      <c r="E7" t="s">
        <v>218</v>
      </c>
      <c r="F7" t="s">
        <v>219</v>
      </c>
      <c r="G7" t="s">
        <v>220</v>
      </c>
      <c r="H7" t="s">
        <v>17</v>
      </c>
      <c r="I7" t="s">
        <v>246</v>
      </c>
      <c r="J7" t="s">
        <v>247</v>
      </c>
      <c r="M7">
        <v>677.62450389000003</v>
      </c>
      <c r="N7" t="s">
        <v>248</v>
      </c>
      <c r="O7" t="s">
        <v>21</v>
      </c>
      <c r="P7">
        <v>1</v>
      </c>
    </row>
    <row r="8" spans="1:16" x14ac:dyDescent="0.25">
      <c r="A8" t="s">
        <v>283</v>
      </c>
      <c r="B8" t="s">
        <v>110</v>
      </c>
      <c r="C8">
        <v>2021</v>
      </c>
      <c r="D8">
        <v>1</v>
      </c>
      <c r="E8" t="s">
        <v>218</v>
      </c>
      <c r="F8" t="s">
        <v>219</v>
      </c>
      <c r="G8" t="s">
        <v>220</v>
      </c>
      <c r="H8" t="s">
        <v>17</v>
      </c>
      <c r="I8" t="s">
        <v>249</v>
      </c>
      <c r="J8" t="s">
        <v>250</v>
      </c>
      <c r="M8">
        <v>784.87587350000001</v>
      </c>
      <c r="N8" t="s">
        <v>250</v>
      </c>
      <c r="O8" t="s">
        <v>21</v>
      </c>
      <c r="P8">
        <v>1</v>
      </c>
    </row>
    <row r="9" spans="1:16" x14ac:dyDescent="0.25">
      <c r="A9" t="s">
        <v>283</v>
      </c>
      <c r="B9" t="s">
        <v>110</v>
      </c>
      <c r="C9">
        <v>2021</v>
      </c>
      <c r="D9">
        <v>1</v>
      </c>
      <c r="E9" t="s">
        <v>218</v>
      </c>
      <c r="F9" t="s">
        <v>251</v>
      </c>
      <c r="G9" t="s">
        <v>252</v>
      </c>
      <c r="H9" t="s">
        <v>17</v>
      </c>
      <c r="I9" t="s">
        <v>253</v>
      </c>
      <c r="J9" t="s">
        <v>222</v>
      </c>
      <c r="M9">
        <v>346.05522665000001</v>
      </c>
      <c r="N9" t="s">
        <v>223</v>
      </c>
      <c r="O9" t="s">
        <v>21</v>
      </c>
      <c r="P9">
        <v>1</v>
      </c>
    </row>
    <row r="10" spans="1:16" x14ac:dyDescent="0.25">
      <c r="A10" t="s">
        <v>283</v>
      </c>
      <c r="B10" t="s">
        <v>110</v>
      </c>
      <c r="C10">
        <v>2021</v>
      </c>
      <c r="D10">
        <v>1</v>
      </c>
      <c r="E10" t="s">
        <v>218</v>
      </c>
      <c r="F10" t="s">
        <v>251</v>
      </c>
      <c r="G10" t="s">
        <v>252</v>
      </c>
      <c r="H10" t="s">
        <v>17</v>
      </c>
      <c r="I10" t="s">
        <v>254</v>
      </c>
      <c r="J10" t="s">
        <v>234</v>
      </c>
      <c r="M10">
        <v>1274.7150420800001</v>
      </c>
      <c r="N10" t="s">
        <v>234</v>
      </c>
      <c r="O10" t="s">
        <v>21</v>
      </c>
      <c r="P10">
        <v>1</v>
      </c>
    </row>
    <row r="11" spans="1:16" x14ac:dyDescent="0.25">
      <c r="A11" t="s">
        <v>283</v>
      </c>
      <c r="B11" t="s">
        <v>110</v>
      </c>
      <c r="C11">
        <v>2021</v>
      </c>
      <c r="D11">
        <v>1</v>
      </c>
      <c r="E11" t="s">
        <v>218</v>
      </c>
      <c r="F11" t="s">
        <v>251</v>
      </c>
      <c r="G11" t="s">
        <v>252</v>
      </c>
      <c r="H11" t="s">
        <v>17</v>
      </c>
      <c r="I11" t="s">
        <v>257</v>
      </c>
      <c r="J11" t="s">
        <v>244</v>
      </c>
      <c r="M11">
        <v>274.50729923</v>
      </c>
      <c r="N11" t="s">
        <v>245</v>
      </c>
      <c r="O11" t="s">
        <v>21</v>
      </c>
      <c r="P11">
        <v>1</v>
      </c>
    </row>
    <row r="12" spans="1:16" x14ac:dyDescent="0.25">
      <c r="A12" t="s">
        <v>283</v>
      </c>
      <c r="B12" t="s">
        <v>110</v>
      </c>
      <c r="C12">
        <v>2021</v>
      </c>
      <c r="D12">
        <v>1</v>
      </c>
      <c r="E12" t="s">
        <v>218</v>
      </c>
      <c r="F12" t="s">
        <v>251</v>
      </c>
      <c r="G12" t="s">
        <v>252</v>
      </c>
      <c r="H12" t="s">
        <v>17</v>
      </c>
      <c r="I12" t="s">
        <v>255</v>
      </c>
      <c r="J12" t="s">
        <v>239</v>
      </c>
      <c r="M12">
        <v>239.50810949999999</v>
      </c>
      <c r="N12" t="s">
        <v>240</v>
      </c>
      <c r="O12" t="s">
        <v>21</v>
      </c>
      <c r="P12">
        <v>1</v>
      </c>
    </row>
    <row r="13" spans="1:16" x14ac:dyDescent="0.25">
      <c r="A13" t="s">
        <v>283</v>
      </c>
      <c r="B13" t="s">
        <v>110</v>
      </c>
      <c r="C13">
        <v>2021</v>
      </c>
      <c r="D13">
        <v>1</v>
      </c>
      <c r="E13" t="s">
        <v>218</v>
      </c>
      <c r="F13" t="s">
        <v>251</v>
      </c>
      <c r="G13" t="s">
        <v>252</v>
      </c>
      <c r="H13" t="s">
        <v>17</v>
      </c>
      <c r="I13" t="s">
        <v>256</v>
      </c>
      <c r="J13" t="s">
        <v>242</v>
      </c>
      <c r="M13">
        <v>94.21344646</v>
      </c>
      <c r="N13" t="s">
        <v>242</v>
      </c>
      <c r="O13" t="s">
        <v>21</v>
      </c>
      <c r="P13">
        <v>1</v>
      </c>
    </row>
    <row r="14" spans="1:16" x14ac:dyDescent="0.25">
      <c r="A14" t="s">
        <v>283</v>
      </c>
      <c r="B14" t="s">
        <v>110</v>
      </c>
      <c r="C14">
        <v>2021</v>
      </c>
      <c r="D14">
        <v>1</v>
      </c>
      <c r="E14" t="s">
        <v>218</v>
      </c>
      <c r="F14" t="s">
        <v>251</v>
      </c>
      <c r="G14" t="s">
        <v>252</v>
      </c>
      <c r="H14" t="s">
        <v>17</v>
      </c>
      <c r="I14" t="s">
        <v>258</v>
      </c>
      <c r="J14" t="s">
        <v>247</v>
      </c>
      <c r="M14">
        <v>729.29432581000003</v>
      </c>
      <c r="N14" t="s">
        <v>248</v>
      </c>
      <c r="O14" t="s">
        <v>21</v>
      </c>
      <c r="P14">
        <v>1</v>
      </c>
    </row>
    <row r="15" spans="1:16" x14ac:dyDescent="0.25">
      <c r="A15" t="s">
        <v>283</v>
      </c>
      <c r="B15" t="s">
        <v>110</v>
      </c>
      <c r="C15">
        <v>2021</v>
      </c>
      <c r="D15">
        <v>1</v>
      </c>
      <c r="E15" t="s">
        <v>218</v>
      </c>
      <c r="F15" t="s">
        <v>251</v>
      </c>
      <c r="G15" t="s">
        <v>252</v>
      </c>
      <c r="H15" t="s">
        <v>17</v>
      </c>
      <c r="I15" t="s">
        <v>259</v>
      </c>
      <c r="J15" t="s">
        <v>250</v>
      </c>
      <c r="M15">
        <v>857.20040647999997</v>
      </c>
      <c r="N15" t="s">
        <v>250</v>
      </c>
      <c r="O15" t="s">
        <v>21</v>
      </c>
      <c r="P15">
        <v>1</v>
      </c>
    </row>
    <row r="16" spans="1:16" x14ac:dyDescent="0.25">
      <c r="A16" t="s">
        <v>283</v>
      </c>
      <c r="B16" t="s">
        <v>110</v>
      </c>
      <c r="C16">
        <v>2021</v>
      </c>
      <c r="D16">
        <v>1</v>
      </c>
      <c r="E16" t="s">
        <v>218</v>
      </c>
      <c r="F16" t="s">
        <v>260</v>
      </c>
      <c r="G16" t="s">
        <v>261</v>
      </c>
      <c r="H16" t="s">
        <v>17</v>
      </c>
      <c r="I16" t="s">
        <v>262</v>
      </c>
      <c r="J16" t="s">
        <v>222</v>
      </c>
      <c r="M16">
        <v>189.43264973999999</v>
      </c>
      <c r="N16" t="s">
        <v>223</v>
      </c>
      <c r="O16" t="s">
        <v>21</v>
      </c>
      <c r="P16">
        <v>1</v>
      </c>
    </row>
    <row r="17" spans="1:16" x14ac:dyDescent="0.25">
      <c r="A17" t="s">
        <v>283</v>
      </c>
      <c r="B17" t="s">
        <v>110</v>
      </c>
      <c r="C17">
        <v>2021</v>
      </c>
      <c r="D17">
        <v>1</v>
      </c>
      <c r="E17" t="s">
        <v>218</v>
      </c>
      <c r="F17" t="s">
        <v>260</v>
      </c>
      <c r="G17" t="s">
        <v>261</v>
      </c>
      <c r="H17" t="s">
        <v>17</v>
      </c>
      <c r="I17" t="s">
        <v>263</v>
      </c>
      <c r="J17" t="s">
        <v>234</v>
      </c>
      <c r="M17">
        <v>745.76699694000001</v>
      </c>
      <c r="N17" t="s">
        <v>234</v>
      </c>
      <c r="O17" t="s">
        <v>21</v>
      </c>
      <c r="P17">
        <v>1</v>
      </c>
    </row>
    <row r="18" spans="1:16" x14ac:dyDescent="0.25">
      <c r="A18" t="s">
        <v>283</v>
      </c>
      <c r="B18" t="s">
        <v>110</v>
      </c>
      <c r="C18">
        <v>2021</v>
      </c>
      <c r="D18">
        <v>1</v>
      </c>
      <c r="E18" t="s">
        <v>218</v>
      </c>
      <c r="F18" t="s">
        <v>260</v>
      </c>
      <c r="G18" t="s">
        <v>261</v>
      </c>
      <c r="H18" t="s">
        <v>17</v>
      </c>
      <c r="I18" t="s">
        <v>266</v>
      </c>
      <c r="J18" t="s">
        <v>244</v>
      </c>
      <c r="M18">
        <v>150.64432187</v>
      </c>
      <c r="N18" t="s">
        <v>245</v>
      </c>
      <c r="O18" t="s">
        <v>21</v>
      </c>
      <c r="P18">
        <v>1</v>
      </c>
    </row>
    <row r="19" spans="1:16" x14ac:dyDescent="0.25">
      <c r="A19" t="s">
        <v>283</v>
      </c>
      <c r="B19" t="s">
        <v>110</v>
      </c>
      <c r="C19">
        <v>2021</v>
      </c>
      <c r="D19">
        <v>1</v>
      </c>
      <c r="E19" t="s">
        <v>218</v>
      </c>
      <c r="F19" t="s">
        <v>260</v>
      </c>
      <c r="G19" t="s">
        <v>261</v>
      </c>
      <c r="H19" t="s">
        <v>17</v>
      </c>
      <c r="I19" t="s">
        <v>264</v>
      </c>
      <c r="J19" t="s">
        <v>239</v>
      </c>
      <c r="M19">
        <v>138.81623006999999</v>
      </c>
      <c r="N19" t="s">
        <v>240</v>
      </c>
      <c r="O19" t="s">
        <v>21</v>
      </c>
      <c r="P19">
        <v>1</v>
      </c>
    </row>
    <row r="20" spans="1:16" x14ac:dyDescent="0.25">
      <c r="A20" t="s">
        <v>283</v>
      </c>
      <c r="B20" t="s">
        <v>110</v>
      </c>
      <c r="C20">
        <v>2021</v>
      </c>
      <c r="D20">
        <v>1</v>
      </c>
      <c r="E20" t="s">
        <v>218</v>
      </c>
      <c r="F20" t="s">
        <v>260</v>
      </c>
      <c r="G20" t="s">
        <v>261</v>
      </c>
      <c r="H20" t="s">
        <v>17</v>
      </c>
      <c r="I20" t="s">
        <v>265</v>
      </c>
      <c r="J20" t="s">
        <v>242</v>
      </c>
      <c r="M20">
        <v>53.678003590000003</v>
      </c>
      <c r="N20" t="s">
        <v>242</v>
      </c>
      <c r="O20" t="s">
        <v>21</v>
      </c>
      <c r="P20">
        <v>1</v>
      </c>
    </row>
    <row r="21" spans="1:16" x14ac:dyDescent="0.25">
      <c r="A21" t="s">
        <v>283</v>
      </c>
      <c r="B21" t="s">
        <v>110</v>
      </c>
      <c r="C21">
        <v>2021</v>
      </c>
      <c r="D21">
        <v>1</v>
      </c>
      <c r="E21" t="s">
        <v>218</v>
      </c>
      <c r="F21" t="s">
        <v>260</v>
      </c>
      <c r="G21" t="s">
        <v>261</v>
      </c>
      <c r="H21" t="s">
        <v>17</v>
      </c>
      <c r="I21" t="s">
        <v>267</v>
      </c>
      <c r="J21" t="s">
        <v>247</v>
      </c>
      <c r="M21">
        <v>457.94948291999998</v>
      </c>
      <c r="N21" t="s">
        <v>248</v>
      </c>
      <c r="O21" t="s">
        <v>21</v>
      </c>
      <c r="P21">
        <v>1</v>
      </c>
    </row>
    <row r="22" spans="1:16" x14ac:dyDescent="0.25">
      <c r="A22" t="s">
        <v>283</v>
      </c>
      <c r="B22" t="s">
        <v>110</v>
      </c>
      <c r="C22">
        <v>2021</v>
      </c>
      <c r="D22">
        <v>1</v>
      </c>
      <c r="E22" t="s">
        <v>218</v>
      </c>
      <c r="F22" t="s">
        <v>260</v>
      </c>
      <c r="G22" t="s">
        <v>261</v>
      </c>
      <c r="H22" t="s">
        <v>17</v>
      </c>
      <c r="I22" t="s">
        <v>268</v>
      </c>
      <c r="J22" t="s">
        <v>250</v>
      </c>
      <c r="M22">
        <v>529.53040662000001</v>
      </c>
      <c r="N22" t="s">
        <v>250</v>
      </c>
      <c r="O22" t="s">
        <v>21</v>
      </c>
      <c r="P22">
        <v>1</v>
      </c>
    </row>
    <row r="23" spans="1:16" x14ac:dyDescent="0.25">
      <c r="A23" t="s">
        <v>283</v>
      </c>
      <c r="B23" t="s">
        <v>114</v>
      </c>
      <c r="C23">
        <v>2021</v>
      </c>
      <c r="D23">
        <v>1</v>
      </c>
      <c r="E23" t="s">
        <v>218</v>
      </c>
      <c r="F23" t="s">
        <v>219</v>
      </c>
      <c r="G23" t="s">
        <v>220</v>
      </c>
      <c r="H23" t="s">
        <v>17</v>
      </c>
      <c r="I23" t="s">
        <v>221</v>
      </c>
      <c r="J23" t="s">
        <v>222</v>
      </c>
      <c r="M23">
        <v>382.2566903</v>
      </c>
      <c r="N23" t="s">
        <v>223</v>
      </c>
      <c r="O23" t="s">
        <v>21</v>
      </c>
      <c r="P23">
        <v>1</v>
      </c>
    </row>
    <row r="24" spans="1:16" x14ac:dyDescent="0.25">
      <c r="A24" t="s">
        <v>283</v>
      </c>
      <c r="B24" t="s">
        <v>114</v>
      </c>
      <c r="C24">
        <v>2021</v>
      </c>
      <c r="D24">
        <v>1</v>
      </c>
      <c r="E24" t="s">
        <v>218</v>
      </c>
      <c r="F24" t="s">
        <v>219</v>
      </c>
      <c r="G24" t="s">
        <v>220</v>
      </c>
      <c r="H24" t="s">
        <v>17</v>
      </c>
      <c r="I24" t="s">
        <v>233</v>
      </c>
      <c r="J24" t="s">
        <v>234</v>
      </c>
      <c r="M24">
        <v>1089.57416842</v>
      </c>
      <c r="N24" t="s">
        <v>234</v>
      </c>
      <c r="O24" t="s">
        <v>21</v>
      </c>
      <c r="P24">
        <v>1</v>
      </c>
    </row>
    <row r="25" spans="1:16" x14ac:dyDescent="0.25">
      <c r="A25" t="s">
        <v>283</v>
      </c>
      <c r="B25" t="s">
        <v>114</v>
      </c>
      <c r="C25">
        <v>2021</v>
      </c>
      <c r="D25">
        <v>1</v>
      </c>
      <c r="E25" t="s">
        <v>218</v>
      </c>
      <c r="F25" t="s">
        <v>219</v>
      </c>
      <c r="G25" t="s">
        <v>220</v>
      </c>
      <c r="H25" t="s">
        <v>17</v>
      </c>
      <c r="I25" t="s">
        <v>243</v>
      </c>
      <c r="J25" t="s">
        <v>244</v>
      </c>
      <c r="M25">
        <v>125.80276799000001</v>
      </c>
      <c r="N25" t="s">
        <v>245</v>
      </c>
      <c r="O25" t="s">
        <v>21</v>
      </c>
      <c r="P25">
        <v>1</v>
      </c>
    </row>
    <row r="26" spans="1:16" x14ac:dyDescent="0.25">
      <c r="A26" t="s">
        <v>283</v>
      </c>
      <c r="B26" t="s">
        <v>114</v>
      </c>
      <c r="C26">
        <v>2021</v>
      </c>
      <c r="D26">
        <v>1</v>
      </c>
      <c r="E26" t="s">
        <v>218</v>
      </c>
      <c r="F26" t="s">
        <v>219</v>
      </c>
      <c r="G26" t="s">
        <v>220</v>
      </c>
      <c r="H26" t="s">
        <v>17</v>
      </c>
      <c r="I26" t="s">
        <v>238</v>
      </c>
      <c r="J26" t="s">
        <v>239</v>
      </c>
      <c r="M26">
        <v>197.37780796999999</v>
      </c>
      <c r="N26" t="s">
        <v>240</v>
      </c>
      <c r="O26" t="s">
        <v>21</v>
      </c>
      <c r="P26">
        <v>1</v>
      </c>
    </row>
    <row r="27" spans="1:16" x14ac:dyDescent="0.25">
      <c r="A27" t="s">
        <v>283</v>
      </c>
      <c r="B27" t="s">
        <v>114</v>
      </c>
      <c r="C27">
        <v>2021</v>
      </c>
      <c r="D27">
        <v>1</v>
      </c>
      <c r="E27" t="s">
        <v>218</v>
      </c>
      <c r="F27" t="s">
        <v>219</v>
      </c>
      <c r="G27" t="s">
        <v>220</v>
      </c>
      <c r="H27" t="s">
        <v>17</v>
      </c>
      <c r="I27" t="s">
        <v>241</v>
      </c>
      <c r="J27" t="s">
        <v>242</v>
      </c>
      <c r="M27">
        <v>82.589907109999999</v>
      </c>
      <c r="N27" t="s">
        <v>242</v>
      </c>
      <c r="O27" t="s">
        <v>21</v>
      </c>
      <c r="P27">
        <v>1</v>
      </c>
    </row>
    <row r="28" spans="1:16" x14ac:dyDescent="0.25">
      <c r="A28" t="s">
        <v>283</v>
      </c>
      <c r="B28" t="s">
        <v>114</v>
      </c>
      <c r="C28">
        <v>2021</v>
      </c>
      <c r="D28">
        <v>1</v>
      </c>
      <c r="E28" t="s">
        <v>218</v>
      </c>
      <c r="F28" t="s">
        <v>219</v>
      </c>
      <c r="G28" t="s">
        <v>220</v>
      </c>
      <c r="H28" t="s">
        <v>17</v>
      </c>
      <c r="I28" t="s">
        <v>246</v>
      </c>
      <c r="J28" t="s">
        <v>247</v>
      </c>
      <c r="M28">
        <v>747.10109075000003</v>
      </c>
      <c r="N28" t="s">
        <v>248</v>
      </c>
      <c r="O28" t="s">
        <v>21</v>
      </c>
      <c r="P28">
        <v>1</v>
      </c>
    </row>
    <row r="29" spans="1:16" x14ac:dyDescent="0.25">
      <c r="A29" t="s">
        <v>283</v>
      </c>
      <c r="B29" t="s">
        <v>114</v>
      </c>
      <c r="C29">
        <v>2021</v>
      </c>
      <c r="D29">
        <v>1</v>
      </c>
      <c r="E29" t="s">
        <v>218</v>
      </c>
      <c r="F29" t="s">
        <v>219</v>
      </c>
      <c r="G29" t="s">
        <v>220</v>
      </c>
      <c r="H29" t="s">
        <v>17</v>
      </c>
      <c r="I29" t="s">
        <v>249</v>
      </c>
      <c r="J29" t="s">
        <v>250</v>
      </c>
      <c r="M29">
        <v>753.26639003000003</v>
      </c>
      <c r="N29" t="s">
        <v>250</v>
      </c>
      <c r="O29" t="s">
        <v>21</v>
      </c>
      <c r="P29">
        <v>1</v>
      </c>
    </row>
    <row r="30" spans="1:16" x14ac:dyDescent="0.25">
      <c r="A30" t="s">
        <v>283</v>
      </c>
      <c r="B30" t="s">
        <v>114</v>
      </c>
      <c r="C30">
        <v>2021</v>
      </c>
      <c r="D30">
        <v>1</v>
      </c>
      <c r="E30" t="s">
        <v>218</v>
      </c>
      <c r="F30" t="s">
        <v>251</v>
      </c>
      <c r="G30" t="s">
        <v>252</v>
      </c>
      <c r="H30" t="s">
        <v>17</v>
      </c>
      <c r="I30" t="s">
        <v>253</v>
      </c>
      <c r="J30" t="s">
        <v>222</v>
      </c>
      <c r="M30">
        <v>487.03400127999998</v>
      </c>
      <c r="N30" t="s">
        <v>223</v>
      </c>
      <c r="O30" t="s">
        <v>21</v>
      </c>
      <c r="P30">
        <v>1</v>
      </c>
    </row>
    <row r="31" spans="1:16" x14ac:dyDescent="0.25">
      <c r="A31" t="s">
        <v>283</v>
      </c>
      <c r="B31" t="s">
        <v>114</v>
      </c>
      <c r="C31">
        <v>2021</v>
      </c>
      <c r="D31">
        <v>1</v>
      </c>
      <c r="E31" t="s">
        <v>218</v>
      </c>
      <c r="F31" t="s">
        <v>251</v>
      </c>
      <c r="G31" t="s">
        <v>252</v>
      </c>
      <c r="H31" t="s">
        <v>17</v>
      </c>
      <c r="I31" t="s">
        <v>254</v>
      </c>
      <c r="J31" t="s">
        <v>234</v>
      </c>
      <c r="M31">
        <v>1292.0884273900001</v>
      </c>
      <c r="N31" t="s">
        <v>234</v>
      </c>
      <c r="O31" t="s">
        <v>21</v>
      </c>
      <c r="P31">
        <v>1</v>
      </c>
    </row>
    <row r="32" spans="1:16" x14ac:dyDescent="0.25">
      <c r="A32" t="s">
        <v>283</v>
      </c>
      <c r="B32" t="s">
        <v>114</v>
      </c>
      <c r="C32">
        <v>2021</v>
      </c>
      <c r="D32">
        <v>1</v>
      </c>
      <c r="E32" t="s">
        <v>218</v>
      </c>
      <c r="F32" t="s">
        <v>251</v>
      </c>
      <c r="G32" t="s">
        <v>252</v>
      </c>
      <c r="H32" t="s">
        <v>17</v>
      </c>
      <c r="I32" t="s">
        <v>257</v>
      </c>
      <c r="J32" t="s">
        <v>244</v>
      </c>
      <c r="M32">
        <v>160.01598591999999</v>
      </c>
      <c r="N32" t="s">
        <v>245</v>
      </c>
      <c r="O32" t="s">
        <v>21</v>
      </c>
      <c r="P32">
        <v>1</v>
      </c>
    </row>
    <row r="33" spans="1:16" x14ac:dyDescent="0.25">
      <c r="A33" t="s">
        <v>283</v>
      </c>
      <c r="B33" t="s">
        <v>114</v>
      </c>
      <c r="C33">
        <v>2021</v>
      </c>
      <c r="D33">
        <v>1</v>
      </c>
      <c r="E33" t="s">
        <v>218</v>
      </c>
      <c r="F33" t="s">
        <v>251</v>
      </c>
      <c r="G33" t="s">
        <v>252</v>
      </c>
      <c r="H33" t="s">
        <v>17</v>
      </c>
      <c r="I33" t="s">
        <v>255</v>
      </c>
      <c r="J33" t="s">
        <v>239</v>
      </c>
      <c r="M33">
        <v>237.42900700999999</v>
      </c>
      <c r="N33" t="s">
        <v>240</v>
      </c>
      <c r="O33" t="s">
        <v>21</v>
      </c>
      <c r="P33">
        <v>1</v>
      </c>
    </row>
    <row r="34" spans="1:16" x14ac:dyDescent="0.25">
      <c r="A34" t="s">
        <v>283</v>
      </c>
      <c r="B34" t="s">
        <v>114</v>
      </c>
      <c r="C34">
        <v>2021</v>
      </c>
      <c r="D34">
        <v>1</v>
      </c>
      <c r="E34" t="s">
        <v>218</v>
      </c>
      <c r="F34" t="s">
        <v>251</v>
      </c>
      <c r="G34" t="s">
        <v>252</v>
      </c>
      <c r="H34" t="s">
        <v>17</v>
      </c>
      <c r="I34" t="s">
        <v>256</v>
      </c>
      <c r="J34" t="s">
        <v>242</v>
      </c>
      <c r="M34">
        <v>98.83713564</v>
      </c>
      <c r="N34" t="s">
        <v>242</v>
      </c>
      <c r="O34" t="s">
        <v>21</v>
      </c>
      <c r="P34">
        <v>1</v>
      </c>
    </row>
    <row r="35" spans="1:16" x14ac:dyDescent="0.25">
      <c r="A35" t="s">
        <v>283</v>
      </c>
      <c r="B35" t="s">
        <v>114</v>
      </c>
      <c r="C35">
        <v>2021</v>
      </c>
      <c r="D35">
        <v>1</v>
      </c>
      <c r="E35" t="s">
        <v>218</v>
      </c>
      <c r="F35" t="s">
        <v>251</v>
      </c>
      <c r="G35" t="s">
        <v>252</v>
      </c>
      <c r="H35" t="s">
        <v>17</v>
      </c>
      <c r="I35" t="s">
        <v>258</v>
      </c>
      <c r="J35" t="s">
        <v>247</v>
      </c>
      <c r="M35">
        <v>843.46043897000004</v>
      </c>
      <c r="N35" t="s">
        <v>248</v>
      </c>
      <c r="O35" t="s">
        <v>21</v>
      </c>
      <c r="P35">
        <v>1</v>
      </c>
    </row>
    <row r="36" spans="1:16" x14ac:dyDescent="0.25">
      <c r="A36" t="s">
        <v>283</v>
      </c>
      <c r="B36" t="s">
        <v>114</v>
      </c>
      <c r="C36">
        <v>2021</v>
      </c>
      <c r="D36">
        <v>1</v>
      </c>
      <c r="E36" t="s">
        <v>218</v>
      </c>
      <c r="F36" t="s">
        <v>251</v>
      </c>
      <c r="G36" t="s">
        <v>252</v>
      </c>
      <c r="H36" t="s">
        <v>17</v>
      </c>
      <c r="I36" t="s">
        <v>259</v>
      </c>
      <c r="J36" t="s">
        <v>250</v>
      </c>
      <c r="M36">
        <v>855.75895606999995</v>
      </c>
      <c r="N36" t="s">
        <v>250</v>
      </c>
      <c r="O36" t="s">
        <v>21</v>
      </c>
      <c r="P36">
        <v>1</v>
      </c>
    </row>
    <row r="37" spans="1:16" x14ac:dyDescent="0.25">
      <c r="A37" t="s">
        <v>283</v>
      </c>
      <c r="B37" t="s">
        <v>114</v>
      </c>
      <c r="C37">
        <v>2021</v>
      </c>
      <c r="D37">
        <v>1</v>
      </c>
      <c r="E37" t="s">
        <v>218</v>
      </c>
      <c r="F37" t="s">
        <v>260</v>
      </c>
      <c r="G37" t="s">
        <v>261</v>
      </c>
      <c r="H37" t="s">
        <v>17</v>
      </c>
      <c r="I37" t="s">
        <v>262</v>
      </c>
      <c r="J37" t="s">
        <v>222</v>
      </c>
      <c r="M37">
        <v>276.04528281</v>
      </c>
      <c r="N37" t="s">
        <v>223</v>
      </c>
      <c r="O37" t="s">
        <v>21</v>
      </c>
      <c r="P37">
        <v>1</v>
      </c>
    </row>
    <row r="38" spans="1:16" x14ac:dyDescent="0.25">
      <c r="A38" t="s">
        <v>283</v>
      </c>
      <c r="B38" t="s">
        <v>114</v>
      </c>
      <c r="C38">
        <v>2021</v>
      </c>
      <c r="D38">
        <v>1</v>
      </c>
      <c r="E38" t="s">
        <v>218</v>
      </c>
      <c r="F38" t="s">
        <v>260</v>
      </c>
      <c r="G38" t="s">
        <v>261</v>
      </c>
      <c r="H38" t="s">
        <v>17</v>
      </c>
      <c r="I38" t="s">
        <v>263</v>
      </c>
      <c r="J38" t="s">
        <v>234</v>
      </c>
      <c r="M38">
        <v>768.10875840999995</v>
      </c>
      <c r="N38" t="s">
        <v>234</v>
      </c>
      <c r="O38" t="s">
        <v>21</v>
      </c>
      <c r="P38">
        <v>1</v>
      </c>
    </row>
    <row r="39" spans="1:16" x14ac:dyDescent="0.25">
      <c r="A39" t="s">
        <v>283</v>
      </c>
      <c r="B39" t="s">
        <v>114</v>
      </c>
      <c r="C39">
        <v>2021</v>
      </c>
      <c r="D39">
        <v>1</v>
      </c>
      <c r="E39" t="s">
        <v>218</v>
      </c>
      <c r="F39" t="s">
        <v>260</v>
      </c>
      <c r="G39" t="s">
        <v>261</v>
      </c>
      <c r="H39" t="s">
        <v>17</v>
      </c>
      <c r="I39" t="s">
        <v>266</v>
      </c>
      <c r="J39" t="s">
        <v>244</v>
      </c>
      <c r="M39">
        <v>85.232765130000004</v>
      </c>
      <c r="N39" t="s">
        <v>245</v>
      </c>
      <c r="O39" t="s">
        <v>21</v>
      </c>
      <c r="P39">
        <v>1</v>
      </c>
    </row>
    <row r="40" spans="1:16" x14ac:dyDescent="0.25">
      <c r="A40" t="s">
        <v>283</v>
      </c>
      <c r="B40" t="s">
        <v>114</v>
      </c>
      <c r="C40">
        <v>2021</v>
      </c>
      <c r="D40">
        <v>1</v>
      </c>
      <c r="E40" t="s">
        <v>218</v>
      </c>
      <c r="F40" t="s">
        <v>260</v>
      </c>
      <c r="G40" t="s">
        <v>261</v>
      </c>
      <c r="H40" t="s">
        <v>17</v>
      </c>
      <c r="I40" t="s">
        <v>264</v>
      </c>
      <c r="J40" t="s">
        <v>239</v>
      </c>
      <c r="M40">
        <v>137.24384037999999</v>
      </c>
      <c r="N40" t="s">
        <v>240</v>
      </c>
      <c r="O40" t="s">
        <v>21</v>
      </c>
      <c r="P40">
        <v>1</v>
      </c>
    </row>
    <row r="41" spans="1:16" x14ac:dyDescent="0.25">
      <c r="A41" t="s">
        <v>283</v>
      </c>
      <c r="B41" t="s">
        <v>114</v>
      </c>
      <c r="C41">
        <v>2021</v>
      </c>
      <c r="D41">
        <v>1</v>
      </c>
      <c r="E41" t="s">
        <v>218</v>
      </c>
      <c r="F41" t="s">
        <v>260</v>
      </c>
      <c r="G41" t="s">
        <v>261</v>
      </c>
      <c r="H41" t="s">
        <v>17</v>
      </c>
      <c r="I41" t="s">
        <v>265</v>
      </c>
      <c r="J41" t="s">
        <v>242</v>
      </c>
      <c r="M41">
        <v>56.458691350000002</v>
      </c>
      <c r="N41" t="s">
        <v>242</v>
      </c>
      <c r="O41" t="s">
        <v>21</v>
      </c>
      <c r="P41">
        <v>1</v>
      </c>
    </row>
    <row r="42" spans="1:16" x14ac:dyDescent="0.25">
      <c r="A42" t="s">
        <v>283</v>
      </c>
      <c r="B42" t="s">
        <v>114</v>
      </c>
      <c r="C42">
        <v>2021</v>
      </c>
      <c r="D42">
        <v>1</v>
      </c>
      <c r="E42" t="s">
        <v>218</v>
      </c>
      <c r="F42" t="s">
        <v>260</v>
      </c>
      <c r="G42" t="s">
        <v>261</v>
      </c>
      <c r="H42" t="s">
        <v>17</v>
      </c>
      <c r="I42" t="s">
        <v>267</v>
      </c>
      <c r="J42" t="s">
        <v>247</v>
      </c>
      <c r="M42">
        <v>540.52212516999998</v>
      </c>
      <c r="N42" t="s">
        <v>248</v>
      </c>
      <c r="O42" t="s">
        <v>21</v>
      </c>
      <c r="P42">
        <v>1</v>
      </c>
    </row>
    <row r="43" spans="1:16" x14ac:dyDescent="0.25">
      <c r="A43" t="s">
        <v>283</v>
      </c>
      <c r="B43" t="s">
        <v>114</v>
      </c>
      <c r="C43">
        <v>2021</v>
      </c>
      <c r="D43">
        <v>1</v>
      </c>
      <c r="E43" t="s">
        <v>218</v>
      </c>
      <c r="F43" t="s">
        <v>260</v>
      </c>
      <c r="G43" t="s">
        <v>261</v>
      </c>
      <c r="H43" t="s">
        <v>17</v>
      </c>
      <c r="I43" t="s">
        <v>268</v>
      </c>
      <c r="J43" t="s">
        <v>250</v>
      </c>
      <c r="M43">
        <v>532.01393012999995</v>
      </c>
      <c r="N43" t="s">
        <v>250</v>
      </c>
      <c r="O43" t="s">
        <v>21</v>
      </c>
      <c r="P43">
        <v>1</v>
      </c>
    </row>
    <row r="44" spans="1:16" x14ac:dyDescent="0.25">
      <c r="A44" t="s">
        <v>283</v>
      </c>
      <c r="B44" t="s">
        <v>118</v>
      </c>
      <c r="C44">
        <v>2021</v>
      </c>
      <c r="D44">
        <v>1</v>
      </c>
      <c r="E44" t="s">
        <v>218</v>
      </c>
      <c r="F44" t="s">
        <v>219</v>
      </c>
      <c r="G44" t="s">
        <v>220</v>
      </c>
      <c r="H44" t="s">
        <v>17</v>
      </c>
      <c r="I44" t="s">
        <v>221</v>
      </c>
      <c r="J44" t="s">
        <v>222</v>
      </c>
      <c r="M44">
        <v>278.96758433999997</v>
      </c>
      <c r="N44" t="s">
        <v>223</v>
      </c>
      <c r="O44" t="s">
        <v>21</v>
      </c>
      <c r="P44">
        <v>1</v>
      </c>
    </row>
    <row r="45" spans="1:16" x14ac:dyDescent="0.25">
      <c r="A45" t="s">
        <v>283</v>
      </c>
      <c r="B45" t="s">
        <v>118</v>
      </c>
      <c r="C45">
        <v>2021</v>
      </c>
      <c r="D45">
        <v>1</v>
      </c>
      <c r="E45" t="s">
        <v>218</v>
      </c>
      <c r="F45" t="s">
        <v>219</v>
      </c>
      <c r="G45" t="s">
        <v>220</v>
      </c>
      <c r="H45" t="s">
        <v>17</v>
      </c>
      <c r="I45" t="s">
        <v>233</v>
      </c>
      <c r="J45" t="s">
        <v>234</v>
      </c>
      <c r="M45">
        <v>971.05073120999998</v>
      </c>
      <c r="N45" t="s">
        <v>234</v>
      </c>
      <c r="O45" t="s">
        <v>21</v>
      </c>
      <c r="P45">
        <v>1</v>
      </c>
    </row>
    <row r="46" spans="1:16" x14ac:dyDescent="0.25">
      <c r="A46" t="s">
        <v>283</v>
      </c>
      <c r="B46" t="s">
        <v>118</v>
      </c>
      <c r="C46">
        <v>2021</v>
      </c>
      <c r="D46">
        <v>1</v>
      </c>
      <c r="E46" t="s">
        <v>218</v>
      </c>
      <c r="F46" t="s">
        <v>219</v>
      </c>
      <c r="G46" t="s">
        <v>220</v>
      </c>
      <c r="H46" t="s">
        <v>17</v>
      </c>
      <c r="I46" t="s">
        <v>243</v>
      </c>
      <c r="J46" t="s">
        <v>244</v>
      </c>
      <c r="M46">
        <v>171.88291606000001</v>
      </c>
      <c r="N46" t="s">
        <v>245</v>
      </c>
      <c r="O46" t="s">
        <v>21</v>
      </c>
      <c r="P46">
        <v>1</v>
      </c>
    </row>
    <row r="47" spans="1:16" x14ac:dyDescent="0.25">
      <c r="A47" t="s">
        <v>283</v>
      </c>
      <c r="B47" t="s">
        <v>118</v>
      </c>
      <c r="C47">
        <v>2021</v>
      </c>
      <c r="D47">
        <v>1</v>
      </c>
      <c r="E47" t="s">
        <v>218</v>
      </c>
      <c r="F47" t="s">
        <v>219</v>
      </c>
      <c r="G47" t="s">
        <v>220</v>
      </c>
      <c r="H47" t="s">
        <v>17</v>
      </c>
      <c r="I47" t="s">
        <v>238</v>
      </c>
      <c r="J47" t="s">
        <v>239</v>
      </c>
      <c r="M47">
        <v>181.79941948999999</v>
      </c>
      <c r="N47" t="s">
        <v>240</v>
      </c>
      <c r="O47" t="s">
        <v>21</v>
      </c>
      <c r="P47">
        <v>1</v>
      </c>
    </row>
    <row r="48" spans="1:16" x14ac:dyDescent="0.25">
      <c r="A48" t="s">
        <v>283</v>
      </c>
      <c r="B48" t="s">
        <v>118</v>
      </c>
      <c r="C48">
        <v>2021</v>
      </c>
      <c r="D48">
        <v>1</v>
      </c>
      <c r="E48" t="s">
        <v>218</v>
      </c>
      <c r="F48" t="s">
        <v>219</v>
      </c>
      <c r="G48" t="s">
        <v>220</v>
      </c>
      <c r="H48" t="s">
        <v>17</v>
      </c>
      <c r="I48" t="s">
        <v>241</v>
      </c>
      <c r="J48" t="s">
        <v>242</v>
      </c>
      <c r="M48">
        <v>74.011314679999998</v>
      </c>
      <c r="N48" t="s">
        <v>242</v>
      </c>
      <c r="O48" t="s">
        <v>21</v>
      </c>
      <c r="P48">
        <v>1</v>
      </c>
    </row>
    <row r="49" spans="1:16" x14ac:dyDescent="0.25">
      <c r="A49" t="s">
        <v>283</v>
      </c>
      <c r="B49" t="s">
        <v>118</v>
      </c>
      <c r="C49">
        <v>2021</v>
      </c>
      <c r="D49">
        <v>1</v>
      </c>
      <c r="E49" t="s">
        <v>218</v>
      </c>
      <c r="F49" t="s">
        <v>219</v>
      </c>
      <c r="G49" t="s">
        <v>220</v>
      </c>
      <c r="H49" t="s">
        <v>17</v>
      </c>
      <c r="I49" t="s">
        <v>246</v>
      </c>
      <c r="J49" t="s">
        <v>247</v>
      </c>
      <c r="M49">
        <v>576.58724209000002</v>
      </c>
      <c r="N49" t="s">
        <v>248</v>
      </c>
      <c r="O49" t="s">
        <v>21</v>
      </c>
      <c r="P49">
        <v>1</v>
      </c>
    </row>
    <row r="50" spans="1:16" x14ac:dyDescent="0.25">
      <c r="A50" t="s">
        <v>283</v>
      </c>
      <c r="B50" t="s">
        <v>118</v>
      </c>
      <c r="C50">
        <v>2021</v>
      </c>
      <c r="D50">
        <v>1</v>
      </c>
      <c r="E50" t="s">
        <v>218</v>
      </c>
      <c r="F50" t="s">
        <v>219</v>
      </c>
      <c r="G50" t="s">
        <v>220</v>
      </c>
      <c r="H50" t="s">
        <v>17</v>
      </c>
      <c r="I50" t="s">
        <v>249</v>
      </c>
      <c r="J50" t="s">
        <v>250</v>
      </c>
      <c r="M50">
        <v>670.40801075000002</v>
      </c>
      <c r="N50" t="s">
        <v>250</v>
      </c>
      <c r="O50" t="s">
        <v>21</v>
      </c>
      <c r="P50">
        <v>1</v>
      </c>
    </row>
    <row r="51" spans="1:16" x14ac:dyDescent="0.25">
      <c r="A51" t="s">
        <v>283</v>
      </c>
      <c r="B51" t="s">
        <v>118</v>
      </c>
      <c r="C51">
        <v>2021</v>
      </c>
      <c r="D51">
        <v>1</v>
      </c>
      <c r="E51" t="s">
        <v>218</v>
      </c>
      <c r="F51" t="s">
        <v>251</v>
      </c>
      <c r="G51" t="s">
        <v>252</v>
      </c>
      <c r="H51" t="s">
        <v>17</v>
      </c>
      <c r="I51" t="s">
        <v>253</v>
      </c>
      <c r="J51" t="s">
        <v>222</v>
      </c>
      <c r="M51">
        <v>337.74375931999998</v>
      </c>
      <c r="N51" t="s">
        <v>223</v>
      </c>
      <c r="O51" t="s">
        <v>21</v>
      </c>
      <c r="P51">
        <v>1</v>
      </c>
    </row>
    <row r="52" spans="1:16" x14ac:dyDescent="0.25">
      <c r="A52" t="s">
        <v>283</v>
      </c>
      <c r="B52" t="s">
        <v>118</v>
      </c>
      <c r="C52">
        <v>2021</v>
      </c>
      <c r="D52">
        <v>1</v>
      </c>
      <c r="E52" t="s">
        <v>218</v>
      </c>
      <c r="F52" t="s">
        <v>251</v>
      </c>
      <c r="G52" t="s">
        <v>252</v>
      </c>
      <c r="H52" t="s">
        <v>17</v>
      </c>
      <c r="I52" t="s">
        <v>254</v>
      </c>
      <c r="J52" t="s">
        <v>234</v>
      </c>
      <c r="M52">
        <v>1095.4629879399999</v>
      </c>
      <c r="N52" t="s">
        <v>234</v>
      </c>
      <c r="O52" t="s">
        <v>21</v>
      </c>
      <c r="P52">
        <v>1</v>
      </c>
    </row>
    <row r="53" spans="1:16" x14ac:dyDescent="0.25">
      <c r="A53" t="s">
        <v>283</v>
      </c>
      <c r="B53" t="s">
        <v>118</v>
      </c>
      <c r="C53">
        <v>2021</v>
      </c>
      <c r="D53">
        <v>1</v>
      </c>
      <c r="E53" t="s">
        <v>218</v>
      </c>
      <c r="F53" t="s">
        <v>251</v>
      </c>
      <c r="G53" t="s">
        <v>252</v>
      </c>
      <c r="H53" t="s">
        <v>17</v>
      </c>
      <c r="I53" t="s">
        <v>257</v>
      </c>
      <c r="J53" t="s">
        <v>244</v>
      </c>
      <c r="M53">
        <v>199.11018895000001</v>
      </c>
      <c r="N53" t="s">
        <v>245</v>
      </c>
      <c r="O53" t="s">
        <v>21</v>
      </c>
      <c r="P53">
        <v>1</v>
      </c>
    </row>
    <row r="54" spans="1:16" x14ac:dyDescent="0.25">
      <c r="A54" t="s">
        <v>283</v>
      </c>
      <c r="B54" t="s">
        <v>118</v>
      </c>
      <c r="C54">
        <v>2021</v>
      </c>
      <c r="D54">
        <v>1</v>
      </c>
      <c r="E54" t="s">
        <v>218</v>
      </c>
      <c r="F54" t="s">
        <v>251</v>
      </c>
      <c r="G54" t="s">
        <v>252</v>
      </c>
      <c r="H54" t="s">
        <v>17</v>
      </c>
      <c r="I54" t="s">
        <v>255</v>
      </c>
      <c r="J54" t="s">
        <v>239</v>
      </c>
      <c r="M54">
        <v>215.68223791</v>
      </c>
      <c r="N54" t="s">
        <v>240</v>
      </c>
      <c r="O54" t="s">
        <v>21</v>
      </c>
      <c r="P54">
        <v>1</v>
      </c>
    </row>
    <row r="55" spans="1:16" x14ac:dyDescent="0.25">
      <c r="A55" t="s">
        <v>283</v>
      </c>
      <c r="B55" t="s">
        <v>118</v>
      </c>
      <c r="C55">
        <v>2021</v>
      </c>
      <c r="D55">
        <v>1</v>
      </c>
      <c r="E55" t="s">
        <v>218</v>
      </c>
      <c r="F55" t="s">
        <v>251</v>
      </c>
      <c r="G55" t="s">
        <v>252</v>
      </c>
      <c r="H55" t="s">
        <v>17</v>
      </c>
      <c r="I55" t="s">
        <v>256</v>
      </c>
      <c r="J55" t="s">
        <v>242</v>
      </c>
      <c r="M55">
        <v>82.745788950000005</v>
      </c>
      <c r="N55" t="s">
        <v>242</v>
      </c>
      <c r="O55" t="s">
        <v>21</v>
      </c>
      <c r="P55">
        <v>1</v>
      </c>
    </row>
    <row r="56" spans="1:16" x14ac:dyDescent="0.25">
      <c r="A56" t="s">
        <v>283</v>
      </c>
      <c r="B56" t="s">
        <v>118</v>
      </c>
      <c r="C56">
        <v>2021</v>
      </c>
      <c r="D56">
        <v>1</v>
      </c>
      <c r="E56" t="s">
        <v>218</v>
      </c>
      <c r="F56" t="s">
        <v>251</v>
      </c>
      <c r="G56" t="s">
        <v>252</v>
      </c>
      <c r="H56" t="s">
        <v>17</v>
      </c>
      <c r="I56" t="s">
        <v>258</v>
      </c>
      <c r="J56" t="s">
        <v>247</v>
      </c>
      <c r="M56">
        <v>617.70538050000005</v>
      </c>
      <c r="N56" t="s">
        <v>248</v>
      </c>
      <c r="O56" t="s">
        <v>21</v>
      </c>
      <c r="P56">
        <v>1</v>
      </c>
    </row>
    <row r="57" spans="1:16" x14ac:dyDescent="0.25">
      <c r="A57" t="s">
        <v>283</v>
      </c>
      <c r="B57" t="s">
        <v>118</v>
      </c>
      <c r="C57">
        <v>2021</v>
      </c>
      <c r="D57">
        <v>1</v>
      </c>
      <c r="E57" t="s">
        <v>218</v>
      </c>
      <c r="F57" t="s">
        <v>251</v>
      </c>
      <c r="G57" t="s">
        <v>252</v>
      </c>
      <c r="H57" t="s">
        <v>17</v>
      </c>
      <c r="I57" t="s">
        <v>259</v>
      </c>
      <c r="J57" t="s">
        <v>250</v>
      </c>
      <c r="M57">
        <v>721.40912134999996</v>
      </c>
      <c r="N57" t="s">
        <v>250</v>
      </c>
      <c r="O57" t="s">
        <v>21</v>
      </c>
      <c r="P57">
        <v>1</v>
      </c>
    </row>
    <row r="58" spans="1:16" x14ac:dyDescent="0.25">
      <c r="A58" t="s">
        <v>283</v>
      </c>
      <c r="B58" t="s">
        <v>118</v>
      </c>
      <c r="C58">
        <v>2021</v>
      </c>
      <c r="D58">
        <v>1</v>
      </c>
      <c r="E58" t="s">
        <v>218</v>
      </c>
      <c r="F58" t="s">
        <v>260</v>
      </c>
      <c r="G58" t="s">
        <v>261</v>
      </c>
      <c r="H58" t="s">
        <v>17</v>
      </c>
      <c r="I58" t="s">
        <v>262</v>
      </c>
      <c r="J58" t="s">
        <v>222</v>
      </c>
      <c r="M58">
        <v>178.91967328000001</v>
      </c>
      <c r="N58" t="s">
        <v>223</v>
      </c>
      <c r="O58" t="s">
        <v>21</v>
      </c>
      <c r="P58">
        <v>1</v>
      </c>
    </row>
    <row r="59" spans="1:16" x14ac:dyDescent="0.25">
      <c r="A59" t="s">
        <v>283</v>
      </c>
      <c r="B59" t="s">
        <v>118</v>
      </c>
      <c r="C59">
        <v>2021</v>
      </c>
      <c r="D59">
        <v>1</v>
      </c>
      <c r="E59" t="s">
        <v>218</v>
      </c>
      <c r="F59" t="s">
        <v>260</v>
      </c>
      <c r="G59" t="s">
        <v>261</v>
      </c>
      <c r="H59" t="s">
        <v>17</v>
      </c>
      <c r="I59" t="s">
        <v>263</v>
      </c>
      <c r="J59" t="s">
        <v>234</v>
      </c>
      <c r="M59">
        <v>642.62569885000005</v>
      </c>
      <c r="N59" t="s">
        <v>234</v>
      </c>
      <c r="O59" t="s">
        <v>21</v>
      </c>
      <c r="P59">
        <v>1</v>
      </c>
    </row>
    <row r="60" spans="1:16" x14ac:dyDescent="0.25">
      <c r="A60" t="s">
        <v>283</v>
      </c>
      <c r="B60" t="s">
        <v>118</v>
      </c>
      <c r="C60">
        <v>2021</v>
      </c>
      <c r="D60">
        <v>1</v>
      </c>
      <c r="E60" t="s">
        <v>218</v>
      </c>
      <c r="F60" t="s">
        <v>260</v>
      </c>
      <c r="G60" t="s">
        <v>261</v>
      </c>
      <c r="H60" t="s">
        <v>17</v>
      </c>
      <c r="I60" t="s">
        <v>266</v>
      </c>
      <c r="J60" t="s">
        <v>244</v>
      </c>
      <c r="M60">
        <v>106.79343711</v>
      </c>
      <c r="N60" t="s">
        <v>245</v>
      </c>
      <c r="O60" t="s">
        <v>21</v>
      </c>
      <c r="P60">
        <v>1</v>
      </c>
    </row>
    <row r="61" spans="1:16" x14ac:dyDescent="0.25">
      <c r="A61" t="s">
        <v>283</v>
      </c>
      <c r="B61" t="s">
        <v>118</v>
      </c>
      <c r="C61">
        <v>2021</v>
      </c>
      <c r="D61">
        <v>1</v>
      </c>
      <c r="E61" t="s">
        <v>218</v>
      </c>
      <c r="F61" t="s">
        <v>260</v>
      </c>
      <c r="G61" t="s">
        <v>261</v>
      </c>
      <c r="H61" t="s">
        <v>17</v>
      </c>
      <c r="I61" t="s">
        <v>264</v>
      </c>
      <c r="J61" t="s">
        <v>239</v>
      </c>
      <c r="M61">
        <v>122.42483491</v>
      </c>
      <c r="N61" t="s">
        <v>240</v>
      </c>
      <c r="O61" t="s">
        <v>21</v>
      </c>
      <c r="P61">
        <v>1</v>
      </c>
    </row>
    <row r="62" spans="1:16" x14ac:dyDescent="0.25">
      <c r="A62" t="s">
        <v>283</v>
      </c>
      <c r="B62" t="s">
        <v>118</v>
      </c>
      <c r="C62">
        <v>2021</v>
      </c>
      <c r="D62">
        <v>1</v>
      </c>
      <c r="E62" t="s">
        <v>218</v>
      </c>
      <c r="F62" t="s">
        <v>260</v>
      </c>
      <c r="G62" t="s">
        <v>261</v>
      </c>
      <c r="H62" t="s">
        <v>17</v>
      </c>
      <c r="I62" t="s">
        <v>265</v>
      </c>
      <c r="J62" t="s">
        <v>242</v>
      </c>
      <c r="M62">
        <v>45.879920419999998</v>
      </c>
      <c r="N62" t="s">
        <v>242</v>
      </c>
      <c r="O62" t="s">
        <v>21</v>
      </c>
      <c r="P62">
        <v>1</v>
      </c>
    </row>
    <row r="63" spans="1:16" x14ac:dyDescent="0.25">
      <c r="A63" t="s">
        <v>283</v>
      </c>
      <c r="B63" t="s">
        <v>118</v>
      </c>
      <c r="C63">
        <v>2021</v>
      </c>
      <c r="D63">
        <v>1</v>
      </c>
      <c r="E63" t="s">
        <v>218</v>
      </c>
      <c r="F63" t="s">
        <v>260</v>
      </c>
      <c r="G63" t="s">
        <v>261</v>
      </c>
      <c r="H63" t="s">
        <v>17</v>
      </c>
      <c r="I63" t="s">
        <v>267</v>
      </c>
      <c r="J63" t="s">
        <v>247</v>
      </c>
      <c r="M63">
        <v>396.23133568999998</v>
      </c>
      <c r="N63" t="s">
        <v>248</v>
      </c>
      <c r="O63" t="s">
        <v>21</v>
      </c>
      <c r="P63">
        <v>1</v>
      </c>
    </row>
    <row r="64" spans="1:16" x14ac:dyDescent="0.25">
      <c r="A64" t="s">
        <v>283</v>
      </c>
      <c r="B64" t="s">
        <v>118</v>
      </c>
      <c r="C64">
        <v>2021</v>
      </c>
      <c r="D64">
        <v>1</v>
      </c>
      <c r="E64" t="s">
        <v>218</v>
      </c>
      <c r="F64" t="s">
        <v>260</v>
      </c>
      <c r="G64" t="s">
        <v>261</v>
      </c>
      <c r="H64" t="s">
        <v>17</v>
      </c>
      <c r="I64" t="s">
        <v>268</v>
      </c>
      <c r="J64" t="s">
        <v>250</v>
      </c>
      <c r="M64">
        <v>449.56219715999998</v>
      </c>
      <c r="N64" t="s">
        <v>250</v>
      </c>
      <c r="O64" t="s">
        <v>21</v>
      </c>
      <c r="P64">
        <v>1</v>
      </c>
    </row>
    <row r="65" spans="1:16" x14ac:dyDescent="0.25">
      <c r="A65" t="s">
        <v>283</v>
      </c>
      <c r="B65" t="s">
        <v>87</v>
      </c>
      <c r="C65">
        <v>2020</v>
      </c>
      <c r="D65">
        <v>1</v>
      </c>
      <c r="E65" t="s">
        <v>218</v>
      </c>
      <c r="F65" t="s">
        <v>219</v>
      </c>
      <c r="G65" t="s">
        <v>220</v>
      </c>
      <c r="H65" t="s">
        <v>17</v>
      </c>
      <c r="I65" t="s">
        <v>221</v>
      </c>
      <c r="J65" t="s">
        <v>222</v>
      </c>
      <c r="K65">
        <v>194.6314675125</v>
      </c>
      <c r="L65">
        <v>0.75</v>
      </c>
      <c r="M65">
        <v>259.50862334999999</v>
      </c>
      <c r="N65" t="s">
        <v>223</v>
      </c>
      <c r="O65" t="s">
        <v>21</v>
      </c>
      <c r="P65">
        <v>1</v>
      </c>
    </row>
    <row r="66" spans="1:16" x14ac:dyDescent="0.25">
      <c r="A66" t="s">
        <v>283</v>
      </c>
      <c r="B66" t="s">
        <v>87</v>
      </c>
      <c r="C66">
        <v>2020</v>
      </c>
      <c r="D66">
        <v>1</v>
      </c>
      <c r="E66" t="s">
        <v>218</v>
      </c>
      <c r="F66" t="s">
        <v>219</v>
      </c>
      <c r="G66" t="s">
        <v>220</v>
      </c>
      <c r="H66" t="s">
        <v>17</v>
      </c>
      <c r="I66" t="s">
        <v>233</v>
      </c>
      <c r="J66" t="s">
        <v>234</v>
      </c>
      <c r="K66">
        <v>761.06157964500005</v>
      </c>
      <c r="L66">
        <v>0.75</v>
      </c>
      <c r="M66">
        <v>1014.74877286</v>
      </c>
      <c r="N66" t="s">
        <v>234</v>
      </c>
      <c r="O66" t="s">
        <v>21</v>
      </c>
      <c r="P66">
        <v>1</v>
      </c>
    </row>
    <row r="67" spans="1:16" x14ac:dyDescent="0.25">
      <c r="A67" t="s">
        <v>283</v>
      </c>
      <c r="B67" t="s">
        <v>87</v>
      </c>
      <c r="C67">
        <v>2020</v>
      </c>
      <c r="D67">
        <v>1</v>
      </c>
      <c r="E67" t="s">
        <v>218</v>
      </c>
      <c r="F67" t="s">
        <v>219</v>
      </c>
      <c r="G67" t="s">
        <v>220</v>
      </c>
      <c r="H67" t="s">
        <v>17</v>
      </c>
      <c r="I67" t="s">
        <v>243</v>
      </c>
      <c r="J67" t="s">
        <v>244</v>
      </c>
      <c r="K67">
        <v>154.48323608250001</v>
      </c>
      <c r="L67">
        <v>0.75</v>
      </c>
      <c r="M67">
        <v>205.97764810999999</v>
      </c>
      <c r="N67" t="s">
        <v>245</v>
      </c>
      <c r="O67" t="s">
        <v>21</v>
      </c>
      <c r="P67">
        <v>1</v>
      </c>
    </row>
    <row r="68" spans="1:16" x14ac:dyDescent="0.25">
      <c r="A68" t="s">
        <v>283</v>
      </c>
      <c r="B68" t="s">
        <v>87</v>
      </c>
      <c r="C68">
        <v>2020</v>
      </c>
      <c r="D68">
        <v>1</v>
      </c>
      <c r="E68" t="s">
        <v>218</v>
      </c>
      <c r="F68" t="s">
        <v>219</v>
      </c>
      <c r="G68" t="s">
        <v>220</v>
      </c>
      <c r="H68" t="s">
        <v>17</v>
      </c>
      <c r="I68" t="s">
        <v>238</v>
      </c>
      <c r="J68" t="s">
        <v>239</v>
      </c>
      <c r="K68">
        <v>145.82848011749999</v>
      </c>
      <c r="L68">
        <v>0.75</v>
      </c>
      <c r="M68">
        <v>194.43797348999999</v>
      </c>
      <c r="N68" t="s">
        <v>240</v>
      </c>
      <c r="O68" t="s">
        <v>21</v>
      </c>
      <c r="P68">
        <v>1</v>
      </c>
    </row>
    <row r="69" spans="1:16" x14ac:dyDescent="0.25">
      <c r="A69" t="s">
        <v>283</v>
      </c>
      <c r="B69" t="s">
        <v>87</v>
      </c>
      <c r="C69">
        <v>2020</v>
      </c>
      <c r="D69">
        <v>1</v>
      </c>
      <c r="E69" t="s">
        <v>218</v>
      </c>
      <c r="F69" t="s">
        <v>219</v>
      </c>
      <c r="G69" t="s">
        <v>220</v>
      </c>
      <c r="H69" t="s">
        <v>17</v>
      </c>
      <c r="I69" t="s">
        <v>241</v>
      </c>
      <c r="J69" t="s">
        <v>242</v>
      </c>
      <c r="K69">
        <v>55.661923852500003</v>
      </c>
      <c r="L69">
        <v>0.75</v>
      </c>
      <c r="M69">
        <v>74.215898469999999</v>
      </c>
      <c r="N69" t="s">
        <v>242</v>
      </c>
      <c r="O69" t="s">
        <v>21</v>
      </c>
      <c r="P69">
        <v>1</v>
      </c>
    </row>
    <row r="70" spans="1:16" x14ac:dyDescent="0.25">
      <c r="A70" t="s">
        <v>283</v>
      </c>
      <c r="B70" t="s">
        <v>87</v>
      </c>
      <c r="C70">
        <v>2020</v>
      </c>
      <c r="D70">
        <v>1</v>
      </c>
      <c r="E70" t="s">
        <v>218</v>
      </c>
      <c r="F70" t="s">
        <v>219</v>
      </c>
      <c r="G70" t="s">
        <v>220</v>
      </c>
      <c r="H70" t="s">
        <v>17</v>
      </c>
      <c r="I70" t="s">
        <v>246</v>
      </c>
      <c r="J70" t="s">
        <v>247</v>
      </c>
      <c r="K70">
        <v>438.32875209000002</v>
      </c>
      <c r="L70">
        <v>0.75</v>
      </c>
      <c r="M70">
        <v>584.43833612000003</v>
      </c>
      <c r="N70" t="s">
        <v>248</v>
      </c>
      <c r="O70" t="s">
        <v>21</v>
      </c>
      <c r="P70">
        <v>1</v>
      </c>
    </row>
    <row r="71" spans="1:16" x14ac:dyDescent="0.25">
      <c r="A71" t="s">
        <v>283</v>
      </c>
      <c r="B71" t="s">
        <v>87</v>
      </c>
      <c r="C71">
        <v>2020</v>
      </c>
      <c r="D71">
        <v>1</v>
      </c>
      <c r="E71" t="s">
        <v>218</v>
      </c>
      <c r="F71" t="s">
        <v>219</v>
      </c>
      <c r="G71" t="s">
        <v>220</v>
      </c>
      <c r="H71" t="s">
        <v>17</v>
      </c>
      <c r="I71" t="s">
        <v>249</v>
      </c>
      <c r="J71" t="s">
        <v>250</v>
      </c>
      <c r="K71">
        <v>565.80008123249991</v>
      </c>
      <c r="L71">
        <v>0.75</v>
      </c>
      <c r="M71">
        <v>754.40010830999995</v>
      </c>
      <c r="N71" t="s">
        <v>250</v>
      </c>
      <c r="O71" t="s">
        <v>21</v>
      </c>
      <c r="P71">
        <v>1</v>
      </c>
    </row>
    <row r="72" spans="1:16" x14ac:dyDescent="0.25">
      <c r="A72" t="s">
        <v>283</v>
      </c>
      <c r="B72" t="s">
        <v>87</v>
      </c>
      <c r="C72">
        <v>2020</v>
      </c>
      <c r="D72">
        <v>1</v>
      </c>
      <c r="E72" t="s">
        <v>218</v>
      </c>
      <c r="F72" t="s">
        <v>251</v>
      </c>
      <c r="G72" t="s">
        <v>252</v>
      </c>
      <c r="H72" t="s">
        <v>17</v>
      </c>
      <c r="I72" t="s">
        <v>253</v>
      </c>
      <c r="J72" t="s">
        <v>222</v>
      </c>
      <c r="K72">
        <v>160.41417002399999</v>
      </c>
      <c r="L72">
        <v>0.6</v>
      </c>
      <c r="M72">
        <v>267.35695004000002</v>
      </c>
      <c r="N72" t="s">
        <v>223</v>
      </c>
      <c r="O72" t="s">
        <v>21</v>
      </c>
      <c r="P72">
        <v>1</v>
      </c>
    </row>
    <row r="73" spans="1:16" x14ac:dyDescent="0.25">
      <c r="A73" t="s">
        <v>283</v>
      </c>
      <c r="B73" t="s">
        <v>87</v>
      </c>
      <c r="C73">
        <v>2020</v>
      </c>
      <c r="D73">
        <v>1</v>
      </c>
      <c r="E73" t="s">
        <v>218</v>
      </c>
      <c r="F73" t="s">
        <v>251</v>
      </c>
      <c r="G73" t="s">
        <v>252</v>
      </c>
      <c r="H73" t="s">
        <v>17</v>
      </c>
      <c r="I73" t="s">
        <v>254</v>
      </c>
      <c r="J73" t="s">
        <v>234</v>
      </c>
      <c r="K73">
        <v>597.76575771</v>
      </c>
      <c r="L73">
        <v>0.6</v>
      </c>
      <c r="M73">
        <v>996.27626284999997</v>
      </c>
      <c r="N73" t="s">
        <v>234</v>
      </c>
      <c r="O73" t="s">
        <v>21</v>
      </c>
      <c r="P73">
        <v>1</v>
      </c>
    </row>
    <row r="74" spans="1:16" x14ac:dyDescent="0.25">
      <c r="A74" t="s">
        <v>283</v>
      </c>
      <c r="B74" t="s">
        <v>87</v>
      </c>
      <c r="C74">
        <v>2020</v>
      </c>
      <c r="D74">
        <v>1</v>
      </c>
      <c r="E74" t="s">
        <v>218</v>
      </c>
      <c r="F74" t="s">
        <v>251</v>
      </c>
      <c r="G74" t="s">
        <v>252</v>
      </c>
      <c r="H74" t="s">
        <v>17</v>
      </c>
      <c r="I74" t="s">
        <v>257</v>
      </c>
      <c r="J74" t="s">
        <v>244</v>
      </c>
      <c r="K74">
        <v>125.93401687799999</v>
      </c>
      <c r="L74">
        <v>0.6</v>
      </c>
      <c r="M74">
        <v>209.89002812999999</v>
      </c>
      <c r="N74" t="s">
        <v>245</v>
      </c>
      <c r="O74" t="s">
        <v>21</v>
      </c>
      <c r="P74">
        <v>1</v>
      </c>
    </row>
    <row r="75" spans="1:16" x14ac:dyDescent="0.25">
      <c r="A75" t="s">
        <v>283</v>
      </c>
      <c r="B75" t="s">
        <v>87</v>
      </c>
      <c r="C75">
        <v>2020</v>
      </c>
      <c r="D75">
        <v>1</v>
      </c>
      <c r="E75" t="s">
        <v>218</v>
      </c>
      <c r="F75" t="s">
        <v>251</v>
      </c>
      <c r="G75" t="s">
        <v>252</v>
      </c>
      <c r="H75" t="s">
        <v>17</v>
      </c>
      <c r="I75" t="s">
        <v>255</v>
      </c>
      <c r="J75" t="s">
        <v>239</v>
      </c>
      <c r="K75">
        <v>118.449080322</v>
      </c>
      <c r="L75">
        <v>0.6</v>
      </c>
      <c r="M75">
        <v>197.41513387000001</v>
      </c>
      <c r="N75" t="s">
        <v>240</v>
      </c>
      <c r="O75" t="s">
        <v>21</v>
      </c>
      <c r="P75">
        <v>1</v>
      </c>
    </row>
    <row r="76" spans="1:16" x14ac:dyDescent="0.25">
      <c r="A76" t="s">
        <v>283</v>
      </c>
      <c r="B76" t="s">
        <v>87</v>
      </c>
      <c r="C76">
        <v>2020</v>
      </c>
      <c r="D76">
        <v>1</v>
      </c>
      <c r="E76" t="s">
        <v>218</v>
      </c>
      <c r="F76" t="s">
        <v>251</v>
      </c>
      <c r="G76" t="s">
        <v>252</v>
      </c>
      <c r="H76" t="s">
        <v>17</v>
      </c>
      <c r="I76" t="s">
        <v>256</v>
      </c>
      <c r="J76" t="s">
        <v>242</v>
      </c>
      <c r="K76">
        <v>48.357555666000003</v>
      </c>
      <c r="L76">
        <v>0.6</v>
      </c>
      <c r="M76">
        <v>80.595926109999994</v>
      </c>
      <c r="N76" t="s">
        <v>242</v>
      </c>
      <c r="O76" t="s">
        <v>21</v>
      </c>
      <c r="P76">
        <v>1</v>
      </c>
    </row>
    <row r="77" spans="1:16" x14ac:dyDescent="0.25">
      <c r="A77" t="s">
        <v>283</v>
      </c>
      <c r="B77" t="s">
        <v>87</v>
      </c>
      <c r="C77">
        <v>2020</v>
      </c>
      <c r="D77">
        <v>1</v>
      </c>
      <c r="E77" t="s">
        <v>218</v>
      </c>
      <c r="F77" t="s">
        <v>251</v>
      </c>
      <c r="G77" t="s">
        <v>252</v>
      </c>
      <c r="H77" t="s">
        <v>17</v>
      </c>
      <c r="I77" t="s">
        <v>258</v>
      </c>
      <c r="J77" t="s">
        <v>247</v>
      </c>
      <c r="K77">
        <v>308.68908700799989</v>
      </c>
      <c r="L77">
        <v>0.6</v>
      </c>
      <c r="M77">
        <v>514.48181167999996</v>
      </c>
      <c r="N77" t="s">
        <v>248</v>
      </c>
      <c r="O77" t="s">
        <v>21</v>
      </c>
      <c r="P77">
        <v>1</v>
      </c>
    </row>
    <row r="78" spans="1:16" x14ac:dyDescent="0.25">
      <c r="A78" t="s">
        <v>283</v>
      </c>
      <c r="B78" t="s">
        <v>87</v>
      </c>
      <c r="C78">
        <v>2020</v>
      </c>
      <c r="D78">
        <v>1</v>
      </c>
      <c r="E78" t="s">
        <v>218</v>
      </c>
      <c r="F78" t="s">
        <v>251</v>
      </c>
      <c r="G78" t="s">
        <v>252</v>
      </c>
      <c r="H78" t="s">
        <v>17</v>
      </c>
      <c r="I78" t="s">
        <v>259</v>
      </c>
      <c r="J78" t="s">
        <v>250</v>
      </c>
      <c r="K78">
        <v>424.321938714</v>
      </c>
      <c r="L78">
        <v>0.6</v>
      </c>
      <c r="M78">
        <v>707.20323119</v>
      </c>
      <c r="N78" t="s">
        <v>250</v>
      </c>
      <c r="O78" t="s">
        <v>21</v>
      </c>
      <c r="P78">
        <v>1</v>
      </c>
    </row>
    <row r="79" spans="1:16" x14ac:dyDescent="0.25">
      <c r="A79" t="s">
        <v>283</v>
      </c>
      <c r="B79" t="s">
        <v>87</v>
      </c>
      <c r="C79">
        <v>2020</v>
      </c>
      <c r="D79">
        <v>1</v>
      </c>
      <c r="E79" t="s">
        <v>218</v>
      </c>
      <c r="F79" t="s">
        <v>260</v>
      </c>
      <c r="G79" t="s">
        <v>261</v>
      </c>
      <c r="H79" t="s">
        <v>17</v>
      </c>
      <c r="I79" t="s">
        <v>262</v>
      </c>
      <c r="J79" t="s">
        <v>222</v>
      </c>
      <c r="K79">
        <v>133.53012822358909</v>
      </c>
      <c r="L79">
        <v>0.85714299999999999</v>
      </c>
      <c r="M79">
        <v>155.78512362999999</v>
      </c>
      <c r="N79" t="s">
        <v>223</v>
      </c>
      <c r="O79" t="s">
        <v>21</v>
      </c>
      <c r="P79">
        <v>1</v>
      </c>
    </row>
    <row r="80" spans="1:16" x14ac:dyDescent="0.25">
      <c r="A80" t="s">
        <v>283</v>
      </c>
      <c r="B80" t="s">
        <v>87</v>
      </c>
      <c r="C80">
        <v>2020</v>
      </c>
      <c r="D80">
        <v>1</v>
      </c>
      <c r="E80" t="s">
        <v>218</v>
      </c>
      <c r="F80" t="s">
        <v>260</v>
      </c>
      <c r="G80" t="s">
        <v>261</v>
      </c>
      <c r="H80" t="s">
        <v>17</v>
      </c>
      <c r="I80" t="s">
        <v>263</v>
      </c>
      <c r="J80" t="s">
        <v>234</v>
      </c>
      <c r="K80">
        <v>537.88017373525213</v>
      </c>
      <c r="L80">
        <v>0.85714299999999999</v>
      </c>
      <c r="M80">
        <v>627.52676477</v>
      </c>
      <c r="N80" t="s">
        <v>234</v>
      </c>
      <c r="O80" t="s">
        <v>21</v>
      </c>
      <c r="P80">
        <v>1</v>
      </c>
    </row>
    <row r="81" spans="1:16" x14ac:dyDescent="0.25">
      <c r="A81" t="s">
        <v>283</v>
      </c>
      <c r="B81" t="s">
        <v>87</v>
      </c>
      <c r="C81">
        <v>2020</v>
      </c>
      <c r="D81">
        <v>1</v>
      </c>
      <c r="E81" t="s">
        <v>218</v>
      </c>
      <c r="F81" t="s">
        <v>260</v>
      </c>
      <c r="G81" t="s">
        <v>261</v>
      </c>
      <c r="H81" t="s">
        <v>17</v>
      </c>
      <c r="I81" t="s">
        <v>266</v>
      </c>
      <c r="J81" t="s">
        <v>244</v>
      </c>
      <c r="K81">
        <v>102.289323453932</v>
      </c>
      <c r="L81">
        <v>0.85714299999999999</v>
      </c>
      <c r="M81">
        <v>119.33752414</v>
      </c>
      <c r="N81" t="s">
        <v>245</v>
      </c>
      <c r="O81" t="s">
        <v>21</v>
      </c>
      <c r="P81">
        <v>1</v>
      </c>
    </row>
    <row r="82" spans="1:16" x14ac:dyDescent="0.25">
      <c r="A82" t="s">
        <v>283</v>
      </c>
      <c r="B82" t="s">
        <v>87</v>
      </c>
      <c r="C82">
        <v>2020</v>
      </c>
      <c r="D82">
        <v>1</v>
      </c>
      <c r="E82" t="s">
        <v>218</v>
      </c>
      <c r="F82" t="s">
        <v>260</v>
      </c>
      <c r="G82" t="s">
        <v>261</v>
      </c>
      <c r="H82" t="s">
        <v>17</v>
      </c>
      <c r="I82" t="s">
        <v>264</v>
      </c>
      <c r="J82" t="s">
        <v>239</v>
      </c>
      <c r="K82">
        <v>101.0896166796952</v>
      </c>
      <c r="L82">
        <v>0.85714299999999999</v>
      </c>
      <c r="M82">
        <v>117.93786647</v>
      </c>
      <c r="N82" t="s">
        <v>240</v>
      </c>
      <c r="O82" t="s">
        <v>21</v>
      </c>
      <c r="P82">
        <v>1</v>
      </c>
    </row>
    <row r="83" spans="1:16" x14ac:dyDescent="0.25">
      <c r="A83" t="s">
        <v>283</v>
      </c>
      <c r="B83" t="s">
        <v>87</v>
      </c>
      <c r="C83">
        <v>2020</v>
      </c>
      <c r="D83">
        <v>1</v>
      </c>
      <c r="E83" t="s">
        <v>218</v>
      </c>
      <c r="F83" t="s">
        <v>260</v>
      </c>
      <c r="G83" t="s">
        <v>261</v>
      </c>
      <c r="H83" t="s">
        <v>17</v>
      </c>
      <c r="I83" t="s">
        <v>265</v>
      </c>
      <c r="J83" t="s">
        <v>242</v>
      </c>
      <c r="K83">
        <v>38.494356312867843</v>
      </c>
      <c r="L83">
        <v>0.85714299999999999</v>
      </c>
      <c r="M83">
        <v>44.910074880000003</v>
      </c>
      <c r="N83" t="s">
        <v>242</v>
      </c>
      <c r="O83" t="s">
        <v>21</v>
      </c>
      <c r="P83">
        <v>1</v>
      </c>
    </row>
    <row r="84" spans="1:16" x14ac:dyDescent="0.25">
      <c r="A84" t="s">
        <v>283</v>
      </c>
      <c r="B84" t="s">
        <v>87</v>
      </c>
      <c r="C84">
        <v>2020</v>
      </c>
      <c r="D84">
        <v>1</v>
      </c>
      <c r="E84" t="s">
        <v>218</v>
      </c>
      <c r="F84" t="s">
        <v>260</v>
      </c>
      <c r="G84" t="s">
        <v>261</v>
      </c>
      <c r="H84" t="s">
        <v>17</v>
      </c>
      <c r="I84" t="s">
        <v>267</v>
      </c>
      <c r="J84" t="s">
        <v>247</v>
      </c>
      <c r="K84">
        <v>307.87108322898149</v>
      </c>
      <c r="L84">
        <v>0.85714299999999999</v>
      </c>
      <c r="M84">
        <v>359.18287056999998</v>
      </c>
      <c r="N84" t="s">
        <v>248</v>
      </c>
      <c r="O84" t="s">
        <v>21</v>
      </c>
      <c r="P84">
        <v>1</v>
      </c>
    </row>
    <row r="85" spans="1:16" x14ac:dyDescent="0.25">
      <c r="A85" t="s">
        <v>283</v>
      </c>
      <c r="B85" t="s">
        <v>87</v>
      </c>
      <c r="C85">
        <v>2020</v>
      </c>
      <c r="D85">
        <v>1</v>
      </c>
      <c r="E85" t="s">
        <v>218</v>
      </c>
      <c r="F85" t="s">
        <v>260</v>
      </c>
      <c r="G85" t="s">
        <v>261</v>
      </c>
      <c r="H85" t="s">
        <v>17</v>
      </c>
      <c r="I85" t="s">
        <v>268</v>
      </c>
      <c r="J85" t="s">
        <v>250</v>
      </c>
      <c r="K85">
        <v>401.1390209993495</v>
      </c>
      <c r="L85">
        <v>0.85714299999999999</v>
      </c>
      <c r="M85">
        <v>467.99544650000001</v>
      </c>
      <c r="N85" t="s">
        <v>250</v>
      </c>
      <c r="O85" t="s">
        <v>21</v>
      </c>
      <c r="P85">
        <v>1</v>
      </c>
    </row>
    <row r="86" spans="1:16" x14ac:dyDescent="0.25">
      <c r="A86" t="s">
        <v>283</v>
      </c>
      <c r="B86" t="s">
        <v>102</v>
      </c>
      <c r="C86">
        <v>2020</v>
      </c>
      <c r="D86">
        <v>1</v>
      </c>
      <c r="E86" t="s">
        <v>218</v>
      </c>
      <c r="F86" t="s">
        <v>219</v>
      </c>
      <c r="G86" t="s">
        <v>220</v>
      </c>
      <c r="H86" t="s">
        <v>17</v>
      </c>
      <c r="I86" t="s">
        <v>221</v>
      </c>
      <c r="J86" t="s">
        <v>222</v>
      </c>
      <c r="K86">
        <v>190.33144756499999</v>
      </c>
      <c r="L86">
        <v>0.75</v>
      </c>
      <c r="M86">
        <v>253.77526341999999</v>
      </c>
      <c r="N86" t="s">
        <v>223</v>
      </c>
      <c r="O86" t="s">
        <v>21</v>
      </c>
      <c r="P86">
        <v>1</v>
      </c>
    </row>
    <row r="87" spans="1:16" x14ac:dyDescent="0.25">
      <c r="A87" t="s">
        <v>283</v>
      </c>
      <c r="B87" t="s">
        <v>102</v>
      </c>
      <c r="C87">
        <v>2020</v>
      </c>
      <c r="D87">
        <v>1</v>
      </c>
      <c r="E87" t="s">
        <v>218</v>
      </c>
      <c r="F87" t="s">
        <v>219</v>
      </c>
      <c r="G87" t="s">
        <v>220</v>
      </c>
      <c r="H87" t="s">
        <v>17</v>
      </c>
      <c r="I87" t="s">
        <v>233</v>
      </c>
      <c r="J87" t="s">
        <v>234</v>
      </c>
      <c r="K87">
        <v>763.76378673749991</v>
      </c>
      <c r="L87">
        <v>0.75</v>
      </c>
      <c r="M87">
        <v>1018.35171565</v>
      </c>
      <c r="N87" t="s">
        <v>234</v>
      </c>
      <c r="O87" t="s">
        <v>21</v>
      </c>
      <c r="P87">
        <v>1</v>
      </c>
    </row>
    <row r="88" spans="1:16" x14ac:dyDescent="0.25">
      <c r="A88" t="s">
        <v>283</v>
      </c>
      <c r="B88" t="s">
        <v>102</v>
      </c>
      <c r="C88">
        <v>2020</v>
      </c>
      <c r="D88">
        <v>1</v>
      </c>
      <c r="E88" t="s">
        <v>218</v>
      </c>
      <c r="F88" t="s">
        <v>219</v>
      </c>
      <c r="G88" t="s">
        <v>220</v>
      </c>
      <c r="H88" t="s">
        <v>17</v>
      </c>
      <c r="I88" t="s">
        <v>243</v>
      </c>
      <c r="J88" t="s">
        <v>244</v>
      </c>
      <c r="K88">
        <v>153.66755247</v>
      </c>
      <c r="L88">
        <v>0.75</v>
      </c>
      <c r="M88">
        <v>204.89006996000001</v>
      </c>
      <c r="N88" t="s">
        <v>245</v>
      </c>
      <c r="O88" t="s">
        <v>21</v>
      </c>
      <c r="P88">
        <v>1</v>
      </c>
    </row>
    <row r="89" spans="1:16" x14ac:dyDescent="0.25">
      <c r="A89" t="s">
        <v>283</v>
      </c>
      <c r="B89" t="s">
        <v>102</v>
      </c>
      <c r="C89">
        <v>2020</v>
      </c>
      <c r="D89">
        <v>1</v>
      </c>
      <c r="E89" t="s">
        <v>218</v>
      </c>
      <c r="F89" t="s">
        <v>219</v>
      </c>
      <c r="G89" t="s">
        <v>220</v>
      </c>
      <c r="H89" t="s">
        <v>17</v>
      </c>
      <c r="I89" t="s">
        <v>238</v>
      </c>
      <c r="J89" t="s">
        <v>239</v>
      </c>
      <c r="K89">
        <v>143.7172609125</v>
      </c>
      <c r="L89">
        <v>0.75</v>
      </c>
      <c r="M89">
        <v>191.62301454999999</v>
      </c>
      <c r="N89" t="s">
        <v>240</v>
      </c>
      <c r="O89" t="s">
        <v>21</v>
      </c>
      <c r="P89">
        <v>1</v>
      </c>
    </row>
    <row r="90" spans="1:16" x14ac:dyDescent="0.25">
      <c r="A90" t="s">
        <v>283</v>
      </c>
      <c r="B90" t="s">
        <v>102</v>
      </c>
      <c r="C90">
        <v>2020</v>
      </c>
      <c r="D90">
        <v>1</v>
      </c>
      <c r="E90" t="s">
        <v>218</v>
      </c>
      <c r="F90" t="s">
        <v>219</v>
      </c>
      <c r="G90" t="s">
        <v>220</v>
      </c>
      <c r="H90" t="s">
        <v>17</v>
      </c>
      <c r="I90" t="s">
        <v>241</v>
      </c>
      <c r="J90" t="s">
        <v>242</v>
      </c>
      <c r="K90">
        <v>56.713784295000004</v>
      </c>
      <c r="L90">
        <v>0.75</v>
      </c>
      <c r="M90">
        <v>75.618379059999995</v>
      </c>
      <c r="N90" t="s">
        <v>242</v>
      </c>
      <c r="O90" t="s">
        <v>21</v>
      </c>
      <c r="P90">
        <v>1</v>
      </c>
    </row>
    <row r="91" spans="1:16" x14ac:dyDescent="0.25">
      <c r="A91" t="s">
        <v>283</v>
      </c>
      <c r="B91" t="s">
        <v>102</v>
      </c>
      <c r="C91">
        <v>2020</v>
      </c>
      <c r="D91">
        <v>1</v>
      </c>
      <c r="E91" t="s">
        <v>218</v>
      </c>
      <c r="F91" t="s">
        <v>219</v>
      </c>
      <c r="G91" t="s">
        <v>220</v>
      </c>
      <c r="H91" t="s">
        <v>17</v>
      </c>
      <c r="I91" t="s">
        <v>246</v>
      </c>
      <c r="J91" t="s">
        <v>247</v>
      </c>
      <c r="K91">
        <v>427.66448145750002</v>
      </c>
      <c r="L91">
        <v>0.75</v>
      </c>
      <c r="M91">
        <v>570.21930860999998</v>
      </c>
      <c r="N91" t="s">
        <v>248</v>
      </c>
      <c r="O91" t="s">
        <v>21</v>
      </c>
      <c r="P91">
        <v>1</v>
      </c>
    </row>
    <row r="92" spans="1:16" x14ac:dyDescent="0.25">
      <c r="A92" t="s">
        <v>283</v>
      </c>
      <c r="B92" t="s">
        <v>102</v>
      </c>
      <c r="C92">
        <v>2020</v>
      </c>
      <c r="D92">
        <v>1</v>
      </c>
      <c r="E92" t="s">
        <v>218</v>
      </c>
      <c r="F92" t="s">
        <v>219</v>
      </c>
      <c r="G92" t="s">
        <v>220</v>
      </c>
      <c r="H92" t="s">
        <v>17</v>
      </c>
      <c r="I92" t="s">
        <v>249</v>
      </c>
      <c r="J92" t="s">
        <v>250</v>
      </c>
      <c r="K92">
        <v>572.32812807749997</v>
      </c>
      <c r="L92">
        <v>0.75</v>
      </c>
      <c r="M92">
        <v>763.10417077</v>
      </c>
      <c r="N92" t="s">
        <v>250</v>
      </c>
      <c r="O92" t="s">
        <v>21</v>
      </c>
      <c r="P92">
        <v>1</v>
      </c>
    </row>
    <row r="93" spans="1:16" x14ac:dyDescent="0.25">
      <c r="A93" t="s">
        <v>283</v>
      </c>
      <c r="B93" t="s">
        <v>102</v>
      </c>
      <c r="C93">
        <v>2020</v>
      </c>
      <c r="D93">
        <v>1</v>
      </c>
      <c r="E93" t="s">
        <v>218</v>
      </c>
      <c r="F93" t="s">
        <v>251</v>
      </c>
      <c r="G93" t="s">
        <v>252</v>
      </c>
      <c r="H93" t="s">
        <v>17</v>
      </c>
      <c r="I93" t="s">
        <v>253</v>
      </c>
      <c r="J93" t="s">
        <v>222</v>
      </c>
      <c r="K93">
        <v>170.11866466800001</v>
      </c>
      <c r="L93">
        <v>0.6</v>
      </c>
      <c r="M93">
        <v>283.53110778000001</v>
      </c>
      <c r="N93" t="s">
        <v>223</v>
      </c>
      <c r="O93" t="s">
        <v>21</v>
      </c>
      <c r="P93">
        <v>1</v>
      </c>
    </row>
    <row r="94" spans="1:16" x14ac:dyDescent="0.25">
      <c r="A94" t="s">
        <v>283</v>
      </c>
      <c r="B94" t="s">
        <v>102</v>
      </c>
      <c r="C94">
        <v>2020</v>
      </c>
      <c r="D94">
        <v>1</v>
      </c>
      <c r="E94" t="s">
        <v>218</v>
      </c>
      <c r="F94" t="s">
        <v>251</v>
      </c>
      <c r="G94" t="s">
        <v>252</v>
      </c>
      <c r="H94" t="s">
        <v>17</v>
      </c>
      <c r="I94" t="s">
        <v>254</v>
      </c>
      <c r="J94" t="s">
        <v>234</v>
      </c>
      <c r="K94">
        <v>626.99609057999999</v>
      </c>
      <c r="L94">
        <v>0.6</v>
      </c>
      <c r="M94">
        <v>1044.9934843000001</v>
      </c>
      <c r="N94" t="s">
        <v>234</v>
      </c>
      <c r="O94" t="s">
        <v>21</v>
      </c>
      <c r="P94">
        <v>1</v>
      </c>
    </row>
    <row r="95" spans="1:16" x14ac:dyDescent="0.25">
      <c r="A95" t="s">
        <v>283</v>
      </c>
      <c r="B95" t="s">
        <v>102</v>
      </c>
      <c r="C95">
        <v>2020</v>
      </c>
      <c r="D95">
        <v>1</v>
      </c>
      <c r="E95" t="s">
        <v>218</v>
      </c>
      <c r="F95" t="s">
        <v>251</v>
      </c>
      <c r="G95" t="s">
        <v>252</v>
      </c>
      <c r="H95" t="s">
        <v>17</v>
      </c>
      <c r="I95" t="s">
        <v>257</v>
      </c>
      <c r="J95" t="s">
        <v>244</v>
      </c>
      <c r="K95">
        <v>124.298984232</v>
      </c>
      <c r="L95">
        <v>0.6</v>
      </c>
      <c r="M95">
        <v>207.16497372000001</v>
      </c>
      <c r="N95" t="s">
        <v>245</v>
      </c>
      <c r="O95" t="s">
        <v>21</v>
      </c>
      <c r="P95">
        <v>1</v>
      </c>
    </row>
    <row r="96" spans="1:16" x14ac:dyDescent="0.25">
      <c r="A96" t="s">
        <v>283</v>
      </c>
      <c r="B96" t="s">
        <v>102</v>
      </c>
      <c r="C96">
        <v>2020</v>
      </c>
      <c r="D96">
        <v>1</v>
      </c>
      <c r="E96" t="s">
        <v>218</v>
      </c>
      <c r="F96" t="s">
        <v>251</v>
      </c>
      <c r="G96" t="s">
        <v>252</v>
      </c>
      <c r="H96" t="s">
        <v>17</v>
      </c>
      <c r="I96" t="s">
        <v>255</v>
      </c>
      <c r="J96" t="s">
        <v>239</v>
      </c>
      <c r="K96">
        <v>120.725380164</v>
      </c>
      <c r="L96">
        <v>0.6</v>
      </c>
      <c r="M96">
        <v>201.20896694000001</v>
      </c>
      <c r="N96" t="s">
        <v>240</v>
      </c>
      <c r="O96" t="s">
        <v>21</v>
      </c>
      <c r="P96">
        <v>1</v>
      </c>
    </row>
    <row r="97" spans="1:16" x14ac:dyDescent="0.25">
      <c r="A97" t="s">
        <v>283</v>
      </c>
      <c r="B97" t="s">
        <v>102</v>
      </c>
      <c r="C97">
        <v>2020</v>
      </c>
      <c r="D97">
        <v>1</v>
      </c>
      <c r="E97" t="s">
        <v>218</v>
      </c>
      <c r="F97" t="s">
        <v>251</v>
      </c>
      <c r="G97" t="s">
        <v>252</v>
      </c>
      <c r="H97" t="s">
        <v>17</v>
      </c>
      <c r="I97" t="s">
        <v>256</v>
      </c>
      <c r="J97" t="s">
        <v>242</v>
      </c>
      <c r="K97">
        <v>47.112583235999999</v>
      </c>
      <c r="L97">
        <v>0.6</v>
      </c>
      <c r="M97">
        <v>78.520972060000005</v>
      </c>
      <c r="N97" t="s">
        <v>242</v>
      </c>
      <c r="O97" t="s">
        <v>21</v>
      </c>
      <c r="P97">
        <v>1</v>
      </c>
    </row>
    <row r="98" spans="1:16" x14ac:dyDescent="0.25">
      <c r="A98" t="s">
        <v>283</v>
      </c>
      <c r="B98" t="s">
        <v>102</v>
      </c>
      <c r="C98">
        <v>2020</v>
      </c>
      <c r="D98">
        <v>1</v>
      </c>
      <c r="E98" t="s">
        <v>218</v>
      </c>
      <c r="F98" t="s">
        <v>251</v>
      </c>
      <c r="G98" t="s">
        <v>252</v>
      </c>
      <c r="H98" t="s">
        <v>17</v>
      </c>
      <c r="I98" t="s">
        <v>258</v>
      </c>
      <c r="J98" t="s">
        <v>247</v>
      </c>
      <c r="K98">
        <v>321.02862146400003</v>
      </c>
      <c r="L98">
        <v>0.6</v>
      </c>
      <c r="M98">
        <v>535.04770243999997</v>
      </c>
      <c r="N98" t="s">
        <v>248</v>
      </c>
      <c r="O98" t="s">
        <v>21</v>
      </c>
      <c r="P98">
        <v>1</v>
      </c>
    </row>
    <row r="99" spans="1:16" x14ac:dyDescent="0.25">
      <c r="A99" t="s">
        <v>283</v>
      </c>
      <c r="B99" t="s">
        <v>102</v>
      </c>
      <c r="C99">
        <v>2020</v>
      </c>
      <c r="D99">
        <v>1</v>
      </c>
      <c r="E99" t="s">
        <v>218</v>
      </c>
      <c r="F99" t="s">
        <v>251</v>
      </c>
      <c r="G99" t="s">
        <v>252</v>
      </c>
      <c r="H99" t="s">
        <v>17</v>
      </c>
      <c r="I99" t="s">
        <v>259</v>
      </c>
      <c r="J99" t="s">
        <v>250</v>
      </c>
      <c r="K99">
        <v>441.02524149599998</v>
      </c>
      <c r="L99">
        <v>0.6</v>
      </c>
      <c r="M99">
        <v>735.04206915999998</v>
      </c>
      <c r="N99" t="s">
        <v>250</v>
      </c>
      <c r="O99" t="s">
        <v>21</v>
      </c>
      <c r="P99">
        <v>1</v>
      </c>
    </row>
    <row r="100" spans="1:16" x14ac:dyDescent="0.25">
      <c r="A100" t="s">
        <v>283</v>
      </c>
      <c r="B100" t="s">
        <v>102</v>
      </c>
      <c r="C100">
        <v>2020</v>
      </c>
      <c r="D100">
        <v>1</v>
      </c>
      <c r="E100" t="s">
        <v>218</v>
      </c>
      <c r="F100" t="s">
        <v>260</v>
      </c>
      <c r="G100" t="s">
        <v>261</v>
      </c>
      <c r="H100" t="s">
        <v>17</v>
      </c>
      <c r="I100" t="s">
        <v>262</v>
      </c>
      <c r="J100" t="s">
        <v>222</v>
      </c>
      <c r="K100">
        <v>131.59183703768349</v>
      </c>
      <c r="L100">
        <v>0.85714299999999999</v>
      </c>
      <c r="M100">
        <v>153.52378429000001</v>
      </c>
      <c r="N100" t="s">
        <v>223</v>
      </c>
      <c r="O100" t="s">
        <v>21</v>
      </c>
      <c r="P100">
        <v>1</v>
      </c>
    </row>
    <row r="101" spans="1:16" x14ac:dyDescent="0.25">
      <c r="A101" t="s">
        <v>283</v>
      </c>
      <c r="B101" t="s">
        <v>102</v>
      </c>
      <c r="C101">
        <v>2020</v>
      </c>
      <c r="D101">
        <v>1</v>
      </c>
      <c r="E101" t="s">
        <v>218</v>
      </c>
      <c r="F101" t="s">
        <v>260</v>
      </c>
      <c r="G101" t="s">
        <v>261</v>
      </c>
      <c r="H101" t="s">
        <v>17</v>
      </c>
      <c r="I101" t="s">
        <v>263</v>
      </c>
      <c r="J101" t="s">
        <v>234</v>
      </c>
      <c r="K101">
        <v>540.18608709099954</v>
      </c>
      <c r="L101">
        <v>0.85714299999999999</v>
      </c>
      <c r="M101">
        <v>630.21699656999999</v>
      </c>
      <c r="N101" t="s">
        <v>234</v>
      </c>
      <c r="O101" t="s">
        <v>21</v>
      </c>
      <c r="P101">
        <v>1</v>
      </c>
    </row>
    <row r="102" spans="1:16" x14ac:dyDescent="0.25">
      <c r="A102" t="s">
        <v>283</v>
      </c>
      <c r="B102" t="s">
        <v>102</v>
      </c>
      <c r="C102">
        <v>2020</v>
      </c>
      <c r="D102">
        <v>1</v>
      </c>
      <c r="E102" t="s">
        <v>218</v>
      </c>
      <c r="F102" t="s">
        <v>260</v>
      </c>
      <c r="G102" t="s">
        <v>261</v>
      </c>
      <c r="H102" t="s">
        <v>17</v>
      </c>
      <c r="I102" t="s">
        <v>266</v>
      </c>
      <c r="J102" t="s">
        <v>244</v>
      </c>
      <c r="K102">
        <v>100.5998382180655</v>
      </c>
      <c r="L102">
        <v>0.85714299999999999</v>
      </c>
      <c r="M102">
        <v>117.36645836</v>
      </c>
      <c r="N102" t="s">
        <v>245</v>
      </c>
      <c r="O102" t="s">
        <v>21</v>
      </c>
      <c r="P102">
        <v>1</v>
      </c>
    </row>
    <row r="103" spans="1:16" x14ac:dyDescent="0.25">
      <c r="A103" t="s">
        <v>283</v>
      </c>
      <c r="B103" t="s">
        <v>102</v>
      </c>
      <c r="C103">
        <v>2020</v>
      </c>
      <c r="D103">
        <v>1</v>
      </c>
      <c r="E103" t="s">
        <v>218</v>
      </c>
      <c r="F103" t="s">
        <v>260</v>
      </c>
      <c r="G103" t="s">
        <v>261</v>
      </c>
      <c r="H103" t="s">
        <v>17</v>
      </c>
      <c r="I103" t="s">
        <v>264</v>
      </c>
      <c r="J103" t="s">
        <v>239</v>
      </c>
      <c r="K103">
        <v>100.3253759637503</v>
      </c>
      <c r="L103">
        <v>0.85714299999999999</v>
      </c>
      <c r="M103">
        <v>117.04625245</v>
      </c>
      <c r="N103" t="s">
        <v>240</v>
      </c>
      <c r="O103" t="s">
        <v>21</v>
      </c>
      <c r="P103">
        <v>1</v>
      </c>
    </row>
    <row r="104" spans="1:16" x14ac:dyDescent="0.25">
      <c r="A104" t="s">
        <v>283</v>
      </c>
      <c r="B104" t="s">
        <v>102</v>
      </c>
      <c r="C104">
        <v>2020</v>
      </c>
      <c r="D104">
        <v>1</v>
      </c>
      <c r="E104" t="s">
        <v>218</v>
      </c>
      <c r="F104" t="s">
        <v>260</v>
      </c>
      <c r="G104" t="s">
        <v>261</v>
      </c>
      <c r="H104" t="s">
        <v>17</v>
      </c>
      <c r="I104" t="s">
        <v>265</v>
      </c>
      <c r="J104" t="s">
        <v>242</v>
      </c>
      <c r="K104">
        <v>38.501500505487108</v>
      </c>
      <c r="L104">
        <v>0.85714299999999999</v>
      </c>
      <c r="M104">
        <v>44.918409769999997</v>
      </c>
      <c r="N104" t="s">
        <v>242</v>
      </c>
      <c r="O104" t="s">
        <v>21</v>
      </c>
      <c r="P104">
        <v>1</v>
      </c>
    </row>
    <row r="105" spans="1:16" x14ac:dyDescent="0.25">
      <c r="A105" t="s">
        <v>283</v>
      </c>
      <c r="B105" t="s">
        <v>102</v>
      </c>
      <c r="C105">
        <v>2020</v>
      </c>
      <c r="D105">
        <v>1</v>
      </c>
      <c r="E105" t="s">
        <v>218</v>
      </c>
      <c r="F105" t="s">
        <v>260</v>
      </c>
      <c r="G105" t="s">
        <v>261</v>
      </c>
      <c r="H105" t="s">
        <v>17</v>
      </c>
      <c r="I105" t="s">
        <v>267</v>
      </c>
      <c r="J105" t="s">
        <v>247</v>
      </c>
      <c r="K105">
        <v>296.99410989329579</v>
      </c>
      <c r="L105">
        <v>0.85714299999999999</v>
      </c>
      <c r="M105">
        <v>346.49307046000001</v>
      </c>
      <c r="N105" t="s">
        <v>248</v>
      </c>
      <c r="O105" t="s">
        <v>21</v>
      </c>
      <c r="P105">
        <v>1</v>
      </c>
    </row>
    <row r="106" spans="1:16" x14ac:dyDescent="0.25">
      <c r="A106" t="s">
        <v>283</v>
      </c>
      <c r="B106" t="s">
        <v>102</v>
      </c>
      <c r="C106">
        <v>2020</v>
      </c>
      <c r="D106">
        <v>1</v>
      </c>
      <c r="E106" t="s">
        <v>218</v>
      </c>
      <c r="F106" t="s">
        <v>260</v>
      </c>
      <c r="G106" t="s">
        <v>261</v>
      </c>
      <c r="H106" t="s">
        <v>17</v>
      </c>
      <c r="I106" t="s">
        <v>268</v>
      </c>
      <c r="J106" t="s">
        <v>250</v>
      </c>
      <c r="K106">
        <v>403.11864049214307</v>
      </c>
      <c r="L106">
        <v>0.85714299999999999</v>
      </c>
      <c r="M106">
        <v>470.30500218999998</v>
      </c>
      <c r="N106" t="s">
        <v>250</v>
      </c>
      <c r="O106" t="s">
        <v>21</v>
      </c>
      <c r="P106">
        <v>1</v>
      </c>
    </row>
    <row r="107" spans="1:16" x14ac:dyDescent="0.25">
      <c r="A107" t="s">
        <v>283</v>
      </c>
      <c r="B107" t="s">
        <v>106</v>
      </c>
      <c r="C107">
        <v>2020</v>
      </c>
      <c r="D107">
        <v>1</v>
      </c>
      <c r="E107" t="s">
        <v>218</v>
      </c>
      <c r="F107" t="s">
        <v>219</v>
      </c>
      <c r="G107" t="s">
        <v>220</v>
      </c>
      <c r="H107" t="s">
        <v>17</v>
      </c>
      <c r="I107" t="s">
        <v>221</v>
      </c>
      <c r="J107" t="s">
        <v>222</v>
      </c>
      <c r="K107">
        <v>188.59592614499999</v>
      </c>
      <c r="L107">
        <v>0.75</v>
      </c>
      <c r="M107">
        <v>251.46123485999999</v>
      </c>
      <c r="N107" t="s">
        <v>223</v>
      </c>
      <c r="O107" t="s">
        <v>21</v>
      </c>
      <c r="P107">
        <v>1</v>
      </c>
    </row>
    <row r="108" spans="1:16" x14ac:dyDescent="0.25">
      <c r="A108" t="s">
        <v>283</v>
      </c>
      <c r="B108" t="s">
        <v>106</v>
      </c>
      <c r="C108">
        <v>2020</v>
      </c>
      <c r="D108">
        <v>1</v>
      </c>
      <c r="E108" t="s">
        <v>218</v>
      </c>
      <c r="F108" t="s">
        <v>219</v>
      </c>
      <c r="G108" t="s">
        <v>220</v>
      </c>
      <c r="H108" t="s">
        <v>17</v>
      </c>
      <c r="I108" t="s">
        <v>233</v>
      </c>
      <c r="J108" t="s">
        <v>234</v>
      </c>
      <c r="K108">
        <v>766.7919509175</v>
      </c>
      <c r="L108">
        <v>0.75</v>
      </c>
      <c r="M108">
        <v>1022.38926789</v>
      </c>
      <c r="N108" t="s">
        <v>234</v>
      </c>
      <c r="O108" t="s">
        <v>21</v>
      </c>
      <c r="P108">
        <v>1</v>
      </c>
    </row>
    <row r="109" spans="1:16" x14ac:dyDescent="0.25">
      <c r="A109" t="s">
        <v>283</v>
      </c>
      <c r="B109" t="s">
        <v>106</v>
      </c>
      <c r="C109">
        <v>2020</v>
      </c>
      <c r="D109">
        <v>1</v>
      </c>
      <c r="E109" t="s">
        <v>218</v>
      </c>
      <c r="F109" t="s">
        <v>219</v>
      </c>
      <c r="G109" t="s">
        <v>220</v>
      </c>
      <c r="H109" t="s">
        <v>17</v>
      </c>
      <c r="I109" t="s">
        <v>243</v>
      </c>
      <c r="J109" t="s">
        <v>244</v>
      </c>
      <c r="K109">
        <v>155.34954368250001</v>
      </c>
      <c r="L109">
        <v>0.75</v>
      </c>
      <c r="M109">
        <v>207.13272491000001</v>
      </c>
      <c r="N109" t="s">
        <v>245</v>
      </c>
      <c r="O109" t="s">
        <v>21</v>
      </c>
      <c r="P109">
        <v>1</v>
      </c>
    </row>
    <row r="110" spans="1:16" x14ac:dyDescent="0.25">
      <c r="A110" t="s">
        <v>283</v>
      </c>
      <c r="B110" t="s">
        <v>106</v>
      </c>
      <c r="C110">
        <v>2020</v>
      </c>
      <c r="D110">
        <v>1</v>
      </c>
      <c r="E110" t="s">
        <v>218</v>
      </c>
      <c r="F110" t="s">
        <v>219</v>
      </c>
      <c r="G110" t="s">
        <v>220</v>
      </c>
      <c r="H110" t="s">
        <v>17</v>
      </c>
      <c r="I110" t="s">
        <v>238</v>
      </c>
      <c r="J110" t="s">
        <v>239</v>
      </c>
      <c r="K110">
        <v>146.93764358999999</v>
      </c>
      <c r="L110">
        <v>0.75</v>
      </c>
      <c r="M110">
        <v>195.91685812</v>
      </c>
      <c r="N110" t="s">
        <v>240</v>
      </c>
      <c r="O110" t="s">
        <v>21</v>
      </c>
      <c r="P110">
        <v>1</v>
      </c>
    </row>
    <row r="111" spans="1:16" x14ac:dyDescent="0.25">
      <c r="A111" t="s">
        <v>283</v>
      </c>
      <c r="B111" t="s">
        <v>106</v>
      </c>
      <c r="C111">
        <v>2020</v>
      </c>
      <c r="D111">
        <v>1</v>
      </c>
      <c r="E111" t="s">
        <v>218</v>
      </c>
      <c r="F111" t="s">
        <v>219</v>
      </c>
      <c r="G111" t="s">
        <v>220</v>
      </c>
      <c r="H111" t="s">
        <v>17</v>
      </c>
      <c r="I111" t="s">
        <v>241</v>
      </c>
      <c r="J111" t="s">
        <v>242</v>
      </c>
      <c r="K111">
        <v>63.17245767</v>
      </c>
      <c r="L111">
        <v>0.75</v>
      </c>
      <c r="M111">
        <v>84.229943559999995</v>
      </c>
      <c r="N111" t="s">
        <v>242</v>
      </c>
      <c r="O111" t="s">
        <v>21</v>
      </c>
      <c r="P111">
        <v>1</v>
      </c>
    </row>
    <row r="112" spans="1:16" x14ac:dyDescent="0.25">
      <c r="A112" t="s">
        <v>283</v>
      </c>
      <c r="B112" t="s">
        <v>106</v>
      </c>
      <c r="C112">
        <v>2020</v>
      </c>
      <c r="D112">
        <v>1</v>
      </c>
      <c r="E112" t="s">
        <v>218</v>
      </c>
      <c r="F112" t="s">
        <v>219</v>
      </c>
      <c r="G112" t="s">
        <v>220</v>
      </c>
      <c r="H112" t="s">
        <v>17</v>
      </c>
      <c r="I112" t="s">
        <v>246</v>
      </c>
      <c r="J112" t="s">
        <v>247</v>
      </c>
      <c r="K112">
        <v>435.72165623249998</v>
      </c>
      <c r="L112">
        <v>0.75</v>
      </c>
      <c r="M112">
        <v>580.96220831000005</v>
      </c>
      <c r="N112" t="s">
        <v>248</v>
      </c>
      <c r="O112" t="s">
        <v>21</v>
      </c>
      <c r="P112">
        <v>1</v>
      </c>
    </row>
    <row r="113" spans="1:16" x14ac:dyDescent="0.25">
      <c r="A113" t="s">
        <v>283</v>
      </c>
      <c r="B113" t="s">
        <v>106</v>
      </c>
      <c r="C113">
        <v>2020</v>
      </c>
      <c r="D113">
        <v>1</v>
      </c>
      <c r="E113" t="s">
        <v>218</v>
      </c>
      <c r="F113" t="s">
        <v>219</v>
      </c>
      <c r="G113" t="s">
        <v>220</v>
      </c>
      <c r="H113" t="s">
        <v>17</v>
      </c>
      <c r="I113" t="s">
        <v>249</v>
      </c>
      <c r="J113" t="s">
        <v>250</v>
      </c>
      <c r="K113">
        <v>555.36576077999996</v>
      </c>
      <c r="L113">
        <v>0.75</v>
      </c>
      <c r="M113">
        <v>740.48768103999998</v>
      </c>
      <c r="N113" t="s">
        <v>250</v>
      </c>
      <c r="O113" t="s">
        <v>21</v>
      </c>
      <c r="P113">
        <v>1</v>
      </c>
    </row>
    <row r="114" spans="1:16" x14ac:dyDescent="0.25">
      <c r="A114" t="s">
        <v>283</v>
      </c>
      <c r="B114" t="s">
        <v>106</v>
      </c>
      <c r="C114">
        <v>2020</v>
      </c>
      <c r="D114">
        <v>1</v>
      </c>
      <c r="E114" t="s">
        <v>218</v>
      </c>
      <c r="F114" t="s">
        <v>251</v>
      </c>
      <c r="G114" t="s">
        <v>252</v>
      </c>
      <c r="H114" t="s">
        <v>17</v>
      </c>
      <c r="I114" t="s">
        <v>253</v>
      </c>
      <c r="J114" t="s">
        <v>222</v>
      </c>
      <c r="K114">
        <v>167.843431122</v>
      </c>
      <c r="L114">
        <v>0.6</v>
      </c>
      <c r="M114">
        <v>279.73905187000003</v>
      </c>
      <c r="N114" t="s">
        <v>223</v>
      </c>
      <c r="O114" t="s">
        <v>21</v>
      </c>
      <c r="P114">
        <v>1</v>
      </c>
    </row>
    <row r="115" spans="1:16" x14ac:dyDescent="0.25">
      <c r="A115" t="s">
        <v>283</v>
      </c>
      <c r="B115" t="s">
        <v>106</v>
      </c>
      <c r="C115">
        <v>2020</v>
      </c>
      <c r="D115">
        <v>1</v>
      </c>
      <c r="E115" t="s">
        <v>218</v>
      </c>
      <c r="F115" t="s">
        <v>251</v>
      </c>
      <c r="G115" t="s">
        <v>252</v>
      </c>
      <c r="H115" t="s">
        <v>17</v>
      </c>
      <c r="I115" t="s">
        <v>254</v>
      </c>
      <c r="J115" t="s">
        <v>234</v>
      </c>
      <c r="K115">
        <v>629.2239585179999</v>
      </c>
      <c r="L115">
        <v>0.6</v>
      </c>
      <c r="M115">
        <v>1048.70659753</v>
      </c>
      <c r="N115" t="s">
        <v>234</v>
      </c>
      <c r="O115" t="s">
        <v>21</v>
      </c>
      <c r="P115">
        <v>1</v>
      </c>
    </row>
    <row r="116" spans="1:16" x14ac:dyDescent="0.25">
      <c r="A116" t="s">
        <v>283</v>
      </c>
      <c r="B116" t="s">
        <v>106</v>
      </c>
      <c r="C116">
        <v>2020</v>
      </c>
      <c r="D116">
        <v>1</v>
      </c>
      <c r="E116" t="s">
        <v>218</v>
      </c>
      <c r="F116" t="s">
        <v>251</v>
      </c>
      <c r="G116" t="s">
        <v>252</v>
      </c>
      <c r="H116" t="s">
        <v>17</v>
      </c>
      <c r="I116" t="s">
        <v>257</v>
      </c>
      <c r="J116" t="s">
        <v>244</v>
      </c>
      <c r="K116">
        <v>129.62152119000001</v>
      </c>
      <c r="L116">
        <v>0.6</v>
      </c>
      <c r="M116">
        <v>216.03586865</v>
      </c>
      <c r="N116" t="s">
        <v>245</v>
      </c>
      <c r="O116" t="s">
        <v>21</v>
      </c>
      <c r="P116">
        <v>1</v>
      </c>
    </row>
    <row r="117" spans="1:16" x14ac:dyDescent="0.25">
      <c r="A117" t="s">
        <v>283</v>
      </c>
      <c r="B117" t="s">
        <v>106</v>
      </c>
      <c r="C117">
        <v>2020</v>
      </c>
      <c r="D117">
        <v>1</v>
      </c>
      <c r="E117" t="s">
        <v>218</v>
      </c>
      <c r="F117" t="s">
        <v>251</v>
      </c>
      <c r="G117" t="s">
        <v>252</v>
      </c>
      <c r="H117" t="s">
        <v>17</v>
      </c>
      <c r="I117" t="s">
        <v>255</v>
      </c>
      <c r="J117" t="s">
        <v>239</v>
      </c>
      <c r="K117">
        <v>121.253772762</v>
      </c>
      <c r="L117">
        <v>0.6</v>
      </c>
      <c r="M117">
        <v>202.08962127000001</v>
      </c>
      <c r="N117" t="s">
        <v>240</v>
      </c>
      <c r="O117" t="s">
        <v>21</v>
      </c>
      <c r="P117">
        <v>1</v>
      </c>
    </row>
    <row r="118" spans="1:16" x14ac:dyDescent="0.25">
      <c r="A118" t="s">
        <v>283</v>
      </c>
      <c r="B118" t="s">
        <v>106</v>
      </c>
      <c r="C118">
        <v>2020</v>
      </c>
      <c r="D118">
        <v>1</v>
      </c>
      <c r="E118" t="s">
        <v>218</v>
      </c>
      <c r="F118" t="s">
        <v>251</v>
      </c>
      <c r="G118" t="s">
        <v>252</v>
      </c>
      <c r="H118" t="s">
        <v>17</v>
      </c>
      <c r="I118" t="s">
        <v>256</v>
      </c>
      <c r="J118" t="s">
        <v>242</v>
      </c>
      <c r="K118">
        <v>47.977492073999997</v>
      </c>
      <c r="L118">
        <v>0.6</v>
      </c>
      <c r="M118">
        <v>79.96248679</v>
      </c>
      <c r="N118" t="s">
        <v>242</v>
      </c>
      <c r="O118" t="s">
        <v>21</v>
      </c>
      <c r="P118">
        <v>1</v>
      </c>
    </row>
    <row r="119" spans="1:16" x14ac:dyDescent="0.25">
      <c r="A119" t="s">
        <v>283</v>
      </c>
      <c r="B119" t="s">
        <v>106</v>
      </c>
      <c r="C119">
        <v>2020</v>
      </c>
      <c r="D119">
        <v>1</v>
      </c>
      <c r="E119" t="s">
        <v>218</v>
      </c>
      <c r="F119" t="s">
        <v>251</v>
      </c>
      <c r="G119" t="s">
        <v>252</v>
      </c>
      <c r="H119" t="s">
        <v>17</v>
      </c>
      <c r="I119" t="s">
        <v>258</v>
      </c>
      <c r="J119" t="s">
        <v>247</v>
      </c>
      <c r="K119">
        <v>323.51461377599998</v>
      </c>
      <c r="L119">
        <v>0.6</v>
      </c>
      <c r="M119">
        <v>539.19102296000005</v>
      </c>
      <c r="N119" t="s">
        <v>248</v>
      </c>
      <c r="O119" t="s">
        <v>21</v>
      </c>
      <c r="P119">
        <v>1</v>
      </c>
    </row>
    <row r="120" spans="1:16" x14ac:dyDescent="0.25">
      <c r="A120" t="s">
        <v>283</v>
      </c>
      <c r="B120" t="s">
        <v>106</v>
      </c>
      <c r="C120">
        <v>2020</v>
      </c>
      <c r="D120">
        <v>1</v>
      </c>
      <c r="E120" t="s">
        <v>218</v>
      </c>
      <c r="F120" t="s">
        <v>251</v>
      </c>
      <c r="G120" t="s">
        <v>252</v>
      </c>
      <c r="H120" t="s">
        <v>17</v>
      </c>
      <c r="I120" t="s">
        <v>259</v>
      </c>
      <c r="J120" t="s">
        <v>250</v>
      </c>
      <c r="K120">
        <v>423.03020867999999</v>
      </c>
      <c r="L120">
        <v>0.6</v>
      </c>
      <c r="M120">
        <v>705.05034780000005</v>
      </c>
      <c r="N120" t="s">
        <v>250</v>
      </c>
      <c r="O120" t="s">
        <v>21</v>
      </c>
      <c r="P120">
        <v>1</v>
      </c>
    </row>
    <row r="121" spans="1:16" x14ac:dyDescent="0.25">
      <c r="A121" t="s">
        <v>283</v>
      </c>
      <c r="B121" t="s">
        <v>106</v>
      </c>
      <c r="C121">
        <v>2020</v>
      </c>
      <c r="D121">
        <v>1</v>
      </c>
      <c r="E121" t="s">
        <v>218</v>
      </c>
      <c r="F121" t="s">
        <v>260</v>
      </c>
      <c r="G121" t="s">
        <v>261</v>
      </c>
      <c r="H121" t="s">
        <v>17</v>
      </c>
      <c r="I121" t="s">
        <v>262</v>
      </c>
      <c r="J121" t="s">
        <v>222</v>
      </c>
      <c r="K121">
        <v>127.7532702864939</v>
      </c>
      <c r="L121">
        <v>0.85714299999999999</v>
      </c>
      <c r="M121">
        <v>149.04545716000001</v>
      </c>
      <c r="N121" t="s">
        <v>223</v>
      </c>
      <c r="O121" t="s">
        <v>21</v>
      </c>
      <c r="P121">
        <v>1</v>
      </c>
    </row>
    <row r="122" spans="1:16" x14ac:dyDescent="0.25">
      <c r="A122" t="s">
        <v>283</v>
      </c>
      <c r="B122" t="s">
        <v>106</v>
      </c>
      <c r="C122">
        <v>2020</v>
      </c>
      <c r="D122">
        <v>1</v>
      </c>
      <c r="E122" t="s">
        <v>218</v>
      </c>
      <c r="F122" t="s">
        <v>260</v>
      </c>
      <c r="G122" t="s">
        <v>261</v>
      </c>
      <c r="H122" t="s">
        <v>17</v>
      </c>
      <c r="I122" t="s">
        <v>263</v>
      </c>
      <c r="J122" t="s">
        <v>234</v>
      </c>
      <c r="K122">
        <v>521.99416649044178</v>
      </c>
      <c r="L122">
        <v>0.85714299999999999</v>
      </c>
      <c r="M122">
        <v>608.99309273999995</v>
      </c>
      <c r="N122" t="s">
        <v>234</v>
      </c>
      <c r="O122" t="s">
        <v>21</v>
      </c>
      <c r="P122">
        <v>1</v>
      </c>
    </row>
    <row r="123" spans="1:16" x14ac:dyDescent="0.25">
      <c r="A123" t="s">
        <v>283</v>
      </c>
      <c r="B123" t="s">
        <v>106</v>
      </c>
      <c r="C123">
        <v>2020</v>
      </c>
      <c r="D123">
        <v>1</v>
      </c>
      <c r="E123" t="s">
        <v>218</v>
      </c>
      <c r="F123" t="s">
        <v>260</v>
      </c>
      <c r="G123" t="s">
        <v>261</v>
      </c>
      <c r="H123" t="s">
        <v>17</v>
      </c>
      <c r="I123" t="s">
        <v>266</v>
      </c>
      <c r="J123" t="s">
        <v>244</v>
      </c>
      <c r="K123">
        <v>95.97699582187758</v>
      </c>
      <c r="L123">
        <v>0.85714299999999999</v>
      </c>
      <c r="M123">
        <v>111.97314313</v>
      </c>
      <c r="N123" t="s">
        <v>245</v>
      </c>
      <c r="O123" t="s">
        <v>21</v>
      </c>
      <c r="P123">
        <v>1</v>
      </c>
    </row>
    <row r="124" spans="1:16" x14ac:dyDescent="0.25">
      <c r="A124" t="s">
        <v>283</v>
      </c>
      <c r="B124" t="s">
        <v>106</v>
      </c>
      <c r="C124">
        <v>2020</v>
      </c>
      <c r="D124">
        <v>1</v>
      </c>
      <c r="E124" t="s">
        <v>218</v>
      </c>
      <c r="F124" t="s">
        <v>260</v>
      </c>
      <c r="G124" t="s">
        <v>261</v>
      </c>
      <c r="H124" t="s">
        <v>17</v>
      </c>
      <c r="I124" t="s">
        <v>264</v>
      </c>
      <c r="J124" t="s">
        <v>239</v>
      </c>
      <c r="K124">
        <v>101.34981991449099</v>
      </c>
      <c r="L124">
        <v>0.85714299999999999</v>
      </c>
      <c r="M124">
        <v>118.24143685999999</v>
      </c>
      <c r="N124" t="s">
        <v>240</v>
      </c>
      <c r="O124" t="s">
        <v>21</v>
      </c>
      <c r="P124">
        <v>1</v>
      </c>
    </row>
    <row r="125" spans="1:16" x14ac:dyDescent="0.25">
      <c r="A125" t="s">
        <v>283</v>
      </c>
      <c r="B125" t="s">
        <v>106</v>
      </c>
      <c r="C125">
        <v>2020</v>
      </c>
      <c r="D125">
        <v>1</v>
      </c>
      <c r="E125" t="s">
        <v>218</v>
      </c>
      <c r="F125" t="s">
        <v>260</v>
      </c>
      <c r="G125" t="s">
        <v>261</v>
      </c>
      <c r="H125" t="s">
        <v>17</v>
      </c>
      <c r="I125" t="s">
        <v>265</v>
      </c>
      <c r="J125" t="s">
        <v>242</v>
      </c>
      <c r="K125">
        <v>39.454085564251258</v>
      </c>
      <c r="L125">
        <v>0.85714299999999999</v>
      </c>
      <c r="M125">
        <v>46.029758819999998</v>
      </c>
      <c r="N125" t="s">
        <v>242</v>
      </c>
      <c r="O125" t="s">
        <v>21</v>
      </c>
      <c r="P125">
        <v>1</v>
      </c>
    </row>
    <row r="126" spans="1:16" x14ac:dyDescent="0.25">
      <c r="A126" t="s">
        <v>283</v>
      </c>
      <c r="B126" t="s">
        <v>106</v>
      </c>
      <c r="C126">
        <v>2020</v>
      </c>
      <c r="D126">
        <v>1</v>
      </c>
      <c r="E126" t="s">
        <v>218</v>
      </c>
      <c r="F126" t="s">
        <v>260</v>
      </c>
      <c r="G126" t="s">
        <v>261</v>
      </c>
      <c r="H126" t="s">
        <v>17</v>
      </c>
      <c r="I126" t="s">
        <v>267</v>
      </c>
      <c r="J126" t="s">
        <v>247</v>
      </c>
      <c r="K126">
        <v>295.3647880903136</v>
      </c>
      <c r="L126">
        <v>0.85714299999999999</v>
      </c>
      <c r="M126">
        <v>344.59219533999999</v>
      </c>
      <c r="N126" t="s">
        <v>248</v>
      </c>
      <c r="O126" t="s">
        <v>21</v>
      </c>
      <c r="P126">
        <v>1</v>
      </c>
    </row>
    <row r="127" spans="1:16" x14ac:dyDescent="0.25">
      <c r="A127" t="s">
        <v>283</v>
      </c>
      <c r="B127" t="s">
        <v>106</v>
      </c>
      <c r="C127">
        <v>2020</v>
      </c>
      <c r="D127">
        <v>1</v>
      </c>
      <c r="E127" t="s">
        <v>218</v>
      </c>
      <c r="F127" t="s">
        <v>260</v>
      </c>
      <c r="G127" t="s">
        <v>261</v>
      </c>
      <c r="H127" t="s">
        <v>17</v>
      </c>
      <c r="I127" t="s">
        <v>268</v>
      </c>
      <c r="J127" t="s">
        <v>250</v>
      </c>
      <c r="K127">
        <v>369.48417940640059</v>
      </c>
      <c r="L127">
        <v>0.85714299999999999</v>
      </c>
      <c r="M127">
        <v>431.06480413000003</v>
      </c>
      <c r="N127" t="s">
        <v>250</v>
      </c>
      <c r="O127" t="s">
        <v>21</v>
      </c>
      <c r="P12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235"/>
  <sheetViews>
    <sheetView workbookViewId="0"/>
  </sheetViews>
  <sheetFormatPr baseColWidth="10" defaultColWidth="9.140625" defaultRowHeight="15" x14ac:dyDescent="0.25"/>
  <sheetData>
    <row r="1" spans="1:30" x14ac:dyDescent="0.25">
      <c r="A1" s="1" t="s">
        <v>122</v>
      </c>
      <c r="B1" s="1" t="s">
        <v>58</v>
      </c>
      <c r="C1" s="1" t="s">
        <v>123</v>
      </c>
      <c r="D1" s="1" t="s">
        <v>35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82</v>
      </c>
      <c r="T1" s="1" t="s">
        <v>141</v>
      </c>
      <c r="U1" s="1" t="s">
        <v>142</v>
      </c>
      <c r="V1" s="1" t="s">
        <v>143</v>
      </c>
      <c r="W1" s="1" t="s">
        <v>138</v>
      </c>
      <c r="X1" s="1" t="s">
        <v>84</v>
      </c>
      <c r="Y1" s="1" t="s">
        <v>144</v>
      </c>
      <c r="Z1" s="1" t="s">
        <v>145</v>
      </c>
      <c r="AA1" s="1" t="s">
        <v>146</v>
      </c>
      <c r="AB1" s="1" t="s">
        <v>139</v>
      </c>
      <c r="AC1" s="1" t="s">
        <v>140</v>
      </c>
      <c r="AD1" s="1" t="s">
        <v>147</v>
      </c>
    </row>
    <row r="2" spans="1:30" x14ac:dyDescent="0.25">
      <c r="B2" s="2">
        <v>42370</v>
      </c>
    </row>
    <row r="3" spans="1:30" x14ac:dyDescent="0.25">
      <c r="B3" s="2">
        <v>42401</v>
      </c>
    </row>
    <row r="4" spans="1:30" x14ac:dyDescent="0.25">
      <c r="B4" s="2">
        <v>42430</v>
      </c>
    </row>
    <row r="5" spans="1:30" x14ac:dyDescent="0.25">
      <c r="B5" s="2">
        <v>42461</v>
      </c>
    </row>
    <row r="6" spans="1:30" x14ac:dyDescent="0.25">
      <c r="B6" s="2">
        <v>42491</v>
      </c>
    </row>
    <row r="7" spans="1:30" x14ac:dyDescent="0.25">
      <c r="B7" s="2">
        <v>42522</v>
      </c>
    </row>
    <row r="8" spans="1:30" x14ac:dyDescent="0.25">
      <c r="B8" s="2">
        <v>42552</v>
      </c>
    </row>
    <row r="9" spans="1:30" x14ac:dyDescent="0.25">
      <c r="B9" s="2">
        <v>42583</v>
      </c>
    </row>
    <row r="10" spans="1:30" x14ac:dyDescent="0.25">
      <c r="B10" s="2">
        <v>42614</v>
      </c>
    </row>
    <row r="11" spans="1:30" x14ac:dyDescent="0.25">
      <c r="B11" s="2">
        <v>42644</v>
      </c>
    </row>
    <row r="12" spans="1:30" x14ac:dyDescent="0.25">
      <c r="B12" s="2">
        <v>42675</v>
      </c>
    </row>
    <row r="13" spans="1:30" x14ac:dyDescent="0.25">
      <c r="B13" s="2">
        <v>42705</v>
      </c>
    </row>
    <row r="14" spans="1:30" x14ac:dyDescent="0.25">
      <c r="B14" s="2">
        <v>42736</v>
      </c>
    </row>
    <row r="15" spans="1:30" x14ac:dyDescent="0.25">
      <c r="B15" s="2">
        <v>42767</v>
      </c>
    </row>
    <row r="16" spans="1:30" x14ac:dyDescent="0.25">
      <c r="B16" s="2">
        <v>42795</v>
      </c>
    </row>
    <row r="17" spans="2:2" x14ac:dyDescent="0.25">
      <c r="B17" s="2">
        <v>42826</v>
      </c>
    </row>
    <row r="18" spans="2:2" x14ac:dyDescent="0.25">
      <c r="B18" s="2">
        <v>42856</v>
      </c>
    </row>
    <row r="19" spans="2:2" x14ac:dyDescent="0.25">
      <c r="B19" s="2">
        <v>42887</v>
      </c>
    </row>
    <row r="20" spans="2:2" x14ac:dyDescent="0.25">
      <c r="B20" s="2">
        <v>42917</v>
      </c>
    </row>
    <row r="21" spans="2:2" x14ac:dyDescent="0.25">
      <c r="B21" s="2">
        <v>42948</v>
      </c>
    </row>
    <row r="22" spans="2:2" x14ac:dyDescent="0.25">
      <c r="B22" s="2">
        <v>42979</v>
      </c>
    </row>
    <row r="23" spans="2:2" x14ac:dyDescent="0.25">
      <c r="B23" s="2">
        <v>43009</v>
      </c>
    </row>
    <row r="24" spans="2:2" x14ac:dyDescent="0.25">
      <c r="B24" s="2">
        <v>43040</v>
      </c>
    </row>
    <row r="25" spans="2:2" x14ac:dyDescent="0.25">
      <c r="B25" s="2">
        <v>43070</v>
      </c>
    </row>
    <row r="26" spans="2:2" x14ac:dyDescent="0.25">
      <c r="B26" s="2">
        <v>43101</v>
      </c>
    </row>
    <row r="27" spans="2:2" x14ac:dyDescent="0.25">
      <c r="B27" s="2">
        <v>43132</v>
      </c>
    </row>
    <row r="28" spans="2:2" x14ac:dyDescent="0.25">
      <c r="B28" s="2">
        <v>43160</v>
      </c>
    </row>
    <row r="29" spans="2:2" x14ac:dyDescent="0.25">
      <c r="B29" s="2">
        <v>43191</v>
      </c>
    </row>
    <row r="30" spans="2:2" x14ac:dyDescent="0.25">
      <c r="B30" s="2">
        <v>43221</v>
      </c>
    </row>
    <row r="31" spans="2:2" x14ac:dyDescent="0.25">
      <c r="B31" s="2">
        <v>43252</v>
      </c>
    </row>
    <row r="32" spans="2:2" x14ac:dyDescent="0.25">
      <c r="B32" s="2">
        <v>43282</v>
      </c>
    </row>
    <row r="33" spans="2:2" x14ac:dyDescent="0.25">
      <c r="B33" s="2">
        <v>43313</v>
      </c>
    </row>
    <row r="34" spans="2:2" x14ac:dyDescent="0.25">
      <c r="B34" s="2">
        <v>43344</v>
      </c>
    </row>
    <row r="35" spans="2:2" x14ac:dyDescent="0.25">
      <c r="B35" s="2">
        <v>43374</v>
      </c>
    </row>
    <row r="36" spans="2:2" x14ac:dyDescent="0.25">
      <c r="B36" s="2">
        <v>43405</v>
      </c>
    </row>
    <row r="37" spans="2:2" x14ac:dyDescent="0.25">
      <c r="B37" s="2">
        <v>43435</v>
      </c>
    </row>
    <row r="38" spans="2:2" x14ac:dyDescent="0.25">
      <c r="B38" s="2">
        <v>43466</v>
      </c>
    </row>
    <row r="39" spans="2:2" x14ac:dyDescent="0.25">
      <c r="B39" s="2">
        <v>43497</v>
      </c>
    </row>
    <row r="40" spans="2:2" x14ac:dyDescent="0.25">
      <c r="B40" s="2">
        <v>43525</v>
      </c>
    </row>
    <row r="41" spans="2:2" x14ac:dyDescent="0.25">
      <c r="B41" s="2">
        <v>43556</v>
      </c>
    </row>
    <row r="42" spans="2:2" x14ac:dyDescent="0.25">
      <c r="B42" s="2">
        <v>43586</v>
      </c>
    </row>
    <row r="43" spans="2:2" x14ac:dyDescent="0.25">
      <c r="B43" s="2">
        <v>43617</v>
      </c>
    </row>
    <row r="44" spans="2:2" x14ac:dyDescent="0.25">
      <c r="B44" s="2">
        <v>43647</v>
      </c>
    </row>
    <row r="45" spans="2:2" x14ac:dyDescent="0.25">
      <c r="B45" s="2">
        <v>43678</v>
      </c>
    </row>
    <row r="46" spans="2:2" x14ac:dyDescent="0.25">
      <c r="B46" s="2">
        <v>43709</v>
      </c>
    </row>
    <row r="47" spans="2:2" x14ac:dyDescent="0.25">
      <c r="B47" s="2">
        <v>43739</v>
      </c>
    </row>
    <row r="48" spans="2:2" x14ac:dyDescent="0.25">
      <c r="B48" s="2">
        <v>43770</v>
      </c>
    </row>
    <row r="49" spans="2:2" x14ac:dyDescent="0.25">
      <c r="B49" s="2">
        <v>43800</v>
      </c>
    </row>
    <row r="50" spans="2:2" x14ac:dyDescent="0.25">
      <c r="B50" s="2">
        <v>43831</v>
      </c>
    </row>
    <row r="51" spans="2:2" x14ac:dyDescent="0.25">
      <c r="B51" s="2">
        <v>43862</v>
      </c>
    </row>
    <row r="52" spans="2:2" x14ac:dyDescent="0.25">
      <c r="B52" s="2">
        <v>43891</v>
      </c>
    </row>
    <row r="53" spans="2:2" x14ac:dyDescent="0.25">
      <c r="B53" s="2">
        <v>43922</v>
      </c>
    </row>
    <row r="54" spans="2:2" x14ac:dyDescent="0.25">
      <c r="B54" s="2">
        <v>43952</v>
      </c>
    </row>
    <row r="55" spans="2:2" x14ac:dyDescent="0.25">
      <c r="B55" s="2">
        <v>43983</v>
      </c>
    </row>
    <row r="56" spans="2:2" x14ac:dyDescent="0.25">
      <c r="B56" s="2">
        <v>44013</v>
      </c>
    </row>
    <row r="57" spans="2:2" x14ac:dyDescent="0.25">
      <c r="B57" s="2">
        <v>44044</v>
      </c>
    </row>
    <row r="58" spans="2:2" x14ac:dyDescent="0.25">
      <c r="B58" s="2">
        <v>44075</v>
      </c>
    </row>
    <row r="59" spans="2:2" x14ac:dyDescent="0.25">
      <c r="B59" s="2">
        <v>44105</v>
      </c>
    </row>
    <row r="60" spans="2:2" x14ac:dyDescent="0.25">
      <c r="B60" s="2">
        <v>44136</v>
      </c>
    </row>
    <row r="61" spans="2:2" x14ac:dyDescent="0.25">
      <c r="B61" s="2">
        <v>44166</v>
      </c>
    </row>
    <row r="62" spans="2:2" x14ac:dyDescent="0.25">
      <c r="B62" s="2">
        <v>44197</v>
      </c>
    </row>
    <row r="63" spans="2:2" x14ac:dyDescent="0.25">
      <c r="B63" s="2">
        <v>44228</v>
      </c>
    </row>
    <row r="64" spans="2:2" x14ac:dyDescent="0.25">
      <c r="B64" s="2">
        <v>44256</v>
      </c>
    </row>
    <row r="65" spans="2:2" x14ac:dyDescent="0.25">
      <c r="B65" s="2">
        <v>44287</v>
      </c>
    </row>
    <row r="66" spans="2:2" x14ac:dyDescent="0.25">
      <c r="B66" s="2">
        <v>44317</v>
      </c>
    </row>
    <row r="67" spans="2:2" x14ac:dyDescent="0.25">
      <c r="B67" s="2">
        <v>44348</v>
      </c>
    </row>
    <row r="68" spans="2:2" x14ac:dyDescent="0.25">
      <c r="B68" s="2">
        <v>44378</v>
      </c>
    </row>
    <row r="69" spans="2:2" x14ac:dyDescent="0.25">
      <c r="B69" s="2">
        <v>44409</v>
      </c>
    </row>
    <row r="70" spans="2:2" x14ac:dyDescent="0.25">
      <c r="B70" s="2">
        <v>44440</v>
      </c>
    </row>
    <row r="71" spans="2:2" x14ac:dyDescent="0.25">
      <c r="B71" s="2">
        <v>44470</v>
      </c>
    </row>
    <row r="72" spans="2:2" x14ac:dyDescent="0.25">
      <c r="B72" s="2">
        <v>44501</v>
      </c>
    </row>
    <row r="73" spans="2:2" x14ac:dyDescent="0.25">
      <c r="B73" s="2">
        <v>44531</v>
      </c>
    </row>
    <row r="74" spans="2:2" x14ac:dyDescent="0.25">
      <c r="B74" s="2">
        <v>44562</v>
      </c>
    </row>
    <row r="75" spans="2:2" x14ac:dyDescent="0.25">
      <c r="B75" s="2">
        <v>44593</v>
      </c>
    </row>
    <row r="76" spans="2:2" x14ac:dyDescent="0.25">
      <c r="B76" s="2">
        <v>44621</v>
      </c>
    </row>
    <row r="77" spans="2:2" x14ac:dyDescent="0.25">
      <c r="B77" s="2">
        <v>44652</v>
      </c>
    </row>
    <row r="78" spans="2:2" x14ac:dyDescent="0.25">
      <c r="B78" s="2">
        <v>44682</v>
      </c>
    </row>
    <row r="79" spans="2:2" x14ac:dyDescent="0.25">
      <c r="B79" s="2">
        <v>44713</v>
      </c>
    </row>
    <row r="80" spans="2:2" x14ac:dyDescent="0.25">
      <c r="B80" s="2">
        <v>44743</v>
      </c>
    </row>
    <row r="81" spans="2:2" x14ac:dyDescent="0.25">
      <c r="B81" s="2">
        <v>44774</v>
      </c>
    </row>
    <row r="82" spans="2:2" x14ac:dyDescent="0.25">
      <c r="B82" s="2">
        <v>44805</v>
      </c>
    </row>
    <row r="83" spans="2:2" x14ac:dyDescent="0.25">
      <c r="B83" s="2">
        <v>44835</v>
      </c>
    </row>
    <row r="84" spans="2:2" x14ac:dyDescent="0.25">
      <c r="B84" s="2">
        <v>44866</v>
      </c>
    </row>
    <row r="85" spans="2:2" x14ac:dyDescent="0.25">
      <c r="B85" s="2">
        <v>44896</v>
      </c>
    </row>
    <row r="86" spans="2:2" x14ac:dyDescent="0.25">
      <c r="B86" s="2">
        <v>44927</v>
      </c>
    </row>
    <row r="87" spans="2:2" x14ac:dyDescent="0.25">
      <c r="B87" s="2">
        <v>44958</v>
      </c>
    </row>
    <row r="88" spans="2:2" x14ac:dyDescent="0.25">
      <c r="B88" s="2">
        <v>44986</v>
      </c>
    </row>
    <row r="89" spans="2:2" x14ac:dyDescent="0.25">
      <c r="B89" s="2">
        <v>45017</v>
      </c>
    </row>
    <row r="90" spans="2:2" x14ac:dyDescent="0.25">
      <c r="B90" s="2">
        <v>45047</v>
      </c>
    </row>
    <row r="91" spans="2:2" x14ac:dyDescent="0.25">
      <c r="B91" s="2">
        <v>45078</v>
      </c>
    </row>
    <row r="92" spans="2:2" x14ac:dyDescent="0.25">
      <c r="B92" s="2">
        <v>45108</v>
      </c>
    </row>
    <row r="93" spans="2:2" x14ac:dyDescent="0.25">
      <c r="B93" s="2">
        <v>45139</v>
      </c>
    </row>
    <row r="94" spans="2:2" x14ac:dyDescent="0.25">
      <c r="B94" s="2">
        <v>45170</v>
      </c>
    </row>
    <row r="95" spans="2:2" x14ac:dyDescent="0.25">
      <c r="B95" s="2">
        <v>45200</v>
      </c>
    </row>
    <row r="96" spans="2:2" x14ac:dyDescent="0.25">
      <c r="B96" s="2">
        <v>45231</v>
      </c>
    </row>
    <row r="97" spans="2:2" x14ac:dyDescent="0.25">
      <c r="B97" s="2">
        <v>45261</v>
      </c>
    </row>
    <row r="98" spans="2:2" x14ac:dyDescent="0.25">
      <c r="B98" s="2">
        <v>45292</v>
      </c>
    </row>
    <row r="99" spans="2:2" x14ac:dyDescent="0.25">
      <c r="B99" s="2">
        <v>45323</v>
      </c>
    </row>
    <row r="100" spans="2:2" x14ac:dyDescent="0.25">
      <c r="B100" s="2">
        <v>45352</v>
      </c>
    </row>
    <row r="101" spans="2:2" x14ac:dyDescent="0.25">
      <c r="B101" s="2">
        <v>45383</v>
      </c>
    </row>
    <row r="102" spans="2:2" x14ac:dyDescent="0.25">
      <c r="B102" s="2">
        <v>45413</v>
      </c>
    </row>
    <row r="103" spans="2:2" x14ac:dyDescent="0.25">
      <c r="B103" s="2">
        <v>45444</v>
      </c>
    </row>
    <row r="104" spans="2:2" x14ac:dyDescent="0.25">
      <c r="B104" s="2">
        <v>45474</v>
      </c>
    </row>
    <row r="105" spans="2:2" x14ac:dyDescent="0.25">
      <c r="B105" s="2">
        <v>45505</v>
      </c>
    </row>
    <row r="106" spans="2:2" x14ac:dyDescent="0.25">
      <c r="B106" s="2">
        <v>45536</v>
      </c>
    </row>
    <row r="107" spans="2:2" x14ac:dyDescent="0.25">
      <c r="B107" s="2">
        <v>45566</v>
      </c>
    </row>
    <row r="108" spans="2:2" x14ac:dyDescent="0.25">
      <c r="B108" s="2">
        <v>45597</v>
      </c>
    </row>
    <row r="109" spans="2:2" x14ac:dyDescent="0.25">
      <c r="B109" s="2">
        <v>45627</v>
      </c>
    </row>
    <row r="110" spans="2:2" x14ac:dyDescent="0.25">
      <c r="B110" s="2">
        <v>45658</v>
      </c>
    </row>
    <row r="111" spans="2:2" x14ac:dyDescent="0.25">
      <c r="B111" s="2">
        <v>45689</v>
      </c>
    </row>
    <row r="112" spans="2:2" x14ac:dyDescent="0.25">
      <c r="B112" s="2">
        <v>45717</v>
      </c>
    </row>
    <row r="113" spans="2:2" x14ac:dyDescent="0.25">
      <c r="B113" s="2">
        <v>45748</v>
      </c>
    </row>
    <row r="114" spans="2:2" x14ac:dyDescent="0.25">
      <c r="B114" s="2">
        <v>45778</v>
      </c>
    </row>
    <row r="115" spans="2:2" x14ac:dyDescent="0.25">
      <c r="B115" s="2">
        <v>45809</v>
      </c>
    </row>
    <row r="116" spans="2:2" x14ac:dyDescent="0.25">
      <c r="B116" s="2">
        <v>45839</v>
      </c>
    </row>
    <row r="117" spans="2:2" x14ac:dyDescent="0.25">
      <c r="B117" s="2">
        <v>45870</v>
      </c>
    </row>
    <row r="118" spans="2:2" x14ac:dyDescent="0.25">
      <c r="B118" s="2">
        <v>45901</v>
      </c>
    </row>
    <row r="119" spans="2:2" x14ac:dyDescent="0.25">
      <c r="B119" s="2">
        <v>45931</v>
      </c>
    </row>
    <row r="120" spans="2:2" x14ac:dyDescent="0.25">
      <c r="B120" s="2">
        <v>45962</v>
      </c>
    </row>
    <row r="121" spans="2:2" x14ac:dyDescent="0.25">
      <c r="B121" s="2">
        <v>45992</v>
      </c>
    </row>
    <row r="122" spans="2:2" x14ac:dyDescent="0.25">
      <c r="B122" s="2">
        <v>46023</v>
      </c>
    </row>
    <row r="123" spans="2:2" x14ac:dyDescent="0.25">
      <c r="B123" s="2">
        <v>46054</v>
      </c>
    </row>
    <row r="124" spans="2:2" x14ac:dyDescent="0.25">
      <c r="B124" s="2">
        <v>46082</v>
      </c>
    </row>
    <row r="125" spans="2:2" x14ac:dyDescent="0.25">
      <c r="B125" s="2">
        <v>46113</v>
      </c>
    </row>
    <row r="126" spans="2:2" x14ac:dyDescent="0.25">
      <c r="B126" s="2">
        <v>46143</v>
      </c>
    </row>
    <row r="127" spans="2:2" x14ac:dyDescent="0.25">
      <c r="B127" s="2">
        <v>46174</v>
      </c>
    </row>
    <row r="128" spans="2:2" x14ac:dyDescent="0.25">
      <c r="B128" s="2">
        <v>46204</v>
      </c>
    </row>
    <row r="129" spans="2:2" x14ac:dyDescent="0.25">
      <c r="B129" s="2">
        <v>46235</v>
      </c>
    </row>
    <row r="130" spans="2:2" x14ac:dyDescent="0.25">
      <c r="B130" s="2">
        <v>46266</v>
      </c>
    </row>
    <row r="131" spans="2:2" x14ac:dyDescent="0.25">
      <c r="B131" s="2">
        <v>46296</v>
      </c>
    </row>
    <row r="132" spans="2:2" x14ac:dyDescent="0.25">
      <c r="B132" s="2">
        <v>46327</v>
      </c>
    </row>
    <row r="133" spans="2:2" x14ac:dyDescent="0.25">
      <c r="B133" s="2">
        <v>46357</v>
      </c>
    </row>
    <row r="134" spans="2:2" x14ac:dyDescent="0.25">
      <c r="B134" s="2">
        <v>46388</v>
      </c>
    </row>
    <row r="135" spans="2:2" x14ac:dyDescent="0.25">
      <c r="B135" s="2">
        <v>46419</v>
      </c>
    </row>
    <row r="136" spans="2:2" x14ac:dyDescent="0.25">
      <c r="B136" s="2">
        <v>46447</v>
      </c>
    </row>
    <row r="137" spans="2:2" x14ac:dyDescent="0.25">
      <c r="B137" s="2">
        <v>46478</v>
      </c>
    </row>
    <row r="138" spans="2:2" x14ac:dyDescent="0.25">
      <c r="B138" s="2">
        <v>46508</v>
      </c>
    </row>
    <row r="139" spans="2:2" x14ac:dyDescent="0.25">
      <c r="B139" s="2">
        <v>46539</v>
      </c>
    </row>
    <row r="140" spans="2:2" x14ac:dyDescent="0.25">
      <c r="B140" s="2">
        <v>46569</v>
      </c>
    </row>
    <row r="141" spans="2:2" x14ac:dyDescent="0.25">
      <c r="B141" s="2">
        <v>46600</v>
      </c>
    </row>
    <row r="142" spans="2:2" x14ac:dyDescent="0.25">
      <c r="B142" s="2">
        <v>46631</v>
      </c>
    </row>
    <row r="143" spans="2:2" x14ac:dyDescent="0.25">
      <c r="B143" s="2">
        <v>46661</v>
      </c>
    </row>
    <row r="144" spans="2:2" x14ac:dyDescent="0.25">
      <c r="B144" s="2">
        <v>46692</v>
      </c>
    </row>
    <row r="145" spans="2:2" x14ac:dyDescent="0.25">
      <c r="B145" s="2">
        <v>46722</v>
      </c>
    </row>
    <row r="146" spans="2:2" x14ac:dyDescent="0.25">
      <c r="B146" s="2">
        <v>46753</v>
      </c>
    </row>
    <row r="147" spans="2:2" x14ac:dyDescent="0.25">
      <c r="B147" s="2">
        <v>46784</v>
      </c>
    </row>
    <row r="148" spans="2:2" x14ac:dyDescent="0.25">
      <c r="B148" s="2">
        <v>46813</v>
      </c>
    </row>
    <row r="149" spans="2:2" x14ac:dyDescent="0.25">
      <c r="B149" s="2">
        <v>46844</v>
      </c>
    </row>
    <row r="150" spans="2:2" x14ac:dyDescent="0.25">
      <c r="B150" s="2">
        <v>46874</v>
      </c>
    </row>
    <row r="151" spans="2:2" x14ac:dyDescent="0.25">
      <c r="B151" s="2">
        <v>46905</v>
      </c>
    </row>
    <row r="152" spans="2:2" x14ac:dyDescent="0.25">
      <c r="B152" s="2">
        <v>46935</v>
      </c>
    </row>
    <row r="153" spans="2:2" x14ac:dyDescent="0.25">
      <c r="B153" s="2">
        <v>46966</v>
      </c>
    </row>
    <row r="154" spans="2:2" x14ac:dyDescent="0.25">
      <c r="B154" s="2">
        <v>46997</v>
      </c>
    </row>
    <row r="155" spans="2:2" x14ac:dyDescent="0.25">
      <c r="B155" s="2">
        <v>47027</v>
      </c>
    </row>
    <row r="156" spans="2:2" x14ac:dyDescent="0.25">
      <c r="B156" s="2">
        <v>47058</v>
      </c>
    </row>
    <row r="157" spans="2:2" x14ac:dyDescent="0.25">
      <c r="B157" s="2">
        <v>47088</v>
      </c>
    </row>
    <row r="158" spans="2:2" x14ac:dyDescent="0.25">
      <c r="B158" s="2">
        <v>47119</v>
      </c>
    </row>
    <row r="159" spans="2:2" x14ac:dyDescent="0.25">
      <c r="B159" s="2">
        <v>47150</v>
      </c>
    </row>
    <row r="160" spans="2:2" x14ac:dyDescent="0.25">
      <c r="B160" s="2">
        <v>47178</v>
      </c>
    </row>
    <row r="161" spans="2:2" x14ac:dyDescent="0.25">
      <c r="B161" s="2">
        <v>47209</v>
      </c>
    </row>
    <row r="162" spans="2:2" x14ac:dyDescent="0.25">
      <c r="B162" s="2">
        <v>47239</v>
      </c>
    </row>
    <row r="163" spans="2:2" x14ac:dyDescent="0.25">
      <c r="B163" s="2">
        <v>47270</v>
      </c>
    </row>
    <row r="164" spans="2:2" x14ac:dyDescent="0.25">
      <c r="B164" s="2">
        <v>47300</v>
      </c>
    </row>
    <row r="165" spans="2:2" x14ac:dyDescent="0.25">
      <c r="B165" s="2">
        <v>47331</v>
      </c>
    </row>
    <row r="166" spans="2:2" x14ac:dyDescent="0.25">
      <c r="B166" s="2">
        <v>47362</v>
      </c>
    </row>
    <row r="167" spans="2:2" x14ac:dyDescent="0.25">
      <c r="B167" s="2">
        <v>47392</v>
      </c>
    </row>
    <row r="168" spans="2:2" x14ac:dyDescent="0.25">
      <c r="B168" s="2">
        <v>47423</v>
      </c>
    </row>
    <row r="169" spans="2:2" x14ac:dyDescent="0.25">
      <c r="B169" s="2">
        <v>47453</v>
      </c>
    </row>
    <row r="170" spans="2:2" x14ac:dyDescent="0.25">
      <c r="B170" s="2">
        <v>47484</v>
      </c>
    </row>
    <row r="171" spans="2:2" x14ac:dyDescent="0.25">
      <c r="B171" s="2">
        <v>47515</v>
      </c>
    </row>
    <row r="172" spans="2:2" x14ac:dyDescent="0.25">
      <c r="B172" s="2">
        <v>47543</v>
      </c>
    </row>
    <row r="173" spans="2:2" x14ac:dyDescent="0.25">
      <c r="B173" s="2">
        <v>47574</v>
      </c>
    </row>
    <row r="174" spans="2:2" x14ac:dyDescent="0.25">
      <c r="B174" s="2">
        <v>47604</v>
      </c>
    </row>
    <row r="175" spans="2:2" x14ac:dyDescent="0.25">
      <c r="B175" s="2">
        <v>47635</v>
      </c>
    </row>
    <row r="176" spans="2:2" x14ac:dyDescent="0.25">
      <c r="B176" s="2">
        <v>47665</v>
      </c>
    </row>
    <row r="177" spans="2:2" x14ac:dyDescent="0.25">
      <c r="B177" s="2">
        <v>47696</v>
      </c>
    </row>
    <row r="178" spans="2:2" x14ac:dyDescent="0.25">
      <c r="B178" s="2">
        <v>47727</v>
      </c>
    </row>
    <row r="179" spans="2:2" x14ac:dyDescent="0.25">
      <c r="B179" s="2">
        <v>47757</v>
      </c>
    </row>
    <row r="180" spans="2:2" x14ac:dyDescent="0.25">
      <c r="B180" s="2">
        <v>47788</v>
      </c>
    </row>
    <row r="181" spans="2:2" x14ac:dyDescent="0.25">
      <c r="B181" s="2">
        <v>47818</v>
      </c>
    </row>
    <row r="182" spans="2:2" x14ac:dyDescent="0.25">
      <c r="B182" s="2">
        <v>47849</v>
      </c>
    </row>
    <row r="183" spans="2:2" x14ac:dyDescent="0.25">
      <c r="B183" s="2">
        <v>47880</v>
      </c>
    </row>
    <row r="184" spans="2:2" x14ac:dyDescent="0.25">
      <c r="B184" s="2">
        <v>47908</v>
      </c>
    </row>
    <row r="185" spans="2:2" x14ac:dyDescent="0.25">
      <c r="B185" s="2">
        <v>47939</v>
      </c>
    </row>
    <row r="186" spans="2:2" x14ac:dyDescent="0.25">
      <c r="B186" s="2">
        <v>47969</v>
      </c>
    </row>
    <row r="187" spans="2:2" x14ac:dyDescent="0.25">
      <c r="B187" s="2">
        <v>48000</v>
      </c>
    </row>
    <row r="188" spans="2:2" x14ac:dyDescent="0.25">
      <c r="B188" s="2">
        <v>48030</v>
      </c>
    </row>
    <row r="189" spans="2:2" x14ac:dyDescent="0.25">
      <c r="B189" s="2">
        <v>48061</v>
      </c>
    </row>
    <row r="190" spans="2:2" x14ac:dyDescent="0.25">
      <c r="B190" s="2">
        <v>48092</v>
      </c>
    </row>
    <row r="191" spans="2:2" x14ac:dyDescent="0.25">
      <c r="B191" s="2">
        <v>48122</v>
      </c>
    </row>
    <row r="192" spans="2:2" x14ac:dyDescent="0.25">
      <c r="B192" s="2">
        <v>48153</v>
      </c>
    </row>
    <row r="193" spans="2:2" x14ac:dyDescent="0.25">
      <c r="B193" s="2">
        <v>48183</v>
      </c>
    </row>
    <row r="194" spans="2:2" x14ac:dyDescent="0.25">
      <c r="B194" s="2">
        <v>48214</v>
      </c>
    </row>
    <row r="195" spans="2:2" x14ac:dyDescent="0.25">
      <c r="B195" s="2">
        <v>48245</v>
      </c>
    </row>
    <row r="196" spans="2:2" x14ac:dyDescent="0.25">
      <c r="B196" s="2">
        <v>48274</v>
      </c>
    </row>
    <row r="197" spans="2:2" x14ac:dyDescent="0.25">
      <c r="B197" s="2">
        <v>48305</v>
      </c>
    </row>
    <row r="198" spans="2:2" x14ac:dyDescent="0.25">
      <c r="B198" s="2">
        <v>48335</v>
      </c>
    </row>
    <row r="199" spans="2:2" x14ac:dyDescent="0.25">
      <c r="B199" s="2">
        <v>48366</v>
      </c>
    </row>
    <row r="200" spans="2:2" x14ac:dyDescent="0.25">
      <c r="B200" s="2">
        <v>48396</v>
      </c>
    </row>
    <row r="201" spans="2:2" x14ac:dyDescent="0.25">
      <c r="B201" s="2">
        <v>48427</v>
      </c>
    </row>
    <row r="202" spans="2:2" x14ac:dyDescent="0.25">
      <c r="B202" s="2">
        <v>48458</v>
      </c>
    </row>
    <row r="203" spans="2:2" x14ac:dyDescent="0.25">
      <c r="B203" s="2">
        <v>48488</v>
      </c>
    </row>
    <row r="204" spans="2:2" x14ac:dyDescent="0.25">
      <c r="B204" s="2">
        <v>48519</v>
      </c>
    </row>
    <row r="205" spans="2:2" x14ac:dyDescent="0.25">
      <c r="B205" s="2">
        <v>48549</v>
      </c>
    </row>
    <row r="206" spans="2:2" x14ac:dyDescent="0.25">
      <c r="B206" s="2">
        <v>48580</v>
      </c>
    </row>
    <row r="207" spans="2:2" x14ac:dyDescent="0.25">
      <c r="B207" s="2">
        <v>48611</v>
      </c>
    </row>
    <row r="208" spans="2:2" x14ac:dyDescent="0.25">
      <c r="B208" s="2">
        <v>48639</v>
      </c>
    </row>
    <row r="209" spans="2:2" x14ac:dyDescent="0.25">
      <c r="B209" s="2">
        <v>48670</v>
      </c>
    </row>
    <row r="210" spans="2:2" x14ac:dyDescent="0.25">
      <c r="B210" s="2">
        <v>48700</v>
      </c>
    </row>
    <row r="211" spans="2:2" x14ac:dyDescent="0.25">
      <c r="B211" s="2">
        <v>48731</v>
      </c>
    </row>
    <row r="212" spans="2:2" x14ac:dyDescent="0.25">
      <c r="B212" s="2">
        <v>48761</v>
      </c>
    </row>
    <row r="213" spans="2:2" x14ac:dyDescent="0.25">
      <c r="B213" s="2">
        <v>48792</v>
      </c>
    </row>
    <row r="214" spans="2:2" x14ac:dyDescent="0.25">
      <c r="B214" s="2">
        <v>48823</v>
      </c>
    </row>
    <row r="215" spans="2:2" x14ac:dyDescent="0.25">
      <c r="B215" s="2">
        <v>48853</v>
      </c>
    </row>
    <row r="216" spans="2:2" x14ac:dyDescent="0.25">
      <c r="B216" s="2">
        <v>48884</v>
      </c>
    </row>
    <row r="217" spans="2:2" x14ac:dyDescent="0.25">
      <c r="B217" s="2">
        <v>48914</v>
      </c>
    </row>
    <row r="218" spans="2:2" x14ac:dyDescent="0.25">
      <c r="B218" s="2">
        <v>48945</v>
      </c>
    </row>
    <row r="219" spans="2:2" x14ac:dyDescent="0.25">
      <c r="B219" s="2">
        <v>48976</v>
      </c>
    </row>
    <row r="220" spans="2:2" x14ac:dyDescent="0.25">
      <c r="B220" s="2">
        <v>49004</v>
      </c>
    </row>
    <row r="221" spans="2:2" x14ac:dyDescent="0.25">
      <c r="B221" s="2">
        <v>49035</v>
      </c>
    </row>
    <row r="222" spans="2:2" x14ac:dyDescent="0.25">
      <c r="B222" s="2">
        <v>49065</v>
      </c>
    </row>
    <row r="223" spans="2:2" x14ac:dyDescent="0.25">
      <c r="B223" s="2">
        <v>49096</v>
      </c>
    </row>
    <row r="224" spans="2:2" x14ac:dyDescent="0.25">
      <c r="B224" s="2">
        <v>49126</v>
      </c>
    </row>
    <row r="225" spans="2:2" x14ac:dyDescent="0.25">
      <c r="B225" s="2">
        <v>49157</v>
      </c>
    </row>
    <row r="226" spans="2:2" x14ac:dyDescent="0.25">
      <c r="B226" s="2">
        <v>49188</v>
      </c>
    </row>
    <row r="227" spans="2:2" x14ac:dyDescent="0.25">
      <c r="B227" s="2">
        <v>49218</v>
      </c>
    </row>
    <row r="228" spans="2:2" x14ac:dyDescent="0.25">
      <c r="B228" s="2">
        <v>49249</v>
      </c>
    </row>
    <row r="229" spans="2:2" x14ac:dyDescent="0.25">
      <c r="B229" s="2">
        <v>49279</v>
      </c>
    </row>
    <row r="230" spans="2:2" x14ac:dyDescent="0.25">
      <c r="B230" s="2">
        <v>49310</v>
      </c>
    </row>
    <row r="231" spans="2:2" x14ac:dyDescent="0.25">
      <c r="B231" s="2">
        <v>49341</v>
      </c>
    </row>
    <row r="232" spans="2:2" x14ac:dyDescent="0.25">
      <c r="B232" s="2">
        <v>49369</v>
      </c>
    </row>
    <row r="233" spans="2:2" x14ac:dyDescent="0.25">
      <c r="B233" s="2">
        <v>49400</v>
      </c>
    </row>
    <row r="234" spans="2:2" x14ac:dyDescent="0.25">
      <c r="B234" s="2">
        <v>49430</v>
      </c>
    </row>
    <row r="235" spans="2:2" x14ac:dyDescent="0.25">
      <c r="B235" s="2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235"/>
  <sheetViews>
    <sheetView workbookViewId="0"/>
  </sheetViews>
  <sheetFormatPr baseColWidth="10" defaultColWidth="9.140625" defaultRowHeight="15" x14ac:dyDescent="0.25"/>
  <sheetData>
    <row r="1" spans="1:30" x14ac:dyDescent="0.25">
      <c r="A1" s="1" t="s">
        <v>122</v>
      </c>
      <c r="B1" s="1" t="s">
        <v>58</v>
      </c>
      <c r="C1" s="1" t="s">
        <v>123</v>
      </c>
      <c r="D1" s="1" t="s">
        <v>35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82</v>
      </c>
      <c r="T1" s="1" t="s">
        <v>141</v>
      </c>
      <c r="U1" s="1" t="s">
        <v>142</v>
      </c>
      <c r="V1" s="1" t="s">
        <v>143</v>
      </c>
      <c r="W1" s="1" t="s">
        <v>138</v>
      </c>
      <c r="X1" s="1" t="s">
        <v>84</v>
      </c>
      <c r="Y1" s="1" t="s">
        <v>144</v>
      </c>
      <c r="Z1" s="1" t="s">
        <v>145</v>
      </c>
      <c r="AA1" s="1" t="s">
        <v>146</v>
      </c>
      <c r="AB1" s="1" t="s">
        <v>139</v>
      </c>
      <c r="AC1" s="1" t="s">
        <v>140</v>
      </c>
      <c r="AD1" s="1" t="s">
        <v>147</v>
      </c>
    </row>
    <row r="2" spans="1:30" x14ac:dyDescent="0.25">
      <c r="B2" s="2">
        <v>42370</v>
      </c>
    </row>
    <row r="3" spans="1:30" x14ac:dyDescent="0.25">
      <c r="B3" s="2">
        <v>42401</v>
      </c>
    </row>
    <row r="4" spans="1:30" x14ac:dyDescent="0.25">
      <c r="B4" s="2">
        <v>42430</v>
      </c>
    </row>
    <row r="5" spans="1:30" x14ac:dyDescent="0.25">
      <c r="B5" s="2">
        <v>42461</v>
      </c>
    </row>
    <row r="6" spans="1:30" x14ac:dyDescent="0.25">
      <c r="B6" s="2">
        <v>42491</v>
      </c>
    </row>
    <row r="7" spans="1:30" x14ac:dyDescent="0.25">
      <c r="B7" s="2">
        <v>42522</v>
      </c>
    </row>
    <row r="8" spans="1:30" x14ac:dyDescent="0.25">
      <c r="B8" s="2">
        <v>42552</v>
      </c>
    </row>
    <row r="9" spans="1:30" x14ac:dyDescent="0.25">
      <c r="B9" s="2">
        <v>42583</v>
      </c>
    </row>
    <row r="10" spans="1:30" x14ac:dyDescent="0.25">
      <c r="B10" s="2">
        <v>42614</v>
      </c>
    </row>
    <row r="11" spans="1:30" x14ac:dyDescent="0.25">
      <c r="B11" s="2">
        <v>42644</v>
      </c>
    </row>
    <row r="12" spans="1:30" x14ac:dyDescent="0.25">
      <c r="B12" s="2">
        <v>42675</v>
      </c>
    </row>
    <row r="13" spans="1:30" x14ac:dyDescent="0.25">
      <c r="B13" s="2">
        <v>42705</v>
      </c>
    </row>
    <row r="14" spans="1:30" x14ac:dyDescent="0.25">
      <c r="B14" s="2">
        <v>42736</v>
      </c>
    </row>
    <row r="15" spans="1:30" x14ac:dyDescent="0.25">
      <c r="B15" s="2">
        <v>42767</v>
      </c>
    </row>
    <row r="16" spans="1:30" x14ac:dyDescent="0.25">
      <c r="B16" s="2">
        <v>42795</v>
      </c>
    </row>
    <row r="17" spans="2:2" x14ac:dyDescent="0.25">
      <c r="B17" s="2">
        <v>42826</v>
      </c>
    </row>
    <row r="18" spans="2:2" x14ac:dyDescent="0.25">
      <c r="B18" s="2">
        <v>42856</v>
      </c>
    </row>
    <row r="19" spans="2:2" x14ac:dyDescent="0.25">
      <c r="B19" s="2">
        <v>42887</v>
      </c>
    </row>
    <row r="20" spans="2:2" x14ac:dyDescent="0.25">
      <c r="B20" s="2">
        <v>42917</v>
      </c>
    </row>
    <row r="21" spans="2:2" x14ac:dyDescent="0.25">
      <c r="B21" s="2">
        <v>42948</v>
      </c>
    </row>
    <row r="22" spans="2:2" x14ac:dyDescent="0.25">
      <c r="B22" s="2">
        <v>42979</v>
      </c>
    </row>
    <row r="23" spans="2:2" x14ac:dyDescent="0.25">
      <c r="B23" s="2">
        <v>43009</v>
      </c>
    </row>
    <row r="24" spans="2:2" x14ac:dyDescent="0.25">
      <c r="B24" s="2">
        <v>43040</v>
      </c>
    </row>
    <row r="25" spans="2:2" x14ac:dyDescent="0.25">
      <c r="B25" s="2">
        <v>43070</v>
      </c>
    </row>
    <row r="26" spans="2:2" x14ac:dyDescent="0.25">
      <c r="B26" s="2">
        <v>43101</v>
      </c>
    </row>
    <row r="27" spans="2:2" x14ac:dyDescent="0.25">
      <c r="B27" s="2">
        <v>43132</v>
      </c>
    </row>
    <row r="28" spans="2:2" x14ac:dyDescent="0.25">
      <c r="B28" s="2">
        <v>43160</v>
      </c>
    </row>
    <row r="29" spans="2:2" x14ac:dyDescent="0.25">
      <c r="B29" s="2">
        <v>43191</v>
      </c>
    </row>
    <row r="30" spans="2:2" x14ac:dyDescent="0.25">
      <c r="B30" s="2">
        <v>43221</v>
      </c>
    </row>
    <row r="31" spans="2:2" x14ac:dyDescent="0.25">
      <c r="B31" s="2">
        <v>43252</v>
      </c>
    </row>
    <row r="32" spans="2:2" x14ac:dyDescent="0.25">
      <c r="B32" s="2">
        <v>43282</v>
      </c>
    </row>
    <row r="33" spans="2:2" x14ac:dyDescent="0.25">
      <c r="B33" s="2">
        <v>43313</v>
      </c>
    </row>
    <row r="34" spans="2:2" x14ac:dyDescent="0.25">
      <c r="B34" s="2">
        <v>43344</v>
      </c>
    </row>
    <row r="35" spans="2:2" x14ac:dyDescent="0.25">
      <c r="B35" s="2">
        <v>43374</v>
      </c>
    </row>
    <row r="36" spans="2:2" x14ac:dyDescent="0.25">
      <c r="B36" s="2">
        <v>43405</v>
      </c>
    </row>
    <row r="37" spans="2:2" x14ac:dyDescent="0.25">
      <c r="B37" s="2">
        <v>43435</v>
      </c>
    </row>
    <row r="38" spans="2:2" x14ac:dyDescent="0.25">
      <c r="B38" s="2">
        <v>43466</v>
      </c>
    </row>
    <row r="39" spans="2:2" x14ac:dyDescent="0.25">
      <c r="B39" s="2">
        <v>43497</v>
      </c>
    </row>
    <row r="40" spans="2:2" x14ac:dyDescent="0.25">
      <c r="B40" s="2">
        <v>43525</v>
      </c>
    </row>
    <row r="41" spans="2:2" x14ac:dyDescent="0.25">
      <c r="B41" s="2">
        <v>43556</v>
      </c>
    </row>
    <row r="42" spans="2:2" x14ac:dyDescent="0.25">
      <c r="B42" s="2">
        <v>43586</v>
      </c>
    </row>
    <row r="43" spans="2:2" x14ac:dyDescent="0.25">
      <c r="B43" s="2">
        <v>43617</v>
      </c>
    </row>
    <row r="44" spans="2:2" x14ac:dyDescent="0.25">
      <c r="B44" s="2">
        <v>43647</v>
      </c>
    </row>
    <row r="45" spans="2:2" x14ac:dyDescent="0.25">
      <c r="B45" s="2">
        <v>43678</v>
      </c>
    </row>
    <row r="46" spans="2:2" x14ac:dyDescent="0.25">
      <c r="B46" s="2">
        <v>43709</v>
      </c>
    </row>
    <row r="47" spans="2:2" x14ac:dyDescent="0.25">
      <c r="B47" s="2">
        <v>43739</v>
      </c>
    </row>
    <row r="48" spans="2:2" x14ac:dyDescent="0.25">
      <c r="B48" s="2">
        <v>43770</v>
      </c>
    </row>
    <row r="49" spans="2:2" x14ac:dyDescent="0.25">
      <c r="B49" s="2">
        <v>43800</v>
      </c>
    </row>
    <row r="50" spans="2:2" x14ac:dyDescent="0.25">
      <c r="B50" s="2">
        <v>43831</v>
      </c>
    </row>
    <row r="51" spans="2:2" x14ac:dyDescent="0.25">
      <c r="B51" s="2">
        <v>43862</v>
      </c>
    </row>
    <row r="52" spans="2:2" x14ac:dyDescent="0.25">
      <c r="B52" s="2">
        <v>43891</v>
      </c>
    </row>
    <row r="53" spans="2:2" x14ac:dyDescent="0.25">
      <c r="B53" s="2">
        <v>43922</v>
      </c>
    </row>
    <row r="54" spans="2:2" x14ac:dyDescent="0.25">
      <c r="B54" s="2">
        <v>43952</v>
      </c>
    </row>
    <row r="55" spans="2:2" x14ac:dyDescent="0.25">
      <c r="B55" s="2">
        <v>43983</v>
      </c>
    </row>
    <row r="56" spans="2:2" x14ac:dyDescent="0.25">
      <c r="B56" s="2">
        <v>44013</v>
      </c>
    </row>
    <row r="57" spans="2:2" x14ac:dyDescent="0.25">
      <c r="B57" s="2">
        <v>44044</v>
      </c>
    </row>
    <row r="58" spans="2:2" x14ac:dyDescent="0.25">
      <c r="B58" s="2">
        <v>44075</v>
      </c>
    </row>
    <row r="59" spans="2:2" x14ac:dyDescent="0.25">
      <c r="B59" s="2">
        <v>44105</v>
      </c>
    </row>
    <row r="60" spans="2:2" x14ac:dyDescent="0.25">
      <c r="B60" s="2">
        <v>44136</v>
      </c>
    </row>
    <row r="61" spans="2:2" x14ac:dyDescent="0.25">
      <c r="B61" s="2">
        <v>44166</v>
      </c>
    </row>
    <row r="62" spans="2:2" x14ac:dyDescent="0.25">
      <c r="B62" s="2">
        <v>44197</v>
      </c>
    </row>
    <row r="63" spans="2:2" x14ac:dyDescent="0.25">
      <c r="B63" s="2">
        <v>44228</v>
      </c>
    </row>
    <row r="64" spans="2:2" x14ac:dyDescent="0.25">
      <c r="B64" s="2">
        <v>44256</v>
      </c>
    </row>
    <row r="65" spans="2:2" x14ac:dyDescent="0.25">
      <c r="B65" s="2">
        <v>44287</v>
      </c>
    </row>
    <row r="66" spans="2:2" x14ac:dyDescent="0.25">
      <c r="B66" s="2">
        <v>44317</v>
      </c>
    </row>
    <row r="67" spans="2:2" x14ac:dyDescent="0.25">
      <c r="B67" s="2">
        <v>44348</v>
      </c>
    </row>
    <row r="68" spans="2:2" x14ac:dyDescent="0.25">
      <c r="B68" s="2">
        <v>44378</v>
      </c>
    </row>
    <row r="69" spans="2:2" x14ac:dyDescent="0.25">
      <c r="B69" s="2">
        <v>44409</v>
      </c>
    </row>
    <row r="70" spans="2:2" x14ac:dyDescent="0.25">
      <c r="B70" s="2">
        <v>44440</v>
      </c>
    </row>
    <row r="71" spans="2:2" x14ac:dyDescent="0.25">
      <c r="B71" s="2">
        <v>44470</v>
      </c>
    </row>
    <row r="72" spans="2:2" x14ac:dyDescent="0.25">
      <c r="B72" s="2">
        <v>44501</v>
      </c>
    </row>
    <row r="73" spans="2:2" x14ac:dyDescent="0.25">
      <c r="B73" s="2">
        <v>44531</v>
      </c>
    </row>
    <row r="74" spans="2:2" x14ac:dyDescent="0.25">
      <c r="B74" s="2">
        <v>44562</v>
      </c>
    </row>
    <row r="75" spans="2:2" x14ac:dyDescent="0.25">
      <c r="B75" s="2">
        <v>44593</v>
      </c>
    </row>
    <row r="76" spans="2:2" x14ac:dyDescent="0.25">
      <c r="B76" s="2">
        <v>44621</v>
      </c>
    </row>
    <row r="77" spans="2:2" x14ac:dyDescent="0.25">
      <c r="B77" s="2">
        <v>44652</v>
      </c>
    </row>
    <row r="78" spans="2:2" x14ac:dyDescent="0.25">
      <c r="B78" s="2">
        <v>44682</v>
      </c>
    </row>
    <row r="79" spans="2:2" x14ac:dyDescent="0.25">
      <c r="B79" s="2">
        <v>44713</v>
      </c>
    </row>
    <row r="80" spans="2:2" x14ac:dyDescent="0.25">
      <c r="B80" s="2">
        <v>44743</v>
      </c>
    </row>
    <row r="81" spans="2:2" x14ac:dyDescent="0.25">
      <c r="B81" s="2">
        <v>44774</v>
      </c>
    </row>
    <row r="82" spans="2:2" x14ac:dyDescent="0.25">
      <c r="B82" s="2">
        <v>44805</v>
      </c>
    </row>
    <row r="83" spans="2:2" x14ac:dyDescent="0.25">
      <c r="B83" s="2">
        <v>44835</v>
      </c>
    </row>
    <row r="84" spans="2:2" x14ac:dyDescent="0.25">
      <c r="B84" s="2">
        <v>44866</v>
      </c>
    </row>
    <row r="85" spans="2:2" x14ac:dyDescent="0.25">
      <c r="B85" s="2">
        <v>44896</v>
      </c>
    </row>
    <row r="86" spans="2:2" x14ac:dyDescent="0.25">
      <c r="B86" s="2">
        <v>44927</v>
      </c>
    </row>
    <row r="87" spans="2:2" x14ac:dyDescent="0.25">
      <c r="B87" s="2">
        <v>44958</v>
      </c>
    </row>
    <row r="88" spans="2:2" x14ac:dyDescent="0.25">
      <c r="B88" s="2">
        <v>44986</v>
      </c>
    </row>
    <row r="89" spans="2:2" x14ac:dyDescent="0.25">
      <c r="B89" s="2">
        <v>45017</v>
      </c>
    </row>
    <row r="90" spans="2:2" x14ac:dyDescent="0.25">
      <c r="B90" s="2">
        <v>45047</v>
      </c>
    </row>
    <row r="91" spans="2:2" x14ac:dyDescent="0.25">
      <c r="B91" s="2">
        <v>45078</v>
      </c>
    </row>
    <row r="92" spans="2:2" x14ac:dyDescent="0.25">
      <c r="B92" s="2">
        <v>45108</v>
      </c>
    </row>
    <row r="93" spans="2:2" x14ac:dyDescent="0.25">
      <c r="B93" s="2">
        <v>45139</v>
      </c>
    </row>
    <row r="94" spans="2:2" x14ac:dyDescent="0.25">
      <c r="B94" s="2">
        <v>45170</v>
      </c>
    </row>
    <row r="95" spans="2:2" x14ac:dyDescent="0.25">
      <c r="B95" s="2">
        <v>45200</v>
      </c>
    </row>
    <row r="96" spans="2:2" x14ac:dyDescent="0.25">
      <c r="B96" s="2">
        <v>45231</v>
      </c>
    </row>
    <row r="97" spans="2:2" x14ac:dyDescent="0.25">
      <c r="B97" s="2">
        <v>45261</v>
      </c>
    </row>
    <row r="98" spans="2:2" x14ac:dyDescent="0.25">
      <c r="B98" s="2">
        <v>45292</v>
      </c>
    </row>
    <row r="99" spans="2:2" x14ac:dyDescent="0.25">
      <c r="B99" s="2">
        <v>45323</v>
      </c>
    </row>
    <row r="100" spans="2:2" x14ac:dyDescent="0.25">
      <c r="B100" s="2">
        <v>45352</v>
      </c>
    </row>
    <row r="101" spans="2:2" x14ac:dyDescent="0.25">
      <c r="B101" s="2">
        <v>45383</v>
      </c>
    </row>
    <row r="102" spans="2:2" x14ac:dyDescent="0.25">
      <c r="B102" s="2">
        <v>45413</v>
      </c>
    </row>
    <row r="103" spans="2:2" x14ac:dyDescent="0.25">
      <c r="B103" s="2">
        <v>45444</v>
      </c>
    </row>
    <row r="104" spans="2:2" x14ac:dyDescent="0.25">
      <c r="B104" s="2">
        <v>45474</v>
      </c>
    </row>
    <row r="105" spans="2:2" x14ac:dyDescent="0.25">
      <c r="B105" s="2">
        <v>45505</v>
      </c>
    </row>
    <row r="106" spans="2:2" x14ac:dyDescent="0.25">
      <c r="B106" s="2">
        <v>45536</v>
      </c>
    </row>
    <row r="107" spans="2:2" x14ac:dyDescent="0.25">
      <c r="B107" s="2">
        <v>45566</v>
      </c>
    </row>
    <row r="108" spans="2:2" x14ac:dyDescent="0.25">
      <c r="B108" s="2">
        <v>45597</v>
      </c>
    </row>
    <row r="109" spans="2:2" x14ac:dyDescent="0.25">
      <c r="B109" s="2">
        <v>45627</v>
      </c>
    </row>
    <row r="110" spans="2:2" x14ac:dyDescent="0.25">
      <c r="B110" s="2">
        <v>45658</v>
      </c>
    </row>
    <row r="111" spans="2:2" x14ac:dyDescent="0.25">
      <c r="B111" s="2">
        <v>45689</v>
      </c>
    </row>
    <row r="112" spans="2:2" x14ac:dyDescent="0.25">
      <c r="B112" s="2">
        <v>45717</v>
      </c>
    </row>
    <row r="113" spans="2:2" x14ac:dyDescent="0.25">
      <c r="B113" s="2">
        <v>45748</v>
      </c>
    </row>
    <row r="114" spans="2:2" x14ac:dyDescent="0.25">
      <c r="B114" s="2">
        <v>45778</v>
      </c>
    </row>
    <row r="115" spans="2:2" x14ac:dyDescent="0.25">
      <c r="B115" s="2">
        <v>45809</v>
      </c>
    </row>
    <row r="116" spans="2:2" x14ac:dyDescent="0.25">
      <c r="B116" s="2">
        <v>45839</v>
      </c>
    </row>
    <row r="117" spans="2:2" x14ac:dyDescent="0.25">
      <c r="B117" s="2">
        <v>45870</v>
      </c>
    </row>
    <row r="118" spans="2:2" x14ac:dyDescent="0.25">
      <c r="B118" s="2">
        <v>45901</v>
      </c>
    </row>
    <row r="119" spans="2:2" x14ac:dyDescent="0.25">
      <c r="B119" s="2">
        <v>45931</v>
      </c>
    </row>
    <row r="120" spans="2:2" x14ac:dyDescent="0.25">
      <c r="B120" s="2">
        <v>45962</v>
      </c>
    </row>
    <row r="121" spans="2:2" x14ac:dyDescent="0.25">
      <c r="B121" s="2">
        <v>45992</v>
      </c>
    </row>
    <row r="122" spans="2:2" x14ac:dyDescent="0.25">
      <c r="B122" s="2">
        <v>46023</v>
      </c>
    </row>
    <row r="123" spans="2:2" x14ac:dyDescent="0.25">
      <c r="B123" s="2">
        <v>46054</v>
      </c>
    </row>
    <row r="124" spans="2:2" x14ac:dyDescent="0.25">
      <c r="B124" s="2">
        <v>46082</v>
      </c>
    </row>
    <row r="125" spans="2:2" x14ac:dyDescent="0.25">
      <c r="B125" s="2">
        <v>46113</v>
      </c>
    </row>
    <row r="126" spans="2:2" x14ac:dyDescent="0.25">
      <c r="B126" s="2">
        <v>46143</v>
      </c>
    </row>
    <row r="127" spans="2:2" x14ac:dyDescent="0.25">
      <c r="B127" s="2">
        <v>46174</v>
      </c>
    </row>
    <row r="128" spans="2:2" x14ac:dyDescent="0.25">
      <c r="B128" s="2">
        <v>46204</v>
      </c>
    </row>
    <row r="129" spans="2:2" x14ac:dyDescent="0.25">
      <c r="B129" s="2">
        <v>46235</v>
      </c>
    </row>
    <row r="130" spans="2:2" x14ac:dyDescent="0.25">
      <c r="B130" s="2">
        <v>46266</v>
      </c>
    </row>
    <row r="131" spans="2:2" x14ac:dyDescent="0.25">
      <c r="B131" s="2">
        <v>46296</v>
      </c>
    </row>
    <row r="132" spans="2:2" x14ac:dyDescent="0.25">
      <c r="B132" s="2">
        <v>46327</v>
      </c>
    </row>
    <row r="133" spans="2:2" x14ac:dyDescent="0.25">
      <c r="B133" s="2">
        <v>46357</v>
      </c>
    </row>
    <row r="134" spans="2:2" x14ac:dyDescent="0.25">
      <c r="B134" s="2">
        <v>46388</v>
      </c>
    </row>
    <row r="135" spans="2:2" x14ac:dyDescent="0.25">
      <c r="B135" s="2">
        <v>46419</v>
      </c>
    </row>
    <row r="136" spans="2:2" x14ac:dyDescent="0.25">
      <c r="B136" s="2">
        <v>46447</v>
      </c>
    </row>
    <row r="137" spans="2:2" x14ac:dyDescent="0.25">
      <c r="B137" s="2">
        <v>46478</v>
      </c>
    </row>
    <row r="138" spans="2:2" x14ac:dyDescent="0.25">
      <c r="B138" s="2">
        <v>46508</v>
      </c>
    </row>
    <row r="139" spans="2:2" x14ac:dyDescent="0.25">
      <c r="B139" s="2">
        <v>46539</v>
      </c>
    </row>
    <row r="140" spans="2:2" x14ac:dyDescent="0.25">
      <c r="B140" s="2">
        <v>46569</v>
      </c>
    </row>
    <row r="141" spans="2:2" x14ac:dyDescent="0.25">
      <c r="B141" s="2">
        <v>46600</v>
      </c>
    </row>
    <row r="142" spans="2:2" x14ac:dyDescent="0.25">
      <c r="B142" s="2">
        <v>46631</v>
      </c>
    </row>
    <row r="143" spans="2:2" x14ac:dyDescent="0.25">
      <c r="B143" s="2">
        <v>46661</v>
      </c>
    </row>
    <row r="144" spans="2:2" x14ac:dyDescent="0.25">
      <c r="B144" s="2">
        <v>46692</v>
      </c>
    </row>
    <row r="145" spans="2:2" x14ac:dyDescent="0.25">
      <c r="B145" s="2">
        <v>46722</v>
      </c>
    </row>
    <row r="146" spans="2:2" x14ac:dyDescent="0.25">
      <c r="B146" s="2">
        <v>46753</v>
      </c>
    </row>
    <row r="147" spans="2:2" x14ac:dyDescent="0.25">
      <c r="B147" s="2">
        <v>46784</v>
      </c>
    </row>
    <row r="148" spans="2:2" x14ac:dyDescent="0.25">
      <c r="B148" s="2">
        <v>46813</v>
      </c>
    </row>
    <row r="149" spans="2:2" x14ac:dyDescent="0.25">
      <c r="B149" s="2">
        <v>46844</v>
      </c>
    </row>
    <row r="150" spans="2:2" x14ac:dyDescent="0.25">
      <c r="B150" s="2">
        <v>46874</v>
      </c>
    </row>
    <row r="151" spans="2:2" x14ac:dyDescent="0.25">
      <c r="B151" s="2">
        <v>46905</v>
      </c>
    </row>
    <row r="152" spans="2:2" x14ac:dyDescent="0.25">
      <c r="B152" s="2">
        <v>46935</v>
      </c>
    </row>
    <row r="153" spans="2:2" x14ac:dyDescent="0.25">
      <c r="B153" s="2">
        <v>46966</v>
      </c>
    </row>
    <row r="154" spans="2:2" x14ac:dyDescent="0.25">
      <c r="B154" s="2">
        <v>46997</v>
      </c>
    </row>
    <row r="155" spans="2:2" x14ac:dyDescent="0.25">
      <c r="B155" s="2">
        <v>47027</v>
      </c>
    </row>
    <row r="156" spans="2:2" x14ac:dyDescent="0.25">
      <c r="B156" s="2">
        <v>47058</v>
      </c>
    </row>
    <row r="157" spans="2:2" x14ac:dyDescent="0.25">
      <c r="B157" s="2">
        <v>47088</v>
      </c>
    </row>
    <row r="158" spans="2:2" x14ac:dyDescent="0.25">
      <c r="B158" s="2">
        <v>47119</v>
      </c>
    </row>
    <row r="159" spans="2:2" x14ac:dyDescent="0.25">
      <c r="B159" s="2">
        <v>47150</v>
      </c>
    </row>
    <row r="160" spans="2:2" x14ac:dyDescent="0.25">
      <c r="B160" s="2">
        <v>47178</v>
      </c>
    </row>
    <row r="161" spans="2:2" x14ac:dyDescent="0.25">
      <c r="B161" s="2">
        <v>47209</v>
      </c>
    </row>
    <row r="162" spans="2:2" x14ac:dyDescent="0.25">
      <c r="B162" s="2">
        <v>47239</v>
      </c>
    </row>
    <row r="163" spans="2:2" x14ac:dyDescent="0.25">
      <c r="B163" s="2">
        <v>47270</v>
      </c>
    </row>
    <row r="164" spans="2:2" x14ac:dyDescent="0.25">
      <c r="B164" s="2">
        <v>47300</v>
      </c>
    </row>
    <row r="165" spans="2:2" x14ac:dyDescent="0.25">
      <c r="B165" s="2">
        <v>47331</v>
      </c>
    </row>
    <row r="166" spans="2:2" x14ac:dyDescent="0.25">
      <c r="B166" s="2">
        <v>47362</v>
      </c>
    </row>
    <row r="167" spans="2:2" x14ac:dyDescent="0.25">
      <c r="B167" s="2">
        <v>47392</v>
      </c>
    </row>
    <row r="168" spans="2:2" x14ac:dyDescent="0.25">
      <c r="B168" s="2">
        <v>47423</v>
      </c>
    </row>
    <row r="169" spans="2:2" x14ac:dyDescent="0.25">
      <c r="B169" s="2">
        <v>47453</v>
      </c>
    </row>
    <row r="170" spans="2:2" x14ac:dyDescent="0.25">
      <c r="B170" s="2">
        <v>47484</v>
      </c>
    </row>
    <row r="171" spans="2:2" x14ac:dyDescent="0.25">
      <c r="B171" s="2">
        <v>47515</v>
      </c>
    </row>
    <row r="172" spans="2:2" x14ac:dyDescent="0.25">
      <c r="B172" s="2">
        <v>47543</v>
      </c>
    </row>
    <row r="173" spans="2:2" x14ac:dyDescent="0.25">
      <c r="B173" s="2">
        <v>47574</v>
      </c>
    </row>
    <row r="174" spans="2:2" x14ac:dyDescent="0.25">
      <c r="B174" s="2">
        <v>47604</v>
      </c>
    </row>
    <row r="175" spans="2:2" x14ac:dyDescent="0.25">
      <c r="B175" s="2">
        <v>47635</v>
      </c>
    </row>
    <row r="176" spans="2:2" x14ac:dyDescent="0.25">
      <c r="B176" s="2">
        <v>47665</v>
      </c>
    </row>
    <row r="177" spans="2:2" x14ac:dyDescent="0.25">
      <c r="B177" s="2">
        <v>47696</v>
      </c>
    </row>
    <row r="178" spans="2:2" x14ac:dyDescent="0.25">
      <c r="B178" s="2">
        <v>47727</v>
      </c>
    </row>
    <row r="179" spans="2:2" x14ac:dyDescent="0.25">
      <c r="B179" s="2">
        <v>47757</v>
      </c>
    </row>
    <row r="180" spans="2:2" x14ac:dyDescent="0.25">
      <c r="B180" s="2">
        <v>47788</v>
      </c>
    </row>
    <row r="181" spans="2:2" x14ac:dyDescent="0.25">
      <c r="B181" s="2">
        <v>47818</v>
      </c>
    </row>
    <row r="182" spans="2:2" x14ac:dyDescent="0.25">
      <c r="B182" s="2">
        <v>47849</v>
      </c>
    </row>
    <row r="183" spans="2:2" x14ac:dyDescent="0.25">
      <c r="B183" s="2">
        <v>47880</v>
      </c>
    </row>
    <row r="184" spans="2:2" x14ac:dyDescent="0.25">
      <c r="B184" s="2">
        <v>47908</v>
      </c>
    </row>
    <row r="185" spans="2:2" x14ac:dyDescent="0.25">
      <c r="B185" s="2">
        <v>47939</v>
      </c>
    </row>
    <row r="186" spans="2:2" x14ac:dyDescent="0.25">
      <c r="B186" s="2">
        <v>47969</v>
      </c>
    </row>
    <row r="187" spans="2:2" x14ac:dyDescent="0.25">
      <c r="B187" s="2">
        <v>48000</v>
      </c>
    </row>
    <row r="188" spans="2:2" x14ac:dyDescent="0.25">
      <c r="B188" s="2">
        <v>48030</v>
      </c>
    </row>
    <row r="189" spans="2:2" x14ac:dyDescent="0.25">
      <c r="B189" s="2">
        <v>48061</v>
      </c>
    </row>
    <row r="190" spans="2:2" x14ac:dyDescent="0.25">
      <c r="B190" s="2">
        <v>48092</v>
      </c>
    </row>
    <row r="191" spans="2:2" x14ac:dyDescent="0.25">
      <c r="B191" s="2">
        <v>48122</v>
      </c>
    </row>
    <row r="192" spans="2:2" x14ac:dyDescent="0.25">
      <c r="B192" s="2">
        <v>48153</v>
      </c>
    </row>
    <row r="193" spans="2:2" x14ac:dyDescent="0.25">
      <c r="B193" s="2">
        <v>48183</v>
      </c>
    </row>
    <row r="194" spans="2:2" x14ac:dyDescent="0.25">
      <c r="B194" s="2">
        <v>48214</v>
      </c>
    </row>
    <row r="195" spans="2:2" x14ac:dyDescent="0.25">
      <c r="B195" s="2">
        <v>48245</v>
      </c>
    </row>
    <row r="196" spans="2:2" x14ac:dyDescent="0.25">
      <c r="B196" s="2">
        <v>48274</v>
      </c>
    </row>
    <row r="197" spans="2:2" x14ac:dyDescent="0.25">
      <c r="B197" s="2">
        <v>48305</v>
      </c>
    </row>
    <row r="198" spans="2:2" x14ac:dyDescent="0.25">
      <c r="B198" s="2">
        <v>48335</v>
      </c>
    </row>
    <row r="199" spans="2:2" x14ac:dyDescent="0.25">
      <c r="B199" s="2">
        <v>48366</v>
      </c>
    </row>
    <row r="200" spans="2:2" x14ac:dyDescent="0.25">
      <c r="B200" s="2">
        <v>48396</v>
      </c>
    </row>
    <row r="201" spans="2:2" x14ac:dyDescent="0.25">
      <c r="B201" s="2">
        <v>48427</v>
      </c>
    </row>
    <row r="202" spans="2:2" x14ac:dyDescent="0.25">
      <c r="B202" s="2">
        <v>48458</v>
      </c>
    </row>
    <row r="203" spans="2:2" x14ac:dyDescent="0.25">
      <c r="B203" s="2">
        <v>48488</v>
      </c>
    </row>
    <row r="204" spans="2:2" x14ac:dyDescent="0.25">
      <c r="B204" s="2">
        <v>48519</v>
      </c>
    </row>
    <row r="205" spans="2:2" x14ac:dyDescent="0.25">
      <c r="B205" s="2">
        <v>48549</v>
      </c>
    </row>
    <row r="206" spans="2:2" x14ac:dyDescent="0.25">
      <c r="B206" s="2">
        <v>48580</v>
      </c>
    </row>
    <row r="207" spans="2:2" x14ac:dyDescent="0.25">
      <c r="B207" s="2">
        <v>48611</v>
      </c>
    </row>
    <row r="208" spans="2:2" x14ac:dyDescent="0.25">
      <c r="B208" s="2">
        <v>48639</v>
      </c>
    </row>
    <row r="209" spans="2:2" x14ac:dyDescent="0.25">
      <c r="B209" s="2">
        <v>48670</v>
      </c>
    </row>
    <row r="210" spans="2:2" x14ac:dyDescent="0.25">
      <c r="B210" s="2">
        <v>48700</v>
      </c>
    </row>
    <row r="211" spans="2:2" x14ac:dyDescent="0.25">
      <c r="B211" s="2">
        <v>48731</v>
      </c>
    </row>
    <row r="212" spans="2:2" x14ac:dyDescent="0.25">
      <c r="B212" s="2">
        <v>48761</v>
      </c>
    </row>
    <row r="213" spans="2:2" x14ac:dyDescent="0.25">
      <c r="B213" s="2">
        <v>48792</v>
      </c>
    </row>
    <row r="214" spans="2:2" x14ac:dyDescent="0.25">
      <c r="B214" s="2">
        <v>48823</v>
      </c>
    </row>
    <row r="215" spans="2:2" x14ac:dyDescent="0.25">
      <c r="B215" s="2">
        <v>48853</v>
      </c>
    </row>
    <row r="216" spans="2:2" x14ac:dyDescent="0.25">
      <c r="B216" s="2">
        <v>48884</v>
      </c>
    </row>
    <row r="217" spans="2:2" x14ac:dyDescent="0.25">
      <c r="B217" s="2">
        <v>48914</v>
      </c>
    </row>
    <row r="218" spans="2:2" x14ac:dyDescent="0.25">
      <c r="B218" s="2">
        <v>48945</v>
      </c>
    </row>
    <row r="219" spans="2:2" x14ac:dyDescent="0.25">
      <c r="B219" s="2">
        <v>48976</v>
      </c>
    </row>
    <row r="220" spans="2:2" x14ac:dyDescent="0.25">
      <c r="B220" s="2">
        <v>49004</v>
      </c>
    </row>
    <row r="221" spans="2:2" x14ac:dyDescent="0.25">
      <c r="B221" s="2">
        <v>49035</v>
      </c>
    </row>
    <row r="222" spans="2:2" x14ac:dyDescent="0.25">
      <c r="B222" s="2">
        <v>49065</v>
      </c>
    </row>
    <row r="223" spans="2:2" x14ac:dyDescent="0.25">
      <c r="B223" s="2">
        <v>49096</v>
      </c>
    </row>
    <row r="224" spans="2:2" x14ac:dyDescent="0.25">
      <c r="B224" s="2">
        <v>49126</v>
      </c>
    </row>
    <row r="225" spans="2:2" x14ac:dyDescent="0.25">
      <c r="B225" s="2">
        <v>49157</v>
      </c>
    </row>
    <row r="226" spans="2:2" x14ac:dyDescent="0.25">
      <c r="B226" s="2">
        <v>49188</v>
      </c>
    </row>
    <row r="227" spans="2:2" x14ac:dyDescent="0.25">
      <c r="B227" s="2">
        <v>49218</v>
      </c>
    </row>
    <row r="228" spans="2:2" x14ac:dyDescent="0.25">
      <c r="B228" s="2">
        <v>49249</v>
      </c>
    </row>
    <row r="229" spans="2:2" x14ac:dyDescent="0.25">
      <c r="B229" s="2">
        <v>49279</v>
      </c>
    </row>
    <row r="230" spans="2:2" x14ac:dyDescent="0.25">
      <c r="B230" s="2">
        <v>49310</v>
      </c>
    </row>
    <row r="231" spans="2:2" x14ac:dyDescent="0.25">
      <c r="B231" s="2">
        <v>49341</v>
      </c>
    </row>
    <row r="232" spans="2:2" x14ac:dyDescent="0.25">
      <c r="B232" s="2">
        <v>49369</v>
      </c>
    </row>
    <row r="233" spans="2:2" x14ac:dyDescent="0.25">
      <c r="B233" s="2">
        <v>49400</v>
      </c>
    </row>
    <row r="234" spans="2:2" x14ac:dyDescent="0.25">
      <c r="B234" s="2">
        <v>49430</v>
      </c>
    </row>
    <row r="235" spans="2:2" x14ac:dyDescent="0.25">
      <c r="B235" s="2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4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</row>
    <row r="2" spans="1:7" x14ac:dyDescent="0.25">
      <c r="A2" t="s">
        <v>291</v>
      </c>
      <c r="B2" s="2">
        <v>42588</v>
      </c>
      <c r="C2" t="s">
        <v>292</v>
      </c>
      <c r="D2" s="2">
        <v>42566</v>
      </c>
      <c r="E2" s="2">
        <v>42594</v>
      </c>
      <c r="F2">
        <v>5.4600000000000003E-2</v>
      </c>
      <c r="G2" s="3" t="s">
        <v>293</v>
      </c>
    </row>
    <row r="3" spans="1:7" x14ac:dyDescent="0.25">
      <c r="A3" t="s">
        <v>294</v>
      </c>
      <c r="B3" s="2">
        <v>42614</v>
      </c>
      <c r="C3" t="s">
        <v>295</v>
      </c>
      <c r="D3" s="2">
        <v>42595</v>
      </c>
      <c r="E3" s="2">
        <v>42627</v>
      </c>
      <c r="F3">
        <v>5.4199999999999998E-2</v>
      </c>
      <c r="G3" s="3" t="s">
        <v>296</v>
      </c>
    </row>
    <row r="4" spans="1:7" x14ac:dyDescent="0.25">
      <c r="A4" t="s">
        <v>297</v>
      </c>
      <c r="B4" s="2">
        <v>43018</v>
      </c>
      <c r="C4" t="s">
        <v>298</v>
      </c>
      <c r="D4" s="2">
        <v>42993</v>
      </c>
      <c r="E4" s="2">
        <v>43021</v>
      </c>
      <c r="F4">
        <v>4.1599999999999998E-2</v>
      </c>
      <c r="G4" s="3" t="s">
        <v>299</v>
      </c>
    </row>
    <row r="5" spans="1:7" x14ac:dyDescent="0.25">
      <c r="A5" t="s">
        <v>300</v>
      </c>
      <c r="B5" s="2">
        <v>43018</v>
      </c>
      <c r="C5" t="s">
        <v>298</v>
      </c>
      <c r="D5" s="2">
        <v>42993</v>
      </c>
      <c r="E5" s="2">
        <v>43021</v>
      </c>
      <c r="F5">
        <v>4.1599999999999998E-2</v>
      </c>
      <c r="G5" s="3" t="s">
        <v>299</v>
      </c>
    </row>
    <row r="6" spans="1:7" x14ac:dyDescent="0.25">
      <c r="A6" t="s">
        <v>301</v>
      </c>
      <c r="B6" s="2">
        <v>43183</v>
      </c>
      <c r="C6" t="s">
        <v>302</v>
      </c>
      <c r="D6" s="2">
        <v>43174</v>
      </c>
      <c r="E6" s="2">
        <v>43203</v>
      </c>
      <c r="F6">
        <v>4.2000000000000003E-2</v>
      </c>
      <c r="G6" s="3" t="s">
        <v>303</v>
      </c>
    </row>
    <row r="7" spans="1:7" x14ac:dyDescent="0.25">
      <c r="A7" t="s">
        <v>304</v>
      </c>
      <c r="B7" s="2">
        <v>43371</v>
      </c>
      <c r="C7" t="s">
        <v>305</v>
      </c>
      <c r="D7" s="2">
        <v>43358</v>
      </c>
      <c r="E7" s="2">
        <v>43385</v>
      </c>
      <c r="F7">
        <v>4.3799999999999999E-2</v>
      </c>
      <c r="G7" s="3" t="s">
        <v>306</v>
      </c>
    </row>
    <row r="8" spans="1:7" x14ac:dyDescent="0.25">
      <c r="A8" t="s">
        <v>307</v>
      </c>
      <c r="B8" s="2">
        <v>43591</v>
      </c>
      <c r="C8" t="s">
        <v>308</v>
      </c>
      <c r="D8" s="2">
        <v>43570</v>
      </c>
      <c r="E8" s="2">
        <v>43599</v>
      </c>
      <c r="F8">
        <v>4.4600000000000001E-2</v>
      </c>
      <c r="G8" s="3" t="s">
        <v>309</v>
      </c>
    </row>
    <row r="9" spans="1:7" x14ac:dyDescent="0.25">
      <c r="A9" t="s">
        <v>225</v>
      </c>
      <c r="B9" s="2">
        <v>44137</v>
      </c>
      <c r="C9" t="s">
        <v>310</v>
      </c>
      <c r="D9" s="2">
        <v>44119</v>
      </c>
      <c r="E9" s="2">
        <v>44148</v>
      </c>
      <c r="F9">
        <v>3.61E-2</v>
      </c>
      <c r="G9" s="3" t="s">
        <v>311</v>
      </c>
    </row>
    <row r="10" spans="1:7" x14ac:dyDescent="0.25">
      <c r="A10" t="s">
        <v>269</v>
      </c>
      <c r="B10" s="2">
        <v>44275</v>
      </c>
      <c r="C10" t="s">
        <v>312</v>
      </c>
      <c r="D10" s="2">
        <v>44270</v>
      </c>
      <c r="E10" s="2">
        <v>44300</v>
      </c>
      <c r="F10">
        <v>3.9100000000000003E-2</v>
      </c>
      <c r="G10" s="3" t="s">
        <v>313</v>
      </c>
    </row>
    <row r="11" spans="1:7" x14ac:dyDescent="0.25">
      <c r="A11" t="s">
        <v>228</v>
      </c>
      <c r="B11" s="2">
        <v>44336</v>
      </c>
      <c r="C11" t="s">
        <v>314</v>
      </c>
      <c r="D11" s="2">
        <v>44330</v>
      </c>
      <c r="F11">
        <v>3.2800000000000003E-2</v>
      </c>
      <c r="G11" s="3" t="s">
        <v>315</v>
      </c>
    </row>
    <row r="13" spans="1:7" x14ac:dyDescent="0.25">
      <c r="A13" t="s">
        <v>316</v>
      </c>
    </row>
    <row r="14" spans="1:7" x14ac:dyDescent="0.25">
      <c r="A14" t="s">
        <v>317</v>
      </c>
    </row>
  </sheetData>
  <hyperlinks>
    <hyperlink ref="G2" r:id="rId1" xr:uid="{00000000-0004-0000-0F00-000000000000}"/>
    <hyperlink ref="G3" r:id="rId2" xr:uid="{00000000-0004-0000-0F00-000001000000}"/>
    <hyperlink ref="G4" r:id="rId3" xr:uid="{00000000-0004-0000-0F00-000002000000}"/>
    <hyperlink ref="G5" r:id="rId4" xr:uid="{00000000-0004-0000-0F00-000003000000}"/>
    <hyperlink ref="G6" r:id="rId5" xr:uid="{00000000-0004-0000-0F00-000004000000}"/>
    <hyperlink ref="G7" r:id="rId6" xr:uid="{00000000-0004-0000-0F00-000005000000}"/>
    <hyperlink ref="G8" r:id="rId7" xr:uid="{00000000-0004-0000-0F00-000006000000}"/>
    <hyperlink ref="G9" r:id="rId8" xr:uid="{00000000-0004-0000-0F00-000007000000}"/>
    <hyperlink ref="G10" r:id="rId9" xr:uid="{00000000-0004-0000-0F00-000008000000}"/>
    <hyperlink ref="G11" r:id="rId10" xr:uid="{00000000-0004-0000-0F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README</vt:lpstr>
      <vt:lpstr>ReliquidacionEFACT</vt:lpstr>
      <vt:lpstr>ResumenRetiros</vt:lpstr>
      <vt:lpstr>FactRealE</vt:lpstr>
      <vt:lpstr>FactRealP</vt:lpstr>
      <vt:lpstr>FACT_EMITIDA</vt:lpstr>
      <vt:lpstr>SIGGE_E</vt:lpstr>
      <vt:lpstr>SIGGE_P</vt:lpstr>
      <vt:lpstr>EFACT_CNE</vt:lpstr>
      <vt:lpstr>EfactCNE_BT</vt:lpstr>
      <vt:lpstr>CEN_Energia</vt:lpstr>
      <vt:lpstr>CEN_Potencia</vt:lpstr>
      <vt:lpstr>CEN_EnergiaBT</vt:lpstr>
      <vt:lpstr>EFACT_EST_CEN</vt:lpstr>
      <vt:lpstr>SIN_DATA</vt:lpstr>
      <vt:lpstr>INTERESES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</cp:lastModifiedBy>
  <dcterms:created xsi:type="dcterms:W3CDTF">2022-04-05T05:47:20Z</dcterms:created>
  <dcterms:modified xsi:type="dcterms:W3CDTF">2022-04-08T17:08:13Z</dcterms:modified>
</cp:coreProperties>
</file>