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README" sheetId="1" state="visible" r:id="rId1"/>
    <sheet xmlns:r="http://schemas.openxmlformats.org/officeDocument/2006/relationships" name="ReliquidacionEFACT" sheetId="2" state="visible" r:id="rId2"/>
    <sheet xmlns:r="http://schemas.openxmlformats.org/officeDocument/2006/relationships" name="ResumenRetiros" sheetId="3" state="visible" r:id="rId3"/>
    <sheet xmlns:r="http://schemas.openxmlformats.org/officeDocument/2006/relationships" name="FactRealE" sheetId="4" state="visible" r:id="rId4"/>
    <sheet xmlns:r="http://schemas.openxmlformats.org/officeDocument/2006/relationships" name="FactRealP" sheetId="5" state="visible" r:id="rId5"/>
    <sheet xmlns:r="http://schemas.openxmlformats.org/officeDocument/2006/relationships" name="FACT_EMITIDA" sheetId="6" state="visible" r:id="rId6"/>
    <sheet xmlns:r="http://schemas.openxmlformats.org/officeDocument/2006/relationships" name="SIGGE_E" sheetId="7" state="visible" r:id="rId7"/>
    <sheet xmlns:r="http://schemas.openxmlformats.org/officeDocument/2006/relationships" name="SIGGE_P" sheetId="8" state="visible" r:id="rId8"/>
    <sheet xmlns:r="http://schemas.openxmlformats.org/officeDocument/2006/relationships" name="EFACT_CNE" sheetId="9" state="visible" r:id="rId9"/>
    <sheet xmlns:r="http://schemas.openxmlformats.org/officeDocument/2006/relationships" name="EfactCNE_BT" sheetId="10" state="visible" r:id="rId10"/>
    <sheet xmlns:r="http://schemas.openxmlformats.org/officeDocument/2006/relationships" name="CEN_Energia" sheetId="11" state="visible" r:id="rId11"/>
    <sheet xmlns:r="http://schemas.openxmlformats.org/officeDocument/2006/relationships" name="CEN_Potencia" sheetId="12" state="visible" r:id="rId12"/>
    <sheet xmlns:r="http://schemas.openxmlformats.org/officeDocument/2006/relationships" name="CEN_EnergiaBT" sheetId="13" state="visible" r:id="rId13"/>
    <sheet xmlns:r="http://schemas.openxmlformats.org/officeDocument/2006/relationships" name="EFACT_EST_CEN" sheetId="14" state="visible" r:id="rId14"/>
    <sheet xmlns:r="http://schemas.openxmlformats.org/officeDocument/2006/relationships" name="SIN_DATA" sheetId="15" state="visible" r:id="rId15"/>
    <sheet xmlns:r="http://schemas.openxmlformats.org/officeDocument/2006/relationships" name="INTERESES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H:MM:SS"/>
    <numFmt numFmtId="165" formatCode="DD-MM-YYYY"/>
  </numFmts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Alignment="1" applyProtection="1">
      <alignment vertical="top"/>
      <protection locked="0" hidden="0"/>
    </xf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4" fontId="0" fillId="0" borderId="0" pivotButton="0" quotePrefix="0" xfId="0"/>
    <xf numFmtId="0" fontId="2" fillId="0" borderId="0" pivotButton="0" quotePrefix="0" xfId="1"/>
    <xf numFmtId="165" fontId="0" fillId="0" borderId="0" pivotButton="0" quotePrefix="0" xfId="0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6.xml.rels><Relationships xmlns="http://schemas.openxmlformats.org/package/2006/relationships"><Relationship Type="http://schemas.openxmlformats.org/officeDocument/2006/relationships/hyperlink" Target="https://www.bcn.cl/leychile/navegar?idNorma=1092549" TargetMode="External" Id="rId1"/><Relationship Type="http://schemas.openxmlformats.org/officeDocument/2006/relationships/hyperlink" Target="https://www.bcn.cl/leychile/navegar?idNorma=1093605" TargetMode="External" Id="rId2"/><Relationship Type="http://schemas.openxmlformats.org/officeDocument/2006/relationships/hyperlink" Target="https://www.diariooficial.interior.gob.cl/publicaciones/2017/09/15/41861/01/1272697.pdf" TargetMode="External" Id="rId3"/><Relationship Type="http://schemas.openxmlformats.org/officeDocument/2006/relationships/hyperlink" Target="https://www.diariooficial.interior.gob.cl/publicaciones/2017/09/15/41861/01/1272697.pdf" TargetMode="External" Id="rId4"/><Relationship Type="http://schemas.openxmlformats.org/officeDocument/2006/relationships/hyperlink" Target="https://www.diariooficial.interior.gob.cl/publicaciones/2018/03/15/42008/01/1366088.pdf" TargetMode="External" Id="rId5"/><Relationship Type="http://schemas.openxmlformats.org/officeDocument/2006/relationships/hyperlink" Target="https://www.diariooficial.interior.gob.cl/publicaciones/2018/09/15/42159/01/1465375.pdf" TargetMode="External" Id="rId6"/><Relationship Type="http://schemas.openxmlformats.org/officeDocument/2006/relationships/hyperlink" Target="https://www.diariooficial.interior.gob.cl/publicaciones/2019/04/15/42331/01/1576341.pdf" TargetMode="External" Id="rId7"/><Relationship Type="http://schemas.openxmlformats.org/officeDocument/2006/relationships/hyperlink" Target="https://www.diariooficial.interior.gob.cl/publicaciones/2020/10/15/42780/01/1830437.pdf" TargetMode="External" Id="rId8"/><Relationship Type="http://schemas.openxmlformats.org/officeDocument/2006/relationships/hyperlink" Target="https://www.diariooficial.interior.gob.cl/publicaciones/2021/03/15/42905/01/1910115.pdf" TargetMode="External" Id="rId9"/><Relationship Type="http://schemas.openxmlformats.org/officeDocument/2006/relationships/hyperlink" Target="https://www.diariooficial.interior.gob.cl/publicaciones/2021/05/14/42954/01/1943780.pdf" TargetMode="External" Id="rId1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tabSelected="1" workbookViewId="0">
      <selection activeCell="A1" sqref="A1"/>
    </sheetView>
  </sheetViews>
  <sheetFormatPr baseColWidth="8" defaultRowHeight="15"/>
  <sheetData>
    <row r="1">
      <c r="A1" s="1" t="inlineStr">
        <is>
          <t>Hoja</t>
        </is>
      </c>
      <c r="B1" s="1" t="inlineStr">
        <is>
          <t>Descripción</t>
        </is>
      </c>
    </row>
    <row r="2">
      <c r="A2" t="inlineStr">
        <is>
          <t>EFACT_CNE</t>
        </is>
      </c>
      <c r="B2" t="inlineStr">
        <is>
          <t>Información de facturación definitiva proveniente de los archivos EFACT publicados por la CNE en los Decretos de Precio de Nudo</t>
        </is>
      </c>
    </row>
    <row r="3">
      <c r="A3" t="inlineStr">
        <is>
          <t>FACT_EMITIDA</t>
        </is>
      </c>
      <c r="B3" t="inlineStr">
        <is>
          <t>Información de facturación real desde PDFs y sistema SIGGE (gestión facturación electrónica)</t>
        </is>
      </c>
    </row>
    <row r="4">
      <c r="A4" t="inlineStr">
        <is>
          <t>SIGGE_E</t>
        </is>
      </c>
      <c r="B4" t="inlineStr">
        <is>
          <t>Información de facturación real de Energía desde PDFs y sistema SIGGE (gestión facturación electrónica)</t>
        </is>
      </c>
    </row>
    <row r="5">
      <c r="A5" t="inlineStr">
        <is>
          <t>SIGGE_P</t>
        </is>
      </c>
      <c r="B5" t="inlineStr">
        <is>
          <t>Información de facturación real de Potencia desde PDFs y sistema SIGGE (gestión facturación electrónica)</t>
        </is>
      </c>
    </row>
    <row r="6">
      <c r="A6" t="inlineStr">
        <is>
          <t>FACT_EST_EFACT</t>
        </is>
      </c>
      <c r="B6" t="inlineStr">
        <is>
          <t>Estimación de facturación emitida en base a información de los EFACT Decretos Precios de Nudo</t>
        </is>
      </c>
    </row>
    <row r="7">
      <c r="A7" t="inlineStr">
        <is>
          <t>FACT_EST_CEN</t>
        </is>
      </c>
      <c r="B7" t="inlineStr">
        <is>
          <t>Estimación de la facturación emitida en base a los balances mensuales publicados por el Coordinador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E18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7">
      <c r="C7" t="inlineStr">
        <is>
          <t>LO QUE SE FACTURÓ</t>
        </is>
      </c>
      <c r="L7" t="inlineStr">
        <is>
          <t>LO QUE SE DEBIÓ HABER FACTURADO</t>
        </is>
      </c>
      <c r="U7" t="inlineStr">
        <is>
          <t>RELQUIDACIÓN Y CÁLCULO INTERESES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(kWh)</t>
        </is>
      </c>
      <c r="E8" t="inlineStr">
        <is>
          <t>Monto Energía ($)</t>
        </is>
      </c>
      <c r="F8" t="inlineStr">
        <is>
          <t>$/kWh</t>
        </is>
      </c>
      <c r="G8" t="inlineStr">
        <is>
          <t>Potencia (kW)</t>
        </is>
      </c>
      <c r="H8" t="inlineStr">
        <is>
          <t>Monto Potencia ($)</t>
        </is>
      </c>
      <c r="I8" t="inlineStr">
        <is>
          <t>$/kW-mes</t>
        </is>
      </c>
      <c r="J8" t="inlineStr">
        <is>
          <t>Monto Total ($)</t>
        </is>
      </c>
      <c r="L8" t="inlineStr">
        <is>
          <t>ORIGEN DATA</t>
        </is>
      </c>
      <c r="M8" t="inlineStr">
        <is>
          <t>Energía (kWh)</t>
        </is>
      </c>
      <c r="N8" t="inlineStr">
        <is>
          <t>Monto Energía ($)</t>
        </is>
      </c>
      <c r="O8" t="inlineStr">
        <is>
          <t>$/kWh</t>
        </is>
      </c>
      <c r="P8" t="inlineStr">
        <is>
          <t>Potencia (kW)</t>
        </is>
      </c>
      <c r="Q8" t="inlineStr">
        <is>
          <t>Monto Potencia ($)</t>
        </is>
      </c>
      <c r="R8" t="inlineStr">
        <is>
          <t>$/kW-mes</t>
        </is>
      </c>
      <c r="S8" t="inlineStr">
        <is>
          <t>Monto Total ($)</t>
        </is>
      </c>
      <c r="U8" t="inlineStr">
        <is>
          <t>Mes</t>
        </is>
      </c>
      <c r="V8" t="inlineStr">
        <is>
          <t>Reliquidación mensual ($)</t>
        </is>
      </c>
      <c r="W8" t="inlineStr">
        <is>
          <t>Decreto PNP Reliquidación</t>
        </is>
      </c>
      <c r="X8" t="inlineStr">
        <is>
          <t>Fecha publicación Diario Oficial</t>
        </is>
      </c>
      <c r="Y8" t="inlineStr">
        <is>
          <t>Interés Anual</t>
        </is>
      </c>
      <c r="Z8" t="inlineStr">
        <is>
          <t>Fecha Facturación</t>
        </is>
      </c>
      <c r="AA8" t="inlineStr">
        <is>
          <t>Fecha Reliquidación</t>
        </is>
      </c>
      <c r="AB8" t="inlineStr">
        <is>
          <t>N° de días de intereses</t>
        </is>
      </c>
      <c r="AC8" t="inlineStr">
        <is>
          <t>Interés total según n° de días</t>
        </is>
      </c>
      <c r="AD8" t="inlineStr">
        <is>
          <t>Intereses ($)</t>
        </is>
      </c>
      <c r="AE8" t="inlineStr">
        <is>
          <t>Reliquidación Total ($)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SUMIF(SIGGE_E!B:B,ReliquidacionEFACT!B9,SIGGE_E!S:S)</f>
        <v/>
      </c>
      <c r="E9">
        <f>SUMIF(SIGGE_E!B:B,ReliquidacionEFACT!B9,SIGGE_E!T:T)</f>
        <v/>
      </c>
      <c r="F9">
        <f>IFERROR((E9/D9),0)</f>
        <v/>
      </c>
      <c r="G9">
        <f>SUMIF(SIGGE_P!B:B,ReliquidacionEFACT!B9,SIGGE_P!U:U)</f>
        <v/>
      </c>
      <c r="H9">
        <f>SUMIF(SIGGE_P!B:B,ReliquidacionEFACT!B9,SIGGE_P!V:V)</f>
        <v/>
      </c>
      <c r="I9">
        <f>IFERROR((H9/G9),0)</f>
        <v/>
      </c>
      <c r="J9">
        <f>(E9+H9)</f>
        <v/>
      </c>
      <c r="L9" t="inlineStr">
        <is>
          <t>EFACT_CNE</t>
        </is>
      </c>
      <c r="M9">
        <f>SUMIF(EFACT_CNE!B:B,ReliquidacionEFACT!B9,EFACT_CNE!S:S)</f>
        <v/>
      </c>
      <c r="N9">
        <f>SUMIF(EFACT_CNE!B:B,ReliquidacionEFACT!B9,EFACT_CNE!T:T)</f>
        <v/>
      </c>
      <c r="O9">
        <f>IFERROR((N9/M9),0)</f>
        <v/>
      </c>
      <c r="P9">
        <f>SUMIF(EFACT_CNE!B:B,ReliquidacionEFACT!B9,EFACT_CNE!U:U)</f>
        <v/>
      </c>
      <c r="Q9">
        <f>SUMIF(EFACT_CNE!B:B,ReliquidacionEFACT!B9,EFACT_CNE!V:V)</f>
        <v/>
      </c>
      <c r="R9">
        <f>IFERROR((Q9/P9),0)</f>
        <v/>
      </c>
      <c r="S9">
        <f>(N9+Q9)</f>
        <v/>
      </c>
      <c r="U9" s="2" t="n">
        <v>44470</v>
      </c>
      <c r="V9">
        <f>(S9-J9)</f>
        <v/>
      </c>
      <c r="W9" t="inlineStr">
        <is>
          <t>PNP_9T</t>
        </is>
      </c>
      <c r="X9" s="2" t="n">
        <v>44912</v>
      </c>
      <c r="Y9" t="n">
        <v>0.1046</v>
      </c>
      <c r="Z9" s="2" t="n">
        <v>44494</v>
      </c>
      <c r="AA9" s="2" t="n">
        <v>44926</v>
      </c>
      <c r="AB9">
        <f>(AA9-Z9)</f>
        <v/>
      </c>
      <c r="AC9">
        <f>(1+Y9)^(AB9/360)-1</f>
        <v/>
      </c>
      <c r="AD9">
        <f>(AC9*V9)</f>
        <v/>
      </c>
      <c r="AE9">
        <f>(V9+AD9)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SUMIF(SIGGE_E!B:B,ReliquidacionEFACT!B10,SIGGE_E!S:S)</f>
        <v/>
      </c>
      <c r="E10">
        <f>SUMIF(SIGGE_E!B:B,ReliquidacionEFACT!B10,SIGGE_E!T:T)</f>
        <v/>
      </c>
      <c r="F10">
        <f>IFERROR((E10/D10),0)</f>
        <v/>
      </c>
      <c r="G10">
        <f>SUMIF(SIGGE_P!B:B,ReliquidacionEFACT!B10,SIGGE_P!U:U)</f>
        <v/>
      </c>
      <c r="H10">
        <f>SUMIF(SIGGE_P!B:B,ReliquidacionEFACT!B10,SIGGE_P!V:V)</f>
        <v/>
      </c>
      <c r="I10">
        <f>IFERROR((H10/G10),0)</f>
        <v/>
      </c>
      <c r="J10">
        <f>(E10+H10)</f>
        <v/>
      </c>
      <c r="L10" t="inlineStr">
        <is>
          <t>EFACT_CNE</t>
        </is>
      </c>
      <c r="M10">
        <f>SUMIF(EFACT_CNE!B:B,ReliquidacionEFACT!B10,EFACT_CNE!S:S)</f>
        <v/>
      </c>
      <c r="N10">
        <f>SUMIF(EFACT_CNE!B:B,ReliquidacionEFACT!B10,EFACT_CNE!T:T)</f>
        <v/>
      </c>
      <c r="O10">
        <f>IFERROR((N10/M10),0)</f>
        <v/>
      </c>
      <c r="P10">
        <f>SUMIF(EFACT_CNE!B:B,ReliquidacionEFACT!B10,EFACT_CNE!U:U)</f>
        <v/>
      </c>
      <c r="Q10">
        <f>SUMIF(EFACT_CNE!B:B,ReliquidacionEFACT!B10,EFACT_CNE!V:V)</f>
        <v/>
      </c>
      <c r="R10">
        <f>IFERROR((Q10/P10),0)</f>
        <v/>
      </c>
      <c r="S10">
        <f>(N10+Q10)</f>
        <v/>
      </c>
      <c r="U10" s="2" t="n">
        <v>44501</v>
      </c>
      <c r="V10">
        <f>(S10-J10)</f>
        <v/>
      </c>
      <c r="W10" t="inlineStr">
        <is>
          <t>PNP_9T</t>
        </is>
      </c>
      <c r="X10" s="2" t="n">
        <v>44912</v>
      </c>
      <c r="Y10" t="n">
        <v>0.1046</v>
      </c>
      <c r="Z10" s="2" t="n">
        <v>44525</v>
      </c>
      <c r="AA10" s="2" t="n">
        <v>44926</v>
      </c>
      <c r="AB10">
        <f>(AA10-Z10)</f>
        <v/>
      </c>
      <c r="AC10">
        <f>(1+Y10)^(AB10/360)-1</f>
        <v/>
      </c>
      <c r="AD10">
        <f>(AC10*V10)</f>
        <v/>
      </c>
      <c r="AE10">
        <f>(V10+AD10)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SUMIF(SIGGE_E!B:B,ReliquidacionEFACT!B11,SIGGE_E!S:S)</f>
        <v/>
      </c>
      <c r="E11">
        <f>SUMIF(SIGGE_E!B:B,ReliquidacionEFACT!B11,SIGGE_E!T:T)</f>
        <v/>
      </c>
      <c r="F11">
        <f>IFERROR((E11/D11),0)</f>
        <v/>
      </c>
      <c r="G11">
        <f>SUMIF(SIGGE_P!B:B,ReliquidacionEFACT!B11,SIGGE_P!U:U)</f>
        <v/>
      </c>
      <c r="H11">
        <f>SUMIF(SIGGE_P!B:B,ReliquidacionEFACT!B11,SIGGE_P!V:V)</f>
        <v/>
      </c>
      <c r="I11">
        <f>IFERROR((H11/G11),0)</f>
        <v/>
      </c>
      <c r="J11">
        <f>(E11+H11)</f>
        <v/>
      </c>
      <c r="L11" t="inlineStr">
        <is>
          <t>EFACT_CNE</t>
        </is>
      </c>
      <c r="M11">
        <f>SUMIF(EFACT_CNE!B:B,ReliquidacionEFACT!B11,EFACT_CNE!S:S)</f>
        <v/>
      </c>
      <c r="N11">
        <f>SUMIF(EFACT_CNE!B:B,ReliquidacionEFACT!B11,EFACT_CNE!T:T)</f>
        <v/>
      </c>
      <c r="O11">
        <f>IFERROR((N11/M11),0)</f>
        <v/>
      </c>
      <c r="P11">
        <f>SUMIF(EFACT_CNE!B:B,ReliquidacionEFACT!B11,EFACT_CNE!U:U)</f>
        <v/>
      </c>
      <c r="Q11">
        <f>SUMIF(EFACT_CNE!B:B,ReliquidacionEFACT!B11,EFACT_CNE!V:V)</f>
        <v/>
      </c>
      <c r="R11">
        <f>IFERROR((Q11/P11),0)</f>
        <v/>
      </c>
      <c r="S11">
        <f>(N11+Q11)</f>
        <v/>
      </c>
      <c r="U11" s="2" t="n">
        <v>44531</v>
      </c>
      <c r="V11">
        <f>(S11-J11)</f>
        <v/>
      </c>
      <c r="W11" t="inlineStr">
        <is>
          <t>PNP_9T</t>
        </is>
      </c>
      <c r="X11" s="2" t="n">
        <v>44912</v>
      </c>
      <c r="Y11" t="n">
        <v>0.1046</v>
      </c>
      <c r="Z11" s="2" t="n">
        <v>44555</v>
      </c>
      <c r="AA11" s="2" t="n">
        <v>44926</v>
      </c>
      <c r="AB11">
        <f>(AA11-Z11)</f>
        <v/>
      </c>
      <c r="AC11">
        <f>(1+Y11)^(AB11/360)-1</f>
        <v/>
      </c>
      <c r="AD11">
        <f>(AC11*V11)</f>
        <v/>
      </c>
      <c r="AE11">
        <f>(V11+AD11)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SUMIF(SIGGE_E!B:B,ReliquidacionEFACT!B12,SIGGE_E!S:S)</f>
        <v/>
      </c>
      <c r="E12">
        <f>SUMIF(SIGGE_E!B:B,ReliquidacionEFACT!B12,SIGGE_E!T:T)</f>
        <v/>
      </c>
      <c r="F12">
        <f>IFERROR((E12/D12),0)</f>
        <v/>
      </c>
      <c r="G12">
        <f>SUMIF(SIGGE_P!B:B,ReliquidacionEFACT!B12,SIGGE_P!U:U)</f>
        <v/>
      </c>
      <c r="H12">
        <f>SUMIF(SIGGE_P!B:B,ReliquidacionEFACT!B12,SIGGE_P!V:V)</f>
        <v/>
      </c>
      <c r="I12">
        <f>IFERROR((H12/G12),0)</f>
        <v/>
      </c>
      <c r="J12">
        <f>(E12+H12)</f>
        <v/>
      </c>
      <c r="L12" t="inlineStr">
        <is>
          <t>EFACT_CNE</t>
        </is>
      </c>
      <c r="M12">
        <f>SUMIF(EFACT_CNE!B:B,ReliquidacionEFACT!B12,EFACT_CNE!S:S)</f>
        <v/>
      </c>
      <c r="N12">
        <f>SUMIF(EFACT_CNE!B:B,ReliquidacionEFACT!B12,EFACT_CNE!T:T)</f>
        <v/>
      </c>
      <c r="O12">
        <f>IFERROR((N12/M12),0)</f>
        <v/>
      </c>
      <c r="P12">
        <f>SUMIF(EFACT_CNE!B:B,ReliquidacionEFACT!B12,EFACT_CNE!U:U)</f>
        <v/>
      </c>
      <c r="Q12">
        <f>SUMIF(EFACT_CNE!B:B,ReliquidacionEFACT!B12,EFACT_CNE!V:V)</f>
        <v/>
      </c>
      <c r="R12">
        <f>IFERROR((Q12/P12),0)</f>
        <v/>
      </c>
      <c r="S12">
        <f>(N12+Q12)</f>
        <v/>
      </c>
      <c r="U12" s="2" t="n">
        <v>44562</v>
      </c>
      <c r="V12">
        <f>(S12-J12)</f>
        <v/>
      </c>
      <c r="W12" t="inlineStr">
        <is>
          <t>PNP_9T</t>
        </is>
      </c>
      <c r="X12" s="2" t="n">
        <v>44912</v>
      </c>
      <c r="Y12" t="n">
        <v>0.1046</v>
      </c>
      <c r="Z12" s="2" t="n">
        <v>44586</v>
      </c>
      <c r="AA12" s="2" t="n">
        <v>44926</v>
      </c>
      <c r="AB12">
        <f>(AA12-Z12)</f>
        <v/>
      </c>
      <c r="AC12">
        <f>(1+Y12)^(AB12/360)-1</f>
        <v/>
      </c>
      <c r="AD12">
        <f>(AC12*V12)</f>
        <v/>
      </c>
      <c r="AE12">
        <f>(V12+AD12)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SUMIF(SIGGE_E!B:B,ReliquidacionEFACT!B13,SIGGE_E!S:S)</f>
        <v/>
      </c>
      <c r="E13">
        <f>SUMIF(SIGGE_E!B:B,ReliquidacionEFACT!B13,SIGGE_E!T:T)</f>
        <v/>
      </c>
      <c r="F13">
        <f>IFERROR((E13/D13),0)</f>
        <v/>
      </c>
      <c r="G13">
        <f>SUMIF(SIGGE_P!B:B,ReliquidacionEFACT!B13,SIGGE_P!U:U)</f>
        <v/>
      </c>
      <c r="H13">
        <f>SUMIF(SIGGE_P!B:B,ReliquidacionEFACT!B13,SIGGE_P!V:V)</f>
        <v/>
      </c>
      <c r="I13">
        <f>IFERROR((H13/G13),0)</f>
        <v/>
      </c>
      <c r="J13">
        <f>(E13+H13)</f>
        <v/>
      </c>
      <c r="L13" t="inlineStr">
        <is>
          <t>EFACT_CNE</t>
        </is>
      </c>
      <c r="M13">
        <f>SUMIF(EFACT_CNE!B:B,ReliquidacionEFACT!B13,EFACT_CNE!S:S)</f>
        <v/>
      </c>
      <c r="N13">
        <f>SUMIF(EFACT_CNE!B:B,ReliquidacionEFACT!B13,EFACT_CNE!T:T)</f>
        <v/>
      </c>
      <c r="O13">
        <f>IFERROR((N13/M13),0)</f>
        <v/>
      </c>
      <c r="P13">
        <f>SUMIF(EFACT_CNE!B:B,ReliquidacionEFACT!B13,EFACT_CNE!U:U)</f>
        <v/>
      </c>
      <c r="Q13">
        <f>SUMIF(EFACT_CNE!B:B,ReliquidacionEFACT!B13,EFACT_CNE!V:V)</f>
        <v/>
      </c>
      <c r="R13">
        <f>IFERROR((Q13/P13),0)</f>
        <v/>
      </c>
      <c r="S13">
        <f>(N13+Q13)</f>
        <v/>
      </c>
      <c r="U13" s="2" t="n">
        <v>44593</v>
      </c>
      <c r="V13">
        <f>(S13-J13)</f>
        <v/>
      </c>
      <c r="W13" t="inlineStr">
        <is>
          <t>PNP_9T</t>
        </is>
      </c>
      <c r="X13" s="2" t="n">
        <v>44912</v>
      </c>
      <c r="Y13" t="n">
        <v>0.1046</v>
      </c>
      <c r="Z13" s="2" t="n">
        <v>44617</v>
      </c>
      <c r="AA13" s="2" t="n">
        <v>44926</v>
      </c>
      <c r="AB13">
        <f>(AA13-Z13)</f>
        <v/>
      </c>
      <c r="AC13">
        <f>(1+Y13)^(AB13/360)-1</f>
        <v/>
      </c>
      <c r="AD13">
        <f>(AC13*V13)</f>
        <v/>
      </c>
      <c r="AE13">
        <f>(V13+AD13)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SUMIF(SIGGE_E!B:B,ReliquidacionEFACT!B14,SIGGE_E!S:S)</f>
        <v/>
      </c>
      <c r="E14">
        <f>SUMIF(SIGGE_E!B:B,ReliquidacionEFACT!B14,SIGGE_E!T:T)</f>
        <v/>
      </c>
      <c r="F14">
        <f>IFERROR((E14/D14),0)</f>
        <v/>
      </c>
      <c r="G14">
        <f>SUMIF(SIGGE_P!B:B,ReliquidacionEFACT!B14,SIGGE_P!U:U)</f>
        <v/>
      </c>
      <c r="H14">
        <f>SUMIF(SIGGE_P!B:B,ReliquidacionEFACT!B14,SIGGE_P!V:V)</f>
        <v/>
      </c>
      <c r="I14">
        <f>IFERROR((H14/G14),0)</f>
        <v/>
      </c>
      <c r="J14">
        <f>(E14+H14)</f>
        <v/>
      </c>
      <c r="L14" t="inlineStr">
        <is>
          <t>EFACT_CNE</t>
        </is>
      </c>
      <c r="M14">
        <f>SUMIF(EFACT_CNE!B:B,ReliquidacionEFACT!B14,EFACT_CNE!S:S)</f>
        <v/>
      </c>
      <c r="N14">
        <f>SUMIF(EFACT_CNE!B:B,ReliquidacionEFACT!B14,EFACT_CNE!T:T)</f>
        <v/>
      </c>
      <c r="O14">
        <f>IFERROR((N14/M14),0)</f>
        <v/>
      </c>
      <c r="P14">
        <f>SUMIF(EFACT_CNE!B:B,ReliquidacionEFACT!B14,EFACT_CNE!U:U)</f>
        <v/>
      </c>
      <c r="Q14">
        <f>SUMIF(EFACT_CNE!B:B,ReliquidacionEFACT!B14,EFACT_CNE!V:V)</f>
        <v/>
      </c>
      <c r="R14">
        <f>IFERROR((Q14/P14),0)</f>
        <v/>
      </c>
      <c r="S14">
        <f>(N14+Q14)</f>
        <v/>
      </c>
      <c r="U14" s="2" t="n">
        <v>44621</v>
      </c>
      <c r="V14">
        <f>(S14-J14)</f>
        <v/>
      </c>
      <c r="W14" t="inlineStr">
        <is>
          <t>PNP_9T</t>
        </is>
      </c>
      <c r="X14" s="2" t="n">
        <v>44912</v>
      </c>
      <c r="Y14" t="n">
        <v>0.1046</v>
      </c>
      <c r="Z14" s="2" t="n">
        <v>44645</v>
      </c>
      <c r="AA14" s="2" t="n">
        <v>44926</v>
      </c>
      <c r="AB14">
        <f>(AA14-Z14)</f>
        <v/>
      </c>
      <c r="AC14">
        <f>(1+Y14)^(AB14/360)-1</f>
        <v/>
      </c>
      <c r="AD14">
        <f>(AC14*V14)</f>
        <v/>
      </c>
      <c r="AE14">
        <f>(V14+AD14)</f>
        <v/>
      </c>
    </row>
    <row r="15">
      <c r="AD15" t="inlineStr">
        <is>
          <t>Reliquidación</t>
        </is>
      </c>
      <c r="AE15">
        <f>SUM(AE9:AE14)</f>
        <v/>
      </c>
    </row>
    <row r="17">
      <c r="AC17" t="inlineStr">
        <is>
          <t>Montos a favor</t>
        </is>
      </c>
      <c r="AD17" t="inlineStr">
        <is>
          <t>LAP emite factura</t>
        </is>
      </c>
    </row>
    <row r="18">
      <c r="AC18" t="inlineStr">
        <is>
          <t>Montos en contra</t>
        </is>
      </c>
      <c r="AD18" t="inlineStr">
        <is>
          <t>LAP emite nota de crédito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15"/>
  <sheetViews>
    <sheetView workbookViewId="0">
      <selection activeCell="A1" sqref="A1"/>
    </sheetView>
  </sheetViews>
  <sheetFormatPr baseColWidth="8" defaultRowHeight="15"/>
  <sheetData>
    <row r="1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t="inlineStr"/>
      <c r="J1" t="inlineStr"/>
      <c r="K1" t="inlineStr"/>
      <c r="L1" t="inlineStr"/>
      <c r="M1" t="inlineStr"/>
      <c r="N1" t="inlineStr"/>
      <c r="O1" t="inlineStr"/>
      <c r="P1" t="inlineStr"/>
      <c r="Q1" t="inlineStr"/>
      <c r="R1" t="inlineStr"/>
      <c r="S1" t="inlineStr"/>
      <c r="T1" t="inlineStr"/>
      <c r="U1" t="inlineStr"/>
      <c r="V1" t="inlineStr"/>
      <c r="W1" t="inlineStr"/>
      <c r="X1" t="inlineStr"/>
      <c r="Y1" t="inlineStr"/>
      <c r="Z1" t="inlineStr"/>
      <c r="AA1" t="inlineStr"/>
      <c r="AB1" t="inlineStr"/>
      <c r="AC1" t="inlineStr"/>
      <c r="AD1" t="inlineStr"/>
      <c r="AE1" t="inlineStr"/>
    </row>
    <row r="2">
      <c r="A2" t="inlineStr">
        <is>
          <t>Generador</t>
        </is>
      </c>
      <c r="B2" t="inlineStr">
        <is>
          <t>Caren</t>
        </is>
      </c>
    </row>
    <row r="3">
      <c r="A3" t="inlineStr">
        <is>
          <t>Distribuidor</t>
        </is>
      </c>
      <c r="B3" t="inlineStr">
        <is>
          <t>CHILQUINTA</t>
        </is>
      </c>
    </row>
    <row r="4">
      <c r="A4" t="inlineStr">
        <is>
          <t>Licitacion</t>
        </is>
      </c>
      <c r="B4" t="inlineStr">
        <is>
          <t>2013/03-2° Llamado</t>
        </is>
      </c>
    </row>
    <row r="5">
      <c r="A5" t="inlineStr">
        <is>
          <t>Bloque</t>
        </is>
      </c>
      <c r="B5" t="inlineStr">
        <is>
          <t>BS1B</t>
        </is>
      </c>
    </row>
    <row r="8">
      <c r="A8" t="inlineStr">
        <is>
          <t>ID</t>
        </is>
      </c>
      <c r="B8" t="inlineStr">
        <is>
          <t>MES</t>
        </is>
      </c>
      <c r="C8" t="inlineStr">
        <is>
          <t>ORIGEN DATA</t>
        </is>
      </c>
      <c r="D8" t="inlineStr">
        <is>
          <t>Energía SIGGE (kWh)</t>
        </is>
      </c>
      <c r="E8" t="inlineStr">
        <is>
          <t>Energía EFACT AT (kWh)</t>
        </is>
      </c>
      <c r="F8" t="inlineStr">
        <is>
          <t>Energía EFACT BT (kWh)</t>
        </is>
      </c>
      <c r="G8" t="inlineStr">
        <is>
          <t>Energía Coordinador AT (kWh)</t>
        </is>
      </c>
      <c r="H8" t="inlineStr">
        <is>
          <t>Energía Coordinador BT (kWh)</t>
        </is>
      </c>
    </row>
    <row r="9">
      <c r="A9" t="n">
        <v>9</v>
      </c>
      <c r="B9" s="4" t="n">
        <v>44470</v>
      </c>
      <c r="C9" t="inlineStr">
        <is>
          <t>FACT_EMITIDA</t>
        </is>
      </c>
      <c r="D9">
        <f>SUMIF(SIGGE_E!B:B,ResumenRetiros!B9,SIGGE_E!S:S)</f>
        <v/>
      </c>
      <c r="E9">
        <f>SUMIF(EFACT_CNE!B:B,ResumenRetiros!B9,EFACT_CNE!S:S)</f>
        <v/>
      </c>
      <c r="F9">
        <f>SUMIF(EfactCNE_BT!B:B,ResumenRetiros!B9,EfactCNE_BT!M:M)</f>
        <v/>
      </c>
      <c r="G9">
        <f>SUMIF(CEN_Energia!B:B,ResumenRetiros!B9,CEN_Energia!Z:Z)</f>
        <v/>
      </c>
      <c r="H9">
        <f>SUMIF(CEN_EnergiaBT!B:B,ResumenRetiros!B9,CEN_EnergiaBT!K:K)</f>
        <v/>
      </c>
    </row>
    <row r="10">
      <c r="A10" t="n">
        <v>10</v>
      </c>
      <c r="B10" s="4" t="n">
        <v>44501</v>
      </c>
      <c r="C10" t="inlineStr">
        <is>
          <t>FACT_EMITIDA</t>
        </is>
      </c>
      <c r="D10">
        <f>SUMIF(SIGGE_E!B:B,ResumenRetiros!B10,SIGGE_E!S:S)</f>
        <v/>
      </c>
      <c r="E10">
        <f>SUMIF(EFACT_CNE!B:B,ResumenRetiros!B10,EFACT_CNE!S:S)</f>
        <v/>
      </c>
      <c r="F10">
        <f>SUMIF(EfactCNE_BT!B:B,ResumenRetiros!B10,EfactCNE_BT!M:M)</f>
        <v/>
      </c>
      <c r="G10">
        <f>SUMIF(CEN_Energia!B:B,ResumenRetiros!B10,CEN_Energia!Z:Z)</f>
        <v/>
      </c>
      <c r="H10">
        <f>SUMIF(CEN_EnergiaBT!B:B,ResumenRetiros!B10,CEN_EnergiaBT!K:K)</f>
        <v/>
      </c>
    </row>
    <row r="11">
      <c r="A11" t="n">
        <v>11</v>
      </c>
      <c r="B11" s="4" t="n">
        <v>44531</v>
      </c>
      <c r="C11" t="inlineStr">
        <is>
          <t>FACT_EMITIDA</t>
        </is>
      </c>
      <c r="D11">
        <f>SUMIF(SIGGE_E!B:B,ResumenRetiros!B11,SIGGE_E!S:S)</f>
        <v/>
      </c>
      <c r="E11">
        <f>SUMIF(EFACT_CNE!B:B,ResumenRetiros!B11,EFACT_CNE!S:S)</f>
        <v/>
      </c>
      <c r="F11">
        <f>SUMIF(EfactCNE_BT!B:B,ResumenRetiros!B11,EfactCNE_BT!M:M)</f>
        <v/>
      </c>
      <c r="G11">
        <f>SUMIF(CEN_Energia!B:B,ResumenRetiros!B11,CEN_Energia!Z:Z)</f>
        <v/>
      </c>
      <c r="H11">
        <f>SUMIF(CEN_EnergiaBT!B:B,ResumenRetiros!B11,CEN_EnergiaBT!K:K)</f>
        <v/>
      </c>
    </row>
    <row r="12">
      <c r="A12" t="n">
        <v>12</v>
      </c>
      <c r="B12" s="4" t="n">
        <v>44562</v>
      </c>
      <c r="C12" t="inlineStr">
        <is>
          <t>FACT_EMITIDA</t>
        </is>
      </c>
      <c r="D12">
        <f>SUMIF(SIGGE_E!B:B,ResumenRetiros!B12,SIGGE_E!S:S)</f>
        <v/>
      </c>
      <c r="E12">
        <f>SUMIF(EFACT_CNE!B:B,ResumenRetiros!B12,EFACT_CNE!S:S)</f>
        <v/>
      </c>
      <c r="F12">
        <f>SUMIF(EfactCNE_BT!B:B,ResumenRetiros!B12,EfactCNE_BT!M:M)</f>
        <v/>
      </c>
      <c r="G12">
        <f>SUMIF(CEN_Energia!B:B,ResumenRetiros!B12,CEN_Energia!Z:Z)</f>
        <v/>
      </c>
      <c r="H12">
        <f>SUMIF(CEN_EnergiaBT!B:B,ResumenRetiros!B12,CEN_EnergiaBT!K:K)</f>
        <v/>
      </c>
    </row>
    <row r="13">
      <c r="A13" t="n">
        <v>13</v>
      </c>
      <c r="B13" s="4" t="n">
        <v>44593</v>
      </c>
      <c r="C13" t="inlineStr">
        <is>
          <t>FACT_EMITIDA</t>
        </is>
      </c>
      <c r="D13">
        <f>SUMIF(SIGGE_E!B:B,ResumenRetiros!B13,SIGGE_E!S:S)</f>
        <v/>
      </c>
      <c r="E13">
        <f>SUMIF(EFACT_CNE!B:B,ResumenRetiros!B13,EFACT_CNE!S:S)</f>
        <v/>
      </c>
      <c r="F13">
        <f>SUMIF(EfactCNE_BT!B:B,ResumenRetiros!B13,EfactCNE_BT!M:M)</f>
        <v/>
      </c>
      <c r="G13">
        <f>SUMIF(CEN_Energia!B:B,ResumenRetiros!B13,CEN_Energia!Z:Z)</f>
        <v/>
      </c>
      <c r="H13">
        <f>SUMIF(CEN_EnergiaBT!B:B,ResumenRetiros!B13,CEN_EnergiaBT!K:K)</f>
        <v/>
      </c>
    </row>
    <row r="14">
      <c r="A14" t="n">
        <v>14</v>
      </c>
      <c r="B14" s="4" t="n">
        <v>44621</v>
      </c>
      <c r="C14" t="inlineStr">
        <is>
          <t>FACT_EMITIDA</t>
        </is>
      </c>
      <c r="D14">
        <f>SUMIF(SIGGE_E!B:B,ResumenRetiros!B14,SIGGE_E!S:S)</f>
        <v/>
      </c>
      <c r="E14">
        <f>SUMIF(EFACT_CNE!B:B,ResumenRetiros!B14,EFACT_CNE!S:S)</f>
        <v/>
      </c>
      <c r="F14">
        <f>SUMIF(EfactCNE_BT!B:B,ResumenRetiros!B14,EfactCNE_BT!M:M)</f>
        <v/>
      </c>
      <c r="G14">
        <f>SUMIF(CEN_Energia!B:B,ResumenRetiros!B14,CEN_Energia!Z:Z)</f>
        <v/>
      </c>
      <c r="H14">
        <f>SUMIF(CEN_EnergiaBT!B:B,ResumenRetiros!B14,CEN_EnergiaBT!K:K)</f>
        <v/>
      </c>
    </row>
    <row r="15">
      <c r="D15">
        <f>SUM(D9:D14)</f>
        <v/>
      </c>
      <c r="E15">
        <f>SUM(E9:E14)</f>
        <v/>
      </c>
      <c r="F15">
        <f>SUM(F9:F14)</f>
        <v/>
      </c>
      <c r="G15">
        <f>SUM(G9:G14)</f>
        <v/>
      </c>
      <c r="H15">
        <f>SUM(H9:H14)</f>
        <v/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BS1B</t>
        </is>
      </c>
      <c r="F2" t="inlineStr">
        <is>
          <t>Licitación Caren y Chilquinta (SIC 2013/03-2) BS1B</t>
        </is>
      </c>
      <c r="G2" t="inlineStr">
        <is>
          <t>2022-02-11 15:49:10</t>
        </is>
      </c>
      <c r="H2" t="n">
        <v>33</v>
      </c>
      <c r="I2" t="n">
        <v>-1</v>
      </c>
      <c r="J2" t="inlineStr">
        <is>
          <t>VENTA PPA ENERGIA</t>
        </is>
      </c>
      <c r="K2" t="n">
        <v>23126</v>
      </c>
      <c r="L2" t="n">
        <v>1237414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BS1B</t>
        </is>
      </c>
      <c r="F3" t="inlineStr">
        <is>
          <t>Licitación Caren y Chilquinta (SIC 2013/03-2) BS1B</t>
        </is>
      </c>
      <c r="G3" t="inlineStr">
        <is>
          <t>2022-03-10 14:08:41</t>
        </is>
      </c>
      <c r="H3" t="n">
        <v>33</v>
      </c>
      <c r="I3" t="n">
        <v>-1</v>
      </c>
      <c r="J3" t="inlineStr">
        <is>
          <t>VENTA PPA ENERGIA</t>
        </is>
      </c>
      <c r="K3" t="n">
        <v>23624</v>
      </c>
      <c r="L3" t="n">
        <v>1139841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BS1B</t>
        </is>
      </c>
      <c r="F4" t="inlineStr">
        <is>
          <t>Licitación Caren y Chilquinta (SIC 2013/03-2) BS1B</t>
        </is>
      </c>
      <c r="G4" t="inlineStr">
        <is>
          <t>2022-04-11 13:17:08</t>
        </is>
      </c>
      <c r="H4" t="n">
        <v>33</v>
      </c>
      <c r="I4" t="n">
        <v>-1</v>
      </c>
      <c r="J4" t="inlineStr">
        <is>
          <t>VENTA PPA ENERGIA</t>
        </is>
      </c>
      <c r="K4" t="n">
        <v>24305</v>
      </c>
      <c r="L4" t="n">
        <v>1236709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BS1B</t>
        </is>
      </c>
      <c r="F5" t="inlineStr">
        <is>
          <t>Licitación Caren y Chilquinta (SIC 2013/03-2) BS1B</t>
        </is>
      </c>
      <c r="G5" t="inlineStr">
        <is>
          <t>2021-11-09 17:10:12</t>
        </is>
      </c>
      <c r="H5" t="n">
        <v>33</v>
      </c>
      <c r="I5" t="n">
        <v>-1</v>
      </c>
      <c r="J5" t="inlineStr">
        <is>
          <t>VENTA PPA ENERGIA</t>
        </is>
      </c>
      <c r="K5" t="n">
        <v>22197</v>
      </c>
      <c r="L5" t="n">
        <v>1257961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BS1B</t>
        </is>
      </c>
      <c r="F6" t="inlineStr">
        <is>
          <t>Licitación Caren y Chilquinta (SIC 2013/03-2) BS1B</t>
        </is>
      </c>
      <c r="G6" t="inlineStr">
        <is>
          <t>2021-12-10 12:22:24</t>
        </is>
      </c>
      <c r="H6" t="n">
        <v>33</v>
      </c>
      <c r="I6" t="n">
        <v>-1</v>
      </c>
      <c r="J6" t="inlineStr">
        <is>
          <t>VENTA PPA ENERGIA</t>
        </is>
      </c>
      <c r="K6" t="n">
        <v>22217</v>
      </c>
      <c r="L6" t="n">
        <v>1267497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BS1B</t>
        </is>
      </c>
      <c r="F7" t="inlineStr">
        <is>
          <t>Licitación Caren y Chilquinta (SIC 2013/03-2) BS1B</t>
        </is>
      </c>
      <c r="G7" t="inlineStr">
        <is>
          <t>2022-01-11 12:08:54</t>
        </is>
      </c>
      <c r="H7" t="n">
        <v>33</v>
      </c>
      <c r="I7" t="n">
        <v>-1</v>
      </c>
      <c r="J7" t="inlineStr">
        <is>
          <t>VENTA PPA ENERGIA</t>
        </is>
      </c>
      <c r="K7" t="n">
        <v>22727</v>
      </c>
      <c r="L7" t="n">
        <v>1347450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Empresa</t>
        </is>
      </c>
      <c r="B1" s="1" t="inlineStr">
        <is>
          <t>MesDevengado</t>
        </is>
      </c>
      <c r="C1" s="1" t="inlineStr">
        <is>
          <t>IdAgrupacion</t>
        </is>
      </c>
      <c r="D1" s="1" t="inlineStr">
        <is>
          <t>NomAgrupacion</t>
        </is>
      </c>
      <c r="E1" s="1" t="inlineStr">
        <is>
          <t>Bloque</t>
        </is>
      </c>
      <c r="F1" s="1" t="inlineStr">
        <is>
          <t>NombreCliente</t>
        </is>
      </c>
      <c r="G1" s="1" t="inlineStr">
        <is>
          <t>FechaDeContabilizacion</t>
        </is>
      </c>
      <c r="H1" s="1" t="inlineStr">
        <is>
          <t>PrefijoFolio</t>
        </is>
      </c>
      <c r="I1" s="1" t="inlineStr">
        <is>
          <t>CuentaDeMayor</t>
        </is>
      </c>
      <c r="J1" s="1" t="inlineStr">
        <is>
          <t>CodigoDeArticulo</t>
        </is>
      </c>
      <c r="K1" s="1" t="inlineStr">
        <is>
          <t>NumDeFolio</t>
        </is>
      </c>
      <c r="L1" s="1" t="inlineStr">
        <is>
          <t>MontoCLP</t>
        </is>
      </c>
    </row>
    <row r="2">
      <c r="A2" t="inlineStr">
        <is>
          <t>CAREN</t>
        </is>
      </c>
      <c r="B2" t="inlineStr">
        <is>
          <t>01-01-2022</t>
        </is>
      </c>
      <c r="C2" t="n">
        <v>6</v>
      </c>
      <c r="D2" t="inlineStr">
        <is>
          <t>CHILQUINTA</t>
        </is>
      </c>
      <c r="E2" t="inlineStr">
        <is>
          <t>BS1B</t>
        </is>
      </c>
      <c r="F2" t="inlineStr">
        <is>
          <t>Licitación Caren y Chilquinta (SIC 2013/03-2) BS1B</t>
        </is>
      </c>
      <c r="G2" t="inlineStr">
        <is>
          <t>2022-02-11 15:49:10</t>
        </is>
      </c>
      <c r="H2" t="n">
        <v>33</v>
      </c>
      <c r="I2" t="n">
        <v>-1</v>
      </c>
      <c r="J2" t="inlineStr">
        <is>
          <t>VENTA PPA POTENCIA</t>
        </is>
      </c>
      <c r="K2" t="n">
        <v>23126</v>
      </c>
      <c r="L2" t="n">
        <v>0</v>
      </c>
    </row>
    <row r="3">
      <c r="A3" t="inlineStr">
        <is>
          <t>CAREN</t>
        </is>
      </c>
      <c r="B3" t="inlineStr">
        <is>
          <t>01-02-2022</t>
        </is>
      </c>
      <c r="C3" t="n">
        <v>6</v>
      </c>
      <c r="D3" t="inlineStr">
        <is>
          <t>CHILQUINTA</t>
        </is>
      </c>
      <c r="E3" t="inlineStr">
        <is>
          <t>BS1B</t>
        </is>
      </c>
      <c r="F3" t="inlineStr">
        <is>
          <t>Licitación Caren y Chilquinta (SIC 2013/03-2) BS1B</t>
        </is>
      </c>
      <c r="G3" t="inlineStr">
        <is>
          <t>2022-03-10 14:08:41</t>
        </is>
      </c>
      <c r="H3" t="n">
        <v>33</v>
      </c>
      <c r="I3" t="n">
        <v>-1</v>
      </c>
      <c r="J3" t="inlineStr">
        <is>
          <t>VENTA PPA POTENCIA</t>
        </is>
      </c>
      <c r="K3" t="n">
        <v>23624</v>
      </c>
      <c r="L3" t="n">
        <v>0</v>
      </c>
    </row>
    <row r="4">
      <c r="A4" t="inlineStr">
        <is>
          <t>CAREN</t>
        </is>
      </c>
      <c r="B4" t="inlineStr">
        <is>
          <t>01-03-2022</t>
        </is>
      </c>
      <c r="C4" t="n">
        <v>6</v>
      </c>
      <c r="D4" t="inlineStr">
        <is>
          <t>CHILQUINTA</t>
        </is>
      </c>
      <c r="E4" t="inlineStr">
        <is>
          <t>BS1B</t>
        </is>
      </c>
      <c r="F4" t="inlineStr">
        <is>
          <t>Licitación Caren y Chilquinta (SIC 2013/03-2) BS1B</t>
        </is>
      </c>
      <c r="G4" t="inlineStr">
        <is>
          <t>2022-04-11 13:17:08</t>
        </is>
      </c>
      <c r="H4" t="n">
        <v>33</v>
      </c>
      <c r="I4" t="n">
        <v>-1</v>
      </c>
      <c r="J4" t="inlineStr">
        <is>
          <t>VENTA PPA POTENCIA</t>
        </is>
      </c>
      <c r="K4" t="n">
        <v>24305</v>
      </c>
      <c r="L4" t="n">
        <v>0</v>
      </c>
    </row>
    <row r="5">
      <c r="A5" t="inlineStr">
        <is>
          <t>CAREN</t>
        </is>
      </c>
      <c r="B5" t="inlineStr">
        <is>
          <t>01-10-2021</t>
        </is>
      </c>
      <c r="C5" t="n">
        <v>6</v>
      </c>
      <c r="D5" t="inlineStr">
        <is>
          <t>CHILQUINTA</t>
        </is>
      </c>
      <c r="E5" t="inlineStr">
        <is>
          <t>BS1B</t>
        </is>
      </c>
      <c r="F5" t="inlineStr">
        <is>
          <t>Licitación Caren y Chilquinta (SIC 2013/03-2) BS1B</t>
        </is>
      </c>
      <c r="G5" t="inlineStr">
        <is>
          <t>2021-11-09 17:10:12</t>
        </is>
      </c>
      <c r="H5" t="n">
        <v>33</v>
      </c>
      <c r="I5" t="n">
        <v>-1</v>
      </c>
      <c r="J5" t="inlineStr">
        <is>
          <t>VENTA PPA POTENCIA</t>
        </is>
      </c>
      <c r="K5" t="n">
        <v>22197</v>
      </c>
      <c r="L5" t="n">
        <v>0</v>
      </c>
    </row>
    <row r="6">
      <c r="A6" t="inlineStr">
        <is>
          <t>CAREN</t>
        </is>
      </c>
      <c r="B6" t="inlineStr">
        <is>
          <t>01-11-2021</t>
        </is>
      </c>
      <c r="C6" t="n">
        <v>6</v>
      </c>
      <c r="D6" t="inlineStr">
        <is>
          <t>CHILQUINTA</t>
        </is>
      </c>
      <c r="E6" t="inlineStr">
        <is>
          <t>BS1B</t>
        </is>
      </c>
      <c r="F6" t="inlineStr">
        <is>
          <t>Licitación Caren y Chilquinta (SIC 2013/03-2) BS1B</t>
        </is>
      </c>
      <c r="G6" t="inlineStr">
        <is>
          <t>2021-12-10 12:22:24</t>
        </is>
      </c>
      <c r="H6" t="n">
        <v>33</v>
      </c>
      <c r="I6" t="n">
        <v>-1</v>
      </c>
      <c r="J6" t="inlineStr">
        <is>
          <t>VENTA PPA POTENCIA</t>
        </is>
      </c>
      <c r="K6" t="n">
        <v>22217</v>
      </c>
      <c r="L6" t="n">
        <v>0</v>
      </c>
    </row>
    <row r="7">
      <c r="A7" t="inlineStr">
        <is>
          <t>CAREN</t>
        </is>
      </c>
      <c r="B7" t="inlineStr">
        <is>
          <t>01-12-2021</t>
        </is>
      </c>
      <c r="C7" t="n">
        <v>6</v>
      </c>
      <c r="D7" t="inlineStr">
        <is>
          <t>CHILQUINTA</t>
        </is>
      </c>
      <c r="E7" t="inlineStr">
        <is>
          <t>BS1B</t>
        </is>
      </c>
      <c r="F7" t="inlineStr">
        <is>
          <t>Licitación Caren y Chilquinta (SIC 2013/03-2) BS1B</t>
        </is>
      </c>
      <c r="G7" t="inlineStr">
        <is>
          <t>2022-01-11 12:08:54</t>
        </is>
      </c>
      <c r="H7" t="n">
        <v>33</v>
      </c>
      <c r="I7" t="n">
        <v>-1</v>
      </c>
      <c r="J7" t="inlineStr">
        <is>
          <t>VENTA PPA POTENCIA</t>
        </is>
      </c>
      <c r="K7" t="n">
        <v>22727</v>
      </c>
      <c r="L7" t="n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17:10:12</t>
        </is>
      </c>
      <c r="H2" t="n">
        <v>33</v>
      </c>
      <c r="I2" t="n">
        <v>22197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17:10:12</t>
        </is>
      </c>
      <c r="H3" t="n">
        <v>33</v>
      </c>
      <c r="I3" t="n">
        <v>22197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1</v>
      </c>
      <c r="R3" t="inlineStr">
        <is>
          <t>A.MELIP 220</t>
        </is>
      </c>
      <c r="S3" t="n">
        <v>2820.249611</v>
      </c>
      <c r="T3" t="n">
        <v>244851</v>
      </c>
      <c r="W3" t="n">
        <v>86.819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17:10:12</t>
        </is>
      </c>
      <c r="H4" t="n">
        <v>33</v>
      </c>
      <c r="I4" t="n">
        <v>22197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2</v>
      </c>
      <c r="R4" t="inlineStr">
        <is>
          <t>L.MAQUIS 220</t>
        </is>
      </c>
      <c r="U4" t="n">
        <v>0</v>
      </c>
      <c r="V4" t="n">
        <v>0</v>
      </c>
      <c r="W4" t="n">
        <v>6112.244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17:10:12</t>
        </is>
      </c>
      <c r="H5" t="n">
        <v>33</v>
      </c>
      <c r="I5" t="n">
        <v>22197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2</v>
      </c>
      <c r="R5" t="inlineStr">
        <is>
          <t>L.MAQUIS 220</t>
        </is>
      </c>
      <c r="S5" t="n">
        <v>3489.618717</v>
      </c>
      <c r="T5" t="n">
        <v>319213</v>
      </c>
      <c r="W5" t="n">
        <v>91.47499999999999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17:10:12</t>
        </is>
      </c>
      <c r="H6" t="n">
        <v>33</v>
      </c>
      <c r="I6" t="n">
        <v>22197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3</v>
      </c>
      <c r="R6" t="inlineStr">
        <is>
          <t>NOGALES 220</t>
        </is>
      </c>
      <c r="U6" t="n">
        <v>0</v>
      </c>
      <c r="V6" t="n">
        <v>0</v>
      </c>
      <c r="W6" t="n">
        <v>5876.883</v>
      </c>
    </row>
    <row r="7">
      <c r="A7" t="inlineStr">
        <is>
          <t>2021-10-01</t>
        </is>
      </c>
      <c r="B7" t="inlineStr">
        <is>
          <t>01-10-2021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oct 2021</t>
        </is>
      </c>
      <c r="G7" t="inlineStr">
        <is>
          <t>2021-11-09 17:10:12</t>
        </is>
      </c>
      <c r="H7" t="n">
        <v>33</v>
      </c>
      <c r="I7" t="n">
        <v>22197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3</v>
      </c>
      <c r="R7" t="inlineStr">
        <is>
          <t>NOGALES 220</t>
        </is>
      </c>
      <c r="S7" t="n">
        <v>4862.274631</v>
      </c>
      <c r="T7" t="n">
        <v>401619</v>
      </c>
      <c r="W7" t="n">
        <v>82.599</v>
      </c>
    </row>
    <row r="8">
      <c r="A8" t="inlineStr">
        <is>
          <t>2021-10-01</t>
        </is>
      </c>
      <c r="B8" t="inlineStr">
        <is>
          <t>01-10-2021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oct 2021</t>
        </is>
      </c>
      <c r="G8" t="inlineStr">
        <is>
          <t>2021-11-09 17:10:12</t>
        </is>
      </c>
      <c r="H8" t="n">
        <v>33</v>
      </c>
      <c r="I8" t="n">
        <v>22197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4</v>
      </c>
      <c r="R8" t="inlineStr">
        <is>
          <t>POLPAICO 220</t>
        </is>
      </c>
      <c r="S8" t="n">
        <v>0</v>
      </c>
      <c r="T8" t="n">
        <v>0</v>
      </c>
      <c r="W8" t="n">
        <v>87.36</v>
      </c>
    </row>
    <row r="9">
      <c r="A9" t="inlineStr">
        <is>
          <t>2021-10-01</t>
        </is>
      </c>
      <c r="B9" t="inlineStr">
        <is>
          <t>01-10-2021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oct 2021</t>
        </is>
      </c>
      <c r="G9" t="inlineStr">
        <is>
          <t>2021-11-09 17:10:12</t>
        </is>
      </c>
      <c r="H9" t="n">
        <v>33</v>
      </c>
      <c r="I9" t="n">
        <v>22197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4</v>
      </c>
      <c r="R9" t="inlineStr">
        <is>
          <t>POLPAICO 220</t>
        </is>
      </c>
      <c r="U9" t="n">
        <v>0</v>
      </c>
      <c r="V9" t="n">
        <v>0</v>
      </c>
      <c r="W9" t="n">
        <v>5958.51</v>
      </c>
    </row>
    <row r="10">
      <c r="A10" t="inlineStr">
        <is>
          <t>2021-10-01</t>
        </is>
      </c>
      <c r="B10" t="inlineStr">
        <is>
          <t>01-10-2021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oct 2021</t>
        </is>
      </c>
      <c r="G10" t="inlineStr">
        <is>
          <t>2021-11-09 17:10:12</t>
        </is>
      </c>
      <c r="H10" t="n">
        <v>33</v>
      </c>
      <c r="I10" t="n">
        <v>22197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5</v>
      </c>
      <c r="R10" t="inlineStr">
        <is>
          <t>QUILLOTA 220</t>
        </is>
      </c>
      <c r="U10" t="n">
        <v>0</v>
      </c>
      <c r="V10" t="n">
        <v>0</v>
      </c>
      <c r="W10" t="n">
        <v>5971.027</v>
      </c>
    </row>
    <row r="11">
      <c r="A11" t="inlineStr">
        <is>
          <t>2021-10-01</t>
        </is>
      </c>
      <c r="B11" t="inlineStr">
        <is>
          <t>01-10-2021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oct 2021</t>
        </is>
      </c>
      <c r="G11" t="inlineStr">
        <is>
          <t>2021-11-09 17:10:12</t>
        </is>
      </c>
      <c r="H11" t="n">
        <v>33</v>
      </c>
      <c r="I11" t="n">
        <v>22197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3294.910236</v>
      </c>
      <c r="T11" t="n">
        <v>292278</v>
      </c>
      <c r="W11" t="n">
        <v>88.706</v>
      </c>
    </row>
    <row r="12">
      <c r="A12" t="inlineStr">
        <is>
          <t>2021-11-01</t>
        </is>
      </c>
      <c r="B12" t="inlineStr">
        <is>
          <t>01-11-2021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nov 2021</t>
        </is>
      </c>
      <c r="G12" t="inlineStr">
        <is>
          <t>2021-12-10 12:22:24</t>
        </is>
      </c>
      <c r="H12" t="n">
        <v>33</v>
      </c>
      <c r="I12" t="n">
        <v>22217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2021-11-01</t>
        </is>
      </c>
      <c r="B13" t="inlineStr">
        <is>
          <t>01-11-2021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nov 2021</t>
        </is>
      </c>
      <c r="G13" t="inlineStr">
        <is>
          <t>2021-12-10 12:22:24</t>
        </is>
      </c>
      <c r="H13" t="n">
        <v>33</v>
      </c>
      <c r="I13" t="n">
        <v>22217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1</v>
      </c>
      <c r="R13" t="inlineStr">
        <is>
          <t>A.MELIP 220</t>
        </is>
      </c>
      <c r="S13" t="n">
        <v>2751.866</v>
      </c>
      <c r="T13" t="n">
        <v>238914</v>
      </c>
      <c r="W13" t="n">
        <v>86.819</v>
      </c>
    </row>
    <row r="14">
      <c r="A14" t="inlineStr">
        <is>
          <t>2021-11-01</t>
        </is>
      </c>
      <c r="B14" t="inlineStr">
        <is>
          <t>01-11-2021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nov 2021</t>
        </is>
      </c>
      <c r="G14" t="inlineStr">
        <is>
          <t>2021-12-10 12:22:24</t>
        </is>
      </c>
      <c r="H14" t="n">
        <v>33</v>
      </c>
      <c r="I14" t="n">
        <v>22217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2</v>
      </c>
      <c r="R14" t="inlineStr">
        <is>
          <t>L.MAQUIS 220</t>
        </is>
      </c>
      <c r="U14" t="n">
        <v>0</v>
      </c>
      <c r="V14" t="n">
        <v>0</v>
      </c>
      <c r="W14" t="n">
        <v>6112.244</v>
      </c>
    </row>
    <row r="15">
      <c r="A15" t="inlineStr">
        <is>
          <t>2021-11-01</t>
        </is>
      </c>
      <c r="B15" t="inlineStr">
        <is>
          <t>01-11-2021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nov 2021</t>
        </is>
      </c>
      <c r="G15" t="inlineStr">
        <is>
          <t>2021-12-10 12:22:24</t>
        </is>
      </c>
      <c r="H15" t="n">
        <v>33</v>
      </c>
      <c r="I15" t="n">
        <v>22217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2</v>
      </c>
      <c r="R15" t="inlineStr">
        <is>
          <t>L.MAQUIS 220</t>
        </is>
      </c>
      <c r="S15" t="n">
        <v>3713.257658</v>
      </c>
      <c r="T15" t="n">
        <v>339670</v>
      </c>
      <c r="W15" t="n">
        <v>91.47499999999999</v>
      </c>
    </row>
    <row r="16">
      <c r="A16" t="inlineStr">
        <is>
          <t>2021-11-01</t>
        </is>
      </c>
      <c r="B16" t="inlineStr">
        <is>
          <t>01-11-2021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nov 2021</t>
        </is>
      </c>
      <c r="G16" t="inlineStr">
        <is>
          <t>2021-12-10 12:22:24</t>
        </is>
      </c>
      <c r="H16" t="n">
        <v>33</v>
      </c>
      <c r="I16" t="n">
        <v>22217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3</v>
      </c>
      <c r="R16" t="inlineStr">
        <is>
          <t>NOGALES 220</t>
        </is>
      </c>
      <c r="U16" t="n">
        <v>0</v>
      </c>
      <c r="V16" t="n">
        <v>0</v>
      </c>
      <c r="W16" t="n">
        <v>5876.883</v>
      </c>
    </row>
    <row r="17">
      <c r="A17" t="inlineStr">
        <is>
          <t>2021-11-01</t>
        </is>
      </c>
      <c r="B17" t="inlineStr">
        <is>
          <t>01-11-2021</t>
        </is>
      </c>
      <c r="C17" t="inlineStr">
        <is>
          <t>Licitación Caren y Chilquinta (SIC 2013/03-2) BS1B</t>
        </is>
      </c>
      <c r="D17" t="inlineStr">
        <is>
          <t>Energia Licitaciones</t>
        </is>
      </c>
      <c r="E17" t="inlineStr">
        <is>
          <t>Energía</t>
        </is>
      </c>
      <c r="F17" t="inlineStr">
        <is>
          <t>Lic. SIC 2013/03-2 bloques BS1B: Energía nov 2021</t>
        </is>
      </c>
      <c r="G17" t="inlineStr">
        <is>
          <t>2021-12-10 12:22:24</t>
        </is>
      </c>
      <c r="H17" t="n">
        <v>33</v>
      </c>
      <c r="I17" t="n">
        <v>22217</v>
      </c>
      <c r="J17" t="inlineStr">
        <is>
          <t>s</t>
        </is>
      </c>
      <c r="K17" t="inlineStr">
        <is>
          <t>s</t>
        </is>
      </c>
      <c r="L17" t="inlineStr">
        <is>
          <t>BS1B</t>
        </is>
      </c>
      <c r="M17" t="inlineStr">
        <is>
          <t>CAREN</t>
        </is>
      </c>
      <c r="N17" t="inlineStr">
        <is>
          <t>Chilquinta</t>
        </is>
      </c>
      <c r="O17" t="inlineStr">
        <is>
          <t>2013/03-2</t>
        </is>
      </c>
      <c r="P17" t="inlineStr">
        <is>
          <t>CHILQUINTA</t>
        </is>
      </c>
      <c r="Q17" t="n">
        <v>3</v>
      </c>
      <c r="R17" t="inlineStr">
        <is>
          <t>NOGALES 220</t>
        </is>
      </c>
      <c r="S17" t="n">
        <v>4810.4941</v>
      </c>
      <c r="T17" t="n">
        <v>397342</v>
      </c>
      <c r="W17" t="n">
        <v>82.599</v>
      </c>
    </row>
    <row r="18">
      <c r="A18" t="inlineStr">
        <is>
          <t>2021-11-01</t>
        </is>
      </c>
      <c r="B18" t="inlineStr">
        <is>
          <t>01-11-2021</t>
        </is>
      </c>
      <c r="C18" t="inlineStr">
        <is>
          <t>Licitación Caren y Chilquinta (SIC 2013/03-2) BS1B</t>
        </is>
      </c>
      <c r="D18" t="inlineStr">
        <is>
          <t>Energia Licitaciones</t>
        </is>
      </c>
      <c r="E18" t="inlineStr">
        <is>
          <t>Energía</t>
        </is>
      </c>
      <c r="F18" t="inlineStr">
        <is>
          <t>Lic. SIC 2013/03-2 bloques BS1B: Energía nov 2021</t>
        </is>
      </c>
      <c r="G18" t="inlineStr">
        <is>
          <t>2021-12-10 12:22:24</t>
        </is>
      </c>
      <c r="H18" t="n">
        <v>33</v>
      </c>
      <c r="I18" t="n">
        <v>22217</v>
      </c>
      <c r="J18" t="inlineStr">
        <is>
          <t>s</t>
        </is>
      </c>
      <c r="K18" t="inlineStr">
        <is>
          <t>s</t>
        </is>
      </c>
      <c r="L18" t="inlineStr">
        <is>
          <t>BS1B</t>
        </is>
      </c>
      <c r="M18" t="inlineStr">
        <is>
          <t>CAREN</t>
        </is>
      </c>
      <c r="N18" t="inlineStr">
        <is>
          <t>Chilquinta</t>
        </is>
      </c>
      <c r="O18" t="inlineStr">
        <is>
          <t>2013/03-2</t>
        </is>
      </c>
      <c r="P18" t="inlineStr">
        <is>
          <t>CHILQUINTA</t>
        </is>
      </c>
      <c r="Q18" t="n">
        <v>4</v>
      </c>
      <c r="R18" t="inlineStr">
        <is>
          <t>POLPAICO 220</t>
        </is>
      </c>
      <c r="S18" t="n">
        <v>0</v>
      </c>
      <c r="T18" t="n">
        <v>0</v>
      </c>
      <c r="W18" t="n">
        <v>87.36</v>
      </c>
    </row>
    <row r="19">
      <c r="A19" t="inlineStr">
        <is>
          <t>2021-11-01</t>
        </is>
      </c>
      <c r="B19" t="inlineStr">
        <is>
          <t>01-11-2021</t>
        </is>
      </c>
      <c r="C19" t="inlineStr">
        <is>
          <t>Licitación Caren y Chilquinta (SIC 2013/03-2) BS1B</t>
        </is>
      </c>
      <c r="D19" t="inlineStr">
        <is>
          <t>Potencia Licitaciones</t>
        </is>
      </c>
      <c r="E19" t="inlineStr">
        <is>
          <t>Potencia</t>
        </is>
      </c>
      <c r="F19" t="inlineStr">
        <is>
          <t>Lic. SIC 2013/03-2 bloques BS1B: Potencia nov 2021</t>
        </is>
      </c>
      <c r="G19" t="inlineStr">
        <is>
          <t>2021-12-10 12:22:24</t>
        </is>
      </c>
      <c r="H19" t="n">
        <v>33</v>
      </c>
      <c r="I19" t="n">
        <v>22217</v>
      </c>
      <c r="J19" t="inlineStr">
        <is>
          <t>s</t>
        </is>
      </c>
      <c r="K19" t="inlineStr">
        <is>
          <t>s</t>
        </is>
      </c>
      <c r="L19" t="inlineStr">
        <is>
          <t>BS1B</t>
        </is>
      </c>
      <c r="M19" t="inlineStr">
        <is>
          <t>CAREN</t>
        </is>
      </c>
      <c r="N19" t="inlineStr">
        <is>
          <t>Chilquinta</t>
        </is>
      </c>
      <c r="O19" t="inlineStr">
        <is>
          <t>2013/03-2</t>
        </is>
      </c>
      <c r="P19" t="inlineStr">
        <is>
          <t>CHILQUINTA</t>
        </is>
      </c>
      <c r="Q19" t="n">
        <v>4</v>
      </c>
      <c r="R19" t="inlineStr">
        <is>
          <t>POLPAICO 220</t>
        </is>
      </c>
      <c r="U19" t="n">
        <v>0</v>
      </c>
      <c r="V19" t="n">
        <v>0</v>
      </c>
      <c r="W19" t="n">
        <v>5958.51</v>
      </c>
    </row>
    <row r="20">
      <c r="A20" t="inlineStr">
        <is>
          <t>2021-11-01</t>
        </is>
      </c>
      <c r="B20" t="inlineStr">
        <is>
          <t>01-11-2021</t>
        </is>
      </c>
      <c r="C20" t="inlineStr">
        <is>
          <t>Licitación Caren y Chilquinta (SIC 2013/03-2) BS1B</t>
        </is>
      </c>
      <c r="D20" t="inlineStr">
        <is>
          <t>Potencia Licitaciones</t>
        </is>
      </c>
      <c r="E20" t="inlineStr">
        <is>
          <t>Potencia</t>
        </is>
      </c>
      <c r="F20" t="inlineStr">
        <is>
          <t>Lic. SIC 2013/03-2 bloques BS1B: Potencia nov 2021</t>
        </is>
      </c>
      <c r="G20" t="inlineStr">
        <is>
          <t>2021-12-10 12:22:24</t>
        </is>
      </c>
      <c r="H20" t="n">
        <v>33</v>
      </c>
      <c r="I20" t="n">
        <v>22217</v>
      </c>
      <c r="J20" t="inlineStr">
        <is>
          <t>s</t>
        </is>
      </c>
      <c r="K20" t="inlineStr">
        <is>
          <t>s</t>
        </is>
      </c>
      <c r="L20" t="inlineStr">
        <is>
          <t>BS1B</t>
        </is>
      </c>
      <c r="M20" t="inlineStr">
        <is>
          <t>CAREN</t>
        </is>
      </c>
      <c r="N20" t="inlineStr">
        <is>
          <t>Chilquinta</t>
        </is>
      </c>
      <c r="O20" t="inlineStr">
        <is>
          <t>2013/03-2</t>
        </is>
      </c>
      <c r="P20" t="inlineStr">
        <is>
          <t>CHILQUINTA</t>
        </is>
      </c>
      <c r="Q20" t="n">
        <v>5</v>
      </c>
      <c r="R20" t="inlineStr">
        <is>
          <t>QUILLOTA 220</t>
        </is>
      </c>
      <c r="U20" t="n">
        <v>0</v>
      </c>
      <c r="V20" t="n">
        <v>0</v>
      </c>
      <c r="W20" t="n">
        <v>5971.027</v>
      </c>
    </row>
    <row r="21">
      <c r="A21" t="inlineStr">
        <is>
          <t>2021-11-01</t>
        </is>
      </c>
      <c r="B21" t="inlineStr">
        <is>
          <t>01-11-2021</t>
        </is>
      </c>
      <c r="C21" t="inlineStr">
        <is>
          <t>Licitación Caren y Chilquinta (SIC 2013/03-2) BS1B</t>
        </is>
      </c>
      <c r="D21" t="inlineStr">
        <is>
          <t>Energia Licitaciones</t>
        </is>
      </c>
      <c r="E21" t="inlineStr">
        <is>
          <t>Energía</t>
        </is>
      </c>
      <c r="F21" t="inlineStr">
        <is>
          <t>Lic. SIC 2013/03-2 bloques BS1B: Energía nov 2021</t>
        </is>
      </c>
      <c r="G21" t="inlineStr">
        <is>
          <t>2021-12-10 12:22:24</t>
        </is>
      </c>
      <c r="H21" t="n">
        <v>33</v>
      </c>
      <c r="I21" t="n">
        <v>22217</v>
      </c>
      <c r="J21" t="inlineStr">
        <is>
          <t>s</t>
        </is>
      </c>
      <c r="K21" t="inlineStr">
        <is>
          <t>s</t>
        </is>
      </c>
      <c r="L21" t="inlineStr">
        <is>
          <t>BS1B</t>
        </is>
      </c>
      <c r="M21" t="inlineStr">
        <is>
          <t>CAREN</t>
        </is>
      </c>
      <c r="N21" t="inlineStr">
        <is>
          <t>Chilquinta</t>
        </is>
      </c>
      <c r="O21" t="inlineStr">
        <is>
          <t>2013/03-2</t>
        </is>
      </c>
      <c r="P21" t="inlineStr">
        <is>
          <t>CHILQUINTA</t>
        </is>
      </c>
      <c r="Q21" t="n">
        <v>5</v>
      </c>
      <c r="R21" t="inlineStr">
        <is>
          <t>QUILLOTA 220</t>
        </is>
      </c>
      <c r="S21" t="n">
        <v>3286.940393</v>
      </c>
      <c r="T21" t="n">
        <v>291571</v>
      </c>
      <c r="W21" t="n">
        <v>88.706</v>
      </c>
    </row>
    <row r="22">
      <c r="A22" t="inlineStr">
        <is>
          <t>2021-12-01</t>
        </is>
      </c>
      <c r="B22" t="inlineStr">
        <is>
          <t>01-12-2021</t>
        </is>
      </c>
      <c r="C22" t="inlineStr">
        <is>
          <t>Licitación Caren y Chilquinta (SIC 2013/03-2) BS1B</t>
        </is>
      </c>
      <c r="D22" t="inlineStr">
        <is>
          <t>Potencia Licitaciones</t>
        </is>
      </c>
      <c r="E22" t="inlineStr">
        <is>
          <t>Potencia</t>
        </is>
      </c>
      <c r="F22" t="inlineStr">
        <is>
          <t>Lic. SIC 2013/03-2 bloques BS1B: Potencia dic 2021</t>
        </is>
      </c>
      <c r="G22" t="inlineStr">
        <is>
          <t>2022-01-11 12:08:54</t>
        </is>
      </c>
      <c r="H22" t="n">
        <v>33</v>
      </c>
      <c r="I22" t="n">
        <v>22727</v>
      </c>
      <c r="J22" t="inlineStr">
        <is>
          <t>s</t>
        </is>
      </c>
      <c r="K22" t="inlineStr">
        <is>
          <t>s</t>
        </is>
      </c>
      <c r="L22" t="inlineStr">
        <is>
          <t>BS1B</t>
        </is>
      </c>
      <c r="M22" t="inlineStr">
        <is>
          <t>CAREN</t>
        </is>
      </c>
      <c r="N22" t="inlineStr">
        <is>
          <t>Chilquinta</t>
        </is>
      </c>
      <c r="O22" t="inlineStr">
        <is>
          <t>2013/03-2</t>
        </is>
      </c>
      <c r="P22" t="inlineStr">
        <is>
          <t>CHILQUINTA</t>
        </is>
      </c>
      <c r="Q22" t="n">
        <v>1</v>
      </c>
      <c r="R22" t="inlineStr">
        <is>
          <t>A.MELIP 220</t>
        </is>
      </c>
      <c r="U22" t="n">
        <v>0</v>
      </c>
      <c r="V22" t="n">
        <v>0</v>
      </c>
      <c r="W22" t="n">
        <v>6007.374</v>
      </c>
    </row>
    <row r="23">
      <c r="A23" t="inlineStr">
        <is>
          <t>2021-12-01</t>
        </is>
      </c>
      <c r="B23" t="inlineStr">
        <is>
          <t>01-12-2021</t>
        </is>
      </c>
      <c r="C23" t="inlineStr">
        <is>
          <t>Licitación Caren y Chilquinta (SIC 2013/03-2) BS1B</t>
        </is>
      </c>
      <c r="D23" t="inlineStr">
        <is>
          <t>Energia Licitaciones</t>
        </is>
      </c>
      <c r="E23" t="inlineStr">
        <is>
          <t>Energía</t>
        </is>
      </c>
      <c r="F23" t="inlineStr">
        <is>
          <t>Lic. SIC 2013/03-2 bloques BS1B: Energía dic 2021</t>
        </is>
      </c>
      <c r="G23" t="inlineStr">
        <is>
          <t>2022-01-11 12:08:54</t>
        </is>
      </c>
      <c r="H23" t="n">
        <v>33</v>
      </c>
      <c r="I23" t="n">
        <v>22727</v>
      </c>
      <c r="J23" t="inlineStr">
        <is>
          <t>s</t>
        </is>
      </c>
      <c r="K23" t="inlineStr">
        <is>
          <t>s</t>
        </is>
      </c>
      <c r="L23" t="inlineStr">
        <is>
          <t>BS1B</t>
        </is>
      </c>
      <c r="M23" t="inlineStr">
        <is>
          <t>CAREN</t>
        </is>
      </c>
      <c r="N23" t="inlineStr">
        <is>
          <t>Chilquinta</t>
        </is>
      </c>
      <c r="O23" t="inlineStr">
        <is>
          <t>2013/03-2</t>
        </is>
      </c>
      <c r="P23" t="inlineStr">
        <is>
          <t>CHILQUINTA</t>
        </is>
      </c>
      <c r="Q23" t="n">
        <v>1</v>
      </c>
      <c r="R23" t="inlineStr">
        <is>
          <t>A.MELIP 220</t>
        </is>
      </c>
      <c r="S23" t="n">
        <v>2851.304106</v>
      </c>
      <c r="T23" t="n">
        <v>247547</v>
      </c>
      <c r="W23" t="n">
        <v>86.819</v>
      </c>
    </row>
    <row r="24">
      <c r="A24" t="inlineStr">
        <is>
          <t>2021-12-01</t>
        </is>
      </c>
      <c r="B24" t="inlineStr">
        <is>
          <t>01-12-2021</t>
        </is>
      </c>
      <c r="C24" t="inlineStr">
        <is>
          <t>Licitación Caren y Chilquinta (SIC 2013/03-2) BS1B</t>
        </is>
      </c>
      <c r="D24" t="inlineStr">
        <is>
          <t>Potencia Licitaciones</t>
        </is>
      </c>
      <c r="E24" t="inlineStr">
        <is>
          <t>Potencia</t>
        </is>
      </c>
      <c r="F24" t="inlineStr">
        <is>
          <t>Lic. SIC 2013/03-2 bloques BS1B: Potencia dic 2021</t>
        </is>
      </c>
      <c r="G24" t="inlineStr">
        <is>
          <t>2022-01-11 12:08:54</t>
        </is>
      </c>
      <c r="H24" t="n">
        <v>33</v>
      </c>
      <c r="I24" t="n">
        <v>22727</v>
      </c>
      <c r="J24" t="inlineStr">
        <is>
          <t>s</t>
        </is>
      </c>
      <c r="K24" t="inlineStr">
        <is>
          <t>s</t>
        </is>
      </c>
      <c r="L24" t="inlineStr">
        <is>
          <t>BS1B</t>
        </is>
      </c>
      <c r="M24" t="inlineStr">
        <is>
          <t>CAREN</t>
        </is>
      </c>
      <c r="N24" t="inlineStr">
        <is>
          <t>Chilquinta</t>
        </is>
      </c>
      <c r="O24" t="inlineStr">
        <is>
          <t>2013/03-2</t>
        </is>
      </c>
      <c r="P24" t="inlineStr">
        <is>
          <t>CHILQUINTA</t>
        </is>
      </c>
      <c r="Q24" t="n">
        <v>2</v>
      </c>
      <c r="R24" t="inlineStr">
        <is>
          <t>L.MAQUIS 220</t>
        </is>
      </c>
      <c r="U24" t="n">
        <v>0</v>
      </c>
      <c r="V24" t="n">
        <v>0</v>
      </c>
      <c r="W24" t="n">
        <v>6112.244</v>
      </c>
    </row>
    <row r="25">
      <c r="A25" t="inlineStr">
        <is>
          <t>2021-12-01</t>
        </is>
      </c>
      <c r="B25" t="inlineStr">
        <is>
          <t>01-12-2021</t>
        </is>
      </c>
      <c r="C25" t="inlineStr">
        <is>
          <t>Licitación Caren y Chilquinta (SIC 2013/03-2) BS1B</t>
        </is>
      </c>
      <c r="D25" t="inlineStr">
        <is>
          <t>Energia Licitaciones</t>
        </is>
      </c>
      <c r="E25" t="inlineStr">
        <is>
          <t>Energía</t>
        </is>
      </c>
      <c r="F25" t="inlineStr">
        <is>
          <t>Lic. SIC 2013/03-2 bloques BS1B: Energía dic 2021</t>
        </is>
      </c>
      <c r="G25" t="inlineStr">
        <is>
          <t>2022-01-11 12:08:54</t>
        </is>
      </c>
      <c r="H25" t="n">
        <v>33</v>
      </c>
      <c r="I25" t="n">
        <v>22727</v>
      </c>
      <c r="J25" t="inlineStr">
        <is>
          <t>s</t>
        </is>
      </c>
      <c r="K25" t="inlineStr">
        <is>
          <t>s</t>
        </is>
      </c>
      <c r="L25" t="inlineStr">
        <is>
          <t>BS1B</t>
        </is>
      </c>
      <c r="M25" t="inlineStr">
        <is>
          <t>CAREN</t>
        </is>
      </c>
      <c r="N25" t="inlineStr">
        <is>
          <t>Chilquinta</t>
        </is>
      </c>
      <c r="O25" t="inlineStr">
        <is>
          <t>2013/03-2</t>
        </is>
      </c>
      <c r="P25" t="inlineStr">
        <is>
          <t>CHILQUINTA</t>
        </is>
      </c>
      <c r="Q25" t="n">
        <v>2</v>
      </c>
      <c r="R25" t="inlineStr">
        <is>
          <t>L.MAQUIS 220</t>
        </is>
      </c>
      <c r="S25" t="n">
        <v>4088.934727</v>
      </c>
      <c r="T25" t="n">
        <v>374035</v>
      </c>
      <c r="W25" t="n">
        <v>91.47499999999999</v>
      </c>
    </row>
    <row r="26">
      <c r="A26" t="inlineStr">
        <is>
          <t>2021-12-01</t>
        </is>
      </c>
      <c r="B26" t="inlineStr">
        <is>
          <t>01-12-2021</t>
        </is>
      </c>
      <c r="C26" t="inlineStr">
        <is>
          <t>Licitación Caren y Chilquinta (SIC 2013/03-2) BS1B</t>
        </is>
      </c>
      <c r="D26" t="inlineStr">
        <is>
          <t>Potencia Licitaciones</t>
        </is>
      </c>
      <c r="E26" t="inlineStr">
        <is>
          <t>Potencia</t>
        </is>
      </c>
      <c r="F26" t="inlineStr">
        <is>
          <t>Lic. SIC 2013/03-2 bloques BS1B: Potencia dic 2021</t>
        </is>
      </c>
      <c r="G26" t="inlineStr">
        <is>
          <t>2022-01-11 12:08:54</t>
        </is>
      </c>
      <c r="H26" t="n">
        <v>33</v>
      </c>
      <c r="I26" t="n">
        <v>22727</v>
      </c>
      <c r="J26" t="inlineStr">
        <is>
          <t>s</t>
        </is>
      </c>
      <c r="K26" t="inlineStr">
        <is>
          <t>s</t>
        </is>
      </c>
      <c r="L26" t="inlineStr">
        <is>
          <t>BS1B</t>
        </is>
      </c>
      <c r="M26" t="inlineStr">
        <is>
          <t>CAREN</t>
        </is>
      </c>
      <c r="N26" t="inlineStr">
        <is>
          <t>Chilquinta</t>
        </is>
      </c>
      <c r="O26" t="inlineStr">
        <is>
          <t>2013/03-2</t>
        </is>
      </c>
      <c r="P26" t="inlineStr">
        <is>
          <t>CHILQUINTA</t>
        </is>
      </c>
      <c r="Q26" t="n">
        <v>3</v>
      </c>
      <c r="R26" t="inlineStr">
        <is>
          <t>NOGALES 220</t>
        </is>
      </c>
      <c r="U26" t="n">
        <v>0</v>
      </c>
      <c r="V26" t="n">
        <v>0</v>
      </c>
      <c r="W26" t="n">
        <v>5876.883</v>
      </c>
    </row>
    <row r="27">
      <c r="A27" t="inlineStr">
        <is>
          <t>2021-12-01</t>
        </is>
      </c>
      <c r="B27" t="inlineStr">
        <is>
          <t>01-12-2021</t>
        </is>
      </c>
      <c r="C27" t="inlineStr">
        <is>
          <t>Licitación Caren y Chilquinta (SIC 2013/03-2) BS1B</t>
        </is>
      </c>
      <c r="D27" t="inlineStr">
        <is>
          <t>Energia Licitaciones</t>
        </is>
      </c>
      <c r="E27" t="inlineStr">
        <is>
          <t>Energía</t>
        </is>
      </c>
      <c r="F27" t="inlineStr">
        <is>
          <t>Lic. SIC 2013/03-2 bloques BS1B: Energía dic 2021</t>
        </is>
      </c>
      <c r="G27" t="inlineStr">
        <is>
          <t>2022-01-11 12:08:54</t>
        </is>
      </c>
      <c r="H27" t="n">
        <v>33</v>
      </c>
      <c r="I27" t="n">
        <v>22727</v>
      </c>
      <c r="J27" t="inlineStr">
        <is>
          <t>s</t>
        </is>
      </c>
      <c r="K27" t="inlineStr">
        <is>
          <t>s</t>
        </is>
      </c>
      <c r="L27" t="inlineStr">
        <is>
          <t>BS1B</t>
        </is>
      </c>
      <c r="M27" t="inlineStr">
        <is>
          <t>CAREN</t>
        </is>
      </c>
      <c r="N27" t="inlineStr">
        <is>
          <t>Chilquinta</t>
        </is>
      </c>
      <c r="O27" t="inlineStr">
        <is>
          <t>2013/03-2</t>
        </is>
      </c>
      <c r="P27" t="inlineStr">
        <is>
          <t>CHILQUINTA</t>
        </is>
      </c>
      <c r="Q27" t="n">
        <v>3</v>
      </c>
      <c r="R27" t="inlineStr">
        <is>
          <t>NOGALES 220</t>
        </is>
      </c>
      <c r="S27" t="n">
        <v>5056.319155</v>
      </c>
      <c r="T27" t="n">
        <v>417647</v>
      </c>
      <c r="W27" t="n">
        <v>82.599</v>
      </c>
    </row>
    <row r="28">
      <c r="A28" t="inlineStr">
        <is>
          <t>2021-12-01</t>
        </is>
      </c>
      <c r="B28" t="inlineStr">
        <is>
          <t>01-12-2021</t>
        </is>
      </c>
      <c r="C28" t="inlineStr">
        <is>
          <t>Licitación Caren y Chilquinta (SIC 2013/03-2) BS1B</t>
        </is>
      </c>
      <c r="D28" t="inlineStr">
        <is>
          <t>Energia Licitaciones</t>
        </is>
      </c>
      <c r="E28" t="inlineStr">
        <is>
          <t>Energía</t>
        </is>
      </c>
      <c r="F28" t="inlineStr">
        <is>
          <t>Lic. SIC 2013/03-2 bloques BS1B: Energía dic 2021</t>
        </is>
      </c>
      <c r="G28" t="inlineStr">
        <is>
          <t>2022-01-11 12:08:54</t>
        </is>
      </c>
      <c r="H28" t="n">
        <v>33</v>
      </c>
      <c r="I28" t="n">
        <v>22727</v>
      </c>
      <c r="J28" t="inlineStr">
        <is>
          <t>s</t>
        </is>
      </c>
      <c r="K28" t="inlineStr">
        <is>
          <t>s</t>
        </is>
      </c>
      <c r="L28" t="inlineStr">
        <is>
          <t>BS1B</t>
        </is>
      </c>
      <c r="M28" t="inlineStr">
        <is>
          <t>CAREN</t>
        </is>
      </c>
      <c r="N28" t="inlineStr">
        <is>
          <t>Chilquinta</t>
        </is>
      </c>
      <c r="O28" t="inlineStr">
        <is>
          <t>2013/03-2</t>
        </is>
      </c>
      <c r="P28" t="inlineStr">
        <is>
          <t>CHILQUINTA</t>
        </is>
      </c>
      <c r="Q28" t="n">
        <v>4</v>
      </c>
      <c r="R28" t="inlineStr">
        <is>
          <t>POLPAICO 220</t>
        </is>
      </c>
      <c r="S28" t="n">
        <v>0</v>
      </c>
      <c r="T28" t="n">
        <v>0</v>
      </c>
      <c r="W28" t="n">
        <v>87.36</v>
      </c>
    </row>
    <row r="29">
      <c r="A29" t="inlineStr">
        <is>
          <t>2021-12-01</t>
        </is>
      </c>
      <c r="B29" t="inlineStr">
        <is>
          <t>01-12-2021</t>
        </is>
      </c>
      <c r="C29" t="inlineStr">
        <is>
          <t>Licitación Caren y Chilquinta (SIC 2013/03-2) BS1B</t>
        </is>
      </c>
      <c r="D29" t="inlineStr">
        <is>
          <t>Potencia Licitaciones</t>
        </is>
      </c>
      <c r="E29" t="inlineStr">
        <is>
          <t>Potencia</t>
        </is>
      </c>
      <c r="F29" t="inlineStr">
        <is>
          <t>Lic. SIC 2013/03-2 bloques BS1B: Potencia dic 2021</t>
        </is>
      </c>
      <c r="G29" t="inlineStr">
        <is>
          <t>2022-01-11 12:08:54</t>
        </is>
      </c>
      <c r="H29" t="n">
        <v>33</v>
      </c>
      <c r="I29" t="n">
        <v>22727</v>
      </c>
      <c r="J29" t="inlineStr">
        <is>
          <t>s</t>
        </is>
      </c>
      <c r="K29" t="inlineStr">
        <is>
          <t>s</t>
        </is>
      </c>
      <c r="L29" t="inlineStr">
        <is>
          <t>BS1B</t>
        </is>
      </c>
      <c r="M29" t="inlineStr">
        <is>
          <t>CAREN</t>
        </is>
      </c>
      <c r="N29" t="inlineStr">
        <is>
          <t>Chilquinta</t>
        </is>
      </c>
      <c r="O29" t="inlineStr">
        <is>
          <t>2013/03-2</t>
        </is>
      </c>
      <c r="P29" t="inlineStr">
        <is>
          <t>CHILQUINTA</t>
        </is>
      </c>
      <c r="Q29" t="n">
        <v>4</v>
      </c>
      <c r="R29" t="inlineStr">
        <is>
          <t>POLPAICO 220</t>
        </is>
      </c>
      <c r="U29" t="n">
        <v>0</v>
      </c>
      <c r="V29" t="n">
        <v>0</v>
      </c>
      <c r="W29" t="n">
        <v>5958.51</v>
      </c>
    </row>
    <row r="30">
      <c r="A30" t="inlineStr">
        <is>
          <t>2021-12-01</t>
        </is>
      </c>
      <c r="B30" t="inlineStr">
        <is>
          <t>01-12-2021</t>
        </is>
      </c>
      <c r="C30" t="inlineStr">
        <is>
          <t>Licitación Caren y Chilquinta (SIC 2013/03-2) BS1B</t>
        </is>
      </c>
      <c r="D30" t="inlineStr">
        <is>
          <t>Potencia Licitaciones</t>
        </is>
      </c>
      <c r="E30" t="inlineStr">
        <is>
          <t>Potencia</t>
        </is>
      </c>
      <c r="F30" t="inlineStr">
        <is>
          <t>Lic. SIC 2013/03-2 bloques BS1B: Potencia dic 2021</t>
        </is>
      </c>
      <c r="G30" t="inlineStr">
        <is>
          <t>2022-01-11 12:08:54</t>
        </is>
      </c>
      <c r="H30" t="n">
        <v>33</v>
      </c>
      <c r="I30" t="n">
        <v>22727</v>
      </c>
      <c r="J30" t="inlineStr">
        <is>
          <t>s</t>
        </is>
      </c>
      <c r="K30" t="inlineStr">
        <is>
          <t>s</t>
        </is>
      </c>
      <c r="L30" t="inlineStr">
        <is>
          <t>BS1B</t>
        </is>
      </c>
      <c r="M30" t="inlineStr">
        <is>
          <t>CAREN</t>
        </is>
      </c>
      <c r="N30" t="inlineStr">
        <is>
          <t>Chilquinta</t>
        </is>
      </c>
      <c r="O30" t="inlineStr">
        <is>
          <t>2013/03-2</t>
        </is>
      </c>
      <c r="P30" t="inlineStr">
        <is>
          <t>CHILQUINTA</t>
        </is>
      </c>
      <c r="Q30" t="n">
        <v>5</v>
      </c>
      <c r="R30" t="inlineStr">
        <is>
          <t>QUILLOTA 220</t>
        </is>
      </c>
      <c r="U30" t="n">
        <v>0</v>
      </c>
      <c r="V30" t="n">
        <v>0</v>
      </c>
      <c r="W30" t="n">
        <v>5971.027</v>
      </c>
    </row>
    <row r="31">
      <c r="A31" t="inlineStr">
        <is>
          <t>2021-12-01</t>
        </is>
      </c>
      <c r="B31" t="inlineStr">
        <is>
          <t>01-12-2021</t>
        </is>
      </c>
      <c r="C31" t="inlineStr">
        <is>
          <t>Licitación Caren y Chilquinta (SIC 2013/03-2) BS1B</t>
        </is>
      </c>
      <c r="D31" t="inlineStr">
        <is>
          <t>Energia Licitaciones</t>
        </is>
      </c>
      <c r="E31" t="inlineStr">
        <is>
          <t>Energía</t>
        </is>
      </c>
      <c r="F31" t="inlineStr">
        <is>
          <t>Lic. SIC 2013/03-2 bloques BS1B: Energía dic 2021</t>
        </is>
      </c>
      <c r="G31" t="inlineStr">
        <is>
          <t>2022-01-11 12:08:54</t>
        </is>
      </c>
      <c r="H31" t="n">
        <v>33</v>
      </c>
      <c r="I31" t="n">
        <v>22727</v>
      </c>
      <c r="J31" t="inlineStr">
        <is>
          <t>s</t>
        </is>
      </c>
      <c r="K31" t="inlineStr">
        <is>
          <t>s</t>
        </is>
      </c>
      <c r="L31" t="inlineStr">
        <is>
          <t>BS1B</t>
        </is>
      </c>
      <c r="M31" t="inlineStr">
        <is>
          <t>CAREN</t>
        </is>
      </c>
      <c r="N31" t="inlineStr">
        <is>
          <t>Chilquinta</t>
        </is>
      </c>
      <c r="O31" t="inlineStr">
        <is>
          <t>2013/03-2</t>
        </is>
      </c>
      <c r="P31" t="inlineStr">
        <is>
          <t>CHILQUINTA</t>
        </is>
      </c>
      <c r="Q31" t="n">
        <v>5</v>
      </c>
      <c r="R31" t="inlineStr">
        <is>
          <t>QUILLOTA 220</t>
        </is>
      </c>
      <c r="S31" t="n">
        <v>3474.631193</v>
      </c>
      <c r="T31" t="n">
        <v>308221</v>
      </c>
      <c r="W31" t="n">
        <v>88.706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BS1B</t>
        </is>
      </c>
      <c r="D2" t="inlineStr">
        <is>
          <t>Energia Licitaciones</t>
        </is>
      </c>
      <c r="E2" t="inlineStr">
        <is>
          <t>Energía</t>
        </is>
      </c>
      <c r="F2" t="inlineStr">
        <is>
          <t>Lic. SIC 2013/03-2 bloques BS1B: Energía oct 2021</t>
        </is>
      </c>
      <c r="G2" t="inlineStr">
        <is>
          <t>2021-11-09 17:10:12</t>
        </is>
      </c>
      <c r="H2" t="n">
        <v>33</v>
      </c>
      <c r="I2" t="n">
        <v>22197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S2" t="n">
        <v>2820.249611</v>
      </c>
      <c r="T2" t="n">
        <v>244851</v>
      </c>
      <c r="W2" t="n">
        <v>86.819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BS1B</t>
        </is>
      </c>
      <c r="D3" t="inlineStr">
        <is>
          <t>Energia Licitaciones</t>
        </is>
      </c>
      <c r="E3" t="inlineStr">
        <is>
          <t>Energía</t>
        </is>
      </c>
      <c r="F3" t="inlineStr">
        <is>
          <t>Lic. SIC 2013/03-2 bloques BS1B: Energía oct 2021</t>
        </is>
      </c>
      <c r="G3" t="inlineStr">
        <is>
          <t>2021-11-09 17:10:12</t>
        </is>
      </c>
      <c r="H3" t="n">
        <v>33</v>
      </c>
      <c r="I3" t="n">
        <v>22197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S3" t="n">
        <v>3489.618717</v>
      </c>
      <c r="T3" t="n">
        <v>319213</v>
      </c>
      <c r="W3" t="n">
        <v>91.47499999999999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BS1B</t>
        </is>
      </c>
      <c r="D4" t="inlineStr">
        <is>
          <t>Energia Licitaciones</t>
        </is>
      </c>
      <c r="E4" t="inlineStr">
        <is>
          <t>Energía</t>
        </is>
      </c>
      <c r="F4" t="inlineStr">
        <is>
          <t>Lic. SIC 2013/03-2 bloques BS1B: Energía oct 2021</t>
        </is>
      </c>
      <c r="G4" t="inlineStr">
        <is>
          <t>2021-11-09 17:10:12</t>
        </is>
      </c>
      <c r="H4" t="n">
        <v>33</v>
      </c>
      <c r="I4" t="n">
        <v>22197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S4" t="n">
        <v>4862.274631</v>
      </c>
      <c r="T4" t="n">
        <v>401619</v>
      </c>
      <c r="W4" t="n">
        <v>82.599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BS1B</t>
        </is>
      </c>
      <c r="D5" t="inlineStr">
        <is>
          <t>Energia Licitaciones</t>
        </is>
      </c>
      <c r="E5" t="inlineStr">
        <is>
          <t>Energía</t>
        </is>
      </c>
      <c r="F5" t="inlineStr">
        <is>
          <t>Lic. SIC 2013/03-2 bloques BS1B: Energía oct 2021</t>
        </is>
      </c>
      <c r="G5" t="inlineStr">
        <is>
          <t>2021-11-09 17:10:12</t>
        </is>
      </c>
      <c r="H5" t="n">
        <v>33</v>
      </c>
      <c r="I5" t="n">
        <v>22197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S5" t="n">
        <v>0</v>
      </c>
      <c r="T5" t="n">
        <v>0</v>
      </c>
      <c r="W5" t="n">
        <v>87.36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BS1B</t>
        </is>
      </c>
      <c r="D6" t="inlineStr">
        <is>
          <t>Energia Licitaciones</t>
        </is>
      </c>
      <c r="E6" t="inlineStr">
        <is>
          <t>Energía</t>
        </is>
      </c>
      <c r="F6" t="inlineStr">
        <is>
          <t>Lic. SIC 2013/03-2 bloques BS1B: Energía oct 2021</t>
        </is>
      </c>
      <c r="G6" t="inlineStr">
        <is>
          <t>2021-11-09 17:10:12</t>
        </is>
      </c>
      <c r="H6" t="n">
        <v>33</v>
      </c>
      <c r="I6" t="n">
        <v>22197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S6" t="n">
        <v>3294.910236</v>
      </c>
      <c r="T6" t="n">
        <v>292278</v>
      </c>
      <c r="W6" t="n">
        <v>88.706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BS1B</t>
        </is>
      </c>
      <c r="D7" t="inlineStr">
        <is>
          <t>Energia Licitaciones</t>
        </is>
      </c>
      <c r="E7" t="inlineStr">
        <is>
          <t>Energía</t>
        </is>
      </c>
      <c r="F7" t="inlineStr">
        <is>
          <t>Lic. SIC 2013/03-2 bloques BS1B: Energía nov 2021</t>
        </is>
      </c>
      <c r="G7" t="inlineStr">
        <is>
          <t>2021-12-10 12:22:24</t>
        </is>
      </c>
      <c r="H7" t="n">
        <v>33</v>
      </c>
      <c r="I7" t="n">
        <v>22217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S7" t="n">
        <v>2751.866</v>
      </c>
      <c r="T7" t="n">
        <v>238914</v>
      </c>
      <c r="W7" t="n">
        <v>86.819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BS1B</t>
        </is>
      </c>
      <c r="D8" t="inlineStr">
        <is>
          <t>Energia Licitaciones</t>
        </is>
      </c>
      <c r="E8" t="inlineStr">
        <is>
          <t>Energía</t>
        </is>
      </c>
      <c r="F8" t="inlineStr">
        <is>
          <t>Lic. SIC 2013/03-2 bloques BS1B: Energía nov 2021</t>
        </is>
      </c>
      <c r="G8" t="inlineStr">
        <is>
          <t>2021-12-10 12:22:24</t>
        </is>
      </c>
      <c r="H8" t="n">
        <v>33</v>
      </c>
      <c r="I8" t="n">
        <v>22217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S8" t="n">
        <v>3713.257658</v>
      </c>
      <c r="T8" t="n">
        <v>339670</v>
      </c>
      <c r="W8" t="n">
        <v>91.47499999999999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BS1B</t>
        </is>
      </c>
      <c r="D9" t="inlineStr">
        <is>
          <t>Energia Licitaciones</t>
        </is>
      </c>
      <c r="E9" t="inlineStr">
        <is>
          <t>Energía</t>
        </is>
      </c>
      <c r="F9" t="inlineStr">
        <is>
          <t>Lic. SIC 2013/03-2 bloques BS1B: Energía nov 2021</t>
        </is>
      </c>
      <c r="G9" t="inlineStr">
        <is>
          <t>2021-12-10 12:22:24</t>
        </is>
      </c>
      <c r="H9" t="n">
        <v>33</v>
      </c>
      <c r="I9" t="n">
        <v>22217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S9" t="n">
        <v>4810.4941</v>
      </c>
      <c r="T9" t="n">
        <v>397342</v>
      </c>
      <c r="W9" t="n">
        <v>82.599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BS1B</t>
        </is>
      </c>
      <c r="D10" t="inlineStr">
        <is>
          <t>Energia Licitaciones</t>
        </is>
      </c>
      <c r="E10" t="inlineStr">
        <is>
          <t>Energía</t>
        </is>
      </c>
      <c r="F10" t="inlineStr">
        <is>
          <t>Lic. SIC 2013/03-2 bloques BS1B: Energía nov 2021</t>
        </is>
      </c>
      <c r="G10" t="inlineStr">
        <is>
          <t>2021-12-10 12:22:24</t>
        </is>
      </c>
      <c r="H10" t="n">
        <v>33</v>
      </c>
      <c r="I10" t="n">
        <v>22217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S10" t="n">
        <v>0</v>
      </c>
      <c r="T10" t="n">
        <v>0</v>
      </c>
      <c r="W10" t="n">
        <v>87.36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BS1B</t>
        </is>
      </c>
      <c r="D11" t="inlineStr">
        <is>
          <t>Energia Licitaciones</t>
        </is>
      </c>
      <c r="E11" t="inlineStr">
        <is>
          <t>Energía</t>
        </is>
      </c>
      <c r="F11" t="inlineStr">
        <is>
          <t>Lic. SIC 2013/03-2 bloques BS1B: Energía nov 2021</t>
        </is>
      </c>
      <c r="G11" t="inlineStr">
        <is>
          <t>2021-12-10 12:22:24</t>
        </is>
      </c>
      <c r="H11" t="n">
        <v>33</v>
      </c>
      <c r="I11" t="n">
        <v>22217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S11" t="n">
        <v>3286.940393</v>
      </c>
      <c r="T11" t="n">
        <v>291571</v>
      </c>
      <c r="W11" t="n">
        <v>88.706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BS1B</t>
        </is>
      </c>
      <c r="D12" t="inlineStr">
        <is>
          <t>Energia Licitaciones</t>
        </is>
      </c>
      <c r="E12" t="inlineStr">
        <is>
          <t>Energía</t>
        </is>
      </c>
      <c r="F12" t="inlineStr">
        <is>
          <t>Lic. SIC 2013/03-2 bloques BS1B: Energía dic 2021</t>
        </is>
      </c>
      <c r="G12" t="inlineStr">
        <is>
          <t>2022-01-11 12:08:54</t>
        </is>
      </c>
      <c r="H12" t="n">
        <v>33</v>
      </c>
      <c r="I12" t="n">
        <v>22727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S12" t="n">
        <v>2851.304106</v>
      </c>
      <c r="T12" t="n">
        <v>247547</v>
      </c>
      <c r="W12" t="n">
        <v>86.819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BS1B</t>
        </is>
      </c>
      <c r="D13" t="inlineStr">
        <is>
          <t>Energia Licitaciones</t>
        </is>
      </c>
      <c r="E13" t="inlineStr">
        <is>
          <t>Energía</t>
        </is>
      </c>
      <c r="F13" t="inlineStr">
        <is>
          <t>Lic. SIC 2013/03-2 bloques BS1B: Energía dic 2021</t>
        </is>
      </c>
      <c r="G13" t="inlineStr">
        <is>
          <t>2022-01-11 12:08:54</t>
        </is>
      </c>
      <c r="H13" t="n">
        <v>33</v>
      </c>
      <c r="I13" t="n">
        <v>22727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S13" t="n">
        <v>4088.934727</v>
      </c>
      <c r="T13" t="n">
        <v>374035</v>
      </c>
      <c r="W13" t="n">
        <v>91.47499999999999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BS1B</t>
        </is>
      </c>
      <c r="D14" t="inlineStr">
        <is>
          <t>Energia Licitaciones</t>
        </is>
      </c>
      <c r="E14" t="inlineStr">
        <is>
          <t>Energía</t>
        </is>
      </c>
      <c r="F14" t="inlineStr">
        <is>
          <t>Lic. SIC 2013/03-2 bloques BS1B: Energía dic 2021</t>
        </is>
      </c>
      <c r="G14" t="inlineStr">
        <is>
          <t>2022-01-11 12:08:54</t>
        </is>
      </c>
      <c r="H14" t="n">
        <v>33</v>
      </c>
      <c r="I14" t="n">
        <v>22727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S14" t="n">
        <v>5056.319155</v>
      </c>
      <c r="T14" t="n">
        <v>417647</v>
      </c>
      <c r="W14" t="n">
        <v>82.599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BS1B</t>
        </is>
      </c>
      <c r="D15" t="inlineStr">
        <is>
          <t>Energia Licitaciones</t>
        </is>
      </c>
      <c r="E15" t="inlineStr">
        <is>
          <t>Energía</t>
        </is>
      </c>
      <c r="F15" t="inlineStr">
        <is>
          <t>Lic. SIC 2013/03-2 bloques BS1B: Energía dic 2021</t>
        </is>
      </c>
      <c r="G15" t="inlineStr">
        <is>
          <t>2022-01-11 12:08:54</t>
        </is>
      </c>
      <c r="H15" t="n">
        <v>33</v>
      </c>
      <c r="I15" t="n">
        <v>22727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S15" t="n">
        <v>0</v>
      </c>
      <c r="T15" t="n">
        <v>0</v>
      </c>
      <c r="W15" t="n">
        <v>87.36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BS1B</t>
        </is>
      </c>
      <c r="D16" t="inlineStr">
        <is>
          <t>Energia Licitaciones</t>
        </is>
      </c>
      <c r="E16" t="inlineStr">
        <is>
          <t>Energía</t>
        </is>
      </c>
      <c r="F16" t="inlineStr">
        <is>
          <t>Lic. SIC 2013/03-2 bloques BS1B: Energía dic 2021</t>
        </is>
      </c>
      <c r="G16" t="inlineStr">
        <is>
          <t>2022-01-11 12:08:54</t>
        </is>
      </c>
      <c r="H16" t="n">
        <v>33</v>
      </c>
      <c r="I16" t="n">
        <v>22727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S16" t="n">
        <v>3474.631193</v>
      </c>
      <c r="T16" t="n">
        <v>308221</v>
      </c>
      <c r="W16" t="n">
        <v>88.706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W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Periodo</t>
        </is>
      </c>
      <c r="B1" s="1" t="inlineStr">
        <is>
          <t>MesDevengado</t>
        </is>
      </c>
      <c r="C1" s="1" t="inlineStr">
        <is>
          <t>Nombre</t>
        </is>
      </c>
      <c r="D1" s="1" t="inlineStr">
        <is>
          <t>Concepto</t>
        </is>
      </c>
      <c r="E1" s="1" t="inlineStr">
        <is>
          <t>Agrupacion</t>
        </is>
      </c>
      <c r="F1" s="1" t="inlineStr">
        <is>
          <t>Glosa</t>
        </is>
      </c>
      <c r="G1" s="1" t="inlineStr">
        <is>
          <t>FechaCarga</t>
        </is>
      </c>
      <c r="H1" s="1" t="inlineStr">
        <is>
          <t>TipoDocumento</t>
        </is>
      </c>
      <c r="I1" s="1" t="inlineStr">
        <is>
          <t>Folio</t>
        </is>
      </c>
      <c r="J1" s="1" t="inlineStr">
        <is>
          <t>Vendedor</t>
        </is>
      </c>
      <c r="K1" s="1" t="inlineStr">
        <is>
          <t>Comprador</t>
        </is>
      </c>
      <c r="L1" s="1" t="inlineStr">
        <is>
          <t>Bloque</t>
        </is>
      </c>
      <c r="M1" s="1" t="inlineStr">
        <is>
          <t>Empresa</t>
        </is>
      </c>
      <c r="N1" s="1" t="inlineStr">
        <is>
          <t>ClaveEEDD</t>
        </is>
      </c>
      <c r="O1" s="1" t="inlineStr">
        <is>
          <t>Licitacion</t>
        </is>
      </c>
      <c r="P1" s="1" t="inlineStr">
        <is>
          <t>NomAgrupacion</t>
        </is>
      </c>
      <c r="Q1" s="1" t="inlineStr">
        <is>
          <t>Num</t>
        </is>
      </c>
      <c r="R1" s="1" t="inlineStr">
        <is>
          <t>Barra</t>
        </is>
      </c>
      <c r="S1" s="1" t="inlineStr">
        <is>
          <t>Energia</t>
        </is>
      </c>
      <c r="T1" s="1" t="inlineStr">
        <is>
          <t>MontoEnergia</t>
        </is>
      </c>
      <c r="U1" s="1" t="inlineStr">
        <is>
          <t>Potencia</t>
        </is>
      </c>
      <c r="V1" s="1" t="inlineStr">
        <is>
          <t>MontoPotencia</t>
        </is>
      </c>
      <c r="W1" s="1" t="inlineStr">
        <is>
          <t>Precio</t>
        </is>
      </c>
    </row>
    <row r="2">
      <c r="A2" t="inlineStr">
        <is>
          <t>2021-10-01</t>
        </is>
      </c>
      <c r="B2" t="inlineStr">
        <is>
          <t>01-10-2021</t>
        </is>
      </c>
      <c r="C2" t="inlineStr">
        <is>
          <t>Licitación Caren y Chilquinta (SIC 2013/03-2) BS1B</t>
        </is>
      </c>
      <c r="D2" t="inlineStr">
        <is>
          <t>Potencia Licitaciones</t>
        </is>
      </c>
      <c r="E2" t="inlineStr">
        <is>
          <t>Potencia</t>
        </is>
      </c>
      <c r="F2" t="inlineStr">
        <is>
          <t>Lic. SIC 2013/03-2 bloques BS1B: Potencia oct 2021</t>
        </is>
      </c>
      <c r="G2" t="inlineStr">
        <is>
          <t>2021-11-09 17:10:12</t>
        </is>
      </c>
      <c r="H2" t="n">
        <v>33</v>
      </c>
      <c r="I2" t="n">
        <v>22197</v>
      </c>
      <c r="J2" t="inlineStr">
        <is>
          <t>s</t>
        </is>
      </c>
      <c r="K2" t="inlineStr">
        <is>
          <t>s</t>
        </is>
      </c>
      <c r="L2" t="inlineStr">
        <is>
          <t>BS1B</t>
        </is>
      </c>
      <c r="M2" t="inlineStr">
        <is>
          <t>CAREN</t>
        </is>
      </c>
      <c r="N2" t="inlineStr">
        <is>
          <t>Chilquinta</t>
        </is>
      </c>
      <c r="O2" t="inlineStr">
        <is>
          <t>2013/03-2</t>
        </is>
      </c>
      <c r="P2" t="inlineStr">
        <is>
          <t>CHILQUINTA</t>
        </is>
      </c>
      <c r="Q2" t="n">
        <v>1</v>
      </c>
      <c r="R2" t="inlineStr">
        <is>
          <t>A.MELIP 220</t>
        </is>
      </c>
      <c r="U2" t="n">
        <v>0</v>
      </c>
      <c r="V2" t="n">
        <v>0</v>
      </c>
      <c r="W2" t="n">
        <v>6007.374</v>
      </c>
    </row>
    <row r="3">
      <c r="A3" t="inlineStr">
        <is>
          <t>2021-10-01</t>
        </is>
      </c>
      <c r="B3" t="inlineStr">
        <is>
          <t>01-10-2021</t>
        </is>
      </c>
      <c r="C3" t="inlineStr">
        <is>
          <t>Licitación Caren y Chilquinta (SIC 2013/03-2) BS1B</t>
        </is>
      </c>
      <c r="D3" t="inlineStr">
        <is>
          <t>Potencia Licitaciones</t>
        </is>
      </c>
      <c r="E3" t="inlineStr">
        <is>
          <t>Potencia</t>
        </is>
      </c>
      <c r="F3" t="inlineStr">
        <is>
          <t>Lic. SIC 2013/03-2 bloques BS1B: Potencia oct 2021</t>
        </is>
      </c>
      <c r="G3" t="inlineStr">
        <is>
          <t>2021-11-09 17:10:12</t>
        </is>
      </c>
      <c r="H3" t="n">
        <v>33</v>
      </c>
      <c r="I3" t="n">
        <v>22197</v>
      </c>
      <c r="J3" t="inlineStr">
        <is>
          <t>s</t>
        </is>
      </c>
      <c r="K3" t="inlineStr">
        <is>
          <t>s</t>
        </is>
      </c>
      <c r="L3" t="inlineStr">
        <is>
          <t>BS1B</t>
        </is>
      </c>
      <c r="M3" t="inlineStr">
        <is>
          <t>CAREN</t>
        </is>
      </c>
      <c r="N3" t="inlineStr">
        <is>
          <t>Chilquinta</t>
        </is>
      </c>
      <c r="O3" t="inlineStr">
        <is>
          <t>2013/03-2</t>
        </is>
      </c>
      <c r="P3" t="inlineStr">
        <is>
          <t>CHILQUINTA</t>
        </is>
      </c>
      <c r="Q3" t="n">
        <v>2</v>
      </c>
      <c r="R3" t="inlineStr">
        <is>
          <t>L.MAQUIS 220</t>
        </is>
      </c>
      <c r="U3" t="n">
        <v>0</v>
      </c>
      <c r="V3" t="n">
        <v>0</v>
      </c>
      <c r="W3" t="n">
        <v>6112.244</v>
      </c>
    </row>
    <row r="4">
      <c r="A4" t="inlineStr">
        <is>
          <t>2021-10-01</t>
        </is>
      </c>
      <c r="B4" t="inlineStr">
        <is>
          <t>01-10-2021</t>
        </is>
      </c>
      <c r="C4" t="inlineStr">
        <is>
          <t>Licitación Caren y Chilquinta (SIC 2013/03-2) BS1B</t>
        </is>
      </c>
      <c r="D4" t="inlineStr">
        <is>
          <t>Potencia Licitaciones</t>
        </is>
      </c>
      <c r="E4" t="inlineStr">
        <is>
          <t>Potencia</t>
        </is>
      </c>
      <c r="F4" t="inlineStr">
        <is>
          <t>Lic. SIC 2013/03-2 bloques BS1B: Potencia oct 2021</t>
        </is>
      </c>
      <c r="G4" t="inlineStr">
        <is>
          <t>2021-11-09 17:10:12</t>
        </is>
      </c>
      <c r="H4" t="n">
        <v>33</v>
      </c>
      <c r="I4" t="n">
        <v>22197</v>
      </c>
      <c r="J4" t="inlineStr">
        <is>
          <t>s</t>
        </is>
      </c>
      <c r="K4" t="inlineStr">
        <is>
          <t>s</t>
        </is>
      </c>
      <c r="L4" t="inlineStr">
        <is>
          <t>BS1B</t>
        </is>
      </c>
      <c r="M4" t="inlineStr">
        <is>
          <t>CAREN</t>
        </is>
      </c>
      <c r="N4" t="inlineStr">
        <is>
          <t>Chilquinta</t>
        </is>
      </c>
      <c r="O4" t="inlineStr">
        <is>
          <t>2013/03-2</t>
        </is>
      </c>
      <c r="P4" t="inlineStr">
        <is>
          <t>CHILQUINTA</t>
        </is>
      </c>
      <c r="Q4" t="n">
        <v>3</v>
      </c>
      <c r="R4" t="inlineStr">
        <is>
          <t>NOGALES 220</t>
        </is>
      </c>
      <c r="U4" t="n">
        <v>0</v>
      </c>
      <c r="V4" t="n">
        <v>0</v>
      </c>
      <c r="W4" t="n">
        <v>5876.883</v>
      </c>
    </row>
    <row r="5">
      <c r="A5" t="inlineStr">
        <is>
          <t>2021-10-01</t>
        </is>
      </c>
      <c r="B5" t="inlineStr">
        <is>
          <t>01-10-2021</t>
        </is>
      </c>
      <c r="C5" t="inlineStr">
        <is>
          <t>Licitación Caren y Chilquinta (SIC 2013/03-2) BS1B</t>
        </is>
      </c>
      <c r="D5" t="inlineStr">
        <is>
          <t>Potencia Licitaciones</t>
        </is>
      </c>
      <c r="E5" t="inlineStr">
        <is>
          <t>Potencia</t>
        </is>
      </c>
      <c r="F5" t="inlineStr">
        <is>
          <t>Lic. SIC 2013/03-2 bloques BS1B: Potencia oct 2021</t>
        </is>
      </c>
      <c r="G5" t="inlineStr">
        <is>
          <t>2021-11-09 17:10:12</t>
        </is>
      </c>
      <c r="H5" t="n">
        <v>33</v>
      </c>
      <c r="I5" t="n">
        <v>22197</v>
      </c>
      <c r="J5" t="inlineStr">
        <is>
          <t>s</t>
        </is>
      </c>
      <c r="K5" t="inlineStr">
        <is>
          <t>s</t>
        </is>
      </c>
      <c r="L5" t="inlineStr">
        <is>
          <t>BS1B</t>
        </is>
      </c>
      <c r="M5" t="inlineStr">
        <is>
          <t>CAREN</t>
        </is>
      </c>
      <c r="N5" t="inlineStr">
        <is>
          <t>Chilquinta</t>
        </is>
      </c>
      <c r="O5" t="inlineStr">
        <is>
          <t>2013/03-2</t>
        </is>
      </c>
      <c r="P5" t="inlineStr">
        <is>
          <t>CHILQUINTA</t>
        </is>
      </c>
      <c r="Q5" t="n">
        <v>4</v>
      </c>
      <c r="R5" t="inlineStr">
        <is>
          <t>POLPAICO 220</t>
        </is>
      </c>
      <c r="U5" t="n">
        <v>0</v>
      </c>
      <c r="V5" t="n">
        <v>0</v>
      </c>
      <c r="W5" t="n">
        <v>5958.51</v>
      </c>
    </row>
    <row r="6">
      <c r="A6" t="inlineStr">
        <is>
          <t>2021-10-01</t>
        </is>
      </c>
      <c r="B6" t="inlineStr">
        <is>
          <t>01-10-2021</t>
        </is>
      </c>
      <c r="C6" t="inlineStr">
        <is>
          <t>Licitación Caren y Chilquinta (SIC 2013/03-2) BS1B</t>
        </is>
      </c>
      <c r="D6" t="inlineStr">
        <is>
          <t>Potencia Licitaciones</t>
        </is>
      </c>
      <c r="E6" t="inlineStr">
        <is>
          <t>Potencia</t>
        </is>
      </c>
      <c r="F6" t="inlineStr">
        <is>
          <t>Lic. SIC 2013/03-2 bloques BS1B: Potencia oct 2021</t>
        </is>
      </c>
      <c r="G6" t="inlineStr">
        <is>
          <t>2021-11-09 17:10:12</t>
        </is>
      </c>
      <c r="H6" t="n">
        <v>33</v>
      </c>
      <c r="I6" t="n">
        <v>22197</v>
      </c>
      <c r="J6" t="inlineStr">
        <is>
          <t>s</t>
        </is>
      </c>
      <c r="K6" t="inlineStr">
        <is>
          <t>s</t>
        </is>
      </c>
      <c r="L6" t="inlineStr">
        <is>
          <t>BS1B</t>
        </is>
      </c>
      <c r="M6" t="inlineStr">
        <is>
          <t>CAREN</t>
        </is>
      </c>
      <c r="N6" t="inlineStr">
        <is>
          <t>Chilquinta</t>
        </is>
      </c>
      <c r="O6" t="inlineStr">
        <is>
          <t>2013/03-2</t>
        </is>
      </c>
      <c r="P6" t="inlineStr">
        <is>
          <t>CHILQUINTA</t>
        </is>
      </c>
      <c r="Q6" t="n">
        <v>5</v>
      </c>
      <c r="R6" t="inlineStr">
        <is>
          <t>QUILLOTA 220</t>
        </is>
      </c>
      <c r="U6" t="n">
        <v>0</v>
      </c>
      <c r="V6" t="n">
        <v>0</v>
      </c>
      <c r="W6" t="n">
        <v>5971.027</v>
      </c>
    </row>
    <row r="7">
      <c r="A7" t="inlineStr">
        <is>
          <t>2021-11-01</t>
        </is>
      </c>
      <c r="B7" t="inlineStr">
        <is>
          <t>01-11-2021</t>
        </is>
      </c>
      <c r="C7" t="inlineStr">
        <is>
          <t>Licitación Caren y Chilquinta (SIC 2013/03-2) BS1B</t>
        </is>
      </c>
      <c r="D7" t="inlineStr">
        <is>
          <t>Potencia Licitaciones</t>
        </is>
      </c>
      <c r="E7" t="inlineStr">
        <is>
          <t>Potencia</t>
        </is>
      </c>
      <c r="F7" t="inlineStr">
        <is>
          <t>Lic. SIC 2013/03-2 bloques BS1B: Potencia nov 2021</t>
        </is>
      </c>
      <c r="G7" t="inlineStr">
        <is>
          <t>2021-12-10 12:22:24</t>
        </is>
      </c>
      <c r="H7" t="n">
        <v>33</v>
      </c>
      <c r="I7" t="n">
        <v>22217</v>
      </c>
      <c r="J7" t="inlineStr">
        <is>
          <t>s</t>
        </is>
      </c>
      <c r="K7" t="inlineStr">
        <is>
          <t>s</t>
        </is>
      </c>
      <c r="L7" t="inlineStr">
        <is>
          <t>BS1B</t>
        </is>
      </c>
      <c r="M7" t="inlineStr">
        <is>
          <t>CAREN</t>
        </is>
      </c>
      <c r="N7" t="inlineStr">
        <is>
          <t>Chilquinta</t>
        </is>
      </c>
      <c r="O7" t="inlineStr">
        <is>
          <t>2013/03-2</t>
        </is>
      </c>
      <c r="P7" t="inlineStr">
        <is>
          <t>CHILQUINTA</t>
        </is>
      </c>
      <c r="Q7" t="n">
        <v>1</v>
      </c>
      <c r="R7" t="inlineStr">
        <is>
          <t>A.MELIP 220</t>
        </is>
      </c>
      <c r="U7" t="n">
        <v>0</v>
      </c>
      <c r="V7" t="n">
        <v>0</v>
      </c>
      <c r="W7" t="n">
        <v>6007.374</v>
      </c>
    </row>
    <row r="8">
      <c r="A8" t="inlineStr">
        <is>
          <t>2021-11-01</t>
        </is>
      </c>
      <c r="B8" t="inlineStr">
        <is>
          <t>01-11-2021</t>
        </is>
      </c>
      <c r="C8" t="inlineStr">
        <is>
          <t>Licitación Caren y Chilquinta (SIC 2013/03-2) BS1B</t>
        </is>
      </c>
      <c r="D8" t="inlineStr">
        <is>
          <t>Potencia Licitaciones</t>
        </is>
      </c>
      <c r="E8" t="inlineStr">
        <is>
          <t>Potencia</t>
        </is>
      </c>
      <c r="F8" t="inlineStr">
        <is>
          <t>Lic. SIC 2013/03-2 bloques BS1B: Potencia nov 2021</t>
        </is>
      </c>
      <c r="G8" t="inlineStr">
        <is>
          <t>2021-12-10 12:22:24</t>
        </is>
      </c>
      <c r="H8" t="n">
        <v>33</v>
      </c>
      <c r="I8" t="n">
        <v>22217</v>
      </c>
      <c r="J8" t="inlineStr">
        <is>
          <t>s</t>
        </is>
      </c>
      <c r="K8" t="inlineStr">
        <is>
          <t>s</t>
        </is>
      </c>
      <c r="L8" t="inlineStr">
        <is>
          <t>BS1B</t>
        </is>
      </c>
      <c r="M8" t="inlineStr">
        <is>
          <t>CAREN</t>
        </is>
      </c>
      <c r="N8" t="inlineStr">
        <is>
          <t>Chilquinta</t>
        </is>
      </c>
      <c r="O8" t="inlineStr">
        <is>
          <t>2013/03-2</t>
        </is>
      </c>
      <c r="P8" t="inlineStr">
        <is>
          <t>CHILQUINTA</t>
        </is>
      </c>
      <c r="Q8" t="n">
        <v>2</v>
      </c>
      <c r="R8" t="inlineStr">
        <is>
          <t>L.MAQUIS 220</t>
        </is>
      </c>
      <c r="U8" t="n">
        <v>0</v>
      </c>
      <c r="V8" t="n">
        <v>0</v>
      </c>
      <c r="W8" t="n">
        <v>6112.244</v>
      </c>
    </row>
    <row r="9">
      <c r="A9" t="inlineStr">
        <is>
          <t>2021-11-01</t>
        </is>
      </c>
      <c r="B9" t="inlineStr">
        <is>
          <t>01-11-2021</t>
        </is>
      </c>
      <c r="C9" t="inlineStr">
        <is>
          <t>Licitación Caren y Chilquinta (SIC 2013/03-2) BS1B</t>
        </is>
      </c>
      <c r="D9" t="inlineStr">
        <is>
          <t>Potencia Licitaciones</t>
        </is>
      </c>
      <c r="E9" t="inlineStr">
        <is>
          <t>Potencia</t>
        </is>
      </c>
      <c r="F9" t="inlineStr">
        <is>
          <t>Lic. SIC 2013/03-2 bloques BS1B: Potencia nov 2021</t>
        </is>
      </c>
      <c r="G9" t="inlineStr">
        <is>
          <t>2021-12-10 12:22:24</t>
        </is>
      </c>
      <c r="H9" t="n">
        <v>33</v>
      </c>
      <c r="I9" t="n">
        <v>22217</v>
      </c>
      <c r="J9" t="inlineStr">
        <is>
          <t>s</t>
        </is>
      </c>
      <c r="K9" t="inlineStr">
        <is>
          <t>s</t>
        </is>
      </c>
      <c r="L9" t="inlineStr">
        <is>
          <t>BS1B</t>
        </is>
      </c>
      <c r="M9" t="inlineStr">
        <is>
          <t>CAREN</t>
        </is>
      </c>
      <c r="N9" t="inlineStr">
        <is>
          <t>Chilquinta</t>
        </is>
      </c>
      <c r="O9" t="inlineStr">
        <is>
          <t>2013/03-2</t>
        </is>
      </c>
      <c r="P9" t="inlineStr">
        <is>
          <t>CHILQUINTA</t>
        </is>
      </c>
      <c r="Q9" t="n">
        <v>3</v>
      </c>
      <c r="R9" t="inlineStr">
        <is>
          <t>NOGALES 220</t>
        </is>
      </c>
      <c r="U9" t="n">
        <v>0</v>
      </c>
      <c r="V9" t="n">
        <v>0</v>
      </c>
      <c r="W9" t="n">
        <v>5876.883</v>
      </c>
    </row>
    <row r="10">
      <c r="A10" t="inlineStr">
        <is>
          <t>2021-11-01</t>
        </is>
      </c>
      <c r="B10" t="inlineStr">
        <is>
          <t>01-11-2021</t>
        </is>
      </c>
      <c r="C10" t="inlineStr">
        <is>
          <t>Licitación Caren y Chilquinta (SIC 2013/03-2) BS1B</t>
        </is>
      </c>
      <c r="D10" t="inlineStr">
        <is>
          <t>Potencia Licitaciones</t>
        </is>
      </c>
      <c r="E10" t="inlineStr">
        <is>
          <t>Potencia</t>
        </is>
      </c>
      <c r="F10" t="inlineStr">
        <is>
          <t>Lic. SIC 2013/03-2 bloques BS1B: Potencia nov 2021</t>
        </is>
      </c>
      <c r="G10" t="inlineStr">
        <is>
          <t>2021-12-10 12:22:24</t>
        </is>
      </c>
      <c r="H10" t="n">
        <v>33</v>
      </c>
      <c r="I10" t="n">
        <v>22217</v>
      </c>
      <c r="J10" t="inlineStr">
        <is>
          <t>s</t>
        </is>
      </c>
      <c r="K10" t="inlineStr">
        <is>
          <t>s</t>
        </is>
      </c>
      <c r="L10" t="inlineStr">
        <is>
          <t>BS1B</t>
        </is>
      </c>
      <c r="M10" t="inlineStr">
        <is>
          <t>CAREN</t>
        </is>
      </c>
      <c r="N10" t="inlineStr">
        <is>
          <t>Chilquinta</t>
        </is>
      </c>
      <c r="O10" t="inlineStr">
        <is>
          <t>2013/03-2</t>
        </is>
      </c>
      <c r="P10" t="inlineStr">
        <is>
          <t>CHILQUINTA</t>
        </is>
      </c>
      <c r="Q10" t="n">
        <v>4</v>
      </c>
      <c r="R10" t="inlineStr">
        <is>
          <t>POLPAICO 220</t>
        </is>
      </c>
      <c r="U10" t="n">
        <v>0</v>
      </c>
      <c r="V10" t="n">
        <v>0</v>
      </c>
      <c r="W10" t="n">
        <v>5958.51</v>
      </c>
    </row>
    <row r="11">
      <c r="A11" t="inlineStr">
        <is>
          <t>2021-11-01</t>
        </is>
      </c>
      <c r="B11" t="inlineStr">
        <is>
          <t>01-11-2021</t>
        </is>
      </c>
      <c r="C11" t="inlineStr">
        <is>
          <t>Licitación Caren y Chilquinta (SIC 2013/03-2) BS1B</t>
        </is>
      </c>
      <c r="D11" t="inlineStr">
        <is>
          <t>Potencia Licitaciones</t>
        </is>
      </c>
      <c r="E11" t="inlineStr">
        <is>
          <t>Potencia</t>
        </is>
      </c>
      <c r="F11" t="inlineStr">
        <is>
          <t>Lic. SIC 2013/03-2 bloques BS1B: Potencia nov 2021</t>
        </is>
      </c>
      <c r="G11" t="inlineStr">
        <is>
          <t>2021-12-10 12:22:24</t>
        </is>
      </c>
      <c r="H11" t="n">
        <v>33</v>
      </c>
      <c r="I11" t="n">
        <v>22217</v>
      </c>
      <c r="J11" t="inlineStr">
        <is>
          <t>s</t>
        </is>
      </c>
      <c r="K11" t="inlineStr">
        <is>
          <t>s</t>
        </is>
      </c>
      <c r="L11" t="inlineStr">
        <is>
          <t>BS1B</t>
        </is>
      </c>
      <c r="M11" t="inlineStr">
        <is>
          <t>CAREN</t>
        </is>
      </c>
      <c r="N11" t="inlineStr">
        <is>
          <t>Chilquinta</t>
        </is>
      </c>
      <c r="O11" t="inlineStr">
        <is>
          <t>2013/03-2</t>
        </is>
      </c>
      <c r="P11" t="inlineStr">
        <is>
          <t>CHILQUINTA</t>
        </is>
      </c>
      <c r="Q11" t="n">
        <v>5</v>
      </c>
      <c r="R11" t="inlineStr">
        <is>
          <t>QUILLOTA 220</t>
        </is>
      </c>
      <c r="U11" t="n">
        <v>0</v>
      </c>
      <c r="V11" t="n">
        <v>0</v>
      </c>
      <c r="W11" t="n">
        <v>5971.027</v>
      </c>
    </row>
    <row r="12">
      <c r="A12" t="inlineStr">
        <is>
          <t>2021-12-01</t>
        </is>
      </c>
      <c r="B12" t="inlineStr">
        <is>
          <t>01-12-2021</t>
        </is>
      </c>
      <c r="C12" t="inlineStr">
        <is>
          <t>Licitación Caren y Chilquinta (SIC 2013/03-2) BS1B</t>
        </is>
      </c>
      <c r="D12" t="inlineStr">
        <is>
          <t>Potencia Licitaciones</t>
        </is>
      </c>
      <c r="E12" t="inlineStr">
        <is>
          <t>Potencia</t>
        </is>
      </c>
      <c r="F12" t="inlineStr">
        <is>
          <t>Lic. SIC 2013/03-2 bloques BS1B: Potencia dic 2021</t>
        </is>
      </c>
      <c r="G12" t="inlineStr">
        <is>
          <t>2022-01-11 12:08:54</t>
        </is>
      </c>
      <c r="H12" t="n">
        <v>33</v>
      </c>
      <c r="I12" t="n">
        <v>22727</v>
      </c>
      <c r="J12" t="inlineStr">
        <is>
          <t>s</t>
        </is>
      </c>
      <c r="K12" t="inlineStr">
        <is>
          <t>s</t>
        </is>
      </c>
      <c r="L12" t="inlineStr">
        <is>
          <t>BS1B</t>
        </is>
      </c>
      <c r="M12" t="inlineStr">
        <is>
          <t>CAREN</t>
        </is>
      </c>
      <c r="N12" t="inlineStr">
        <is>
          <t>Chilquinta</t>
        </is>
      </c>
      <c r="O12" t="inlineStr">
        <is>
          <t>2013/03-2</t>
        </is>
      </c>
      <c r="P12" t="inlineStr">
        <is>
          <t>CHILQUINTA</t>
        </is>
      </c>
      <c r="Q12" t="n">
        <v>1</v>
      </c>
      <c r="R12" t="inlineStr">
        <is>
          <t>A.MELIP 220</t>
        </is>
      </c>
      <c r="U12" t="n">
        <v>0</v>
      </c>
      <c r="V12" t="n">
        <v>0</v>
      </c>
      <c r="W12" t="n">
        <v>6007.374</v>
      </c>
    </row>
    <row r="13">
      <c r="A13" t="inlineStr">
        <is>
          <t>2021-12-01</t>
        </is>
      </c>
      <c r="B13" t="inlineStr">
        <is>
          <t>01-12-2021</t>
        </is>
      </c>
      <c r="C13" t="inlineStr">
        <is>
          <t>Licitación Caren y Chilquinta (SIC 2013/03-2) BS1B</t>
        </is>
      </c>
      <c r="D13" t="inlineStr">
        <is>
          <t>Potencia Licitaciones</t>
        </is>
      </c>
      <c r="E13" t="inlineStr">
        <is>
          <t>Potencia</t>
        </is>
      </c>
      <c r="F13" t="inlineStr">
        <is>
          <t>Lic. SIC 2013/03-2 bloques BS1B: Potencia dic 2021</t>
        </is>
      </c>
      <c r="G13" t="inlineStr">
        <is>
          <t>2022-01-11 12:08:54</t>
        </is>
      </c>
      <c r="H13" t="n">
        <v>33</v>
      </c>
      <c r="I13" t="n">
        <v>22727</v>
      </c>
      <c r="J13" t="inlineStr">
        <is>
          <t>s</t>
        </is>
      </c>
      <c r="K13" t="inlineStr">
        <is>
          <t>s</t>
        </is>
      </c>
      <c r="L13" t="inlineStr">
        <is>
          <t>BS1B</t>
        </is>
      </c>
      <c r="M13" t="inlineStr">
        <is>
          <t>CAREN</t>
        </is>
      </c>
      <c r="N13" t="inlineStr">
        <is>
          <t>Chilquinta</t>
        </is>
      </c>
      <c r="O13" t="inlineStr">
        <is>
          <t>2013/03-2</t>
        </is>
      </c>
      <c r="P13" t="inlineStr">
        <is>
          <t>CHILQUINTA</t>
        </is>
      </c>
      <c r="Q13" t="n">
        <v>2</v>
      </c>
      <c r="R13" t="inlineStr">
        <is>
          <t>L.MAQUIS 220</t>
        </is>
      </c>
      <c r="U13" t="n">
        <v>0</v>
      </c>
      <c r="V13" t="n">
        <v>0</v>
      </c>
      <c r="W13" t="n">
        <v>6112.244</v>
      </c>
    </row>
    <row r="14">
      <c r="A14" t="inlineStr">
        <is>
          <t>2021-12-01</t>
        </is>
      </c>
      <c r="B14" t="inlineStr">
        <is>
          <t>01-12-2021</t>
        </is>
      </c>
      <c r="C14" t="inlineStr">
        <is>
          <t>Licitación Caren y Chilquinta (SIC 2013/03-2) BS1B</t>
        </is>
      </c>
      <c r="D14" t="inlineStr">
        <is>
          <t>Potencia Licitaciones</t>
        </is>
      </c>
      <c r="E14" t="inlineStr">
        <is>
          <t>Potencia</t>
        </is>
      </c>
      <c r="F14" t="inlineStr">
        <is>
          <t>Lic. SIC 2013/03-2 bloques BS1B: Potencia dic 2021</t>
        </is>
      </c>
      <c r="G14" t="inlineStr">
        <is>
          <t>2022-01-11 12:08:54</t>
        </is>
      </c>
      <c r="H14" t="n">
        <v>33</v>
      </c>
      <c r="I14" t="n">
        <v>22727</v>
      </c>
      <c r="J14" t="inlineStr">
        <is>
          <t>s</t>
        </is>
      </c>
      <c r="K14" t="inlineStr">
        <is>
          <t>s</t>
        </is>
      </c>
      <c r="L14" t="inlineStr">
        <is>
          <t>BS1B</t>
        </is>
      </c>
      <c r="M14" t="inlineStr">
        <is>
          <t>CAREN</t>
        </is>
      </c>
      <c r="N14" t="inlineStr">
        <is>
          <t>Chilquinta</t>
        </is>
      </c>
      <c r="O14" t="inlineStr">
        <is>
          <t>2013/03-2</t>
        </is>
      </c>
      <c r="P14" t="inlineStr">
        <is>
          <t>CHILQUINTA</t>
        </is>
      </c>
      <c r="Q14" t="n">
        <v>3</v>
      </c>
      <c r="R14" t="inlineStr">
        <is>
          <t>NOGALES 220</t>
        </is>
      </c>
      <c r="U14" t="n">
        <v>0</v>
      </c>
      <c r="V14" t="n">
        <v>0</v>
      </c>
      <c r="W14" t="n">
        <v>5876.883</v>
      </c>
    </row>
    <row r="15">
      <c r="A15" t="inlineStr">
        <is>
          <t>2021-12-01</t>
        </is>
      </c>
      <c r="B15" t="inlineStr">
        <is>
          <t>01-12-2021</t>
        </is>
      </c>
      <c r="C15" t="inlineStr">
        <is>
          <t>Licitación Caren y Chilquinta (SIC 2013/03-2) BS1B</t>
        </is>
      </c>
      <c r="D15" t="inlineStr">
        <is>
          <t>Potencia Licitaciones</t>
        </is>
      </c>
      <c r="E15" t="inlineStr">
        <is>
          <t>Potencia</t>
        </is>
      </c>
      <c r="F15" t="inlineStr">
        <is>
          <t>Lic. SIC 2013/03-2 bloques BS1B: Potencia dic 2021</t>
        </is>
      </c>
      <c r="G15" t="inlineStr">
        <is>
          <t>2022-01-11 12:08:54</t>
        </is>
      </c>
      <c r="H15" t="n">
        <v>33</v>
      </c>
      <c r="I15" t="n">
        <v>22727</v>
      </c>
      <c r="J15" t="inlineStr">
        <is>
          <t>s</t>
        </is>
      </c>
      <c r="K15" t="inlineStr">
        <is>
          <t>s</t>
        </is>
      </c>
      <c r="L15" t="inlineStr">
        <is>
          <t>BS1B</t>
        </is>
      </c>
      <c r="M15" t="inlineStr">
        <is>
          <t>CAREN</t>
        </is>
      </c>
      <c r="N15" t="inlineStr">
        <is>
          <t>Chilquinta</t>
        </is>
      </c>
      <c r="O15" t="inlineStr">
        <is>
          <t>2013/03-2</t>
        </is>
      </c>
      <c r="P15" t="inlineStr">
        <is>
          <t>CHILQUINTA</t>
        </is>
      </c>
      <c r="Q15" t="n">
        <v>4</v>
      </c>
      <c r="R15" t="inlineStr">
        <is>
          <t>POLPAICO 220</t>
        </is>
      </c>
      <c r="U15" t="n">
        <v>0</v>
      </c>
      <c r="V15" t="n">
        <v>0</v>
      </c>
      <c r="W15" t="n">
        <v>5958.51</v>
      </c>
    </row>
    <row r="16">
      <c r="A16" t="inlineStr">
        <is>
          <t>2021-12-01</t>
        </is>
      </c>
      <c r="B16" t="inlineStr">
        <is>
          <t>01-12-2021</t>
        </is>
      </c>
      <c r="C16" t="inlineStr">
        <is>
          <t>Licitación Caren y Chilquinta (SIC 2013/03-2) BS1B</t>
        </is>
      </c>
      <c r="D16" t="inlineStr">
        <is>
          <t>Potencia Licitaciones</t>
        </is>
      </c>
      <c r="E16" t="inlineStr">
        <is>
          <t>Potencia</t>
        </is>
      </c>
      <c r="F16" t="inlineStr">
        <is>
          <t>Lic. SIC 2013/03-2 bloques BS1B: Potencia dic 2021</t>
        </is>
      </c>
      <c r="G16" t="inlineStr">
        <is>
          <t>2022-01-11 12:08:54</t>
        </is>
      </c>
      <c r="H16" t="n">
        <v>33</v>
      </c>
      <c r="I16" t="n">
        <v>22727</v>
      </c>
      <c r="J16" t="inlineStr">
        <is>
          <t>s</t>
        </is>
      </c>
      <c r="K16" t="inlineStr">
        <is>
          <t>s</t>
        </is>
      </c>
      <c r="L16" t="inlineStr">
        <is>
          <t>BS1B</t>
        </is>
      </c>
      <c r="M16" t="inlineStr">
        <is>
          <t>CAREN</t>
        </is>
      </c>
      <c r="N16" t="inlineStr">
        <is>
          <t>Chilquinta</t>
        </is>
      </c>
      <c r="O16" t="inlineStr">
        <is>
          <t>2013/03-2</t>
        </is>
      </c>
      <c r="P16" t="inlineStr">
        <is>
          <t>CHILQUINTA</t>
        </is>
      </c>
      <c r="Q16" t="n">
        <v>5</v>
      </c>
      <c r="R16" t="inlineStr">
        <is>
          <t>QUILLOTA 220</t>
        </is>
      </c>
      <c r="U16" t="n">
        <v>0</v>
      </c>
      <c r="V16" t="n">
        <v>0</v>
      </c>
      <c r="W16" t="n">
        <v>5971.027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D59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TotalEnergiaAjustado</t>
        </is>
      </c>
      <c r="U1" s="1" t="inlineStr">
        <is>
          <t>Potencia</t>
        </is>
      </c>
      <c r="V1" s="1" t="inlineStr">
        <is>
          <t>TotalPotenciaAjustado</t>
        </is>
      </c>
      <c r="W1" s="1" t="inlineStr">
        <is>
          <t>EmpresaDistribuidora</t>
        </is>
      </c>
      <c r="X1" s="1" t="inlineStr">
        <is>
          <t>PrecioEnergia</t>
        </is>
      </c>
      <c r="Y1" s="1" t="inlineStr">
        <is>
          <t>PrecioEnergiaAjustado</t>
        </is>
      </c>
      <c r="Z1" s="1" t="inlineStr">
        <is>
          <t>TotalEnergia</t>
        </is>
      </c>
      <c r="AA1" s="1" t="inlineStr">
        <is>
          <t>PrecioPotencia</t>
        </is>
      </c>
      <c r="AB1" s="1" t="inlineStr">
        <is>
          <t>PrecioPotenciaAjustado</t>
        </is>
      </c>
      <c r="AC1" s="1" t="inlineStr">
        <is>
          <t>TotalPotencia</t>
        </is>
      </c>
      <c r="AD1" s="1" t="inlineStr">
        <is>
          <t>Fecha</t>
        </is>
      </c>
    </row>
    <row r="2">
      <c r="A2" t="n">
        <v>-1</v>
      </c>
      <c r="B2" t="inlineStr">
        <is>
          <t>01-10-2021</t>
        </is>
      </c>
      <c r="C2" t="n">
        <v>2021</v>
      </c>
      <c r="D2" t="n">
        <v>10</v>
      </c>
      <c r="E2" t="inlineStr">
        <is>
          <t>Bosquemar 012</t>
        </is>
      </c>
      <c r="F2" t="inlineStr">
        <is>
          <t>Chilquinta</t>
        </is>
      </c>
      <c r="G2" t="inlineStr">
        <is>
          <t>Chilquinta</t>
        </is>
      </c>
      <c r="H2" t="inlineStr">
        <is>
          <t>Empresa Eléctrica Carén S.A.</t>
        </is>
      </c>
      <c r="I2" t="inlineStr">
        <is>
          <t>Empresa Eléctrica Carén S.A.</t>
        </is>
      </c>
      <c r="J2" t="inlineStr">
        <is>
          <t>SIC 2013/03_2_BS1B_BB_CHILQUINTA_Empresa Eléctrica Carén S.A.</t>
        </is>
      </c>
      <c r="K2" t="inlineStr">
        <is>
          <t>Bosquemar 012</t>
        </is>
      </c>
      <c r="L2" t="inlineStr">
        <is>
          <t>-1</t>
        </is>
      </c>
      <c r="M2" t="n">
        <v>449.4507536522871</v>
      </c>
      <c r="N2" t="n">
        <v>0</v>
      </c>
      <c r="O2" t="inlineStr">
        <is>
          <t>3</t>
        </is>
      </c>
      <c r="P2" s="2" t="n">
        <v>44999.6862684375</v>
      </c>
      <c r="Q2" t="n">
        <v>31</v>
      </c>
      <c r="R2" t="inlineStr">
        <is>
          <t>LOS MAQUIS 220</t>
        </is>
      </c>
      <c r="S2" t="n">
        <v>100.522003845514</v>
      </c>
      <c r="T2" t="n">
        <v>8774.526909549722</v>
      </c>
      <c r="U2" t="n">
        <v>0</v>
      </c>
      <c r="V2" t="n">
        <v>0</v>
      </c>
      <c r="W2" t="inlineStr">
        <is>
          <t>CHILQUINTA</t>
        </is>
      </c>
      <c r="X2" t="n">
        <v>92.86129144034402</v>
      </c>
      <c r="Y2" t="n">
        <v>8.774526909549721</v>
      </c>
      <c r="Z2" t="n">
        <v>9334.603095265662</v>
      </c>
      <c r="AA2" t="n">
        <v>0</v>
      </c>
      <c r="AB2" t="n">
        <v>0</v>
      </c>
      <c r="AC2" t="n">
        <v>0</v>
      </c>
      <c r="AD2" s="2" t="n">
        <v>44470</v>
      </c>
    </row>
    <row r="3">
      <c r="A3" t="n">
        <v>-1</v>
      </c>
      <c r="B3" t="inlineStr">
        <is>
          <t>01-10-2021</t>
        </is>
      </c>
      <c r="C3" t="n">
        <v>2021</v>
      </c>
      <c r="D3" t="n">
        <v>10</v>
      </c>
      <c r="E3" t="inlineStr">
        <is>
          <t>Bosquemar 012</t>
        </is>
      </c>
      <c r="F3" t="inlineStr">
        <is>
          <t>Chilquinta</t>
        </is>
      </c>
      <c r="G3" t="inlineStr">
        <is>
          <t>Chilquinta</t>
        </is>
      </c>
      <c r="H3" t="inlineStr">
        <is>
          <t>Empresa Eléctrica Carén S.A.</t>
        </is>
      </c>
      <c r="I3" t="inlineStr">
        <is>
          <t>Empresa Eléctrica Carén S.A.</t>
        </is>
      </c>
      <c r="J3" t="inlineStr">
        <is>
          <t>SIC 2013/03_2_BS1B_BB_CHILQUINTA_Empresa Eléctrica Carén S.A.</t>
        </is>
      </c>
      <c r="K3" t="inlineStr">
        <is>
          <t>Bosquemar 012</t>
        </is>
      </c>
      <c r="L3" t="inlineStr">
        <is>
          <t>-1</t>
        </is>
      </c>
      <c r="M3" t="n">
        <v>449.4507536522871</v>
      </c>
      <c r="N3" t="n">
        <v>0</v>
      </c>
      <c r="O3" t="inlineStr">
        <is>
          <t>3</t>
        </is>
      </c>
      <c r="P3" s="2" t="n">
        <v>44999.6862684375</v>
      </c>
      <c r="Q3" t="n">
        <v>13</v>
      </c>
      <c r="R3" t="inlineStr">
        <is>
          <t>MELIPILLA 220</t>
        </is>
      </c>
      <c r="S3" t="n">
        <v>60.30404143219179</v>
      </c>
      <c r="T3" t="n">
        <v>5393.604966426218</v>
      </c>
      <c r="U3" t="n">
        <v>0</v>
      </c>
      <c r="V3" t="n">
        <v>0</v>
      </c>
      <c r="W3" t="inlineStr">
        <is>
          <t>CHILQUINTA</t>
        </is>
      </c>
      <c r="X3" t="n">
        <v>95.14913905578901</v>
      </c>
      <c r="Y3" t="n">
        <v>5.393604966426217</v>
      </c>
      <c r="Z3" t="n">
        <v>5737.877623857679</v>
      </c>
      <c r="AA3" t="n">
        <v>0</v>
      </c>
      <c r="AB3" t="n">
        <v>0</v>
      </c>
      <c r="AC3" t="n">
        <v>0</v>
      </c>
      <c r="AD3" s="2" t="n">
        <v>44470</v>
      </c>
    </row>
    <row r="4">
      <c r="A4" t="n">
        <v>-1</v>
      </c>
      <c r="B4" t="inlineStr">
        <is>
          <t>01-10-2021</t>
        </is>
      </c>
      <c r="C4" t="n">
        <v>2021</v>
      </c>
      <c r="D4" t="n">
        <v>10</v>
      </c>
      <c r="E4" t="inlineStr">
        <is>
          <t>Bosquemar 012</t>
        </is>
      </c>
      <c r="F4" t="inlineStr">
        <is>
          <t>Chilquinta</t>
        </is>
      </c>
      <c r="G4" t="inlineStr">
        <is>
          <t>Chilquinta</t>
        </is>
      </c>
      <c r="H4" t="inlineStr">
        <is>
          <t>Empresa Eléctrica Carén S.A.</t>
        </is>
      </c>
      <c r="I4" t="inlineStr">
        <is>
          <t>Empresa Eléctrica Carén S.A.</t>
        </is>
      </c>
      <c r="J4" t="inlineStr">
        <is>
          <t>SIC 2013/03_2_BS1B_BB_CHILQUINTA_Empresa Eléctrica Carén S.A.</t>
        </is>
      </c>
      <c r="K4" t="inlineStr">
        <is>
          <t>Bosquemar 012</t>
        </is>
      </c>
      <c r="L4" t="inlineStr">
        <is>
          <t>-1</t>
        </is>
      </c>
      <c r="M4" t="n">
        <v>449.4507536522871</v>
      </c>
      <c r="N4" t="n">
        <v>0</v>
      </c>
      <c r="O4" t="inlineStr">
        <is>
          <t>3</t>
        </is>
      </c>
      <c r="P4" s="2" t="n">
        <v>44999.6862684375</v>
      </c>
      <c r="Q4" t="n">
        <v>5</v>
      </c>
      <c r="R4" t="inlineStr">
        <is>
          <t>NOGALES 220</t>
        </is>
      </c>
      <c r="S4" t="n">
        <v>12.02750898048804</v>
      </c>
      <c r="T4" t="n">
        <v>1073.902422483137</v>
      </c>
      <c r="U4" t="n">
        <v>0</v>
      </c>
      <c r="V4" t="n">
        <v>0</v>
      </c>
      <c r="W4" t="inlineStr">
        <is>
          <t>CHILQUINTA</t>
        </is>
      </c>
      <c r="X4" t="n">
        <v>94.98636729132602</v>
      </c>
      <c r="Y4" t="n">
        <v>1.073902422483137</v>
      </c>
      <c r="Z4" t="n">
        <v>1142.449385620359</v>
      </c>
      <c r="AA4" t="n">
        <v>0</v>
      </c>
      <c r="AB4" t="n">
        <v>0</v>
      </c>
      <c r="AC4" t="n">
        <v>0</v>
      </c>
      <c r="AD4" s="2" t="n">
        <v>44470</v>
      </c>
    </row>
    <row r="5">
      <c r="A5" t="n">
        <v>-1</v>
      </c>
      <c r="B5" t="inlineStr">
        <is>
          <t>01-10-2021</t>
        </is>
      </c>
      <c r="C5" t="n">
        <v>2021</v>
      </c>
      <c r="D5" t="n">
        <v>10</v>
      </c>
      <c r="E5" t="inlineStr">
        <is>
          <t>Bosquemar 012</t>
        </is>
      </c>
      <c r="F5" t="inlineStr">
        <is>
          <t>Chilquinta</t>
        </is>
      </c>
      <c r="G5" t="inlineStr">
        <is>
          <t>Chilquinta</t>
        </is>
      </c>
      <c r="H5" t="inlineStr">
        <is>
          <t>Empresa Eléctrica Carén S.A.</t>
        </is>
      </c>
      <c r="I5" t="inlineStr">
        <is>
          <t>Empresa Eléctrica Carén S.A.</t>
        </is>
      </c>
      <c r="J5" t="inlineStr">
        <is>
          <t>SIC 2013/03_2_BS1B_BB_CHILQUINTA_Empresa Eléctrica Carén S.A.</t>
        </is>
      </c>
      <c r="K5" t="inlineStr">
        <is>
          <t>Bosquemar 012</t>
        </is>
      </c>
      <c r="L5" t="inlineStr">
        <is>
          <t>-1</t>
        </is>
      </c>
      <c r="M5" t="n">
        <v>449.4507536522871</v>
      </c>
      <c r="N5" t="n">
        <v>0</v>
      </c>
      <c r="O5" t="inlineStr">
        <is>
          <t>3</t>
        </is>
      </c>
      <c r="P5" s="2" t="n">
        <v>44999.6862684375</v>
      </c>
      <c r="Q5" t="n">
        <v>11</v>
      </c>
      <c r="R5" t="inlineStr">
        <is>
          <t>QUILLOTA 220</t>
        </is>
      </c>
      <c r="S5" t="n">
        <v>287.8751286299629</v>
      </c>
      <c r="T5" t="n">
        <v>25128.50884504549</v>
      </c>
      <c r="U5" t="n">
        <v>0</v>
      </c>
      <c r="V5" t="n">
        <v>0</v>
      </c>
      <c r="W5" t="inlineStr">
        <is>
          <t>CHILQUINTA</t>
        </is>
      </c>
      <c r="X5" t="n">
        <v>92.86129144034402</v>
      </c>
      <c r="Y5" t="n">
        <v>25.12850884504549</v>
      </c>
      <c r="Z5" t="n">
        <v>26732.45621813351</v>
      </c>
      <c r="AA5" t="n">
        <v>0</v>
      </c>
      <c r="AB5" t="n">
        <v>0</v>
      </c>
      <c r="AC5" t="n">
        <v>0</v>
      </c>
      <c r="AD5" s="2" t="n">
        <v>44470</v>
      </c>
    </row>
    <row r="6">
      <c r="A6" t="n">
        <v>-1</v>
      </c>
      <c r="B6" t="inlineStr">
        <is>
          <t>01-10-2021</t>
        </is>
      </c>
      <c r="C6" t="n">
        <v>2021</v>
      </c>
      <c r="D6" t="n">
        <v>10</v>
      </c>
      <c r="E6" t="inlineStr">
        <is>
          <t>Casablanca 012</t>
        </is>
      </c>
      <c r="F6" t="inlineStr">
        <is>
          <t>Chilquinta</t>
        </is>
      </c>
      <c r="G6" t="inlineStr">
        <is>
          <t>Chilquinta</t>
        </is>
      </c>
      <c r="H6" t="inlineStr">
        <is>
          <t>Empresa Eléctrica Carén S.A.</t>
        </is>
      </c>
      <c r="I6" t="inlineStr">
        <is>
          <t>Empresa Eléctrica Carén S.A.</t>
        </is>
      </c>
      <c r="J6" t="inlineStr">
        <is>
          <t>SIC 2013/03_2_BS1B_BB_CHILQUINTA_Empresa Eléctrica Carén S.A.</t>
        </is>
      </c>
      <c r="K6" t="inlineStr">
        <is>
          <t>Casablanca 012</t>
        </is>
      </c>
      <c r="L6" t="inlineStr">
        <is>
          <t>-1</t>
        </is>
      </c>
      <c r="M6" t="n">
        <v>3.94215200580695</v>
      </c>
      <c r="N6" t="n">
        <v>0</v>
      </c>
      <c r="O6" t="inlineStr">
        <is>
          <t>3</t>
        </is>
      </c>
      <c r="P6" s="2" t="n">
        <v>44999.6862684375</v>
      </c>
      <c r="Q6" t="n">
        <v>31</v>
      </c>
      <c r="R6" t="inlineStr">
        <is>
          <t>LOS MAQUIS 220</t>
        </is>
      </c>
      <c r="S6" t="n">
        <v>0.01965128503537266</v>
      </c>
      <c r="T6" t="n">
        <v>1.715353084436191</v>
      </c>
      <c r="U6" t="n">
        <v>0</v>
      </c>
      <c r="V6" t="n">
        <v>0</v>
      </c>
      <c r="W6" t="inlineStr">
        <is>
          <t>CHILQUINTA</t>
        </is>
      </c>
      <c r="X6" t="n">
        <v>92.861291440344</v>
      </c>
      <c r="Y6" t="n">
        <v>0.00171535308443619</v>
      </c>
      <c r="Z6" t="n">
        <v>1.824843706847011</v>
      </c>
      <c r="AA6" t="n">
        <v>0</v>
      </c>
      <c r="AB6" t="n">
        <v>0</v>
      </c>
      <c r="AC6" t="n">
        <v>0</v>
      </c>
      <c r="AD6" s="2" t="n">
        <v>44470</v>
      </c>
    </row>
    <row r="7">
      <c r="A7" t="n">
        <v>-1</v>
      </c>
      <c r="B7" t="inlineStr">
        <is>
          <t>01-10-2021</t>
        </is>
      </c>
      <c r="C7" t="n">
        <v>2021</v>
      </c>
      <c r="D7" t="n">
        <v>10</v>
      </c>
      <c r="E7" t="inlineStr">
        <is>
          <t>Casablanca 012</t>
        </is>
      </c>
      <c r="F7" t="inlineStr">
        <is>
          <t>Chilquinta</t>
        </is>
      </c>
      <c r="G7" t="inlineStr">
        <is>
          <t>Chilquinta</t>
        </is>
      </c>
      <c r="H7" t="inlineStr">
        <is>
          <t>Empresa Eléctrica Carén S.A.</t>
        </is>
      </c>
      <c r="I7" t="inlineStr">
        <is>
          <t>Empresa Eléctrica Carén S.A.</t>
        </is>
      </c>
      <c r="J7" t="inlineStr">
        <is>
          <t>SIC 2013/03_2_BS1B_BB_CHILQUINTA_Empresa Eléctrica Carén S.A.</t>
        </is>
      </c>
      <c r="K7" t="inlineStr">
        <is>
          <t>Casablanca 012</t>
        </is>
      </c>
      <c r="L7" t="inlineStr">
        <is>
          <t>-1</t>
        </is>
      </c>
      <c r="M7" t="n">
        <v>3.94215200580695</v>
      </c>
      <c r="N7" t="n">
        <v>0</v>
      </c>
      <c r="O7" t="inlineStr">
        <is>
          <t>3</t>
        </is>
      </c>
      <c r="P7" s="2" t="n">
        <v>44999.6862684375</v>
      </c>
      <c r="Q7" t="n">
        <v>13</v>
      </c>
      <c r="R7" t="inlineStr">
        <is>
          <t>MELIPILLA 220</t>
        </is>
      </c>
      <c r="S7" t="n">
        <v>3.936722946388257</v>
      </c>
      <c r="T7" t="n">
        <v>352.101251107011</v>
      </c>
      <c r="U7" t="n">
        <v>0</v>
      </c>
      <c r="V7" t="n">
        <v>0</v>
      </c>
      <c r="W7" t="inlineStr">
        <is>
          <t>CHILQUINTA</t>
        </is>
      </c>
      <c r="X7" t="n">
        <v>95.14913905578901</v>
      </c>
      <c r="Y7" t="n">
        <v>0.352101251107011</v>
      </c>
      <c r="Z7" t="n">
        <v>374.5757990500117</v>
      </c>
      <c r="AA7" t="n">
        <v>0</v>
      </c>
      <c r="AB7" t="n">
        <v>0</v>
      </c>
      <c r="AC7" t="n">
        <v>0</v>
      </c>
      <c r="AD7" s="2" t="n">
        <v>44470</v>
      </c>
    </row>
    <row r="8">
      <c r="A8" t="n">
        <v>-1</v>
      </c>
      <c r="B8" t="inlineStr">
        <is>
          <t>01-10-2021</t>
        </is>
      </c>
      <c r="C8" t="n">
        <v>2021</v>
      </c>
      <c r="D8" t="n">
        <v>10</v>
      </c>
      <c r="E8" t="inlineStr">
        <is>
          <t>Casablanca 012</t>
        </is>
      </c>
      <c r="F8" t="inlineStr">
        <is>
          <t>Chilquinta</t>
        </is>
      </c>
      <c r="G8" t="inlineStr">
        <is>
          <t>Chilquinta</t>
        </is>
      </c>
      <c r="H8" t="inlineStr">
        <is>
          <t>Empresa Eléctrica Carén S.A.</t>
        </is>
      </c>
      <c r="I8" t="inlineStr">
        <is>
          <t>Empresa Eléctrica Carén S.A.</t>
        </is>
      </c>
      <c r="J8" t="inlineStr">
        <is>
          <t>SIC 2013/03_2_BS1B_BB_CHILQUINTA_Empresa Eléctrica Carén S.A.</t>
        </is>
      </c>
      <c r="K8" t="inlineStr">
        <is>
          <t>Casablanca 012</t>
        </is>
      </c>
      <c r="L8" t="inlineStr">
        <is>
          <t>-1</t>
        </is>
      </c>
      <c r="M8" t="n">
        <v>3.94215200580695</v>
      </c>
      <c r="N8" t="n">
        <v>0</v>
      </c>
      <c r="O8" t="inlineStr">
        <is>
          <t>3</t>
        </is>
      </c>
      <c r="P8" s="2" t="n">
        <v>44999.6862684375</v>
      </c>
      <c r="Q8" t="n">
        <v>5</v>
      </c>
      <c r="R8" t="inlineStr">
        <is>
          <t>NOGALES 220</t>
        </is>
      </c>
      <c r="S8" t="n">
        <v>0.00192284213014834</v>
      </c>
      <c r="T8" t="n">
        <v>0.1716851614884555</v>
      </c>
      <c r="U8" t="n">
        <v>0</v>
      </c>
      <c r="V8" t="n">
        <v>0</v>
      </c>
      <c r="W8" t="inlineStr">
        <is>
          <t>CHILQUINTA</t>
        </is>
      </c>
      <c r="X8" t="n">
        <v>94.98636729132602</v>
      </c>
      <c r="Y8" t="n">
        <v>0.0001716851614884555</v>
      </c>
      <c r="Z8" t="n">
        <v>0.1826437888175059</v>
      </c>
      <c r="AA8" t="n">
        <v>0</v>
      </c>
      <c r="AB8" t="n">
        <v>0</v>
      </c>
      <c r="AC8" t="n">
        <v>0</v>
      </c>
      <c r="AD8" s="2" t="n">
        <v>44470</v>
      </c>
    </row>
    <row r="9">
      <c r="A9" t="n">
        <v>-1</v>
      </c>
      <c r="B9" t="inlineStr">
        <is>
          <t>01-10-2021</t>
        </is>
      </c>
      <c r="C9" t="n">
        <v>2021</v>
      </c>
      <c r="D9" t="n">
        <v>10</v>
      </c>
      <c r="E9" t="inlineStr">
        <is>
          <t>Casablanca 012</t>
        </is>
      </c>
      <c r="F9" t="inlineStr">
        <is>
          <t>Chilquinta</t>
        </is>
      </c>
      <c r="G9" t="inlineStr">
        <is>
          <t>Chilquinta</t>
        </is>
      </c>
      <c r="H9" t="inlineStr">
        <is>
          <t>Empresa Eléctrica Carén S.A.</t>
        </is>
      </c>
      <c r="I9" t="inlineStr">
        <is>
          <t>Empresa Eléctrica Carén S.A.</t>
        </is>
      </c>
      <c r="J9" t="inlineStr">
        <is>
          <t>SIC 2013/03_2_BS1B_BB_CHILQUINTA_Empresa Eléctrica Carén S.A.</t>
        </is>
      </c>
      <c r="K9" t="inlineStr">
        <is>
          <t>Casablanca 012</t>
        </is>
      </c>
      <c r="L9" t="inlineStr">
        <is>
          <t>-1</t>
        </is>
      </c>
      <c r="M9" t="n">
        <v>3.94215200580695</v>
      </c>
      <c r="N9" t="n">
        <v>0</v>
      </c>
      <c r="O9" t="inlineStr">
        <is>
          <t>3</t>
        </is>
      </c>
      <c r="P9" s="2" t="n">
        <v>44999.6862684375</v>
      </c>
      <c r="Q9" t="n">
        <v>11</v>
      </c>
      <c r="R9" t="inlineStr">
        <is>
          <t>QUILLOTA 220</t>
        </is>
      </c>
      <c r="S9" t="n">
        <v>0.08277413752149686</v>
      </c>
      <c r="T9" t="n">
        <v>7.225322509620423</v>
      </c>
      <c r="U9" t="n">
        <v>0</v>
      </c>
      <c r="V9" t="n">
        <v>0</v>
      </c>
      <c r="W9" t="inlineStr">
        <is>
          <t>CHILQUINTA</t>
        </is>
      </c>
      <c r="X9" t="n">
        <v>92.861291440344</v>
      </c>
      <c r="Y9" t="n">
        <v>0.007225322509620423</v>
      </c>
      <c r="Z9" t="n">
        <v>7.686513308106833</v>
      </c>
      <c r="AA9" t="n">
        <v>0</v>
      </c>
      <c r="AB9" t="n">
        <v>0</v>
      </c>
      <c r="AC9" t="n">
        <v>0</v>
      </c>
      <c r="AD9" s="2" t="n">
        <v>44470</v>
      </c>
    </row>
    <row r="10">
      <c r="A10" t="n">
        <v>-1</v>
      </c>
      <c r="B10" t="inlineStr">
        <is>
          <t>01-10-2021</t>
        </is>
      </c>
      <c r="C10" t="n">
        <v>2021</v>
      </c>
      <c r="D10" t="n">
        <v>10</v>
      </c>
      <c r="E10" t="inlineStr">
        <is>
          <t>Catemu 012</t>
        </is>
      </c>
      <c r="F10" t="inlineStr">
        <is>
          <t>Chilquinta</t>
        </is>
      </c>
      <c r="G10" t="inlineStr">
        <is>
          <t>Chilquinta</t>
        </is>
      </c>
      <c r="H10" t="inlineStr">
        <is>
          <t>Empresa Eléctrica Carén S.A.</t>
        </is>
      </c>
      <c r="I10" t="inlineStr">
        <is>
          <t>Empresa Eléctrica Carén S.A.</t>
        </is>
      </c>
      <c r="J10" t="inlineStr">
        <is>
          <t>SIC 2013/03_2_BS1B_BB_CHILQUINTA_Empresa Eléctrica Carén S.A.</t>
        </is>
      </c>
      <c r="K10" t="inlineStr">
        <is>
          <t>Catemu 012</t>
        </is>
      </c>
      <c r="L10" t="inlineStr">
        <is>
          <t>-1</t>
        </is>
      </c>
      <c r="M10" t="n">
        <v>176.2298195822407</v>
      </c>
      <c r="N10" t="n">
        <v>0</v>
      </c>
      <c r="O10" t="inlineStr">
        <is>
          <t>3</t>
        </is>
      </c>
      <c r="P10" s="2" t="n">
        <v>44999.6862684375</v>
      </c>
      <c r="Q10" t="n">
        <v>31</v>
      </c>
      <c r="R10" t="inlineStr">
        <is>
          <t>LOS MAQUIS 220</t>
        </is>
      </c>
      <c r="S10" t="n">
        <v>117.4008664793964</v>
      </c>
      <c r="T10" t="n">
        <v>10247.87631284261</v>
      </c>
      <c r="U10" t="n">
        <v>0</v>
      </c>
      <c r="V10" t="n">
        <v>0</v>
      </c>
      <c r="W10" t="inlineStr">
        <is>
          <t>CHILQUINTA</t>
        </is>
      </c>
      <c r="X10" t="n">
        <v>92.861291440344</v>
      </c>
      <c r="Y10" t="n">
        <v>10.24787631284261</v>
      </c>
      <c r="Z10" t="n">
        <v>10901.99607749214</v>
      </c>
      <c r="AA10" t="n">
        <v>0</v>
      </c>
      <c r="AB10" t="n">
        <v>0</v>
      </c>
      <c r="AC10" t="n">
        <v>0</v>
      </c>
      <c r="AD10" s="2" t="n">
        <v>44470</v>
      </c>
    </row>
    <row r="11">
      <c r="A11" t="n">
        <v>-1</v>
      </c>
      <c r="B11" t="inlineStr">
        <is>
          <t>01-10-2021</t>
        </is>
      </c>
      <c r="C11" t="n">
        <v>2021</v>
      </c>
      <c r="D11" t="n">
        <v>10</v>
      </c>
      <c r="E11" t="inlineStr">
        <is>
          <t>Catemu 012</t>
        </is>
      </c>
      <c r="F11" t="inlineStr">
        <is>
          <t>Chilquinta</t>
        </is>
      </c>
      <c r="G11" t="inlineStr">
        <is>
          <t>Chilquinta</t>
        </is>
      </c>
      <c r="H11" t="inlineStr">
        <is>
          <t>Empresa Eléctrica Carén S.A.</t>
        </is>
      </c>
      <c r="I11" t="inlineStr">
        <is>
          <t>Empresa Eléctrica Carén S.A.</t>
        </is>
      </c>
      <c r="J11" t="inlineStr">
        <is>
          <t>SIC 2013/03_2_BS1B_BB_CHILQUINTA_Empresa Eléctrica Carén S.A.</t>
        </is>
      </c>
      <c r="K11" t="inlineStr">
        <is>
          <t>Catemu 012</t>
        </is>
      </c>
      <c r="L11" t="inlineStr">
        <is>
          <t>-1</t>
        </is>
      </c>
      <c r="M11" t="n">
        <v>176.2298195822407</v>
      </c>
      <c r="N11" t="n">
        <v>0</v>
      </c>
      <c r="O11" t="inlineStr">
        <is>
          <t>3</t>
        </is>
      </c>
      <c r="P11" s="2" t="n">
        <v>44999.6862684375</v>
      </c>
      <c r="Q11" t="n">
        <v>13</v>
      </c>
      <c r="R11" t="inlineStr">
        <is>
          <t>MELIPILLA 220</t>
        </is>
      </c>
      <c r="S11" t="n">
        <v>4.242228088024956</v>
      </c>
      <c r="T11" t="n">
        <v>379.4256892386288</v>
      </c>
      <c r="U11" t="n">
        <v>0</v>
      </c>
      <c r="V11" t="n">
        <v>0</v>
      </c>
      <c r="W11" t="inlineStr">
        <is>
          <t>CHILQUINTA</t>
        </is>
      </c>
      <c r="X11" t="n">
        <v>95.14913905578901</v>
      </c>
      <c r="Y11" t="n">
        <v>0.3794256892386288</v>
      </c>
      <c r="Z11" t="n">
        <v>403.6443502538605</v>
      </c>
      <c r="AA11" t="n">
        <v>0</v>
      </c>
      <c r="AB11" t="n">
        <v>0</v>
      </c>
      <c r="AC11" t="n">
        <v>0</v>
      </c>
      <c r="AD11" s="2" t="n">
        <v>44470</v>
      </c>
    </row>
    <row r="12">
      <c r="A12" t="n">
        <v>-1</v>
      </c>
      <c r="B12" t="inlineStr">
        <is>
          <t>01-10-2021</t>
        </is>
      </c>
      <c r="C12" t="n">
        <v>2021</v>
      </c>
      <c r="D12" t="n">
        <v>10</v>
      </c>
      <c r="E12" t="inlineStr">
        <is>
          <t>Catemu 012</t>
        </is>
      </c>
      <c r="F12" t="inlineStr">
        <is>
          <t>Chilquinta</t>
        </is>
      </c>
      <c r="G12" t="inlineStr">
        <is>
          <t>Chilquinta</t>
        </is>
      </c>
      <c r="H12" t="inlineStr">
        <is>
          <t>Empresa Eléctrica Carén S.A.</t>
        </is>
      </c>
      <c r="I12" t="inlineStr">
        <is>
          <t>Empresa Eléctrica Carén S.A.</t>
        </is>
      </c>
      <c r="J12" t="inlineStr">
        <is>
          <t>SIC 2013/03_2_BS1B_BB_CHILQUINTA_Empresa Eléctrica Carén S.A.</t>
        </is>
      </c>
      <c r="K12" t="inlineStr">
        <is>
          <t>Catemu 012</t>
        </is>
      </c>
      <c r="L12" t="inlineStr">
        <is>
          <t>-1</t>
        </is>
      </c>
      <c r="M12" t="n">
        <v>176.2298195822407</v>
      </c>
      <c r="N12" t="n">
        <v>0</v>
      </c>
      <c r="O12" t="inlineStr">
        <is>
          <t>3</t>
        </is>
      </c>
      <c r="P12" s="2" t="n">
        <v>44999.6862684375</v>
      </c>
      <c r="Q12" t="n">
        <v>5</v>
      </c>
      <c r="R12" t="inlineStr">
        <is>
          <t>NOGALES 220</t>
        </is>
      </c>
      <c r="S12" t="n">
        <v>1.233064768886346</v>
      </c>
      <c r="T12" t="n">
        <v>110.0968824495465</v>
      </c>
      <c r="U12" t="n">
        <v>0</v>
      </c>
      <c r="V12" t="n">
        <v>0</v>
      </c>
      <c r="W12" t="inlineStr">
        <is>
          <t>CHILQUINTA</t>
        </is>
      </c>
      <c r="X12" t="n">
        <v>94.986367291326</v>
      </c>
      <c r="Y12" t="n">
        <v>0.1100968824495465</v>
      </c>
      <c r="Z12" t="n">
        <v>117.1243430314324</v>
      </c>
      <c r="AA12" t="n">
        <v>0</v>
      </c>
      <c r="AB12" t="n">
        <v>0</v>
      </c>
      <c r="AC12" t="n">
        <v>0</v>
      </c>
      <c r="AD12" s="2" t="n">
        <v>44470</v>
      </c>
    </row>
    <row r="13">
      <c r="A13" t="n">
        <v>-1</v>
      </c>
      <c r="B13" t="inlineStr">
        <is>
          <t>01-10-2021</t>
        </is>
      </c>
      <c r="C13" t="n">
        <v>2021</v>
      </c>
      <c r="D13" t="n">
        <v>10</v>
      </c>
      <c r="E13" t="inlineStr">
        <is>
          <t>Catemu 012</t>
        </is>
      </c>
      <c r="F13" t="inlineStr">
        <is>
          <t>Chilquinta</t>
        </is>
      </c>
      <c r="G13" t="inlineStr">
        <is>
          <t>Chilquinta</t>
        </is>
      </c>
      <c r="H13" t="inlineStr">
        <is>
          <t>Empresa Eléctrica Carén S.A.</t>
        </is>
      </c>
      <c r="I13" t="inlineStr">
        <is>
          <t>Empresa Eléctrica Carén S.A.</t>
        </is>
      </c>
      <c r="J13" t="inlineStr">
        <is>
          <t>SIC 2013/03_2_BS1B_BB_CHILQUINTA_Empresa Eléctrica Carén S.A.</t>
        </is>
      </c>
      <c r="K13" t="inlineStr">
        <is>
          <t>Catemu 012</t>
        </is>
      </c>
      <c r="L13" t="inlineStr">
        <is>
          <t>-1</t>
        </is>
      </c>
      <c r="M13" t="n">
        <v>176.2298195822407</v>
      </c>
      <c r="N13" t="n">
        <v>0</v>
      </c>
      <c r="O13" t="inlineStr">
        <is>
          <t>3</t>
        </is>
      </c>
      <c r="P13" s="2" t="n">
        <v>44999.6862684375</v>
      </c>
      <c r="Q13" t="n">
        <v>11</v>
      </c>
      <c r="R13" t="inlineStr">
        <is>
          <t>QUILLOTA 220</t>
        </is>
      </c>
      <c r="S13" t="n">
        <v>57.77574079279579</v>
      </c>
      <c r="T13" t="n">
        <v>5043.222109705087</v>
      </c>
      <c r="U13" t="n">
        <v>0</v>
      </c>
      <c r="V13" t="n">
        <v>0</v>
      </c>
      <c r="W13" t="inlineStr">
        <is>
          <t>CHILQUINTA</t>
        </is>
      </c>
      <c r="X13" t="n">
        <v>92.861291440344</v>
      </c>
      <c r="Y13" t="n">
        <v>5.043222109705086</v>
      </c>
      <c r="Z13" t="n">
        <v>5365.129903941582</v>
      </c>
      <c r="AA13" t="n">
        <v>0</v>
      </c>
      <c r="AB13" t="n">
        <v>0</v>
      </c>
      <c r="AC13" t="n">
        <v>0</v>
      </c>
      <c r="AD13" s="2" t="n">
        <v>44470</v>
      </c>
    </row>
    <row r="14">
      <c r="A14" t="n">
        <v>-1</v>
      </c>
      <c r="B14" t="inlineStr">
        <is>
          <t>01-10-2021</t>
        </is>
      </c>
      <c r="C14" t="n">
        <v>2021</v>
      </c>
      <c r="D14" t="n">
        <v>10</v>
      </c>
      <c r="E14" t="inlineStr">
        <is>
          <t>Con Con 012</t>
        </is>
      </c>
      <c r="F14" t="inlineStr">
        <is>
          <t>Chilquinta</t>
        </is>
      </c>
      <c r="G14" t="inlineStr">
        <is>
          <t>Chilquinta</t>
        </is>
      </c>
      <c r="H14" t="inlineStr">
        <is>
          <t>Empresa Eléctrica Carén S.A.</t>
        </is>
      </c>
      <c r="I14" t="inlineStr">
        <is>
          <t>Empresa Eléctrica Carén S.A.</t>
        </is>
      </c>
      <c r="J14" t="inlineStr">
        <is>
          <t>SIC 2013/03_2_BS1B_BB_CHILQUINTA_Empresa Eléctrica Carén S.A.</t>
        </is>
      </c>
      <c r="K14" t="inlineStr">
        <is>
          <t>Con Con 012</t>
        </is>
      </c>
      <c r="L14" t="inlineStr">
        <is>
          <t>-1</t>
        </is>
      </c>
      <c r="M14" t="n">
        <v>280.7071941842731</v>
      </c>
      <c r="N14" t="n">
        <v>0</v>
      </c>
      <c r="O14" t="inlineStr">
        <is>
          <t>3</t>
        </is>
      </c>
      <c r="P14" s="2" t="n">
        <v>44999.6862684375</v>
      </c>
      <c r="Q14" t="n">
        <v>31</v>
      </c>
      <c r="R14" t="inlineStr">
        <is>
          <t>LOS MAQUIS 220</t>
        </is>
      </c>
      <c r="S14" t="n">
        <v>55.22990035688044</v>
      </c>
      <c r="T14" t="n">
        <v>4820.996680865748</v>
      </c>
      <c r="U14" t="n">
        <v>0</v>
      </c>
      <c r="V14" t="n">
        <v>0</v>
      </c>
      <c r="W14" t="inlineStr">
        <is>
          <t>CHILQUINTA</t>
        </is>
      </c>
      <c r="X14" t="n">
        <v>92.861291440344</v>
      </c>
      <c r="Y14" t="n">
        <v>4.820996680865747</v>
      </c>
      <c r="Z14" t="n">
        <v>5128.719873261434</v>
      </c>
      <c r="AA14" t="n">
        <v>0</v>
      </c>
      <c r="AB14" t="n">
        <v>0</v>
      </c>
      <c r="AC14" t="n">
        <v>0</v>
      </c>
      <c r="AD14" s="2" t="n">
        <v>44470</v>
      </c>
    </row>
    <row r="15">
      <c r="A15" t="n">
        <v>-1</v>
      </c>
      <c r="B15" t="inlineStr">
        <is>
          <t>01-10-2021</t>
        </is>
      </c>
      <c r="C15" t="n">
        <v>2021</v>
      </c>
      <c r="D15" t="n">
        <v>10</v>
      </c>
      <c r="E15" t="inlineStr">
        <is>
          <t>Con Con 012</t>
        </is>
      </c>
      <c r="F15" t="inlineStr">
        <is>
          <t>Chilquinta</t>
        </is>
      </c>
      <c r="G15" t="inlineStr">
        <is>
          <t>Chilquinta</t>
        </is>
      </c>
      <c r="H15" t="inlineStr">
        <is>
          <t>Empresa Eléctrica Carén S.A.</t>
        </is>
      </c>
      <c r="I15" t="inlineStr">
        <is>
          <t>Empresa Eléctrica Carén S.A.</t>
        </is>
      </c>
      <c r="J15" t="inlineStr">
        <is>
          <t>SIC 2013/03_2_BS1B_BB_CHILQUINTA_Empresa Eléctrica Carén S.A.</t>
        </is>
      </c>
      <c r="K15" t="inlineStr">
        <is>
          <t>Con Con 012</t>
        </is>
      </c>
      <c r="L15" t="inlineStr">
        <is>
          <t>-1</t>
        </is>
      </c>
      <c r="M15" t="n">
        <v>280.7071941842731</v>
      </c>
      <c r="N15" t="n">
        <v>0</v>
      </c>
      <c r="O15" t="inlineStr">
        <is>
          <t>3</t>
        </is>
      </c>
      <c r="P15" s="2" t="n">
        <v>44999.6862684375</v>
      </c>
      <c r="Q15" t="n">
        <v>13</v>
      </c>
      <c r="R15" t="inlineStr">
        <is>
          <t>MELIPILLA 220</t>
        </is>
      </c>
      <c r="S15" t="n">
        <v>38.74324525083829</v>
      </c>
      <c r="T15" t="n">
        <v>3465.203244053877</v>
      </c>
      <c r="U15" t="n">
        <v>0</v>
      </c>
      <c r="V15" t="n">
        <v>0</v>
      </c>
      <c r="W15" t="inlineStr">
        <is>
          <t>CHILQUINTA</t>
        </is>
      </c>
      <c r="X15" t="n">
        <v>95.14913905578902</v>
      </c>
      <c r="Y15" t="n">
        <v>3.465203244053877</v>
      </c>
      <c r="Z15" t="n">
        <v>3686.386429844551</v>
      </c>
      <c r="AA15" t="n">
        <v>0</v>
      </c>
      <c r="AB15" t="n">
        <v>0</v>
      </c>
      <c r="AC15" t="n">
        <v>0</v>
      </c>
      <c r="AD15" s="2" t="n">
        <v>44470</v>
      </c>
    </row>
    <row r="16">
      <c r="A16" t="n">
        <v>-1</v>
      </c>
      <c r="B16" t="inlineStr">
        <is>
          <t>01-10-2021</t>
        </is>
      </c>
      <c r="C16" t="n">
        <v>2021</v>
      </c>
      <c r="D16" t="n">
        <v>10</v>
      </c>
      <c r="E16" t="inlineStr">
        <is>
          <t>Con Con 012</t>
        </is>
      </c>
      <c r="F16" t="inlineStr">
        <is>
          <t>Chilquinta</t>
        </is>
      </c>
      <c r="G16" t="inlineStr">
        <is>
          <t>Chilquinta</t>
        </is>
      </c>
      <c r="H16" t="inlineStr">
        <is>
          <t>Empresa Eléctrica Carén S.A.</t>
        </is>
      </c>
      <c r="I16" t="inlineStr">
        <is>
          <t>Empresa Eléctrica Carén S.A.</t>
        </is>
      </c>
      <c r="J16" t="inlineStr">
        <is>
          <t>SIC 2013/03_2_BS1B_BB_CHILQUINTA_Empresa Eléctrica Carén S.A.</t>
        </is>
      </c>
      <c r="K16" t="inlineStr">
        <is>
          <t>Con Con 012</t>
        </is>
      </c>
      <c r="L16" t="inlineStr">
        <is>
          <t>-1</t>
        </is>
      </c>
      <c r="M16" t="n">
        <v>280.7071941842731</v>
      </c>
      <c r="N16" t="n">
        <v>0</v>
      </c>
      <c r="O16" t="inlineStr">
        <is>
          <t>3</t>
        </is>
      </c>
      <c r="P16" s="2" t="n">
        <v>44999.6862684375</v>
      </c>
      <c r="Q16" t="n">
        <v>5</v>
      </c>
      <c r="R16" t="inlineStr">
        <is>
          <t>NOGALES 220</t>
        </is>
      </c>
      <c r="S16" t="n">
        <v>9.252075012918214</v>
      </c>
      <c r="T16" t="n">
        <v>826.0917356609123</v>
      </c>
      <c r="U16" t="n">
        <v>0</v>
      </c>
      <c r="V16" t="n">
        <v>0</v>
      </c>
      <c r="W16" t="inlineStr">
        <is>
          <t>CHILQUINTA</t>
        </is>
      </c>
      <c r="X16" t="n">
        <v>94.98636729132599</v>
      </c>
      <c r="Y16" t="n">
        <v>0.8260917356609121</v>
      </c>
      <c r="Z16" t="n">
        <v>878.8209953839493</v>
      </c>
      <c r="AA16" t="n">
        <v>0</v>
      </c>
      <c r="AB16" t="n">
        <v>0</v>
      </c>
      <c r="AC16" t="n">
        <v>0</v>
      </c>
      <c r="AD16" s="2" t="n">
        <v>44470</v>
      </c>
    </row>
    <row r="17">
      <c r="A17" t="n">
        <v>-1</v>
      </c>
      <c r="B17" t="inlineStr">
        <is>
          <t>01-10-2021</t>
        </is>
      </c>
      <c r="C17" t="n">
        <v>2021</v>
      </c>
      <c r="D17" t="n">
        <v>10</v>
      </c>
      <c r="E17" t="inlineStr">
        <is>
          <t>Con Con 012</t>
        </is>
      </c>
      <c r="F17" t="inlineStr">
        <is>
          <t>Chilquinta</t>
        </is>
      </c>
      <c r="G17" t="inlineStr">
        <is>
          <t>Chilquinta</t>
        </is>
      </c>
      <c r="H17" t="inlineStr">
        <is>
          <t>Empresa Eléctrica Carén S.A.</t>
        </is>
      </c>
      <c r="I17" t="inlineStr">
        <is>
          <t>Empresa Eléctrica Carén S.A.</t>
        </is>
      </c>
      <c r="J17" t="inlineStr">
        <is>
          <t>SIC 2013/03_2_BS1B_BB_CHILQUINTA_Empresa Eléctrica Carén S.A.</t>
        </is>
      </c>
      <c r="K17" t="inlineStr">
        <is>
          <t>Con Con 012</t>
        </is>
      </c>
      <c r="L17" t="inlineStr">
        <is>
          <t>-1</t>
        </is>
      </c>
      <c r="M17" t="n">
        <v>280.7071941842731</v>
      </c>
      <c r="N17" t="n">
        <v>0</v>
      </c>
      <c r="O17" t="inlineStr">
        <is>
          <t>3</t>
        </is>
      </c>
      <c r="P17" s="2" t="n">
        <v>44999.6862684375</v>
      </c>
      <c r="Q17" t="n">
        <v>11</v>
      </c>
      <c r="R17" t="inlineStr">
        <is>
          <t>QUILLOTA 220</t>
        </is>
      </c>
      <c r="S17" t="n">
        <v>184.5256726703442</v>
      </c>
      <c r="T17" t="n">
        <v>16107.17473198238</v>
      </c>
      <c r="U17" t="n">
        <v>0</v>
      </c>
      <c r="V17" t="n">
        <v>0</v>
      </c>
      <c r="W17" t="inlineStr">
        <is>
          <t>CHILQUINTA</t>
        </is>
      </c>
      <c r="X17" t="n">
        <v>92.86129144034402</v>
      </c>
      <c r="Y17" t="n">
        <v>16.10717473198238</v>
      </c>
      <c r="Z17" t="n">
        <v>17135.29226806636</v>
      </c>
      <c r="AA17" t="n">
        <v>0</v>
      </c>
      <c r="AB17" t="n">
        <v>0</v>
      </c>
      <c r="AC17" t="n">
        <v>0</v>
      </c>
      <c r="AD17" s="2" t="n">
        <v>44470</v>
      </c>
    </row>
    <row r="18">
      <c r="A18" t="n">
        <v>-1</v>
      </c>
      <c r="B18" t="inlineStr">
        <is>
          <t>01-10-2021</t>
        </is>
      </c>
      <c r="C18" t="n">
        <v>2021</v>
      </c>
      <c r="D18" t="n">
        <v>10</v>
      </c>
      <c r="E18" t="inlineStr">
        <is>
          <t>El Melon 012</t>
        </is>
      </c>
      <c r="F18" t="inlineStr">
        <is>
          <t>Chilquinta</t>
        </is>
      </c>
      <c r="G18" t="inlineStr">
        <is>
          <t>Chilquinta</t>
        </is>
      </c>
      <c r="H18" t="inlineStr">
        <is>
          <t>Empresa Eléctrica Carén S.A.</t>
        </is>
      </c>
      <c r="I18" t="inlineStr">
        <is>
          <t>Empresa Eléctrica Carén S.A.</t>
        </is>
      </c>
      <c r="J18" t="inlineStr">
        <is>
          <t>SIC 2013/03_2_BS1B_BB_CHILQUINTA_Empresa Eléctrica Carén S.A.</t>
        </is>
      </c>
      <c r="K18" t="inlineStr">
        <is>
          <t>El Melon 012</t>
        </is>
      </c>
      <c r="L18" t="inlineStr">
        <is>
          <t>-1</t>
        </is>
      </c>
      <c r="M18" t="n">
        <v>195.9375594395014</v>
      </c>
      <c r="N18" t="n">
        <v>0</v>
      </c>
      <c r="O18" t="inlineStr">
        <is>
          <t>3</t>
        </is>
      </c>
      <c r="P18" s="2" t="n">
        <v>44999.6862684375</v>
      </c>
      <c r="Q18" t="n">
        <v>31</v>
      </c>
      <c r="R18" t="inlineStr">
        <is>
          <t>LOS MAQUIS 220</t>
        </is>
      </c>
      <c r="S18" t="n">
        <v>117.4178404927705</v>
      </c>
      <c r="T18" t="n">
        <v>10249.35796791729</v>
      </c>
      <c r="U18" t="n">
        <v>0</v>
      </c>
      <c r="V18" t="n">
        <v>0</v>
      </c>
      <c r="W18" t="inlineStr">
        <is>
          <t>CHILQUINTA</t>
        </is>
      </c>
      <c r="X18" t="n">
        <v>92.861291440344</v>
      </c>
      <c r="Y18" t="n">
        <v>10.24935796791729</v>
      </c>
      <c r="Z18" t="n">
        <v>10903.57230629499</v>
      </c>
      <c r="AA18" t="n">
        <v>0</v>
      </c>
      <c r="AB18" t="n">
        <v>0</v>
      </c>
      <c r="AC18" t="n">
        <v>0</v>
      </c>
      <c r="AD18" s="2" t="n">
        <v>44470</v>
      </c>
    </row>
    <row r="19">
      <c r="A19" t="n">
        <v>-1</v>
      </c>
      <c r="B19" t="inlineStr">
        <is>
          <t>01-10-2021</t>
        </is>
      </c>
      <c r="C19" t="n">
        <v>2021</v>
      </c>
      <c r="D19" t="n">
        <v>10</v>
      </c>
      <c r="E19" t="inlineStr">
        <is>
          <t>El Melon 012</t>
        </is>
      </c>
      <c r="F19" t="inlineStr">
        <is>
          <t>Chilquinta</t>
        </is>
      </c>
      <c r="G19" t="inlineStr">
        <is>
          <t>Chilquinta</t>
        </is>
      </c>
      <c r="H19" t="inlineStr">
        <is>
          <t>Empresa Eléctrica Carén S.A.</t>
        </is>
      </c>
      <c r="I19" t="inlineStr">
        <is>
          <t>Empresa Eléctrica Carén S.A.</t>
        </is>
      </c>
      <c r="J19" t="inlineStr">
        <is>
          <t>SIC 2013/03_2_BS1B_BB_CHILQUINTA_Empresa Eléctrica Carén S.A.</t>
        </is>
      </c>
      <c r="K19" t="inlineStr">
        <is>
          <t>El Melon 012</t>
        </is>
      </c>
      <c r="L19" t="inlineStr">
        <is>
          <t>-1</t>
        </is>
      </c>
      <c r="M19" t="n">
        <v>195.9375594395014</v>
      </c>
      <c r="N19" t="n">
        <v>0</v>
      </c>
      <c r="O19" t="inlineStr">
        <is>
          <t>3</t>
        </is>
      </c>
      <c r="P19" s="2" t="n">
        <v>44999.6862684375</v>
      </c>
      <c r="Q19" t="n">
        <v>13</v>
      </c>
      <c r="R19" t="inlineStr">
        <is>
          <t>MELIPILLA 220</t>
        </is>
      </c>
      <c r="S19" t="n">
        <v>6.157923509812755</v>
      </c>
      <c r="T19" t="n">
        <v>550.7658531102809</v>
      </c>
      <c r="U19" t="n">
        <v>0</v>
      </c>
      <c r="V19" t="n">
        <v>0</v>
      </c>
      <c r="W19" t="inlineStr">
        <is>
          <t>CHILQUINTA</t>
        </is>
      </c>
      <c r="X19" t="n">
        <v>95.14913905578902</v>
      </c>
      <c r="Y19" t="n">
        <v>0.5507658531102809</v>
      </c>
      <c r="Z19" t="n">
        <v>585.9211203300861</v>
      </c>
      <c r="AA19" t="n">
        <v>0</v>
      </c>
      <c r="AB19" t="n">
        <v>0</v>
      </c>
      <c r="AC19" t="n">
        <v>0</v>
      </c>
      <c r="AD19" s="2" t="n">
        <v>44470</v>
      </c>
    </row>
    <row r="20">
      <c r="A20" t="n">
        <v>-1</v>
      </c>
      <c r="B20" t="inlineStr">
        <is>
          <t>01-10-2021</t>
        </is>
      </c>
      <c r="C20" t="n">
        <v>2021</v>
      </c>
      <c r="D20" t="n">
        <v>10</v>
      </c>
      <c r="E20" t="inlineStr">
        <is>
          <t>El Melon 012</t>
        </is>
      </c>
      <c r="F20" t="inlineStr">
        <is>
          <t>Chilquinta</t>
        </is>
      </c>
      <c r="G20" t="inlineStr">
        <is>
          <t>Chilquinta</t>
        </is>
      </c>
      <c r="H20" t="inlineStr">
        <is>
          <t>Empresa Eléctrica Carén S.A.</t>
        </is>
      </c>
      <c r="I20" t="inlineStr">
        <is>
          <t>Empresa Eléctrica Carén S.A.</t>
        </is>
      </c>
      <c r="J20" t="inlineStr">
        <is>
          <t>SIC 2013/03_2_BS1B_BB_CHILQUINTA_Empresa Eléctrica Carén S.A.</t>
        </is>
      </c>
      <c r="K20" t="inlineStr">
        <is>
          <t>El Melon 012</t>
        </is>
      </c>
      <c r="L20" t="inlineStr">
        <is>
          <t>-1</t>
        </is>
      </c>
      <c r="M20" t="n">
        <v>195.9375594395014</v>
      </c>
      <c r="N20" t="n">
        <v>0</v>
      </c>
      <c r="O20" t="inlineStr">
        <is>
          <t>3</t>
        </is>
      </c>
      <c r="P20" s="2" t="n">
        <v>44999.6862684375</v>
      </c>
      <c r="Q20" t="n">
        <v>5</v>
      </c>
      <c r="R20" t="inlineStr">
        <is>
          <t>NOGALES 220</t>
        </is>
      </c>
      <c r="S20" t="n">
        <v>1.758475836427771</v>
      </c>
      <c r="T20" t="n">
        <v>157.009357771539</v>
      </c>
      <c r="U20" t="n">
        <v>0</v>
      </c>
      <c r="V20" t="n">
        <v>0</v>
      </c>
      <c r="W20" t="inlineStr">
        <is>
          <t>CHILQUINTA</t>
        </is>
      </c>
      <c r="X20" t="n">
        <v>94.98636729132599</v>
      </c>
      <c r="Y20" t="n">
        <v>0.1570093577715389</v>
      </c>
      <c r="Z20" t="n">
        <v>167.03123167185</v>
      </c>
      <c r="AA20" t="n">
        <v>0</v>
      </c>
      <c r="AB20" t="n">
        <v>0</v>
      </c>
      <c r="AC20" t="n">
        <v>0</v>
      </c>
      <c r="AD20" s="2" t="n">
        <v>44470</v>
      </c>
    </row>
    <row r="21">
      <c r="A21" t="n">
        <v>-1</v>
      </c>
      <c r="B21" t="inlineStr">
        <is>
          <t>01-10-2021</t>
        </is>
      </c>
      <c r="C21" t="n">
        <v>2021</v>
      </c>
      <c r="D21" t="n">
        <v>10</v>
      </c>
      <c r="E21" t="inlineStr">
        <is>
          <t>El Melon 012</t>
        </is>
      </c>
      <c r="F21" t="inlineStr">
        <is>
          <t>Chilquinta</t>
        </is>
      </c>
      <c r="G21" t="inlineStr">
        <is>
          <t>Chilquinta</t>
        </is>
      </c>
      <c r="H21" t="inlineStr">
        <is>
          <t>Empresa Eléctrica Carén S.A.</t>
        </is>
      </c>
      <c r="I21" t="inlineStr">
        <is>
          <t>Empresa Eléctrica Carén S.A.</t>
        </is>
      </c>
      <c r="J21" t="inlineStr">
        <is>
          <t>SIC 2013/03_2_BS1B_BB_CHILQUINTA_Empresa Eléctrica Carén S.A.</t>
        </is>
      </c>
      <c r="K21" t="inlineStr">
        <is>
          <t>El Melon 012</t>
        </is>
      </c>
      <c r="L21" t="inlineStr">
        <is>
          <t>-1</t>
        </is>
      </c>
      <c r="M21" t="n">
        <v>195.9375594395014</v>
      </c>
      <c r="N21" t="n">
        <v>0</v>
      </c>
      <c r="O21" t="inlineStr">
        <is>
          <t>3</t>
        </is>
      </c>
      <c r="P21" s="2" t="n">
        <v>44999.6862684375</v>
      </c>
      <c r="Q21" t="n">
        <v>11</v>
      </c>
      <c r="R21" t="inlineStr">
        <is>
          <t>QUILLOTA 220</t>
        </is>
      </c>
      <c r="S21" t="n">
        <v>75.51992038945536</v>
      </c>
      <c r="T21" t="n">
        <v>6592.104696626585</v>
      </c>
      <c r="U21" t="n">
        <v>0</v>
      </c>
      <c r="V21" t="n">
        <v>0</v>
      </c>
      <c r="W21" t="inlineStr">
        <is>
          <t>CHILQUINTA</t>
        </is>
      </c>
      <c r="X21" t="n">
        <v>92.861291440344</v>
      </c>
      <c r="Y21" t="n">
        <v>6.592104696626584</v>
      </c>
      <c r="Z21" t="n">
        <v>7012.877336836793</v>
      </c>
      <c r="AA21" t="n">
        <v>0</v>
      </c>
      <c r="AB21" t="n">
        <v>0</v>
      </c>
      <c r="AC21" t="n">
        <v>0</v>
      </c>
      <c r="AD21" s="2" t="n">
        <v>44470</v>
      </c>
    </row>
    <row r="22">
      <c r="A22" t="n">
        <v>-1</v>
      </c>
      <c r="B22" t="inlineStr">
        <is>
          <t>01-10-2021</t>
        </is>
      </c>
      <c r="C22" t="n">
        <v>2021</v>
      </c>
      <c r="D22" t="n">
        <v>10</v>
      </c>
      <c r="E22" t="inlineStr">
        <is>
          <t>Juncal 012</t>
        </is>
      </c>
      <c r="F22" t="inlineStr">
        <is>
          <t>Chilquinta</t>
        </is>
      </c>
      <c r="G22" t="inlineStr">
        <is>
          <t>Chilquinta</t>
        </is>
      </c>
      <c r="H22" t="inlineStr">
        <is>
          <t>Empresa Eléctrica Carén S.A.</t>
        </is>
      </c>
      <c r="I22" t="inlineStr">
        <is>
          <t>Empresa Eléctrica Carén S.A.</t>
        </is>
      </c>
      <c r="J22" t="inlineStr">
        <is>
          <t>SIC 2013/03_2_BS1B_BB_CHILQUINTA_Empresa Eléctrica Carén S.A.</t>
        </is>
      </c>
      <c r="K22" t="inlineStr">
        <is>
          <t>Juncal 012</t>
        </is>
      </c>
      <c r="L22" t="inlineStr">
        <is>
          <t>-1</t>
        </is>
      </c>
      <c r="M22" t="n">
        <v>13.11741578651977</v>
      </c>
      <c r="N22" t="n">
        <v>0</v>
      </c>
      <c r="O22" t="inlineStr">
        <is>
          <t>3</t>
        </is>
      </c>
      <c r="P22" s="2" t="n">
        <v>44999.6862684375</v>
      </c>
      <c r="Q22" t="n">
        <v>31</v>
      </c>
      <c r="R22" t="inlineStr">
        <is>
          <t>LOS MAQUIS 220</t>
        </is>
      </c>
      <c r="S22" t="n">
        <v>11.31532260856084</v>
      </c>
      <c r="T22" t="n">
        <v>987.7101422653762</v>
      </c>
      <c r="U22" t="n">
        <v>0</v>
      </c>
      <c r="V22" t="n">
        <v>0</v>
      </c>
      <c r="W22" t="inlineStr">
        <is>
          <t>CHILQUINTA</t>
        </is>
      </c>
      <c r="X22" t="n">
        <v>92.86129144034402</v>
      </c>
      <c r="Y22" t="n">
        <v>0.9877101422653765</v>
      </c>
      <c r="Z22" t="n">
        <v>1050.755470495081</v>
      </c>
      <c r="AA22" t="n">
        <v>0</v>
      </c>
      <c r="AB22" t="n">
        <v>0</v>
      </c>
      <c r="AC22" t="n">
        <v>0</v>
      </c>
      <c r="AD22" s="2" t="n">
        <v>44470</v>
      </c>
    </row>
    <row r="23">
      <c r="A23" t="n">
        <v>-1</v>
      </c>
      <c r="B23" t="inlineStr">
        <is>
          <t>01-10-2021</t>
        </is>
      </c>
      <c r="C23" t="n">
        <v>2021</v>
      </c>
      <c r="D23" t="n">
        <v>10</v>
      </c>
      <c r="E23" t="inlineStr">
        <is>
          <t>Juncal 012</t>
        </is>
      </c>
      <c r="F23" t="inlineStr">
        <is>
          <t>Chilquinta</t>
        </is>
      </c>
      <c r="G23" t="inlineStr">
        <is>
          <t>Chilquinta</t>
        </is>
      </c>
      <c r="H23" t="inlineStr">
        <is>
          <t>Empresa Eléctrica Carén S.A.</t>
        </is>
      </c>
      <c r="I23" t="inlineStr">
        <is>
          <t>Empresa Eléctrica Carén S.A.</t>
        </is>
      </c>
      <c r="J23" t="inlineStr">
        <is>
          <t>SIC 2013/03_2_BS1B_BB_CHILQUINTA_Empresa Eléctrica Carén S.A.</t>
        </is>
      </c>
      <c r="K23" t="inlineStr">
        <is>
          <t>Juncal 012</t>
        </is>
      </c>
      <c r="L23" t="inlineStr">
        <is>
          <t>-1</t>
        </is>
      </c>
      <c r="M23" t="n">
        <v>13.11741578651977</v>
      </c>
      <c r="N23" t="n">
        <v>0</v>
      </c>
      <c r="O23" t="inlineStr">
        <is>
          <t>3</t>
        </is>
      </c>
      <c r="P23" s="2" t="n">
        <v>44999.6862684375</v>
      </c>
      <c r="Q23" t="n">
        <v>5</v>
      </c>
      <c r="R23" t="inlineStr">
        <is>
          <t>NOGALES 220</t>
        </is>
      </c>
      <c r="S23" t="n">
        <v>0.02258370832287952</v>
      </c>
      <c r="T23" t="n">
        <v>2.016435748743777</v>
      </c>
      <c r="U23" t="n">
        <v>0</v>
      </c>
      <c r="V23" t="n">
        <v>0</v>
      </c>
      <c r="W23" t="inlineStr">
        <is>
          <t>CHILQUINTA</t>
        </is>
      </c>
      <c r="X23" t="n">
        <v>94.98636729132602</v>
      </c>
      <c r="Y23" t="n">
        <v>0.002016435748743778</v>
      </c>
      <c r="Z23" t="n">
        <v>2.14514441355721</v>
      </c>
      <c r="AA23" t="n">
        <v>0</v>
      </c>
      <c r="AB23" t="n">
        <v>0</v>
      </c>
      <c r="AC23" t="n">
        <v>0</v>
      </c>
      <c r="AD23" s="2" t="n">
        <v>44470</v>
      </c>
    </row>
    <row r="24">
      <c r="A24" t="n">
        <v>-1</v>
      </c>
      <c r="B24" t="inlineStr">
        <is>
          <t>01-10-2021</t>
        </is>
      </c>
      <c r="C24" t="n">
        <v>2021</v>
      </c>
      <c r="D24" t="n">
        <v>10</v>
      </c>
      <c r="E24" t="inlineStr">
        <is>
          <t>Juncal 012</t>
        </is>
      </c>
      <c r="F24" t="inlineStr">
        <is>
          <t>Chilquinta</t>
        </is>
      </c>
      <c r="G24" t="inlineStr">
        <is>
          <t>Chilquinta</t>
        </is>
      </c>
      <c r="H24" t="inlineStr">
        <is>
          <t>Empresa Eléctrica Carén S.A.</t>
        </is>
      </c>
      <c r="I24" t="inlineStr">
        <is>
          <t>Empresa Eléctrica Carén S.A.</t>
        </is>
      </c>
      <c r="J24" t="inlineStr">
        <is>
          <t>SIC 2013/03_2_BS1B_BB_CHILQUINTA_Empresa Eléctrica Carén S.A.</t>
        </is>
      </c>
      <c r="K24" t="inlineStr">
        <is>
          <t>Juncal 012</t>
        </is>
      </c>
      <c r="L24" t="inlineStr">
        <is>
          <t>-1</t>
        </is>
      </c>
      <c r="M24" t="n">
        <v>13.11741578651977</v>
      </c>
      <c r="N24" t="n">
        <v>0</v>
      </c>
      <c r="O24" t="inlineStr">
        <is>
          <t>3</t>
        </is>
      </c>
      <c r="P24" s="2" t="n">
        <v>44999.6862684375</v>
      </c>
      <c r="Q24" t="n">
        <v>11</v>
      </c>
      <c r="R24" t="inlineStr">
        <is>
          <t>QUILLOTA 220</t>
        </is>
      </c>
      <c r="S24" t="n">
        <v>2.108660741039428</v>
      </c>
      <c r="T24" t="n">
        <v>184.0641820451257</v>
      </c>
      <c r="U24" t="n">
        <v>0</v>
      </c>
      <c r="V24" t="n">
        <v>0</v>
      </c>
      <c r="W24" t="inlineStr">
        <is>
          <t>CHILQUINTA</t>
        </is>
      </c>
      <c r="X24" t="n">
        <v>92.861291440344</v>
      </c>
      <c r="Y24" t="n">
        <v>0.1840641820451257</v>
      </c>
      <c r="Z24" t="n">
        <v>195.8129596224742</v>
      </c>
      <c r="AA24" t="n">
        <v>0</v>
      </c>
      <c r="AB24" t="n">
        <v>0</v>
      </c>
      <c r="AC24" t="n">
        <v>0</v>
      </c>
      <c r="AD24" s="2" t="n">
        <v>44470</v>
      </c>
    </row>
    <row r="25">
      <c r="A25" t="n">
        <v>-1</v>
      </c>
      <c r="B25" t="inlineStr">
        <is>
          <t>01-10-2021</t>
        </is>
      </c>
      <c r="C25" t="n">
        <v>2021</v>
      </c>
      <c r="D25" t="n">
        <v>10</v>
      </c>
      <c r="E25" t="inlineStr">
        <is>
          <t>La Calera 012</t>
        </is>
      </c>
      <c r="F25" t="inlineStr">
        <is>
          <t>Chilquinta</t>
        </is>
      </c>
      <c r="G25" t="inlineStr">
        <is>
          <t>Chilquinta</t>
        </is>
      </c>
      <c r="H25" t="inlineStr">
        <is>
          <t>Empresa Eléctrica Carén S.A.</t>
        </is>
      </c>
      <c r="I25" t="inlineStr">
        <is>
          <t>Empresa Eléctrica Carén S.A.</t>
        </is>
      </c>
      <c r="J25" t="inlineStr">
        <is>
          <t>SIC 2013/03_2_BS1B_BB_CHILQUINTA_Empresa Eléctrica Carén S.A.</t>
        </is>
      </c>
      <c r="K25" t="inlineStr">
        <is>
          <t>La Calera 012</t>
        </is>
      </c>
      <c r="L25" t="inlineStr">
        <is>
          <t>-1</t>
        </is>
      </c>
      <c r="M25" t="n">
        <v>788.1405284892353</v>
      </c>
      <c r="N25" t="n">
        <v>0</v>
      </c>
      <c r="O25" t="inlineStr">
        <is>
          <t>3</t>
        </is>
      </c>
      <c r="P25" s="2" t="n">
        <v>44999.6862684375</v>
      </c>
      <c r="Q25" t="n">
        <v>31</v>
      </c>
      <c r="R25" t="inlineStr">
        <is>
          <t>LOS MAQUIS 220</t>
        </is>
      </c>
      <c r="S25" t="n">
        <v>340.0421667493085</v>
      </c>
      <c r="T25" t="n">
        <v>29682.14946360277</v>
      </c>
      <c r="U25" t="n">
        <v>0</v>
      </c>
      <c r="V25" t="n">
        <v>0</v>
      </c>
      <c r="W25" t="inlineStr">
        <is>
          <t>CHILQUINTA</t>
        </is>
      </c>
      <c r="X25" t="n">
        <v>92.86129144034402</v>
      </c>
      <c r="Y25" t="n">
        <v>29.68214946360277</v>
      </c>
      <c r="Z25" t="n">
        <v>31576.75474851359</v>
      </c>
      <c r="AA25" t="n">
        <v>0</v>
      </c>
      <c r="AB25" t="n">
        <v>0</v>
      </c>
      <c r="AC25" t="n">
        <v>0</v>
      </c>
      <c r="AD25" s="2" t="n">
        <v>44470</v>
      </c>
    </row>
    <row r="26">
      <c r="A26" t="n">
        <v>-1</v>
      </c>
      <c r="B26" t="inlineStr">
        <is>
          <t>01-10-2021</t>
        </is>
      </c>
      <c r="C26" t="n">
        <v>2021</v>
      </c>
      <c r="D26" t="n">
        <v>10</v>
      </c>
      <c r="E26" t="inlineStr">
        <is>
          <t>La Calera 012</t>
        </is>
      </c>
      <c r="F26" t="inlineStr">
        <is>
          <t>Chilquinta</t>
        </is>
      </c>
      <c r="G26" t="inlineStr">
        <is>
          <t>Chilquinta</t>
        </is>
      </c>
      <c r="H26" t="inlineStr">
        <is>
          <t>Empresa Eléctrica Carén S.A.</t>
        </is>
      </c>
      <c r="I26" t="inlineStr">
        <is>
          <t>Empresa Eléctrica Carén S.A.</t>
        </is>
      </c>
      <c r="J26" t="inlineStr">
        <is>
          <t>SIC 2013/03_2_BS1B_BB_CHILQUINTA_Empresa Eléctrica Carén S.A.</t>
        </is>
      </c>
      <c r="K26" t="inlineStr">
        <is>
          <t>La Calera 012</t>
        </is>
      </c>
      <c r="L26" t="inlineStr">
        <is>
          <t>-1</t>
        </is>
      </c>
      <c r="M26" t="n">
        <v>788.1405284892353</v>
      </c>
      <c r="N26" t="n">
        <v>0</v>
      </c>
      <c r="O26" t="inlineStr">
        <is>
          <t>3</t>
        </is>
      </c>
      <c r="P26" s="2" t="n">
        <v>44999.6862684375</v>
      </c>
      <c r="Q26" t="n">
        <v>13</v>
      </c>
      <c r="R26" t="inlineStr">
        <is>
          <t>MELIPILLA 220</t>
        </is>
      </c>
      <c r="S26" t="n">
        <v>31.33370300739237</v>
      </c>
      <c r="T26" t="n">
        <v>2802.49237270818</v>
      </c>
      <c r="U26" t="n">
        <v>0</v>
      </c>
      <c r="V26" t="n">
        <v>0</v>
      </c>
      <c r="W26" t="inlineStr">
        <is>
          <t>CHILQUINTA</t>
        </is>
      </c>
      <c r="X26" t="n">
        <v>95.14913905578899</v>
      </c>
      <c r="Y26" t="n">
        <v>2.80249237270818</v>
      </c>
      <c r="Z26" t="n">
        <v>2981.374864583171</v>
      </c>
      <c r="AA26" t="n">
        <v>0</v>
      </c>
      <c r="AB26" t="n">
        <v>0</v>
      </c>
      <c r="AC26" t="n">
        <v>0</v>
      </c>
      <c r="AD26" s="2" t="n">
        <v>44470</v>
      </c>
    </row>
    <row r="27">
      <c r="A27" t="n">
        <v>-1</v>
      </c>
      <c r="B27" t="inlineStr">
        <is>
          <t>01-10-2021</t>
        </is>
      </c>
      <c r="C27" t="n">
        <v>2021</v>
      </c>
      <c r="D27" t="n">
        <v>10</v>
      </c>
      <c r="E27" t="inlineStr">
        <is>
          <t>La Calera 012</t>
        </is>
      </c>
      <c r="F27" t="inlineStr">
        <is>
          <t>Chilquinta</t>
        </is>
      </c>
      <c r="G27" t="inlineStr">
        <is>
          <t>Chilquinta</t>
        </is>
      </c>
      <c r="H27" t="inlineStr">
        <is>
          <t>Empresa Eléctrica Carén S.A.</t>
        </is>
      </c>
      <c r="I27" t="inlineStr">
        <is>
          <t>Empresa Eléctrica Carén S.A.</t>
        </is>
      </c>
      <c r="J27" t="inlineStr">
        <is>
          <t>SIC 2013/03_2_BS1B_BB_CHILQUINTA_Empresa Eléctrica Carén S.A.</t>
        </is>
      </c>
      <c r="K27" t="inlineStr">
        <is>
          <t>La Calera 012</t>
        </is>
      </c>
      <c r="L27" t="inlineStr">
        <is>
          <t>-1</t>
        </is>
      </c>
      <c r="M27" t="n">
        <v>788.1405284892353</v>
      </c>
      <c r="N27" t="n">
        <v>0</v>
      </c>
      <c r="O27" t="inlineStr">
        <is>
          <t>3</t>
        </is>
      </c>
      <c r="P27" s="2" t="n">
        <v>44999.6862684375</v>
      </c>
      <c r="Q27" t="n">
        <v>5</v>
      </c>
      <c r="R27" t="inlineStr">
        <is>
          <t>NOGALES 220</t>
        </is>
      </c>
      <c r="S27" t="n">
        <v>9.624435840078936</v>
      </c>
      <c r="T27" t="n">
        <v>859.3387858168873</v>
      </c>
      <c r="U27" t="n">
        <v>0</v>
      </c>
      <c r="V27" t="n">
        <v>0</v>
      </c>
      <c r="W27" t="inlineStr">
        <is>
          <t>CHILQUINTA</t>
        </is>
      </c>
      <c r="X27" t="n">
        <v>94.98636729132602</v>
      </c>
      <c r="Y27" t="n">
        <v>0.8593387858168873</v>
      </c>
      <c r="Z27" t="n">
        <v>914.1901976775397</v>
      </c>
      <c r="AA27" t="n">
        <v>0</v>
      </c>
      <c r="AB27" t="n">
        <v>0</v>
      </c>
      <c r="AC27" t="n">
        <v>0</v>
      </c>
      <c r="AD27" s="2" t="n">
        <v>44470</v>
      </c>
    </row>
    <row r="28">
      <c r="A28" t="n">
        <v>-1</v>
      </c>
      <c r="B28" t="inlineStr">
        <is>
          <t>01-10-2021</t>
        </is>
      </c>
      <c r="C28" t="n">
        <v>2021</v>
      </c>
      <c r="D28" t="n">
        <v>10</v>
      </c>
      <c r="E28" t="inlineStr">
        <is>
          <t>La Calera 012</t>
        </is>
      </c>
      <c r="F28" t="inlineStr">
        <is>
          <t>Chilquinta</t>
        </is>
      </c>
      <c r="G28" t="inlineStr">
        <is>
          <t>Chilquinta</t>
        </is>
      </c>
      <c r="H28" t="inlineStr">
        <is>
          <t>Empresa Eléctrica Carén S.A.</t>
        </is>
      </c>
      <c r="I28" t="inlineStr">
        <is>
          <t>Empresa Eléctrica Carén S.A.</t>
        </is>
      </c>
      <c r="J28" t="inlineStr">
        <is>
          <t>SIC 2013/03_2_BS1B_BB_CHILQUINTA_Empresa Eléctrica Carén S.A.</t>
        </is>
      </c>
      <c r="K28" t="inlineStr">
        <is>
          <t>La Calera 012</t>
        </is>
      </c>
      <c r="L28" t="inlineStr">
        <is>
          <t>-1</t>
        </is>
      </c>
      <c r="M28" t="n">
        <v>788.1405284892353</v>
      </c>
      <c r="N28" t="n">
        <v>0</v>
      </c>
      <c r="O28" t="inlineStr">
        <is>
          <t>3</t>
        </is>
      </c>
      <c r="P28" s="2" t="n">
        <v>44999.6862684375</v>
      </c>
      <c r="Q28" t="n">
        <v>11</v>
      </c>
      <c r="R28" t="inlineStr">
        <is>
          <t>QUILLOTA 220</t>
        </is>
      </c>
      <c r="S28" t="n">
        <v>426.9167902605003</v>
      </c>
      <c r="T28" t="n">
        <v>37265.40181228713</v>
      </c>
      <c r="U28" t="n">
        <v>0</v>
      </c>
      <c r="V28" t="n">
        <v>0</v>
      </c>
      <c r="W28" t="inlineStr">
        <is>
          <t>CHILQUINTA</t>
        </is>
      </c>
      <c r="X28" t="n">
        <v>92.86129144034402</v>
      </c>
      <c r="Y28" t="n">
        <v>37.26540181228714</v>
      </c>
      <c r="Z28" t="n">
        <v>39644.04448115653</v>
      </c>
      <c r="AA28" t="n">
        <v>0</v>
      </c>
      <c r="AB28" t="n">
        <v>0</v>
      </c>
      <c r="AC28" t="n">
        <v>0</v>
      </c>
      <c r="AD28" s="2" t="n">
        <v>44470</v>
      </c>
    </row>
    <row r="29">
      <c r="A29" t="n">
        <v>-1</v>
      </c>
      <c r="B29" t="inlineStr">
        <is>
          <t>01-10-2021</t>
        </is>
      </c>
      <c r="C29" t="n">
        <v>2021</v>
      </c>
      <c r="D29" t="n">
        <v>10</v>
      </c>
      <c r="E29" t="inlineStr">
        <is>
          <t>Las Vegas 012</t>
        </is>
      </c>
      <c r="F29" t="inlineStr">
        <is>
          <t>Chilquinta</t>
        </is>
      </c>
      <c r="G29" t="inlineStr">
        <is>
          <t>Chilquinta</t>
        </is>
      </c>
      <c r="H29" t="inlineStr">
        <is>
          <t>Empresa Eléctrica Carén S.A.</t>
        </is>
      </c>
      <c r="I29" t="inlineStr">
        <is>
          <t>Empresa Eléctrica Carén S.A.</t>
        </is>
      </c>
      <c r="J29" t="inlineStr">
        <is>
          <t>SIC 2013/03_2_BS1B_BB_CHILQUINTA_Empresa Eléctrica Carén S.A.</t>
        </is>
      </c>
      <c r="K29" t="inlineStr">
        <is>
          <t>Las Vegas 012</t>
        </is>
      </c>
      <c r="L29" t="inlineStr">
        <is>
          <t>-1</t>
        </is>
      </c>
      <c r="M29" t="n">
        <v>478.5971651680223</v>
      </c>
      <c r="N29" t="n">
        <v>0</v>
      </c>
      <c r="O29" t="inlineStr">
        <is>
          <t>3</t>
        </is>
      </c>
      <c r="P29" s="2" t="n">
        <v>44999.6862684375</v>
      </c>
      <c r="Q29" t="n">
        <v>31</v>
      </c>
      <c r="R29" t="inlineStr">
        <is>
          <t>LOS MAQUIS 220</t>
        </is>
      </c>
      <c r="S29" t="n">
        <v>240.2237603982681</v>
      </c>
      <c r="T29" t="n">
        <v>20969.03930772461</v>
      </c>
      <c r="U29" t="n">
        <v>0</v>
      </c>
      <c r="V29" t="n">
        <v>0</v>
      </c>
      <c r="W29" t="inlineStr">
        <is>
          <t>CHILQUINTA</t>
        </is>
      </c>
      <c r="X29" t="n">
        <v>92.86129144034402</v>
      </c>
      <c r="Y29" t="n">
        <v>20.96903930772461</v>
      </c>
      <c r="Z29" t="n">
        <v>22307.48862523895</v>
      </c>
      <c r="AA29" t="n">
        <v>0</v>
      </c>
      <c r="AB29" t="n">
        <v>0</v>
      </c>
      <c r="AC29" t="n">
        <v>0</v>
      </c>
      <c r="AD29" s="2" t="n">
        <v>44470</v>
      </c>
    </row>
    <row r="30">
      <c r="A30" t="n">
        <v>-1</v>
      </c>
      <c r="B30" t="inlineStr">
        <is>
          <t>01-10-2021</t>
        </is>
      </c>
      <c r="C30" t="n">
        <v>2021</v>
      </c>
      <c r="D30" t="n">
        <v>10</v>
      </c>
      <c r="E30" t="inlineStr">
        <is>
          <t>Las Vegas 012</t>
        </is>
      </c>
      <c r="F30" t="inlineStr">
        <is>
          <t>Chilquinta</t>
        </is>
      </c>
      <c r="G30" t="inlineStr">
        <is>
          <t>Chilquinta</t>
        </is>
      </c>
      <c r="H30" t="inlineStr">
        <is>
          <t>Empresa Eléctrica Carén S.A.</t>
        </is>
      </c>
      <c r="I30" t="inlineStr">
        <is>
          <t>Empresa Eléctrica Carén S.A.</t>
        </is>
      </c>
      <c r="J30" t="inlineStr">
        <is>
          <t>SIC 2013/03_2_BS1B_BB_CHILQUINTA_Empresa Eléctrica Carén S.A.</t>
        </is>
      </c>
      <c r="K30" t="inlineStr">
        <is>
          <t>Las Vegas 012</t>
        </is>
      </c>
      <c r="L30" t="inlineStr">
        <is>
          <t>-1</t>
        </is>
      </c>
      <c r="M30" t="n">
        <v>478.5971651680223</v>
      </c>
      <c r="N30" t="n">
        <v>0</v>
      </c>
      <c r="O30" t="inlineStr">
        <is>
          <t>3</t>
        </is>
      </c>
      <c r="P30" s="2" t="n">
        <v>44999.6862684375</v>
      </c>
      <c r="Q30" t="n">
        <v>13</v>
      </c>
      <c r="R30" t="inlineStr">
        <is>
          <t>MELIPILLA 220</t>
        </is>
      </c>
      <c r="S30" t="n">
        <v>15.34181821260425</v>
      </c>
      <c r="T30" t="n">
        <v>1372.175146810935</v>
      </c>
      <c r="U30" t="n">
        <v>0</v>
      </c>
      <c r="V30" t="n">
        <v>0</v>
      </c>
      <c r="W30" t="inlineStr">
        <is>
          <t>CHILQUINTA</t>
        </is>
      </c>
      <c r="X30" t="n">
        <v>95.14913905578902</v>
      </c>
      <c r="Y30" t="n">
        <v>1.372175146810935</v>
      </c>
      <c r="Z30" t="n">
        <v>1459.760794479718</v>
      </c>
      <c r="AA30" t="n">
        <v>0</v>
      </c>
      <c r="AB30" t="n">
        <v>0</v>
      </c>
      <c r="AC30" t="n">
        <v>0</v>
      </c>
      <c r="AD30" s="2" t="n">
        <v>44470</v>
      </c>
    </row>
    <row r="31">
      <c r="A31" t="n">
        <v>-1</v>
      </c>
      <c r="B31" t="inlineStr">
        <is>
          <t>01-10-2021</t>
        </is>
      </c>
      <c r="C31" t="n">
        <v>2021</v>
      </c>
      <c r="D31" t="n">
        <v>10</v>
      </c>
      <c r="E31" t="inlineStr">
        <is>
          <t>Las Vegas 012</t>
        </is>
      </c>
      <c r="F31" t="inlineStr">
        <is>
          <t>Chilquinta</t>
        </is>
      </c>
      <c r="G31" t="inlineStr">
        <is>
          <t>Chilquinta</t>
        </is>
      </c>
      <c r="H31" t="inlineStr">
        <is>
          <t>Empresa Eléctrica Carén S.A.</t>
        </is>
      </c>
      <c r="I31" t="inlineStr">
        <is>
          <t>Empresa Eléctrica Carén S.A.</t>
        </is>
      </c>
      <c r="J31" t="inlineStr">
        <is>
          <t>SIC 2013/03_2_BS1B_BB_CHILQUINTA_Empresa Eléctrica Carén S.A.</t>
        </is>
      </c>
      <c r="K31" t="inlineStr">
        <is>
          <t>Las Vegas 012</t>
        </is>
      </c>
      <c r="L31" t="inlineStr">
        <is>
          <t>-1</t>
        </is>
      </c>
      <c r="M31" t="n">
        <v>478.5971651680223</v>
      </c>
      <c r="N31" t="n">
        <v>0</v>
      </c>
      <c r="O31" t="inlineStr">
        <is>
          <t>3</t>
        </is>
      </c>
      <c r="P31" s="2" t="n">
        <v>44999.6862684375</v>
      </c>
      <c r="Q31" t="n">
        <v>5</v>
      </c>
      <c r="R31" t="inlineStr">
        <is>
          <t>NOGALES 220</t>
        </is>
      </c>
      <c r="S31" t="n">
        <v>6.20825297448751</v>
      </c>
      <c r="T31" t="n">
        <v>554.3174334358096</v>
      </c>
      <c r="U31" t="n">
        <v>0</v>
      </c>
      <c r="V31" t="n">
        <v>0</v>
      </c>
      <c r="W31" t="inlineStr">
        <is>
          <t>CHILQUINTA</t>
        </is>
      </c>
      <c r="X31" t="n">
        <v>94.986367291326</v>
      </c>
      <c r="Y31" t="n">
        <v>0.5543174334358095</v>
      </c>
      <c r="Z31" t="n">
        <v>589.6993972721378</v>
      </c>
      <c r="AA31" t="n">
        <v>0</v>
      </c>
      <c r="AB31" t="n">
        <v>0</v>
      </c>
      <c r="AC31" t="n">
        <v>0</v>
      </c>
      <c r="AD31" s="2" t="n">
        <v>44470</v>
      </c>
    </row>
    <row r="32">
      <c r="A32" t="n">
        <v>-1</v>
      </c>
      <c r="B32" t="inlineStr">
        <is>
          <t>01-10-2021</t>
        </is>
      </c>
      <c r="C32" t="n">
        <v>2021</v>
      </c>
      <c r="D32" t="n">
        <v>10</v>
      </c>
      <c r="E32" t="inlineStr">
        <is>
          <t>Las Vegas 012</t>
        </is>
      </c>
      <c r="F32" t="inlineStr">
        <is>
          <t>Chilquinta</t>
        </is>
      </c>
      <c r="G32" t="inlineStr">
        <is>
          <t>Chilquinta</t>
        </is>
      </c>
      <c r="H32" t="inlineStr">
        <is>
          <t>Empresa Eléctrica Carén S.A.</t>
        </is>
      </c>
      <c r="I32" t="inlineStr">
        <is>
          <t>Empresa Eléctrica Carén S.A.</t>
        </is>
      </c>
      <c r="J32" t="inlineStr">
        <is>
          <t>SIC 2013/03_2_BS1B_BB_CHILQUINTA_Empresa Eléctrica Carén S.A.</t>
        </is>
      </c>
      <c r="K32" t="inlineStr">
        <is>
          <t>Las Vegas 012</t>
        </is>
      </c>
      <c r="L32" t="inlineStr">
        <is>
          <t>-1</t>
        </is>
      </c>
      <c r="M32" t="n">
        <v>478.5971651680223</v>
      </c>
      <c r="N32" t="n">
        <v>0</v>
      </c>
      <c r="O32" t="inlineStr">
        <is>
          <t>3</t>
        </is>
      </c>
      <c r="P32" s="2" t="n">
        <v>44999.6862684375</v>
      </c>
      <c r="Q32" t="n">
        <v>11</v>
      </c>
      <c r="R32" t="inlineStr">
        <is>
          <t>QUILLOTA 220</t>
        </is>
      </c>
      <c r="S32" t="n">
        <v>228.8326247394612</v>
      </c>
      <c r="T32" t="n">
        <v>19974.71147357058</v>
      </c>
      <c r="U32" t="n">
        <v>0</v>
      </c>
      <c r="V32" t="n">
        <v>0</v>
      </c>
      <c r="W32" t="inlineStr">
        <is>
          <t>CHILQUINTA</t>
        </is>
      </c>
      <c r="X32" t="n">
        <v>92.861291440344</v>
      </c>
      <c r="Y32" t="n">
        <v>19.97471147357058</v>
      </c>
      <c r="Z32" t="n">
        <v>21249.69305698998</v>
      </c>
      <c r="AA32" t="n">
        <v>0</v>
      </c>
      <c r="AB32" t="n">
        <v>0</v>
      </c>
      <c r="AC32" t="n">
        <v>0</v>
      </c>
      <c r="AD32" s="2" t="n">
        <v>44470</v>
      </c>
    </row>
    <row r="33">
      <c r="A33" t="n">
        <v>-1</v>
      </c>
      <c r="B33" t="inlineStr">
        <is>
          <t>01-10-2021</t>
        </is>
      </c>
      <c r="C33" t="n">
        <v>2021</v>
      </c>
      <c r="D33" t="n">
        <v>10</v>
      </c>
      <c r="E33" t="inlineStr">
        <is>
          <t>Mayaca 012</t>
        </is>
      </c>
      <c r="F33" t="inlineStr">
        <is>
          <t>Chilquinta</t>
        </is>
      </c>
      <c r="G33" t="inlineStr">
        <is>
          <t>Chilquinta</t>
        </is>
      </c>
      <c r="H33" t="inlineStr">
        <is>
          <t>Empresa Eléctrica Carén S.A.</t>
        </is>
      </c>
      <c r="I33" t="inlineStr">
        <is>
          <t>Empresa Eléctrica Carén S.A.</t>
        </is>
      </c>
      <c r="J33" t="inlineStr">
        <is>
          <t>SIC 2013/03_2_BS1B_BB_CHILQUINTA_Empresa Eléctrica Carén S.A.</t>
        </is>
      </c>
      <c r="K33" t="inlineStr">
        <is>
          <t>Mayaca 012</t>
        </is>
      </c>
      <c r="L33" t="inlineStr">
        <is>
          <t>-1</t>
        </is>
      </c>
      <c r="M33" t="n">
        <v>615.462991151033</v>
      </c>
      <c r="N33" t="n">
        <v>0</v>
      </c>
      <c r="O33" t="inlineStr">
        <is>
          <t>3</t>
        </is>
      </c>
      <c r="P33" s="2" t="n">
        <v>44999.6862684375</v>
      </c>
      <c r="Q33" t="n">
        <v>31</v>
      </c>
      <c r="R33" t="inlineStr">
        <is>
          <t>LOS MAQUIS 220</t>
        </is>
      </c>
      <c r="S33" t="n">
        <v>161.4583158585035</v>
      </c>
      <c r="T33" t="n">
        <v>14093.63406093939</v>
      </c>
      <c r="U33" t="n">
        <v>0</v>
      </c>
      <c r="V33" t="n">
        <v>0</v>
      </c>
      <c r="W33" t="inlineStr">
        <is>
          <t>CHILQUINTA</t>
        </is>
      </c>
      <c r="X33" t="n">
        <v>92.86129144034402</v>
      </c>
      <c r="Y33" t="n">
        <v>14.09363406093939</v>
      </c>
      <c r="Z33" t="n">
        <v>14993.22772440361</v>
      </c>
      <c r="AA33" t="n">
        <v>0</v>
      </c>
      <c r="AB33" t="n">
        <v>0</v>
      </c>
      <c r="AC33" t="n">
        <v>0</v>
      </c>
      <c r="AD33" s="2" t="n">
        <v>44470</v>
      </c>
    </row>
    <row r="34">
      <c r="A34" t="n">
        <v>-1</v>
      </c>
      <c r="B34" t="inlineStr">
        <is>
          <t>01-10-2021</t>
        </is>
      </c>
      <c r="C34" t="n">
        <v>2021</v>
      </c>
      <c r="D34" t="n">
        <v>10</v>
      </c>
      <c r="E34" t="inlineStr">
        <is>
          <t>Mayaca 012</t>
        </is>
      </c>
      <c r="F34" t="inlineStr">
        <is>
          <t>Chilquinta</t>
        </is>
      </c>
      <c r="G34" t="inlineStr">
        <is>
          <t>Chilquinta</t>
        </is>
      </c>
      <c r="H34" t="inlineStr">
        <is>
          <t>Empresa Eléctrica Carén S.A.</t>
        </is>
      </c>
      <c r="I34" t="inlineStr">
        <is>
          <t>Empresa Eléctrica Carén S.A.</t>
        </is>
      </c>
      <c r="J34" t="inlineStr">
        <is>
          <t>SIC 2013/03_2_BS1B_BB_CHILQUINTA_Empresa Eléctrica Carén S.A.</t>
        </is>
      </c>
      <c r="K34" t="inlineStr">
        <is>
          <t>Mayaca 012</t>
        </is>
      </c>
      <c r="L34" t="inlineStr">
        <is>
          <t>-1</t>
        </is>
      </c>
      <c r="M34" t="n">
        <v>615.462991151033</v>
      </c>
      <c r="N34" t="n">
        <v>0</v>
      </c>
      <c r="O34" t="inlineStr">
        <is>
          <t>3</t>
        </is>
      </c>
      <c r="P34" s="2" t="n">
        <v>44999.6862684375</v>
      </c>
      <c r="Q34" t="n">
        <v>13</v>
      </c>
      <c r="R34" t="inlineStr">
        <is>
          <t>MELIPILLA 220</t>
        </is>
      </c>
      <c r="S34" t="n">
        <v>33.26274757806335</v>
      </c>
      <c r="T34" t="n">
        <v>2975.026487001794</v>
      </c>
      <c r="U34" t="n">
        <v>0</v>
      </c>
      <c r="V34" t="n">
        <v>0</v>
      </c>
      <c r="W34" t="inlineStr">
        <is>
          <t>CHILQUINTA</t>
        </is>
      </c>
      <c r="X34" t="n">
        <v>95.14913905578901</v>
      </c>
      <c r="Y34" t="n">
        <v>2.975026487001794</v>
      </c>
      <c r="Z34" t="n">
        <v>3164.92179468276</v>
      </c>
      <c r="AA34" t="n">
        <v>0</v>
      </c>
      <c r="AB34" t="n">
        <v>0</v>
      </c>
      <c r="AC34" t="n">
        <v>0</v>
      </c>
      <c r="AD34" s="2" t="n">
        <v>44470</v>
      </c>
    </row>
    <row r="35">
      <c r="A35" t="n">
        <v>-1</v>
      </c>
      <c r="B35" t="inlineStr">
        <is>
          <t>01-10-2021</t>
        </is>
      </c>
      <c r="C35" t="n">
        <v>2021</v>
      </c>
      <c r="D35" t="n">
        <v>10</v>
      </c>
      <c r="E35" t="inlineStr">
        <is>
          <t>Mayaca 012</t>
        </is>
      </c>
      <c r="F35" t="inlineStr">
        <is>
          <t>Chilquinta</t>
        </is>
      </c>
      <c r="G35" t="inlineStr">
        <is>
          <t>Chilquinta</t>
        </is>
      </c>
      <c r="H35" t="inlineStr">
        <is>
          <t>Empresa Eléctrica Carén S.A.</t>
        </is>
      </c>
      <c r="I35" t="inlineStr">
        <is>
          <t>Empresa Eléctrica Carén S.A.</t>
        </is>
      </c>
      <c r="J35" t="inlineStr">
        <is>
          <t>SIC 2013/03_2_BS1B_BB_CHILQUINTA_Empresa Eléctrica Carén S.A.</t>
        </is>
      </c>
      <c r="K35" t="inlineStr">
        <is>
          <t>Mayaca 012</t>
        </is>
      </c>
      <c r="L35" t="inlineStr">
        <is>
          <t>-1</t>
        </is>
      </c>
      <c r="M35" t="n">
        <v>615.462991151033</v>
      </c>
      <c r="N35" t="n">
        <v>0</v>
      </c>
      <c r="O35" t="inlineStr">
        <is>
          <t>3</t>
        </is>
      </c>
      <c r="P35" s="2" t="n">
        <v>44999.6862684375</v>
      </c>
      <c r="Q35" t="n">
        <v>5</v>
      </c>
      <c r="R35" t="inlineStr">
        <is>
          <t>NOGALES 220</t>
        </is>
      </c>
      <c r="S35" t="n">
        <v>9.734960460513316</v>
      </c>
      <c r="T35" t="n">
        <v>869.2072180767227</v>
      </c>
      <c r="U35" t="n">
        <v>0</v>
      </c>
      <c r="V35" t="n">
        <v>0</v>
      </c>
      <c r="W35" t="inlineStr">
        <is>
          <t>CHILQUINTA</t>
        </is>
      </c>
      <c r="X35" t="n">
        <v>94.986367291326</v>
      </c>
      <c r="Y35" t="n">
        <v>0.8692072180767226</v>
      </c>
      <c r="Z35" t="n">
        <v>924.6885298688539</v>
      </c>
      <c r="AA35" t="n">
        <v>0</v>
      </c>
      <c r="AB35" t="n">
        <v>0</v>
      </c>
      <c r="AC35" t="n">
        <v>0</v>
      </c>
      <c r="AD35" s="2" t="n">
        <v>44470</v>
      </c>
    </row>
    <row r="36">
      <c r="A36" t="n">
        <v>-1</v>
      </c>
      <c r="B36" t="inlineStr">
        <is>
          <t>01-10-2021</t>
        </is>
      </c>
      <c r="C36" t="n">
        <v>2021</v>
      </c>
      <c r="D36" t="n">
        <v>10</v>
      </c>
      <c r="E36" t="inlineStr">
        <is>
          <t>Mayaca 012</t>
        </is>
      </c>
      <c r="F36" t="inlineStr">
        <is>
          <t>Chilquinta</t>
        </is>
      </c>
      <c r="G36" t="inlineStr">
        <is>
          <t>Chilquinta</t>
        </is>
      </c>
      <c r="H36" t="inlineStr">
        <is>
          <t>Empresa Eléctrica Carén S.A.</t>
        </is>
      </c>
      <c r="I36" t="inlineStr">
        <is>
          <t>Empresa Eléctrica Carén S.A.</t>
        </is>
      </c>
      <c r="J36" t="inlineStr">
        <is>
          <t>SIC 2013/03_2_BS1B_BB_CHILQUINTA_Empresa Eléctrica Carén S.A.</t>
        </is>
      </c>
      <c r="K36" t="inlineStr">
        <is>
          <t>Mayaca 012</t>
        </is>
      </c>
      <c r="L36" t="inlineStr">
        <is>
          <t>-1</t>
        </is>
      </c>
      <c r="M36" t="n">
        <v>615.462991151033</v>
      </c>
      <c r="N36" t="n">
        <v>0</v>
      </c>
      <c r="O36" t="inlineStr">
        <is>
          <t>3</t>
        </is>
      </c>
      <c r="P36" s="2" t="n">
        <v>44999.6862684375</v>
      </c>
      <c r="Q36" t="n">
        <v>11</v>
      </c>
      <c r="R36" t="inlineStr">
        <is>
          <t>QUILLOTA 220</t>
        </is>
      </c>
      <c r="S36" t="n">
        <v>426.4505903986328</v>
      </c>
      <c r="T36" t="n">
        <v>37224.70740631936</v>
      </c>
      <c r="U36" t="n">
        <v>0</v>
      </c>
      <c r="V36" t="n">
        <v>0</v>
      </c>
      <c r="W36" t="inlineStr">
        <is>
          <t>CHILQUINTA</t>
        </is>
      </c>
      <c r="X36" t="n">
        <v>92.861291440344</v>
      </c>
      <c r="Y36" t="n">
        <v>37.22470740631936</v>
      </c>
      <c r="Z36" t="n">
        <v>39600.75255991422</v>
      </c>
      <c r="AA36" t="n">
        <v>0</v>
      </c>
      <c r="AB36" t="n">
        <v>0</v>
      </c>
      <c r="AC36" t="n">
        <v>0</v>
      </c>
      <c r="AD36" s="2" t="n">
        <v>44470</v>
      </c>
    </row>
    <row r="37">
      <c r="A37" t="n">
        <v>-1</v>
      </c>
      <c r="B37" t="inlineStr">
        <is>
          <t>01-10-2021</t>
        </is>
      </c>
      <c r="C37" t="n">
        <v>2021</v>
      </c>
      <c r="D37" t="n">
        <v>10</v>
      </c>
      <c r="E37" t="inlineStr">
        <is>
          <t>Miraflores 012</t>
        </is>
      </c>
      <c r="F37" t="inlineStr">
        <is>
          <t>Chilquinta</t>
        </is>
      </c>
      <c r="G37" t="inlineStr">
        <is>
          <t>Chilquinta</t>
        </is>
      </c>
      <c r="H37" t="inlineStr">
        <is>
          <t>Empresa Eléctrica Carén S.A.</t>
        </is>
      </c>
      <c r="I37" t="inlineStr">
        <is>
          <t>Empresa Eléctrica Carén S.A.</t>
        </is>
      </c>
      <c r="J37" t="inlineStr">
        <is>
          <t>SIC 2013/03_2_BS1B_BB_CHILQUINTA_Empresa Eléctrica Carén S.A.</t>
        </is>
      </c>
      <c r="K37" t="inlineStr">
        <is>
          <t>Miraflores 012</t>
        </is>
      </c>
      <c r="L37" t="inlineStr">
        <is>
          <t>-1</t>
        </is>
      </c>
      <c r="M37" t="n">
        <v>607.8025988189423</v>
      </c>
      <c r="N37" t="n">
        <v>0</v>
      </c>
      <c r="O37" t="inlineStr">
        <is>
          <t>3</t>
        </is>
      </c>
      <c r="P37" s="2" t="n">
        <v>44999.6862684375</v>
      </c>
      <c r="Q37" t="n">
        <v>31</v>
      </c>
      <c r="R37" t="inlineStr">
        <is>
          <t>LOS MAQUIS 220</t>
        </is>
      </c>
      <c r="S37" t="n">
        <v>121.2108258045489</v>
      </c>
      <c r="T37" t="n">
        <v>10580.44619151533</v>
      </c>
      <c r="U37" t="n">
        <v>0</v>
      </c>
      <c r="V37" t="n">
        <v>0</v>
      </c>
      <c r="W37" t="inlineStr">
        <is>
          <t>CHILQUINTA</t>
        </is>
      </c>
      <c r="X37" t="n">
        <v>92.86129144034402</v>
      </c>
      <c r="Y37" t="n">
        <v>10.58044619151533</v>
      </c>
      <c r="Z37" t="n">
        <v>11255.79382076099</v>
      </c>
      <c r="AA37" t="n">
        <v>0</v>
      </c>
      <c r="AB37" t="n">
        <v>0</v>
      </c>
      <c r="AC37" t="n">
        <v>0</v>
      </c>
      <c r="AD37" s="2" t="n">
        <v>44470</v>
      </c>
    </row>
    <row r="38">
      <c r="A38" t="n">
        <v>-1</v>
      </c>
      <c r="B38" t="inlineStr">
        <is>
          <t>01-10-2021</t>
        </is>
      </c>
      <c r="C38" t="n">
        <v>2021</v>
      </c>
      <c r="D38" t="n">
        <v>10</v>
      </c>
      <c r="E38" t="inlineStr">
        <is>
          <t>Miraflores 012</t>
        </is>
      </c>
      <c r="F38" t="inlineStr">
        <is>
          <t>Chilquinta</t>
        </is>
      </c>
      <c r="G38" t="inlineStr">
        <is>
          <t>Chilquinta</t>
        </is>
      </c>
      <c r="H38" t="inlineStr">
        <is>
          <t>Empresa Eléctrica Carén S.A.</t>
        </is>
      </c>
      <c r="I38" t="inlineStr">
        <is>
          <t>Empresa Eléctrica Carén S.A.</t>
        </is>
      </c>
      <c r="J38" t="inlineStr">
        <is>
          <t>SIC 2013/03_2_BS1B_BB_CHILQUINTA_Empresa Eléctrica Carén S.A.</t>
        </is>
      </c>
      <c r="K38" t="inlineStr">
        <is>
          <t>Miraflores 012</t>
        </is>
      </c>
      <c r="L38" t="inlineStr">
        <is>
          <t>-1</t>
        </is>
      </c>
      <c r="M38" t="n">
        <v>607.8025988189423</v>
      </c>
      <c r="N38" t="n">
        <v>0</v>
      </c>
      <c r="O38" t="inlineStr">
        <is>
          <t>3</t>
        </is>
      </c>
      <c r="P38" s="2" t="n">
        <v>44999.6862684375</v>
      </c>
      <c r="Q38" t="n">
        <v>13</v>
      </c>
      <c r="R38" t="inlineStr">
        <is>
          <t>MELIPILLA 220</t>
        </is>
      </c>
      <c r="S38" t="n">
        <v>113.2634552366546</v>
      </c>
      <c r="T38" t="n">
        <v>10130.30503711649</v>
      </c>
      <c r="U38" t="n">
        <v>0</v>
      </c>
      <c r="V38" t="n">
        <v>0</v>
      </c>
      <c r="W38" t="inlineStr">
        <is>
          <t>CHILQUINTA</t>
        </is>
      </c>
      <c r="X38" t="n">
        <v>95.14913905578902</v>
      </c>
      <c r="Y38" t="n">
        <v>10.13030503711649</v>
      </c>
      <c r="Z38" t="n">
        <v>10776.92025225158</v>
      </c>
      <c r="AA38" t="n">
        <v>0</v>
      </c>
      <c r="AB38" t="n">
        <v>0</v>
      </c>
      <c r="AC38" t="n">
        <v>0</v>
      </c>
      <c r="AD38" s="2" t="n">
        <v>44470</v>
      </c>
    </row>
    <row r="39">
      <c r="A39" t="n">
        <v>-1</v>
      </c>
      <c r="B39" t="inlineStr">
        <is>
          <t>01-10-2021</t>
        </is>
      </c>
      <c r="C39" t="n">
        <v>2021</v>
      </c>
      <c r="D39" t="n">
        <v>10</v>
      </c>
      <c r="E39" t="inlineStr">
        <is>
          <t>Miraflores 012</t>
        </is>
      </c>
      <c r="F39" t="inlineStr">
        <is>
          <t>Chilquinta</t>
        </is>
      </c>
      <c r="G39" t="inlineStr">
        <is>
          <t>Chilquinta</t>
        </is>
      </c>
      <c r="H39" t="inlineStr">
        <is>
          <t>Empresa Eléctrica Carén S.A.</t>
        </is>
      </c>
      <c r="I39" t="inlineStr">
        <is>
          <t>Empresa Eléctrica Carén S.A.</t>
        </is>
      </c>
      <c r="J39" t="inlineStr">
        <is>
          <t>SIC 2013/03_2_BS1B_BB_CHILQUINTA_Empresa Eléctrica Carén S.A.</t>
        </is>
      </c>
      <c r="K39" t="inlineStr">
        <is>
          <t>Miraflores 012</t>
        </is>
      </c>
      <c r="L39" t="inlineStr">
        <is>
          <t>-1</t>
        </is>
      </c>
      <c r="M39" t="n">
        <v>607.8025988189423</v>
      </c>
      <c r="N39" t="n">
        <v>0</v>
      </c>
      <c r="O39" t="inlineStr">
        <is>
          <t>3</t>
        </is>
      </c>
      <c r="P39" s="2" t="n">
        <v>44999.6862684375</v>
      </c>
      <c r="Q39" t="n">
        <v>5</v>
      </c>
      <c r="R39" t="inlineStr">
        <is>
          <t>NOGALES 220</t>
        </is>
      </c>
      <c r="S39" t="n">
        <v>14.33585712305856</v>
      </c>
      <c r="T39" t="n">
        <v>1280.008330719204</v>
      </c>
      <c r="U39" t="n">
        <v>0</v>
      </c>
      <c r="V39" t="n">
        <v>0</v>
      </c>
      <c r="W39" t="inlineStr">
        <is>
          <t>CHILQUINTA</t>
        </is>
      </c>
      <c r="X39" t="n">
        <v>94.98636729132602</v>
      </c>
      <c r="Y39" t="n">
        <v>1.280008330719204</v>
      </c>
      <c r="Z39" t="n">
        <v>1361.710990126813</v>
      </c>
      <c r="AA39" t="n">
        <v>0</v>
      </c>
      <c r="AB39" t="n">
        <v>0</v>
      </c>
      <c r="AC39" t="n">
        <v>0</v>
      </c>
      <c r="AD39" s="2" t="n">
        <v>44470</v>
      </c>
    </row>
    <row r="40">
      <c r="A40" t="n">
        <v>-1</v>
      </c>
      <c r="B40" t="inlineStr">
        <is>
          <t>01-10-2021</t>
        </is>
      </c>
      <c r="C40" t="n">
        <v>2021</v>
      </c>
      <c r="D40" t="n">
        <v>10</v>
      </c>
      <c r="E40" t="inlineStr">
        <is>
          <t>Miraflores 012</t>
        </is>
      </c>
      <c r="F40" t="inlineStr">
        <is>
          <t>Chilquinta</t>
        </is>
      </c>
      <c r="G40" t="inlineStr">
        <is>
          <t>Chilquinta</t>
        </is>
      </c>
      <c r="H40" t="inlineStr">
        <is>
          <t>Empresa Eléctrica Carén S.A.</t>
        </is>
      </c>
      <c r="I40" t="inlineStr">
        <is>
          <t>Empresa Eléctrica Carén S.A.</t>
        </is>
      </c>
      <c r="J40" t="inlineStr">
        <is>
          <t>SIC 2013/03_2_BS1B_BB_CHILQUINTA_Empresa Eléctrica Carén S.A.</t>
        </is>
      </c>
      <c r="K40" t="inlineStr">
        <is>
          <t>Miraflores 012</t>
        </is>
      </c>
      <c r="L40" t="inlineStr">
        <is>
          <t>-1</t>
        </is>
      </c>
      <c r="M40" t="n">
        <v>607.8025988189423</v>
      </c>
      <c r="N40" t="n">
        <v>0</v>
      </c>
      <c r="O40" t="inlineStr">
        <is>
          <t>3</t>
        </is>
      </c>
      <c r="P40" s="2" t="n">
        <v>44999.6862684375</v>
      </c>
      <c r="Q40" t="n">
        <v>11</v>
      </c>
      <c r="R40" t="inlineStr">
        <is>
          <t>QUILLOTA 220</t>
        </is>
      </c>
      <c r="S40" t="n">
        <v>374.2438639355858</v>
      </c>
      <c r="T40" t="n">
        <v>32667.60240756191</v>
      </c>
      <c r="U40" t="n">
        <v>0</v>
      </c>
      <c r="V40" t="n">
        <v>0</v>
      </c>
      <c r="W40" t="inlineStr">
        <is>
          <t>CHILQUINTA</t>
        </is>
      </c>
      <c r="X40" t="n">
        <v>92.86129144034402</v>
      </c>
      <c r="Y40" t="n">
        <v>32.66760240756191</v>
      </c>
      <c r="Z40" t="n">
        <v>34752.76851868288</v>
      </c>
      <c r="AA40" t="n">
        <v>0</v>
      </c>
      <c r="AB40" t="n">
        <v>0</v>
      </c>
      <c r="AC40" t="n">
        <v>0</v>
      </c>
      <c r="AD40" s="2" t="n">
        <v>44470</v>
      </c>
    </row>
    <row r="41">
      <c r="A41" t="n">
        <v>-1</v>
      </c>
      <c r="B41" t="inlineStr">
        <is>
          <t>01-10-2021</t>
        </is>
      </c>
      <c r="C41" t="n">
        <v>2021</v>
      </c>
      <c r="D41" t="n">
        <v>10</v>
      </c>
      <c r="E41" t="inlineStr">
        <is>
          <t>Panquehue 012</t>
        </is>
      </c>
      <c r="F41" t="inlineStr">
        <is>
          <t>Chilquinta</t>
        </is>
      </c>
      <c r="G41" t="inlineStr">
        <is>
          <t>Chilquinta</t>
        </is>
      </c>
      <c r="H41" t="inlineStr">
        <is>
          <t>Empresa Eléctrica Carén S.A.</t>
        </is>
      </c>
      <c r="I41" t="inlineStr">
        <is>
          <t>Empresa Eléctrica Carén S.A.</t>
        </is>
      </c>
      <c r="J41" t="inlineStr">
        <is>
          <t>SIC 2013/03_2_BS1B_BB_CHILQUINTA_Empresa Eléctrica Carén S.A.</t>
        </is>
      </c>
      <c r="K41" t="inlineStr">
        <is>
          <t>Panquehue 012</t>
        </is>
      </c>
      <c r="L41" t="inlineStr">
        <is>
          <t>-1</t>
        </is>
      </c>
      <c r="M41" t="n">
        <v>160.1902224684536</v>
      </c>
      <c r="N41" t="n">
        <v>0</v>
      </c>
      <c r="O41" t="inlineStr">
        <is>
          <t>3</t>
        </is>
      </c>
      <c r="P41" s="2" t="n">
        <v>44999.6862684375</v>
      </c>
      <c r="Q41" t="n">
        <v>31</v>
      </c>
      <c r="R41" t="inlineStr">
        <is>
          <t>LOS MAQUIS 220</t>
        </is>
      </c>
      <c r="S41" t="n">
        <v>104.5088943997073</v>
      </c>
      <c r="T41" t="n">
        <v>9122.54104690179</v>
      </c>
      <c r="U41" t="n">
        <v>0</v>
      </c>
      <c r="V41" t="n">
        <v>0</v>
      </c>
      <c r="W41" t="inlineStr">
        <is>
          <t>CHILQUINTA</t>
        </is>
      </c>
      <c r="X41" t="n">
        <v>92.86129144034399</v>
      </c>
      <c r="Y41" t="n">
        <v>9.122541046901789</v>
      </c>
      <c r="Z41" t="n">
        <v>9704.830900959352</v>
      </c>
      <c r="AA41" t="n">
        <v>0</v>
      </c>
      <c r="AB41" t="n">
        <v>0</v>
      </c>
      <c r="AC41" t="n">
        <v>0</v>
      </c>
      <c r="AD41" s="2" t="n">
        <v>44470</v>
      </c>
    </row>
    <row r="42">
      <c r="A42" t="n">
        <v>-1</v>
      </c>
      <c r="B42" t="inlineStr">
        <is>
          <t>01-10-2021</t>
        </is>
      </c>
      <c r="C42" t="n">
        <v>2021</v>
      </c>
      <c r="D42" t="n">
        <v>10</v>
      </c>
      <c r="E42" t="inlineStr">
        <is>
          <t>Panquehue 012</t>
        </is>
      </c>
      <c r="F42" t="inlineStr">
        <is>
          <t>Chilquinta</t>
        </is>
      </c>
      <c r="G42" t="inlineStr">
        <is>
          <t>Chilquinta</t>
        </is>
      </c>
      <c r="H42" t="inlineStr">
        <is>
          <t>Empresa Eléctrica Carén S.A.</t>
        </is>
      </c>
      <c r="I42" t="inlineStr">
        <is>
          <t>Empresa Eléctrica Carén S.A.</t>
        </is>
      </c>
      <c r="J42" t="inlineStr">
        <is>
          <t>SIC 2013/03_2_BS1B_BB_CHILQUINTA_Empresa Eléctrica Carén S.A.</t>
        </is>
      </c>
      <c r="K42" t="inlineStr">
        <is>
          <t>Panquehue 012</t>
        </is>
      </c>
      <c r="L42" t="inlineStr">
        <is>
          <t>-1</t>
        </is>
      </c>
      <c r="M42" t="n">
        <v>160.1902224684536</v>
      </c>
      <c r="N42" t="n">
        <v>0</v>
      </c>
      <c r="O42" t="inlineStr">
        <is>
          <t>3</t>
        </is>
      </c>
      <c r="P42" s="2" t="n">
        <v>44999.6862684375</v>
      </c>
      <c r="Q42" t="n">
        <v>13</v>
      </c>
      <c r="R42" t="inlineStr">
        <is>
          <t>MELIPILLA 220</t>
        </is>
      </c>
      <c r="S42" t="n">
        <v>3.702404643654686</v>
      </c>
      <c r="T42" t="n">
        <v>331.1437774231048</v>
      </c>
      <c r="U42" t="n">
        <v>0</v>
      </c>
      <c r="V42" t="n">
        <v>0</v>
      </c>
      <c r="W42" t="inlineStr">
        <is>
          <t>CHILQUINTA</t>
        </is>
      </c>
      <c r="X42" t="n">
        <v>95.14913905578901</v>
      </c>
      <c r="Y42" t="n">
        <v>0.3311437774231047</v>
      </c>
      <c r="Z42" t="n">
        <v>352.2806142798987</v>
      </c>
      <c r="AA42" t="n">
        <v>0</v>
      </c>
      <c r="AB42" t="n">
        <v>0</v>
      </c>
      <c r="AC42" t="n">
        <v>0</v>
      </c>
      <c r="AD42" s="2" t="n">
        <v>44470</v>
      </c>
    </row>
    <row r="43">
      <c r="A43" t="n">
        <v>-1</v>
      </c>
      <c r="B43" t="inlineStr">
        <is>
          <t>01-10-2021</t>
        </is>
      </c>
      <c r="C43" t="n">
        <v>2021</v>
      </c>
      <c r="D43" t="n">
        <v>10</v>
      </c>
      <c r="E43" t="inlineStr">
        <is>
          <t>Panquehue 012</t>
        </is>
      </c>
      <c r="F43" t="inlineStr">
        <is>
          <t>Chilquinta</t>
        </is>
      </c>
      <c r="G43" t="inlineStr">
        <is>
          <t>Chilquinta</t>
        </is>
      </c>
      <c r="H43" t="inlineStr">
        <is>
          <t>Empresa Eléctrica Carén S.A.</t>
        </is>
      </c>
      <c r="I43" t="inlineStr">
        <is>
          <t>Empresa Eléctrica Carén S.A.</t>
        </is>
      </c>
      <c r="J43" t="inlineStr">
        <is>
          <t>SIC 2013/03_2_BS1B_BB_CHILQUINTA_Empresa Eléctrica Carén S.A.</t>
        </is>
      </c>
      <c r="K43" t="inlineStr">
        <is>
          <t>Panquehue 012</t>
        </is>
      </c>
      <c r="L43" t="inlineStr">
        <is>
          <t>-1</t>
        </is>
      </c>
      <c r="M43" t="n">
        <v>160.1902224684536</v>
      </c>
      <c r="N43" t="n">
        <v>0</v>
      </c>
      <c r="O43" t="inlineStr">
        <is>
          <t>3</t>
        </is>
      </c>
      <c r="P43" s="2" t="n">
        <v>44999.6862684375</v>
      </c>
      <c r="Q43" t="n">
        <v>5</v>
      </c>
      <c r="R43" t="inlineStr">
        <is>
          <t>NOGALES 220</t>
        </is>
      </c>
      <c r="S43" t="n">
        <v>1.633750270636587</v>
      </c>
      <c r="T43" t="n">
        <v>145.8729630728507</v>
      </c>
      <c r="U43" t="n">
        <v>0</v>
      </c>
      <c r="V43" t="n">
        <v>0</v>
      </c>
      <c r="W43" t="inlineStr">
        <is>
          <t>CHILQUINTA</t>
        </is>
      </c>
      <c r="X43" t="n">
        <v>94.986367291326</v>
      </c>
      <c r="Y43" t="n">
        <v>0.1458729630728507</v>
      </c>
      <c r="Z43" t="n">
        <v>155.1840032689902</v>
      </c>
      <c r="AA43" t="n">
        <v>0</v>
      </c>
      <c r="AB43" t="n">
        <v>0</v>
      </c>
      <c r="AC43" t="n">
        <v>0</v>
      </c>
      <c r="AD43" s="2" t="n">
        <v>44470</v>
      </c>
    </row>
    <row r="44">
      <c r="A44" t="n">
        <v>-1</v>
      </c>
      <c r="B44" t="inlineStr">
        <is>
          <t>01-10-2021</t>
        </is>
      </c>
      <c r="C44" t="n">
        <v>2021</v>
      </c>
      <c r="D44" t="n">
        <v>10</v>
      </c>
      <c r="E44" t="inlineStr">
        <is>
          <t>Panquehue 012</t>
        </is>
      </c>
      <c r="F44" t="inlineStr">
        <is>
          <t>Chilquinta</t>
        </is>
      </c>
      <c r="G44" t="inlineStr">
        <is>
          <t>Chilquinta</t>
        </is>
      </c>
      <c r="H44" t="inlineStr">
        <is>
          <t>Empresa Eléctrica Carén S.A.</t>
        </is>
      </c>
      <c r="I44" t="inlineStr">
        <is>
          <t>Empresa Eléctrica Carén S.A.</t>
        </is>
      </c>
      <c r="J44" t="inlineStr">
        <is>
          <t>SIC 2013/03_2_BS1B_BB_CHILQUINTA_Empresa Eléctrica Carén S.A.</t>
        </is>
      </c>
      <c r="K44" t="inlineStr">
        <is>
          <t>Panquehue 012</t>
        </is>
      </c>
      <c r="L44" t="inlineStr">
        <is>
          <t>-1</t>
        </is>
      </c>
      <c r="M44" t="n">
        <v>160.1902224684536</v>
      </c>
      <c r="N44" t="n">
        <v>0</v>
      </c>
      <c r="O44" t="inlineStr">
        <is>
          <t>3</t>
        </is>
      </c>
      <c r="P44" s="2" t="n">
        <v>44999.6862684375</v>
      </c>
      <c r="Q44" t="n">
        <v>11</v>
      </c>
      <c r="R44" t="inlineStr">
        <is>
          <t>QUILLOTA 220</t>
        </is>
      </c>
      <c r="S44" t="n">
        <v>54.36477703451699</v>
      </c>
      <c r="T44" t="n">
        <v>4745.480400034107</v>
      </c>
      <c r="U44" t="n">
        <v>0</v>
      </c>
      <c r="V44" t="n">
        <v>0</v>
      </c>
      <c r="W44" t="inlineStr">
        <is>
          <t>CHILQUINTA</t>
        </is>
      </c>
      <c r="X44" t="n">
        <v>92.861291440344</v>
      </c>
      <c r="Y44" t="n">
        <v>4.745480400034107</v>
      </c>
      <c r="Z44" t="n">
        <v>5048.383404291604</v>
      </c>
      <c r="AA44" t="n">
        <v>0</v>
      </c>
      <c r="AB44" t="n">
        <v>0</v>
      </c>
      <c r="AC44" t="n">
        <v>0</v>
      </c>
      <c r="AD44" s="2" t="n">
        <v>44470</v>
      </c>
    </row>
    <row r="45">
      <c r="A45" t="n">
        <v>-1</v>
      </c>
      <c r="B45" t="inlineStr">
        <is>
          <t>01-10-2021</t>
        </is>
      </c>
      <c r="C45" t="n">
        <v>2021</v>
      </c>
      <c r="D45" t="n">
        <v>10</v>
      </c>
      <c r="E45" t="inlineStr">
        <is>
          <t>Peñablanca 012</t>
        </is>
      </c>
      <c r="F45" t="inlineStr">
        <is>
          <t>Chilquinta</t>
        </is>
      </c>
      <c r="G45" t="inlineStr">
        <is>
          <t>Chilquinta</t>
        </is>
      </c>
      <c r="H45" t="inlineStr">
        <is>
          <t>Empresa Eléctrica Carén S.A.</t>
        </is>
      </c>
      <c r="I45" t="inlineStr">
        <is>
          <t>Empresa Eléctrica Carén S.A.</t>
        </is>
      </c>
      <c r="J45" t="inlineStr">
        <is>
          <t>SIC 2013/03_2_BS1B_BB_CHILQUINTA_Empresa Eléctrica Carén S.A.</t>
        </is>
      </c>
      <c r="K45" t="inlineStr">
        <is>
          <t>Peñablanca 012</t>
        </is>
      </c>
      <c r="L45" t="inlineStr">
        <is>
          <t>-1</t>
        </is>
      </c>
      <c r="M45" t="n">
        <v>710.9042562531073</v>
      </c>
      <c r="N45" t="n">
        <v>0</v>
      </c>
      <c r="O45" t="inlineStr">
        <is>
          <t>3</t>
        </is>
      </c>
      <c r="P45" s="2" t="n">
        <v>44999.6862684375</v>
      </c>
      <c r="Q45" t="n">
        <v>31</v>
      </c>
      <c r="R45" t="inlineStr">
        <is>
          <t>LOS MAQUIS 220</t>
        </is>
      </c>
      <c r="S45" t="n">
        <v>183.0972581231435</v>
      </c>
      <c r="T45" t="n">
        <v>15982.48897759106</v>
      </c>
      <c r="U45" t="n">
        <v>0</v>
      </c>
      <c r="V45" t="n">
        <v>0</v>
      </c>
      <c r="W45" t="inlineStr">
        <is>
          <t>CHILQUINTA</t>
        </is>
      </c>
      <c r="X45" t="n">
        <v>92.86129144034402</v>
      </c>
      <c r="Y45" t="n">
        <v>15.98248897759106</v>
      </c>
      <c r="Z45" t="n">
        <v>17002.64784850112</v>
      </c>
      <c r="AA45" t="n">
        <v>0</v>
      </c>
      <c r="AB45" t="n">
        <v>0</v>
      </c>
      <c r="AC45" t="n">
        <v>0</v>
      </c>
      <c r="AD45" s="2" t="n">
        <v>44470</v>
      </c>
    </row>
    <row r="46">
      <c r="A46" t="n">
        <v>-1</v>
      </c>
      <c r="B46" t="inlineStr">
        <is>
          <t>01-10-2021</t>
        </is>
      </c>
      <c r="C46" t="n">
        <v>2021</v>
      </c>
      <c r="D46" t="n">
        <v>10</v>
      </c>
      <c r="E46" t="inlineStr">
        <is>
          <t>Peñablanca 012</t>
        </is>
      </c>
      <c r="F46" t="inlineStr">
        <is>
          <t>Chilquinta</t>
        </is>
      </c>
      <c r="G46" t="inlineStr">
        <is>
          <t>Chilquinta</t>
        </is>
      </c>
      <c r="H46" t="inlineStr">
        <is>
          <t>Empresa Eléctrica Carén S.A.</t>
        </is>
      </c>
      <c r="I46" t="inlineStr">
        <is>
          <t>Empresa Eléctrica Carén S.A.</t>
        </is>
      </c>
      <c r="J46" t="inlineStr">
        <is>
          <t>SIC 2013/03_2_BS1B_BB_CHILQUINTA_Empresa Eléctrica Carén S.A.</t>
        </is>
      </c>
      <c r="K46" t="inlineStr">
        <is>
          <t>Peñablanca 012</t>
        </is>
      </c>
      <c r="L46" t="inlineStr">
        <is>
          <t>-1</t>
        </is>
      </c>
      <c r="M46" t="n">
        <v>710.9042562531073</v>
      </c>
      <c r="N46" t="n">
        <v>0</v>
      </c>
      <c r="O46" t="inlineStr">
        <is>
          <t>3</t>
        </is>
      </c>
      <c r="P46" s="2" t="n">
        <v>44999.6862684375</v>
      </c>
      <c r="Q46" t="n">
        <v>13</v>
      </c>
      <c r="R46" t="inlineStr">
        <is>
          <t>MELIPILLA 220</t>
        </is>
      </c>
      <c r="S46" t="n">
        <v>58.11357630519387</v>
      </c>
      <c r="T46" t="n">
        <v>5197.689347718571</v>
      </c>
      <c r="U46" t="n">
        <v>0</v>
      </c>
      <c r="V46" t="n">
        <v>0</v>
      </c>
      <c r="W46" t="inlineStr">
        <is>
          <t>CHILQUINTA</t>
        </is>
      </c>
      <c r="X46" t="n">
        <v>95.14913905578902</v>
      </c>
      <c r="Y46" t="n">
        <v>5.197689347718572</v>
      </c>
      <c r="Z46" t="n">
        <v>5529.456752892097</v>
      </c>
      <c r="AA46" t="n">
        <v>0</v>
      </c>
      <c r="AB46" t="n">
        <v>0</v>
      </c>
      <c r="AC46" t="n">
        <v>0</v>
      </c>
      <c r="AD46" s="2" t="n">
        <v>44470</v>
      </c>
    </row>
    <row r="47">
      <c r="A47" t="n">
        <v>-1</v>
      </c>
      <c r="B47" t="inlineStr">
        <is>
          <t>01-10-2021</t>
        </is>
      </c>
      <c r="C47" t="n">
        <v>2021</v>
      </c>
      <c r="D47" t="n">
        <v>10</v>
      </c>
      <c r="E47" t="inlineStr">
        <is>
          <t>Peñablanca 012</t>
        </is>
      </c>
      <c r="F47" t="inlineStr">
        <is>
          <t>Chilquinta</t>
        </is>
      </c>
      <c r="G47" t="inlineStr">
        <is>
          <t>Chilquinta</t>
        </is>
      </c>
      <c r="H47" t="inlineStr">
        <is>
          <t>Empresa Eléctrica Carén S.A.</t>
        </is>
      </c>
      <c r="I47" t="inlineStr">
        <is>
          <t>Empresa Eléctrica Carén S.A.</t>
        </is>
      </c>
      <c r="J47" t="inlineStr">
        <is>
          <t>SIC 2013/03_2_BS1B_BB_CHILQUINTA_Empresa Eléctrica Carén S.A.</t>
        </is>
      </c>
      <c r="K47" t="inlineStr">
        <is>
          <t>Peñablanca 012</t>
        </is>
      </c>
      <c r="L47" t="inlineStr">
        <is>
          <t>-1</t>
        </is>
      </c>
      <c r="M47" t="n">
        <v>710.9042562531073</v>
      </c>
      <c r="N47" t="n">
        <v>0</v>
      </c>
      <c r="O47" t="inlineStr">
        <is>
          <t>3</t>
        </is>
      </c>
      <c r="P47" s="2" t="n">
        <v>44999.6862684375</v>
      </c>
      <c r="Q47" t="n">
        <v>5</v>
      </c>
      <c r="R47" t="inlineStr">
        <is>
          <t>NOGALES 220</t>
        </is>
      </c>
      <c r="S47" t="n">
        <v>10.16440061320626</v>
      </c>
      <c r="T47" t="n">
        <v>907.5507205456577</v>
      </c>
      <c r="U47" t="n">
        <v>0</v>
      </c>
      <c r="V47" t="n">
        <v>0</v>
      </c>
      <c r="W47" t="inlineStr">
        <is>
          <t>CHILQUINTA</t>
        </is>
      </c>
      <c r="X47" t="n">
        <v>94.98636729132602</v>
      </c>
      <c r="Y47" t="n">
        <v>0.9075507205456578</v>
      </c>
      <c r="Z47" t="n">
        <v>965.479489942189</v>
      </c>
      <c r="AA47" t="n">
        <v>0</v>
      </c>
      <c r="AB47" t="n">
        <v>0</v>
      </c>
      <c r="AC47" t="n">
        <v>0</v>
      </c>
      <c r="AD47" s="2" t="n">
        <v>44470</v>
      </c>
    </row>
    <row r="48">
      <c r="A48" t="n">
        <v>-1</v>
      </c>
      <c r="B48" t="inlineStr">
        <is>
          <t>01-10-2021</t>
        </is>
      </c>
      <c r="C48" t="n">
        <v>2021</v>
      </c>
      <c r="D48" t="n">
        <v>10</v>
      </c>
      <c r="E48" t="inlineStr">
        <is>
          <t>Peñablanca 012</t>
        </is>
      </c>
      <c r="F48" t="inlineStr">
        <is>
          <t>Chilquinta</t>
        </is>
      </c>
      <c r="G48" t="inlineStr">
        <is>
          <t>Chilquinta</t>
        </is>
      </c>
      <c r="H48" t="inlineStr">
        <is>
          <t>Empresa Eléctrica Carén S.A.</t>
        </is>
      </c>
      <c r="I48" t="inlineStr">
        <is>
          <t>Empresa Eléctrica Carén S.A.</t>
        </is>
      </c>
      <c r="J48" t="inlineStr">
        <is>
          <t>SIC 2013/03_2_BS1B_BB_CHILQUINTA_Empresa Eléctrica Carén S.A.</t>
        </is>
      </c>
      <c r="K48" t="inlineStr">
        <is>
          <t>Peñablanca 012</t>
        </is>
      </c>
      <c r="L48" t="inlineStr">
        <is>
          <t>-1</t>
        </is>
      </c>
      <c r="M48" t="n">
        <v>710.9042562531073</v>
      </c>
      <c r="N48" t="n">
        <v>0</v>
      </c>
      <c r="O48" t="inlineStr">
        <is>
          <t>3</t>
        </is>
      </c>
      <c r="P48" s="2" t="n">
        <v>44999.6862684375</v>
      </c>
      <c r="Q48" t="n">
        <v>11</v>
      </c>
      <c r="R48" t="inlineStr">
        <is>
          <t>QUILLOTA 220</t>
        </is>
      </c>
      <c r="S48" t="n">
        <v>477.3675226054314</v>
      </c>
      <c r="T48" t="n">
        <v>41669.22676236889</v>
      </c>
      <c r="U48" t="n">
        <v>0</v>
      </c>
      <c r="V48" t="n">
        <v>0</v>
      </c>
      <c r="W48" t="inlineStr">
        <is>
          <t>CHILQUINTA</t>
        </is>
      </c>
      <c r="X48" t="n">
        <v>92.86129144034402</v>
      </c>
      <c r="Y48" t="n">
        <v>41.6692267623689</v>
      </c>
      <c r="Z48" t="n">
        <v>44328.96464081797</v>
      </c>
      <c r="AA48" t="n">
        <v>0</v>
      </c>
      <c r="AB48" t="n">
        <v>0</v>
      </c>
      <c r="AC48" t="n">
        <v>0</v>
      </c>
      <c r="AD48" s="2" t="n">
        <v>44470</v>
      </c>
    </row>
    <row r="49">
      <c r="A49" t="n">
        <v>-1</v>
      </c>
      <c r="B49" t="inlineStr">
        <is>
          <t>01-10-2021</t>
        </is>
      </c>
      <c r="C49" t="n">
        <v>2021</v>
      </c>
      <c r="D49" t="n">
        <v>10</v>
      </c>
      <c r="E49" t="inlineStr">
        <is>
          <t>Placeres 012</t>
        </is>
      </c>
      <c r="F49" t="inlineStr">
        <is>
          <t>Chilquinta</t>
        </is>
      </c>
      <c r="G49" t="inlineStr">
        <is>
          <t>Chilquinta</t>
        </is>
      </c>
      <c r="H49" t="inlineStr">
        <is>
          <t>Empresa Eléctrica Carén S.A.</t>
        </is>
      </c>
      <c r="I49" t="inlineStr">
        <is>
          <t>Empresa Eléctrica Carén S.A.</t>
        </is>
      </c>
      <c r="J49" t="inlineStr">
        <is>
          <t>SIC 2013/03_2_BS1B_BB_CHILQUINTA_Empresa Eléctrica Carén S.A.</t>
        </is>
      </c>
      <c r="K49" t="inlineStr">
        <is>
          <t>Placeres 012</t>
        </is>
      </c>
      <c r="L49" t="inlineStr">
        <is>
          <t>-1</t>
        </is>
      </c>
      <c r="M49" t="n">
        <v>751.16009613059</v>
      </c>
      <c r="N49" t="n">
        <v>0</v>
      </c>
      <c r="O49" t="inlineStr">
        <is>
          <t>3</t>
        </is>
      </c>
      <c r="P49" s="2" t="n">
        <v>44999.6862684375</v>
      </c>
      <c r="Q49" t="n">
        <v>31</v>
      </c>
      <c r="R49" t="inlineStr">
        <is>
          <t>LOS MAQUIS 220</t>
        </is>
      </c>
      <c r="S49" t="n">
        <v>131.0046170834565</v>
      </c>
      <c r="T49" t="n">
        <v>11435.34245139647</v>
      </c>
      <c r="U49" t="n">
        <v>0</v>
      </c>
      <c r="V49" t="n">
        <v>0</v>
      </c>
      <c r="W49" t="inlineStr">
        <is>
          <t>CHILQUINTA</t>
        </is>
      </c>
      <c r="X49" t="n">
        <v>92.86129144034402</v>
      </c>
      <c r="Y49" t="n">
        <v>11.43534245139647</v>
      </c>
      <c r="Z49" t="n">
        <v>12165.25792701752</v>
      </c>
      <c r="AA49" t="n">
        <v>0</v>
      </c>
      <c r="AB49" t="n">
        <v>0</v>
      </c>
      <c r="AC49" t="n">
        <v>0</v>
      </c>
      <c r="AD49" s="2" t="n">
        <v>44470</v>
      </c>
    </row>
    <row r="50">
      <c r="A50" t="n">
        <v>-1</v>
      </c>
      <c r="B50" t="inlineStr">
        <is>
          <t>01-10-2021</t>
        </is>
      </c>
      <c r="C50" t="n">
        <v>2021</v>
      </c>
      <c r="D50" t="n">
        <v>10</v>
      </c>
      <c r="E50" t="inlineStr">
        <is>
          <t>Placeres 012</t>
        </is>
      </c>
      <c r="F50" t="inlineStr">
        <is>
          <t>Chilquinta</t>
        </is>
      </c>
      <c r="G50" t="inlineStr">
        <is>
          <t>Chilquinta</t>
        </is>
      </c>
      <c r="H50" t="inlineStr">
        <is>
          <t>Empresa Eléctrica Carén S.A.</t>
        </is>
      </c>
      <c r="I50" t="inlineStr">
        <is>
          <t>Empresa Eléctrica Carén S.A.</t>
        </is>
      </c>
      <c r="J50" t="inlineStr">
        <is>
          <t>SIC 2013/03_2_BS1B_BB_CHILQUINTA_Empresa Eléctrica Carén S.A.</t>
        </is>
      </c>
      <c r="K50" t="inlineStr">
        <is>
          <t>Placeres 012</t>
        </is>
      </c>
      <c r="L50" t="inlineStr">
        <is>
          <t>-1</t>
        </is>
      </c>
      <c r="M50" t="n">
        <v>751.16009613059</v>
      </c>
      <c r="N50" t="n">
        <v>0</v>
      </c>
      <c r="O50" t="inlineStr">
        <is>
          <t>3</t>
        </is>
      </c>
      <c r="P50" s="2" t="n">
        <v>44999.6862684375</v>
      </c>
      <c r="Q50" t="n">
        <v>13</v>
      </c>
      <c r="R50" t="inlineStr">
        <is>
          <t>MELIPILLA 220</t>
        </is>
      </c>
      <c r="S50" t="n">
        <v>263.9214672298018</v>
      </c>
      <c r="T50" t="n">
        <v>23605.1863621409</v>
      </c>
      <c r="U50" t="n">
        <v>0</v>
      </c>
      <c r="V50" t="n">
        <v>0</v>
      </c>
      <c r="W50" t="inlineStr">
        <is>
          <t>CHILQUINTA</t>
        </is>
      </c>
      <c r="X50" t="n">
        <v>95.14913905578902</v>
      </c>
      <c r="Y50" t="n">
        <v>23.6051863621409</v>
      </c>
      <c r="Z50" t="n">
        <v>25111.90038525627</v>
      </c>
      <c r="AA50" t="n">
        <v>0</v>
      </c>
      <c r="AB50" t="n">
        <v>0</v>
      </c>
      <c r="AC50" t="n">
        <v>0</v>
      </c>
      <c r="AD50" s="2" t="n">
        <v>44470</v>
      </c>
    </row>
    <row r="51">
      <c r="A51" t="n">
        <v>-1</v>
      </c>
      <c r="B51" t="inlineStr">
        <is>
          <t>01-10-2021</t>
        </is>
      </c>
      <c r="C51" t="n">
        <v>2021</v>
      </c>
      <c r="D51" t="n">
        <v>10</v>
      </c>
      <c r="E51" t="inlineStr">
        <is>
          <t>Placeres 012</t>
        </is>
      </c>
      <c r="F51" t="inlineStr">
        <is>
          <t>Chilquinta</t>
        </is>
      </c>
      <c r="G51" t="inlineStr">
        <is>
          <t>Chilquinta</t>
        </is>
      </c>
      <c r="H51" t="inlineStr">
        <is>
          <t>Empresa Eléctrica Carén S.A.</t>
        </is>
      </c>
      <c r="I51" t="inlineStr">
        <is>
          <t>Empresa Eléctrica Carén S.A.</t>
        </is>
      </c>
      <c r="J51" t="inlineStr">
        <is>
          <t>SIC 2013/03_2_BS1B_BB_CHILQUINTA_Empresa Eléctrica Carén S.A.</t>
        </is>
      </c>
      <c r="K51" t="inlineStr">
        <is>
          <t>Placeres 012</t>
        </is>
      </c>
      <c r="L51" t="inlineStr">
        <is>
          <t>-1</t>
        </is>
      </c>
      <c r="M51" t="n">
        <v>751.16009613059</v>
      </c>
      <c r="N51" t="n">
        <v>0</v>
      </c>
      <c r="O51" t="inlineStr">
        <is>
          <t>3</t>
        </is>
      </c>
      <c r="P51" s="2" t="n">
        <v>44999.6862684375</v>
      </c>
      <c r="Q51" t="n">
        <v>5</v>
      </c>
      <c r="R51" t="inlineStr">
        <is>
          <t>NOGALES 220</t>
        </is>
      </c>
      <c r="S51" t="n">
        <v>7.824300793498577</v>
      </c>
      <c r="T51" t="n">
        <v>698.6097944309251</v>
      </c>
      <c r="U51" t="n">
        <v>0</v>
      </c>
      <c r="V51" t="n">
        <v>0</v>
      </c>
      <c r="W51" t="inlineStr">
        <is>
          <t>CHILQUINTA</t>
        </is>
      </c>
      <c r="X51" t="n">
        <v>94.986367291326</v>
      </c>
      <c r="Y51" t="n">
        <v>0.6986097944309252</v>
      </c>
      <c r="Z51" t="n">
        <v>743.2019089690693</v>
      </c>
      <c r="AA51" t="n">
        <v>0</v>
      </c>
      <c r="AB51" t="n">
        <v>0</v>
      </c>
      <c r="AC51" t="n">
        <v>0</v>
      </c>
      <c r="AD51" s="2" t="n">
        <v>44470</v>
      </c>
    </row>
    <row r="52">
      <c r="A52" t="n">
        <v>-1</v>
      </c>
      <c r="B52" t="inlineStr">
        <is>
          <t>01-10-2021</t>
        </is>
      </c>
      <c r="C52" t="n">
        <v>2021</v>
      </c>
      <c r="D52" t="n">
        <v>10</v>
      </c>
      <c r="E52" t="inlineStr">
        <is>
          <t>Placeres 012</t>
        </is>
      </c>
      <c r="F52" t="inlineStr">
        <is>
          <t>Chilquinta</t>
        </is>
      </c>
      <c r="G52" t="inlineStr">
        <is>
          <t>Chilquinta</t>
        </is>
      </c>
      <c r="H52" t="inlineStr">
        <is>
          <t>Empresa Eléctrica Carén S.A.</t>
        </is>
      </c>
      <c r="I52" t="inlineStr">
        <is>
          <t>Empresa Eléctrica Carén S.A.</t>
        </is>
      </c>
      <c r="J52" t="inlineStr">
        <is>
          <t>SIC 2013/03_2_BS1B_BB_CHILQUINTA_Empresa Eléctrica Carén S.A.</t>
        </is>
      </c>
      <c r="K52" t="inlineStr">
        <is>
          <t>Placeres 012</t>
        </is>
      </c>
      <c r="L52" t="inlineStr">
        <is>
          <t>-1</t>
        </is>
      </c>
      <c r="M52" t="n">
        <v>751.16009613059</v>
      </c>
      <c r="N52" t="n">
        <v>0</v>
      </c>
      <c r="O52" t="inlineStr">
        <is>
          <t>3</t>
        </is>
      </c>
      <c r="P52" s="2" t="n">
        <v>44999.6862684375</v>
      </c>
      <c r="Q52" t="n">
        <v>11</v>
      </c>
      <c r="R52" t="inlineStr">
        <is>
          <t>QUILLOTA 220</t>
        </is>
      </c>
      <c r="S52" t="n">
        <v>367.2583398004663</v>
      </c>
      <c r="T52" t="n">
        <v>32057.83870254152</v>
      </c>
      <c r="U52" t="n">
        <v>0</v>
      </c>
      <c r="V52" t="n">
        <v>0</v>
      </c>
      <c r="W52" t="inlineStr">
        <is>
          <t>CHILQUINTA</t>
        </is>
      </c>
      <c r="X52" t="n">
        <v>92.86129144034402</v>
      </c>
      <c r="Y52" t="n">
        <v>32.05783870254152</v>
      </c>
      <c r="Z52" t="n">
        <v>34104.083726108</v>
      </c>
      <c r="AA52" t="n">
        <v>0</v>
      </c>
      <c r="AB52" t="n">
        <v>0</v>
      </c>
      <c r="AC52" t="n">
        <v>0</v>
      </c>
      <c r="AD52" s="2" t="n">
        <v>44470</v>
      </c>
    </row>
    <row r="53">
      <c r="A53" t="n">
        <v>-1</v>
      </c>
      <c r="B53" t="inlineStr">
        <is>
          <t>01-10-2021</t>
        </is>
      </c>
      <c r="C53" t="n">
        <v>2021</v>
      </c>
      <c r="D53" t="n">
        <v>10</v>
      </c>
      <c r="E53" t="inlineStr">
        <is>
          <t>Placilla SIC2 012</t>
        </is>
      </c>
      <c r="F53" t="inlineStr">
        <is>
          <t>Chilquinta</t>
        </is>
      </c>
      <c r="G53" t="inlineStr">
        <is>
          <t>Chilquinta</t>
        </is>
      </c>
      <c r="H53" t="inlineStr">
        <is>
          <t>Empresa Eléctrica Carén S.A.</t>
        </is>
      </c>
      <c r="I53" t="inlineStr">
        <is>
          <t>Empresa Eléctrica Carén S.A.</t>
        </is>
      </c>
      <c r="J53" t="inlineStr">
        <is>
          <t>SIC 2013/03_2_BS1B_BB_CHILQUINTA_Empresa Eléctrica Carén S.A.</t>
        </is>
      </c>
      <c r="K53" t="inlineStr">
        <is>
          <t>Placilla SIC2 012</t>
        </is>
      </c>
      <c r="L53" t="inlineStr">
        <is>
          <t>-1</t>
        </is>
      </c>
      <c r="M53" t="n">
        <v>383.3168318028577</v>
      </c>
      <c r="N53" t="n">
        <v>0</v>
      </c>
      <c r="O53" t="inlineStr">
        <is>
          <t>3</t>
        </is>
      </c>
      <c r="P53" s="2" t="n">
        <v>44999.6862684375</v>
      </c>
      <c r="Q53" t="n">
        <v>31</v>
      </c>
      <c r="R53" t="inlineStr">
        <is>
          <t>LOS MAQUIS 220</t>
        </is>
      </c>
      <c r="S53" t="n">
        <v>68.77244897943537</v>
      </c>
      <c r="T53" t="n">
        <v>6003.120522080803</v>
      </c>
      <c r="U53" t="n">
        <v>0</v>
      </c>
      <c r="V53" t="n">
        <v>0</v>
      </c>
      <c r="W53" t="inlineStr">
        <is>
          <t>CHILQUINTA</t>
        </is>
      </c>
      <c r="X53" t="n">
        <v>92.861291440344</v>
      </c>
      <c r="Y53" t="n">
        <v>6.003120522080803</v>
      </c>
      <c r="Z53" t="n">
        <v>6386.298427745536</v>
      </c>
      <c r="AA53" t="n">
        <v>0</v>
      </c>
      <c r="AB53" t="n">
        <v>0</v>
      </c>
      <c r="AC53" t="n">
        <v>0</v>
      </c>
      <c r="AD53" s="2" t="n">
        <v>44470</v>
      </c>
    </row>
    <row r="54">
      <c r="A54" t="n">
        <v>-1</v>
      </c>
      <c r="B54" t="inlineStr">
        <is>
          <t>01-10-2021</t>
        </is>
      </c>
      <c r="C54" t="n">
        <v>2021</v>
      </c>
      <c r="D54" t="n">
        <v>10</v>
      </c>
      <c r="E54" t="inlineStr">
        <is>
          <t>Placilla SIC2 012</t>
        </is>
      </c>
      <c r="F54" t="inlineStr">
        <is>
          <t>Chilquinta</t>
        </is>
      </c>
      <c r="G54" t="inlineStr">
        <is>
          <t>Chilquinta</t>
        </is>
      </c>
      <c r="H54" t="inlineStr">
        <is>
          <t>Empresa Eléctrica Carén S.A.</t>
        </is>
      </c>
      <c r="I54" t="inlineStr">
        <is>
          <t>Empresa Eléctrica Carén S.A.</t>
        </is>
      </c>
      <c r="J54" t="inlineStr">
        <is>
          <t>SIC 2013/03_2_BS1B_BB_CHILQUINTA_Empresa Eléctrica Carén S.A.</t>
        </is>
      </c>
      <c r="K54" t="inlineStr">
        <is>
          <t>Placilla SIC2 012</t>
        </is>
      </c>
      <c r="L54" t="inlineStr">
        <is>
          <t>-1</t>
        </is>
      </c>
      <c r="M54" t="n">
        <v>383.3168318028577</v>
      </c>
      <c r="N54" t="n">
        <v>0</v>
      </c>
      <c r="O54" t="inlineStr">
        <is>
          <t>3</t>
        </is>
      </c>
      <c r="P54" s="2" t="n">
        <v>44999.6862684375</v>
      </c>
      <c r="Q54" t="n">
        <v>13</v>
      </c>
      <c r="R54" t="inlineStr">
        <is>
          <t>MELIPILLA 220</t>
        </is>
      </c>
      <c r="S54" t="n">
        <v>120.9504637961695</v>
      </c>
      <c r="T54" t="n">
        <v>10817.83254868767</v>
      </c>
      <c r="U54" t="n">
        <v>0</v>
      </c>
      <c r="V54" t="n">
        <v>0</v>
      </c>
      <c r="W54" t="inlineStr">
        <is>
          <t>CHILQUINTA</t>
        </is>
      </c>
      <c r="X54" t="n">
        <v>95.14913905578901</v>
      </c>
      <c r="Y54" t="n">
        <v>10.81783254868767</v>
      </c>
      <c r="Z54" t="n">
        <v>11508.33249860391</v>
      </c>
      <c r="AA54" t="n">
        <v>0</v>
      </c>
      <c r="AB54" t="n">
        <v>0</v>
      </c>
      <c r="AC54" t="n">
        <v>0</v>
      </c>
      <c r="AD54" s="2" t="n">
        <v>44470</v>
      </c>
    </row>
    <row r="55">
      <c r="A55" t="n">
        <v>-1</v>
      </c>
      <c r="B55" t="inlineStr">
        <is>
          <t>01-10-2021</t>
        </is>
      </c>
      <c r="C55" t="n">
        <v>2021</v>
      </c>
      <c r="D55" t="n">
        <v>10</v>
      </c>
      <c r="E55" t="inlineStr">
        <is>
          <t>Placilla SIC2 012</t>
        </is>
      </c>
      <c r="F55" t="inlineStr">
        <is>
          <t>Chilquinta</t>
        </is>
      </c>
      <c r="G55" t="inlineStr">
        <is>
          <t>Chilquinta</t>
        </is>
      </c>
      <c r="H55" t="inlineStr">
        <is>
          <t>Empresa Eléctrica Carén S.A.</t>
        </is>
      </c>
      <c r="I55" t="inlineStr">
        <is>
          <t>Empresa Eléctrica Carén S.A.</t>
        </is>
      </c>
      <c r="J55" t="inlineStr">
        <is>
          <t>SIC 2013/03_2_BS1B_BB_CHILQUINTA_Empresa Eléctrica Carén S.A.</t>
        </is>
      </c>
      <c r="K55" t="inlineStr">
        <is>
          <t>Placilla SIC2 012</t>
        </is>
      </c>
      <c r="L55" t="inlineStr">
        <is>
          <t>-1</t>
        </is>
      </c>
      <c r="M55" t="n">
        <v>383.3168318028577</v>
      </c>
      <c r="N55" t="n">
        <v>0</v>
      </c>
      <c r="O55" t="inlineStr">
        <is>
          <t>3</t>
        </is>
      </c>
      <c r="P55" s="2" t="n">
        <v>44999.6862684375</v>
      </c>
      <c r="Q55" t="n">
        <v>5</v>
      </c>
      <c r="R55" t="inlineStr">
        <is>
          <t>NOGALES 220</t>
        </is>
      </c>
      <c r="S55" t="n">
        <v>4.655141319008596</v>
      </c>
      <c r="T55" t="n">
        <v>415.6444653331556</v>
      </c>
      <c r="U55" t="n">
        <v>0</v>
      </c>
      <c r="V55" t="n">
        <v>0</v>
      </c>
      <c r="W55" t="inlineStr">
        <is>
          <t>CHILQUINTA</t>
        </is>
      </c>
      <c r="X55" t="n">
        <v>94.986367291326</v>
      </c>
      <c r="Y55" t="n">
        <v>0.4156444653331556</v>
      </c>
      <c r="Z55" t="n">
        <v>442.1749631203783</v>
      </c>
      <c r="AA55" t="n">
        <v>0</v>
      </c>
      <c r="AB55" t="n">
        <v>0</v>
      </c>
      <c r="AC55" t="n">
        <v>0</v>
      </c>
      <c r="AD55" s="2" t="n">
        <v>44470</v>
      </c>
    </row>
    <row r="56">
      <c r="A56" t="n">
        <v>-1</v>
      </c>
      <c r="B56" t="inlineStr">
        <is>
          <t>01-10-2021</t>
        </is>
      </c>
      <c r="C56" t="n">
        <v>2021</v>
      </c>
      <c r="D56" t="n">
        <v>10</v>
      </c>
      <c r="E56" t="inlineStr">
        <is>
          <t>Placilla SIC2 012</t>
        </is>
      </c>
      <c r="F56" t="inlineStr">
        <is>
          <t>Chilquinta</t>
        </is>
      </c>
      <c r="G56" t="inlineStr">
        <is>
          <t>Chilquinta</t>
        </is>
      </c>
      <c r="H56" t="inlineStr">
        <is>
          <t>Empresa Eléctrica Carén S.A.</t>
        </is>
      </c>
      <c r="I56" t="inlineStr">
        <is>
          <t>Empresa Eléctrica Carén S.A.</t>
        </is>
      </c>
      <c r="J56" t="inlineStr">
        <is>
          <t>SIC 2013/03_2_BS1B_BB_CHILQUINTA_Empresa Eléctrica Carén S.A.</t>
        </is>
      </c>
      <c r="K56" t="inlineStr">
        <is>
          <t>Placilla SIC2 012</t>
        </is>
      </c>
      <c r="L56" t="inlineStr">
        <is>
          <t>-1</t>
        </is>
      </c>
      <c r="M56" t="n">
        <v>383.3168318028577</v>
      </c>
      <c r="N56" t="n">
        <v>0</v>
      </c>
      <c r="O56" t="inlineStr">
        <is>
          <t>3</t>
        </is>
      </c>
      <c r="P56" s="2" t="n">
        <v>44999.6862684375</v>
      </c>
      <c r="Q56" t="n">
        <v>11</v>
      </c>
      <c r="R56" t="inlineStr">
        <is>
          <t>QUILLOTA 220</t>
        </is>
      </c>
      <c r="S56" t="n">
        <v>198.5572288263283</v>
      </c>
      <c r="T56" t="n">
        <v>17331.98385201102</v>
      </c>
      <c r="U56" t="n">
        <v>0</v>
      </c>
      <c r="V56" t="n">
        <v>0</v>
      </c>
      <c r="W56" t="inlineStr">
        <is>
          <t>CHILQUINTA</t>
        </is>
      </c>
      <c r="X56" t="n">
        <v>92.86129144034402</v>
      </c>
      <c r="Y56" t="n">
        <v>17.33198385201102</v>
      </c>
      <c r="Z56" t="n">
        <v>18438.28069362874</v>
      </c>
      <c r="AA56" t="n">
        <v>0</v>
      </c>
      <c r="AB56" t="n">
        <v>0</v>
      </c>
      <c r="AC56" t="n">
        <v>0</v>
      </c>
      <c r="AD56" s="2" t="n">
        <v>44470</v>
      </c>
    </row>
    <row r="57">
      <c r="A57" t="n">
        <v>-1</v>
      </c>
      <c r="B57" t="inlineStr">
        <is>
          <t>01-10-2021</t>
        </is>
      </c>
      <c r="C57" t="n">
        <v>2021</v>
      </c>
      <c r="D57" t="n">
        <v>10</v>
      </c>
      <c r="E57" t="inlineStr">
        <is>
          <t>Playa Ancha 13.8</t>
        </is>
      </c>
      <c r="F57" t="inlineStr">
        <is>
          <t>Chilquinta</t>
        </is>
      </c>
      <c r="G57" t="inlineStr">
        <is>
          <t>Chilquinta</t>
        </is>
      </c>
      <c r="H57" t="inlineStr">
        <is>
          <t>Empresa Eléctrica Carén S.A.</t>
        </is>
      </c>
      <c r="I57" t="inlineStr">
        <is>
          <t>Empresa Eléctrica Carén S.A.</t>
        </is>
      </c>
      <c r="J57" t="inlineStr">
        <is>
          <t>SIC 2013/03_2_BS1B_BB_CHILQUINTA_Empresa Eléctrica Carén S.A.</t>
        </is>
      </c>
      <c r="K57" t="inlineStr">
        <is>
          <t>Playa Ancha 13.8</t>
        </is>
      </c>
      <c r="L57" t="inlineStr">
        <is>
          <t>-1</t>
        </is>
      </c>
      <c r="M57" t="n">
        <v>554.0806800226615</v>
      </c>
      <c r="N57" t="n">
        <v>0</v>
      </c>
      <c r="O57" t="inlineStr">
        <is>
          <t>3</t>
        </is>
      </c>
      <c r="P57" s="2" t="n">
        <v>44999.6862684375</v>
      </c>
      <c r="Q57" t="n">
        <v>31</v>
      </c>
      <c r="R57" t="inlineStr">
        <is>
          <t>LOS MAQUIS 220</t>
        </is>
      </c>
      <c r="S57" t="n">
        <v>20.43073259949389</v>
      </c>
      <c r="T57" t="n">
        <v>1783.390761405659</v>
      </c>
      <c r="U57" t="n">
        <v>0</v>
      </c>
      <c r="V57" t="n">
        <v>0</v>
      </c>
      <c r="W57" t="inlineStr">
        <is>
          <t>CHILQUINTA</t>
        </is>
      </c>
      <c r="X57" t="n">
        <v>92.86129144034402</v>
      </c>
      <c r="Y57" t="n">
        <v>1.783390761405659</v>
      </c>
      <c r="Z57" t="n">
        <v>1897.22421426134</v>
      </c>
      <c r="AA57" t="n">
        <v>0</v>
      </c>
      <c r="AB57" t="n">
        <v>0</v>
      </c>
      <c r="AC57" t="n">
        <v>0</v>
      </c>
      <c r="AD57" s="2" t="n">
        <v>44470</v>
      </c>
    </row>
    <row r="58">
      <c r="A58" t="n">
        <v>-1</v>
      </c>
      <c r="B58" t="inlineStr">
        <is>
          <t>01-10-2021</t>
        </is>
      </c>
      <c r="C58" t="n">
        <v>2021</v>
      </c>
      <c r="D58" t="n">
        <v>10</v>
      </c>
      <c r="E58" t="inlineStr">
        <is>
          <t>Playa Ancha 13.8</t>
        </is>
      </c>
      <c r="F58" t="inlineStr">
        <is>
          <t>Chilquinta</t>
        </is>
      </c>
      <c r="G58" t="inlineStr">
        <is>
          <t>Chilquinta</t>
        </is>
      </c>
      <c r="H58" t="inlineStr">
        <is>
          <t>Empresa Eléctrica Carén S.A.</t>
        </is>
      </c>
      <c r="I58" t="inlineStr">
        <is>
          <t>Empresa Eléctrica Carén S.A.</t>
        </is>
      </c>
      <c r="J58" t="inlineStr">
        <is>
          <t>SIC 2013/03_2_BS1B_BB_CHILQUINTA_Empresa Eléctrica Carén S.A.</t>
        </is>
      </c>
      <c r="K58" t="inlineStr">
        <is>
          <t>Playa Ancha 13.8</t>
        </is>
      </c>
      <c r="L58" t="inlineStr">
        <is>
          <t>-1</t>
        </is>
      </c>
      <c r="M58" t="n">
        <v>554.0806800226615</v>
      </c>
      <c r="N58" t="n">
        <v>0</v>
      </c>
      <c r="O58" t="inlineStr">
        <is>
          <t>3</t>
        </is>
      </c>
      <c r="P58" s="2" t="n">
        <v>44999.6862684375</v>
      </c>
      <c r="Q58" t="n">
        <v>13</v>
      </c>
      <c r="R58" t="inlineStr">
        <is>
          <t>MELIPILLA 220</t>
        </is>
      </c>
      <c r="S58" t="n">
        <v>486.3009007018397</v>
      </c>
      <c r="T58" t="n">
        <v>43494.8453024047</v>
      </c>
      <c r="U58" t="n">
        <v>0</v>
      </c>
      <c r="V58" t="n">
        <v>0</v>
      </c>
      <c r="W58" t="inlineStr">
        <is>
          <t>CHILQUINTA</t>
        </is>
      </c>
      <c r="X58" t="n">
        <v>95.14913905578901</v>
      </c>
      <c r="Y58" t="n">
        <v>43.49484530240471</v>
      </c>
      <c r="Z58" t="n">
        <v>46271.11202383479</v>
      </c>
      <c r="AA58" t="n">
        <v>0</v>
      </c>
      <c r="AB58" t="n">
        <v>0</v>
      </c>
      <c r="AC58" t="n">
        <v>0</v>
      </c>
      <c r="AD58" s="2" t="n">
        <v>44470</v>
      </c>
    </row>
    <row r="59">
      <c r="A59" t="n">
        <v>-1</v>
      </c>
      <c r="B59" t="inlineStr">
        <is>
          <t>01-10-2021</t>
        </is>
      </c>
      <c r="C59" t="n">
        <v>2021</v>
      </c>
      <c r="D59" t="n">
        <v>10</v>
      </c>
      <c r="E59" t="inlineStr">
        <is>
          <t>Playa Ancha 13.8</t>
        </is>
      </c>
      <c r="F59" t="inlineStr">
        <is>
          <t>Chilquinta</t>
        </is>
      </c>
      <c r="G59" t="inlineStr">
        <is>
          <t>Chilquinta</t>
        </is>
      </c>
      <c r="H59" t="inlineStr">
        <is>
          <t>Empresa Eléctrica Carén S.A.</t>
        </is>
      </c>
      <c r="I59" t="inlineStr">
        <is>
          <t>Empresa Eléctrica Carén S.A.</t>
        </is>
      </c>
      <c r="J59" t="inlineStr">
        <is>
          <t>SIC 2013/03_2_BS1B_BB_CHILQUINTA_Empresa Eléctrica Carén S.A.</t>
        </is>
      </c>
      <c r="K59" t="inlineStr">
        <is>
          <t>Playa Ancha 13.8</t>
        </is>
      </c>
      <c r="L59" t="inlineStr">
        <is>
          <t>-1</t>
        </is>
      </c>
      <c r="M59" t="n">
        <v>554.0806800226615</v>
      </c>
      <c r="N59" t="n">
        <v>0</v>
      </c>
      <c r="O59" t="inlineStr">
        <is>
          <t>3</t>
        </is>
      </c>
      <c r="P59" s="2" t="n">
        <v>44999.6862684375</v>
      </c>
      <c r="Q59" t="n">
        <v>5</v>
      </c>
      <c r="R59" t="inlineStr">
        <is>
          <t>NOGALES 220</t>
        </is>
      </c>
      <c r="S59" t="n">
        <v>1.32163601638378</v>
      </c>
      <c r="T59" t="n">
        <v>118.0051598330142</v>
      </c>
      <c r="U59" t="n">
        <v>0</v>
      </c>
      <c r="V59" t="n">
        <v>0</v>
      </c>
      <c r="W59" t="inlineStr">
        <is>
          <t>CHILQUINTA</t>
        </is>
      </c>
      <c r="X59" t="n">
        <v>94.986367291326</v>
      </c>
      <c r="Y59" t="n">
        <v>0.1180051598330142</v>
      </c>
      <c r="Z59" t="n">
        <v>125.5374040776747</v>
      </c>
      <c r="AA59" t="n">
        <v>0</v>
      </c>
      <c r="AB59" t="n">
        <v>0</v>
      </c>
      <c r="AC59" t="n">
        <v>0</v>
      </c>
      <c r="AD59" s="2" t="n">
        <v>44470</v>
      </c>
    </row>
    <row r="60">
      <c r="A60" t="n">
        <v>-1</v>
      </c>
      <c r="B60" t="inlineStr">
        <is>
          <t>01-10-2021</t>
        </is>
      </c>
      <c r="C60" t="n">
        <v>2021</v>
      </c>
      <c r="D60" t="n">
        <v>10</v>
      </c>
      <c r="E60" t="inlineStr">
        <is>
          <t>Playa Ancha 13.8</t>
        </is>
      </c>
      <c r="F60" t="inlineStr">
        <is>
          <t>Chilquinta</t>
        </is>
      </c>
      <c r="G60" t="inlineStr">
        <is>
          <t>Chilquinta</t>
        </is>
      </c>
      <c r="H60" t="inlineStr">
        <is>
          <t>Empresa Eléctrica Carén S.A.</t>
        </is>
      </c>
      <c r="I60" t="inlineStr">
        <is>
          <t>Empresa Eléctrica Carén S.A.</t>
        </is>
      </c>
      <c r="J60" t="inlineStr">
        <is>
          <t>SIC 2013/03_2_BS1B_BB_CHILQUINTA_Empresa Eléctrica Carén S.A.</t>
        </is>
      </c>
      <c r="K60" t="inlineStr">
        <is>
          <t>Playa Ancha 13.8</t>
        </is>
      </c>
      <c r="L60" t="inlineStr">
        <is>
          <t>-1</t>
        </is>
      </c>
      <c r="M60" t="n">
        <v>554.0806800226615</v>
      </c>
      <c r="N60" t="n">
        <v>0</v>
      </c>
      <c r="O60" t="inlineStr">
        <is>
          <t>3</t>
        </is>
      </c>
      <c r="P60" s="2" t="n">
        <v>44999.6862684375</v>
      </c>
      <c r="Q60" t="n">
        <v>11</v>
      </c>
      <c r="R60" t="inlineStr">
        <is>
          <t>QUILLOTA 220</t>
        </is>
      </c>
      <c r="S60" t="n">
        <v>59.93078643516421</v>
      </c>
      <c r="T60" t="n">
        <v>5231.335211880511</v>
      </c>
      <c r="U60" t="n">
        <v>0</v>
      </c>
      <c r="V60" t="n">
        <v>0</v>
      </c>
      <c r="W60" t="inlineStr">
        <is>
          <t>CHILQUINTA</t>
        </is>
      </c>
      <c r="X60" t="n">
        <v>92.861291440344</v>
      </c>
      <c r="Y60" t="n">
        <v>5.23133521188051</v>
      </c>
      <c r="Z60" t="n">
        <v>5565.250225404799</v>
      </c>
      <c r="AA60" t="n">
        <v>0</v>
      </c>
      <c r="AB60" t="n">
        <v>0</v>
      </c>
      <c r="AC60" t="n">
        <v>0</v>
      </c>
      <c r="AD60" s="2" t="n">
        <v>44470</v>
      </c>
    </row>
    <row r="61">
      <c r="A61" t="n">
        <v>-1</v>
      </c>
      <c r="B61" t="inlineStr">
        <is>
          <t>01-10-2021</t>
        </is>
      </c>
      <c r="C61" t="n">
        <v>2021</v>
      </c>
      <c r="D61" t="n">
        <v>10</v>
      </c>
      <c r="E61" t="inlineStr">
        <is>
          <t>Quilpue 012</t>
        </is>
      </c>
      <c r="F61" t="inlineStr">
        <is>
          <t>Chilquinta</t>
        </is>
      </c>
      <c r="G61" t="inlineStr">
        <is>
          <t>Chilquinta</t>
        </is>
      </c>
      <c r="H61" t="inlineStr">
        <is>
          <t>Empresa Eléctrica Carén S.A.</t>
        </is>
      </c>
      <c r="I61" t="inlineStr">
        <is>
          <t>Empresa Eléctrica Carén S.A.</t>
        </is>
      </c>
      <c r="J61" t="inlineStr">
        <is>
          <t>SIC 2013/03_2_BS1B_BB_CHILQUINTA_Empresa Eléctrica Carén S.A.</t>
        </is>
      </c>
      <c r="K61" t="inlineStr">
        <is>
          <t>Quilpue 012</t>
        </is>
      </c>
      <c r="L61" t="inlineStr">
        <is>
          <t>-1</t>
        </is>
      </c>
      <c r="M61" t="n">
        <v>1416.520699482588</v>
      </c>
      <c r="N61" t="n">
        <v>0</v>
      </c>
      <c r="O61" t="inlineStr">
        <is>
          <t>3</t>
        </is>
      </c>
      <c r="P61" s="2" t="n">
        <v>44999.6862684375</v>
      </c>
      <c r="Q61" t="n">
        <v>31</v>
      </c>
      <c r="R61" t="inlineStr">
        <is>
          <t>LOS MAQUIS 220</t>
        </is>
      </c>
      <c r="S61" t="n">
        <v>328.8925726693658</v>
      </c>
      <c r="T61" t="n">
        <v>28708.90570062163</v>
      </c>
      <c r="U61" t="n">
        <v>0</v>
      </c>
      <c r="V61" t="n">
        <v>0</v>
      </c>
      <c r="W61" t="inlineStr">
        <is>
          <t>CHILQUINTA</t>
        </is>
      </c>
      <c r="X61" t="n">
        <v>92.861291440344</v>
      </c>
      <c r="Y61" t="n">
        <v>28.70890570062163</v>
      </c>
      <c r="Z61" t="n">
        <v>30541.3890432145</v>
      </c>
      <c r="AA61" t="n">
        <v>0</v>
      </c>
      <c r="AB61" t="n">
        <v>0</v>
      </c>
      <c r="AC61" t="n">
        <v>0</v>
      </c>
      <c r="AD61" s="2" t="n">
        <v>44470</v>
      </c>
    </row>
    <row r="62">
      <c r="A62" t="n">
        <v>-1</v>
      </c>
      <c r="B62" t="inlineStr">
        <is>
          <t>01-10-2021</t>
        </is>
      </c>
      <c r="C62" t="n">
        <v>2021</v>
      </c>
      <c r="D62" t="n">
        <v>10</v>
      </c>
      <c r="E62" t="inlineStr">
        <is>
          <t>Quilpue 012</t>
        </is>
      </c>
      <c r="F62" t="inlineStr">
        <is>
          <t>Chilquinta</t>
        </is>
      </c>
      <c r="G62" t="inlineStr">
        <is>
          <t>Chilquinta</t>
        </is>
      </c>
      <c r="H62" t="inlineStr">
        <is>
          <t>Empresa Eléctrica Carén S.A.</t>
        </is>
      </c>
      <c r="I62" t="inlineStr">
        <is>
          <t>Empresa Eléctrica Carén S.A.</t>
        </is>
      </c>
      <c r="J62" t="inlineStr">
        <is>
          <t>SIC 2013/03_2_BS1B_BB_CHILQUINTA_Empresa Eléctrica Carén S.A.</t>
        </is>
      </c>
      <c r="K62" t="inlineStr">
        <is>
          <t>Quilpue 012</t>
        </is>
      </c>
      <c r="L62" t="inlineStr">
        <is>
          <t>-1</t>
        </is>
      </c>
      <c r="M62" t="n">
        <v>1416.520699482588</v>
      </c>
      <c r="N62" t="n">
        <v>0</v>
      </c>
      <c r="O62" t="inlineStr">
        <is>
          <t>3</t>
        </is>
      </c>
      <c r="P62" s="2" t="n">
        <v>44999.6862684375</v>
      </c>
      <c r="Q62" t="n">
        <v>13</v>
      </c>
      <c r="R62" t="inlineStr">
        <is>
          <t>MELIPILLA 220</t>
        </is>
      </c>
      <c r="S62" t="n">
        <v>160.318182612482</v>
      </c>
      <c r="T62" t="n">
        <v>14338.88882753244</v>
      </c>
      <c r="U62" t="n">
        <v>0</v>
      </c>
      <c r="V62" t="n">
        <v>0</v>
      </c>
      <c r="W62" t="inlineStr">
        <is>
          <t>CHILQUINTA</t>
        </is>
      </c>
      <c r="X62" t="n">
        <v>95.14913905578902</v>
      </c>
      <c r="Y62" t="n">
        <v>14.33888882753244</v>
      </c>
      <c r="Z62" t="n">
        <v>15254.13705056643</v>
      </c>
      <c r="AA62" t="n">
        <v>0</v>
      </c>
      <c r="AB62" t="n">
        <v>0</v>
      </c>
      <c r="AC62" t="n">
        <v>0</v>
      </c>
      <c r="AD62" s="2" t="n">
        <v>44470</v>
      </c>
    </row>
    <row r="63">
      <c r="A63" t="n">
        <v>-1</v>
      </c>
      <c r="B63" t="inlineStr">
        <is>
          <t>01-10-2021</t>
        </is>
      </c>
      <c r="C63" t="n">
        <v>2021</v>
      </c>
      <c r="D63" t="n">
        <v>10</v>
      </c>
      <c r="E63" t="inlineStr">
        <is>
          <t>Quilpue 012</t>
        </is>
      </c>
      <c r="F63" t="inlineStr">
        <is>
          <t>Chilquinta</t>
        </is>
      </c>
      <c r="G63" t="inlineStr">
        <is>
          <t>Chilquinta</t>
        </is>
      </c>
      <c r="H63" t="inlineStr">
        <is>
          <t>Empresa Eléctrica Carén S.A.</t>
        </is>
      </c>
      <c r="I63" t="inlineStr">
        <is>
          <t>Empresa Eléctrica Carén S.A.</t>
        </is>
      </c>
      <c r="J63" t="inlineStr">
        <is>
          <t>SIC 2013/03_2_BS1B_BB_CHILQUINTA_Empresa Eléctrica Carén S.A.</t>
        </is>
      </c>
      <c r="K63" t="inlineStr">
        <is>
          <t>Quilpue 012</t>
        </is>
      </c>
      <c r="L63" t="inlineStr">
        <is>
          <t>-1</t>
        </is>
      </c>
      <c r="M63" t="n">
        <v>1416.520699482588</v>
      </c>
      <c r="N63" t="n">
        <v>0</v>
      </c>
      <c r="O63" t="inlineStr">
        <is>
          <t>3</t>
        </is>
      </c>
      <c r="P63" s="2" t="n">
        <v>44999.6862684375</v>
      </c>
      <c r="Q63" t="n">
        <v>5</v>
      </c>
      <c r="R63" t="inlineStr">
        <is>
          <t>NOGALES 220</t>
        </is>
      </c>
      <c r="S63" t="n">
        <v>24.47723172739895</v>
      </c>
      <c r="T63" t="n">
        <v>2185.503123745597</v>
      </c>
      <c r="U63" t="n">
        <v>0</v>
      </c>
      <c r="V63" t="n">
        <v>0</v>
      </c>
      <c r="W63" t="inlineStr">
        <is>
          <t>CHILQUINTA</t>
        </is>
      </c>
      <c r="X63" t="n">
        <v>94.986367291326</v>
      </c>
      <c r="Y63" t="n">
        <v>2.185503123745598</v>
      </c>
      <c r="Z63" t="n">
        <v>2325.003323133614</v>
      </c>
      <c r="AA63" t="n">
        <v>0</v>
      </c>
      <c r="AB63" t="n">
        <v>0</v>
      </c>
      <c r="AC63" t="n">
        <v>0</v>
      </c>
      <c r="AD63" s="2" t="n">
        <v>44470</v>
      </c>
    </row>
    <row r="64">
      <c r="A64" t="n">
        <v>-1</v>
      </c>
      <c r="B64" t="inlineStr">
        <is>
          <t>01-10-2021</t>
        </is>
      </c>
      <c r="C64" t="n">
        <v>2021</v>
      </c>
      <c r="D64" t="n">
        <v>10</v>
      </c>
      <c r="E64" t="inlineStr">
        <is>
          <t>Quilpue 012</t>
        </is>
      </c>
      <c r="F64" t="inlineStr">
        <is>
          <t>Chilquinta</t>
        </is>
      </c>
      <c r="G64" t="inlineStr">
        <is>
          <t>Chilquinta</t>
        </is>
      </c>
      <c r="H64" t="inlineStr">
        <is>
          <t>Empresa Eléctrica Carén S.A.</t>
        </is>
      </c>
      <c r="I64" t="inlineStr">
        <is>
          <t>Empresa Eléctrica Carén S.A.</t>
        </is>
      </c>
      <c r="J64" t="inlineStr">
        <is>
          <t>SIC 2013/03_2_BS1B_BB_CHILQUINTA_Empresa Eléctrica Carén S.A.</t>
        </is>
      </c>
      <c r="K64" t="inlineStr">
        <is>
          <t>Quilpue 012</t>
        </is>
      </c>
      <c r="L64" t="inlineStr">
        <is>
          <t>-1</t>
        </is>
      </c>
      <c r="M64" t="n">
        <v>1416.520699482588</v>
      </c>
      <c r="N64" t="n">
        <v>0</v>
      </c>
      <c r="O64" t="inlineStr">
        <is>
          <t>3</t>
        </is>
      </c>
      <c r="P64" s="2" t="n">
        <v>44999.6862684375</v>
      </c>
      <c r="Q64" t="n">
        <v>11</v>
      </c>
      <c r="R64" t="inlineStr">
        <is>
          <t>QUILLOTA 220</t>
        </is>
      </c>
      <c r="S64" t="n">
        <v>938.377029798635</v>
      </c>
      <c r="T64" t="n">
        <v>81910.56867435209</v>
      </c>
      <c r="U64" t="n">
        <v>0</v>
      </c>
      <c r="V64" t="n">
        <v>0</v>
      </c>
      <c r="W64" t="inlineStr">
        <is>
          <t>CHILQUINTA</t>
        </is>
      </c>
      <c r="X64" t="n">
        <v>92.861291440344</v>
      </c>
      <c r="Y64" t="n">
        <v>81.91056867435208</v>
      </c>
      <c r="Z64" t="n">
        <v>87138.90284505542</v>
      </c>
      <c r="AA64" t="n">
        <v>0</v>
      </c>
      <c r="AB64" t="n">
        <v>0</v>
      </c>
      <c r="AC64" t="n">
        <v>0</v>
      </c>
      <c r="AD64" s="2" t="n">
        <v>44470</v>
      </c>
    </row>
    <row r="65">
      <c r="A65" t="n">
        <v>-1</v>
      </c>
      <c r="B65" t="inlineStr">
        <is>
          <t>01-10-2021</t>
        </is>
      </c>
      <c r="C65" t="n">
        <v>2021</v>
      </c>
      <c r="D65" t="n">
        <v>10</v>
      </c>
      <c r="E65" t="inlineStr">
        <is>
          <t>Quintero 012</t>
        </is>
      </c>
      <c r="F65" t="inlineStr">
        <is>
          <t>Chilquinta</t>
        </is>
      </c>
      <c r="G65" t="inlineStr">
        <is>
          <t>Chilquinta</t>
        </is>
      </c>
      <c r="H65" t="inlineStr">
        <is>
          <t>Empresa Eléctrica Carén S.A.</t>
        </is>
      </c>
      <c r="I65" t="inlineStr">
        <is>
          <t>Empresa Eléctrica Carén S.A.</t>
        </is>
      </c>
      <c r="J65" t="inlineStr">
        <is>
          <t>SIC 2013/03_2_BS1B_BB_CHILQUINTA_Empresa Eléctrica Carén S.A.</t>
        </is>
      </c>
      <c r="K65" t="inlineStr">
        <is>
          <t>Quintero 012</t>
        </is>
      </c>
      <c r="L65" t="inlineStr">
        <is>
          <t>-1</t>
        </is>
      </c>
      <c r="M65" t="n">
        <v>377.4929315381891</v>
      </c>
      <c r="N65" t="n">
        <v>0</v>
      </c>
      <c r="O65" t="inlineStr">
        <is>
          <t>3</t>
        </is>
      </c>
      <c r="P65" s="2" t="n">
        <v>44999.6862684375</v>
      </c>
      <c r="Q65" t="n">
        <v>31</v>
      </c>
      <c r="R65" t="inlineStr">
        <is>
          <t>LOS MAQUIS 220</t>
        </is>
      </c>
      <c r="S65" t="n">
        <v>78.70687908071616</v>
      </c>
      <c r="T65" t="n">
        <v>6870.29309047384</v>
      </c>
      <c r="U65" t="n">
        <v>0</v>
      </c>
      <c r="V65" t="n">
        <v>0</v>
      </c>
      <c r="W65" t="inlineStr">
        <is>
          <t>CHILQUINTA</t>
        </is>
      </c>
      <c r="X65" t="n">
        <v>92.86129144034402</v>
      </c>
      <c r="Y65" t="n">
        <v>6.870293090473841</v>
      </c>
      <c r="Z65" t="n">
        <v>7308.822436674299</v>
      </c>
      <c r="AA65" t="n">
        <v>0</v>
      </c>
      <c r="AB65" t="n">
        <v>0</v>
      </c>
      <c r="AC65" t="n">
        <v>0</v>
      </c>
      <c r="AD65" s="2" t="n">
        <v>44470</v>
      </c>
    </row>
    <row r="66">
      <c r="A66" t="n">
        <v>-1</v>
      </c>
      <c r="B66" t="inlineStr">
        <is>
          <t>01-10-2021</t>
        </is>
      </c>
      <c r="C66" t="n">
        <v>2021</v>
      </c>
      <c r="D66" t="n">
        <v>10</v>
      </c>
      <c r="E66" t="inlineStr">
        <is>
          <t>Quintero 012</t>
        </is>
      </c>
      <c r="F66" t="inlineStr">
        <is>
          <t>Chilquinta</t>
        </is>
      </c>
      <c r="G66" t="inlineStr">
        <is>
          <t>Chilquinta</t>
        </is>
      </c>
      <c r="H66" t="inlineStr">
        <is>
          <t>Empresa Eléctrica Carén S.A.</t>
        </is>
      </c>
      <c r="I66" t="inlineStr">
        <is>
          <t>Empresa Eléctrica Carén S.A.</t>
        </is>
      </c>
      <c r="J66" t="inlineStr">
        <is>
          <t>SIC 2013/03_2_BS1B_BB_CHILQUINTA_Empresa Eléctrica Carén S.A.</t>
        </is>
      </c>
      <c r="K66" t="inlineStr">
        <is>
          <t>Quintero 012</t>
        </is>
      </c>
      <c r="L66" t="inlineStr">
        <is>
          <t>-1</t>
        </is>
      </c>
      <c r="M66" t="n">
        <v>377.4929315381891</v>
      </c>
      <c r="N66" t="n">
        <v>0</v>
      </c>
      <c r="O66" t="inlineStr">
        <is>
          <t>3</t>
        </is>
      </c>
      <c r="P66" s="2" t="n">
        <v>44999.6862684375</v>
      </c>
      <c r="Q66" t="n">
        <v>13</v>
      </c>
      <c r="R66" t="inlineStr">
        <is>
          <t>MELIPILLA 220</t>
        </is>
      </c>
      <c r="S66" t="n">
        <v>40.59192280696979</v>
      </c>
      <c r="T66" t="n">
        <v>3630.549317240088</v>
      </c>
      <c r="U66" t="n">
        <v>0</v>
      </c>
      <c r="V66" t="n">
        <v>0</v>
      </c>
      <c r="W66" t="inlineStr">
        <is>
          <t>CHILQUINTA</t>
        </is>
      </c>
      <c r="X66" t="n">
        <v>95.14913905578899</v>
      </c>
      <c r="Y66" t="n">
        <v>3.630549317240088</v>
      </c>
      <c r="Z66" t="n">
        <v>3862.286507702222</v>
      </c>
      <c r="AA66" t="n">
        <v>0</v>
      </c>
      <c r="AB66" t="n">
        <v>0</v>
      </c>
      <c r="AC66" t="n">
        <v>0</v>
      </c>
      <c r="AD66" s="2" t="n">
        <v>44470</v>
      </c>
    </row>
    <row r="67">
      <c r="A67" t="n">
        <v>-1</v>
      </c>
      <c r="B67" t="inlineStr">
        <is>
          <t>01-10-2021</t>
        </is>
      </c>
      <c r="C67" t="n">
        <v>2021</v>
      </c>
      <c r="D67" t="n">
        <v>10</v>
      </c>
      <c r="E67" t="inlineStr">
        <is>
          <t>Quintero 012</t>
        </is>
      </c>
      <c r="F67" t="inlineStr">
        <is>
          <t>Chilquinta</t>
        </is>
      </c>
      <c r="G67" t="inlineStr">
        <is>
          <t>Chilquinta</t>
        </is>
      </c>
      <c r="H67" t="inlineStr">
        <is>
          <t>Empresa Eléctrica Carén S.A.</t>
        </is>
      </c>
      <c r="I67" t="inlineStr">
        <is>
          <t>Empresa Eléctrica Carén S.A.</t>
        </is>
      </c>
      <c r="J67" t="inlineStr">
        <is>
          <t>SIC 2013/03_2_BS1B_BB_CHILQUINTA_Empresa Eléctrica Carén S.A.</t>
        </is>
      </c>
      <c r="K67" t="inlineStr">
        <is>
          <t>Quintero 012</t>
        </is>
      </c>
      <c r="L67" t="inlineStr">
        <is>
          <t>-1</t>
        </is>
      </c>
      <c r="M67" t="n">
        <v>377.4929315381891</v>
      </c>
      <c r="N67" t="n">
        <v>0</v>
      </c>
      <c r="O67" t="inlineStr">
        <is>
          <t>3</t>
        </is>
      </c>
      <c r="P67" s="2" t="n">
        <v>44999.6862684375</v>
      </c>
      <c r="Q67" t="n">
        <v>5</v>
      </c>
      <c r="R67" t="inlineStr">
        <is>
          <t>NOGALES 220</t>
        </is>
      </c>
      <c r="S67" t="n">
        <v>13.13692328517467</v>
      </c>
      <c r="T67" t="n">
        <v>1172.95890302896</v>
      </c>
      <c r="U67" t="n">
        <v>0</v>
      </c>
      <c r="V67" t="n">
        <v>0</v>
      </c>
      <c r="W67" t="inlineStr">
        <is>
          <t>CHILQUINTA</t>
        </is>
      </c>
      <c r="X67" t="n">
        <v>94.986367291326</v>
      </c>
      <c r="Y67" t="n">
        <v>1.17295890302896</v>
      </c>
      <c r="Z67" t="n">
        <v>1247.828620243575</v>
      </c>
      <c r="AA67" t="n">
        <v>0</v>
      </c>
      <c r="AB67" t="n">
        <v>0</v>
      </c>
      <c r="AC67" t="n">
        <v>0</v>
      </c>
      <c r="AD67" s="2" t="n">
        <v>44470</v>
      </c>
    </row>
    <row r="68">
      <c r="A68" t="n">
        <v>-1</v>
      </c>
      <c r="B68" t="inlineStr">
        <is>
          <t>01-10-2021</t>
        </is>
      </c>
      <c r="C68" t="n">
        <v>2021</v>
      </c>
      <c r="D68" t="n">
        <v>10</v>
      </c>
      <c r="E68" t="inlineStr">
        <is>
          <t>Quintero 012</t>
        </is>
      </c>
      <c r="F68" t="inlineStr">
        <is>
          <t>Chilquinta</t>
        </is>
      </c>
      <c r="G68" t="inlineStr">
        <is>
          <t>Chilquinta</t>
        </is>
      </c>
      <c r="H68" t="inlineStr">
        <is>
          <t>Empresa Eléctrica Carén S.A.</t>
        </is>
      </c>
      <c r="I68" t="inlineStr">
        <is>
          <t>Empresa Eléctrica Carén S.A.</t>
        </is>
      </c>
      <c r="J68" t="inlineStr">
        <is>
          <t>SIC 2013/03_2_BS1B_BB_CHILQUINTA_Empresa Eléctrica Carén S.A.</t>
        </is>
      </c>
      <c r="K68" t="inlineStr">
        <is>
          <t>Quintero 012</t>
        </is>
      </c>
      <c r="L68" t="inlineStr">
        <is>
          <t>-1</t>
        </is>
      </c>
      <c r="M68" t="n">
        <v>377.4929315381891</v>
      </c>
      <c r="N68" t="n">
        <v>0</v>
      </c>
      <c r="O68" t="inlineStr">
        <is>
          <t>3</t>
        </is>
      </c>
      <c r="P68" s="2" t="n">
        <v>44999.6862684375</v>
      </c>
      <c r="Q68" t="n">
        <v>11</v>
      </c>
      <c r="R68" t="inlineStr">
        <is>
          <t>QUILLOTA 220</t>
        </is>
      </c>
      <c r="S68" t="n">
        <v>254.5295201490592</v>
      </c>
      <c r="T68" t="n">
        <v>22217.78355368874</v>
      </c>
      <c r="U68" t="n">
        <v>0</v>
      </c>
      <c r="V68" t="n">
        <v>0</v>
      </c>
      <c r="W68" t="inlineStr">
        <is>
          <t>CHILQUINTA</t>
        </is>
      </c>
      <c r="X68" t="n">
        <v>92.86129144034402</v>
      </c>
      <c r="Y68" t="n">
        <v>22.21778355368874</v>
      </c>
      <c r="Z68" t="n">
        <v>23635.9399507327</v>
      </c>
      <c r="AA68" t="n">
        <v>0</v>
      </c>
      <c r="AB68" t="n">
        <v>0</v>
      </c>
      <c r="AC68" t="n">
        <v>0</v>
      </c>
      <c r="AD68" s="2" t="n">
        <v>44470</v>
      </c>
    </row>
    <row r="69">
      <c r="A69" t="n">
        <v>-1</v>
      </c>
      <c r="B69" t="inlineStr">
        <is>
          <t>01-10-2021</t>
        </is>
      </c>
      <c r="C69" t="n">
        <v>2021</v>
      </c>
      <c r="D69" t="n">
        <v>10</v>
      </c>
      <c r="E69" t="inlineStr">
        <is>
          <t>Reñaca 012</t>
        </is>
      </c>
      <c r="F69" t="inlineStr">
        <is>
          <t>Chilquinta</t>
        </is>
      </c>
      <c r="G69" t="inlineStr">
        <is>
          <t>Chilquinta</t>
        </is>
      </c>
      <c r="H69" t="inlineStr">
        <is>
          <t>Empresa Eléctrica Carén S.A.</t>
        </is>
      </c>
      <c r="I69" t="inlineStr">
        <is>
          <t>Empresa Eléctrica Carén S.A.</t>
        </is>
      </c>
      <c r="J69" t="inlineStr">
        <is>
          <t>SIC 2013/03_2_BS1B_BB_CHILQUINTA_Empresa Eléctrica Carén S.A.</t>
        </is>
      </c>
      <c r="K69" t="inlineStr">
        <is>
          <t>Reñaca 012</t>
        </is>
      </c>
      <c r="L69" t="inlineStr">
        <is>
          <t>-1</t>
        </is>
      </c>
      <c r="M69" t="n">
        <v>929.6899108174619</v>
      </c>
      <c r="N69" t="n">
        <v>0</v>
      </c>
      <c r="O69" t="inlineStr">
        <is>
          <t>3</t>
        </is>
      </c>
      <c r="P69" s="2" t="n">
        <v>44999.6862684375</v>
      </c>
      <c r="Q69" t="n">
        <v>31</v>
      </c>
      <c r="R69" t="inlineStr">
        <is>
          <t>LOS MAQUIS 220</t>
        </is>
      </c>
      <c r="S69" t="n">
        <v>195.7120453390736</v>
      </c>
      <c r="T69" t="n">
        <v>17083.62888378048</v>
      </c>
      <c r="U69" t="n">
        <v>0</v>
      </c>
      <c r="V69" t="n">
        <v>0</v>
      </c>
      <c r="W69" t="inlineStr">
        <is>
          <t>CHILQUINTA</t>
        </is>
      </c>
      <c r="X69" t="n">
        <v>92.861291440344</v>
      </c>
      <c r="Y69" t="n">
        <v>17.08362888378048</v>
      </c>
      <c r="Z69" t="n">
        <v>18174.07328061754</v>
      </c>
      <c r="AA69" t="n">
        <v>0</v>
      </c>
      <c r="AB69" t="n">
        <v>0</v>
      </c>
      <c r="AC69" t="n">
        <v>0</v>
      </c>
      <c r="AD69" s="2" t="n">
        <v>44470</v>
      </c>
    </row>
    <row r="70">
      <c r="A70" t="n">
        <v>-1</v>
      </c>
      <c r="B70" t="inlineStr">
        <is>
          <t>01-10-2021</t>
        </is>
      </c>
      <c r="C70" t="n">
        <v>2021</v>
      </c>
      <c r="D70" t="n">
        <v>10</v>
      </c>
      <c r="E70" t="inlineStr">
        <is>
          <t>Reñaca 012</t>
        </is>
      </c>
      <c r="F70" t="inlineStr">
        <is>
          <t>Chilquinta</t>
        </is>
      </c>
      <c r="G70" t="inlineStr">
        <is>
          <t>Chilquinta</t>
        </is>
      </c>
      <c r="H70" t="inlineStr">
        <is>
          <t>Empresa Eléctrica Carén S.A.</t>
        </is>
      </c>
      <c r="I70" t="inlineStr">
        <is>
          <t>Empresa Eléctrica Carén S.A.</t>
        </is>
      </c>
      <c r="J70" t="inlineStr">
        <is>
          <t>SIC 2013/03_2_BS1B_BB_CHILQUINTA_Empresa Eléctrica Carén S.A.</t>
        </is>
      </c>
      <c r="K70" t="inlineStr">
        <is>
          <t>Reñaca 012</t>
        </is>
      </c>
      <c r="L70" t="inlineStr">
        <is>
          <t>-1</t>
        </is>
      </c>
      <c r="M70" t="n">
        <v>929.6899108174619</v>
      </c>
      <c r="N70" t="n">
        <v>0</v>
      </c>
      <c r="O70" t="inlineStr">
        <is>
          <t>3</t>
        </is>
      </c>
      <c r="P70" s="2" t="n">
        <v>44999.6862684375</v>
      </c>
      <c r="Q70" t="n">
        <v>13</v>
      </c>
      <c r="R70" t="inlineStr">
        <is>
          <t>MELIPILLA 220</t>
        </is>
      </c>
      <c r="S70" t="n">
        <v>144.6263369655239</v>
      </c>
      <c r="T70" t="n">
        <v>12935.40716023831</v>
      </c>
      <c r="U70" t="n">
        <v>0</v>
      </c>
      <c r="V70" t="n">
        <v>0</v>
      </c>
      <c r="W70" t="inlineStr">
        <is>
          <t>CHILQUINTA</t>
        </is>
      </c>
      <c r="X70" t="n">
        <v>95.14913905578902</v>
      </c>
      <c r="Y70" t="n">
        <v>12.93540716023831</v>
      </c>
      <c r="Z70" t="n">
        <v>13761.07144706203</v>
      </c>
      <c r="AA70" t="n">
        <v>0</v>
      </c>
      <c r="AB70" t="n">
        <v>0</v>
      </c>
      <c r="AC70" t="n">
        <v>0</v>
      </c>
      <c r="AD70" s="2" t="n">
        <v>44470</v>
      </c>
    </row>
    <row r="71">
      <c r="A71" t="n">
        <v>-1</v>
      </c>
      <c r="B71" t="inlineStr">
        <is>
          <t>01-10-2021</t>
        </is>
      </c>
      <c r="C71" t="n">
        <v>2021</v>
      </c>
      <c r="D71" t="n">
        <v>10</v>
      </c>
      <c r="E71" t="inlineStr">
        <is>
          <t>Reñaca 012</t>
        </is>
      </c>
      <c r="F71" t="inlineStr">
        <is>
          <t>Chilquinta</t>
        </is>
      </c>
      <c r="G71" t="inlineStr">
        <is>
          <t>Chilquinta</t>
        </is>
      </c>
      <c r="H71" t="inlineStr">
        <is>
          <t>Empresa Eléctrica Carén S.A.</t>
        </is>
      </c>
      <c r="I71" t="inlineStr">
        <is>
          <t>Empresa Eléctrica Carén S.A.</t>
        </is>
      </c>
      <c r="J71" t="inlineStr">
        <is>
          <t>SIC 2013/03_2_BS1B_BB_CHILQUINTA_Empresa Eléctrica Carén S.A.</t>
        </is>
      </c>
      <c r="K71" t="inlineStr">
        <is>
          <t>Reñaca 012</t>
        </is>
      </c>
      <c r="L71" t="inlineStr">
        <is>
          <t>-1</t>
        </is>
      </c>
      <c r="M71" t="n">
        <v>929.6899108174619</v>
      </c>
      <c r="N71" t="n">
        <v>0</v>
      </c>
      <c r="O71" t="inlineStr">
        <is>
          <t>3</t>
        </is>
      </c>
      <c r="P71" s="2" t="n">
        <v>44999.6862684375</v>
      </c>
      <c r="Q71" t="n">
        <v>5</v>
      </c>
      <c r="R71" t="inlineStr">
        <is>
          <t>NOGALES 220</t>
        </is>
      </c>
      <c r="S71" t="n">
        <v>23.4720333000867</v>
      </c>
      <c r="T71" t="n">
        <v>2095.751785549294</v>
      </c>
      <c r="U71" t="n">
        <v>0</v>
      </c>
      <c r="V71" t="n">
        <v>0</v>
      </c>
      <c r="W71" t="inlineStr">
        <is>
          <t>CHILQUINTA</t>
        </is>
      </c>
      <c r="X71" t="n">
        <v>94.986367291326</v>
      </c>
      <c r="Y71" t="n">
        <v>2.095751785549294</v>
      </c>
      <c r="Z71" t="n">
        <v>2229.52317611627</v>
      </c>
      <c r="AA71" t="n">
        <v>0</v>
      </c>
      <c r="AB71" t="n">
        <v>0</v>
      </c>
      <c r="AC71" t="n">
        <v>0</v>
      </c>
      <c r="AD71" s="2" t="n">
        <v>44470</v>
      </c>
    </row>
    <row r="72">
      <c r="A72" t="n">
        <v>-1</v>
      </c>
      <c r="B72" t="inlineStr">
        <is>
          <t>01-10-2021</t>
        </is>
      </c>
      <c r="C72" t="n">
        <v>2021</v>
      </c>
      <c r="D72" t="n">
        <v>10</v>
      </c>
      <c r="E72" t="inlineStr">
        <is>
          <t>Reñaca 012</t>
        </is>
      </c>
      <c r="F72" t="inlineStr">
        <is>
          <t>Chilquinta</t>
        </is>
      </c>
      <c r="G72" t="inlineStr">
        <is>
          <t>Chilquinta</t>
        </is>
      </c>
      <c r="H72" t="inlineStr">
        <is>
          <t>Empresa Eléctrica Carén S.A.</t>
        </is>
      </c>
      <c r="I72" t="inlineStr">
        <is>
          <t>Empresa Eléctrica Carén S.A.</t>
        </is>
      </c>
      <c r="J72" t="inlineStr">
        <is>
          <t>SIC 2013/03_2_BS1B_BB_CHILQUINTA_Empresa Eléctrica Carén S.A.</t>
        </is>
      </c>
      <c r="K72" t="inlineStr">
        <is>
          <t>Reñaca 012</t>
        </is>
      </c>
      <c r="L72" t="inlineStr">
        <is>
          <t>-1</t>
        </is>
      </c>
      <c r="M72" t="n">
        <v>929.6899108174619</v>
      </c>
      <c r="N72" t="n">
        <v>0</v>
      </c>
      <c r="O72" t="inlineStr">
        <is>
          <t>3</t>
        </is>
      </c>
      <c r="P72" s="2" t="n">
        <v>44999.6862684375</v>
      </c>
      <c r="Q72" t="n">
        <v>11</v>
      </c>
      <c r="R72" t="inlineStr">
        <is>
          <t>QUILLOTA 220</t>
        </is>
      </c>
      <c r="S72" t="n">
        <v>589.2079176045507</v>
      </c>
      <c r="T72" t="n">
        <v>51431.73166629632</v>
      </c>
      <c r="U72" t="n">
        <v>0</v>
      </c>
      <c r="V72" t="n">
        <v>0</v>
      </c>
      <c r="W72" t="inlineStr">
        <is>
          <t>CHILQUINTA</t>
        </is>
      </c>
      <c r="X72" t="n">
        <v>92.86129144034402</v>
      </c>
      <c r="Y72" t="n">
        <v>51.43173166629633</v>
      </c>
      <c r="Z72" t="n">
        <v>54714.60815563439</v>
      </c>
      <c r="AA72" t="n">
        <v>0</v>
      </c>
      <c r="AB72" t="n">
        <v>0</v>
      </c>
      <c r="AC72" t="n">
        <v>0</v>
      </c>
      <c r="AD72" s="2" t="n">
        <v>44470</v>
      </c>
    </row>
    <row r="73">
      <c r="A73" t="n">
        <v>-1</v>
      </c>
      <c r="B73" t="inlineStr">
        <is>
          <t>01-10-2021</t>
        </is>
      </c>
      <c r="C73" t="n">
        <v>2021</v>
      </c>
      <c r="D73" t="n">
        <v>10</v>
      </c>
      <c r="E73" t="inlineStr">
        <is>
          <t>Rio Blanco 012</t>
        </is>
      </c>
      <c r="F73" t="inlineStr">
        <is>
          <t>Chilquinta</t>
        </is>
      </c>
      <c r="G73" t="inlineStr">
        <is>
          <t>Chilquinta</t>
        </is>
      </c>
      <c r="H73" t="inlineStr">
        <is>
          <t>Empresa Eléctrica Carén S.A.</t>
        </is>
      </c>
      <c r="I73" t="inlineStr">
        <is>
          <t>Empresa Eléctrica Carén S.A.</t>
        </is>
      </c>
      <c r="J73" t="inlineStr">
        <is>
          <t>SIC 2013/03_2_BS1B_BB_CHILQUINTA_Empresa Eléctrica Carén S.A.</t>
        </is>
      </c>
      <c r="K73" t="inlineStr">
        <is>
          <t>Rio Blanco 012</t>
        </is>
      </c>
      <c r="L73" t="inlineStr">
        <is>
          <t>-1</t>
        </is>
      </c>
      <c r="M73" t="n">
        <v>12.16382623067599</v>
      </c>
      <c r="N73" t="n">
        <v>0</v>
      </c>
      <c r="O73" t="inlineStr">
        <is>
          <t>3</t>
        </is>
      </c>
      <c r="P73" s="2" t="n">
        <v>44999.6862684375</v>
      </c>
      <c r="Q73" t="n">
        <v>31</v>
      </c>
      <c r="R73" t="inlineStr">
        <is>
          <t>LOS MAQUIS 220</t>
        </is>
      </c>
      <c r="S73" t="n">
        <v>10.36012353580607</v>
      </c>
      <c r="T73" t="n">
        <v>904.3311839554672</v>
      </c>
      <c r="U73" t="n">
        <v>0</v>
      </c>
      <c r="V73" t="n">
        <v>0</v>
      </c>
      <c r="W73" t="inlineStr">
        <is>
          <t>CHILQUINTA</t>
        </is>
      </c>
      <c r="X73" t="n">
        <v>92.861291440344</v>
      </c>
      <c r="Y73" t="n">
        <v>0.9043311839554672</v>
      </c>
      <c r="Z73" t="n">
        <v>962.0544510164544</v>
      </c>
      <c r="AA73" t="n">
        <v>0</v>
      </c>
      <c r="AB73" t="n">
        <v>0</v>
      </c>
      <c r="AC73" t="n">
        <v>0</v>
      </c>
      <c r="AD73" s="2" t="n">
        <v>44470</v>
      </c>
    </row>
    <row r="74">
      <c r="A74" t="n">
        <v>-1</v>
      </c>
      <c r="B74" t="inlineStr">
        <is>
          <t>01-10-2021</t>
        </is>
      </c>
      <c r="C74" t="n">
        <v>2021</v>
      </c>
      <c r="D74" t="n">
        <v>10</v>
      </c>
      <c r="E74" t="inlineStr">
        <is>
          <t>Rio Blanco 012</t>
        </is>
      </c>
      <c r="F74" t="inlineStr">
        <is>
          <t>Chilquinta</t>
        </is>
      </c>
      <c r="G74" t="inlineStr">
        <is>
          <t>Chilquinta</t>
        </is>
      </c>
      <c r="H74" t="inlineStr">
        <is>
          <t>Empresa Eléctrica Carén S.A.</t>
        </is>
      </c>
      <c r="I74" t="inlineStr">
        <is>
          <t>Empresa Eléctrica Carén S.A.</t>
        </is>
      </c>
      <c r="J74" t="inlineStr">
        <is>
          <t>SIC 2013/03_2_BS1B_BB_CHILQUINTA_Empresa Eléctrica Carén S.A.</t>
        </is>
      </c>
      <c r="K74" t="inlineStr">
        <is>
          <t>Rio Blanco 012</t>
        </is>
      </c>
      <c r="L74" t="inlineStr">
        <is>
          <t>-1</t>
        </is>
      </c>
      <c r="M74" t="n">
        <v>12.16382623067599</v>
      </c>
      <c r="N74" t="n">
        <v>0</v>
      </c>
      <c r="O74" t="inlineStr">
        <is>
          <t>3</t>
        </is>
      </c>
      <c r="P74" s="2" t="n">
        <v>44999.6862684375</v>
      </c>
      <c r="Q74" t="n">
        <v>11</v>
      </c>
      <c r="R74" t="inlineStr">
        <is>
          <t>QUILLOTA 220</t>
        </is>
      </c>
      <c r="S74" t="n">
        <v>2.108925837454993</v>
      </c>
      <c r="T74" t="n">
        <v>184.0873222089009</v>
      </c>
      <c r="U74" t="n">
        <v>0</v>
      </c>
      <c r="V74" t="n">
        <v>0</v>
      </c>
      <c r="W74" t="inlineStr">
        <is>
          <t>CHILQUINTA</t>
        </is>
      </c>
      <c r="X74" t="n">
        <v>92.861291440344</v>
      </c>
      <c r="Y74" t="n">
        <v>0.1840873222089008</v>
      </c>
      <c r="Z74" t="n">
        <v>195.8375768179797</v>
      </c>
      <c r="AA74" t="n">
        <v>0</v>
      </c>
      <c r="AB74" t="n">
        <v>0</v>
      </c>
      <c r="AC74" t="n">
        <v>0</v>
      </c>
      <c r="AD74" s="2" t="n">
        <v>44470</v>
      </c>
    </row>
    <row r="75">
      <c r="A75" t="n">
        <v>-1</v>
      </c>
      <c r="B75" t="inlineStr">
        <is>
          <t>01-10-2021</t>
        </is>
      </c>
      <c r="C75" t="n">
        <v>2021</v>
      </c>
      <c r="D75" t="n">
        <v>10</v>
      </c>
      <c r="E75" t="inlineStr">
        <is>
          <t>San Antonio 012</t>
        </is>
      </c>
      <c r="F75" t="inlineStr">
        <is>
          <t>Chilquinta</t>
        </is>
      </c>
      <c r="G75" t="inlineStr">
        <is>
          <t>Chilquinta</t>
        </is>
      </c>
      <c r="H75" t="inlineStr">
        <is>
          <t>Empresa Eléctrica Carén S.A.</t>
        </is>
      </c>
      <c r="I75" t="inlineStr">
        <is>
          <t>Empresa Eléctrica Carén S.A.</t>
        </is>
      </c>
      <c r="J75" t="inlineStr">
        <is>
          <t>SIC 2013/03_2_BS1B_BB_CHILQUINTA_Empresa Eléctrica Carén S.A.</t>
        </is>
      </c>
      <c r="K75" t="inlineStr">
        <is>
          <t>San Antonio 012</t>
        </is>
      </c>
      <c r="L75" t="inlineStr">
        <is>
          <t>-1</t>
        </is>
      </c>
      <c r="M75" t="n">
        <v>1144.538774100691</v>
      </c>
      <c r="N75" t="n">
        <v>0</v>
      </c>
      <c r="O75" t="inlineStr">
        <is>
          <t>3</t>
        </is>
      </c>
      <c r="P75" s="2" t="n">
        <v>44999.6862684375</v>
      </c>
      <c r="Q75" t="n">
        <v>31</v>
      </c>
      <c r="R75" t="inlineStr">
        <is>
          <t>LOS MAQUIS 220</t>
        </is>
      </c>
      <c r="S75" t="n">
        <v>0.4561754870362636</v>
      </c>
      <c r="T75" t="n">
        <v>39.81938215863843</v>
      </c>
      <c r="U75" t="n">
        <v>0</v>
      </c>
      <c r="V75" t="n">
        <v>0</v>
      </c>
      <c r="W75" t="inlineStr">
        <is>
          <t>CHILQUINTA</t>
        </is>
      </c>
      <c r="X75" t="n">
        <v>92.86129144034402</v>
      </c>
      <c r="Y75" t="n">
        <v>0.03981938215863842</v>
      </c>
      <c r="Z75" t="n">
        <v>42.36104484961535</v>
      </c>
      <c r="AA75" t="n">
        <v>0</v>
      </c>
      <c r="AB75" t="n">
        <v>0</v>
      </c>
      <c r="AC75" t="n">
        <v>0</v>
      </c>
      <c r="AD75" s="2" t="n">
        <v>44470</v>
      </c>
    </row>
    <row r="76">
      <c r="A76" t="n">
        <v>-1</v>
      </c>
      <c r="B76" t="inlineStr">
        <is>
          <t>01-10-2021</t>
        </is>
      </c>
      <c r="C76" t="n">
        <v>2021</v>
      </c>
      <c r="D76" t="n">
        <v>10</v>
      </c>
      <c r="E76" t="inlineStr">
        <is>
          <t>San Antonio 012</t>
        </is>
      </c>
      <c r="F76" t="inlineStr">
        <is>
          <t>Chilquinta</t>
        </is>
      </c>
      <c r="G76" t="inlineStr">
        <is>
          <t>Chilquinta</t>
        </is>
      </c>
      <c r="H76" t="inlineStr">
        <is>
          <t>Empresa Eléctrica Carén S.A.</t>
        </is>
      </c>
      <c r="I76" t="inlineStr">
        <is>
          <t>Empresa Eléctrica Carén S.A.</t>
        </is>
      </c>
      <c r="J76" t="inlineStr">
        <is>
          <t>SIC 2013/03_2_BS1B_BB_CHILQUINTA_Empresa Eléctrica Carén S.A.</t>
        </is>
      </c>
      <c r="K76" t="inlineStr">
        <is>
          <t>San Antonio 012</t>
        </is>
      </c>
      <c r="L76" t="inlineStr">
        <is>
          <t>-1</t>
        </is>
      </c>
      <c r="M76" t="n">
        <v>1144.538774100691</v>
      </c>
      <c r="N76" t="n">
        <v>0</v>
      </c>
      <c r="O76" t="inlineStr">
        <is>
          <t>3</t>
        </is>
      </c>
      <c r="P76" s="2" t="n">
        <v>44999.6862684375</v>
      </c>
      <c r="Q76" t="n">
        <v>13</v>
      </c>
      <c r="R76" t="inlineStr">
        <is>
          <t>MELIPILLA 220</t>
        </is>
      </c>
      <c r="S76" t="n">
        <v>1168.64104454081</v>
      </c>
      <c r="T76" t="n">
        <v>104523.4778981171</v>
      </c>
      <c r="U76" t="n">
        <v>0</v>
      </c>
      <c r="V76" t="n">
        <v>0</v>
      </c>
      <c r="W76" t="inlineStr">
        <is>
          <t>CHILQUINTA</t>
        </is>
      </c>
      <c r="X76" t="n">
        <v>95.14913905578902</v>
      </c>
      <c r="Y76" t="n">
        <v>104.5234778981171</v>
      </c>
      <c r="Z76" t="n">
        <v>111195.189253316</v>
      </c>
      <c r="AA76" t="n">
        <v>0</v>
      </c>
      <c r="AB76" t="n">
        <v>0</v>
      </c>
      <c r="AC76" t="n">
        <v>0</v>
      </c>
      <c r="AD76" s="2" t="n">
        <v>44470</v>
      </c>
    </row>
    <row r="77">
      <c r="A77" t="n">
        <v>-1</v>
      </c>
      <c r="B77" t="inlineStr">
        <is>
          <t>01-10-2021</t>
        </is>
      </c>
      <c r="C77" t="n">
        <v>2021</v>
      </c>
      <c r="D77" t="n">
        <v>10</v>
      </c>
      <c r="E77" t="inlineStr">
        <is>
          <t>San Antonio 012</t>
        </is>
      </c>
      <c r="F77" t="inlineStr">
        <is>
          <t>Chilquinta</t>
        </is>
      </c>
      <c r="G77" t="inlineStr">
        <is>
          <t>Chilquinta</t>
        </is>
      </c>
      <c r="H77" t="inlineStr">
        <is>
          <t>Empresa Eléctrica Carén S.A.</t>
        </is>
      </c>
      <c r="I77" t="inlineStr">
        <is>
          <t>Empresa Eléctrica Carén S.A.</t>
        </is>
      </c>
      <c r="J77" t="inlineStr">
        <is>
          <t>SIC 2013/03_2_BS1B_BB_CHILQUINTA_Empresa Eléctrica Carén S.A.</t>
        </is>
      </c>
      <c r="K77" t="inlineStr">
        <is>
          <t>San Antonio 012</t>
        </is>
      </c>
      <c r="L77" t="inlineStr">
        <is>
          <t>-1</t>
        </is>
      </c>
      <c r="M77" t="n">
        <v>1144.538774100691</v>
      </c>
      <c r="N77" t="n">
        <v>0</v>
      </c>
      <c r="O77" t="inlineStr">
        <is>
          <t>3</t>
        </is>
      </c>
      <c r="P77" s="2" t="n">
        <v>44999.6862684375</v>
      </c>
      <c r="Q77" t="n">
        <v>5</v>
      </c>
      <c r="R77" t="inlineStr">
        <is>
          <t>NOGALES 220</t>
        </is>
      </c>
      <c r="S77" t="n">
        <v>0.2048274624485346</v>
      </c>
      <c r="T77" t="n">
        <v>18.28846758471758</v>
      </c>
      <c r="U77" t="n">
        <v>0</v>
      </c>
      <c r="V77" t="n">
        <v>0</v>
      </c>
      <c r="W77" t="inlineStr">
        <is>
          <t>CHILQUINTA</t>
        </is>
      </c>
      <c r="X77" t="n">
        <v>94.986367291326</v>
      </c>
      <c r="Y77" t="n">
        <v>0.01828846758471758</v>
      </c>
      <c r="Z77" t="n">
        <v>19.45581657948679</v>
      </c>
      <c r="AA77" t="n">
        <v>0</v>
      </c>
      <c r="AB77" t="n">
        <v>0</v>
      </c>
      <c r="AC77" t="n">
        <v>0</v>
      </c>
      <c r="AD77" s="2" t="n">
        <v>44470</v>
      </c>
    </row>
    <row r="78">
      <c r="A78" t="n">
        <v>-1</v>
      </c>
      <c r="B78" t="inlineStr">
        <is>
          <t>01-10-2021</t>
        </is>
      </c>
      <c r="C78" t="n">
        <v>2021</v>
      </c>
      <c r="D78" t="n">
        <v>10</v>
      </c>
      <c r="E78" t="inlineStr">
        <is>
          <t>San Antonio 012</t>
        </is>
      </c>
      <c r="F78" t="inlineStr">
        <is>
          <t>Chilquinta</t>
        </is>
      </c>
      <c r="G78" t="inlineStr">
        <is>
          <t>Chilquinta</t>
        </is>
      </c>
      <c r="H78" t="inlineStr">
        <is>
          <t>Empresa Eléctrica Carén S.A.</t>
        </is>
      </c>
      <c r="I78" t="inlineStr">
        <is>
          <t>Empresa Eléctrica Carén S.A.</t>
        </is>
      </c>
      <c r="J78" t="inlineStr">
        <is>
          <t>SIC 2013/03_2_BS1B_BB_CHILQUINTA_Empresa Eléctrica Carén S.A.</t>
        </is>
      </c>
      <c r="K78" t="inlineStr">
        <is>
          <t>San Antonio 012</t>
        </is>
      </c>
      <c r="L78" t="inlineStr">
        <is>
          <t>-1</t>
        </is>
      </c>
      <c r="M78" t="n">
        <v>1144.538774100691</v>
      </c>
      <c r="N78" t="n">
        <v>0</v>
      </c>
      <c r="O78" t="inlineStr">
        <is>
          <t>3</t>
        </is>
      </c>
      <c r="P78" s="2" t="n">
        <v>44999.6862684375</v>
      </c>
      <c r="Q78" t="n">
        <v>11</v>
      </c>
      <c r="R78" t="inlineStr">
        <is>
          <t>QUILLOTA 220</t>
        </is>
      </c>
      <c r="S78" t="n">
        <v>3.956285309818964</v>
      </c>
      <c r="T78" t="n">
        <v>345.3426173856755</v>
      </c>
      <c r="U78" t="n">
        <v>0</v>
      </c>
      <c r="V78" t="n">
        <v>0</v>
      </c>
      <c r="W78" t="inlineStr">
        <is>
          <t>CHILQUINTA</t>
        </is>
      </c>
      <c r="X78" t="n">
        <v>92.861291440344</v>
      </c>
      <c r="Y78" t="n">
        <v>0.3453426173856755</v>
      </c>
      <c r="Z78" t="n">
        <v>367.3857631762505</v>
      </c>
      <c r="AA78" t="n">
        <v>0</v>
      </c>
      <c r="AB78" t="n">
        <v>0</v>
      </c>
      <c r="AC78" t="n">
        <v>0</v>
      </c>
      <c r="AD78" s="2" t="n">
        <v>44470</v>
      </c>
    </row>
    <row r="79">
      <c r="A79" t="n">
        <v>-1</v>
      </c>
      <c r="B79" t="inlineStr">
        <is>
          <t>01-10-2021</t>
        </is>
      </c>
      <c r="C79" t="n">
        <v>2021</v>
      </c>
      <c r="D79" t="n">
        <v>10</v>
      </c>
      <c r="E79" t="inlineStr">
        <is>
          <t>San Felipe 012</t>
        </is>
      </c>
      <c r="F79" t="inlineStr">
        <is>
          <t>Chilquinta</t>
        </is>
      </c>
      <c r="G79" t="inlineStr">
        <is>
          <t>Chilquinta</t>
        </is>
      </c>
      <c r="H79" t="inlineStr">
        <is>
          <t>Empresa Eléctrica Carén S.A.</t>
        </is>
      </c>
      <c r="I79" t="inlineStr">
        <is>
          <t>Empresa Eléctrica Carén S.A.</t>
        </is>
      </c>
      <c r="J79" t="inlineStr">
        <is>
          <t>SIC 2013/03_2_BS1B_BB_CHILQUINTA_Empresa Eléctrica Carén S.A.</t>
        </is>
      </c>
      <c r="K79" t="inlineStr">
        <is>
          <t>San Felipe 012</t>
        </is>
      </c>
      <c r="L79" t="inlineStr">
        <is>
          <t>-1</t>
        </is>
      </c>
      <c r="M79" t="n">
        <v>927.3477021339581</v>
      </c>
      <c r="N79" t="n">
        <v>0</v>
      </c>
      <c r="O79" t="inlineStr">
        <is>
          <t>3</t>
        </is>
      </c>
      <c r="P79" s="2" t="n">
        <v>44999.6862684375</v>
      </c>
      <c r="Q79" t="n">
        <v>31</v>
      </c>
      <c r="R79" t="inlineStr">
        <is>
          <t>LOS MAQUIS 220</t>
        </is>
      </c>
      <c r="S79" t="n">
        <v>788.7794032621878</v>
      </c>
      <c r="T79" t="n">
        <v>68852.24960556241</v>
      </c>
      <c r="U79" t="n">
        <v>0</v>
      </c>
      <c r="V79" t="n">
        <v>0</v>
      </c>
      <c r="W79" t="inlineStr">
        <is>
          <t>CHILQUINTA</t>
        </is>
      </c>
      <c r="X79" t="n">
        <v>92.861291440344</v>
      </c>
      <c r="Y79" t="n">
        <v>68.85224960556241</v>
      </c>
      <c r="Z79" t="n">
        <v>73247.07404847065</v>
      </c>
      <c r="AA79" t="n">
        <v>0</v>
      </c>
      <c r="AB79" t="n">
        <v>0</v>
      </c>
      <c r="AC79" t="n">
        <v>0</v>
      </c>
      <c r="AD79" s="2" t="n">
        <v>44470</v>
      </c>
    </row>
    <row r="80">
      <c r="A80" t="n">
        <v>-1</v>
      </c>
      <c r="B80" t="inlineStr">
        <is>
          <t>01-10-2021</t>
        </is>
      </c>
      <c r="C80" t="n">
        <v>2021</v>
      </c>
      <c r="D80" t="n">
        <v>10</v>
      </c>
      <c r="E80" t="inlineStr">
        <is>
          <t>San Felipe 012</t>
        </is>
      </c>
      <c r="F80" t="inlineStr">
        <is>
          <t>Chilquinta</t>
        </is>
      </c>
      <c r="G80" t="inlineStr">
        <is>
          <t>Chilquinta</t>
        </is>
      </c>
      <c r="H80" t="inlineStr">
        <is>
          <t>Empresa Eléctrica Carén S.A.</t>
        </is>
      </c>
      <c r="I80" t="inlineStr">
        <is>
          <t>Empresa Eléctrica Carén S.A.</t>
        </is>
      </c>
      <c r="J80" t="inlineStr">
        <is>
          <t>SIC 2013/03_2_BS1B_BB_CHILQUINTA_Empresa Eléctrica Carén S.A.</t>
        </is>
      </c>
      <c r="K80" t="inlineStr">
        <is>
          <t>San Felipe 012</t>
        </is>
      </c>
      <c r="L80" t="inlineStr">
        <is>
          <t>-1</t>
        </is>
      </c>
      <c r="M80" t="n">
        <v>927.3477021339581</v>
      </c>
      <c r="N80" t="n">
        <v>0</v>
      </c>
      <c r="O80" t="inlineStr">
        <is>
          <t>3</t>
        </is>
      </c>
      <c r="P80" s="2" t="n">
        <v>44999.6862684375</v>
      </c>
      <c r="Q80" t="n">
        <v>13</v>
      </c>
      <c r="R80" t="inlineStr">
        <is>
          <t>MELIPILLA 220</t>
        </is>
      </c>
      <c r="S80" t="n">
        <v>10.06390893740932</v>
      </c>
      <c r="T80" t="n">
        <v>900.1179346745355</v>
      </c>
      <c r="U80" t="n">
        <v>0</v>
      </c>
      <c r="V80" t="n">
        <v>0</v>
      </c>
      <c r="W80" t="inlineStr">
        <is>
          <t>CHILQUINTA</t>
        </is>
      </c>
      <c r="X80" t="n">
        <v>95.14913905578901</v>
      </c>
      <c r="Y80" t="n">
        <v>0.9001179346745354</v>
      </c>
      <c r="Z80" t="n">
        <v>957.5722709303569</v>
      </c>
      <c r="AA80" t="n">
        <v>0</v>
      </c>
      <c r="AB80" t="n">
        <v>0</v>
      </c>
      <c r="AC80" t="n">
        <v>0</v>
      </c>
      <c r="AD80" s="2" t="n">
        <v>44470</v>
      </c>
    </row>
    <row r="81">
      <c r="A81" t="n">
        <v>-1</v>
      </c>
      <c r="B81" t="inlineStr">
        <is>
          <t>01-10-2021</t>
        </is>
      </c>
      <c r="C81" t="n">
        <v>2021</v>
      </c>
      <c r="D81" t="n">
        <v>10</v>
      </c>
      <c r="E81" t="inlineStr">
        <is>
          <t>San Felipe 012</t>
        </is>
      </c>
      <c r="F81" t="inlineStr">
        <is>
          <t>Chilquinta</t>
        </is>
      </c>
      <c r="G81" t="inlineStr">
        <is>
          <t>Chilquinta</t>
        </is>
      </c>
      <c r="H81" t="inlineStr">
        <is>
          <t>Empresa Eléctrica Carén S.A.</t>
        </is>
      </c>
      <c r="I81" t="inlineStr">
        <is>
          <t>Empresa Eléctrica Carén S.A.</t>
        </is>
      </c>
      <c r="J81" t="inlineStr">
        <is>
          <t>SIC 2013/03_2_BS1B_BB_CHILQUINTA_Empresa Eléctrica Carén S.A.</t>
        </is>
      </c>
      <c r="K81" t="inlineStr">
        <is>
          <t>San Felipe 012</t>
        </is>
      </c>
      <c r="L81" t="inlineStr">
        <is>
          <t>-1</t>
        </is>
      </c>
      <c r="M81" t="n">
        <v>927.3477021339581</v>
      </c>
      <c r="N81" t="n">
        <v>0</v>
      </c>
      <c r="O81" t="inlineStr">
        <is>
          <t>3</t>
        </is>
      </c>
      <c r="P81" s="2" t="n">
        <v>44999.6862684375</v>
      </c>
      <c r="Q81" t="n">
        <v>5</v>
      </c>
      <c r="R81" t="inlineStr">
        <is>
          <t>NOGALES 220</t>
        </is>
      </c>
      <c r="S81" t="n">
        <v>2.815227297113375</v>
      </c>
      <c r="T81" t="n">
        <v>251.3637212090474</v>
      </c>
      <c r="U81" t="n">
        <v>0</v>
      </c>
      <c r="V81" t="n">
        <v>0</v>
      </c>
      <c r="W81" t="inlineStr">
        <is>
          <t>CHILQUINTA</t>
        </is>
      </c>
      <c r="X81" t="n">
        <v>94.986367291326</v>
      </c>
      <c r="Y81" t="n">
        <v>0.2513637212090473</v>
      </c>
      <c r="Z81" t="n">
        <v>267.408214052178</v>
      </c>
      <c r="AA81" t="n">
        <v>0</v>
      </c>
      <c r="AB81" t="n">
        <v>0</v>
      </c>
      <c r="AC81" t="n">
        <v>0</v>
      </c>
      <c r="AD81" s="2" t="n">
        <v>44470</v>
      </c>
    </row>
    <row r="82">
      <c r="A82" t="n">
        <v>-1</v>
      </c>
      <c r="B82" t="inlineStr">
        <is>
          <t>01-10-2021</t>
        </is>
      </c>
      <c r="C82" t="n">
        <v>2021</v>
      </c>
      <c r="D82" t="n">
        <v>10</v>
      </c>
      <c r="E82" t="inlineStr">
        <is>
          <t>San Felipe 012</t>
        </is>
      </c>
      <c r="F82" t="inlineStr">
        <is>
          <t>Chilquinta</t>
        </is>
      </c>
      <c r="G82" t="inlineStr">
        <is>
          <t>Chilquinta</t>
        </is>
      </c>
      <c r="H82" t="inlineStr">
        <is>
          <t>Empresa Eléctrica Carén S.A.</t>
        </is>
      </c>
      <c r="I82" t="inlineStr">
        <is>
          <t>Empresa Eléctrica Carén S.A.</t>
        </is>
      </c>
      <c r="J82" t="inlineStr">
        <is>
          <t>SIC 2013/03_2_BS1B_BB_CHILQUINTA_Empresa Eléctrica Carén S.A.</t>
        </is>
      </c>
      <c r="K82" t="inlineStr">
        <is>
          <t>San Felipe 012</t>
        </is>
      </c>
      <c r="L82" t="inlineStr">
        <is>
          <t>-1</t>
        </is>
      </c>
      <c r="M82" t="n">
        <v>927.3477021339581</v>
      </c>
      <c r="N82" t="n">
        <v>0</v>
      </c>
      <c r="O82" t="inlineStr">
        <is>
          <t>3</t>
        </is>
      </c>
      <c r="P82" s="2" t="n">
        <v>44999.6862684375</v>
      </c>
      <c r="Q82" t="n">
        <v>11</v>
      </c>
      <c r="R82" t="inlineStr">
        <is>
          <t>QUILLOTA 220</t>
        </is>
      </c>
      <c r="S82" t="n">
        <v>148.9588127084205</v>
      </c>
      <c r="T82" t="n">
        <v>13002.55725635279</v>
      </c>
      <c r="U82" t="n">
        <v>0</v>
      </c>
      <c r="V82" t="n">
        <v>0</v>
      </c>
      <c r="W82" t="inlineStr">
        <is>
          <t>CHILQUINTA</t>
        </is>
      </c>
      <c r="X82" t="n">
        <v>92.861291440344</v>
      </c>
      <c r="Y82" t="n">
        <v>13.00255725635279</v>
      </c>
      <c r="Z82" t="n">
        <v>13832.50771952425</v>
      </c>
      <c r="AA82" t="n">
        <v>0</v>
      </c>
      <c r="AB82" t="n">
        <v>0</v>
      </c>
      <c r="AC82" t="n">
        <v>0</v>
      </c>
      <c r="AD82" s="2" t="n">
        <v>44470</v>
      </c>
    </row>
    <row r="83">
      <c r="A83" t="n">
        <v>-1</v>
      </c>
      <c r="B83" t="inlineStr">
        <is>
          <t>01-10-2021</t>
        </is>
      </c>
      <c r="C83" t="n">
        <v>2021</v>
      </c>
      <c r="D83" t="n">
        <v>10</v>
      </c>
      <c r="E83" t="inlineStr">
        <is>
          <t>San Pedro 012</t>
        </is>
      </c>
      <c r="F83" t="inlineStr">
        <is>
          <t>Chilquinta</t>
        </is>
      </c>
      <c r="G83" t="inlineStr">
        <is>
          <t>Chilquinta</t>
        </is>
      </c>
      <c r="H83" t="inlineStr">
        <is>
          <t>Empresa Eléctrica Carén S.A.</t>
        </is>
      </c>
      <c r="I83" t="inlineStr">
        <is>
          <t>Empresa Eléctrica Carén S.A.</t>
        </is>
      </c>
      <c r="J83" t="inlineStr">
        <is>
          <t>SIC 2013/03_2_BS1B_BB_CHILQUINTA_Empresa Eléctrica Carén S.A.</t>
        </is>
      </c>
      <c r="K83" t="inlineStr">
        <is>
          <t>San Pedro 012</t>
        </is>
      </c>
      <c r="L83" t="inlineStr">
        <is>
          <t>-1</t>
        </is>
      </c>
      <c r="M83" t="n">
        <v>935.2594607032422</v>
      </c>
      <c r="N83" t="n">
        <v>0</v>
      </c>
      <c r="O83" t="inlineStr">
        <is>
          <t>3</t>
        </is>
      </c>
      <c r="P83" s="2" t="n">
        <v>44999.6862684375</v>
      </c>
      <c r="Q83" t="n">
        <v>31</v>
      </c>
      <c r="R83" t="inlineStr">
        <is>
          <t>LOS MAQUIS 220</t>
        </is>
      </c>
      <c r="S83" t="n">
        <v>211.1980138046466</v>
      </c>
      <c r="T83" t="n">
        <v>18435.39309284298</v>
      </c>
      <c r="U83" t="n">
        <v>0</v>
      </c>
      <c r="V83" t="n">
        <v>0</v>
      </c>
      <c r="W83" t="inlineStr">
        <is>
          <t>CHILQUINTA</t>
        </is>
      </c>
      <c r="X83" t="n">
        <v>92.86129144034403</v>
      </c>
      <c r="Y83" t="n">
        <v>18.43539309284298</v>
      </c>
      <c r="Z83" t="n">
        <v>19612.12031153509</v>
      </c>
      <c r="AA83" t="n">
        <v>0</v>
      </c>
      <c r="AB83" t="n">
        <v>0</v>
      </c>
      <c r="AC83" t="n">
        <v>0</v>
      </c>
      <c r="AD83" s="2" t="n">
        <v>44470</v>
      </c>
    </row>
    <row r="84">
      <c r="A84" t="n">
        <v>-1</v>
      </c>
      <c r="B84" t="inlineStr">
        <is>
          <t>01-10-2021</t>
        </is>
      </c>
      <c r="C84" t="n">
        <v>2021</v>
      </c>
      <c r="D84" t="n">
        <v>10</v>
      </c>
      <c r="E84" t="inlineStr">
        <is>
          <t>San Pedro 012</t>
        </is>
      </c>
      <c r="F84" t="inlineStr">
        <is>
          <t>Chilquinta</t>
        </is>
      </c>
      <c r="G84" t="inlineStr">
        <is>
          <t>Chilquinta</t>
        </is>
      </c>
      <c r="H84" t="inlineStr">
        <is>
          <t>Empresa Eléctrica Carén S.A.</t>
        </is>
      </c>
      <c r="I84" t="inlineStr">
        <is>
          <t>Empresa Eléctrica Carén S.A.</t>
        </is>
      </c>
      <c r="J84" t="inlineStr">
        <is>
          <t>SIC 2013/03_2_BS1B_BB_CHILQUINTA_Empresa Eléctrica Carén S.A.</t>
        </is>
      </c>
      <c r="K84" t="inlineStr">
        <is>
          <t>San Pedro 012</t>
        </is>
      </c>
      <c r="L84" t="inlineStr">
        <is>
          <t>-1</t>
        </is>
      </c>
      <c r="M84" t="n">
        <v>935.2594607032422</v>
      </c>
      <c r="N84" t="n">
        <v>0</v>
      </c>
      <c r="O84" t="inlineStr">
        <is>
          <t>3</t>
        </is>
      </c>
      <c r="P84" s="2" t="n">
        <v>44999.6862684375</v>
      </c>
      <c r="Q84" t="n">
        <v>13</v>
      </c>
      <c r="R84" t="inlineStr">
        <is>
          <t>MELIPILLA 220</t>
        </is>
      </c>
      <c r="S84" t="n">
        <v>53.96452876149178</v>
      </c>
      <c r="T84" t="n">
        <v>4826.597744134869</v>
      </c>
      <c r="U84" t="n">
        <v>0</v>
      </c>
      <c r="V84" t="n">
        <v>0</v>
      </c>
      <c r="W84" t="inlineStr">
        <is>
          <t>CHILQUINTA</t>
        </is>
      </c>
      <c r="X84" t="n">
        <v>95.14913905578901</v>
      </c>
      <c r="Y84" t="n">
        <v>4.826597744134869</v>
      </c>
      <c r="Z84" t="n">
        <v>5134.678451207307</v>
      </c>
      <c r="AA84" t="n">
        <v>0</v>
      </c>
      <c r="AB84" t="n">
        <v>0</v>
      </c>
      <c r="AC84" t="n">
        <v>0</v>
      </c>
      <c r="AD84" s="2" t="n">
        <v>44470</v>
      </c>
    </row>
    <row r="85">
      <c r="A85" t="n">
        <v>-1</v>
      </c>
      <c r="B85" t="inlineStr">
        <is>
          <t>01-10-2021</t>
        </is>
      </c>
      <c r="C85" t="n">
        <v>2021</v>
      </c>
      <c r="D85" t="n">
        <v>10</v>
      </c>
      <c r="E85" t="inlineStr">
        <is>
          <t>San Pedro 012</t>
        </is>
      </c>
      <c r="F85" t="inlineStr">
        <is>
          <t>Chilquinta</t>
        </is>
      </c>
      <c r="G85" t="inlineStr">
        <is>
          <t>Chilquinta</t>
        </is>
      </c>
      <c r="H85" t="inlineStr">
        <is>
          <t>Empresa Eléctrica Carén S.A.</t>
        </is>
      </c>
      <c r="I85" t="inlineStr">
        <is>
          <t>Empresa Eléctrica Carén S.A.</t>
        </is>
      </c>
      <c r="J85" t="inlineStr">
        <is>
          <t>SIC 2013/03_2_BS1B_BB_CHILQUINTA_Empresa Eléctrica Carén S.A.</t>
        </is>
      </c>
      <c r="K85" t="inlineStr">
        <is>
          <t>San Pedro 012</t>
        </is>
      </c>
      <c r="L85" t="inlineStr">
        <is>
          <t>-1</t>
        </is>
      </c>
      <c r="M85" t="n">
        <v>935.2594607032422</v>
      </c>
      <c r="N85" t="n">
        <v>0</v>
      </c>
      <c r="O85" t="inlineStr">
        <is>
          <t>3</t>
        </is>
      </c>
      <c r="P85" s="2" t="n">
        <v>44999.6862684375</v>
      </c>
      <c r="Q85" t="n">
        <v>5</v>
      </c>
      <c r="R85" t="inlineStr">
        <is>
          <t>NOGALES 220</t>
        </is>
      </c>
      <c r="S85" t="n">
        <v>15.28548269261218</v>
      </c>
      <c r="T85" t="n">
        <v>1364.797724869728</v>
      </c>
      <c r="U85" t="n">
        <v>0</v>
      </c>
      <c r="V85" t="n">
        <v>0</v>
      </c>
      <c r="W85" t="inlineStr">
        <is>
          <t>CHILQUINTA</t>
        </is>
      </c>
      <c r="X85" t="n">
        <v>94.98636729132602</v>
      </c>
      <c r="Y85" t="n">
        <v>1.364797724869728</v>
      </c>
      <c r="Z85" t="n">
        <v>1451.912473265668</v>
      </c>
      <c r="AA85" t="n">
        <v>0</v>
      </c>
      <c r="AB85" t="n">
        <v>0</v>
      </c>
      <c r="AC85" t="n">
        <v>0</v>
      </c>
      <c r="AD85" s="2" t="n">
        <v>44470</v>
      </c>
    </row>
    <row r="86">
      <c r="A86" t="n">
        <v>-1</v>
      </c>
      <c r="B86" t="inlineStr">
        <is>
          <t>01-10-2021</t>
        </is>
      </c>
      <c r="C86" t="n">
        <v>2021</v>
      </c>
      <c r="D86" t="n">
        <v>10</v>
      </c>
      <c r="E86" t="inlineStr">
        <is>
          <t>San Pedro 012</t>
        </is>
      </c>
      <c r="F86" t="inlineStr">
        <is>
          <t>Chilquinta</t>
        </is>
      </c>
      <c r="G86" t="inlineStr">
        <is>
          <t>Chilquinta</t>
        </is>
      </c>
      <c r="H86" t="inlineStr">
        <is>
          <t>Empresa Eléctrica Carén S.A.</t>
        </is>
      </c>
      <c r="I86" t="inlineStr">
        <is>
          <t>Empresa Eléctrica Carén S.A.</t>
        </is>
      </c>
      <c r="J86" t="inlineStr">
        <is>
          <t>SIC 2013/03_2_BS1B_BB_CHILQUINTA_Empresa Eléctrica Carén S.A.</t>
        </is>
      </c>
      <c r="K86" t="inlineStr">
        <is>
          <t>San Pedro 012</t>
        </is>
      </c>
      <c r="L86" t="inlineStr">
        <is>
          <t>-1</t>
        </is>
      </c>
      <c r="M86" t="n">
        <v>935.2594607032422</v>
      </c>
      <c r="N86" t="n">
        <v>0</v>
      </c>
      <c r="O86" t="inlineStr">
        <is>
          <t>3</t>
        </is>
      </c>
      <c r="P86" s="2" t="n">
        <v>44999.6862684375</v>
      </c>
      <c r="Q86" t="n">
        <v>11</v>
      </c>
      <c r="R86" t="inlineStr">
        <is>
          <t>QUILLOTA 220</t>
        </is>
      </c>
      <c r="S86" t="n">
        <v>678.2796128349545</v>
      </c>
      <c r="T86" t="n">
        <v>59206.76555717978</v>
      </c>
      <c r="U86" t="n">
        <v>0</v>
      </c>
      <c r="V86" t="n">
        <v>0</v>
      </c>
      <c r="W86" t="inlineStr">
        <is>
          <t>CHILQUINTA</t>
        </is>
      </c>
      <c r="X86" t="n">
        <v>92.861291440344</v>
      </c>
      <c r="Y86" t="n">
        <v>59.20676555717978</v>
      </c>
      <c r="Z86" t="n">
        <v>62985.92080551041</v>
      </c>
      <c r="AA86" t="n">
        <v>0</v>
      </c>
      <c r="AB86" t="n">
        <v>0</v>
      </c>
      <c r="AC86" t="n">
        <v>0</v>
      </c>
      <c r="AD86" s="2" t="n">
        <v>44470</v>
      </c>
    </row>
    <row r="87">
      <c r="A87" t="n">
        <v>-1</v>
      </c>
      <c r="B87" t="inlineStr">
        <is>
          <t>01-10-2021</t>
        </is>
      </c>
      <c r="C87" t="n">
        <v>2021</v>
      </c>
      <c r="D87" t="n">
        <v>10</v>
      </c>
      <c r="E87" t="inlineStr">
        <is>
          <t>San Rafael 012</t>
        </is>
      </c>
      <c r="F87" t="inlineStr">
        <is>
          <t>Chilquinta</t>
        </is>
      </c>
      <c r="G87" t="inlineStr">
        <is>
          <t>Chilquinta</t>
        </is>
      </c>
      <c r="H87" t="inlineStr">
        <is>
          <t>Empresa Eléctrica Carén S.A.</t>
        </is>
      </c>
      <c r="I87" t="inlineStr">
        <is>
          <t>Empresa Eléctrica Carén S.A.</t>
        </is>
      </c>
      <c r="J87" t="inlineStr">
        <is>
          <t>SIC 2013/03_2_BS1B_BB_CHILQUINTA_Empresa Eléctrica Carén S.A.</t>
        </is>
      </c>
      <c r="K87" t="inlineStr">
        <is>
          <t>San Rafael 012</t>
        </is>
      </c>
      <c r="L87" t="inlineStr">
        <is>
          <t>-1</t>
        </is>
      </c>
      <c r="M87" t="n">
        <v>1182.667929273326</v>
      </c>
      <c r="N87" t="n">
        <v>0</v>
      </c>
      <c r="O87" t="inlineStr">
        <is>
          <t>3</t>
        </is>
      </c>
      <c r="P87" s="2" t="n">
        <v>44999.6862684375</v>
      </c>
      <c r="Q87" t="n">
        <v>31</v>
      </c>
      <c r="R87" t="inlineStr">
        <is>
          <t>LOS MAQUIS 220</t>
        </is>
      </c>
      <c r="S87" t="n">
        <v>980.085519929608</v>
      </c>
      <c r="T87" t="n">
        <v>85551.28667648575</v>
      </c>
      <c r="U87" t="n">
        <v>0</v>
      </c>
      <c r="V87" t="n">
        <v>0</v>
      </c>
      <c r="W87" t="inlineStr">
        <is>
          <t>CHILQUINTA</t>
        </is>
      </c>
      <c r="X87" t="n">
        <v>92.861291440344</v>
      </c>
      <c r="Y87" t="n">
        <v>85.55128667648574</v>
      </c>
      <c r="Z87" t="n">
        <v>91012.00710264442</v>
      </c>
      <c r="AA87" t="n">
        <v>0</v>
      </c>
      <c r="AB87" t="n">
        <v>0</v>
      </c>
      <c r="AC87" t="n">
        <v>0</v>
      </c>
      <c r="AD87" s="2" t="n">
        <v>44470</v>
      </c>
    </row>
    <row r="88">
      <c r="A88" t="n">
        <v>-1</v>
      </c>
      <c r="B88" t="inlineStr">
        <is>
          <t>01-10-2021</t>
        </is>
      </c>
      <c r="C88" t="n">
        <v>2021</v>
      </c>
      <c r="D88" t="n">
        <v>10</v>
      </c>
      <c r="E88" t="inlineStr">
        <is>
          <t>San Rafael 012</t>
        </is>
      </c>
      <c r="F88" t="inlineStr">
        <is>
          <t>Chilquinta</t>
        </is>
      </c>
      <c r="G88" t="inlineStr">
        <is>
          <t>Chilquinta</t>
        </is>
      </c>
      <c r="H88" t="inlineStr">
        <is>
          <t>Empresa Eléctrica Carén S.A.</t>
        </is>
      </c>
      <c r="I88" t="inlineStr">
        <is>
          <t>Empresa Eléctrica Carén S.A.</t>
        </is>
      </c>
      <c r="J88" t="inlineStr">
        <is>
          <t>SIC 2013/03_2_BS1B_BB_CHILQUINTA_Empresa Eléctrica Carén S.A.</t>
        </is>
      </c>
      <c r="K88" t="inlineStr">
        <is>
          <t>San Rafael 012</t>
        </is>
      </c>
      <c r="L88" t="inlineStr">
        <is>
          <t>-1</t>
        </is>
      </c>
      <c r="M88" t="n">
        <v>1182.667929273326</v>
      </c>
      <c r="N88" t="n">
        <v>0</v>
      </c>
      <c r="O88" t="inlineStr">
        <is>
          <t>3</t>
        </is>
      </c>
      <c r="P88" s="2" t="n">
        <v>44999.6862684375</v>
      </c>
      <c r="Q88" t="n">
        <v>13</v>
      </c>
      <c r="R88" t="inlineStr">
        <is>
          <t>MELIPILLA 220</t>
        </is>
      </c>
      <c r="S88" t="n">
        <v>14.74103757497589</v>
      </c>
      <c r="T88" t="n">
        <v>1318.441212005112</v>
      </c>
      <c r="U88" t="n">
        <v>0</v>
      </c>
      <c r="V88" t="n">
        <v>0</v>
      </c>
      <c r="W88" t="inlineStr">
        <is>
          <t>CHILQUINTA</t>
        </is>
      </c>
      <c r="X88" t="n">
        <v>95.14913905578901</v>
      </c>
      <c r="Y88" t="n">
        <v>1.318441212005113</v>
      </c>
      <c r="Z88" t="n">
        <v>1402.597034047992</v>
      </c>
      <c r="AA88" t="n">
        <v>0</v>
      </c>
      <c r="AB88" t="n">
        <v>0</v>
      </c>
      <c r="AC88" t="n">
        <v>0</v>
      </c>
      <c r="AD88" s="2" t="n">
        <v>44470</v>
      </c>
    </row>
    <row r="89">
      <c r="A89" t="n">
        <v>-1</v>
      </c>
      <c r="B89" t="inlineStr">
        <is>
          <t>01-10-2021</t>
        </is>
      </c>
      <c r="C89" t="n">
        <v>2021</v>
      </c>
      <c r="D89" t="n">
        <v>10</v>
      </c>
      <c r="E89" t="inlineStr">
        <is>
          <t>San Rafael 012</t>
        </is>
      </c>
      <c r="F89" t="inlineStr">
        <is>
          <t>Chilquinta</t>
        </is>
      </c>
      <c r="G89" t="inlineStr">
        <is>
          <t>Chilquinta</t>
        </is>
      </c>
      <c r="H89" t="inlineStr">
        <is>
          <t>Empresa Eléctrica Carén S.A.</t>
        </is>
      </c>
      <c r="I89" t="inlineStr">
        <is>
          <t>Empresa Eléctrica Carén S.A.</t>
        </is>
      </c>
      <c r="J89" t="inlineStr">
        <is>
          <t>SIC 2013/03_2_BS1B_BB_CHILQUINTA_Empresa Eléctrica Carén S.A.</t>
        </is>
      </c>
      <c r="K89" t="inlineStr">
        <is>
          <t>San Rafael 012</t>
        </is>
      </c>
      <c r="L89" t="inlineStr">
        <is>
          <t>-1</t>
        </is>
      </c>
      <c r="M89" t="n">
        <v>1182.667929273326</v>
      </c>
      <c r="N89" t="n">
        <v>0</v>
      </c>
      <c r="O89" t="inlineStr">
        <is>
          <t>3</t>
        </is>
      </c>
      <c r="P89" s="2" t="n">
        <v>44999.6862684375</v>
      </c>
      <c r="Q89" t="n">
        <v>5</v>
      </c>
      <c r="R89" t="inlineStr">
        <is>
          <t>NOGALES 220</t>
        </is>
      </c>
      <c r="S89" t="n">
        <v>4.308773336626347</v>
      </c>
      <c r="T89" t="n">
        <v>384.7182431241907</v>
      </c>
      <c r="U89" t="n">
        <v>0</v>
      </c>
      <c r="V89" t="n">
        <v>0</v>
      </c>
      <c r="W89" t="inlineStr">
        <is>
          <t>CHILQUINTA</t>
        </is>
      </c>
      <c r="X89" t="n">
        <v>94.986367291326</v>
      </c>
      <c r="Y89" t="n">
        <v>0.3847182431241907</v>
      </c>
      <c r="Z89" t="n">
        <v>409.2747267278625</v>
      </c>
      <c r="AA89" t="n">
        <v>0</v>
      </c>
      <c r="AB89" t="n">
        <v>0</v>
      </c>
      <c r="AC89" t="n">
        <v>0</v>
      </c>
      <c r="AD89" s="2" t="n">
        <v>44470</v>
      </c>
    </row>
    <row r="90">
      <c r="A90" t="n">
        <v>-1</v>
      </c>
      <c r="B90" t="inlineStr">
        <is>
          <t>01-10-2021</t>
        </is>
      </c>
      <c r="C90" t="n">
        <v>2021</v>
      </c>
      <c r="D90" t="n">
        <v>10</v>
      </c>
      <c r="E90" t="inlineStr">
        <is>
          <t>San Rafael 012</t>
        </is>
      </c>
      <c r="F90" t="inlineStr">
        <is>
          <t>Chilquinta</t>
        </is>
      </c>
      <c r="G90" t="inlineStr">
        <is>
          <t>Chilquinta</t>
        </is>
      </c>
      <c r="H90" t="inlineStr">
        <is>
          <t>Empresa Eléctrica Carén S.A.</t>
        </is>
      </c>
      <c r="I90" t="inlineStr">
        <is>
          <t>Empresa Eléctrica Carén S.A.</t>
        </is>
      </c>
      <c r="J90" t="inlineStr">
        <is>
          <t>SIC 2013/03_2_BS1B_BB_CHILQUINTA_Empresa Eléctrica Carén S.A.</t>
        </is>
      </c>
      <c r="K90" t="inlineStr">
        <is>
          <t>San Rafael 012</t>
        </is>
      </c>
      <c r="L90" t="inlineStr">
        <is>
          <t>-1</t>
        </is>
      </c>
      <c r="M90" t="n">
        <v>1182.667929273326</v>
      </c>
      <c r="N90" t="n">
        <v>0</v>
      </c>
      <c r="O90" t="inlineStr">
        <is>
          <t>3</t>
        </is>
      </c>
      <c r="P90" s="2" t="n">
        <v>44999.6862684375</v>
      </c>
      <c r="Q90" t="n">
        <v>11</v>
      </c>
      <c r="R90" t="inlineStr">
        <is>
          <t>QUILLOTA 220</t>
        </is>
      </c>
      <c r="S90" t="n">
        <v>213.2089202704721</v>
      </c>
      <c r="T90" t="n">
        <v>18610.92434194234</v>
      </c>
      <c r="U90" t="n">
        <v>0</v>
      </c>
      <c r="V90" t="n">
        <v>0</v>
      </c>
      <c r="W90" t="inlineStr">
        <is>
          <t>CHILQUINTA</t>
        </is>
      </c>
      <c r="X90" t="n">
        <v>92.86129144034402</v>
      </c>
      <c r="Y90" t="n">
        <v>18.61092434194234</v>
      </c>
      <c r="Z90" t="n">
        <v>19798.85568291738</v>
      </c>
      <c r="AA90" t="n">
        <v>0</v>
      </c>
      <c r="AB90" t="n">
        <v>0</v>
      </c>
      <c r="AC90" t="n">
        <v>0</v>
      </c>
      <c r="AD90" s="2" t="n">
        <v>44470</v>
      </c>
    </row>
    <row r="91">
      <c r="A91" t="n">
        <v>-1</v>
      </c>
      <c r="B91" t="inlineStr">
        <is>
          <t>01-10-2021</t>
        </is>
      </c>
      <c r="C91" t="n">
        <v>2021</v>
      </c>
      <c r="D91" t="n">
        <v>10</v>
      </c>
      <c r="E91" t="inlineStr">
        <is>
          <t>San Sebastian 012</t>
        </is>
      </c>
      <c r="F91" t="inlineStr">
        <is>
          <t>Chilquinta</t>
        </is>
      </c>
      <c r="G91" t="inlineStr">
        <is>
          <t>Chilquinta</t>
        </is>
      </c>
      <c r="H91" t="inlineStr">
        <is>
          <t>Empresa Eléctrica Carén S.A.</t>
        </is>
      </c>
      <c r="I91" t="inlineStr">
        <is>
          <t>Empresa Eléctrica Carén S.A.</t>
        </is>
      </c>
      <c r="J91" t="inlineStr">
        <is>
          <t>SIC 2013/03_2_BS1B_BB_CHILQUINTA_Empresa Eléctrica Carén S.A.</t>
        </is>
      </c>
      <c r="K91" t="inlineStr">
        <is>
          <t>San Sebastian 012</t>
        </is>
      </c>
      <c r="L91" t="inlineStr">
        <is>
          <t>-1</t>
        </is>
      </c>
      <c r="M91" t="n">
        <v>114.7514868326344</v>
      </c>
      <c r="N91" t="n">
        <v>0</v>
      </c>
      <c r="O91" t="inlineStr">
        <is>
          <t>3</t>
        </is>
      </c>
      <c r="P91" s="2" t="n">
        <v>44999.6862684375</v>
      </c>
      <c r="Q91" t="n">
        <v>31</v>
      </c>
      <c r="R91" t="inlineStr">
        <is>
          <t>LOS MAQUIS 220</t>
        </is>
      </c>
      <c r="S91" t="n">
        <v>0.4911329240338765</v>
      </c>
      <c r="T91" t="n">
        <v>42.87080333897865</v>
      </c>
      <c r="U91" t="n">
        <v>0</v>
      </c>
      <c r="V91" t="n">
        <v>0</v>
      </c>
      <c r="W91" t="inlineStr">
        <is>
          <t>CHILQUINTA</t>
        </is>
      </c>
      <c r="X91" t="n">
        <v>92.861291440344</v>
      </c>
      <c r="Y91" t="n">
        <v>0.04287080333897865</v>
      </c>
      <c r="Z91" t="n">
        <v>45.60723759465814</v>
      </c>
      <c r="AA91" t="n">
        <v>0</v>
      </c>
      <c r="AB91" t="n">
        <v>0</v>
      </c>
      <c r="AC91" t="n">
        <v>0</v>
      </c>
      <c r="AD91" s="2" t="n">
        <v>44470</v>
      </c>
    </row>
    <row r="92">
      <c r="A92" t="n">
        <v>-1</v>
      </c>
      <c r="B92" t="inlineStr">
        <is>
          <t>01-10-2021</t>
        </is>
      </c>
      <c r="C92" t="n">
        <v>2021</v>
      </c>
      <c r="D92" t="n">
        <v>10</v>
      </c>
      <c r="E92" t="inlineStr">
        <is>
          <t>San Sebastian 012</t>
        </is>
      </c>
      <c r="F92" t="inlineStr">
        <is>
          <t>Chilquinta</t>
        </is>
      </c>
      <c r="G92" t="inlineStr">
        <is>
          <t>Chilquinta</t>
        </is>
      </c>
      <c r="H92" t="inlineStr">
        <is>
          <t>Empresa Eléctrica Carén S.A.</t>
        </is>
      </c>
      <c r="I92" t="inlineStr">
        <is>
          <t>Empresa Eléctrica Carén S.A.</t>
        </is>
      </c>
      <c r="J92" t="inlineStr">
        <is>
          <t>SIC 2013/03_2_BS1B_BB_CHILQUINTA_Empresa Eléctrica Carén S.A.</t>
        </is>
      </c>
      <c r="K92" t="inlineStr">
        <is>
          <t>San Sebastian 012</t>
        </is>
      </c>
      <c r="L92" t="inlineStr">
        <is>
          <t>-1</t>
        </is>
      </c>
      <c r="M92" t="n">
        <v>114.7514868326344</v>
      </c>
      <c r="N92" t="n">
        <v>0</v>
      </c>
      <c r="O92" t="inlineStr">
        <is>
          <t>3</t>
        </is>
      </c>
      <c r="P92" s="2" t="n">
        <v>44999.6862684375</v>
      </c>
      <c r="Q92" t="n">
        <v>13</v>
      </c>
      <c r="R92" t="inlineStr">
        <is>
          <t>MELIPILLA 220</t>
        </is>
      </c>
      <c r="S92" t="n">
        <v>115.2987129398868</v>
      </c>
      <c r="T92" t="n">
        <v>10312.33887424254</v>
      </c>
      <c r="U92" t="n">
        <v>0</v>
      </c>
      <c r="V92" t="n">
        <v>0</v>
      </c>
      <c r="W92" t="inlineStr">
        <is>
          <t>CHILQUINTA</t>
        </is>
      </c>
      <c r="X92" t="n">
        <v>95.14913905578901</v>
      </c>
      <c r="Y92" t="n">
        <v>10.31233887424254</v>
      </c>
      <c r="Z92" t="n">
        <v>10970.57327047079</v>
      </c>
      <c r="AA92" t="n">
        <v>0</v>
      </c>
      <c r="AB92" t="n">
        <v>0</v>
      </c>
      <c r="AC92" t="n">
        <v>0</v>
      </c>
      <c r="AD92" s="2" t="n">
        <v>44470</v>
      </c>
    </row>
    <row r="93">
      <c r="A93" t="n">
        <v>-1</v>
      </c>
      <c r="B93" t="inlineStr">
        <is>
          <t>01-10-2021</t>
        </is>
      </c>
      <c r="C93" t="n">
        <v>2021</v>
      </c>
      <c r="D93" t="n">
        <v>10</v>
      </c>
      <c r="E93" t="inlineStr">
        <is>
          <t>San Sebastian 012</t>
        </is>
      </c>
      <c r="F93" t="inlineStr">
        <is>
          <t>Chilquinta</t>
        </is>
      </c>
      <c r="G93" t="inlineStr">
        <is>
          <t>Chilquinta</t>
        </is>
      </c>
      <c r="H93" t="inlineStr">
        <is>
          <t>Empresa Eléctrica Carén S.A.</t>
        </is>
      </c>
      <c r="I93" t="inlineStr">
        <is>
          <t>Empresa Eléctrica Carén S.A.</t>
        </is>
      </c>
      <c r="J93" t="inlineStr">
        <is>
          <t>SIC 2013/03_2_BS1B_BB_CHILQUINTA_Empresa Eléctrica Carén S.A.</t>
        </is>
      </c>
      <c r="K93" t="inlineStr">
        <is>
          <t>San Sebastian 012</t>
        </is>
      </c>
      <c r="L93" t="inlineStr">
        <is>
          <t>-1</t>
        </is>
      </c>
      <c r="M93" t="n">
        <v>114.7514868326344</v>
      </c>
      <c r="N93" t="n">
        <v>0</v>
      </c>
      <c r="O93" t="inlineStr">
        <is>
          <t>3</t>
        </is>
      </c>
      <c r="P93" s="2" t="n">
        <v>44999.6862684375</v>
      </c>
      <c r="Q93" t="n">
        <v>5</v>
      </c>
      <c r="R93" t="inlineStr">
        <is>
          <t>NOGALES 220</t>
        </is>
      </c>
      <c r="S93" t="n">
        <v>0.03422098703715758</v>
      </c>
      <c r="T93" t="n">
        <v>3.055495609156167</v>
      </c>
      <c r="U93" t="n">
        <v>0</v>
      </c>
      <c r="V93" t="n">
        <v>0</v>
      </c>
      <c r="W93" t="inlineStr">
        <is>
          <t>CHILQUINTA</t>
        </is>
      </c>
      <c r="X93" t="n">
        <v>94.98636729132602</v>
      </c>
      <c r="Y93" t="n">
        <v>0.003055495609156167</v>
      </c>
      <c r="Z93" t="n">
        <v>3.250527243783156</v>
      </c>
      <c r="AA93" t="n">
        <v>0</v>
      </c>
      <c r="AB93" t="n">
        <v>0</v>
      </c>
      <c r="AC93" t="n">
        <v>0</v>
      </c>
      <c r="AD93" s="2" t="n">
        <v>44470</v>
      </c>
    </row>
    <row r="94">
      <c r="A94" t="n">
        <v>-1</v>
      </c>
      <c r="B94" t="inlineStr">
        <is>
          <t>01-10-2021</t>
        </is>
      </c>
      <c r="C94" t="n">
        <v>2021</v>
      </c>
      <c r="D94" t="n">
        <v>10</v>
      </c>
      <c r="E94" t="inlineStr">
        <is>
          <t>San Sebastian 012</t>
        </is>
      </c>
      <c r="F94" t="inlineStr">
        <is>
          <t>Chilquinta</t>
        </is>
      </c>
      <c r="G94" t="inlineStr">
        <is>
          <t>Chilquinta</t>
        </is>
      </c>
      <c r="H94" t="inlineStr">
        <is>
          <t>Empresa Eléctrica Carén S.A.</t>
        </is>
      </c>
      <c r="I94" t="inlineStr">
        <is>
          <t>Empresa Eléctrica Carén S.A.</t>
        </is>
      </c>
      <c r="J94" t="inlineStr">
        <is>
          <t>SIC 2013/03_2_BS1B_BB_CHILQUINTA_Empresa Eléctrica Carén S.A.</t>
        </is>
      </c>
      <c r="K94" t="inlineStr">
        <is>
          <t>San Sebastian 012</t>
        </is>
      </c>
      <c r="L94" t="inlineStr">
        <is>
          <t>-1</t>
        </is>
      </c>
      <c r="M94" t="n">
        <v>114.7514868326344</v>
      </c>
      <c r="N94" t="n">
        <v>0</v>
      </c>
      <c r="O94" t="inlineStr">
        <is>
          <t>3</t>
        </is>
      </c>
      <c r="P94" s="2" t="n">
        <v>44999.6862684375</v>
      </c>
      <c r="Q94" t="n">
        <v>11</v>
      </c>
      <c r="R94" t="inlineStr">
        <is>
          <t>QUILLOTA 220</t>
        </is>
      </c>
      <c r="S94" t="n">
        <v>1.806843673132873</v>
      </c>
      <c r="T94" t="n">
        <v>157.7186867028574</v>
      </c>
      <c r="U94" t="n">
        <v>0</v>
      </c>
      <c r="V94" t="n">
        <v>0</v>
      </c>
      <c r="W94" t="inlineStr">
        <is>
          <t>CHILQUINTA</t>
        </is>
      </c>
      <c r="X94" t="n">
        <v>92.86129144034402</v>
      </c>
      <c r="Y94" t="n">
        <v>0.1577186867028574</v>
      </c>
      <c r="Z94" t="n">
        <v>167.7858369179334</v>
      </c>
      <c r="AA94" t="n">
        <v>0</v>
      </c>
      <c r="AB94" t="n">
        <v>0</v>
      </c>
      <c r="AC94" t="n">
        <v>0</v>
      </c>
      <c r="AD94" s="2" t="n">
        <v>44470</v>
      </c>
    </row>
    <row r="95">
      <c r="A95" t="n">
        <v>-1</v>
      </c>
      <c r="B95" t="inlineStr">
        <is>
          <t>01-10-2021</t>
        </is>
      </c>
      <c r="C95" t="n">
        <v>2021</v>
      </c>
      <c r="D95" t="n">
        <v>10</v>
      </c>
      <c r="E95" t="inlineStr">
        <is>
          <t>Valparaiso 012</t>
        </is>
      </c>
      <c r="F95" t="inlineStr">
        <is>
          <t>Chilquinta</t>
        </is>
      </c>
      <c r="G95" t="inlineStr">
        <is>
          <t>Chilquinta</t>
        </is>
      </c>
      <c r="H95" t="inlineStr">
        <is>
          <t>Empresa Eléctrica Carén S.A.</t>
        </is>
      </c>
      <c r="I95" t="inlineStr">
        <is>
          <t>Empresa Eléctrica Carén S.A.</t>
        </is>
      </c>
      <c r="J95" t="inlineStr">
        <is>
          <t>SIC 2013/03_2_BS1B_BB_CHILQUINTA_Empresa Eléctrica Carén S.A.</t>
        </is>
      </c>
      <c r="K95" t="inlineStr">
        <is>
          <t>Valparaiso 012</t>
        </is>
      </c>
      <c r="L95" t="inlineStr">
        <is>
          <t>-1</t>
        </is>
      </c>
      <c r="M95" t="n">
        <v>822.1104489086435</v>
      </c>
      <c r="N95" t="n">
        <v>0</v>
      </c>
      <c r="O95" t="inlineStr">
        <is>
          <t>3</t>
        </is>
      </c>
      <c r="P95" s="2" t="n">
        <v>44999.6862684375</v>
      </c>
      <c r="Q95" t="n">
        <v>31</v>
      </c>
      <c r="R95" t="inlineStr">
        <is>
          <t>LOS MAQUIS 220</t>
        </is>
      </c>
      <c r="S95" t="n">
        <v>29.20936724350075</v>
      </c>
      <c r="T95" t="n">
        <v>2549.674390523554</v>
      </c>
      <c r="U95" t="n">
        <v>0</v>
      </c>
      <c r="V95" t="n">
        <v>0</v>
      </c>
      <c r="W95" t="inlineStr">
        <is>
          <t>CHILQUINTA</t>
        </is>
      </c>
      <c r="X95" t="n">
        <v>92.861291440344</v>
      </c>
      <c r="Y95" t="n">
        <v>2.549674390523555</v>
      </c>
      <c r="Z95" t="n">
        <v>2712.41956438676</v>
      </c>
      <c r="AA95" t="n">
        <v>0</v>
      </c>
      <c r="AB95" t="n">
        <v>0</v>
      </c>
      <c r="AC95" t="n">
        <v>0</v>
      </c>
      <c r="AD95" s="2" t="n">
        <v>44470</v>
      </c>
    </row>
    <row r="96">
      <c r="A96" t="n">
        <v>-1</v>
      </c>
      <c r="B96" t="inlineStr">
        <is>
          <t>01-10-2021</t>
        </is>
      </c>
      <c r="C96" t="n">
        <v>2021</v>
      </c>
      <c r="D96" t="n">
        <v>10</v>
      </c>
      <c r="E96" t="inlineStr">
        <is>
          <t>Valparaiso 012</t>
        </is>
      </c>
      <c r="F96" t="inlineStr">
        <is>
          <t>Chilquinta</t>
        </is>
      </c>
      <c r="G96" t="inlineStr">
        <is>
          <t>Chilquinta</t>
        </is>
      </c>
      <c r="H96" t="inlineStr">
        <is>
          <t>Empresa Eléctrica Carén S.A.</t>
        </is>
      </c>
      <c r="I96" t="inlineStr">
        <is>
          <t>Empresa Eléctrica Carén S.A.</t>
        </is>
      </c>
      <c r="J96" t="inlineStr">
        <is>
          <t>SIC 2013/03_2_BS1B_BB_CHILQUINTA_Empresa Eléctrica Carén S.A.</t>
        </is>
      </c>
      <c r="K96" t="inlineStr">
        <is>
          <t>Valparaiso 012</t>
        </is>
      </c>
      <c r="L96" t="inlineStr">
        <is>
          <t>-1</t>
        </is>
      </c>
      <c r="M96" t="n">
        <v>822.1104489086435</v>
      </c>
      <c r="N96" t="n">
        <v>0</v>
      </c>
      <c r="O96" t="inlineStr">
        <is>
          <t>3</t>
        </is>
      </c>
      <c r="P96" s="2" t="n">
        <v>44999.6862684375</v>
      </c>
      <c r="Q96" t="n">
        <v>13</v>
      </c>
      <c r="R96" t="inlineStr">
        <is>
          <t>MELIPILLA 220</t>
        </is>
      </c>
      <c r="S96" t="n">
        <v>721.7086044836816</v>
      </c>
      <c r="T96" t="n">
        <v>64549.75522383062</v>
      </c>
      <c r="U96" t="n">
        <v>0</v>
      </c>
      <c r="V96" t="n">
        <v>0</v>
      </c>
      <c r="W96" t="inlineStr">
        <is>
          <t>CHILQUINTA</t>
        </is>
      </c>
      <c r="X96" t="n">
        <v>95.14913905578901</v>
      </c>
      <c r="Y96" t="n">
        <v>64.54975522383062</v>
      </c>
      <c r="Z96" t="n">
        <v>68669.95236577725</v>
      </c>
      <c r="AA96" t="n">
        <v>0</v>
      </c>
      <c r="AB96" t="n">
        <v>0</v>
      </c>
      <c r="AC96" t="n">
        <v>0</v>
      </c>
      <c r="AD96" s="2" t="n">
        <v>44470</v>
      </c>
    </row>
    <row r="97">
      <c r="A97" t="n">
        <v>-1</v>
      </c>
      <c r="B97" t="inlineStr">
        <is>
          <t>01-10-2021</t>
        </is>
      </c>
      <c r="C97" t="n">
        <v>2021</v>
      </c>
      <c r="D97" t="n">
        <v>10</v>
      </c>
      <c r="E97" t="inlineStr">
        <is>
          <t>Valparaiso 012</t>
        </is>
      </c>
      <c r="F97" t="inlineStr">
        <is>
          <t>Chilquinta</t>
        </is>
      </c>
      <c r="G97" t="inlineStr">
        <is>
          <t>Chilquinta</t>
        </is>
      </c>
      <c r="H97" t="inlineStr">
        <is>
          <t>Empresa Eléctrica Carén S.A.</t>
        </is>
      </c>
      <c r="I97" t="inlineStr">
        <is>
          <t>Empresa Eléctrica Carén S.A.</t>
        </is>
      </c>
      <c r="J97" t="inlineStr">
        <is>
          <t>SIC 2013/03_2_BS1B_BB_CHILQUINTA_Empresa Eléctrica Carén S.A.</t>
        </is>
      </c>
      <c r="K97" t="inlineStr">
        <is>
          <t>Valparaiso 012</t>
        </is>
      </c>
      <c r="L97" t="inlineStr">
        <is>
          <t>-1</t>
        </is>
      </c>
      <c r="M97" t="n">
        <v>822.1104489086435</v>
      </c>
      <c r="N97" t="n">
        <v>0</v>
      </c>
      <c r="O97" t="inlineStr">
        <is>
          <t>3</t>
        </is>
      </c>
      <c r="P97" s="2" t="n">
        <v>44999.6862684375</v>
      </c>
      <c r="Q97" t="n">
        <v>5</v>
      </c>
      <c r="R97" t="inlineStr">
        <is>
          <t>NOGALES 220</t>
        </is>
      </c>
      <c r="S97" t="n">
        <v>2.202307883727991</v>
      </c>
      <c r="T97" t="n">
        <v>196.6378720004276</v>
      </c>
      <c r="U97" t="n">
        <v>0</v>
      </c>
      <c r="V97" t="n">
        <v>0</v>
      </c>
      <c r="W97" t="inlineStr">
        <is>
          <t>CHILQUINTA</t>
        </is>
      </c>
      <c r="X97" t="n">
        <v>94.986367291326</v>
      </c>
      <c r="Y97" t="n">
        <v>0.1966378720004276</v>
      </c>
      <c r="Z97" t="n">
        <v>209.1892255323698</v>
      </c>
      <c r="AA97" t="n">
        <v>0</v>
      </c>
      <c r="AB97" t="n">
        <v>0</v>
      </c>
      <c r="AC97" t="n">
        <v>0</v>
      </c>
      <c r="AD97" s="2" t="n">
        <v>44470</v>
      </c>
    </row>
    <row r="98">
      <c r="A98" t="n">
        <v>-1</v>
      </c>
      <c r="B98" t="inlineStr">
        <is>
          <t>01-10-2021</t>
        </is>
      </c>
      <c r="C98" t="n">
        <v>2021</v>
      </c>
      <c r="D98" t="n">
        <v>10</v>
      </c>
      <c r="E98" t="inlineStr">
        <is>
          <t>Valparaiso 012</t>
        </is>
      </c>
      <c r="F98" t="inlineStr">
        <is>
          <t>Chilquinta</t>
        </is>
      </c>
      <c r="G98" t="inlineStr">
        <is>
          <t>Chilquinta</t>
        </is>
      </c>
      <c r="H98" t="inlineStr">
        <is>
          <t>Empresa Eléctrica Carén S.A.</t>
        </is>
      </c>
      <c r="I98" t="inlineStr">
        <is>
          <t>Empresa Eléctrica Carén S.A.</t>
        </is>
      </c>
      <c r="J98" t="inlineStr">
        <is>
          <t>SIC 2013/03_2_BS1B_BB_CHILQUINTA_Empresa Eléctrica Carén S.A.</t>
        </is>
      </c>
      <c r="K98" t="inlineStr">
        <is>
          <t>Valparaiso 012</t>
        </is>
      </c>
      <c r="L98" t="inlineStr">
        <is>
          <t>-1</t>
        </is>
      </c>
      <c r="M98" t="n">
        <v>822.1104489086435</v>
      </c>
      <c r="N98" t="n">
        <v>0</v>
      </c>
      <c r="O98" t="inlineStr">
        <is>
          <t>3</t>
        </is>
      </c>
      <c r="P98" s="2" t="n">
        <v>44999.6862684375</v>
      </c>
      <c r="Q98" t="n">
        <v>11</v>
      </c>
      <c r="R98" t="inlineStr">
        <is>
          <t>QUILLOTA 220</t>
        </is>
      </c>
      <c r="S98" t="n">
        <v>89.61913340896886</v>
      </c>
      <c r="T98" t="n">
        <v>7822.819558154049</v>
      </c>
      <c r="U98" t="n">
        <v>0</v>
      </c>
      <c r="V98" t="n">
        <v>0</v>
      </c>
      <c r="W98" t="inlineStr">
        <is>
          <t>CHILQUINTA</t>
        </is>
      </c>
      <c r="X98" t="n">
        <v>92.861291440344</v>
      </c>
      <c r="Y98" t="n">
        <v>7.822819558154047</v>
      </c>
      <c r="Z98" t="n">
        <v>8322.148466121329</v>
      </c>
      <c r="AA98" t="n">
        <v>0</v>
      </c>
      <c r="AB98" t="n">
        <v>0</v>
      </c>
      <c r="AC98" t="n">
        <v>0</v>
      </c>
      <c r="AD98" s="2" t="n">
        <v>44470</v>
      </c>
    </row>
    <row r="99">
      <c r="A99" t="n">
        <v>-1</v>
      </c>
      <c r="B99" t="inlineStr">
        <is>
          <t>01-11-2021</t>
        </is>
      </c>
      <c r="C99" t="n">
        <v>2021</v>
      </c>
      <c r="D99" t="n">
        <v>11</v>
      </c>
      <c r="E99" t="inlineStr">
        <is>
          <t>Bosquemar 012</t>
        </is>
      </c>
      <c r="F99" t="inlineStr">
        <is>
          <t>Chilquinta</t>
        </is>
      </c>
      <c r="G99" t="inlineStr">
        <is>
          <t>Chilquinta</t>
        </is>
      </c>
      <c r="H99" t="inlineStr">
        <is>
          <t>Empresa Eléctrica Carén S.A.</t>
        </is>
      </c>
      <c r="I99" t="inlineStr">
        <is>
          <t>Empresa Eléctrica Carén S.A.</t>
        </is>
      </c>
      <c r="J99" t="inlineStr">
        <is>
          <t>SIC 2013/03_2_BS1B_BB_CHILQUINTA_Empresa Eléctrica Carén S.A.</t>
        </is>
      </c>
      <c r="K99" t="inlineStr">
        <is>
          <t>Bosquemar 012</t>
        </is>
      </c>
      <c r="L99" t="inlineStr">
        <is>
          <t>-1</t>
        </is>
      </c>
      <c r="M99" t="n">
        <v>430.6367026316793</v>
      </c>
      <c r="N99" t="n">
        <v>0</v>
      </c>
      <c r="O99" t="inlineStr">
        <is>
          <t>3</t>
        </is>
      </c>
      <c r="P99" s="2" t="n">
        <v>44999.6862684375</v>
      </c>
      <c r="Q99" t="n">
        <v>31</v>
      </c>
      <c r="R99" t="inlineStr">
        <is>
          <t>LOS MAQUIS 220</t>
        </is>
      </c>
      <c r="S99" t="n">
        <v>96.31414326529492</v>
      </c>
      <c r="T99" t="n">
        <v>8407.224383930461</v>
      </c>
      <c r="U99" t="n">
        <v>0</v>
      </c>
      <c r="V99" t="n">
        <v>0</v>
      </c>
      <c r="W99" t="inlineStr">
        <is>
          <t>CHILQUINTA</t>
        </is>
      </c>
      <c r="X99" t="n">
        <v>92.86129144034402</v>
      </c>
      <c r="Y99" t="n">
        <v>8.407224383930462</v>
      </c>
      <c r="Z99" t="n">
        <v>8943.855727585596</v>
      </c>
      <c r="AA99" t="n">
        <v>0</v>
      </c>
      <c r="AB99" t="n">
        <v>0</v>
      </c>
      <c r="AC99" t="n">
        <v>0</v>
      </c>
      <c r="AD99" s="2" t="n">
        <v>44501</v>
      </c>
    </row>
    <row r="100">
      <c r="A100" t="n">
        <v>-1</v>
      </c>
      <c r="B100" t="inlineStr">
        <is>
          <t>01-11-2021</t>
        </is>
      </c>
      <c r="C100" t="n">
        <v>2021</v>
      </c>
      <c r="D100" t="n">
        <v>11</v>
      </c>
      <c r="E100" t="inlineStr">
        <is>
          <t>Bosquemar 012</t>
        </is>
      </c>
      <c r="F100" t="inlineStr">
        <is>
          <t>Chilquinta</t>
        </is>
      </c>
      <c r="G100" t="inlineStr">
        <is>
          <t>Chilquinta</t>
        </is>
      </c>
      <c r="H100" t="inlineStr">
        <is>
          <t>Empresa Eléctrica Carén S.A.</t>
        </is>
      </c>
      <c r="I100" t="inlineStr">
        <is>
          <t>Empresa Eléctrica Carén S.A.</t>
        </is>
      </c>
      <c r="J100" t="inlineStr">
        <is>
          <t>SIC 2013/03_2_BS1B_BB_CHILQUINTA_Empresa Eléctrica Carén S.A.</t>
        </is>
      </c>
      <c r="K100" t="inlineStr">
        <is>
          <t>Bosquemar 012</t>
        </is>
      </c>
      <c r="L100" t="inlineStr">
        <is>
          <t>-1</t>
        </is>
      </c>
      <c r="M100" t="n">
        <v>430.6367026316793</v>
      </c>
      <c r="N100" t="n">
        <v>0</v>
      </c>
      <c r="O100" t="inlineStr">
        <is>
          <t>3</t>
        </is>
      </c>
      <c r="P100" s="2" t="n">
        <v>44999.6862684375</v>
      </c>
      <c r="Q100" t="n">
        <v>13</v>
      </c>
      <c r="R100" t="inlineStr">
        <is>
          <t>MELIPILLA 220</t>
        </is>
      </c>
      <c r="S100" t="n">
        <v>57.77970855915839</v>
      </c>
      <c r="T100" t="n">
        <v>5167.828152840426</v>
      </c>
      <c r="U100" t="n">
        <v>0</v>
      </c>
      <c r="V100" t="n">
        <v>0</v>
      </c>
      <c r="W100" t="inlineStr">
        <is>
          <t>CHILQUINTA</t>
        </is>
      </c>
      <c r="X100" t="n">
        <v>95.14913905578902</v>
      </c>
      <c r="Y100" t="n">
        <v>5.167828152840426</v>
      </c>
      <c r="Z100" t="n">
        <v>5497.689524298326</v>
      </c>
      <c r="AA100" t="n">
        <v>0</v>
      </c>
      <c r="AB100" t="n">
        <v>0</v>
      </c>
      <c r="AC100" t="n">
        <v>0</v>
      </c>
      <c r="AD100" s="2" t="n">
        <v>44501</v>
      </c>
    </row>
    <row r="101">
      <c r="A101" t="n">
        <v>-1</v>
      </c>
      <c r="B101" t="inlineStr">
        <is>
          <t>01-11-2021</t>
        </is>
      </c>
      <c r="C101" t="n">
        <v>2021</v>
      </c>
      <c r="D101" t="n">
        <v>11</v>
      </c>
      <c r="E101" t="inlineStr">
        <is>
          <t>Bosquemar 012</t>
        </is>
      </c>
      <c r="F101" t="inlineStr">
        <is>
          <t>Chilquinta</t>
        </is>
      </c>
      <c r="G101" t="inlineStr">
        <is>
          <t>Chilquinta</t>
        </is>
      </c>
      <c r="H101" t="inlineStr">
        <is>
          <t>Empresa Eléctrica Carén S.A.</t>
        </is>
      </c>
      <c r="I101" t="inlineStr">
        <is>
          <t>Empresa Eléctrica Carén S.A.</t>
        </is>
      </c>
      <c r="J101" t="inlineStr">
        <is>
          <t>SIC 2013/03_2_BS1B_BB_CHILQUINTA_Empresa Eléctrica Carén S.A.</t>
        </is>
      </c>
      <c r="K101" t="inlineStr">
        <is>
          <t>Bosquemar 012</t>
        </is>
      </c>
      <c r="L101" t="inlineStr">
        <is>
          <t>-1</t>
        </is>
      </c>
      <c r="M101" t="n">
        <v>430.6367026316793</v>
      </c>
      <c r="N101" t="n">
        <v>0</v>
      </c>
      <c r="O101" t="inlineStr">
        <is>
          <t>3</t>
        </is>
      </c>
      <c r="P101" s="2" t="n">
        <v>44999.6862684375</v>
      </c>
      <c r="Q101" t="n">
        <v>5</v>
      </c>
      <c r="R101" t="inlineStr">
        <is>
          <t>NOGALES 220</t>
        </is>
      </c>
      <c r="S101" t="n">
        <v>11.5240363179752</v>
      </c>
      <c r="T101" t="n">
        <v>1028.948765595106</v>
      </c>
      <c r="U101" t="n">
        <v>0</v>
      </c>
      <c r="V101" t="n">
        <v>0</v>
      </c>
      <c r="W101" t="inlineStr">
        <is>
          <t>CHILQUINTA</t>
        </is>
      </c>
      <c r="X101" t="n">
        <v>94.986367291326</v>
      </c>
      <c r="Y101" t="n">
        <v>1.028948765595106</v>
      </c>
      <c r="Z101" t="n">
        <v>1094.626346377772</v>
      </c>
      <c r="AA101" t="n">
        <v>0</v>
      </c>
      <c r="AB101" t="n">
        <v>0</v>
      </c>
      <c r="AC101" t="n">
        <v>0</v>
      </c>
      <c r="AD101" s="2" t="n">
        <v>44501</v>
      </c>
    </row>
    <row r="102">
      <c r="A102" t="n">
        <v>-1</v>
      </c>
      <c r="B102" t="inlineStr">
        <is>
          <t>01-11-2021</t>
        </is>
      </c>
      <c r="C102" t="n">
        <v>2021</v>
      </c>
      <c r="D102" t="n">
        <v>11</v>
      </c>
      <c r="E102" t="inlineStr">
        <is>
          <t>Bosquemar 012</t>
        </is>
      </c>
      <c r="F102" t="inlineStr">
        <is>
          <t>Chilquinta</t>
        </is>
      </c>
      <c r="G102" t="inlineStr">
        <is>
          <t>Chilquinta</t>
        </is>
      </c>
      <c r="H102" t="inlineStr">
        <is>
          <t>Empresa Eléctrica Carén S.A.</t>
        </is>
      </c>
      <c r="I102" t="inlineStr">
        <is>
          <t>Empresa Eléctrica Carén S.A.</t>
        </is>
      </c>
      <c r="J102" t="inlineStr">
        <is>
          <t>SIC 2013/03_2_BS1B_BB_CHILQUINTA_Empresa Eléctrica Carén S.A.</t>
        </is>
      </c>
      <c r="K102" t="inlineStr">
        <is>
          <t>Bosquemar 012</t>
        </is>
      </c>
      <c r="L102" t="inlineStr">
        <is>
          <t>-1</t>
        </is>
      </c>
      <c r="M102" t="n">
        <v>430.6367026316793</v>
      </c>
      <c r="N102" t="n">
        <v>0</v>
      </c>
      <c r="O102" t="inlineStr">
        <is>
          <t>3</t>
        </is>
      </c>
      <c r="P102" s="2" t="n">
        <v>44999.6862684375</v>
      </c>
      <c r="Q102" t="n">
        <v>11</v>
      </c>
      <c r="R102" t="inlineStr">
        <is>
          <t>QUILLOTA 220</t>
        </is>
      </c>
      <c r="S102" t="n">
        <v>275.824648541552</v>
      </c>
      <c r="T102" t="n">
        <v>24076.62709016867</v>
      </c>
      <c r="U102" t="n">
        <v>0</v>
      </c>
      <c r="V102" t="n">
        <v>0</v>
      </c>
      <c r="W102" t="inlineStr">
        <is>
          <t>CHILQUINTA</t>
        </is>
      </c>
      <c r="X102" t="n">
        <v>92.861291440344</v>
      </c>
      <c r="Y102" t="n">
        <v>24.07662709016866</v>
      </c>
      <c r="Z102" t="n">
        <v>25613.43307464752</v>
      </c>
      <c r="AA102" t="n">
        <v>0</v>
      </c>
      <c r="AB102" t="n">
        <v>0</v>
      </c>
      <c r="AC102" t="n">
        <v>0</v>
      </c>
      <c r="AD102" s="2" t="n">
        <v>44501</v>
      </c>
    </row>
    <row r="103">
      <c r="A103" t="n">
        <v>-1</v>
      </c>
      <c r="B103" t="inlineStr">
        <is>
          <t>01-11-2021</t>
        </is>
      </c>
      <c r="C103" t="n">
        <v>2021</v>
      </c>
      <c r="D103" t="n">
        <v>11</v>
      </c>
      <c r="E103" t="inlineStr">
        <is>
          <t>Casablanca 012</t>
        </is>
      </c>
      <c r="F103" t="inlineStr">
        <is>
          <t>Chilquinta</t>
        </is>
      </c>
      <c r="G103" t="inlineStr">
        <is>
          <t>Chilquinta</t>
        </is>
      </c>
      <c r="H103" t="inlineStr">
        <is>
          <t>Empresa Eléctrica Carén S.A.</t>
        </is>
      </c>
      <c r="I103" t="inlineStr">
        <is>
          <t>Empresa Eléctrica Carén S.A.</t>
        </is>
      </c>
      <c r="J103" t="inlineStr">
        <is>
          <t>SIC 2013/03_2_BS1B_BB_CHILQUINTA_Empresa Eléctrica Carén S.A.</t>
        </is>
      </c>
      <c r="K103" t="inlineStr">
        <is>
          <t>Casablanca 012</t>
        </is>
      </c>
      <c r="L103" t="inlineStr">
        <is>
          <t>-1</t>
        </is>
      </c>
      <c r="M103" t="n">
        <v>2.882586709660016</v>
      </c>
      <c r="N103" t="n">
        <v>0</v>
      </c>
      <c r="O103" t="inlineStr">
        <is>
          <t>3</t>
        </is>
      </c>
      <c r="P103" s="2" t="n">
        <v>44999.6862684375</v>
      </c>
      <c r="Q103" t="n">
        <v>31</v>
      </c>
      <c r="R103" t="inlineStr">
        <is>
          <t>LOS MAQUIS 220</t>
        </is>
      </c>
      <c r="S103" t="n">
        <v>0.01436944414808545</v>
      </c>
      <c r="T103" t="n">
        <v>1.254303232418842</v>
      </c>
      <c r="U103" t="n">
        <v>0</v>
      </c>
      <c r="V103" t="n">
        <v>0</v>
      </c>
      <c r="W103" t="inlineStr">
        <is>
          <t>CHILQUINTA</t>
        </is>
      </c>
      <c r="X103" t="n">
        <v>92.861291440344</v>
      </c>
      <c r="Y103" t="n">
        <v>0.001254303232418842</v>
      </c>
      <c r="Z103" t="n">
        <v>1.334365140871108</v>
      </c>
      <c r="AA103" t="n">
        <v>0</v>
      </c>
      <c r="AB103" t="n">
        <v>0</v>
      </c>
      <c r="AC103" t="n">
        <v>0</v>
      </c>
      <c r="AD103" s="2" t="n">
        <v>44501</v>
      </c>
    </row>
    <row r="104">
      <c r="A104" t="n">
        <v>-1</v>
      </c>
      <c r="B104" t="inlineStr">
        <is>
          <t>01-11-2021</t>
        </is>
      </c>
      <c r="C104" t="n">
        <v>2021</v>
      </c>
      <c r="D104" t="n">
        <v>11</v>
      </c>
      <c r="E104" t="inlineStr">
        <is>
          <t>Casablanca 012</t>
        </is>
      </c>
      <c r="F104" t="inlineStr">
        <is>
          <t>Chilquinta</t>
        </is>
      </c>
      <c r="G104" t="inlineStr">
        <is>
          <t>Chilquinta</t>
        </is>
      </c>
      <c r="H104" t="inlineStr">
        <is>
          <t>Empresa Eléctrica Carén S.A.</t>
        </is>
      </c>
      <c r="I104" t="inlineStr">
        <is>
          <t>Empresa Eléctrica Carén S.A.</t>
        </is>
      </c>
      <c r="J104" t="inlineStr">
        <is>
          <t>SIC 2013/03_2_BS1B_BB_CHILQUINTA_Empresa Eléctrica Carén S.A.</t>
        </is>
      </c>
      <c r="K104" t="inlineStr">
        <is>
          <t>Casablanca 012</t>
        </is>
      </c>
      <c r="L104" t="inlineStr">
        <is>
          <t>-1</t>
        </is>
      </c>
      <c r="M104" t="n">
        <v>2.882586709660016</v>
      </c>
      <c r="N104" t="n">
        <v>0</v>
      </c>
      <c r="O104" t="inlineStr">
        <is>
          <t>3</t>
        </is>
      </c>
      <c r="P104" s="2" t="n">
        <v>44999.6862684375</v>
      </c>
      <c r="Q104" t="n">
        <v>13</v>
      </c>
      <c r="R104" t="inlineStr">
        <is>
          <t>MELIPILLA 220</t>
        </is>
      </c>
      <c r="S104" t="n">
        <v>2.878616864128127</v>
      </c>
      <c r="T104" t="n">
        <v>257.4640413156704</v>
      </c>
      <c r="U104" t="n">
        <v>0</v>
      </c>
      <c r="V104" t="n">
        <v>0</v>
      </c>
      <c r="W104" t="inlineStr">
        <is>
          <t>CHILQUINTA</t>
        </is>
      </c>
      <c r="X104" t="n">
        <v>95.14913905578902</v>
      </c>
      <c r="Y104" t="n">
        <v>0.2574640413156705</v>
      </c>
      <c r="Z104" t="n">
        <v>273.8979162932665</v>
      </c>
      <c r="AA104" t="n">
        <v>0</v>
      </c>
      <c r="AB104" t="n">
        <v>0</v>
      </c>
      <c r="AC104" t="n">
        <v>0</v>
      </c>
      <c r="AD104" s="2" t="n">
        <v>44501</v>
      </c>
    </row>
    <row r="105">
      <c r="A105" t="n">
        <v>-1</v>
      </c>
      <c r="B105" t="inlineStr">
        <is>
          <t>01-11-2021</t>
        </is>
      </c>
      <c r="C105" t="n">
        <v>2021</v>
      </c>
      <c r="D105" t="n">
        <v>11</v>
      </c>
      <c r="E105" t="inlineStr">
        <is>
          <t>Casablanca 012</t>
        </is>
      </c>
      <c r="F105" t="inlineStr">
        <is>
          <t>Chilquinta</t>
        </is>
      </c>
      <c r="G105" t="inlineStr">
        <is>
          <t>Chilquinta</t>
        </is>
      </c>
      <c r="H105" t="inlineStr">
        <is>
          <t>Empresa Eléctrica Carén S.A.</t>
        </is>
      </c>
      <c r="I105" t="inlineStr">
        <is>
          <t>Empresa Eléctrica Carén S.A.</t>
        </is>
      </c>
      <c r="J105" t="inlineStr">
        <is>
          <t>SIC 2013/03_2_BS1B_BB_CHILQUINTA_Empresa Eléctrica Carén S.A.</t>
        </is>
      </c>
      <c r="K105" t="inlineStr">
        <is>
          <t>Casablanca 012</t>
        </is>
      </c>
      <c r="L105" t="inlineStr">
        <is>
          <t>-1</t>
        </is>
      </c>
      <c r="M105" t="n">
        <v>2.882586709660016</v>
      </c>
      <c r="N105" t="n">
        <v>0</v>
      </c>
      <c r="O105" t="inlineStr">
        <is>
          <t>3</t>
        </is>
      </c>
      <c r="P105" s="2" t="n">
        <v>44999.6862684375</v>
      </c>
      <c r="Q105" t="n">
        <v>5</v>
      </c>
      <c r="R105" t="inlineStr">
        <is>
          <t>NOGALES 220</t>
        </is>
      </c>
      <c r="S105" t="n">
        <v>0.001406023705066484</v>
      </c>
      <c r="T105" t="n">
        <v>0.1255398990255707</v>
      </c>
      <c r="U105" t="n">
        <v>0</v>
      </c>
      <c r="V105" t="n">
        <v>0</v>
      </c>
      <c r="W105" t="inlineStr">
        <is>
          <t>CHILQUINTA</t>
        </is>
      </c>
      <c r="X105" t="n">
        <v>94.986367291326</v>
      </c>
      <c r="Y105" t="n">
        <v>0.0001255398990255707</v>
      </c>
      <c r="Z105" t="n">
        <v>0.1335530840697561</v>
      </c>
      <c r="AA105" t="n">
        <v>0</v>
      </c>
      <c r="AB105" t="n">
        <v>0</v>
      </c>
      <c r="AC105" t="n">
        <v>0</v>
      </c>
      <c r="AD105" s="2" t="n">
        <v>44501</v>
      </c>
    </row>
    <row r="106">
      <c r="A106" t="n">
        <v>-1</v>
      </c>
      <c r="B106" t="inlineStr">
        <is>
          <t>01-11-2021</t>
        </is>
      </c>
      <c r="C106" t="n">
        <v>2021</v>
      </c>
      <c r="D106" t="n">
        <v>11</v>
      </c>
      <c r="E106" t="inlineStr">
        <is>
          <t>Casablanca 012</t>
        </is>
      </c>
      <c r="F106" t="inlineStr">
        <is>
          <t>Chilquinta</t>
        </is>
      </c>
      <c r="G106" t="inlineStr">
        <is>
          <t>Chilquinta</t>
        </is>
      </c>
      <c r="H106" t="inlineStr">
        <is>
          <t>Empresa Eléctrica Carén S.A.</t>
        </is>
      </c>
      <c r="I106" t="inlineStr">
        <is>
          <t>Empresa Eléctrica Carén S.A.</t>
        </is>
      </c>
      <c r="J106" t="inlineStr">
        <is>
          <t>SIC 2013/03_2_BS1B_BB_CHILQUINTA_Empresa Eléctrica Carén S.A.</t>
        </is>
      </c>
      <c r="K106" t="inlineStr">
        <is>
          <t>Casablanca 012</t>
        </is>
      </c>
      <c r="L106" t="inlineStr">
        <is>
          <t>-1</t>
        </is>
      </c>
      <c r="M106" t="n">
        <v>2.882586709660016</v>
      </c>
      <c r="N106" t="n">
        <v>0</v>
      </c>
      <c r="O106" t="inlineStr">
        <is>
          <t>3</t>
        </is>
      </c>
      <c r="P106" s="2" t="n">
        <v>44999.6862684375</v>
      </c>
      <c r="Q106" t="n">
        <v>11</v>
      </c>
      <c r="R106" t="inlineStr">
        <is>
          <t>QUILLOTA 220</t>
        </is>
      </c>
      <c r="S106" t="n">
        <v>0.06052623754019745</v>
      </c>
      <c r="T106" t="n">
        <v>5.283311908967299</v>
      </c>
      <c r="U106" t="n">
        <v>0</v>
      </c>
      <c r="V106" t="n">
        <v>0</v>
      </c>
      <c r="W106" t="inlineStr">
        <is>
          <t>CHILQUINTA</t>
        </is>
      </c>
      <c r="X106" t="n">
        <v>92.86129144034402</v>
      </c>
      <c r="Y106" t="n">
        <v>0.0052833119089673</v>
      </c>
      <c r="Z106" t="n">
        <v>5.620544584007765</v>
      </c>
      <c r="AA106" t="n">
        <v>0</v>
      </c>
      <c r="AB106" t="n">
        <v>0</v>
      </c>
      <c r="AC106" t="n">
        <v>0</v>
      </c>
      <c r="AD106" s="2" t="n">
        <v>44501</v>
      </c>
    </row>
    <row r="107">
      <c r="A107" t="n">
        <v>-1</v>
      </c>
      <c r="B107" t="inlineStr">
        <is>
          <t>01-11-2021</t>
        </is>
      </c>
      <c r="C107" t="n">
        <v>2021</v>
      </c>
      <c r="D107" t="n">
        <v>11</v>
      </c>
      <c r="E107" t="inlineStr">
        <is>
          <t>Catemu 012</t>
        </is>
      </c>
      <c r="F107" t="inlineStr">
        <is>
          <t>Chilquinta</t>
        </is>
      </c>
      <c r="G107" t="inlineStr">
        <is>
          <t>Chilquinta</t>
        </is>
      </c>
      <c r="H107" t="inlineStr">
        <is>
          <t>Empresa Eléctrica Carén S.A.</t>
        </is>
      </c>
      <c r="I107" t="inlineStr">
        <is>
          <t>Empresa Eléctrica Carén S.A.</t>
        </is>
      </c>
      <c r="J107" t="inlineStr">
        <is>
          <t>SIC 2013/03_2_BS1B_BB_CHILQUINTA_Empresa Eléctrica Carén S.A.</t>
        </is>
      </c>
      <c r="K107" t="inlineStr">
        <is>
          <t>Catemu 012</t>
        </is>
      </c>
      <c r="L107" t="inlineStr">
        <is>
          <t>-1</t>
        </is>
      </c>
      <c r="M107" t="n">
        <v>184.6885536293265</v>
      </c>
      <c r="N107" t="n">
        <v>0</v>
      </c>
      <c r="O107" t="inlineStr">
        <is>
          <t>3</t>
        </is>
      </c>
      <c r="P107" s="2" t="n">
        <v>44999.6862684375</v>
      </c>
      <c r="Q107" t="n">
        <v>31</v>
      </c>
      <c r="R107" t="inlineStr">
        <is>
          <t>LOS MAQUIS 220</t>
        </is>
      </c>
      <c r="S107" t="n">
        <v>123.0359100197049</v>
      </c>
      <c r="T107" t="n">
        <v>10739.7570880897</v>
      </c>
      <c r="U107" t="n">
        <v>0</v>
      </c>
      <c r="V107" t="n">
        <v>0</v>
      </c>
      <c r="W107" t="inlineStr">
        <is>
          <t>CHILQUINTA</t>
        </is>
      </c>
      <c r="X107" t="n">
        <v>92.861291440344</v>
      </c>
      <c r="Y107" t="n">
        <v>10.7397570880897</v>
      </c>
      <c r="Z107" t="n">
        <v>11425.27349796776</v>
      </c>
      <c r="AA107" t="n">
        <v>0</v>
      </c>
      <c r="AB107" t="n">
        <v>0</v>
      </c>
      <c r="AC107" t="n">
        <v>0</v>
      </c>
      <c r="AD107" s="2" t="n">
        <v>44501</v>
      </c>
    </row>
    <row r="108">
      <c r="A108" t="n">
        <v>-1</v>
      </c>
      <c r="B108" t="inlineStr">
        <is>
          <t>01-11-2021</t>
        </is>
      </c>
      <c r="C108" t="n">
        <v>2021</v>
      </c>
      <c r="D108" t="n">
        <v>11</v>
      </c>
      <c r="E108" t="inlineStr">
        <is>
          <t>Catemu 012</t>
        </is>
      </c>
      <c r="F108" t="inlineStr">
        <is>
          <t>Chilquinta</t>
        </is>
      </c>
      <c r="G108" t="inlineStr">
        <is>
          <t>Chilquinta</t>
        </is>
      </c>
      <c r="H108" t="inlineStr">
        <is>
          <t>Empresa Eléctrica Carén S.A.</t>
        </is>
      </c>
      <c r="I108" t="inlineStr">
        <is>
          <t>Empresa Eléctrica Carén S.A.</t>
        </is>
      </c>
      <c r="J108" t="inlineStr">
        <is>
          <t>SIC 2013/03_2_BS1B_BB_CHILQUINTA_Empresa Eléctrica Carén S.A.</t>
        </is>
      </c>
      <c r="K108" t="inlineStr">
        <is>
          <t>Catemu 012</t>
        </is>
      </c>
      <c r="L108" t="inlineStr">
        <is>
          <t>-1</t>
        </is>
      </c>
      <c r="M108" t="n">
        <v>184.6885536293265</v>
      </c>
      <c r="N108" t="n">
        <v>0</v>
      </c>
      <c r="O108" t="inlineStr">
        <is>
          <t>3</t>
        </is>
      </c>
      <c r="P108" s="2" t="n">
        <v>44999.6862684375</v>
      </c>
      <c r="Q108" t="n">
        <v>13</v>
      </c>
      <c r="R108" t="inlineStr">
        <is>
          <t>MELIPILLA 220</t>
        </is>
      </c>
      <c r="S108" t="n">
        <v>4.445847879776119</v>
      </c>
      <c r="T108" t="n">
        <v>397.6374822456805</v>
      </c>
      <c r="U108" t="n">
        <v>0</v>
      </c>
      <c r="V108" t="n">
        <v>0</v>
      </c>
      <c r="W108" t="inlineStr">
        <is>
          <t>CHILQUINTA</t>
        </is>
      </c>
      <c r="X108" t="n">
        <v>95.14913905578902</v>
      </c>
      <c r="Y108" t="n">
        <v>0.3976374822456806</v>
      </c>
      <c r="Z108" t="n">
        <v>423.0185981337027</v>
      </c>
      <c r="AA108" t="n">
        <v>0</v>
      </c>
      <c r="AB108" t="n">
        <v>0</v>
      </c>
      <c r="AC108" t="n">
        <v>0</v>
      </c>
      <c r="AD108" s="2" t="n">
        <v>44501</v>
      </c>
    </row>
    <row r="109">
      <c r="A109" t="n">
        <v>-1</v>
      </c>
      <c r="B109" t="inlineStr">
        <is>
          <t>01-11-2021</t>
        </is>
      </c>
      <c r="C109" t="n">
        <v>2021</v>
      </c>
      <c r="D109" t="n">
        <v>11</v>
      </c>
      <c r="E109" t="inlineStr">
        <is>
          <t>Catemu 012</t>
        </is>
      </c>
      <c r="F109" t="inlineStr">
        <is>
          <t>Chilquinta</t>
        </is>
      </c>
      <c r="G109" t="inlineStr">
        <is>
          <t>Chilquinta</t>
        </is>
      </c>
      <c r="H109" t="inlineStr">
        <is>
          <t>Empresa Eléctrica Carén S.A.</t>
        </is>
      </c>
      <c r="I109" t="inlineStr">
        <is>
          <t>Empresa Eléctrica Carén S.A.</t>
        </is>
      </c>
      <c r="J109" t="inlineStr">
        <is>
          <t>SIC 2013/03_2_BS1B_BB_CHILQUINTA_Empresa Eléctrica Carén S.A.</t>
        </is>
      </c>
      <c r="K109" t="inlineStr">
        <is>
          <t>Catemu 012</t>
        </is>
      </c>
      <c r="L109" t="inlineStr">
        <is>
          <t>-1</t>
        </is>
      </c>
      <c r="M109" t="n">
        <v>184.6885536293265</v>
      </c>
      <c r="N109" t="n">
        <v>0</v>
      </c>
      <c r="O109" t="inlineStr">
        <is>
          <t>3</t>
        </is>
      </c>
      <c r="P109" s="2" t="n">
        <v>44999.6862684375</v>
      </c>
      <c r="Q109" t="n">
        <v>5</v>
      </c>
      <c r="R109" t="inlineStr">
        <is>
          <t>NOGALES 220</t>
        </is>
      </c>
      <c r="S109" t="n">
        <v>1.292249797660512</v>
      </c>
      <c r="T109" t="n">
        <v>115.3813470779597</v>
      </c>
      <c r="U109" t="n">
        <v>0</v>
      </c>
      <c r="V109" t="n">
        <v>0</v>
      </c>
      <c r="W109" t="inlineStr">
        <is>
          <t>CHILQUINTA</t>
        </is>
      </c>
      <c r="X109" t="n">
        <v>94.986367291326</v>
      </c>
      <c r="Y109" t="n">
        <v>0.1153813470779597</v>
      </c>
      <c r="Z109" t="n">
        <v>122.7461139127231</v>
      </c>
      <c r="AA109" t="n">
        <v>0</v>
      </c>
      <c r="AB109" t="n">
        <v>0</v>
      </c>
      <c r="AC109" t="n">
        <v>0</v>
      </c>
      <c r="AD109" s="2" t="n">
        <v>44501</v>
      </c>
    </row>
    <row r="110">
      <c r="A110" t="n">
        <v>-1</v>
      </c>
      <c r="B110" t="inlineStr">
        <is>
          <t>01-11-2021</t>
        </is>
      </c>
      <c r="C110" t="n">
        <v>2021</v>
      </c>
      <c r="D110" t="n">
        <v>11</v>
      </c>
      <c r="E110" t="inlineStr">
        <is>
          <t>Catemu 012</t>
        </is>
      </c>
      <c r="F110" t="inlineStr">
        <is>
          <t>Chilquinta</t>
        </is>
      </c>
      <c r="G110" t="inlineStr">
        <is>
          <t>Chilquinta</t>
        </is>
      </c>
      <c r="H110" t="inlineStr">
        <is>
          <t>Empresa Eléctrica Carén S.A.</t>
        </is>
      </c>
      <c r="I110" t="inlineStr">
        <is>
          <t>Empresa Eléctrica Carén S.A.</t>
        </is>
      </c>
      <c r="J110" t="inlineStr">
        <is>
          <t>SIC 2013/03_2_BS1B_BB_CHILQUINTA_Empresa Eléctrica Carén S.A.</t>
        </is>
      </c>
      <c r="K110" t="inlineStr">
        <is>
          <t>Catemu 012</t>
        </is>
      </c>
      <c r="L110" t="inlineStr">
        <is>
          <t>-1</t>
        </is>
      </c>
      <c r="M110" t="n">
        <v>184.6885536293265</v>
      </c>
      <c r="N110" t="n">
        <v>0</v>
      </c>
      <c r="O110" t="inlineStr">
        <is>
          <t>3</t>
        </is>
      </c>
      <c r="P110" s="2" t="n">
        <v>44999.6862684375</v>
      </c>
      <c r="Q110" t="n">
        <v>11</v>
      </c>
      <c r="R110" t="inlineStr">
        <is>
          <t>QUILLOTA 220</t>
        </is>
      </c>
      <c r="S110" t="n">
        <v>60.54887888541901</v>
      </c>
      <c r="T110" t="n">
        <v>5285.288263251087</v>
      </c>
      <c r="U110" t="n">
        <v>0</v>
      </c>
      <c r="V110" t="n">
        <v>0</v>
      </c>
      <c r="W110" t="inlineStr">
        <is>
          <t>CHILQUINTA</t>
        </is>
      </c>
      <c r="X110" t="n">
        <v>92.861291440344</v>
      </c>
      <c r="Y110" t="n">
        <v>5.285288263251087</v>
      </c>
      <c r="Z110" t="n">
        <v>5622.647088564987</v>
      </c>
      <c r="AA110" t="n">
        <v>0</v>
      </c>
      <c r="AB110" t="n">
        <v>0</v>
      </c>
      <c r="AC110" t="n">
        <v>0</v>
      </c>
      <c r="AD110" s="2" t="n">
        <v>44501</v>
      </c>
    </row>
    <row r="111">
      <c r="A111" t="n">
        <v>-1</v>
      </c>
      <c r="B111" t="inlineStr">
        <is>
          <t>01-11-2021</t>
        </is>
      </c>
      <c r="C111" t="n">
        <v>2021</v>
      </c>
      <c r="D111" t="n">
        <v>11</v>
      </c>
      <c r="E111" t="inlineStr">
        <is>
          <t>Con Con 012</t>
        </is>
      </c>
      <c r="F111" t="inlineStr">
        <is>
          <t>Chilquinta</t>
        </is>
      </c>
      <c r="G111" t="inlineStr">
        <is>
          <t>Chilquinta</t>
        </is>
      </c>
      <c r="H111" t="inlineStr">
        <is>
          <t>Empresa Eléctrica Carén S.A.</t>
        </is>
      </c>
      <c r="I111" t="inlineStr">
        <is>
          <t>Empresa Eléctrica Carén S.A.</t>
        </is>
      </c>
      <c r="J111" t="inlineStr">
        <is>
          <t>SIC 2013/03_2_BS1B_BB_CHILQUINTA_Empresa Eléctrica Carén S.A.</t>
        </is>
      </c>
      <c r="K111" t="inlineStr">
        <is>
          <t>Con Con 012</t>
        </is>
      </c>
      <c r="L111" t="inlineStr">
        <is>
          <t>-1</t>
        </is>
      </c>
      <c r="M111" t="n">
        <v>286.3538315938224</v>
      </c>
      <c r="N111" t="n">
        <v>0</v>
      </c>
      <c r="O111" t="inlineStr">
        <is>
          <t>3</t>
        </is>
      </c>
      <c r="P111" s="2" t="n">
        <v>44999.6862684375</v>
      </c>
      <c r="Q111" t="n">
        <v>31</v>
      </c>
      <c r="R111" t="inlineStr">
        <is>
          <t>LOS MAQUIS 220</t>
        </is>
      </c>
      <c r="S111" t="n">
        <v>56.34089155319482</v>
      </c>
      <c r="T111" t="n">
        <v>4917.974673498236</v>
      </c>
      <c r="U111" t="n">
        <v>0</v>
      </c>
      <c r="V111" t="n">
        <v>0</v>
      </c>
      <c r="W111" t="inlineStr">
        <is>
          <t>CHILQUINTA</t>
        </is>
      </c>
      <c r="X111" t="n">
        <v>92.861291440344</v>
      </c>
      <c r="Y111" t="n">
        <v>4.917974673498237</v>
      </c>
      <c r="Z111" t="n">
        <v>5231.887950530039</v>
      </c>
      <c r="AA111" t="n">
        <v>0</v>
      </c>
      <c r="AB111" t="n">
        <v>0</v>
      </c>
      <c r="AC111" t="n">
        <v>0</v>
      </c>
      <c r="AD111" s="2" t="n">
        <v>44501</v>
      </c>
    </row>
    <row r="112">
      <c r="A112" t="n">
        <v>-1</v>
      </c>
      <c r="B112" t="inlineStr">
        <is>
          <t>01-11-2021</t>
        </is>
      </c>
      <c r="C112" t="n">
        <v>2021</v>
      </c>
      <c r="D112" t="n">
        <v>11</v>
      </c>
      <c r="E112" t="inlineStr">
        <is>
          <t>Con Con 012</t>
        </is>
      </c>
      <c r="F112" t="inlineStr">
        <is>
          <t>Chilquinta</t>
        </is>
      </c>
      <c r="G112" t="inlineStr">
        <is>
          <t>Chilquinta</t>
        </is>
      </c>
      <c r="H112" t="inlineStr">
        <is>
          <t>Empresa Eléctrica Carén S.A.</t>
        </is>
      </c>
      <c r="I112" t="inlineStr">
        <is>
          <t>Empresa Eléctrica Carén S.A.</t>
        </is>
      </c>
      <c r="J112" t="inlineStr">
        <is>
          <t>SIC 2013/03_2_BS1B_BB_CHILQUINTA_Empresa Eléctrica Carén S.A.</t>
        </is>
      </c>
      <c r="K112" t="inlineStr">
        <is>
          <t>Con Con 012</t>
        </is>
      </c>
      <c r="L112" t="inlineStr">
        <is>
          <t>-1</t>
        </is>
      </c>
      <c r="M112" t="n">
        <v>286.3538315938224</v>
      </c>
      <c r="N112" t="n">
        <v>0</v>
      </c>
      <c r="O112" t="inlineStr">
        <is>
          <t>3</t>
        </is>
      </c>
      <c r="P112" s="2" t="n">
        <v>44999.6862684375</v>
      </c>
      <c r="Q112" t="n">
        <v>13</v>
      </c>
      <c r="R112" t="inlineStr">
        <is>
          <t>MELIPILLA 220</t>
        </is>
      </c>
      <c r="S112" t="n">
        <v>39.52259491672934</v>
      </c>
      <c r="T112" t="n">
        <v>3534.90842680285</v>
      </c>
      <c r="U112" t="n">
        <v>0</v>
      </c>
      <c r="V112" t="n">
        <v>0</v>
      </c>
      <c r="W112" t="inlineStr">
        <is>
          <t>CHILQUINTA</t>
        </is>
      </c>
      <c r="X112" t="n">
        <v>95.14913905578901</v>
      </c>
      <c r="Y112" t="n">
        <v>3.534908426802849</v>
      </c>
      <c r="Z112" t="n">
        <v>3760.5408795775</v>
      </c>
      <c r="AA112" t="n">
        <v>0</v>
      </c>
      <c r="AB112" t="n">
        <v>0</v>
      </c>
      <c r="AC112" t="n">
        <v>0</v>
      </c>
      <c r="AD112" s="2" t="n">
        <v>44501</v>
      </c>
    </row>
    <row r="113">
      <c r="A113" t="n">
        <v>-1</v>
      </c>
      <c r="B113" t="inlineStr">
        <is>
          <t>01-11-2021</t>
        </is>
      </c>
      <c r="C113" t="n">
        <v>2021</v>
      </c>
      <c r="D113" t="n">
        <v>11</v>
      </c>
      <c r="E113" t="inlineStr">
        <is>
          <t>Con Con 012</t>
        </is>
      </c>
      <c r="F113" t="inlineStr">
        <is>
          <t>Chilquinta</t>
        </is>
      </c>
      <c r="G113" t="inlineStr">
        <is>
          <t>Chilquinta</t>
        </is>
      </c>
      <c r="H113" t="inlineStr">
        <is>
          <t>Empresa Eléctrica Carén S.A.</t>
        </is>
      </c>
      <c r="I113" t="inlineStr">
        <is>
          <t>Empresa Eléctrica Carén S.A.</t>
        </is>
      </c>
      <c r="J113" t="inlineStr">
        <is>
          <t>SIC 2013/03_2_BS1B_BB_CHILQUINTA_Empresa Eléctrica Carén S.A.</t>
        </is>
      </c>
      <c r="K113" t="inlineStr">
        <is>
          <t>Con Con 012</t>
        </is>
      </c>
      <c r="L113" t="inlineStr">
        <is>
          <t>-1</t>
        </is>
      </c>
      <c r="M113" t="n">
        <v>286.3538315938224</v>
      </c>
      <c r="N113" t="n">
        <v>0</v>
      </c>
      <c r="O113" t="inlineStr">
        <is>
          <t>3</t>
        </is>
      </c>
      <c r="P113" s="2" t="n">
        <v>44999.6862684375</v>
      </c>
      <c r="Q113" t="n">
        <v>5</v>
      </c>
      <c r="R113" t="inlineStr">
        <is>
          <t>NOGALES 220</t>
        </is>
      </c>
      <c r="S113" t="n">
        <v>9.438187495840914</v>
      </c>
      <c r="T113" t="n">
        <v>842.7091954016847</v>
      </c>
      <c r="U113" t="n">
        <v>0</v>
      </c>
      <c r="V113" t="n">
        <v>0</v>
      </c>
      <c r="W113" t="inlineStr">
        <is>
          <t>CHILQUINTA</t>
        </is>
      </c>
      <c r="X113" t="n">
        <v>94.986367291326</v>
      </c>
      <c r="Y113" t="n">
        <v>0.8427091954016848</v>
      </c>
      <c r="Z113" t="n">
        <v>896.4991440443455</v>
      </c>
      <c r="AA113" t="n">
        <v>0</v>
      </c>
      <c r="AB113" t="n">
        <v>0</v>
      </c>
      <c r="AC113" t="n">
        <v>0</v>
      </c>
      <c r="AD113" s="2" t="n">
        <v>44501</v>
      </c>
    </row>
    <row r="114">
      <c r="A114" t="n">
        <v>-1</v>
      </c>
      <c r="B114" t="inlineStr">
        <is>
          <t>01-11-2021</t>
        </is>
      </c>
      <c r="C114" t="n">
        <v>2021</v>
      </c>
      <c r="D114" t="n">
        <v>11</v>
      </c>
      <c r="E114" t="inlineStr">
        <is>
          <t>Con Con 012</t>
        </is>
      </c>
      <c r="F114" t="inlineStr">
        <is>
          <t>Chilquinta</t>
        </is>
      </c>
      <c r="G114" t="inlineStr">
        <is>
          <t>Chilquinta</t>
        </is>
      </c>
      <c r="H114" t="inlineStr">
        <is>
          <t>Empresa Eléctrica Carén S.A.</t>
        </is>
      </c>
      <c r="I114" t="inlineStr">
        <is>
          <t>Empresa Eléctrica Carén S.A.</t>
        </is>
      </c>
      <c r="J114" t="inlineStr">
        <is>
          <t>SIC 2013/03_2_BS1B_BB_CHILQUINTA_Empresa Eléctrica Carén S.A.</t>
        </is>
      </c>
      <c r="K114" t="inlineStr">
        <is>
          <t>Con Con 012</t>
        </is>
      </c>
      <c r="L114" t="inlineStr">
        <is>
          <t>-1</t>
        </is>
      </c>
      <c r="M114" t="n">
        <v>286.3538315938224</v>
      </c>
      <c r="N114" t="n">
        <v>0</v>
      </c>
      <c r="O114" t="inlineStr">
        <is>
          <t>3</t>
        </is>
      </c>
      <c r="P114" s="2" t="n">
        <v>44999.6862684375</v>
      </c>
      <c r="Q114" t="n">
        <v>11</v>
      </c>
      <c r="R114" t="inlineStr">
        <is>
          <t>QUILLOTA 220</t>
        </is>
      </c>
      <c r="S114" t="n">
        <v>188.2375460669292</v>
      </c>
      <c r="T114" t="n">
        <v>16431.18272781611</v>
      </c>
      <c r="U114" t="n">
        <v>0</v>
      </c>
      <c r="V114" t="n">
        <v>0</v>
      </c>
      <c r="W114" t="inlineStr">
        <is>
          <t>CHILQUINTA</t>
        </is>
      </c>
      <c r="X114" t="n">
        <v>92.861291440344</v>
      </c>
      <c r="Y114" t="n">
        <v>16.43118272781611</v>
      </c>
      <c r="Z114" t="n">
        <v>17479.98162533629</v>
      </c>
      <c r="AA114" t="n">
        <v>0</v>
      </c>
      <c r="AB114" t="n">
        <v>0</v>
      </c>
      <c r="AC114" t="n">
        <v>0</v>
      </c>
      <c r="AD114" s="2" t="n">
        <v>44501</v>
      </c>
    </row>
    <row r="115">
      <c r="A115" t="n">
        <v>-1</v>
      </c>
      <c r="B115" t="inlineStr">
        <is>
          <t>01-11-2021</t>
        </is>
      </c>
      <c r="C115" t="n">
        <v>2021</v>
      </c>
      <c r="D115" t="n">
        <v>11</v>
      </c>
      <c r="E115" t="inlineStr">
        <is>
          <t>El Melon 012</t>
        </is>
      </c>
      <c r="F115" t="inlineStr">
        <is>
          <t>Chilquinta</t>
        </is>
      </c>
      <c r="G115" t="inlineStr">
        <is>
          <t>Chilquinta</t>
        </is>
      </c>
      <c r="H115" t="inlineStr">
        <is>
          <t>Empresa Eléctrica Carén S.A.</t>
        </is>
      </c>
      <c r="I115" t="inlineStr">
        <is>
          <t>Empresa Eléctrica Carén S.A.</t>
        </is>
      </c>
      <c r="J115" t="inlineStr">
        <is>
          <t>SIC 2013/03_2_BS1B_BB_CHILQUINTA_Empresa Eléctrica Carén S.A.</t>
        </is>
      </c>
      <c r="K115" t="inlineStr">
        <is>
          <t>El Melon 012</t>
        </is>
      </c>
      <c r="L115" t="inlineStr">
        <is>
          <t>-1</t>
        </is>
      </c>
      <c r="M115" t="n">
        <v>195.6567155869162</v>
      </c>
      <c r="N115" t="n">
        <v>0</v>
      </c>
      <c r="O115" t="inlineStr">
        <is>
          <t>3</t>
        </is>
      </c>
      <c r="P115" s="2" t="n">
        <v>44999.6862684375</v>
      </c>
      <c r="Q115" t="n">
        <v>31</v>
      </c>
      <c r="R115" t="inlineStr">
        <is>
          <t>LOS MAQUIS 220</t>
        </is>
      </c>
      <c r="S115" t="n">
        <v>117.2495415776439</v>
      </c>
      <c r="T115" t="n">
        <v>10234.66722058702</v>
      </c>
      <c r="U115" t="n">
        <v>0</v>
      </c>
      <c r="V115" t="n">
        <v>0</v>
      </c>
      <c r="W115" t="inlineStr">
        <is>
          <t>CHILQUINTA</t>
        </is>
      </c>
      <c r="X115" t="n">
        <v>92.86129144034402</v>
      </c>
      <c r="Y115" t="n">
        <v>10.23466722058702</v>
      </c>
      <c r="Z115" t="n">
        <v>10887.94385168832</v>
      </c>
      <c r="AA115" t="n">
        <v>0</v>
      </c>
      <c r="AB115" t="n">
        <v>0</v>
      </c>
      <c r="AC115" t="n">
        <v>0</v>
      </c>
      <c r="AD115" s="2" t="n">
        <v>44501</v>
      </c>
    </row>
    <row r="116">
      <c r="A116" t="n">
        <v>-1</v>
      </c>
      <c r="B116" t="inlineStr">
        <is>
          <t>01-11-2021</t>
        </is>
      </c>
      <c r="C116" t="n">
        <v>2021</v>
      </c>
      <c r="D116" t="n">
        <v>11</v>
      </c>
      <c r="E116" t="inlineStr">
        <is>
          <t>El Melon 012</t>
        </is>
      </c>
      <c r="F116" t="inlineStr">
        <is>
          <t>Chilquinta</t>
        </is>
      </c>
      <c r="G116" t="inlineStr">
        <is>
          <t>Chilquinta</t>
        </is>
      </c>
      <c r="H116" t="inlineStr">
        <is>
          <t>Empresa Eléctrica Carén S.A.</t>
        </is>
      </c>
      <c r="I116" t="inlineStr">
        <is>
          <t>Empresa Eléctrica Carén S.A.</t>
        </is>
      </c>
      <c r="J116" t="inlineStr">
        <is>
          <t>SIC 2013/03_2_BS1B_BB_CHILQUINTA_Empresa Eléctrica Carén S.A.</t>
        </is>
      </c>
      <c r="K116" t="inlineStr">
        <is>
          <t>El Melon 012</t>
        </is>
      </c>
      <c r="L116" t="inlineStr">
        <is>
          <t>-1</t>
        </is>
      </c>
      <c r="M116" t="n">
        <v>195.6567155869162</v>
      </c>
      <c r="N116" t="n">
        <v>0</v>
      </c>
      <c r="O116" t="inlineStr">
        <is>
          <t>3</t>
        </is>
      </c>
      <c r="P116" s="2" t="n">
        <v>44999.6862684375</v>
      </c>
      <c r="Q116" t="n">
        <v>13</v>
      </c>
      <c r="R116" t="inlineStr">
        <is>
          <t>MELIPILLA 220</t>
        </is>
      </c>
      <c r="S116" t="n">
        <v>6.149097152235536</v>
      </c>
      <c r="T116" t="n">
        <v>549.9764220052783</v>
      </c>
      <c r="U116" t="n">
        <v>0</v>
      </c>
      <c r="V116" t="n">
        <v>0</v>
      </c>
      <c r="W116" t="inlineStr">
        <is>
          <t>CHILQUINTA</t>
        </is>
      </c>
      <c r="X116" t="n">
        <v>95.14913905578901</v>
      </c>
      <c r="Y116" t="n">
        <v>0.5499764220052783</v>
      </c>
      <c r="Z116" t="n">
        <v>585.0813000056153</v>
      </c>
      <c r="AA116" t="n">
        <v>0</v>
      </c>
      <c r="AB116" t="n">
        <v>0</v>
      </c>
      <c r="AC116" t="n">
        <v>0</v>
      </c>
      <c r="AD116" s="2" t="n">
        <v>44501</v>
      </c>
    </row>
    <row r="117">
      <c r="A117" t="n">
        <v>-1</v>
      </c>
      <c r="B117" t="inlineStr">
        <is>
          <t>01-11-2021</t>
        </is>
      </c>
      <c r="C117" t="n">
        <v>2021</v>
      </c>
      <c r="D117" t="n">
        <v>11</v>
      </c>
      <c r="E117" t="inlineStr">
        <is>
          <t>El Melon 012</t>
        </is>
      </c>
      <c r="F117" t="inlineStr">
        <is>
          <t>Chilquinta</t>
        </is>
      </c>
      <c r="G117" t="inlineStr">
        <is>
          <t>Chilquinta</t>
        </is>
      </c>
      <c r="H117" t="inlineStr">
        <is>
          <t>Empresa Eléctrica Carén S.A.</t>
        </is>
      </c>
      <c r="I117" t="inlineStr">
        <is>
          <t>Empresa Eléctrica Carén S.A.</t>
        </is>
      </c>
      <c r="J117" t="inlineStr">
        <is>
          <t>SIC 2013/03_2_BS1B_BB_CHILQUINTA_Empresa Eléctrica Carén S.A.</t>
        </is>
      </c>
      <c r="K117" t="inlineStr">
        <is>
          <t>El Melon 012</t>
        </is>
      </c>
      <c r="L117" t="inlineStr">
        <is>
          <t>-1</t>
        </is>
      </c>
      <c r="M117" t="n">
        <v>195.6567155869162</v>
      </c>
      <c r="N117" t="n">
        <v>0</v>
      </c>
      <c r="O117" t="inlineStr">
        <is>
          <t>3</t>
        </is>
      </c>
      <c r="P117" s="2" t="n">
        <v>44999.6862684375</v>
      </c>
      <c r="Q117" t="n">
        <v>5</v>
      </c>
      <c r="R117" t="inlineStr">
        <is>
          <t>NOGALES 220</t>
        </is>
      </c>
      <c r="S117" t="n">
        <v>1.755955354239501</v>
      </c>
      <c r="T117" t="n">
        <v>156.7843110114659</v>
      </c>
      <c r="U117" t="n">
        <v>0</v>
      </c>
      <c r="V117" t="n">
        <v>0</v>
      </c>
      <c r="W117" t="inlineStr">
        <is>
          <t>CHILQUINTA</t>
        </is>
      </c>
      <c r="X117" t="n">
        <v>94.986367291326</v>
      </c>
      <c r="Y117" t="n">
        <v>0.1567843110114659</v>
      </c>
      <c r="Z117" t="n">
        <v>166.7918202249637</v>
      </c>
      <c r="AA117" t="n">
        <v>0</v>
      </c>
      <c r="AB117" t="n">
        <v>0</v>
      </c>
      <c r="AC117" t="n">
        <v>0</v>
      </c>
      <c r="AD117" s="2" t="n">
        <v>44501</v>
      </c>
    </row>
    <row r="118">
      <c r="A118" t="n">
        <v>-1</v>
      </c>
      <c r="B118" t="inlineStr">
        <is>
          <t>01-11-2021</t>
        </is>
      </c>
      <c r="C118" t="n">
        <v>2021</v>
      </c>
      <c r="D118" t="n">
        <v>11</v>
      </c>
      <c r="E118" t="inlineStr">
        <is>
          <t>El Melon 012</t>
        </is>
      </c>
      <c r="F118" t="inlineStr">
        <is>
          <t>Chilquinta</t>
        </is>
      </c>
      <c r="G118" t="inlineStr">
        <is>
          <t>Chilquinta</t>
        </is>
      </c>
      <c r="H118" t="inlineStr">
        <is>
          <t>Empresa Eléctrica Carén S.A.</t>
        </is>
      </c>
      <c r="I118" t="inlineStr">
        <is>
          <t>Empresa Eléctrica Carén S.A.</t>
        </is>
      </c>
      <c r="J118" t="inlineStr">
        <is>
          <t>SIC 2013/03_2_BS1B_BB_CHILQUINTA_Empresa Eléctrica Carén S.A.</t>
        </is>
      </c>
      <c r="K118" t="inlineStr">
        <is>
          <t>El Melon 012</t>
        </is>
      </c>
      <c r="L118" t="inlineStr">
        <is>
          <t>-1</t>
        </is>
      </c>
      <c r="M118" t="n">
        <v>195.6567155869162</v>
      </c>
      <c r="N118" t="n">
        <v>0</v>
      </c>
      <c r="O118" t="inlineStr">
        <is>
          <t>3</t>
        </is>
      </c>
      <c r="P118" s="2" t="n">
        <v>44999.6862684375</v>
      </c>
      <c r="Q118" t="n">
        <v>11</v>
      </c>
      <c r="R118" t="inlineStr">
        <is>
          <t>QUILLOTA 220</t>
        </is>
      </c>
      <c r="S118" t="n">
        <v>75.41167516352844</v>
      </c>
      <c r="T118" t="n">
        <v>6582.656012643068</v>
      </c>
      <c r="U118" t="n">
        <v>0</v>
      </c>
      <c r="V118" t="n">
        <v>0</v>
      </c>
      <c r="W118" t="inlineStr">
        <is>
          <t>CHILQUINTA</t>
        </is>
      </c>
      <c r="X118" t="n">
        <v>92.86129144034402</v>
      </c>
      <c r="Y118" t="n">
        <v>6.582656012643069</v>
      </c>
      <c r="Z118" t="n">
        <v>7002.825545364966</v>
      </c>
      <c r="AA118" t="n">
        <v>0</v>
      </c>
      <c r="AB118" t="n">
        <v>0</v>
      </c>
      <c r="AC118" t="n">
        <v>0</v>
      </c>
      <c r="AD118" s="2" t="n">
        <v>44501</v>
      </c>
    </row>
    <row r="119">
      <c r="A119" t="n">
        <v>-1</v>
      </c>
      <c r="B119" t="inlineStr">
        <is>
          <t>01-11-2021</t>
        </is>
      </c>
      <c r="C119" t="n">
        <v>2021</v>
      </c>
      <c r="D119" t="n">
        <v>11</v>
      </c>
      <c r="E119" t="inlineStr">
        <is>
          <t>Juncal 012</t>
        </is>
      </c>
      <c r="F119" t="inlineStr">
        <is>
          <t>Chilquinta</t>
        </is>
      </c>
      <c r="G119" t="inlineStr">
        <is>
          <t>Chilquinta</t>
        </is>
      </c>
      <c r="H119" t="inlineStr">
        <is>
          <t>Empresa Eléctrica Carén S.A.</t>
        </is>
      </c>
      <c r="I119" t="inlineStr">
        <is>
          <t>Empresa Eléctrica Carén S.A.</t>
        </is>
      </c>
      <c r="J119" t="inlineStr">
        <is>
          <t>SIC 2013/03_2_BS1B_BB_CHILQUINTA_Empresa Eléctrica Carén S.A.</t>
        </is>
      </c>
      <c r="K119" t="inlineStr">
        <is>
          <t>Juncal 012</t>
        </is>
      </c>
      <c r="L119" t="inlineStr">
        <is>
          <t>-1</t>
        </is>
      </c>
      <c r="M119" t="n">
        <v>12.51235363263384</v>
      </c>
      <c r="N119" t="n">
        <v>0</v>
      </c>
      <c r="O119" t="inlineStr">
        <is>
          <t>3</t>
        </is>
      </c>
      <c r="P119" s="2" t="n">
        <v>44999.6862684375</v>
      </c>
      <c r="Q119" t="n">
        <v>31</v>
      </c>
      <c r="R119" t="inlineStr">
        <is>
          <t>LOS MAQUIS 220</t>
        </is>
      </c>
      <c r="S119" t="n">
        <v>10.7933849357087</v>
      </c>
      <c r="T119" t="n">
        <v>942.1504042941044</v>
      </c>
      <c r="U119" t="n">
        <v>0</v>
      </c>
      <c r="V119" t="n">
        <v>0</v>
      </c>
      <c r="W119" t="inlineStr">
        <is>
          <t>CHILQUINTA</t>
        </is>
      </c>
      <c r="X119" t="n">
        <v>92.86129144034402</v>
      </c>
      <c r="Y119" t="n">
        <v>0.9421504042941045</v>
      </c>
      <c r="Z119" t="n">
        <v>1002.287664142664</v>
      </c>
      <c r="AA119" t="n">
        <v>0</v>
      </c>
      <c r="AB119" t="n">
        <v>0</v>
      </c>
      <c r="AC119" t="n">
        <v>0</v>
      </c>
      <c r="AD119" s="2" t="n">
        <v>44501</v>
      </c>
    </row>
    <row r="120">
      <c r="A120" t="n">
        <v>-1</v>
      </c>
      <c r="B120" t="inlineStr">
        <is>
          <t>01-11-2021</t>
        </is>
      </c>
      <c r="C120" t="n">
        <v>2021</v>
      </c>
      <c r="D120" t="n">
        <v>11</v>
      </c>
      <c r="E120" t="inlineStr">
        <is>
          <t>Juncal 012</t>
        </is>
      </c>
      <c r="F120" t="inlineStr">
        <is>
          <t>Chilquinta</t>
        </is>
      </c>
      <c r="G120" t="inlineStr">
        <is>
          <t>Chilquinta</t>
        </is>
      </c>
      <c r="H120" t="inlineStr">
        <is>
          <t>Empresa Eléctrica Carén S.A.</t>
        </is>
      </c>
      <c r="I120" t="inlineStr">
        <is>
          <t>Empresa Eléctrica Carén S.A.</t>
        </is>
      </c>
      <c r="J120" t="inlineStr">
        <is>
          <t>SIC 2013/03_2_BS1B_BB_CHILQUINTA_Empresa Eléctrica Carén S.A.</t>
        </is>
      </c>
      <c r="K120" t="inlineStr">
        <is>
          <t>Juncal 012</t>
        </is>
      </c>
      <c r="L120" t="inlineStr">
        <is>
          <t>-1</t>
        </is>
      </c>
      <c r="M120" t="n">
        <v>12.51235363263384</v>
      </c>
      <c r="N120" t="n">
        <v>0</v>
      </c>
      <c r="O120" t="inlineStr">
        <is>
          <t>3</t>
        </is>
      </c>
      <c r="P120" s="2" t="n">
        <v>44999.6862684375</v>
      </c>
      <c r="Q120" t="n">
        <v>5</v>
      </c>
      <c r="R120" t="inlineStr">
        <is>
          <t>NOGALES 220</t>
        </is>
      </c>
      <c r="S120" t="n">
        <v>0.02154199801781962</v>
      </c>
      <c r="T120" t="n">
        <v>1.923424367755053</v>
      </c>
      <c r="U120" t="n">
        <v>0</v>
      </c>
      <c r="V120" t="n">
        <v>0</v>
      </c>
      <c r="W120" t="inlineStr">
        <is>
          <t>CHILQUINTA</t>
        </is>
      </c>
      <c r="X120" t="n">
        <v>94.98636729132602</v>
      </c>
      <c r="Y120" t="n">
        <v>0.001923424367755053</v>
      </c>
      <c r="Z120" t="n">
        <v>2.046196135909631</v>
      </c>
      <c r="AA120" t="n">
        <v>0</v>
      </c>
      <c r="AB120" t="n">
        <v>0</v>
      </c>
      <c r="AC120" t="n">
        <v>0</v>
      </c>
      <c r="AD120" s="2" t="n">
        <v>44501</v>
      </c>
    </row>
    <row r="121">
      <c r="A121" t="n">
        <v>-1</v>
      </c>
      <c r="B121" t="inlineStr">
        <is>
          <t>01-11-2021</t>
        </is>
      </c>
      <c r="C121" t="n">
        <v>2021</v>
      </c>
      <c r="D121" t="n">
        <v>11</v>
      </c>
      <c r="E121" t="inlineStr">
        <is>
          <t>Juncal 012</t>
        </is>
      </c>
      <c r="F121" t="inlineStr">
        <is>
          <t>Chilquinta</t>
        </is>
      </c>
      <c r="G121" t="inlineStr">
        <is>
          <t>Chilquinta</t>
        </is>
      </c>
      <c r="H121" t="inlineStr">
        <is>
          <t>Empresa Eléctrica Carén S.A.</t>
        </is>
      </c>
      <c r="I121" t="inlineStr">
        <is>
          <t>Empresa Eléctrica Carén S.A.</t>
        </is>
      </c>
      <c r="J121" t="inlineStr">
        <is>
          <t>SIC 2013/03_2_BS1B_BB_CHILQUINTA_Empresa Eléctrica Carén S.A.</t>
        </is>
      </c>
      <c r="K121" t="inlineStr">
        <is>
          <t>Juncal 012</t>
        </is>
      </c>
      <c r="L121" t="inlineStr">
        <is>
          <t>-1</t>
        </is>
      </c>
      <c r="M121" t="n">
        <v>12.51235363263384</v>
      </c>
      <c r="N121" t="n">
        <v>0</v>
      </c>
      <c r="O121" t="inlineStr">
        <is>
          <t>3</t>
        </is>
      </c>
      <c r="P121" s="2" t="n">
        <v>44999.6862684375</v>
      </c>
      <c r="Q121" t="n">
        <v>11</v>
      </c>
      <c r="R121" t="inlineStr">
        <is>
          <t>QUILLOTA 220</t>
        </is>
      </c>
      <c r="S121" t="n">
        <v>2.011395332169857</v>
      </c>
      <c r="T121" t="n">
        <v>175.5739220538303</v>
      </c>
      <c r="U121" t="n">
        <v>0</v>
      </c>
      <c r="V121" t="n">
        <v>0</v>
      </c>
      <c r="W121" t="inlineStr">
        <is>
          <t>CHILQUINTA</t>
        </is>
      </c>
      <c r="X121" t="n">
        <v>92.86129144034402</v>
      </c>
      <c r="Y121" t="n">
        <v>0.1755739220538303</v>
      </c>
      <c r="Z121" t="n">
        <v>186.7807681423727</v>
      </c>
      <c r="AA121" t="n">
        <v>0</v>
      </c>
      <c r="AB121" t="n">
        <v>0</v>
      </c>
      <c r="AC121" t="n">
        <v>0</v>
      </c>
      <c r="AD121" s="2" t="n">
        <v>44501</v>
      </c>
    </row>
    <row r="122">
      <c r="A122" t="n">
        <v>-1</v>
      </c>
      <c r="B122" t="inlineStr">
        <is>
          <t>01-11-2021</t>
        </is>
      </c>
      <c r="C122" t="n">
        <v>2021</v>
      </c>
      <c r="D122" t="n">
        <v>11</v>
      </c>
      <c r="E122" t="inlineStr">
        <is>
          <t>La Calera 012</t>
        </is>
      </c>
      <c r="F122" t="inlineStr">
        <is>
          <t>Chilquinta</t>
        </is>
      </c>
      <c r="G122" t="inlineStr">
        <is>
          <t>Chilquinta</t>
        </is>
      </c>
      <c r="H122" t="inlineStr">
        <is>
          <t>Empresa Eléctrica Carén S.A.</t>
        </is>
      </c>
      <c r="I122" t="inlineStr">
        <is>
          <t>Empresa Eléctrica Carén S.A.</t>
        </is>
      </c>
      <c r="J122" t="inlineStr">
        <is>
          <t>SIC 2013/03_2_BS1B_BB_CHILQUINTA_Empresa Eléctrica Carén S.A.</t>
        </is>
      </c>
      <c r="K122" t="inlineStr">
        <is>
          <t>La Calera 012</t>
        </is>
      </c>
      <c r="L122" t="inlineStr">
        <is>
          <t>-1</t>
        </is>
      </c>
      <c r="M122" t="n">
        <v>796.1559380673858</v>
      </c>
      <c r="N122" t="n">
        <v>0</v>
      </c>
      <c r="O122" t="inlineStr">
        <is>
          <t>3</t>
        </is>
      </c>
      <c r="P122" s="2" t="n">
        <v>44999.6862684375</v>
      </c>
      <c r="Q122" t="n">
        <v>31</v>
      </c>
      <c r="R122" t="inlineStr">
        <is>
          <t>LOS MAQUIS 220</t>
        </is>
      </c>
      <c r="S122" t="n">
        <v>343.5004043881748</v>
      </c>
      <c r="T122" t="n">
        <v>29984.01769206034</v>
      </c>
      <c r="U122" t="n">
        <v>0</v>
      </c>
      <c r="V122" t="n">
        <v>0</v>
      </c>
      <c r="W122" t="inlineStr">
        <is>
          <t>CHILQUINTA</t>
        </is>
      </c>
      <c r="X122" t="n">
        <v>92.861291440344</v>
      </c>
      <c r="Y122" t="n">
        <v>29.98401769206034</v>
      </c>
      <c r="Z122" t="n">
        <v>31897.89116176632</v>
      </c>
      <c r="AA122" t="n">
        <v>0</v>
      </c>
      <c r="AB122" t="n">
        <v>0</v>
      </c>
      <c r="AC122" t="n">
        <v>0</v>
      </c>
      <c r="AD122" s="2" t="n">
        <v>44501</v>
      </c>
    </row>
    <row r="123">
      <c r="A123" t="n">
        <v>-1</v>
      </c>
      <c r="B123" t="inlineStr">
        <is>
          <t>01-11-2021</t>
        </is>
      </c>
      <c r="C123" t="n">
        <v>2021</v>
      </c>
      <c r="D123" t="n">
        <v>11</v>
      </c>
      <c r="E123" t="inlineStr">
        <is>
          <t>La Calera 012</t>
        </is>
      </c>
      <c r="F123" t="inlineStr">
        <is>
          <t>Chilquinta</t>
        </is>
      </c>
      <c r="G123" t="inlineStr">
        <is>
          <t>Chilquinta</t>
        </is>
      </c>
      <c r="H123" t="inlineStr">
        <is>
          <t>Empresa Eléctrica Carén S.A.</t>
        </is>
      </c>
      <c r="I123" t="inlineStr">
        <is>
          <t>Empresa Eléctrica Carén S.A.</t>
        </is>
      </c>
      <c r="J123" t="inlineStr">
        <is>
          <t>SIC 2013/03_2_BS1B_BB_CHILQUINTA_Empresa Eléctrica Carén S.A.</t>
        </is>
      </c>
      <c r="K123" t="inlineStr">
        <is>
          <t>La Calera 012</t>
        </is>
      </c>
      <c r="L123" t="inlineStr">
        <is>
          <t>-1</t>
        </is>
      </c>
      <c r="M123" t="n">
        <v>796.1559380673858</v>
      </c>
      <c r="N123" t="n">
        <v>0</v>
      </c>
      <c r="O123" t="inlineStr">
        <is>
          <t>3</t>
        </is>
      </c>
      <c r="P123" s="2" t="n">
        <v>44999.6862684375</v>
      </c>
      <c r="Q123" t="n">
        <v>13</v>
      </c>
      <c r="R123" t="inlineStr">
        <is>
          <t>MELIPILLA 220</t>
        </is>
      </c>
      <c r="S123" t="n">
        <v>31.65236757814576</v>
      </c>
      <c r="T123" t="n">
        <v>2830.993792689663</v>
      </c>
      <c r="U123" t="n">
        <v>0</v>
      </c>
      <c r="V123" t="n">
        <v>0</v>
      </c>
      <c r="W123" t="inlineStr">
        <is>
          <t>CHILQUINTA</t>
        </is>
      </c>
      <c r="X123" t="n">
        <v>95.14913905578902</v>
      </c>
      <c r="Y123" t="n">
        <v>2.830993792689663</v>
      </c>
      <c r="Z123" t="n">
        <v>3011.695524137939</v>
      </c>
      <c r="AA123" t="n">
        <v>0</v>
      </c>
      <c r="AB123" t="n">
        <v>0</v>
      </c>
      <c r="AC123" t="n">
        <v>0</v>
      </c>
      <c r="AD123" s="2" t="n">
        <v>44501</v>
      </c>
    </row>
    <row r="124">
      <c r="A124" t="n">
        <v>-1</v>
      </c>
      <c r="B124" t="inlineStr">
        <is>
          <t>01-11-2021</t>
        </is>
      </c>
      <c r="C124" t="n">
        <v>2021</v>
      </c>
      <c r="D124" t="n">
        <v>11</v>
      </c>
      <c r="E124" t="inlineStr">
        <is>
          <t>La Calera 012</t>
        </is>
      </c>
      <c r="F124" t="inlineStr">
        <is>
          <t>Chilquinta</t>
        </is>
      </c>
      <c r="G124" t="inlineStr">
        <is>
          <t>Chilquinta</t>
        </is>
      </c>
      <c r="H124" t="inlineStr">
        <is>
          <t>Empresa Eléctrica Carén S.A.</t>
        </is>
      </c>
      <c r="I124" t="inlineStr">
        <is>
          <t>Empresa Eléctrica Carén S.A.</t>
        </is>
      </c>
      <c r="J124" t="inlineStr">
        <is>
          <t>SIC 2013/03_2_BS1B_BB_CHILQUINTA_Empresa Eléctrica Carén S.A.</t>
        </is>
      </c>
      <c r="K124" t="inlineStr">
        <is>
          <t>La Calera 012</t>
        </is>
      </c>
      <c r="L124" t="inlineStr">
        <is>
          <t>-1</t>
        </is>
      </c>
      <c r="M124" t="n">
        <v>796.1559380673858</v>
      </c>
      <c r="N124" t="n">
        <v>0</v>
      </c>
      <c r="O124" t="inlineStr">
        <is>
          <t>3</t>
        </is>
      </c>
      <c r="P124" s="2" t="n">
        <v>44999.6862684375</v>
      </c>
      <c r="Q124" t="n">
        <v>5</v>
      </c>
      <c r="R124" t="inlineStr">
        <is>
          <t>NOGALES 220</t>
        </is>
      </c>
      <c r="S124" t="n">
        <v>9.722316601730338</v>
      </c>
      <c r="T124" t="n">
        <v>868.0782835152434</v>
      </c>
      <c r="U124" t="n">
        <v>0</v>
      </c>
      <c r="V124" t="n">
        <v>0</v>
      </c>
      <c r="W124" t="inlineStr">
        <is>
          <t>CHILQUINTA</t>
        </is>
      </c>
      <c r="X124" t="n">
        <v>94.986367291326</v>
      </c>
      <c r="Y124" t="n">
        <v>0.8680782835152434</v>
      </c>
      <c r="Z124" t="n">
        <v>923.4875356545143</v>
      </c>
      <c r="AA124" t="n">
        <v>0</v>
      </c>
      <c r="AB124" t="n">
        <v>0</v>
      </c>
      <c r="AC124" t="n">
        <v>0</v>
      </c>
      <c r="AD124" s="2" t="n">
        <v>44501</v>
      </c>
    </row>
    <row r="125">
      <c r="A125" t="n">
        <v>-1</v>
      </c>
      <c r="B125" t="inlineStr">
        <is>
          <t>01-11-2021</t>
        </is>
      </c>
      <c r="C125" t="n">
        <v>2021</v>
      </c>
      <c r="D125" t="n">
        <v>11</v>
      </c>
      <c r="E125" t="inlineStr">
        <is>
          <t>La Calera 012</t>
        </is>
      </c>
      <c r="F125" t="inlineStr">
        <is>
          <t>Chilquinta</t>
        </is>
      </c>
      <c r="G125" t="inlineStr">
        <is>
          <t>Chilquinta</t>
        </is>
      </c>
      <c r="H125" t="inlineStr">
        <is>
          <t>Empresa Eléctrica Carén S.A.</t>
        </is>
      </c>
      <c r="I125" t="inlineStr">
        <is>
          <t>Empresa Eléctrica Carén S.A.</t>
        </is>
      </c>
      <c r="J125" t="inlineStr">
        <is>
          <t>SIC 2013/03_2_BS1B_BB_CHILQUINTA_Empresa Eléctrica Carén S.A.</t>
        </is>
      </c>
      <c r="K125" t="inlineStr">
        <is>
          <t>La Calera 012</t>
        </is>
      </c>
      <c r="L125" t="inlineStr">
        <is>
          <t>-1</t>
        </is>
      </c>
      <c r="M125" t="n">
        <v>796.1559380673858</v>
      </c>
      <c r="N125" t="n">
        <v>0</v>
      </c>
      <c r="O125" t="inlineStr">
        <is>
          <t>3</t>
        </is>
      </c>
      <c r="P125" s="2" t="n">
        <v>44999.6862684375</v>
      </c>
      <c r="Q125" t="n">
        <v>11</v>
      </c>
      <c r="R125" t="inlineStr">
        <is>
          <t>QUILLOTA 220</t>
        </is>
      </c>
      <c r="S125" t="n">
        <v>431.2585450694894</v>
      </c>
      <c r="T125" t="n">
        <v>37644.39191344639</v>
      </c>
      <c r="U125" t="n">
        <v>0</v>
      </c>
      <c r="V125" t="n">
        <v>0</v>
      </c>
      <c r="W125" t="inlineStr">
        <is>
          <t>CHILQUINTA</t>
        </is>
      </c>
      <c r="X125" t="n">
        <v>92.86129144034402</v>
      </c>
      <c r="Y125" t="n">
        <v>37.6443919134464</v>
      </c>
      <c r="Z125" t="n">
        <v>40047.22543983658</v>
      </c>
      <c r="AA125" t="n">
        <v>0</v>
      </c>
      <c r="AB125" t="n">
        <v>0</v>
      </c>
      <c r="AC125" t="n">
        <v>0</v>
      </c>
      <c r="AD125" s="2" t="n">
        <v>44501</v>
      </c>
    </row>
    <row r="126">
      <c r="A126" t="n">
        <v>-1</v>
      </c>
      <c r="B126" t="inlineStr">
        <is>
          <t>01-11-2021</t>
        </is>
      </c>
      <c r="C126" t="n">
        <v>2021</v>
      </c>
      <c r="D126" t="n">
        <v>11</v>
      </c>
      <c r="E126" t="inlineStr">
        <is>
          <t>Las Vegas 012</t>
        </is>
      </c>
      <c r="F126" t="inlineStr">
        <is>
          <t>Chilquinta</t>
        </is>
      </c>
      <c r="G126" t="inlineStr">
        <is>
          <t>Chilquinta</t>
        </is>
      </c>
      <c r="H126" t="inlineStr">
        <is>
          <t>Empresa Eléctrica Carén S.A.</t>
        </is>
      </c>
      <c r="I126" t="inlineStr">
        <is>
          <t>Empresa Eléctrica Carén S.A.</t>
        </is>
      </c>
      <c r="J126" t="inlineStr">
        <is>
          <t>SIC 2013/03_2_BS1B_BB_CHILQUINTA_Empresa Eléctrica Carén S.A.</t>
        </is>
      </c>
      <c r="K126" t="inlineStr">
        <is>
          <t>Las Vegas 012</t>
        </is>
      </c>
      <c r="L126" t="inlineStr">
        <is>
          <t>-1</t>
        </is>
      </c>
      <c r="M126" t="n">
        <v>523.6954626776092</v>
      </c>
      <c r="N126" t="n">
        <v>0</v>
      </c>
      <c r="O126" t="inlineStr">
        <is>
          <t>3</t>
        </is>
      </c>
      <c r="P126" s="2" t="n">
        <v>44999.6862684375</v>
      </c>
      <c r="Q126" t="n">
        <v>31</v>
      </c>
      <c r="R126" t="inlineStr">
        <is>
          <t>LOS MAQUIS 220</t>
        </is>
      </c>
      <c r="S126" t="n">
        <v>262.8600888259749</v>
      </c>
      <c r="T126" t="n">
        <v>22944.95567751335</v>
      </c>
      <c r="U126" t="n">
        <v>0</v>
      </c>
      <c r="V126" t="n">
        <v>0</v>
      </c>
      <c r="W126" t="inlineStr">
        <is>
          <t>CHILQUINTA</t>
        </is>
      </c>
      <c r="X126" t="n">
        <v>92.86129144034402</v>
      </c>
      <c r="Y126" t="n">
        <v>22.94495567751336</v>
      </c>
      <c r="Z126" t="n">
        <v>24409.52731650357</v>
      </c>
      <c r="AA126" t="n">
        <v>0</v>
      </c>
      <c r="AB126" t="n">
        <v>0</v>
      </c>
      <c r="AC126" t="n">
        <v>0</v>
      </c>
      <c r="AD126" s="2" t="n">
        <v>44501</v>
      </c>
    </row>
    <row r="127">
      <c r="A127" t="n">
        <v>-1</v>
      </c>
      <c r="B127" t="inlineStr">
        <is>
          <t>01-11-2021</t>
        </is>
      </c>
      <c r="C127" t="n">
        <v>2021</v>
      </c>
      <c r="D127" t="n">
        <v>11</v>
      </c>
      <c r="E127" t="inlineStr">
        <is>
          <t>Las Vegas 012</t>
        </is>
      </c>
      <c r="F127" t="inlineStr">
        <is>
          <t>Chilquinta</t>
        </is>
      </c>
      <c r="G127" t="inlineStr">
        <is>
          <t>Chilquinta</t>
        </is>
      </c>
      <c r="H127" t="inlineStr">
        <is>
          <t>Empresa Eléctrica Carén S.A.</t>
        </is>
      </c>
      <c r="I127" t="inlineStr">
        <is>
          <t>Empresa Eléctrica Carén S.A.</t>
        </is>
      </c>
      <c r="J127" t="inlineStr">
        <is>
          <t>SIC 2013/03_2_BS1B_BB_CHILQUINTA_Empresa Eléctrica Carén S.A.</t>
        </is>
      </c>
      <c r="K127" t="inlineStr">
        <is>
          <t>Las Vegas 012</t>
        </is>
      </c>
      <c r="L127" t="inlineStr">
        <is>
          <t>-1</t>
        </is>
      </c>
      <c r="M127" t="n">
        <v>523.6954626776092</v>
      </c>
      <c r="N127" t="n">
        <v>0</v>
      </c>
      <c r="O127" t="inlineStr">
        <is>
          <t>3</t>
        </is>
      </c>
      <c r="P127" s="2" t="n">
        <v>44999.6862684375</v>
      </c>
      <c r="Q127" t="n">
        <v>13</v>
      </c>
      <c r="R127" t="inlineStr">
        <is>
          <t>MELIPILLA 220</t>
        </is>
      </c>
      <c r="S127" t="n">
        <v>16.78748051995854</v>
      </c>
      <c r="T127" t="n">
        <v>1501.475459286491</v>
      </c>
      <c r="U127" t="n">
        <v>0</v>
      </c>
      <c r="V127" t="n">
        <v>0</v>
      </c>
      <c r="W127" t="inlineStr">
        <is>
          <t>CHILQUINTA</t>
        </is>
      </c>
      <c r="X127" t="n">
        <v>95.14913905578902</v>
      </c>
      <c r="Y127" t="n">
        <v>1.501475459286491</v>
      </c>
      <c r="Z127" t="n">
        <v>1597.314318389884</v>
      </c>
      <c r="AA127" t="n">
        <v>0</v>
      </c>
      <c r="AB127" t="n">
        <v>0</v>
      </c>
      <c r="AC127" t="n">
        <v>0</v>
      </c>
      <c r="AD127" s="2" t="n">
        <v>44501</v>
      </c>
    </row>
    <row r="128">
      <c r="A128" t="n">
        <v>-1</v>
      </c>
      <c r="B128" t="inlineStr">
        <is>
          <t>01-11-2021</t>
        </is>
      </c>
      <c r="C128" t="n">
        <v>2021</v>
      </c>
      <c r="D128" t="n">
        <v>11</v>
      </c>
      <c r="E128" t="inlineStr">
        <is>
          <t>Las Vegas 012</t>
        </is>
      </c>
      <c r="F128" t="inlineStr">
        <is>
          <t>Chilquinta</t>
        </is>
      </c>
      <c r="G128" t="inlineStr">
        <is>
          <t>Chilquinta</t>
        </is>
      </c>
      <c r="H128" t="inlineStr">
        <is>
          <t>Empresa Eléctrica Carén S.A.</t>
        </is>
      </c>
      <c r="I128" t="inlineStr">
        <is>
          <t>Empresa Eléctrica Carén S.A.</t>
        </is>
      </c>
      <c r="J128" t="inlineStr">
        <is>
          <t>SIC 2013/03_2_BS1B_BB_CHILQUINTA_Empresa Eléctrica Carén S.A.</t>
        </is>
      </c>
      <c r="K128" t="inlineStr">
        <is>
          <t>Las Vegas 012</t>
        </is>
      </c>
      <c r="L128" t="inlineStr">
        <is>
          <t>-1</t>
        </is>
      </c>
      <c r="M128" t="n">
        <v>523.6954626776092</v>
      </c>
      <c r="N128" t="n">
        <v>0</v>
      </c>
      <c r="O128" t="inlineStr">
        <is>
          <t>3</t>
        </is>
      </c>
      <c r="P128" s="2" t="n">
        <v>44999.6862684375</v>
      </c>
      <c r="Q128" t="n">
        <v>5</v>
      </c>
      <c r="R128" t="inlineStr">
        <is>
          <t>NOGALES 220</t>
        </is>
      </c>
      <c r="S128" t="n">
        <v>6.793257776093305</v>
      </c>
      <c r="T128" t="n">
        <v>606.5508655311759</v>
      </c>
      <c r="U128" t="n">
        <v>0</v>
      </c>
      <c r="V128" t="n">
        <v>0</v>
      </c>
      <c r="W128" t="inlineStr">
        <is>
          <t>CHILQUINTA</t>
        </is>
      </c>
      <c r="X128" t="n">
        <v>94.98636729132602</v>
      </c>
      <c r="Y128" t="n">
        <v>0.6065508655311759</v>
      </c>
      <c r="Z128" t="n">
        <v>645.2668782246552</v>
      </c>
      <c r="AA128" t="n">
        <v>0</v>
      </c>
      <c r="AB128" t="n">
        <v>0</v>
      </c>
      <c r="AC128" t="n">
        <v>0</v>
      </c>
      <c r="AD128" s="2" t="n">
        <v>44501</v>
      </c>
    </row>
    <row r="129">
      <c r="A129" t="n">
        <v>-1</v>
      </c>
      <c r="B129" t="inlineStr">
        <is>
          <t>01-11-2021</t>
        </is>
      </c>
      <c r="C129" t="n">
        <v>2021</v>
      </c>
      <c r="D129" t="n">
        <v>11</v>
      </c>
      <c r="E129" t="inlineStr">
        <is>
          <t>Las Vegas 012</t>
        </is>
      </c>
      <c r="F129" t="inlineStr">
        <is>
          <t>Chilquinta</t>
        </is>
      </c>
      <c r="G129" t="inlineStr">
        <is>
          <t>Chilquinta</t>
        </is>
      </c>
      <c r="H129" t="inlineStr">
        <is>
          <t>Empresa Eléctrica Carén S.A.</t>
        </is>
      </c>
      <c r="I129" t="inlineStr">
        <is>
          <t>Empresa Eléctrica Carén S.A.</t>
        </is>
      </c>
      <c r="J129" t="inlineStr">
        <is>
          <t>SIC 2013/03_2_BS1B_BB_CHILQUINTA_Empresa Eléctrica Carén S.A.</t>
        </is>
      </c>
      <c r="K129" t="inlineStr">
        <is>
          <t>Las Vegas 012</t>
        </is>
      </c>
      <c r="L129" t="inlineStr">
        <is>
          <t>-1</t>
        </is>
      </c>
      <c r="M129" t="n">
        <v>523.6954626776092</v>
      </c>
      <c r="N129" t="n">
        <v>0</v>
      </c>
      <c r="O129" t="inlineStr">
        <is>
          <t>3</t>
        </is>
      </c>
      <c r="P129" s="2" t="n">
        <v>44999.6862684375</v>
      </c>
      <c r="Q129" t="n">
        <v>11</v>
      </c>
      <c r="R129" t="inlineStr">
        <is>
          <t>QUILLOTA 220</t>
        </is>
      </c>
      <c r="S129" t="n">
        <v>250.3955643920118</v>
      </c>
      <c r="T129" t="n">
        <v>21856.93215155347</v>
      </c>
      <c r="U129" t="n">
        <v>0</v>
      </c>
      <c r="V129" t="n">
        <v>0</v>
      </c>
      <c r="W129" t="inlineStr">
        <is>
          <t>CHILQUINTA</t>
        </is>
      </c>
      <c r="X129" t="n">
        <v>92.861291440344</v>
      </c>
      <c r="Y129" t="n">
        <v>21.85693215155347</v>
      </c>
      <c r="Z129" t="n">
        <v>23252.05548037604</v>
      </c>
      <c r="AA129" t="n">
        <v>0</v>
      </c>
      <c r="AB129" t="n">
        <v>0</v>
      </c>
      <c r="AC129" t="n">
        <v>0</v>
      </c>
      <c r="AD129" s="2" t="n">
        <v>44501</v>
      </c>
    </row>
    <row r="130">
      <c r="A130" t="n">
        <v>-1</v>
      </c>
      <c r="B130" t="inlineStr">
        <is>
          <t>01-11-2021</t>
        </is>
      </c>
      <c r="C130" t="n">
        <v>2021</v>
      </c>
      <c r="D130" t="n">
        <v>11</v>
      </c>
      <c r="E130" t="inlineStr">
        <is>
          <t>Mayaca 012</t>
        </is>
      </c>
      <c r="F130" t="inlineStr">
        <is>
          <t>Chilquinta</t>
        </is>
      </c>
      <c r="G130" t="inlineStr">
        <is>
          <t>Chilquinta</t>
        </is>
      </c>
      <c r="H130" t="inlineStr">
        <is>
          <t>Empresa Eléctrica Carén S.A.</t>
        </is>
      </c>
      <c r="I130" t="inlineStr">
        <is>
          <t>Empresa Eléctrica Carén S.A.</t>
        </is>
      </c>
      <c r="J130" t="inlineStr">
        <is>
          <t>SIC 2013/03_2_BS1B_BB_CHILQUINTA_Empresa Eléctrica Carén S.A.</t>
        </is>
      </c>
      <c r="K130" t="inlineStr">
        <is>
          <t>Mayaca 012</t>
        </is>
      </c>
      <c r="L130" t="inlineStr">
        <is>
          <t>-1</t>
        </is>
      </c>
      <c r="M130" t="n">
        <v>608.0318754554631</v>
      </c>
      <c r="N130" t="n">
        <v>0</v>
      </c>
      <c r="O130" t="inlineStr">
        <is>
          <t>3</t>
        </is>
      </c>
      <c r="P130" s="2" t="n">
        <v>44999.6862684375</v>
      </c>
      <c r="Q130" t="n">
        <v>31</v>
      </c>
      <c r="R130" t="inlineStr">
        <is>
          <t>LOS MAQUIS 220</t>
        </is>
      </c>
      <c r="S130" t="n">
        <v>159.5088640760129</v>
      </c>
      <c r="T130" t="n">
        <v>13923.467167424</v>
      </c>
      <c r="U130" t="n">
        <v>0</v>
      </c>
      <c r="V130" t="n">
        <v>0</v>
      </c>
      <c r="W130" t="inlineStr">
        <is>
          <t>CHILQUINTA</t>
        </is>
      </c>
      <c r="X130" t="n">
        <v>92.86129144034402</v>
      </c>
      <c r="Y130" t="n">
        <v>13.923467167424</v>
      </c>
      <c r="Z130" t="n">
        <v>14812.19911428085</v>
      </c>
      <c r="AA130" t="n">
        <v>0</v>
      </c>
      <c r="AB130" t="n">
        <v>0</v>
      </c>
      <c r="AC130" t="n">
        <v>0</v>
      </c>
      <c r="AD130" s="2" t="n">
        <v>44501</v>
      </c>
    </row>
    <row r="131">
      <c r="A131" t="n">
        <v>-1</v>
      </c>
      <c r="B131" t="inlineStr">
        <is>
          <t>01-11-2021</t>
        </is>
      </c>
      <c r="C131" t="n">
        <v>2021</v>
      </c>
      <c r="D131" t="n">
        <v>11</v>
      </c>
      <c r="E131" t="inlineStr">
        <is>
          <t>Mayaca 012</t>
        </is>
      </c>
      <c r="F131" t="inlineStr">
        <is>
          <t>Chilquinta</t>
        </is>
      </c>
      <c r="G131" t="inlineStr">
        <is>
          <t>Chilquinta</t>
        </is>
      </c>
      <c r="H131" t="inlineStr">
        <is>
          <t>Empresa Eléctrica Carén S.A.</t>
        </is>
      </c>
      <c r="I131" t="inlineStr">
        <is>
          <t>Empresa Eléctrica Carén S.A.</t>
        </is>
      </c>
      <c r="J131" t="inlineStr">
        <is>
          <t>SIC 2013/03_2_BS1B_BB_CHILQUINTA_Empresa Eléctrica Carén S.A.</t>
        </is>
      </c>
      <c r="K131" t="inlineStr">
        <is>
          <t>Mayaca 012</t>
        </is>
      </c>
      <c r="L131" t="inlineStr">
        <is>
          <t>-1</t>
        </is>
      </c>
      <c r="M131" t="n">
        <v>608.0318754554631</v>
      </c>
      <c r="N131" t="n">
        <v>0</v>
      </c>
      <c r="O131" t="inlineStr">
        <is>
          <t>3</t>
        </is>
      </c>
      <c r="P131" s="2" t="n">
        <v>44999.6862684375</v>
      </c>
      <c r="Q131" t="n">
        <v>13</v>
      </c>
      <c r="R131" t="inlineStr">
        <is>
          <t>MELIPILLA 220</t>
        </is>
      </c>
      <c r="S131" t="n">
        <v>32.86113232392297</v>
      </c>
      <c r="T131" t="n">
        <v>2939.105942078452</v>
      </c>
      <c r="U131" t="n">
        <v>0</v>
      </c>
      <c r="V131" t="n">
        <v>0</v>
      </c>
      <c r="W131" t="inlineStr">
        <is>
          <t>CHILQUINTA</t>
        </is>
      </c>
      <c r="X131" t="n">
        <v>95.14913905578901</v>
      </c>
      <c r="Y131" t="n">
        <v>2.939105942078452</v>
      </c>
      <c r="Z131" t="n">
        <v>3126.70844901963</v>
      </c>
      <c r="AA131" t="n">
        <v>0</v>
      </c>
      <c r="AB131" t="n">
        <v>0</v>
      </c>
      <c r="AC131" t="n">
        <v>0</v>
      </c>
      <c r="AD131" s="2" t="n">
        <v>44501</v>
      </c>
    </row>
    <row r="132">
      <c r="A132" t="n">
        <v>-1</v>
      </c>
      <c r="B132" t="inlineStr">
        <is>
          <t>01-11-2021</t>
        </is>
      </c>
      <c r="C132" t="n">
        <v>2021</v>
      </c>
      <c r="D132" t="n">
        <v>11</v>
      </c>
      <c r="E132" t="inlineStr">
        <is>
          <t>Mayaca 012</t>
        </is>
      </c>
      <c r="F132" t="inlineStr">
        <is>
          <t>Chilquinta</t>
        </is>
      </c>
      <c r="G132" t="inlineStr">
        <is>
          <t>Chilquinta</t>
        </is>
      </c>
      <c r="H132" t="inlineStr">
        <is>
          <t>Empresa Eléctrica Carén S.A.</t>
        </is>
      </c>
      <c r="I132" t="inlineStr">
        <is>
          <t>Empresa Eléctrica Carén S.A.</t>
        </is>
      </c>
      <c r="J132" t="inlineStr">
        <is>
          <t>SIC 2013/03_2_BS1B_BB_CHILQUINTA_Empresa Eléctrica Carén S.A.</t>
        </is>
      </c>
      <c r="K132" t="inlineStr">
        <is>
          <t>Mayaca 012</t>
        </is>
      </c>
      <c r="L132" t="inlineStr">
        <is>
          <t>-1</t>
        </is>
      </c>
      <c r="M132" t="n">
        <v>608.0318754554631</v>
      </c>
      <c r="N132" t="n">
        <v>0</v>
      </c>
      <c r="O132" t="inlineStr">
        <is>
          <t>3</t>
        </is>
      </c>
      <c r="P132" s="2" t="n">
        <v>44999.6862684375</v>
      </c>
      <c r="Q132" t="n">
        <v>5</v>
      </c>
      <c r="R132" t="inlineStr">
        <is>
          <t>NOGALES 220</t>
        </is>
      </c>
      <c r="S132" t="n">
        <v>9.617420302105774</v>
      </c>
      <c r="T132" t="n">
        <v>858.7123881782221</v>
      </c>
      <c r="U132" t="n">
        <v>0</v>
      </c>
      <c r="V132" t="n">
        <v>0</v>
      </c>
      <c r="W132" t="inlineStr">
        <is>
          <t>CHILQUINTA</t>
        </is>
      </c>
      <c r="X132" t="n">
        <v>94.98636729132602</v>
      </c>
      <c r="Y132" t="n">
        <v>0.858712388178222</v>
      </c>
      <c r="Z132" t="n">
        <v>913.5238172108747</v>
      </c>
      <c r="AA132" t="n">
        <v>0</v>
      </c>
      <c r="AB132" t="n">
        <v>0</v>
      </c>
      <c r="AC132" t="n">
        <v>0</v>
      </c>
      <c r="AD132" s="2" t="n">
        <v>44501</v>
      </c>
    </row>
    <row r="133">
      <c r="A133" t="n">
        <v>-1</v>
      </c>
      <c r="B133" t="inlineStr">
        <is>
          <t>01-11-2021</t>
        </is>
      </c>
      <c r="C133" t="n">
        <v>2021</v>
      </c>
      <c r="D133" t="n">
        <v>11</v>
      </c>
      <c r="E133" t="inlineStr">
        <is>
          <t>Mayaca 012</t>
        </is>
      </c>
      <c r="F133" t="inlineStr">
        <is>
          <t>Chilquinta</t>
        </is>
      </c>
      <c r="G133" t="inlineStr">
        <is>
          <t>Chilquinta</t>
        </is>
      </c>
      <c r="H133" t="inlineStr">
        <is>
          <t>Empresa Eléctrica Carén S.A.</t>
        </is>
      </c>
      <c r="I133" t="inlineStr">
        <is>
          <t>Empresa Eléctrica Carén S.A.</t>
        </is>
      </c>
      <c r="J133" t="inlineStr">
        <is>
          <t>SIC 2013/03_2_BS1B_BB_CHILQUINTA_Empresa Eléctrica Carén S.A.</t>
        </is>
      </c>
      <c r="K133" t="inlineStr">
        <is>
          <t>Mayaca 012</t>
        </is>
      </c>
      <c r="L133" t="inlineStr">
        <is>
          <t>-1</t>
        </is>
      </c>
      <c r="M133" t="n">
        <v>608.0318754554631</v>
      </c>
      <c r="N133" t="n">
        <v>0</v>
      </c>
      <c r="O133" t="inlineStr">
        <is>
          <t>3</t>
        </is>
      </c>
      <c r="P133" s="2" t="n">
        <v>44999.6862684375</v>
      </c>
      <c r="Q133" t="n">
        <v>11</v>
      </c>
      <c r="R133" t="inlineStr">
        <is>
          <t>QUILLOTA 220</t>
        </is>
      </c>
      <c r="S133" t="n">
        <v>421.3016152023019</v>
      </c>
      <c r="T133" t="n">
        <v>36775.25534917331</v>
      </c>
      <c r="U133" t="n">
        <v>0</v>
      </c>
      <c r="V133" t="n">
        <v>0</v>
      </c>
      <c r="W133" t="inlineStr">
        <is>
          <t>CHILQUINTA</t>
        </is>
      </c>
      <c r="X133" t="n">
        <v>92.861291440344</v>
      </c>
      <c r="Y133" t="n">
        <v>36.7752553491733</v>
      </c>
      <c r="Z133" t="n">
        <v>39122.61207358862</v>
      </c>
      <c r="AA133" t="n">
        <v>0</v>
      </c>
      <c r="AB133" t="n">
        <v>0</v>
      </c>
      <c r="AC133" t="n">
        <v>0</v>
      </c>
      <c r="AD133" s="2" t="n">
        <v>44501</v>
      </c>
    </row>
    <row r="134">
      <c r="A134" t="n">
        <v>-1</v>
      </c>
      <c r="B134" t="inlineStr">
        <is>
          <t>01-11-2021</t>
        </is>
      </c>
      <c r="C134" t="n">
        <v>2021</v>
      </c>
      <c r="D134" t="n">
        <v>11</v>
      </c>
      <c r="E134" t="inlineStr">
        <is>
          <t>Miraflores 012</t>
        </is>
      </c>
      <c r="F134" t="inlineStr">
        <is>
          <t>Chilquinta</t>
        </is>
      </c>
      <c r="G134" t="inlineStr">
        <is>
          <t>Chilquinta</t>
        </is>
      </c>
      <c r="H134" t="inlineStr">
        <is>
          <t>Empresa Eléctrica Carén S.A.</t>
        </is>
      </c>
      <c r="I134" t="inlineStr">
        <is>
          <t>Empresa Eléctrica Carén S.A.</t>
        </is>
      </c>
      <c r="J134" t="inlineStr">
        <is>
          <t>SIC 2013/03_2_BS1B_BB_CHILQUINTA_Empresa Eléctrica Carén S.A.</t>
        </is>
      </c>
      <c r="K134" t="inlineStr">
        <is>
          <t>Miraflores 012</t>
        </is>
      </c>
      <c r="L134" t="inlineStr">
        <is>
          <t>-1</t>
        </is>
      </c>
      <c r="M134" t="n">
        <v>577.2838369311381</v>
      </c>
      <c r="N134" t="n">
        <v>0</v>
      </c>
      <c r="O134" t="inlineStr">
        <is>
          <t>3</t>
        </is>
      </c>
      <c r="P134" s="2" t="n">
        <v>44999.6862684375</v>
      </c>
      <c r="Q134" t="n">
        <v>31</v>
      </c>
      <c r="R134" t="inlineStr">
        <is>
          <t>LOS MAQUIS 220</t>
        </is>
      </c>
      <c r="S134" t="n">
        <v>115.1246321322262</v>
      </c>
      <c r="T134" t="n">
        <v>10049.18469540947</v>
      </c>
      <c r="U134" t="n">
        <v>0</v>
      </c>
      <c r="V134" t="n">
        <v>0</v>
      </c>
      <c r="W134" t="inlineStr">
        <is>
          <t>CHILQUINTA</t>
        </is>
      </c>
      <c r="X134" t="n">
        <v>92.861291440344</v>
      </c>
      <c r="Y134" t="n">
        <v>10.04918469540947</v>
      </c>
      <c r="Z134" t="n">
        <v>10690.62201639305</v>
      </c>
      <c r="AA134" t="n">
        <v>0</v>
      </c>
      <c r="AB134" t="n">
        <v>0</v>
      </c>
      <c r="AC134" t="n">
        <v>0</v>
      </c>
      <c r="AD134" s="2" t="n">
        <v>44501</v>
      </c>
    </row>
    <row r="135">
      <c r="A135" t="n">
        <v>-1</v>
      </c>
      <c r="B135" t="inlineStr">
        <is>
          <t>01-11-2021</t>
        </is>
      </c>
      <c r="C135" t="n">
        <v>2021</v>
      </c>
      <c r="D135" t="n">
        <v>11</v>
      </c>
      <c r="E135" t="inlineStr">
        <is>
          <t>Miraflores 012</t>
        </is>
      </c>
      <c r="F135" t="inlineStr">
        <is>
          <t>Chilquinta</t>
        </is>
      </c>
      <c r="G135" t="inlineStr">
        <is>
          <t>Chilquinta</t>
        </is>
      </c>
      <c r="H135" t="inlineStr">
        <is>
          <t>Empresa Eléctrica Carén S.A.</t>
        </is>
      </c>
      <c r="I135" t="inlineStr">
        <is>
          <t>Empresa Eléctrica Carén S.A.</t>
        </is>
      </c>
      <c r="J135" t="inlineStr">
        <is>
          <t>SIC 2013/03_2_BS1B_BB_CHILQUINTA_Empresa Eléctrica Carén S.A.</t>
        </is>
      </c>
      <c r="K135" t="inlineStr">
        <is>
          <t>Miraflores 012</t>
        </is>
      </c>
      <c r="L135" t="inlineStr">
        <is>
          <t>-1</t>
        </is>
      </c>
      <c r="M135" t="n">
        <v>577.2838369311381</v>
      </c>
      <c r="N135" t="n">
        <v>0</v>
      </c>
      <c r="O135" t="inlineStr">
        <is>
          <t>3</t>
        </is>
      </c>
      <c r="P135" s="2" t="n">
        <v>44999.6862684375</v>
      </c>
      <c r="Q135" t="n">
        <v>13</v>
      </c>
      <c r="R135" t="inlineStr">
        <is>
          <t>MELIPILLA 220</t>
        </is>
      </c>
      <c r="S135" t="n">
        <v>107.57631202984</v>
      </c>
      <c r="T135" t="n">
        <v>9621.64586409002</v>
      </c>
      <c r="U135" t="n">
        <v>0</v>
      </c>
      <c r="V135" t="n">
        <v>0</v>
      </c>
      <c r="W135" t="inlineStr">
        <is>
          <t>CHILQUINTA</t>
        </is>
      </c>
      <c r="X135" t="n">
        <v>95.14913905578901</v>
      </c>
      <c r="Y135" t="n">
        <v>9.62164586409002</v>
      </c>
      <c r="Z135" t="n">
        <v>10235.79347243619</v>
      </c>
      <c r="AA135" t="n">
        <v>0</v>
      </c>
      <c r="AB135" t="n">
        <v>0</v>
      </c>
      <c r="AC135" t="n">
        <v>0</v>
      </c>
      <c r="AD135" s="2" t="n">
        <v>44501</v>
      </c>
    </row>
    <row r="136">
      <c r="A136" t="n">
        <v>-1</v>
      </c>
      <c r="B136" t="inlineStr">
        <is>
          <t>01-11-2021</t>
        </is>
      </c>
      <c r="C136" t="n">
        <v>2021</v>
      </c>
      <c r="D136" t="n">
        <v>11</v>
      </c>
      <c r="E136" t="inlineStr">
        <is>
          <t>Miraflores 012</t>
        </is>
      </c>
      <c r="F136" t="inlineStr">
        <is>
          <t>Chilquinta</t>
        </is>
      </c>
      <c r="G136" t="inlineStr">
        <is>
          <t>Chilquinta</t>
        </is>
      </c>
      <c r="H136" t="inlineStr">
        <is>
          <t>Empresa Eléctrica Carén S.A.</t>
        </is>
      </c>
      <c r="I136" t="inlineStr">
        <is>
          <t>Empresa Eléctrica Carén S.A.</t>
        </is>
      </c>
      <c r="J136" t="inlineStr">
        <is>
          <t>SIC 2013/03_2_BS1B_BB_CHILQUINTA_Empresa Eléctrica Carén S.A.</t>
        </is>
      </c>
      <c r="K136" t="inlineStr">
        <is>
          <t>Miraflores 012</t>
        </is>
      </c>
      <c r="L136" t="inlineStr">
        <is>
          <t>-1</t>
        </is>
      </c>
      <c r="M136" t="n">
        <v>577.2838369311381</v>
      </c>
      <c r="N136" t="n">
        <v>0</v>
      </c>
      <c r="O136" t="inlineStr">
        <is>
          <t>3</t>
        </is>
      </c>
      <c r="P136" s="2" t="n">
        <v>44999.6862684375</v>
      </c>
      <c r="Q136" t="n">
        <v>5</v>
      </c>
      <c r="R136" t="inlineStr">
        <is>
          <t>NOGALES 220</t>
        </is>
      </c>
      <c r="S136" t="n">
        <v>13.61603030618354</v>
      </c>
      <c r="T136" t="n">
        <v>1215.737020370197</v>
      </c>
      <c r="U136" t="n">
        <v>0</v>
      </c>
      <c r="V136" t="n">
        <v>0</v>
      </c>
      <c r="W136" t="inlineStr">
        <is>
          <t>CHILQUINTA</t>
        </is>
      </c>
      <c r="X136" t="n">
        <v>94.986367291326</v>
      </c>
      <c r="Y136" t="n">
        <v>1.215737020370197</v>
      </c>
      <c r="Z136" t="n">
        <v>1293.337255712976</v>
      </c>
      <c r="AA136" t="n">
        <v>0</v>
      </c>
      <c r="AB136" t="n">
        <v>0</v>
      </c>
      <c r="AC136" t="n">
        <v>0</v>
      </c>
      <c r="AD136" s="2" t="n">
        <v>44501</v>
      </c>
    </row>
    <row r="137">
      <c r="A137" t="n">
        <v>-1</v>
      </c>
      <c r="B137" t="inlineStr">
        <is>
          <t>01-11-2021</t>
        </is>
      </c>
      <c r="C137" t="n">
        <v>2021</v>
      </c>
      <c r="D137" t="n">
        <v>11</v>
      </c>
      <c r="E137" t="inlineStr">
        <is>
          <t>Miraflores 012</t>
        </is>
      </c>
      <c r="F137" t="inlineStr">
        <is>
          <t>Chilquinta</t>
        </is>
      </c>
      <c r="G137" t="inlineStr">
        <is>
          <t>Chilquinta</t>
        </is>
      </c>
      <c r="H137" t="inlineStr">
        <is>
          <t>Empresa Eléctrica Carén S.A.</t>
        </is>
      </c>
      <c r="I137" t="inlineStr">
        <is>
          <t>Empresa Eléctrica Carén S.A.</t>
        </is>
      </c>
      <c r="J137" t="inlineStr">
        <is>
          <t>SIC 2013/03_2_BS1B_BB_CHILQUINTA_Empresa Eléctrica Carén S.A.</t>
        </is>
      </c>
      <c r="K137" t="inlineStr">
        <is>
          <t>Miraflores 012</t>
        </is>
      </c>
      <c r="L137" t="inlineStr">
        <is>
          <t>-1</t>
        </is>
      </c>
      <c r="M137" t="n">
        <v>577.2838369311381</v>
      </c>
      <c r="N137" t="n">
        <v>0</v>
      </c>
      <c r="O137" t="inlineStr">
        <is>
          <t>3</t>
        </is>
      </c>
      <c r="P137" s="2" t="n">
        <v>44999.6862684375</v>
      </c>
      <c r="Q137" t="n">
        <v>11</v>
      </c>
      <c r="R137" t="inlineStr">
        <is>
          <t>QUILLOTA 220</t>
        </is>
      </c>
      <c r="S137" t="n">
        <v>355.4524678579519</v>
      </c>
      <c r="T137" t="n">
        <v>31027.30869828997</v>
      </c>
      <c r="U137" t="n">
        <v>0</v>
      </c>
      <c r="V137" t="n">
        <v>0</v>
      </c>
      <c r="W137" t="inlineStr">
        <is>
          <t>CHILQUINTA</t>
        </is>
      </c>
      <c r="X137" t="n">
        <v>92.86129144034402</v>
      </c>
      <c r="Y137" t="n">
        <v>31.02730869828997</v>
      </c>
      <c r="Z137" t="n">
        <v>33007.77521094678</v>
      </c>
      <c r="AA137" t="n">
        <v>0</v>
      </c>
      <c r="AB137" t="n">
        <v>0</v>
      </c>
      <c r="AC137" t="n">
        <v>0</v>
      </c>
      <c r="AD137" s="2" t="n">
        <v>44501</v>
      </c>
    </row>
    <row r="138">
      <c r="A138" t="n">
        <v>-1</v>
      </c>
      <c r="B138" t="inlineStr">
        <is>
          <t>01-11-2021</t>
        </is>
      </c>
      <c r="C138" t="n">
        <v>2021</v>
      </c>
      <c r="D138" t="n">
        <v>11</v>
      </c>
      <c r="E138" t="inlineStr">
        <is>
          <t>Panquehue 012</t>
        </is>
      </c>
      <c r="F138" t="inlineStr">
        <is>
          <t>Chilquinta</t>
        </is>
      </c>
      <c r="G138" t="inlineStr">
        <is>
          <t>Chilquinta</t>
        </is>
      </c>
      <c r="H138" t="inlineStr">
        <is>
          <t>Empresa Eléctrica Carén S.A.</t>
        </is>
      </c>
      <c r="I138" t="inlineStr">
        <is>
          <t>Empresa Eléctrica Carén S.A.</t>
        </is>
      </c>
      <c r="J138" t="inlineStr">
        <is>
          <t>SIC 2013/03_2_BS1B_BB_CHILQUINTA_Empresa Eléctrica Carén S.A.</t>
        </is>
      </c>
      <c r="K138" t="inlineStr">
        <is>
          <t>Panquehue 012</t>
        </is>
      </c>
      <c r="L138" t="inlineStr">
        <is>
          <t>-1</t>
        </is>
      </c>
      <c r="M138" t="n">
        <v>108.8945406923629</v>
      </c>
      <c r="N138" t="n">
        <v>0</v>
      </c>
      <c r="O138" t="inlineStr">
        <is>
          <t>3</t>
        </is>
      </c>
      <c r="P138" s="2" t="n">
        <v>44999.6862684375</v>
      </c>
      <c r="Q138" t="n">
        <v>31</v>
      </c>
      <c r="R138" t="inlineStr">
        <is>
          <t>LOS MAQUIS 220</t>
        </is>
      </c>
      <c r="S138" t="n">
        <v>71.04333759299159</v>
      </c>
      <c r="T138" t="n">
        <v>6201.345512490486</v>
      </c>
      <c r="U138" t="n">
        <v>0</v>
      </c>
      <c r="V138" t="n">
        <v>0</v>
      </c>
      <c r="W138" t="inlineStr">
        <is>
          <t>CHILQUINTA</t>
        </is>
      </c>
      <c r="X138" t="n">
        <v>92.861291440344</v>
      </c>
      <c r="Y138" t="n">
        <v>6.201345512490486</v>
      </c>
      <c r="Z138" t="n">
        <v>6597.176077117539</v>
      </c>
      <c r="AA138" t="n">
        <v>0</v>
      </c>
      <c r="AB138" t="n">
        <v>0</v>
      </c>
      <c r="AC138" t="n">
        <v>0</v>
      </c>
      <c r="AD138" s="2" t="n">
        <v>44501</v>
      </c>
    </row>
    <row r="139">
      <c r="A139" t="n">
        <v>-1</v>
      </c>
      <c r="B139" t="inlineStr">
        <is>
          <t>01-11-2021</t>
        </is>
      </c>
      <c r="C139" t="n">
        <v>2021</v>
      </c>
      <c r="D139" t="n">
        <v>11</v>
      </c>
      <c r="E139" t="inlineStr">
        <is>
          <t>Panquehue 012</t>
        </is>
      </c>
      <c r="F139" t="inlineStr">
        <is>
          <t>Chilquinta</t>
        </is>
      </c>
      <c r="G139" t="inlineStr">
        <is>
          <t>Chilquinta</t>
        </is>
      </c>
      <c r="H139" t="inlineStr">
        <is>
          <t>Empresa Eléctrica Carén S.A.</t>
        </is>
      </c>
      <c r="I139" t="inlineStr">
        <is>
          <t>Empresa Eléctrica Carén S.A.</t>
        </is>
      </c>
      <c r="J139" t="inlineStr">
        <is>
          <t>SIC 2013/03_2_BS1B_BB_CHILQUINTA_Empresa Eléctrica Carén S.A.</t>
        </is>
      </c>
      <c r="K139" t="inlineStr">
        <is>
          <t>Panquehue 012</t>
        </is>
      </c>
      <c r="L139" t="inlineStr">
        <is>
          <t>-1</t>
        </is>
      </c>
      <c r="M139" t="n">
        <v>108.8945406923629</v>
      </c>
      <c r="N139" t="n">
        <v>0</v>
      </c>
      <c r="O139" t="inlineStr">
        <is>
          <t>3</t>
        </is>
      </c>
      <c r="P139" s="2" t="n">
        <v>44999.6862684375</v>
      </c>
      <c r="Q139" t="n">
        <v>13</v>
      </c>
      <c r="R139" t="inlineStr">
        <is>
          <t>MELIPILLA 220</t>
        </is>
      </c>
      <c r="S139" t="n">
        <v>2.516830596245943</v>
      </c>
      <c r="T139" t="n">
        <v>225.1058085191455</v>
      </c>
      <c r="U139" t="n">
        <v>0</v>
      </c>
      <c r="V139" t="n">
        <v>0</v>
      </c>
      <c r="W139" t="inlineStr">
        <is>
          <t>CHILQUINTA</t>
        </is>
      </c>
      <c r="X139" t="n">
        <v>95.14913905578901</v>
      </c>
      <c r="Y139" t="n">
        <v>0.2251058085191455</v>
      </c>
      <c r="Z139" t="n">
        <v>239.4742643820696</v>
      </c>
      <c r="AA139" t="n">
        <v>0</v>
      </c>
      <c r="AB139" t="n">
        <v>0</v>
      </c>
      <c r="AC139" t="n">
        <v>0</v>
      </c>
      <c r="AD139" s="2" t="n">
        <v>44501</v>
      </c>
    </row>
    <row r="140">
      <c r="A140" t="n">
        <v>-1</v>
      </c>
      <c r="B140" t="inlineStr">
        <is>
          <t>01-11-2021</t>
        </is>
      </c>
      <c r="C140" t="n">
        <v>2021</v>
      </c>
      <c r="D140" t="n">
        <v>11</v>
      </c>
      <c r="E140" t="inlineStr">
        <is>
          <t>Panquehue 012</t>
        </is>
      </c>
      <c r="F140" t="inlineStr">
        <is>
          <t>Chilquinta</t>
        </is>
      </c>
      <c r="G140" t="inlineStr">
        <is>
          <t>Chilquinta</t>
        </is>
      </c>
      <c r="H140" t="inlineStr">
        <is>
          <t>Empresa Eléctrica Carén S.A.</t>
        </is>
      </c>
      <c r="I140" t="inlineStr">
        <is>
          <t>Empresa Eléctrica Carén S.A.</t>
        </is>
      </c>
      <c r="J140" t="inlineStr">
        <is>
          <t>SIC 2013/03_2_BS1B_BB_CHILQUINTA_Empresa Eléctrica Carén S.A.</t>
        </is>
      </c>
      <c r="K140" t="inlineStr">
        <is>
          <t>Panquehue 012</t>
        </is>
      </c>
      <c r="L140" t="inlineStr">
        <is>
          <t>-1</t>
        </is>
      </c>
      <c r="M140" t="n">
        <v>108.8945406923629</v>
      </c>
      <c r="N140" t="n">
        <v>0</v>
      </c>
      <c r="O140" t="inlineStr">
        <is>
          <t>3</t>
        </is>
      </c>
      <c r="P140" s="2" t="n">
        <v>44999.6862684375</v>
      </c>
      <c r="Q140" t="n">
        <v>5</v>
      </c>
      <c r="R140" t="inlineStr">
        <is>
          <t>NOGALES 220</t>
        </is>
      </c>
      <c r="S140" t="n">
        <v>1.110595157341953</v>
      </c>
      <c r="T140" t="n">
        <v>99.16191555561572</v>
      </c>
      <c r="U140" t="n">
        <v>0</v>
      </c>
      <c r="V140" t="n">
        <v>0</v>
      </c>
      <c r="W140" t="inlineStr">
        <is>
          <t>CHILQUINTA</t>
        </is>
      </c>
      <c r="X140" t="n">
        <v>94.98636729132602</v>
      </c>
      <c r="Y140" t="n">
        <v>0.09916191555561574</v>
      </c>
      <c r="Z140" t="n">
        <v>105.4913995272508</v>
      </c>
      <c r="AA140" t="n">
        <v>0</v>
      </c>
      <c r="AB140" t="n">
        <v>0</v>
      </c>
      <c r="AC140" t="n">
        <v>0</v>
      </c>
      <c r="AD140" s="2" t="n">
        <v>44501</v>
      </c>
    </row>
    <row r="141">
      <c r="A141" t="n">
        <v>-1</v>
      </c>
      <c r="B141" t="inlineStr">
        <is>
          <t>01-11-2021</t>
        </is>
      </c>
      <c r="C141" t="n">
        <v>2021</v>
      </c>
      <c r="D141" t="n">
        <v>11</v>
      </c>
      <c r="E141" t="inlineStr">
        <is>
          <t>Panquehue 012</t>
        </is>
      </c>
      <c r="F141" t="inlineStr">
        <is>
          <t>Chilquinta</t>
        </is>
      </c>
      <c r="G141" t="inlineStr">
        <is>
          <t>Chilquinta</t>
        </is>
      </c>
      <c r="H141" t="inlineStr">
        <is>
          <t>Empresa Eléctrica Carén S.A.</t>
        </is>
      </c>
      <c r="I141" t="inlineStr">
        <is>
          <t>Empresa Eléctrica Carén S.A.</t>
        </is>
      </c>
      <c r="J141" t="inlineStr">
        <is>
          <t>SIC 2013/03_2_BS1B_BB_CHILQUINTA_Empresa Eléctrica Carén S.A.</t>
        </is>
      </c>
      <c r="K141" t="inlineStr">
        <is>
          <t>Panquehue 012</t>
        </is>
      </c>
      <c r="L141" t="inlineStr">
        <is>
          <t>-1</t>
        </is>
      </c>
      <c r="M141" t="n">
        <v>108.8945406923629</v>
      </c>
      <c r="N141" t="n">
        <v>0</v>
      </c>
      <c r="O141" t="inlineStr">
        <is>
          <t>3</t>
        </is>
      </c>
      <c r="P141" s="2" t="n">
        <v>44999.6862684375</v>
      </c>
      <c r="Q141" t="n">
        <v>11</v>
      </c>
      <c r="R141" t="inlineStr">
        <is>
          <t>QUILLOTA 220</t>
        </is>
      </c>
      <c r="S141" t="n">
        <v>36.95623449291533</v>
      </c>
      <c r="T141" t="n">
        <v>3225.895442077246</v>
      </c>
      <c r="U141" t="n">
        <v>0</v>
      </c>
      <c r="V141" t="n">
        <v>0</v>
      </c>
      <c r="W141" t="inlineStr">
        <is>
          <t>CHILQUINTA</t>
        </is>
      </c>
      <c r="X141" t="n">
        <v>92.861291440344</v>
      </c>
      <c r="Y141" t="n">
        <v>3.225895442077246</v>
      </c>
      <c r="Z141" t="n">
        <v>3431.803661784304</v>
      </c>
      <c r="AA141" t="n">
        <v>0</v>
      </c>
      <c r="AB141" t="n">
        <v>0</v>
      </c>
      <c r="AC141" t="n">
        <v>0</v>
      </c>
      <c r="AD141" s="2" t="n">
        <v>44501</v>
      </c>
    </row>
    <row r="142">
      <c r="A142" t="n">
        <v>-1</v>
      </c>
      <c r="B142" t="inlineStr">
        <is>
          <t>01-11-2021</t>
        </is>
      </c>
      <c r="C142" t="n">
        <v>2021</v>
      </c>
      <c r="D142" t="n">
        <v>11</v>
      </c>
      <c r="E142" t="inlineStr">
        <is>
          <t>Peñablanca 012</t>
        </is>
      </c>
      <c r="F142" t="inlineStr">
        <is>
          <t>Chilquinta</t>
        </is>
      </c>
      <c r="G142" t="inlineStr">
        <is>
          <t>Chilquinta</t>
        </is>
      </c>
      <c r="H142" t="inlineStr">
        <is>
          <t>Empresa Eléctrica Carén S.A.</t>
        </is>
      </c>
      <c r="I142" t="inlineStr">
        <is>
          <t>Empresa Eléctrica Carén S.A.</t>
        </is>
      </c>
      <c r="J142" t="inlineStr">
        <is>
          <t>SIC 2013/03_2_BS1B_BB_CHILQUINTA_Empresa Eléctrica Carén S.A.</t>
        </is>
      </c>
      <c r="K142" t="inlineStr">
        <is>
          <t>Peñablanca 012</t>
        </is>
      </c>
      <c r="L142" t="inlineStr">
        <is>
          <t>-1</t>
        </is>
      </c>
      <c r="M142" t="n">
        <v>702.4892371476778</v>
      </c>
      <c r="N142" t="n">
        <v>0</v>
      </c>
      <c r="O142" t="inlineStr">
        <is>
          <t>3</t>
        </is>
      </c>
      <c r="P142" s="2" t="n">
        <v>44999.6862684375</v>
      </c>
      <c r="Q142" t="n">
        <v>31</v>
      </c>
      <c r="R142" t="inlineStr">
        <is>
          <t>LOS MAQUIS 220</t>
        </is>
      </c>
      <c r="S142" t="n">
        <v>180.9299241795</v>
      </c>
      <c r="T142" t="n">
        <v>15793.30323434118</v>
      </c>
      <c r="U142" t="n">
        <v>0</v>
      </c>
      <c r="V142" t="n">
        <v>0</v>
      </c>
      <c r="W142" t="inlineStr">
        <is>
          <t>CHILQUINTA</t>
        </is>
      </c>
      <c r="X142" t="n">
        <v>92.86129144034403</v>
      </c>
      <c r="Y142" t="n">
        <v>15.79330323434118</v>
      </c>
      <c r="Z142" t="n">
        <v>16801.38641951189</v>
      </c>
      <c r="AA142" t="n">
        <v>0</v>
      </c>
      <c r="AB142" t="n">
        <v>0</v>
      </c>
      <c r="AC142" t="n">
        <v>0</v>
      </c>
      <c r="AD142" s="2" t="n">
        <v>44501</v>
      </c>
    </row>
    <row r="143">
      <c r="A143" t="n">
        <v>-1</v>
      </c>
      <c r="B143" t="inlineStr">
        <is>
          <t>01-11-2021</t>
        </is>
      </c>
      <c r="C143" t="n">
        <v>2021</v>
      </c>
      <c r="D143" t="n">
        <v>11</v>
      </c>
      <c r="E143" t="inlineStr">
        <is>
          <t>Peñablanca 012</t>
        </is>
      </c>
      <c r="F143" t="inlineStr">
        <is>
          <t>Chilquinta</t>
        </is>
      </c>
      <c r="G143" t="inlineStr">
        <is>
          <t>Chilquinta</t>
        </is>
      </c>
      <c r="H143" t="inlineStr">
        <is>
          <t>Empresa Eléctrica Carén S.A.</t>
        </is>
      </c>
      <c r="I143" t="inlineStr">
        <is>
          <t>Empresa Eléctrica Carén S.A.</t>
        </is>
      </c>
      <c r="J143" t="inlineStr">
        <is>
          <t>SIC 2013/03_2_BS1B_BB_CHILQUINTA_Empresa Eléctrica Carén S.A.</t>
        </is>
      </c>
      <c r="K143" t="inlineStr">
        <is>
          <t>Peñablanca 012</t>
        </is>
      </c>
      <c r="L143" t="inlineStr">
        <is>
          <t>-1</t>
        </is>
      </c>
      <c r="M143" t="n">
        <v>702.4892371476778</v>
      </c>
      <c r="N143" t="n">
        <v>0</v>
      </c>
      <c r="O143" t="inlineStr">
        <is>
          <t>3</t>
        </is>
      </c>
      <c r="P143" s="2" t="n">
        <v>44999.6862684375</v>
      </c>
      <c r="Q143" t="n">
        <v>13</v>
      </c>
      <c r="R143" t="inlineStr">
        <is>
          <t>MELIPILLA 220</t>
        </is>
      </c>
      <c r="S143" t="n">
        <v>57.42568218922599</v>
      </c>
      <c r="T143" t="n">
        <v>5136.163966796437</v>
      </c>
      <c r="U143" t="n">
        <v>0</v>
      </c>
      <c r="V143" t="n">
        <v>0</v>
      </c>
      <c r="W143" t="inlineStr">
        <is>
          <t>CHILQUINTA</t>
        </is>
      </c>
      <c r="X143" t="n">
        <v>95.14913905578901</v>
      </c>
      <c r="Y143" t="n">
        <v>5.136163966796436</v>
      </c>
      <c r="Z143" t="n">
        <v>5464.00421999621</v>
      </c>
      <c r="AA143" t="n">
        <v>0</v>
      </c>
      <c r="AB143" t="n">
        <v>0</v>
      </c>
      <c r="AC143" t="n">
        <v>0</v>
      </c>
      <c r="AD143" s="2" t="n">
        <v>44501</v>
      </c>
    </row>
    <row r="144">
      <c r="A144" t="n">
        <v>-1</v>
      </c>
      <c r="B144" t="inlineStr">
        <is>
          <t>01-11-2021</t>
        </is>
      </c>
      <c r="C144" t="n">
        <v>2021</v>
      </c>
      <c r="D144" t="n">
        <v>11</v>
      </c>
      <c r="E144" t="inlineStr">
        <is>
          <t>Peñablanca 012</t>
        </is>
      </c>
      <c r="F144" t="inlineStr">
        <is>
          <t>Chilquinta</t>
        </is>
      </c>
      <c r="G144" t="inlineStr">
        <is>
          <t>Chilquinta</t>
        </is>
      </c>
      <c r="H144" t="inlineStr">
        <is>
          <t>Empresa Eléctrica Carén S.A.</t>
        </is>
      </c>
      <c r="I144" t="inlineStr">
        <is>
          <t>Empresa Eléctrica Carén S.A.</t>
        </is>
      </c>
      <c r="J144" t="inlineStr">
        <is>
          <t>SIC 2013/03_2_BS1B_BB_CHILQUINTA_Empresa Eléctrica Carén S.A.</t>
        </is>
      </c>
      <c r="K144" t="inlineStr">
        <is>
          <t>Peñablanca 012</t>
        </is>
      </c>
      <c r="L144" t="inlineStr">
        <is>
          <t>-1</t>
        </is>
      </c>
      <c r="M144" t="n">
        <v>702.4892371476778</v>
      </c>
      <c r="N144" t="n">
        <v>0</v>
      </c>
      <c r="O144" t="inlineStr">
        <is>
          <t>3</t>
        </is>
      </c>
      <c r="P144" s="2" t="n">
        <v>44999.6862684375</v>
      </c>
      <c r="Q144" t="n">
        <v>5</v>
      </c>
      <c r="R144" t="inlineStr">
        <is>
          <t>NOGALES 220</t>
        </is>
      </c>
      <c r="S144" t="n">
        <v>10.04408395368001</v>
      </c>
      <c r="T144" t="n">
        <v>896.8079846774131</v>
      </c>
      <c r="U144" t="n">
        <v>0</v>
      </c>
      <c r="V144" t="n">
        <v>0</v>
      </c>
      <c r="W144" t="inlineStr">
        <is>
          <t>CHILQUINTA</t>
        </is>
      </c>
      <c r="X144" t="n">
        <v>94.986367291326</v>
      </c>
      <c r="Y144" t="n">
        <v>0.8968079846774131</v>
      </c>
      <c r="Z144" t="n">
        <v>954.0510475291629</v>
      </c>
      <c r="AA144" t="n">
        <v>0</v>
      </c>
      <c r="AB144" t="n">
        <v>0</v>
      </c>
      <c r="AC144" t="n">
        <v>0</v>
      </c>
      <c r="AD144" s="2" t="n">
        <v>44501</v>
      </c>
    </row>
    <row r="145">
      <c r="A145" t="n">
        <v>-1</v>
      </c>
      <c r="B145" t="inlineStr">
        <is>
          <t>01-11-2021</t>
        </is>
      </c>
      <c r="C145" t="n">
        <v>2021</v>
      </c>
      <c r="D145" t="n">
        <v>11</v>
      </c>
      <c r="E145" t="inlineStr">
        <is>
          <t>Peñablanca 012</t>
        </is>
      </c>
      <c r="F145" t="inlineStr">
        <is>
          <t>Chilquinta</t>
        </is>
      </c>
      <c r="G145" t="inlineStr">
        <is>
          <t>Chilquinta</t>
        </is>
      </c>
      <c r="H145" t="inlineStr">
        <is>
          <t>Empresa Eléctrica Carén S.A.</t>
        </is>
      </c>
      <c r="I145" t="inlineStr">
        <is>
          <t>Empresa Eléctrica Carén S.A.</t>
        </is>
      </c>
      <c r="J145" t="inlineStr">
        <is>
          <t>SIC 2013/03_2_BS1B_BB_CHILQUINTA_Empresa Eléctrica Carén S.A.</t>
        </is>
      </c>
      <c r="K145" t="inlineStr">
        <is>
          <t>Peñablanca 012</t>
        </is>
      </c>
      <c r="L145" t="inlineStr">
        <is>
          <t>-1</t>
        </is>
      </c>
      <c r="M145" t="n">
        <v>702.4892371476778</v>
      </c>
      <c r="N145" t="n">
        <v>0</v>
      </c>
      <c r="O145" t="inlineStr">
        <is>
          <t>3</t>
        </is>
      </c>
      <c r="P145" s="2" t="n">
        <v>44999.6862684375</v>
      </c>
      <c r="Q145" t="n">
        <v>11</v>
      </c>
      <c r="R145" t="inlineStr">
        <is>
          <t>QUILLOTA 220</t>
        </is>
      </c>
      <c r="S145" t="n">
        <v>471.7168927383259</v>
      </c>
      <c r="T145" t="n">
        <v>41175.98546267274</v>
      </c>
      <c r="U145" t="n">
        <v>0</v>
      </c>
      <c r="V145" t="n">
        <v>0</v>
      </c>
      <c r="W145" t="inlineStr">
        <is>
          <t>CHILQUINTA</t>
        </is>
      </c>
      <c r="X145" t="n">
        <v>92.86129144034402</v>
      </c>
      <c r="Y145" t="n">
        <v>41.17598546267274</v>
      </c>
      <c r="Z145" t="n">
        <v>43804.23985390717</v>
      </c>
      <c r="AA145" t="n">
        <v>0</v>
      </c>
      <c r="AB145" t="n">
        <v>0</v>
      </c>
      <c r="AC145" t="n">
        <v>0</v>
      </c>
      <c r="AD145" s="2" t="n">
        <v>44501</v>
      </c>
    </row>
    <row r="146">
      <c r="A146" t="n">
        <v>-1</v>
      </c>
      <c r="B146" t="inlineStr">
        <is>
          <t>01-11-2021</t>
        </is>
      </c>
      <c r="C146" t="n">
        <v>2021</v>
      </c>
      <c r="D146" t="n">
        <v>11</v>
      </c>
      <c r="E146" t="inlineStr">
        <is>
          <t>Placeres 012</t>
        </is>
      </c>
      <c r="F146" t="inlineStr">
        <is>
          <t>Chilquinta</t>
        </is>
      </c>
      <c r="G146" t="inlineStr">
        <is>
          <t>Chilquinta</t>
        </is>
      </c>
      <c r="H146" t="inlineStr">
        <is>
          <t>Empresa Eléctrica Carén S.A.</t>
        </is>
      </c>
      <c r="I146" t="inlineStr">
        <is>
          <t>Empresa Eléctrica Carén S.A.</t>
        </is>
      </c>
      <c r="J146" t="inlineStr">
        <is>
          <t>SIC 2013/03_2_BS1B_BB_CHILQUINTA_Empresa Eléctrica Carén S.A.</t>
        </is>
      </c>
      <c r="K146" t="inlineStr">
        <is>
          <t>Placeres 012</t>
        </is>
      </c>
      <c r="L146" t="inlineStr">
        <is>
          <t>-1</t>
        </is>
      </c>
      <c r="M146" t="n">
        <v>722.8285511696805</v>
      </c>
      <c r="N146" t="n">
        <v>0</v>
      </c>
      <c r="O146" t="inlineStr">
        <is>
          <t>3</t>
        </is>
      </c>
      <c r="P146" s="2" t="n">
        <v>44999.6862684375</v>
      </c>
      <c r="Q146" t="n">
        <v>31</v>
      </c>
      <c r="R146" t="inlineStr">
        <is>
          <t>LOS MAQUIS 220</t>
        </is>
      </c>
      <c r="S146" t="n">
        <v>126.0635090319161</v>
      </c>
      <c r="T146" t="n">
        <v>11004.03503707289</v>
      </c>
      <c r="U146" t="n">
        <v>0</v>
      </c>
      <c r="V146" t="n">
        <v>0</v>
      </c>
      <c r="W146" t="inlineStr">
        <is>
          <t>CHILQUINTA</t>
        </is>
      </c>
      <c r="X146" t="n">
        <v>92.861291440344</v>
      </c>
      <c r="Y146" t="n">
        <v>11.00403503707289</v>
      </c>
      <c r="Z146" t="n">
        <v>11706.4202522052</v>
      </c>
      <c r="AA146" t="n">
        <v>0</v>
      </c>
      <c r="AB146" t="n">
        <v>0</v>
      </c>
      <c r="AC146" t="n">
        <v>0</v>
      </c>
      <c r="AD146" s="2" t="n">
        <v>44501</v>
      </c>
    </row>
    <row r="147">
      <c r="A147" t="n">
        <v>-1</v>
      </c>
      <c r="B147" t="inlineStr">
        <is>
          <t>01-11-2021</t>
        </is>
      </c>
      <c r="C147" t="n">
        <v>2021</v>
      </c>
      <c r="D147" t="n">
        <v>11</v>
      </c>
      <c r="E147" t="inlineStr">
        <is>
          <t>Placeres 012</t>
        </is>
      </c>
      <c r="F147" t="inlineStr">
        <is>
          <t>Chilquinta</t>
        </is>
      </c>
      <c r="G147" t="inlineStr">
        <is>
          <t>Chilquinta</t>
        </is>
      </c>
      <c r="H147" t="inlineStr">
        <is>
          <t>Empresa Eléctrica Carén S.A.</t>
        </is>
      </c>
      <c r="I147" t="inlineStr">
        <is>
          <t>Empresa Eléctrica Carén S.A.</t>
        </is>
      </c>
      <c r="J147" t="inlineStr">
        <is>
          <t>SIC 2013/03_2_BS1B_BB_CHILQUINTA_Empresa Eléctrica Carén S.A.</t>
        </is>
      </c>
      <c r="K147" t="inlineStr">
        <is>
          <t>Placeres 012</t>
        </is>
      </c>
      <c r="L147" t="inlineStr">
        <is>
          <t>-1</t>
        </is>
      </c>
      <c r="M147" t="n">
        <v>722.8285511696805</v>
      </c>
      <c r="N147" t="n">
        <v>0</v>
      </c>
      <c r="O147" t="inlineStr">
        <is>
          <t>3</t>
        </is>
      </c>
      <c r="P147" s="2" t="n">
        <v>44999.6862684375</v>
      </c>
      <c r="Q147" t="n">
        <v>13</v>
      </c>
      <c r="R147" t="inlineStr">
        <is>
          <t>MELIPILLA 220</t>
        </is>
      </c>
      <c r="S147" t="n">
        <v>253.9671273314396</v>
      </c>
      <c r="T147" t="n">
        <v>22714.86830321491</v>
      </c>
      <c r="U147" t="n">
        <v>0</v>
      </c>
      <c r="V147" t="n">
        <v>0</v>
      </c>
      <c r="W147" t="inlineStr">
        <is>
          <t>CHILQUINTA</t>
        </is>
      </c>
      <c r="X147" t="n">
        <v>95.14913905578902</v>
      </c>
      <c r="Y147" t="n">
        <v>22.71486830321491</v>
      </c>
      <c r="Z147" t="n">
        <v>24164.75351405842</v>
      </c>
      <c r="AA147" t="n">
        <v>0</v>
      </c>
      <c r="AB147" t="n">
        <v>0</v>
      </c>
      <c r="AC147" t="n">
        <v>0</v>
      </c>
      <c r="AD147" s="2" t="n">
        <v>44501</v>
      </c>
    </row>
    <row r="148">
      <c r="A148" t="n">
        <v>-1</v>
      </c>
      <c r="B148" t="inlineStr">
        <is>
          <t>01-11-2021</t>
        </is>
      </c>
      <c r="C148" t="n">
        <v>2021</v>
      </c>
      <c r="D148" t="n">
        <v>11</v>
      </c>
      <c r="E148" t="inlineStr">
        <is>
          <t>Placeres 012</t>
        </is>
      </c>
      <c r="F148" t="inlineStr">
        <is>
          <t>Chilquinta</t>
        </is>
      </c>
      <c r="G148" t="inlineStr">
        <is>
          <t>Chilquinta</t>
        </is>
      </c>
      <c r="H148" t="inlineStr">
        <is>
          <t>Empresa Eléctrica Carén S.A.</t>
        </is>
      </c>
      <c r="I148" t="inlineStr">
        <is>
          <t>Empresa Eléctrica Carén S.A.</t>
        </is>
      </c>
      <c r="J148" t="inlineStr">
        <is>
          <t>SIC 2013/03_2_BS1B_BB_CHILQUINTA_Empresa Eléctrica Carén S.A.</t>
        </is>
      </c>
      <c r="K148" t="inlineStr">
        <is>
          <t>Placeres 012</t>
        </is>
      </c>
      <c r="L148" t="inlineStr">
        <is>
          <t>-1</t>
        </is>
      </c>
      <c r="M148" t="n">
        <v>722.8285511696805</v>
      </c>
      <c r="N148" t="n">
        <v>0</v>
      </c>
      <c r="O148" t="inlineStr">
        <is>
          <t>3</t>
        </is>
      </c>
      <c r="P148" s="2" t="n">
        <v>44999.6862684375</v>
      </c>
      <c r="Q148" t="n">
        <v>5</v>
      </c>
      <c r="R148" t="inlineStr">
        <is>
          <t>NOGALES 220</t>
        </is>
      </c>
      <c r="S148" t="n">
        <v>7.529191227827312</v>
      </c>
      <c r="T148" t="n">
        <v>672.2602919706528</v>
      </c>
      <c r="U148" t="n">
        <v>0</v>
      </c>
      <c r="V148" t="n">
        <v>0</v>
      </c>
      <c r="W148" t="inlineStr">
        <is>
          <t>CHILQUINTA</t>
        </is>
      </c>
      <c r="X148" t="n">
        <v>94.986367291326</v>
      </c>
      <c r="Y148" t="n">
        <v>0.6722602919706526</v>
      </c>
      <c r="Z148" t="n">
        <v>715.1705233730349</v>
      </c>
      <c r="AA148" t="n">
        <v>0</v>
      </c>
      <c r="AB148" t="n">
        <v>0</v>
      </c>
      <c r="AC148" t="n">
        <v>0</v>
      </c>
      <c r="AD148" s="2" t="n">
        <v>44501</v>
      </c>
    </row>
    <row r="149">
      <c r="A149" t="n">
        <v>-1</v>
      </c>
      <c r="B149" t="inlineStr">
        <is>
          <t>01-11-2021</t>
        </is>
      </c>
      <c r="C149" t="n">
        <v>2021</v>
      </c>
      <c r="D149" t="n">
        <v>11</v>
      </c>
      <c r="E149" t="inlineStr">
        <is>
          <t>Placeres 012</t>
        </is>
      </c>
      <c r="F149" t="inlineStr">
        <is>
          <t>Chilquinta</t>
        </is>
      </c>
      <c r="G149" t="inlineStr">
        <is>
          <t>Chilquinta</t>
        </is>
      </c>
      <c r="H149" t="inlineStr">
        <is>
          <t>Empresa Eléctrica Carén S.A.</t>
        </is>
      </c>
      <c r="I149" t="inlineStr">
        <is>
          <t>Empresa Eléctrica Carén S.A.</t>
        </is>
      </c>
      <c r="J149" t="inlineStr">
        <is>
          <t>SIC 2013/03_2_BS1B_BB_CHILQUINTA_Empresa Eléctrica Carén S.A.</t>
        </is>
      </c>
      <c r="K149" t="inlineStr">
        <is>
          <t>Placeres 012</t>
        </is>
      </c>
      <c r="L149" t="inlineStr">
        <is>
          <t>-1</t>
        </is>
      </c>
      <c r="M149" t="n">
        <v>722.8285511696805</v>
      </c>
      <c r="N149" t="n">
        <v>0</v>
      </c>
      <c r="O149" t="inlineStr">
        <is>
          <t>3</t>
        </is>
      </c>
      <c r="P149" s="2" t="n">
        <v>44999.6862684375</v>
      </c>
      <c r="Q149" t="n">
        <v>11</v>
      </c>
      <c r="R149" t="inlineStr">
        <is>
          <t>QUILLOTA 220</t>
        </is>
      </c>
      <c r="S149" t="n">
        <v>353.4064376295116</v>
      </c>
      <c r="T149" t="n">
        <v>30848.71150951135</v>
      </c>
      <c r="U149" t="n">
        <v>0</v>
      </c>
      <c r="V149" t="n">
        <v>0</v>
      </c>
      <c r="W149" t="inlineStr">
        <is>
          <t>CHILQUINTA</t>
        </is>
      </c>
      <c r="X149" t="n">
        <v>92.86129144034399</v>
      </c>
      <c r="Y149" t="n">
        <v>30.84871150951136</v>
      </c>
      <c r="Z149" t="n">
        <v>32817.77820160783</v>
      </c>
      <c r="AA149" t="n">
        <v>0</v>
      </c>
      <c r="AB149" t="n">
        <v>0</v>
      </c>
      <c r="AC149" t="n">
        <v>0</v>
      </c>
      <c r="AD149" s="2" t="n">
        <v>44501</v>
      </c>
    </row>
    <row r="150">
      <c r="A150" t="n">
        <v>-1</v>
      </c>
      <c r="B150" t="inlineStr">
        <is>
          <t>01-11-2021</t>
        </is>
      </c>
      <c r="C150" t="n">
        <v>2021</v>
      </c>
      <c r="D150" t="n">
        <v>11</v>
      </c>
      <c r="E150" t="inlineStr">
        <is>
          <t>Placilla SIC2 012</t>
        </is>
      </c>
      <c r="F150" t="inlineStr">
        <is>
          <t>Chilquinta</t>
        </is>
      </c>
      <c r="G150" t="inlineStr">
        <is>
          <t>Chilquinta</t>
        </is>
      </c>
      <c r="H150" t="inlineStr">
        <is>
          <t>Empresa Eléctrica Carén S.A.</t>
        </is>
      </c>
      <c r="I150" t="inlineStr">
        <is>
          <t>Empresa Eléctrica Carén S.A.</t>
        </is>
      </c>
      <c r="J150" t="inlineStr">
        <is>
          <t>SIC 2013/03_2_BS1B_BB_CHILQUINTA_Empresa Eléctrica Carén S.A.</t>
        </is>
      </c>
      <c r="K150" t="inlineStr">
        <is>
          <t>Placilla SIC2 012</t>
        </is>
      </c>
      <c r="L150" t="inlineStr">
        <is>
          <t>-1</t>
        </is>
      </c>
      <c r="M150" t="n">
        <v>375.2668231537631</v>
      </c>
      <c r="N150" t="n">
        <v>0</v>
      </c>
      <c r="O150" t="inlineStr">
        <is>
          <t>3</t>
        </is>
      </c>
      <c r="P150" s="2" t="n">
        <v>44999.6862684375</v>
      </c>
      <c r="Q150" t="n">
        <v>31</v>
      </c>
      <c r="R150" t="inlineStr">
        <is>
          <t>LOS MAQUIS 220</t>
        </is>
      </c>
      <c r="S150" t="n">
        <v>67.32816382634142</v>
      </c>
      <c r="T150" t="n">
        <v>5877.049428627851</v>
      </c>
      <c r="U150" t="n">
        <v>0</v>
      </c>
      <c r="V150" t="n">
        <v>0</v>
      </c>
      <c r="W150" t="inlineStr">
        <is>
          <t>CHILQUINTA</t>
        </is>
      </c>
      <c r="X150" t="n">
        <v>92.861291440344</v>
      </c>
      <c r="Y150" t="n">
        <v>5.877049428627851</v>
      </c>
      <c r="Z150" t="n">
        <v>6252.180243221118</v>
      </c>
      <c r="AA150" t="n">
        <v>0</v>
      </c>
      <c r="AB150" t="n">
        <v>0</v>
      </c>
      <c r="AC150" t="n">
        <v>0</v>
      </c>
      <c r="AD150" s="2" t="n">
        <v>44501</v>
      </c>
    </row>
    <row r="151">
      <c r="A151" t="n">
        <v>-1</v>
      </c>
      <c r="B151" t="inlineStr">
        <is>
          <t>01-11-2021</t>
        </is>
      </c>
      <c r="C151" t="n">
        <v>2021</v>
      </c>
      <c r="D151" t="n">
        <v>11</v>
      </c>
      <c r="E151" t="inlineStr">
        <is>
          <t>Placilla SIC2 012</t>
        </is>
      </c>
      <c r="F151" t="inlineStr">
        <is>
          <t>Chilquinta</t>
        </is>
      </c>
      <c r="G151" t="inlineStr">
        <is>
          <t>Chilquinta</t>
        </is>
      </c>
      <c r="H151" t="inlineStr">
        <is>
          <t>Empresa Eléctrica Carén S.A.</t>
        </is>
      </c>
      <c r="I151" t="inlineStr">
        <is>
          <t>Empresa Eléctrica Carén S.A.</t>
        </is>
      </c>
      <c r="J151" t="inlineStr">
        <is>
          <t>SIC 2013/03_2_BS1B_BB_CHILQUINTA_Empresa Eléctrica Carén S.A.</t>
        </is>
      </c>
      <c r="K151" t="inlineStr">
        <is>
          <t>Placilla SIC2 012</t>
        </is>
      </c>
      <c r="L151" t="inlineStr">
        <is>
          <t>-1</t>
        </is>
      </c>
      <c r="M151" t="n">
        <v>375.2668231537631</v>
      </c>
      <c r="N151" t="n">
        <v>0</v>
      </c>
      <c r="O151" t="inlineStr">
        <is>
          <t>3</t>
        </is>
      </c>
      <c r="P151" s="2" t="n">
        <v>44999.6862684375</v>
      </c>
      <c r="Q151" t="n">
        <v>13</v>
      </c>
      <c r="R151" t="inlineStr">
        <is>
          <t>MELIPILLA 220</t>
        </is>
      </c>
      <c r="S151" t="n">
        <v>118.4103919837949</v>
      </c>
      <c r="T151" t="n">
        <v>10590.64804136559</v>
      </c>
      <c r="U151" t="n">
        <v>0</v>
      </c>
      <c r="V151" t="n">
        <v>0</v>
      </c>
      <c r="W151" t="inlineStr">
        <is>
          <t>CHILQUINTA</t>
        </is>
      </c>
      <c r="X151" t="n">
        <v>95.14913905578902</v>
      </c>
      <c r="Y151" t="n">
        <v>10.59064804136559</v>
      </c>
      <c r="Z151" t="n">
        <v>11266.64685251659</v>
      </c>
      <c r="AA151" t="n">
        <v>0</v>
      </c>
      <c r="AB151" t="n">
        <v>0</v>
      </c>
      <c r="AC151" t="n">
        <v>0</v>
      </c>
      <c r="AD151" s="2" t="n">
        <v>44501</v>
      </c>
    </row>
    <row r="152">
      <c r="A152" t="n">
        <v>-1</v>
      </c>
      <c r="B152" t="inlineStr">
        <is>
          <t>01-11-2021</t>
        </is>
      </c>
      <c r="C152" t="n">
        <v>2021</v>
      </c>
      <c r="D152" t="n">
        <v>11</v>
      </c>
      <c r="E152" t="inlineStr">
        <is>
          <t>Placilla SIC2 012</t>
        </is>
      </c>
      <c r="F152" t="inlineStr">
        <is>
          <t>Chilquinta</t>
        </is>
      </c>
      <c r="G152" t="inlineStr">
        <is>
          <t>Chilquinta</t>
        </is>
      </c>
      <c r="H152" t="inlineStr">
        <is>
          <t>Empresa Eléctrica Carén S.A.</t>
        </is>
      </c>
      <c r="I152" t="inlineStr">
        <is>
          <t>Empresa Eléctrica Carén S.A.</t>
        </is>
      </c>
      <c r="J152" t="inlineStr">
        <is>
          <t>SIC 2013/03_2_BS1B_BB_CHILQUINTA_Empresa Eléctrica Carén S.A.</t>
        </is>
      </c>
      <c r="K152" t="inlineStr">
        <is>
          <t>Placilla SIC2 012</t>
        </is>
      </c>
      <c r="L152" t="inlineStr">
        <is>
          <t>-1</t>
        </is>
      </c>
      <c r="M152" t="n">
        <v>375.2668231537631</v>
      </c>
      <c r="N152" t="n">
        <v>0</v>
      </c>
      <c r="O152" t="inlineStr">
        <is>
          <t>3</t>
        </is>
      </c>
      <c r="P152" s="2" t="n">
        <v>44999.6862684375</v>
      </c>
      <c r="Q152" t="n">
        <v>5</v>
      </c>
      <c r="R152" t="inlineStr">
        <is>
          <t>NOGALES 220</t>
        </is>
      </c>
      <c r="S152" t="n">
        <v>4.557379037857191</v>
      </c>
      <c r="T152" t="n">
        <v>406.9155464251515</v>
      </c>
      <c r="U152" t="n">
        <v>0</v>
      </c>
      <c r="V152" t="n">
        <v>0</v>
      </c>
      <c r="W152" t="inlineStr">
        <is>
          <t>CHILQUINTA</t>
        </is>
      </c>
      <c r="X152" t="n">
        <v>94.986367291326</v>
      </c>
      <c r="Y152" t="n">
        <v>0.4069155464251515</v>
      </c>
      <c r="Z152" t="n">
        <v>432.8888791756931</v>
      </c>
      <c r="AA152" t="n">
        <v>0</v>
      </c>
      <c r="AB152" t="n">
        <v>0</v>
      </c>
      <c r="AC152" t="n">
        <v>0</v>
      </c>
      <c r="AD152" s="2" t="n">
        <v>44501</v>
      </c>
    </row>
    <row r="153">
      <c r="A153" t="n">
        <v>-1</v>
      </c>
      <c r="B153" t="inlineStr">
        <is>
          <t>01-11-2021</t>
        </is>
      </c>
      <c r="C153" t="n">
        <v>2021</v>
      </c>
      <c r="D153" t="n">
        <v>11</v>
      </c>
      <c r="E153" t="inlineStr">
        <is>
          <t>Placilla SIC2 012</t>
        </is>
      </c>
      <c r="F153" t="inlineStr">
        <is>
          <t>Chilquinta</t>
        </is>
      </c>
      <c r="G153" t="inlineStr">
        <is>
          <t>Chilquinta</t>
        </is>
      </c>
      <c r="H153" t="inlineStr">
        <is>
          <t>Empresa Eléctrica Carén S.A.</t>
        </is>
      </c>
      <c r="I153" t="inlineStr">
        <is>
          <t>Empresa Eléctrica Carén S.A.</t>
        </is>
      </c>
      <c r="J153" t="inlineStr">
        <is>
          <t>SIC 2013/03_2_BS1B_BB_CHILQUINTA_Empresa Eléctrica Carén S.A.</t>
        </is>
      </c>
      <c r="K153" t="inlineStr">
        <is>
          <t>Placilla SIC2 012</t>
        </is>
      </c>
      <c r="L153" t="inlineStr">
        <is>
          <t>-1</t>
        </is>
      </c>
      <c r="M153" t="n">
        <v>375.2668231537631</v>
      </c>
      <c r="N153" t="n">
        <v>0</v>
      </c>
      <c r="O153" t="inlineStr">
        <is>
          <t>3</t>
        </is>
      </c>
      <c r="P153" s="2" t="n">
        <v>44999.6862684375</v>
      </c>
      <c r="Q153" t="n">
        <v>11</v>
      </c>
      <c r="R153" t="inlineStr">
        <is>
          <t>QUILLOTA 220</t>
        </is>
      </c>
      <c r="S153" t="n">
        <v>194.3873430379205</v>
      </c>
      <c r="T153" t="n">
        <v>16967.99613130896</v>
      </c>
      <c r="U153" t="n">
        <v>0</v>
      </c>
      <c r="V153" t="n">
        <v>0</v>
      </c>
      <c r="W153" t="inlineStr">
        <is>
          <t>CHILQUINTA</t>
        </is>
      </c>
      <c r="X153" t="n">
        <v>92.861291440344</v>
      </c>
      <c r="Y153" t="n">
        <v>16.96799613130896</v>
      </c>
      <c r="Z153" t="n">
        <v>18051.05971415847</v>
      </c>
      <c r="AA153" t="n">
        <v>0</v>
      </c>
      <c r="AB153" t="n">
        <v>0</v>
      </c>
      <c r="AC153" t="n">
        <v>0</v>
      </c>
      <c r="AD153" s="2" t="n">
        <v>44501</v>
      </c>
    </row>
    <row r="154">
      <c r="A154" t="n">
        <v>-1</v>
      </c>
      <c r="B154" t="inlineStr">
        <is>
          <t>01-11-2021</t>
        </is>
      </c>
      <c r="C154" t="n">
        <v>2021</v>
      </c>
      <c r="D154" t="n">
        <v>11</v>
      </c>
      <c r="E154" t="inlineStr">
        <is>
          <t>Playa Ancha 13.8</t>
        </is>
      </c>
      <c r="F154" t="inlineStr">
        <is>
          <t>Chilquinta</t>
        </is>
      </c>
      <c r="G154" t="inlineStr">
        <is>
          <t>Chilquinta</t>
        </is>
      </c>
      <c r="H154" t="inlineStr">
        <is>
          <t>Empresa Eléctrica Carén S.A.</t>
        </is>
      </c>
      <c r="I154" t="inlineStr">
        <is>
          <t>Empresa Eléctrica Carén S.A.</t>
        </is>
      </c>
      <c r="J154" t="inlineStr">
        <is>
          <t>SIC 2013/03_2_BS1B_BB_CHILQUINTA_Empresa Eléctrica Carén S.A.</t>
        </is>
      </c>
      <c r="K154" t="inlineStr">
        <is>
          <t>Playa Ancha 13.8</t>
        </is>
      </c>
      <c r="L154" t="inlineStr">
        <is>
          <t>-1</t>
        </is>
      </c>
      <c r="M154" t="n">
        <v>527.3566778771622</v>
      </c>
      <c r="N154" t="n">
        <v>0</v>
      </c>
      <c r="O154" t="inlineStr">
        <is>
          <t>3</t>
        </is>
      </c>
      <c r="P154" s="2" t="n">
        <v>44999.6862684375</v>
      </c>
      <c r="Q154" t="n">
        <v>31</v>
      </c>
      <c r="R154" t="inlineStr">
        <is>
          <t>LOS MAQUIS 220</t>
        </is>
      </c>
      <c r="S154" t="n">
        <v>19.4453328887502</v>
      </c>
      <c r="T154" t="n">
        <v>1697.375601064535</v>
      </c>
      <c r="U154" t="n">
        <v>0</v>
      </c>
      <c r="V154" t="n">
        <v>0</v>
      </c>
      <c r="W154" t="inlineStr">
        <is>
          <t>CHILQUINTA</t>
        </is>
      </c>
      <c r="X154" t="n">
        <v>92.861291440344</v>
      </c>
      <c r="Y154" t="n">
        <v>1.697375601064534</v>
      </c>
      <c r="Z154" t="n">
        <v>1805.718724536739</v>
      </c>
      <c r="AA154" t="n">
        <v>0</v>
      </c>
      <c r="AB154" t="n">
        <v>0</v>
      </c>
      <c r="AC154" t="n">
        <v>0</v>
      </c>
      <c r="AD154" s="2" t="n">
        <v>44501</v>
      </c>
    </row>
    <row r="155">
      <c r="A155" t="n">
        <v>-1</v>
      </c>
      <c r="B155" t="inlineStr">
        <is>
          <t>01-11-2021</t>
        </is>
      </c>
      <c r="C155" t="n">
        <v>2021</v>
      </c>
      <c r="D155" t="n">
        <v>11</v>
      </c>
      <c r="E155" t="inlineStr">
        <is>
          <t>Playa Ancha 13.8</t>
        </is>
      </c>
      <c r="F155" t="inlineStr">
        <is>
          <t>Chilquinta</t>
        </is>
      </c>
      <c r="G155" t="inlineStr">
        <is>
          <t>Chilquinta</t>
        </is>
      </c>
      <c r="H155" t="inlineStr">
        <is>
          <t>Empresa Eléctrica Carén S.A.</t>
        </is>
      </c>
      <c r="I155" t="inlineStr">
        <is>
          <t>Empresa Eléctrica Carén S.A.</t>
        </is>
      </c>
      <c r="J155" t="inlineStr">
        <is>
          <t>SIC 2013/03_2_BS1B_BB_CHILQUINTA_Empresa Eléctrica Carén S.A.</t>
        </is>
      </c>
      <c r="K155" t="inlineStr">
        <is>
          <t>Playa Ancha 13.8</t>
        </is>
      </c>
      <c r="L155" t="inlineStr">
        <is>
          <t>-1</t>
        </is>
      </c>
      <c r="M155" t="n">
        <v>527.3566778771622</v>
      </c>
      <c r="N155" t="n">
        <v>0</v>
      </c>
      <c r="O155" t="inlineStr">
        <is>
          <t>3</t>
        </is>
      </c>
      <c r="P155" s="2" t="n">
        <v>44999.6862684375</v>
      </c>
      <c r="Q155" t="n">
        <v>13</v>
      </c>
      <c r="R155" t="inlineStr">
        <is>
          <t>MELIPILLA 220</t>
        </is>
      </c>
      <c r="S155" t="n">
        <v>462.8460018355182</v>
      </c>
      <c r="T155" t="n">
        <v>41397.03467465987</v>
      </c>
      <c r="U155" t="n">
        <v>0</v>
      </c>
      <c r="V155" t="n">
        <v>0</v>
      </c>
      <c r="W155" t="inlineStr">
        <is>
          <t>CHILQUINTA</t>
        </is>
      </c>
      <c r="X155" t="n">
        <v>95.14913905578901</v>
      </c>
      <c r="Y155" t="n">
        <v>41.39703467465986</v>
      </c>
      <c r="Z155" t="n">
        <v>44039.39859006369</v>
      </c>
      <c r="AA155" t="n">
        <v>0</v>
      </c>
      <c r="AB155" t="n">
        <v>0</v>
      </c>
      <c r="AC155" t="n">
        <v>0</v>
      </c>
      <c r="AD155" s="2" t="n">
        <v>44501</v>
      </c>
    </row>
    <row r="156">
      <c r="A156" t="n">
        <v>-1</v>
      </c>
      <c r="B156" t="inlineStr">
        <is>
          <t>01-11-2021</t>
        </is>
      </c>
      <c r="C156" t="n">
        <v>2021</v>
      </c>
      <c r="D156" t="n">
        <v>11</v>
      </c>
      <c r="E156" t="inlineStr">
        <is>
          <t>Playa Ancha 13.8</t>
        </is>
      </c>
      <c r="F156" t="inlineStr">
        <is>
          <t>Chilquinta</t>
        </is>
      </c>
      <c r="G156" t="inlineStr">
        <is>
          <t>Chilquinta</t>
        </is>
      </c>
      <c r="H156" t="inlineStr">
        <is>
          <t>Empresa Eléctrica Carén S.A.</t>
        </is>
      </c>
      <c r="I156" t="inlineStr">
        <is>
          <t>Empresa Eléctrica Carén S.A.</t>
        </is>
      </c>
      <c r="J156" t="inlineStr">
        <is>
          <t>SIC 2013/03_2_BS1B_BB_CHILQUINTA_Empresa Eléctrica Carén S.A.</t>
        </is>
      </c>
      <c r="K156" t="inlineStr">
        <is>
          <t>Playa Ancha 13.8</t>
        </is>
      </c>
      <c r="L156" t="inlineStr">
        <is>
          <t>-1</t>
        </is>
      </c>
      <c r="M156" t="n">
        <v>527.3566778771622</v>
      </c>
      <c r="N156" t="n">
        <v>0</v>
      </c>
      <c r="O156" t="inlineStr">
        <is>
          <t>3</t>
        </is>
      </c>
      <c r="P156" s="2" t="n">
        <v>44999.6862684375</v>
      </c>
      <c r="Q156" t="n">
        <v>5</v>
      </c>
      <c r="R156" t="inlineStr">
        <is>
          <t>NOGALES 220</t>
        </is>
      </c>
      <c r="S156" t="n">
        <v>1.25789186321106</v>
      </c>
      <c r="T156" t="n">
        <v>112.313623819832</v>
      </c>
      <c r="U156" t="n">
        <v>0</v>
      </c>
      <c r="V156" t="n">
        <v>0</v>
      </c>
      <c r="W156" t="inlineStr">
        <is>
          <t>CHILQUINTA</t>
        </is>
      </c>
      <c r="X156" t="n">
        <v>94.98636729132602</v>
      </c>
      <c r="Y156" t="n">
        <v>0.112313623819832</v>
      </c>
      <c r="Z156" t="n">
        <v>119.4825785317362</v>
      </c>
      <c r="AA156" t="n">
        <v>0</v>
      </c>
      <c r="AB156" t="n">
        <v>0</v>
      </c>
      <c r="AC156" t="n">
        <v>0</v>
      </c>
      <c r="AD156" s="2" t="n">
        <v>44501</v>
      </c>
    </row>
    <row r="157">
      <c r="A157" t="n">
        <v>-1</v>
      </c>
      <c r="B157" t="inlineStr">
        <is>
          <t>01-11-2021</t>
        </is>
      </c>
      <c r="C157" t="n">
        <v>2021</v>
      </c>
      <c r="D157" t="n">
        <v>11</v>
      </c>
      <c r="E157" t="inlineStr">
        <is>
          <t>Playa Ancha 13.8</t>
        </is>
      </c>
      <c r="F157" t="inlineStr">
        <is>
          <t>Chilquinta</t>
        </is>
      </c>
      <c r="G157" t="inlineStr">
        <is>
          <t>Chilquinta</t>
        </is>
      </c>
      <c r="H157" t="inlineStr">
        <is>
          <t>Empresa Eléctrica Carén S.A.</t>
        </is>
      </c>
      <c r="I157" t="inlineStr">
        <is>
          <t>Empresa Eléctrica Carén S.A.</t>
        </is>
      </c>
      <c r="J157" t="inlineStr">
        <is>
          <t>SIC 2013/03_2_BS1B_BB_CHILQUINTA_Empresa Eléctrica Carén S.A.</t>
        </is>
      </c>
      <c r="K157" t="inlineStr">
        <is>
          <t>Playa Ancha 13.8</t>
        </is>
      </c>
      <c r="L157" t="inlineStr">
        <is>
          <t>-1</t>
        </is>
      </c>
      <c r="M157" t="n">
        <v>527.3566778771622</v>
      </c>
      <c r="N157" t="n">
        <v>0</v>
      </c>
      <c r="O157" t="inlineStr">
        <is>
          <t>3</t>
        </is>
      </c>
      <c r="P157" s="2" t="n">
        <v>44999.6862684375</v>
      </c>
      <c r="Q157" t="n">
        <v>11</v>
      </c>
      <c r="R157" t="inlineStr">
        <is>
          <t>QUILLOTA 220</t>
        </is>
      </c>
      <c r="S157" t="n">
        <v>57.040249870689</v>
      </c>
      <c r="T157" t="n">
        <v>4979.021391047771</v>
      </c>
      <c r="U157" t="n">
        <v>0</v>
      </c>
      <c r="V157" t="n">
        <v>0</v>
      </c>
      <c r="W157" t="inlineStr">
        <is>
          <t>CHILQUINTA</t>
        </is>
      </c>
      <c r="X157" t="n">
        <v>92.861291440344</v>
      </c>
      <c r="Y157" t="n">
        <v>4.97902139104777</v>
      </c>
      <c r="Z157" t="n">
        <v>5296.831267072096</v>
      </c>
      <c r="AA157" t="n">
        <v>0</v>
      </c>
      <c r="AB157" t="n">
        <v>0</v>
      </c>
      <c r="AC157" t="n">
        <v>0</v>
      </c>
      <c r="AD157" s="2" t="n">
        <v>44501</v>
      </c>
    </row>
    <row r="158">
      <c r="A158" t="n">
        <v>-1</v>
      </c>
      <c r="B158" t="inlineStr">
        <is>
          <t>01-11-2021</t>
        </is>
      </c>
      <c r="C158" t="n">
        <v>2021</v>
      </c>
      <c r="D158" t="n">
        <v>11</v>
      </c>
      <c r="E158" t="inlineStr">
        <is>
          <t>Quilpue 012</t>
        </is>
      </c>
      <c r="F158" t="inlineStr">
        <is>
          <t>Chilquinta</t>
        </is>
      </c>
      <c r="G158" t="inlineStr">
        <is>
          <t>Chilquinta</t>
        </is>
      </c>
      <c r="H158" t="inlineStr">
        <is>
          <t>Empresa Eléctrica Carén S.A.</t>
        </is>
      </c>
      <c r="I158" t="inlineStr">
        <is>
          <t>Empresa Eléctrica Carén S.A.</t>
        </is>
      </c>
      <c r="J158" t="inlineStr">
        <is>
          <t>SIC 2013/03_2_BS1B_BB_CHILQUINTA_Empresa Eléctrica Carén S.A.</t>
        </is>
      </c>
      <c r="K158" t="inlineStr">
        <is>
          <t>Quilpue 012</t>
        </is>
      </c>
      <c r="L158" t="inlineStr">
        <is>
          <t>-1</t>
        </is>
      </c>
      <c r="M158" t="n">
        <v>1376.063629254282</v>
      </c>
      <c r="N158" t="n">
        <v>0</v>
      </c>
      <c r="O158" t="inlineStr">
        <is>
          <t>3</t>
        </is>
      </c>
      <c r="P158" s="2" t="n">
        <v>44999.6862684375</v>
      </c>
      <c r="Q158" t="n">
        <v>31</v>
      </c>
      <c r="R158" t="inlineStr">
        <is>
          <t>LOS MAQUIS 220</t>
        </is>
      </c>
      <c r="S158" t="n">
        <v>319.4991131068526</v>
      </c>
      <c r="T158" t="n">
        <v>27888.95424171806</v>
      </c>
      <c r="U158" t="n">
        <v>0</v>
      </c>
      <c r="V158" t="n">
        <v>0</v>
      </c>
      <c r="W158" t="inlineStr">
        <is>
          <t>CHILQUINTA</t>
        </is>
      </c>
      <c r="X158" t="n">
        <v>92.86129144034402</v>
      </c>
      <c r="Y158" t="n">
        <v>27.88895424171806</v>
      </c>
      <c r="Z158" t="n">
        <v>29669.10025714688</v>
      </c>
      <c r="AA158" t="n">
        <v>0</v>
      </c>
      <c r="AB158" t="n">
        <v>0</v>
      </c>
      <c r="AC158" t="n">
        <v>0</v>
      </c>
      <c r="AD158" s="2" t="n">
        <v>44501</v>
      </c>
    </row>
    <row r="159">
      <c r="A159" t="n">
        <v>-1</v>
      </c>
      <c r="B159" t="inlineStr">
        <is>
          <t>01-11-2021</t>
        </is>
      </c>
      <c r="C159" t="n">
        <v>2021</v>
      </c>
      <c r="D159" t="n">
        <v>11</v>
      </c>
      <c r="E159" t="inlineStr">
        <is>
          <t>Quilpue 012</t>
        </is>
      </c>
      <c r="F159" t="inlineStr">
        <is>
          <t>Chilquinta</t>
        </is>
      </c>
      <c r="G159" t="inlineStr">
        <is>
          <t>Chilquinta</t>
        </is>
      </c>
      <c r="H159" t="inlineStr">
        <is>
          <t>Empresa Eléctrica Carén S.A.</t>
        </is>
      </c>
      <c r="I159" t="inlineStr">
        <is>
          <t>Empresa Eléctrica Carén S.A.</t>
        </is>
      </c>
      <c r="J159" t="inlineStr">
        <is>
          <t>SIC 2013/03_2_BS1B_BB_CHILQUINTA_Empresa Eléctrica Carén S.A.</t>
        </is>
      </c>
      <c r="K159" t="inlineStr">
        <is>
          <t>Quilpue 012</t>
        </is>
      </c>
      <c r="L159" t="inlineStr">
        <is>
          <t>-1</t>
        </is>
      </c>
      <c r="M159" t="n">
        <v>1376.063629254282</v>
      </c>
      <c r="N159" t="n">
        <v>0</v>
      </c>
      <c r="O159" t="inlineStr">
        <is>
          <t>3</t>
        </is>
      </c>
      <c r="P159" s="2" t="n">
        <v>44999.6862684375</v>
      </c>
      <c r="Q159" t="n">
        <v>13</v>
      </c>
      <c r="R159" t="inlineStr">
        <is>
          <t>MELIPILLA 220</t>
        </is>
      </c>
      <c r="S159" t="n">
        <v>155.7393550844433</v>
      </c>
      <c r="T159" t="n">
        <v>13929.35762018528</v>
      </c>
      <c r="U159" t="n">
        <v>0</v>
      </c>
      <c r="V159" t="n">
        <v>0</v>
      </c>
      <c r="W159" t="inlineStr">
        <is>
          <t>CHILQUINTA</t>
        </is>
      </c>
      <c r="X159" t="n">
        <v>95.14913905578902</v>
      </c>
      <c r="Y159" t="n">
        <v>13.92935762018528</v>
      </c>
      <c r="Z159" t="n">
        <v>14818.4655533886</v>
      </c>
      <c r="AA159" t="n">
        <v>0</v>
      </c>
      <c r="AB159" t="n">
        <v>0</v>
      </c>
      <c r="AC159" t="n">
        <v>0</v>
      </c>
      <c r="AD159" s="2" t="n">
        <v>44501</v>
      </c>
    </row>
    <row r="160">
      <c r="A160" t="n">
        <v>-1</v>
      </c>
      <c r="B160" t="inlineStr">
        <is>
          <t>01-11-2021</t>
        </is>
      </c>
      <c r="C160" t="n">
        <v>2021</v>
      </c>
      <c r="D160" t="n">
        <v>11</v>
      </c>
      <c r="E160" t="inlineStr">
        <is>
          <t>Quilpue 012</t>
        </is>
      </c>
      <c r="F160" t="inlineStr">
        <is>
          <t>Chilquinta</t>
        </is>
      </c>
      <c r="G160" t="inlineStr">
        <is>
          <t>Chilquinta</t>
        </is>
      </c>
      <c r="H160" t="inlineStr">
        <is>
          <t>Empresa Eléctrica Carén S.A.</t>
        </is>
      </c>
      <c r="I160" t="inlineStr">
        <is>
          <t>Empresa Eléctrica Carén S.A.</t>
        </is>
      </c>
      <c r="J160" t="inlineStr">
        <is>
          <t>SIC 2013/03_2_BS1B_BB_CHILQUINTA_Empresa Eléctrica Carén S.A.</t>
        </is>
      </c>
      <c r="K160" t="inlineStr">
        <is>
          <t>Quilpue 012</t>
        </is>
      </c>
      <c r="L160" t="inlineStr">
        <is>
          <t>-1</t>
        </is>
      </c>
      <c r="M160" t="n">
        <v>1376.063629254282</v>
      </c>
      <c r="N160" t="n">
        <v>0</v>
      </c>
      <c r="O160" t="inlineStr">
        <is>
          <t>3</t>
        </is>
      </c>
      <c r="P160" s="2" t="n">
        <v>44999.6862684375</v>
      </c>
      <c r="Q160" t="n">
        <v>5</v>
      </c>
      <c r="R160" t="inlineStr">
        <is>
          <t>NOGALES 220</t>
        </is>
      </c>
      <c r="S160" t="n">
        <v>23.77814057867687</v>
      </c>
      <c r="T160" t="n">
        <v>2123.083242840325</v>
      </c>
      <c r="U160" t="n">
        <v>0</v>
      </c>
      <c r="V160" t="n">
        <v>0</v>
      </c>
      <c r="W160" t="inlineStr">
        <is>
          <t>CHILQUINTA</t>
        </is>
      </c>
      <c r="X160" t="n">
        <v>94.98636729132602</v>
      </c>
      <c r="Y160" t="n">
        <v>2.123083242840325</v>
      </c>
      <c r="Z160" t="n">
        <v>2258.599194510984</v>
      </c>
      <c r="AA160" t="n">
        <v>0</v>
      </c>
      <c r="AB160" t="n">
        <v>0</v>
      </c>
      <c r="AC160" t="n">
        <v>0</v>
      </c>
      <c r="AD160" s="2" t="n">
        <v>44501</v>
      </c>
    </row>
    <row r="161">
      <c r="A161" t="n">
        <v>-1</v>
      </c>
      <c r="B161" t="inlineStr">
        <is>
          <t>01-11-2021</t>
        </is>
      </c>
      <c r="C161" t="n">
        <v>2021</v>
      </c>
      <c r="D161" t="n">
        <v>11</v>
      </c>
      <c r="E161" t="inlineStr">
        <is>
          <t>Quilpue 012</t>
        </is>
      </c>
      <c r="F161" t="inlineStr">
        <is>
          <t>Chilquinta</t>
        </is>
      </c>
      <c r="G161" t="inlineStr">
        <is>
          <t>Chilquinta</t>
        </is>
      </c>
      <c r="H161" t="inlineStr">
        <is>
          <t>Empresa Eléctrica Carén S.A.</t>
        </is>
      </c>
      <c r="I161" t="inlineStr">
        <is>
          <t>Empresa Eléctrica Carén S.A.</t>
        </is>
      </c>
      <c r="J161" t="inlineStr">
        <is>
          <t>SIC 2013/03_2_BS1B_BB_CHILQUINTA_Empresa Eléctrica Carén S.A.</t>
        </is>
      </c>
      <c r="K161" t="inlineStr">
        <is>
          <t>Quilpue 012</t>
        </is>
      </c>
      <c r="L161" t="inlineStr">
        <is>
          <t>-1</t>
        </is>
      </c>
      <c r="M161" t="n">
        <v>1376.063629254282</v>
      </c>
      <c r="N161" t="n">
        <v>0</v>
      </c>
      <c r="O161" t="inlineStr">
        <is>
          <t>3</t>
        </is>
      </c>
      <c r="P161" s="2" t="n">
        <v>44999.6862684375</v>
      </c>
      <c r="Q161" t="n">
        <v>11</v>
      </c>
      <c r="R161" t="inlineStr">
        <is>
          <t>QUILLOTA 220</t>
        </is>
      </c>
      <c r="S161" t="n">
        <v>911.5761610156661</v>
      </c>
      <c r="T161" t="n">
        <v>79571.13118465699</v>
      </c>
      <c r="U161" t="n">
        <v>0</v>
      </c>
      <c r="V161" t="n">
        <v>0</v>
      </c>
      <c r="W161" t="inlineStr">
        <is>
          <t>CHILQUINTA</t>
        </is>
      </c>
      <c r="X161" t="n">
        <v>92.86129144034402</v>
      </c>
      <c r="Y161" t="n">
        <v>79.57113118465699</v>
      </c>
      <c r="Z161" t="n">
        <v>84650.13955814573</v>
      </c>
      <c r="AA161" t="n">
        <v>0</v>
      </c>
      <c r="AB161" t="n">
        <v>0</v>
      </c>
      <c r="AC161" t="n">
        <v>0</v>
      </c>
      <c r="AD161" s="2" t="n">
        <v>44501</v>
      </c>
    </row>
    <row r="162">
      <c r="A162" t="n">
        <v>-1</v>
      </c>
      <c r="B162" t="inlineStr">
        <is>
          <t>01-11-2021</t>
        </is>
      </c>
      <c r="C162" t="n">
        <v>2021</v>
      </c>
      <c r="D162" t="n">
        <v>11</v>
      </c>
      <c r="E162" t="inlineStr">
        <is>
          <t>Quintero 012</t>
        </is>
      </c>
      <c r="F162" t="inlineStr">
        <is>
          <t>Chilquinta</t>
        </is>
      </c>
      <c r="G162" t="inlineStr">
        <is>
          <t>Chilquinta</t>
        </is>
      </c>
      <c r="H162" t="inlineStr">
        <is>
          <t>Empresa Eléctrica Carén S.A.</t>
        </is>
      </c>
      <c r="I162" t="inlineStr">
        <is>
          <t>Empresa Eléctrica Carén S.A.</t>
        </is>
      </c>
      <c r="J162" t="inlineStr">
        <is>
          <t>SIC 2013/03_2_BS1B_BB_CHILQUINTA_Empresa Eléctrica Carén S.A.</t>
        </is>
      </c>
      <c r="K162" t="inlineStr">
        <is>
          <t>Quintero 012</t>
        </is>
      </c>
      <c r="L162" t="inlineStr">
        <is>
          <t>-1</t>
        </is>
      </c>
      <c r="M162" t="n">
        <v>361.8153539607525</v>
      </c>
      <c r="N162" t="n">
        <v>0</v>
      </c>
      <c r="O162" t="inlineStr">
        <is>
          <t>3</t>
        </is>
      </c>
      <c r="P162" s="2" t="n">
        <v>44999.6862684375</v>
      </c>
      <c r="Q162" t="n">
        <v>31</v>
      </c>
      <c r="R162" t="inlineStr">
        <is>
          <t>LOS MAQUIS 220</t>
        </is>
      </c>
      <c r="S162" t="n">
        <v>75.4381206495639</v>
      </c>
      <c r="T162" t="n">
        <v>6584.964428909927</v>
      </c>
      <c r="U162" t="n">
        <v>0</v>
      </c>
      <c r="V162" t="n">
        <v>0</v>
      </c>
      <c r="W162" t="inlineStr">
        <is>
          <t>CHILQUINTA</t>
        </is>
      </c>
      <c r="X162" t="n">
        <v>92.86129144034402</v>
      </c>
      <c r="Y162" t="n">
        <v>6.584964428909927</v>
      </c>
      <c r="Z162" t="n">
        <v>7005.281307350987</v>
      </c>
      <c r="AA162" t="n">
        <v>0</v>
      </c>
      <c r="AB162" t="n">
        <v>0</v>
      </c>
      <c r="AC162" t="n">
        <v>0</v>
      </c>
      <c r="AD162" s="2" t="n">
        <v>44501</v>
      </c>
    </row>
    <row r="163">
      <c r="A163" t="n">
        <v>-1</v>
      </c>
      <c r="B163" t="inlineStr">
        <is>
          <t>01-11-2021</t>
        </is>
      </c>
      <c r="C163" t="n">
        <v>2021</v>
      </c>
      <c r="D163" t="n">
        <v>11</v>
      </c>
      <c r="E163" t="inlineStr">
        <is>
          <t>Quintero 012</t>
        </is>
      </c>
      <c r="F163" t="inlineStr">
        <is>
          <t>Chilquinta</t>
        </is>
      </c>
      <c r="G163" t="inlineStr">
        <is>
          <t>Chilquinta</t>
        </is>
      </c>
      <c r="H163" t="inlineStr">
        <is>
          <t>Empresa Eléctrica Carén S.A.</t>
        </is>
      </c>
      <c r="I163" t="inlineStr">
        <is>
          <t>Empresa Eléctrica Carén S.A.</t>
        </is>
      </c>
      <c r="J163" t="inlineStr">
        <is>
          <t>SIC 2013/03_2_BS1B_BB_CHILQUINTA_Empresa Eléctrica Carén S.A.</t>
        </is>
      </c>
      <c r="K163" t="inlineStr">
        <is>
          <t>Quintero 012</t>
        </is>
      </c>
      <c r="L163" t="inlineStr">
        <is>
          <t>-1</t>
        </is>
      </c>
      <c r="M163" t="n">
        <v>361.8153539607525</v>
      </c>
      <c r="N163" t="n">
        <v>0</v>
      </c>
      <c r="O163" t="inlineStr">
        <is>
          <t>3</t>
        </is>
      </c>
      <c r="P163" s="2" t="n">
        <v>44999.6862684375</v>
      </c>
      <c r="Q163" t="n">
        <v>13</v>
      </c>
      <c r="R163" t="inlineStr">
        <is>
          <t>MELIPILLA 220</t>
        </is>
      </c>
      <c r="S163" t="n">
        <v>38.90610840978232</v>
      </c>
      <c r="T163" t="n">
        <v>3479.769756049862</v>
      </c>
      <c r="U163" t="n">
        <v>0</v>
      </c>
      <c r="V163" t="n">
        <v>0</v>
      </c>
      <c r="W163" t="inlineStr">
        <is>
          <t>CHILQUINTA</t>
        </is>
      </c>
      <c r="X163" t="n">
        <v>95.14913905578902</v>
      </c>
      <c r="Y163" t="n">
        <v>3.479769756049862</v>
      </c>
      <c r="Z163" t="n">
        <v>3701.882719201981</v>
      </c>
      <c r="AA163" t="n">
        <v>0</v>
      </c>
      <c r="AB163" t="n">
        <v>0</v>
      </c>
      <c r="AC163" t="n">
        <v>0</v>
      </c>
      <c r="AD163" s="2" t="n">
        <v>44501</v>
      </c>
    </row>
    <row r="164">
      <c r="A164" t="n">
        <v>-1</v>
      </c>
      <c r="B164" t="inlineStr">
        <is>
          <t>01-11-2021</t>
        </is>
      </c>
      <c r="C164" t="n">
        <v>2021</v>
      </c>
      <c r="D164" t="n">
        <v>11</v>
      </c>
      <c r="E164" t="inlineStr">
        <is>
          <t>Quintero 012</t>
        </is>
      </c>
      <c r="F164" t="inlineStr">
        <is>
          <t>Chilquinta</t>
        </is>
      </c>
      <c r="G164" t="inlineStr">
        <is>
          <t>Chilquinta</t>
        </is>
      </c>
      <c r="H164" t="inlineStr">
        <is>
          <t>Empresa Eléctrica Carén S.A.</t>
        </is>
      </c>
      <c r="I164" t="inlineStr">
        <is>
          <t>Empresa Eléctrica Carén S.A.</t>
        </is>
      </c>
      <c r="J164" t="inlineStr">
        <is>
          <t>SIC 2013/03_2_BS1B_BB_CHILQUINTA_Empresa Eléctrica Carén S.A.</t>
        </is>
      </c>
      <c r="K164" t="inlineStr">
        <is>
          <t>Quintero 012</t>
        </is>
      </c>
      <c r="L164" t="inlineStr">
        <is>
          <t>-1</t>
        </is>
      </c>
      <c r="M164" t="n">
        <v>361.8153539607525</v>
      </c>
      <c r="N164" t="n">
        <v>0</v>
      </c>
      <c r="O164" t="inlineStr">
        <is>
          <t>3</t>
        </is>
      </c>
      <c r="P164" s="2" t="n">
        <v>44999.6862684375</v>
      </c>
      <c r="Q164" t="n">
        <v>5</v>
      </c>
      <c r="R164" t="inlineStr">
        <is>
          <t>NOGALES 220</t>
        </is>
      </c>
      <c r="S164" t="n">
        <v>12.59133655566177</v>
      </c>
      <c r="T164" t="n">
        <v>1124.244999638902</v>
      </c>
      <c r="U164" t="n">
        <v>0</v>
      </c>
      <c r="V164" t="n">
        <v>0</v>
      </c>
      <c r="W164" t="inlineStr">
        <is>
          <t>CHILQUINTA</t>
        </is>
      </c>
      <c r="X164" t="n">
        <v>94.98636729132599</v>
      </c>
      <c r="Y164" t="n">
        <v>1.124244999638901</v>
      </c>
      <c r="Z164" t="n">
        <v>1196.005318764789</v>
      </c>
      <c r="AA164" t="n">
        <v>0</v>
      </c>
      <c r="AB164" t="n">
        <v>0</v>
      </c>
      <c r="AC164" t="n">
        <v>0</v>
      </c>
      <c r="AD164" s="2" t="n">
        <v>44501</v>
      </c>
    </row>
    <row r="165">
      <c r="A165" t="n">
        <v>-1</v>
      </c>
      <c r="B165" t="inlineStr">
        <is>
          <t>01-11-2021</t>
        </is>
      </c>
      <c r="C165" t="n">
        <v>2021</v>
      </c>
      <c r="D165" t="n">
        <v>11</v>
      </c>
      <c r="E165" t="inlineStr">
        <is>
          <t>Quintero 012</t>
        </is>
      </c>
      <c r="F165" t="inlineStr">
        <is>
          <t>Chilquinta</t>
        </is>
      </c>
      <c r="G165" t="inlineStr">
        <is>
          <t>Chilquinta</t>
        </is>
      </c>
      <c r="H165" t="inlineStr">
        <is>
          <t>Empresa Eléctrica Carén S.A.</t>
        </is>
      </c>
      <c r="I165" t="inlineStr">
        <is>
          <t>Empresa Eléctrica Carén S.A.</t>
        </is>
      </c>
      <c r="J165" t="inlineStr">
        <is>
          <t>SIC 2013/03_2_BS1B_BB_CHILQUINTA_Empresa Eléctrica Carén S.A.</t>
        </is>
      </c>
      <c r="K165" t="inlineStr">
        <is>
          <t>Quintero 012</t>
        </is>
      </c>
      <c r="L165" t="inlineStr">
        <is>
          <t>-1</t>
        </is>
      </c>
      <c r="M165" t="n">
        <v>361.8153539607525</v>
      </c>
      <c r="N165" t="n">
        <v>0</v>
      </c>
      <c r="O165" t="inlineStr">
        <is>
          <t>3</t>
        </is>
      </c>
      <c r="P165" s="2" t="n">
        <v>44999.6862684375</v>
      </c>
      <c r="Q165" t="n">
        <v>11</v>
      </c>
      <c r="R165" t="inlineStr">
        <is>
          <t>QUILLOTA 220</t>
        </is>
      </c>
      <c r="S165" t="n">
        <v>243.9587095073217</v>
      </c>
      <c r="T165" t="n">
        <v>21295.06157359145</v>
      </c>
      <c r="U165" t="n">
        <v>0</v>
      </c>
      <c r="V165" t="n">
        <v>0</v>
      </c>
      <c r="W165" t="inlineStr">
        <is>
          <t>CHILQUINTA</t>
        </is>
      </c>
      <c r="X165" t="n">
        <v>92.86129144034402</v>
      </c>
      <c r="Y165" t="n">
        <v>21.29506157359145</v>
      </c>
      <c r="Z165" t="n">
        <v>22654.32082296963</v>
      </c>
      <c r="AA165" t="n">
        <v>0</v>
      </c>
      <c r="AB165" t="n">
        <v>0</v>
      </c>
      <c r="AC165" t="n">
        <v>0</v>
      </c>
      <c r="AD165" s="2" t="n">
        <v>44501</v>
      </c>
    </row>
    <row r="166">
      <c r="A166" t="n">
        <v>-1</v>
      </c>
      <c r="B166" t="inlineStr">
        <is>
          <t>01-11-2021</t>
        </is>
      </c>
      <c r="C166" t="n">
        <v>2021</v>
      </c>
      <c r="D166" t="n">
        <v>11</v>
      </c>
      <c r="E166" t="inlineStr">
        <is>
          <t>Reñaca 012</t>
        </is>
      </c>
      <c r="F166" t="inlineStr">
        <is>
          <t>Chilquinta</t>
        </is>
      </c>
      <c r="G166" t="inlineStr">
        <is>
          <t>Chilquinta</t>
        </is>
      </c>
      <c r="H166" t="inlineStr">
        <is>
          <t>Empresa Eléctrica Carén S.A.</t>
        </is>
      </c>
      <c r="I166" t="inlineStr">
        <is>
          <t>Empresa Eléctrica Carén S.A.</t>
        </is>
      </c>
      <c r="J166" t="inlineStr">
        <is>
          <t>SIC 2013/03_2_BS1B_BB_CHILQUINTA_Empresa Eléctrica Carén S.A.</t>
        </is>
      </c>
      <c r="K166" t="inlineStr">
        <is>
          <t>Reñaca 012</t>
        </is>
      </c>
      <c r="L166" t="inlineStr">
        <is>
          <t>-1</t>
        </is>
      </c>
      <c r="M166" t="n">
        <v>886.6282398097655</v>
      </c>
      <c r="N166" t="n">
        <v>0</v>
      </c>
      <c r="O166" t="inlineStr">
        <is>
          <t>3</t>
        </is>
      </c>
      <c r="P166" s="2" t="n">
        <v>44999.6862684375</v>
      </c>
      <c r="Q166" t="n">
        <v>31</v>
      </c>
      <c r="R166" t="inlineStr">
        <is>
          <t>LOS MAQUIS 220</t>
        </is>
      </c>
      <c r="S166" t="n">
        <v>186.6469929914321</v>
      </c>
      <c r="T166" t="n">
        <v>16292.34396388275</v>
      </c>
      <c r="U166" t="n">
        <v>0</v>
      </c>
      <c r="V166" t="n">
        <v>0</v>
      </c>
      <c r="W166" t="inlineStr">
        <is>
          <t>CHILQUINTA</t>
        </is>
      </c>
      <c r="X166" t="n">
        <v>92.861291440344</v>
      </c>
      <c r="Y166" t="n">
        <v>16.29234396388274</v>
      </c>
      <c r="Z166" t="n">
        <v>17332.28081264122</v>
      </c>
      <c r="AA166" t="n">
        <v>0</v>
      </c>
      <c r="AB166" t="n">
        <v>0</v>
      </c>
      <c r="AC166" t="n">
        <v>0</v>
      </c>
      <c r="AD166" s="2" t="n">
        <v>44501</v>
      </c>
    </row>
    <row r="167">
      <c r="A167" t="n">
        <v>-1</v>
      </c>
      <c r="B167" t="inlineStr">
        <is>
          <t>01-11-2021</t>
        </is>
      </c>
      <c r="C167" t="n">
        <v>2021</v>
      </c>
      <c r="D167" t="n">
        <v>11</v>
      </c>
      <c r="E167" t="inlineStr">
        <is>
          <t>Reñaca 012</t>
        </is>
      </c>
      <c r="F167" t="inlineStr">
        <is>
          <t>Chilquinta</t>
        </is>
      </c>
      <c r="G167" t="inlineStr">
        <is>
          <t>Chilquinta</t>
        </is>
      </c>
      <c r="H167" t="inlineStr">
        <is>
          <t>Empresa Eléctrica Carén S.A.</t>
        </is>
      </c>
      <c r="I167" t="inlineStr">
        <is>
          <t>Empresa Eléctrica Carén S.A.</t>
        </is>
      </c>
      <c r="J167" t="inlineStr">
        <is>
          <t>SIC 2013/03_2_BS1B_BB_CHILQUINTA_Empresa Eléctrica Carén S.A.</t>
        </is>
      </c>
      <c r="K167" t="inlineStr">
        <is>
          <t>Reñaca 012</t>
        </is>
      </c>
      <c r="L167" t="inlineStr">
        <is>
          <t>-1</t>
        </is>
      </c>
      <c r="M167" t="n">
        <v>886.6282398097655</v>
      </c>
      <c r="N167" t="n">
        <v>0</v>
      </c>
      <c r="O167" t="inlineStr">
        <is>
          <t>3</t>
        </is>
      </c>
      <c r="P167" s="2" t="n">
        <v>44999.6862684375</v>
      </c>
      <c r="Q167" t="n">
        <v>13</v>
      </c>
      <c r="R167" t="inlineStr">
        <is>
          <t>MELIPILLA 220</t>
        </is>
      </c>
      <c r="S167" t="n">
        <v>137.9274885979198</v>
      </c>
      <c r="T167" t="n">
        <v>12336.26088468607</v>
      </c>
      <c r="U167" t="n">
        <v>0</v>
      </c>
      <c r="V167" t="n">
        <v>0</v>
      </c>
      <c r="W167" t="inlineStr">
        <is>
          <t>CHILQUINTA</t>
        </is>
      </c>
      <c r="X167" t="n">
        <v>95.14913905578902</v>
      </c>
      <c r="Y167" t="n">
        <v>12.33626088468607</v>
      </c>
      <c r="Z167" t="n">
        <v>13123.68179221922</v>
      </c>
      <c r="AA167" t="n">
        <v>0</v>
      </c>
      <c r="AB167" t="n">
        <v>0</v>
      </c>
      <c r="AC167" t="n">
        <v>0</v>
      </c>
      <c r="AD167" s="2" t="n">
        <v>44501</v>
      </c>
    </row>
    <row r="168">
      <c r="A168" t="n">
        <v>-1</v>
      </c>
      <c r="B168" t="inlineStr">
        <is>
          <t>01-11-2021</t>
        </is>
      </c>
      <c r="C168" t="n">
        <v>2021</v>
      </c>
      <c r="D168" t="n">
        <v>11</v>
      </c>
      <c r="E168" t="inlineStr">
        <is>
          <t>Reñaca 012</t>
        </is>
      </c>
      <c r="F168" t="inlineStr">
        <is>
          <t>Chilquinta</t>
        </is>
      </c>
      <c r="G168" t="inlineStr">
        <is>
          <t>Chilquinta</t>
        </is>
      </c>
      <c r="H168" t="inlineStr">
        <is>
          <t>Empresa Eléctrica Carén S.A.</t>
        </is>
      </c>
      <c r="I168" t="inlineStr">
        <is>
          <t>Empresa Eléctrica Carén S.A.</t>
        </is>
      </c>
      <c r="J168" t="inlineStr">
        <is>
          <t>SIC 2013/03_2_BS1B_BB_CHILQUINTA_Empresa Eléctrica Carén S.A.</t>
        </is>
      </c>
      <c r="K168" t="inlineStr">
        <is>
          <t>Reñaca 012</t>
        </is>
      </c>
      <c r="L168" t="inlineStr">
        <is>
          <t>-1</t>
        </is>
      </c>
      <c r="M168" t="n">
        <v>886.6282398097655</v>
      </c>
      <c r="N168" t="n">
        <v>0</v>
      </c>
      <c r="O168" t="inlineStr">
        <is>
          <t>3</t>
        </is>
      </c>
      <c r="P168" s="2" t="n">
        <v>44999.6862684375</v>
      </c>
      <c r="Q168" t="n">
        <v>5</v>
      </c>
      <c r="R168" t="inlineStr">
        <is>
          <t>NOGALES 220</t>
        </is>
      </c>
      <c r="S168" t="n">
        <v>22.38484824613544</v>
      </c>
      <c r="T168" t="n">
        <v>1998.680092231936</v>
      </c>
      <c r="U168" t="n">
        <v>0</v>
      </c>
      <c r="V168" t="n">
        <v>0</v>
      </c>
      <c r="W168" t="inlineStr">
        <is>
          <t>CHILQUINTA</t>
        </is>
      </c>
      <c r="X168" t="n">
        <v>94.986367291326</v>
      </c>
      <c r="Y168" t="n">
        <v>1.998680092231935</v>
      </c>
      <c r="Z168" t="n">
        <v>2126.255417268017</v>
      </c>
      <c r="AA168" t="n">
        <v>0</v>
      </c>
      <c r="AB168" t="n">
        <v>0</v>
      </c>
      <c r="AC168" t="n">
        <v>0</v>
      </c>
      <c r="AD168" s="2" t="n">
        <v>44501</v>
      </c>
    </row>
    <row r="169">
      <c r="A169" t="n">
        <v>-1</v>
      </c>
      <c r="B169" t="inlineStr">
        <is>
          <t>01-11-2021</t>
        </is>
      </c>
      <c r="C169" t="n">
        <v>2021</v>
      </c>
      <c r="D169" t="n">
        <v>11</v>
      </c>
      <c r="E169" t="inlineStr">
        <is>
          <t>Reñaca 012</t>
        </is>
      </c>
      <c r="F169" t="inlineStr">
        <is>
          <t>Chilquinta</t>
        </is>
      </c>
      <c r="G169" t="inlineStr">
        <is>
          <t>Chilquinta</t>
        </is>
      </c>
      <c r="H169" t="inlineStr">
        <is>
          <t>Empresa Eléctrica Carén S.A.</t>
        </is>
      </c>
      <c r="I169" t="inlineStr">
        <is>
          <t>Empresa Eléctrica Carén S.A.</t>
        </is>
      </c>
      <c r="J169" t="inlineStr">
        <is>
          <t>SIC 2013/03_2_BS1B_BB_CHILQUINTA_Empresa Eléctrica Carén S.A.</t>
        </is>
      </c>
      <c r="K169" t="inlineStr">
        <is>
          <t>Reñaca 012</t>
        </is>
      </c>
      <c r="L169" t="inlineStr">
        <is>
          <t>-1</t>
        </is>
      </c>
      <c r="M169" t="n">
        <v>886.6282398097655</v>
      </c>
      <c r="N169" t="n">
        <v>0</v>
      </c>
      <c r="O169" t="inlineStr">
        <is>
          <t>3</t>
        </is>
      </c>
      <c r="P169" s="2" t="n">
        <v>44999.6862684375</v>
      </c>
      <c r="Q169" t="n">
        <v>11</v>
      </c>
      <c r="R169" t="inlineStr">
        <is>
          <t>QUILLOTA 220</t>
        </is>
      </c>
      <c r="S169" t="n">
        <v>561.9167991275227</v>
      </c>
      <c r="T169" t="n">
        <v>49049.50047006576</v>
      </c>
      <c r="U169" t="n">
        <v>0</v>
      </c>
      <c r="V169" t="n">
        <v>0</v>
      </c>
      <c r="W169" t="inlineStr">
        <is>
          <t>CHILQUINTA</t>
        </is>
      </c>
      <c r="X169" t="n">
        <v>92.861291440344</v>
      </c>
      <c r="Y169" t="n">
        <v>49.04950047006576</v>
      </c>
      <c r="Z169" t="n">
        <v>52180.31964900613</v>
      </c>
      <c r="AA169" t="n">
        <v>0</v>
      </c>
      <c r="AB169" t="n">
        <v>0</v>
      </c>
      <c r="AC169" t="n">
        <v>0</v>
      </c>
      <c r="AD169" s="2" t="n">
        <v>44501</v>
      </c>
    </row>
    <row r="170">
      <c r="A170" t="n">
        <v>-1</v>
      </c>
      <c r="B170" t="inlineStr">
        <is>
          <t>01-11-2021</t>
        </is>
      </c>
      <c r="C170" t="n">
        <v>2021</v>
      </c>
      <c r="D170" t="n">
        <v>11</v>
      </c>
      <c r="E170" t="inlineStr">
        <is>
          <t>Rio Blanco 012</t>
        </is>
      </c>
      <c r="F170" t="inlineStr">
        <is>
          <t>Chilquinta</t>
        </is>
      </c>
      <c r="G170" t="inlineStr">
        <is>
          <t>Chilquinta</t>
        </is>
      </c>
      <c r="H170" t="inlineStr">
        <is>
          <t>Empresa Eléctrica Carén S.A.</t>
        </is>
      </c>
      <c r="I170" t="inlineStr">
        <is>
          <t>Empresa Eléctrica Carén S.A.</t>
        </is>
      </c>
      <c r="J170" t="inlineStr">
        <is>
          <t>SIC 2013/03_2_BS1B_BB_CHILQUINTA_Empresa Eléctrica Carén S.A.</t>
        </is>
      </c>
      <c r="K170" t="inlineStr">
        <is>
          <t>Rio Blanco 012</t>
        </is>
      </c>
      <c r="L170" t="inlineStr">
        <is>
          <t>-1</t>
        </is>
      </c>
      <c r="M170" t="n">
        <v>10.84535249723129</v>
      </c>
      <c r="N170" t="n">
        <v>0</v>
      </c>
      <c r="O170" t="inlineStr">
        <is>
          <t>3</t>
        </is>
      </c>
      <c r="P170" s="2" t="n">
        <v>44999.6862684375</v>
      </c>
      <c r="Q170" t="n">
        <v>31</v>
      </c>
      <c r="R170" t="inlineStr">
        <is>
          <t>LOS MAQUIS 220</t>
        </is>
      </c>
      <c r="S170" t="n">
        <v>9.237158565889411</v>
      </c>
      <c r="T170" t="n">
        <v>806.308005247663</v>
      </c>
      <c r="U170" t="n">
        <v>0</v>
      </c>
      <c r="V170" t="n">
        <v>0</v>
      </c>
      <c r="W170" t="inlineStr">
        <is>
          <t>CHILQUINTA</t>
        </is>
      </c>
      <c r="X170" t="n">
        <v>92.861291440344</v>
      </c>
      <c r="Y170" t="n">
        <v>0.806308005247663</v>
      </c>
      <c r="Z170" t="n">
        <v>857.7744736677266</v>
      </c>
      <c r="AA170" t="n">
        <v>0</v>
      </c>
      <c r="AB170" t="n">
        <v>0</v>
      </c>
      <c r="AC170" t="n">
        <v>0</v>
      </c>
      <c r="AD170" s="2" t="n">
        <v>44501</v>
      </c>
    </row>
    <row r="171">
      <c r="A171" t="n">
        <v>-1</v>
      </c>
      <c r="B171" t="inlineStr">
        <is>
          <t>01-11-2021</t>
        </is>
      </c>
      <c r="C171" t="n">
        <v>2021</v>
      </c>
      <c r="D171" t="n">
        <v>11</v>
      </c>
      <c r="E171" t="inlineStr">
        <is>
          <t>Rio Blanco 012</t>
        </is>
      </c>
      <c r="F171" t="inlineStr">
        <is>
          <t>Chilquinta</t>
        </is>
      </c>
      <c r="G171" t="inlineStr">
        <is>
          <t>Chilquinta</t>
        </is>
      </c>
      <c r="H171" t="inlineStr">
        <is>
          <t>Empresa Eléctrica Carén S.A.</t>
        </is>
      </c>
      <c r="I171" t="inlineStr">
        <is>
          <t>Empresa Eléctrica Carén S.A.</t>
        </is>
      </c>
      <c r="J171" t="inlineStr">
        <is>
          <t>SIC 2013/03_2_BS1B_BB_CHILQUINTA_Empresa Eléctrica Carén S.A.</t>
        </is>
      </c>
      <c r="K171" t="inlineStr">
        <is>
          <t>Rio Blanco 012</t>
        </is>
      </c>
      <c r="L171" t="inlineStr">
        <is>
          <t>-1</t>
        </is>
      </c>
      <c r="M171" t="n">
        <v>10.84535249723129</v>
      </c>
      <c r="N171" t="n">
        <v>0</v>
      </c>
      <c r="O171" t="inlineStr">
        <is>
          <t>3</t>
        </is>
      </c>
      <c r="P171" s="2" t="n">
        <v>44999.6862684375</v>
      </c>
      <c r="Q171" t="n">
        <v>11</v>
      </c>
      <c r="R171" t="inlineStr">
        <is>
          <t>QUILLOTA 220</t>
        </is>
      </c>
      <c r="S171" t="n">
        <v>1.880333018901324</v>
      </c>
      <c r="T171" t="n">
        <v>164.1335433247118</v>
      </c>
      <c r="U171" t="n">
        <v>0</v>
      </c>
      <c r="V171" t="n">
        <v>0</v>
      </c>
      <c r="W171" t="inlineStr">
        <is>
          <t>CHILQUINTA</t>
        </is>
      </c>
      <c r="X171" t="n">
        <v>92.861291440344</v>
      </c>
      <c r="Y171" t="n">
        <v>0.1641335433247118</v>
      </c>
      <c r="Z171" t="n">
        <v>174.6101524730977</v>
      </c>
      <c r="AA171" t="n">
        <v>0</v>
      </c>
      <c r="AB171" t="n">
        <v>0</v>
      </c>
      <c r="AC171" t="n">
        <v>0</v>
      </c>
      <c r="AD171" s="2" t="n">
        <v>44501</v>
      </c>
    </row>
    <row r="172">
      <c r="A172" t="n">
        <v>-1</v>
      </c>
      <c r="B172" t="inlineStr">
        <is>
          <t>01-11-2021</t>
        </is>
      </c>
      <c r="C172" t="n">
        <v>2021</v>
      </c>
      <c r="D172" t="n">
        <v>11</v>
      </c>
      <c r="E172" t="inlineStr">
        <is>
          <t>San Antonio 012</t>
        </is>
      </c>
      <c r="F172" t="inlineStr">
        <is>
          <t>Chilquinta</t>
        </is>
      </c>
      <c r="G172" t="inlineStr">
        <is>
          <t>Chilquinta</t>
        </is>
      </c>
      <c r="H172" t="inlineStr">
        <is>
          <t>Empresa Eléctrica Carén S.A.</t>
        </is>
      </c>
      <c r="I172" t="inlineStr">
        <is>
          <t>Empresa Eléctrica Carén S.A.</t>
        </is>
      </c>
      <c r="J172" t="inlineStr">
        <is>
          <t>SIC 2013/03_2_BS1B_BB_CHILQUINTA_Empresa Eléctrica Carén S.A.</t>
        </is>
      </c>
      <c r="K172" t="inlineStr">
        <is>
          <t>San Antonio 012</t>
        </is>
      </c>
      <c r="L172" t="inlineStr">
        <is>
          <t>-1</t>
        </is>
      </c>
      <c r="M172" t="n">
        <v>1135.734840816012</v>
      </c>
      <c r="N172" t="n">
        <v>0</v>
      </c>
      <c r="O172" t="inlineStr">
        <is>
          <t>3</t>
        </is>
      </c>
      <c r="P172" s="2" t="n">
        <v>44999.6862684375</v>
      </c>
      <c r="Q172" t="n">
        <v>31</v>
      </c>
      <c r="R172" t="inlineStr">
        <is>
          <t>LOS MAQUIS 220</t>
        </is>
      </c>
      <c r="S172" t="n">
        <v>0.4526665289783517</v>
      </c>
      <c r="T172" t="n">
        <v>39.51308656438279</v>
      </c>
      <c r="U172" t="n">
        <v>0</v>
      </c>
      <c r="V172" t="n">
        <v>0</v>
      </c>
      <c r="W172" t="inlineStr">
        <is>
          <t>CHILQUINTA</t>
        </is>
      </c>
      <c r="X172" t="n">
        <v>92.86129144034402</v>
      </c>
      <c r="Y172" t="n">
        <v>0.03951308656438279</v>
      </c>
      <c r="Z172" t="n">
        <v>42.03519847274765</v>
      </c>
      <c r="AA172" t="n">
        <v>0</v>
      </c>
      <c r="AB172" t="n">
        <v>0</v>
      </c>
      <c r="AC172" t="n">
        <v>0</v>
      </c>
      <c r="AD172" s="2" t="n">
        <v>44501</v>
      </c>
    </row>
    <row r="173">
      <c r="A173" t="n">
        <v>-1</v>
      </c>
      <c r="B173" t="inlineStr">
        <is>
          <t>01-11-2021</t>
        </is>
      </c>
      <c r="C173" t="n">
        <v>2021</v>
      </c>
      <c r="D173" t="n">
        <v>11</v>
      </c>
      <c r="E173" t="inlineStr">
        <is>
          <t>San Antonio 012</t>
        </is>
      </c>
      <c r="F173" t="inlineStr">
        <is>
          <t>Chilquinta</t>
        </is>
      </c>
      <c r="G173" t="inlineStr">
        <is>
          <t>Chilquinta</t>
        </is>
      </c>
      <c r="H173" t="inlineStr">
        <is>
          <t>Empresa Eléctrica Carén S.A.</t>
        </is>
      </c>
      <c r="I173" t="inlineStr">
        <is>
          <t>Empresa Eléctrica Carén S.A.</t>
        </is>
      </c>
      <c r="J173" t="inlineStr">
        <is>
          <t>SIC 2013/03_2_BS1B_BB_CHILQUINTA_Empresa Eléctrica Carén S.A.</t>
        </is>
      </c>
      <c r="K173" t="inlineStr">
        <is>
          <t>San Antonio 012</t>
        </is>
      </c>
      <c r="L173" t="inlineStr">
        <is>
          <t>-1</t>
        </is>
      </c>
      <c r="M173" t="n">
        <v>1135.734840816012</v>
      </c>
      <c r="N173" t="n">
        <v>0</v>
      </c>
      <c r="O173" t="inlineStr">
        <is>
          <t>3</t>
        </is>
      </c>
      <c r="P173" s="2" t="n">
        <v>44999.6862684375</v>
      </c>
      <c r="Q173" t="n">
        <v>13</v>
      </c>
      <c r="R173" t="inlineStr">
        <is>
          <t>MELIPILLA 220</t>
        </is>
      </c>
      <c r="S173" t="n">
        <v>1159.651713621935</v>
      </c>
      <c r="T173" t="n">
        <v>103719.4704263556</v>
      </c>
      <c r="U173" t="n">
        <v>0</v>
      </c>
      <c r="V173" t="n">
        <v>0</v>
      </c>
      <c r="W173" t="inlineStr">
        <is>
          <t>CHILQUINTA</t>
        </is>
      </c>
      <c r="X173" t="n">
        <v>95.14913905578901</v>
      </c>
      <c r="Y173" t="n">
        <v>103.7194704263556</v>
      </c>
      <c r="Z173" t="n">
        <v>110339.8621556975</v>
      </c>
      <c r="AA173" t="n">
        <v>0</v>
      </c>
      <c r="AB173" t="n">
        <v>0</v>
      </c>
      <c r="AC173" t="n">
        <v>0</v>
      </c>
      <c r="AD173" s="2" t="n">
        <v>44501</v>
      </c>
    </row>
    <row r="174">
      <c r="A174" t="n">
        <v>-1</v>
      </c>
      <c r="B174" t="inlineStr">
        <is>
          <t>01-11-2021</t>
        </is>
      </c>
      <c r="C174" t="n">
        <v>2021</v>
      </c>
      <c r="D174" t="n">
        <v>11</v>
      </c>
      <c r="E174" t="inlineStr">
        <is>
          <t>San Antonio 012</t>
        </is>
      </c>
      <c r="F174" t="inlineStr">
        <is>
          <t>Chilquinta</t>
        </is>
      </c>
      <c r="G174" t="inlineStr">
        <is>
          <t>Chilquinta</t>
        </is>
      </c>
      <c r="H174" t="inlineStr">
        <is>
          <t>Empresa Eléctrica Carén S.A.</t>
        </is>
      </c>
      <c r="I174" t="inlineStr">
        <is>
          <t>Empresa Eléctrica Carén S.A.</t>
        </is>
      </c>
      <c r="J174" t="inlineStr">
        <is>
          <t>SIC 2013/03_2_BS1B_BB_CHILQUINTA_Empresa Eléctrica Carén S.A.</t>
        </is>
      </c>
      <c r="K174" t="inlineStr">
        <is>
          <t>San Antonio 012</t>
        </is>
      </c>
      <c r="L174" t="inlineStr">
        <is>
          <t>-1</t>
        </is>
      </c>
      <c r="M174" t="n">
        <v>1135.734840816012</v>
      </c>
      <c r="N174" t="n">
        <v>0</v>
      </c>
      <c r="O174" t="inlineStr">
        <is>
          <t>3</t>
        </is>
      </c>
      <c r="P174" s="2" t="n">
        <v>44999.6862684375</v>
      </c>
      <c r="Q174" t="n">
        <v>5</v>
      </c>
      <c r="R174" t="inlineStr">
        <is>
          <t>NOGALES 220</t>
        </is>
      </c>
      <c r="S174" t="n">
        <v>0.2032519043677838</v>
      </c>
      <c r="T174" t="n">
        <v>18.14779043848339</v>
      </c>
      <c r="U174" t="n">
        <v>0</v>
      </c>
      <c r="V174" t="n">
        <v>0</v>
      </c>
      <c r="W174" t="inlineStr">
        <is>
          <t>CHILQUINTA</t>
        </is>
      </c>
      <c r="X174" t="n">
        <v>94.986367291326</v>
      </c>
      <c r="Y174" t="n">
        <v>0.01814779043848339</v>
      </c>
      <c r="Z174" t="n">
        <v>19.30616004093978</v>
      </c>
      <c r="AA174" t="n">
        <v>0</v>
      </c>
      <c r="AB174" t="n">
        <v>0</v>
      </c>
      <c r="AC174" t="n">
        <v>0</v>
      </c>
      <c r="AD174" s="2" t="n">
        <v>44501</v>
      </c>
    </row>
    <row r="175">
      <c r="A175" t="n">
        <v>-1</v>
      </c>
      <c r="B175" t="inlineStr">
        <is>
          <t>01-11-2021</t>
        </is>
      </c>
      <c r="C175" t="n">
        <v>2021</v>
      </c>
      <c r="D175" t="n">
        <v>11</v>
      </c>
      <c r="E175" t="inlineStr">
        <is>
          <t>San Antonio 012</t>
        </is>
      </c>
      <c r="F175" t="inlineStr">
        <is>
          <t>Chilquinta</t>
        </is>
      </c>
      <c r="G175" t="inlineStr">
        <is>
          <t>Chilquinta</t>
        </is>
      </c>
      <c r="H175" t="inlineStr">
        <is>
          <t>Empresa Eléctrica Carén S.A.</t>
        </is>
      </c>
      <c r="I175" t="inlineStr">
        <is>
          <t>Empresa Eléctrica Carén S.A.</t>
        </is>
      </c>
      <c r="J175" t="inlineStr">
        <is>
          <t>SIC 2013/03_2_BS1B_BB_CHILQUINTA_Empresa Eléctrica Carén S.A.</t>
        </is>
      </c>
      <c r="K175" t="inlineStr">
        <is>
          <t>San Antonio 012</t>
        </is>
      </c>
      <c r="L175" t="inlineStr">
        <is>
          <t>-1</t>
        </is>
      </c>
      <c r="M175" t="n">
        <v>1135.734840816012</v>
      </c>
      <c r="N175" t="n">
        <v>0</v>
      </c>
      <c r="O175" t="inlineStr">
        <is>
          <t>3</t>
        </is>
      </c>
      <c r="P175" s="2" t="n">
        <v>44999.6862684375</v>
      </c>
      <c r="Q175" t="n">
        <v>11</v>
      </c>
      <c r="R175" t="inlineStr">
        <is>
          <t>QUILLOTA 220</t>
        </is>
      </c>
      <c r="S175" t="n">
        <v>3.925853075707744</v>
      </c>
      <c r="T175" t="n">
        <v>342.6861994183516</v>
      </c>
      <c r="U175" t="n">
        <v>0</v>
      </c>
      <c r="V175" t="n">
        <v>0</v>
      </c>
      <c r="W175" t="inlineStr">
        <is>
          <t>CHILQUINTA</t>
        </is>
      </c>
      <c r="X175" t="n">
        <v>92.861291440344</v>
      </c>
      <c r="Y175" t="n">
        <v>0.3426861994183516</v>
      </c>
      <c r="Z175" t="n">
        <v>364.5597866152677</v>
      </c>
      <c r="AA175" t="n">
        <v>0</v>
      </c>
      <c r="AB175" t="n">
        <v>0</v>
      </c>
      <c r="AC175" t="n">
        <v>0</v>
      </c>
      <c r="AD175" s="2" t="n">
        <v>44501</v>
      </c>
    </row>
    <row r="176">
      <c r="A176" t="n">
        <v>-1</v>
      </c>
      <c r="B176" t="inlineStr">
        <is>
          <t>01-11-2021</t>
        </is>
      </c>
      <c r="C176" t="n">
        <v>2021</v>
      </c>
      <c r="D176" t="n">
        <v>11</v>
      </c>
      <c r="E176" t="inlineStr">
        <is>
          <t>San Felipe 012</t>
        </is>
      </c>
      <c r="F176" t="inlineStr">
        <is>
          <t>Chilquinta</t>
        </is>
      </c>
      <c r="G176" t="inlineStr">
        <is>
          <t>Chilquinta</t>
        </is>
      </c>
      <c r="H176" t="inlineStr">
        <is>
          <t>Empresa Eléctrica Carén S.A.</t>
        </is>
      </c>
      <c r="I176" t="inlineStr">
        <is>
          <t>Empresa Eléctrica Carén S.A.</t>
        </is>
      </c>
      <c r="J176" t="inlineStr">
        <is>
          <t>SIC 2013/03_2_BS1B_BB_CHILQUINTA_Empresa Eléctrica Carén S.A.</t>
        </is>
      </c>
      <c r="K176" t="inlineStr">
        <is>
          <t>San Felipe 012</t>
        </is>
      </c>
      <c r="L176" t="inlineStr">
        <is>
          <t>-1</t>
        </is>
      </c>
      <c r="M176" t="n">
        <v>1089.670387174207</v>
      </c>
      <c r="N176" t="n">
        <v>0</v>
      </c>
      <c r="O176" t="inlineStr">
        <is>
          <t>3</t>
        </is>
      </c>
      <c r="P176" s="2" t="n">
        <v>44999.6862684375</v>
      </c>
      <c r="Q176" t="n">
        <v>31</v>
      </c>
      <c r="R176" t="inlineStr">
        <is>
          <t>LOS MAQUIS 220</t>
        </is>
      </c>
      <c r="S176" t="n">
        <v>926.847131631313</v>
      </c>
      <c r="T176" t="n">
        <v>80904.12831439851</v>
      </c>
      <c r="U176" t="n">
        <v>0</v>
      </c>
      <c r="V176" t="n">
        <v>0</v>
      </c>
      <c r="W176" t="inlineStr">
        <is>
          <t>CHILQUINTA</t>
        </is>
      </c>
      <c r="X176" t="n">
        <v>92.861291440344</v>
      </c>
      <c r="Y176" t="n">
        <v>80.90412831439851</v>
      </c>
      <c r="Z176" t="n">
        <v>86068.22161106224</v>
      </c>
      <c r="AA176" t="n">
        <v>0</v>
      </c>
      <c r="AB176" t="n">
        <v>0</v>
      </c>
      <c r="AC176" t="n">
        <v>0</v>
      </c>
      <c r="AD176" s="2" t="n">
        <v>44501</v>
      </c>
    </row>
    <row r="177">
      <c r="A177" t="n">
        <v>-1</v>
      </c>
      <c r="B177" t="inlineStr">
        <is>
          <t>01-11-2021</t>
        </is>
      </c>
      <c r="C177" t="n">
        <v>2021</v>
      </c>
      <c r="D177" t="n">
        <v>11</v>
      </c>
      <c r="E177" t="inlineStr">
        <is>
          <t>San Felipe 012</t>
        </is>
      </c>
      <c r="F177" t="inlineStr">
        <is>
          <t>Chilquinta</t>
        </is>
      </c>
      <c r="G177" t="inlineStr">
        <is>
          <t>Chilquinta</t>
        </is>
      </c>
      <c r="H177" t="inlineStr">
        <is>
          <t>Empresa Eléctrica Carén S.A.</t>
        </is>
      </c>
      <c r="I177" t="inlineStr">
        <is>
          <t>Empresa Eléctrica Carén S.A.</t>
        </is>
      </c>
      <c r="J177" t="inlineStr">
        <is>
          <t>SIC 2013/03_2_BS1B_BB_CHILQUINTA_Empresa Eléctrica Carén S.A.</t>
        </is>
      </c>
      <c r="K177" t="inlineStr">
        <is>
          <t>San Felipe 012</t>
        </is>
      </c>
      <c r="L177" t="inlineStr">
        <is>
          <t>-1</t>
        </is>
      </c>
      <c r="M177" t="n">
        <v>1089.670387174207</v>
      </c>
      <c r="N177" t="n">
        <v>0</v>
      </c>
      <c r="O177" t="inlineStr">
        <is>
          <t>3</t>
        </is>
      </c>
      <c r="P177" s="2" t="n">
        <v>44999.6862684375</v>
      </c>
      <c r="Q177" t="n">
        <v>13</v>
      </c>
      <c r="R177" t="inlineStr">
        <is>
          <t>MELIPILLA 220</t>
        </is>
      </c>
      <c r="S177" t="n">
        <v>11.82549277156526</v>
      </c>
      <c r="T177" t="n">
        <v>1057.674328757397</v>
      </c>
      <c r="U177" t="n">
        <v>0</v>
      </c>
      <c r="V177" t="n">
        <v>0</v>
      </c>
      <c r="W177" t="inlineStr">
        <is>
          <t>CHILQUINTA</t>
        </is>
      </c>
      <c r="X177" t="n">
        <v>95.14913905578901</v>
      </c>
      <c r="Y177" t="n">
        <v>1.057674328757397</v>
      </c>
      <c r="Z177" t="n">
        <v>1125.185456124891</v>
      </c>
      <c r="AA177" t="n">
        <v>0</v>
      </c>
      <c r="AB177" t="n">
        <v>0</v>
      </c>
      <c r="AC177" t="n">
        <v>0</v>
      </c>
      <c r="AD177" s="2" t="n">
        <v>44501</v>
      </c>
    </row>
    <row r="178">
      <c r="A178" t="n">
        <v>-1</v>
      </c>
      <c r="B178" t="inlineStr">
        <is>
          <t>01-11-2021</t>
        </is>
      </c>
      <c r="C178" t="n">
        <v>2021</v>
      </c>
      <c r="D178" t="n">
        <v>11</v>
      </c>
      <c r="E178" t="inlineStr">
        <is>
          <t>San Felipe 012</t>
        </is>
      </c>
      <c r="F178" t="inlineStr">
        <is>
          <t>Chilquinta</t>
        </is>
      </c>
      <c r="G178" t="inlineStr">
        <is>
          <t>Chilquinta</t>
        </is>
      </c>
      <c r="H178" t="inlineStr">
        <is>
          <t>Empresa Eléctrica Carén S.A.</t>
        </is>
      </c>
      <c r="I178" t="inlineStr">
        <is>
          <t>Empresa Eléctrica Carén S.A.</t>
        </is>
      </c>
      <c r="J178" t="inlineStr">
        <is>
          <t>SIC 2013/03_2_BS1B_BB_CHILQUINTA_Empresa Eléctrica Carén S.A.</t>
        </is>
      </c>
      <c r="K178" t="inlineStr">
        <is>
          <t>San Felipe 012</t>
        </is>
      </c>
      <c r="L178" t="inlineStr">
        <is>
          <t>-1</t>
        </is>
      </c>
      <c r="M178" t="n">
        <v>1089.670387174207</v>
      </c>
      <c r="N178" t="n">
        <v>0</v>
      </c>
      <c r="O178" t="inlineStr">
        <is>
          <t>3</t>
        </is>
      </c>
      <c r="P178" s="2" t="n">
        <v>44999.6862684375</v>
      </c>
      <c r="Q178" t="n">
        <v>5</v>
      </c>
      <c r="R178" t="inlineStr">
        <is>
          <t>NOGALES 220</t>
        </is>
      </c>
      <c r="S178" t="n">
        <v>3.30800390378904</v>
      </c>
      <c r="T178" t="n">
        <v>295.3623573780592</v>
      </c>
      <c r="U178" t="n">
        <v>0</v>
      </c>
      <c r="V178" t="n">
        <v>0</v>
      </c>
      <c r="W178" t="inlineStr">
        <is>
          <t>CHILQUINTA</t>
        </is>
      </c>
      <c r="X178" t="n">
        <v>94.98636729132599</v>
      </c>
      <c r="Y178" t="n">
        <v>0.2953623573780592</v>
      </c>
      <c r="Z178" t="n">
        <v>314.215273806446</v>
      </c>
      <c r="AA178" t="n">
        <v>0</v>
      </c>
      <c r="AB178" t="n">
        <v>0</v>
      </c>
      <c r="AC178" t="n">
        <v>0</v>
      </c>
      <c r="AD178" s="2" t="n">
        <v>44501</v>
      </c>
    </row>
    <row r="179">
      <c r="A179" t="n">
        <v>-1</v>
      </c>
      <c r="B179" t="inlineStr">
        <is>
          <t>01-11-2021</t>
        </is>
      </c>
      <c r="C179" t="n">
        <v>2021</v>
      </c>
      <c r="D179" t="n">
        <v>11</v>
      </c>
      <c r="E179" t="inlineStr">
        <is>
          <t>San Felipe 012</t>
        </is>
      </c>
      <c r="F179" t="inlineStr">
        <is>
          <t>Chilquinta</t>
        </is>
      </c>
      <c r="G179" t="inlineStr">
        <is>
          <t>Chilquinta</t>
        </is>
      </c>
      <c r="H179" t="inlineStr">
        <is>
          <t>Empresa Eléctrica Carén S.A.</t>
        </is>
      </c>
      <c r="I179" t="inlineStr">
        <is>
          <t>Empresa Eléctrica Carén S.A.</t>
        </is>
      </c>
      <c r="J179" t="inlineStr">
        <is>
          <t>SIC 2013/03_2_BS1B_BB_CHILQUINTA_Empresa Eléctrica Carén S.A.</t>
        </is>
      </c>
      <c r="K179" t="inlineStr">
        <is>
          <t>San Felipe 012</t>
        </is>
      </c>
      <c r="L179" t="inlineStr">
        <is>
          <t>-1</t>
        </is>
      </c>
      <c r="M179" t="n">
        <v>1089.670387174207</v>
      </c>
      <c r="N179" t="n">
        <v>0</v>
      </c>
      <c r="O179" t="inlineStr">
        <is>
          <t>3</t>
        </is>
      </c>
      <c r="P179" s="2" t="n">
        <v>44999.6862684375</v>
      </c>
      <c r="Q179" t="n">
        <v>11</v>
      </c>
      <c r="R179" t="inlineStr">
        <is>
          <t>QUILLOTA 220</t>
        </is>
      </c>
      <c r="S179" t="n">
        <v>175.0325220448411</v>
      </c>
      <c r="T179" t="n">
        <v>15278.52127867576</v>
      </c>
      <c r="U179" t="n">
        <v>0</v>
      </c>
      <c r="V179" t="n">
        <v>0</v>
      </c>
      <c r="W179" t="inlineStr">
        <is>
          <t>CHILQUINTA</t>
        </is>
      </c>
      <c r="X179" t="n">
        <v>92.861291440344</v>
      </c>
      <c r="Y179" t="n">
        <v>15.27852127867576</v>
      </c>
      <c r="Z179" t="n">
        <v>16253.74604114443</v>
      </c>
      <c r="AA179" t="n">
        <v>0</v>
      </c>
      <c r="AB179" t="n">
        <v>0</v>
      </c>
      <c r="AC179" t="n">
        <v>0</v>
      </c>
      <c r="AD179" s="2" t="n">
        <v>44501</v>
      </c>
    </row>
    <row r="180">
      <c r="A180" t="n">
        <v>-1</v>
      </c>
      <c r="B180" t="inlineStr">
        <is>
          <t>01-11-2021</t>
        </is>
      </c>
      <c r="C180" t="n">
        <v>2021</v>
      </c>
      <c r="D180" t="n">
        <v>11</v>
      </c>
      <c r="E180" t="inlineStr">
        <is>
          <t>San Pedro 012</t>
        </is>
      </c>
      <c r="F180" t="inlineStr">
        <is>
          <t>Chilquinta</t>
        </is>
      </c>
      <c r="G180" t="inlineStr">
        <is>
          <t>Chilquinta</t>
        </is>
      </c>
      <c r="H180" t="inlineStr">
        <is>
          <t>Empresa Eléctrica Carén S.A.</t>
        </is>
      </c>
      <c r="I180" t="inlineStr">
        <is>
          <t>Empresa Eléctrica Carén S.A.</t>
        </is>
      </c>
      <c r="J180" t="inlineStr">
        <is>
          <t>SIC 2013/03_2_BS1B_BB_CHILQUINTA_Empresa Eléctrica Carén S.A.</t>
        </is>
      </c>
      <c r="K180" t="inlineStr">
        <is>
          <t>San Pedro 012</t>
        </is>
      </c>
      <c r="L180" t="inlineStr">
        <is>
          <t>-1</t>
        </is>
      </c>
      <c r="M180" t="n">
        <v>954.2057045195643</v>
      </c>
      <c r="N180" t="n">
        <v>0</v>
      </c>
      <c r="O180" t="inlineStr">
        <is>
          <t>3</t>
        </is>
      </c>
      <c r="P180" s="2" t="n">
        <v>44999.6862684375</v>
      </c>
      <c r="Q180" t="n">
        <v>31</v>
      </c>
      <c r="R180" t="inlineStr">
        <is>
          <t>LOS MAQUIS 220</t>
        </is>
      </c>
      <c r="S180" t="n">
        <v>215.4764084439877</v>
      </c>
      <c r="T180" t="n">
        <v>18808.8525092536</v>
      </c>
      <c r="U180" t="n">
        <v>0</v>
      </c>
      <c r="V180" t="n">
        <v>0</v>
      </c>
      <c r="W180" t="inlineStr">
        <is>
          <t>CHILQUINTA</t>
        </is>
      </c>
      <c r="X180" t="n">
        <v>92.86129144034402</v>
      </c>
      <c r="Y180" t="n">
        <v>18.8088525092536</v>
      </c>
      <c r="Z180" t="n">
        <v>20009.41756303575</v>
      </c>
      <c r="AA180" t="n">
        <v>0</v>
      </c>
      <c r="AB180" t="n">
        <v>0</v>
      </c>
      <c r="AC180" t="n">
        <v>0</v>
      </c>
      <c r="AD180" s="2" t="n">
        <v>44501</v>
      </c>
    </row>
    <row r="181">
      <c r="A181" t="n">
        <v>-1</v>
      </c>
      <c r="B181" t="inlineStr">
        <is>
          <t>01-11-2021</t>
        </is>
      </c>
      <c r="C181" t="n">
        <v>2021</v>
      </c>
      <c r="D181" t="n">
        <v>11</v>
      </c>
      <c r="E181" t="inlineStr">
        <is>
          <t>San Pedro 012</t>
        </is>
      </c>
      <c r="F181" t="inlineStr">
        <is>
          <t>Chilquinta</t>
        </is>
      </c>
      <c r="G181" t="inlineStr">
        <is>
          <t>Chilquinta</t>
        </is>
      </c>
      <c r="H181" t="inlineStr">
        <is>
          <t>Empresa Eléctrica Carén S.A.</t>
        </is>
      </c>
      <c r="I181" t="inlineStr">
        <is>
          <t>Empresa Eléctrica Carén S.A.</t>
        </is>
      </c>
      <c r="J181" t="inlineStr">
        <is>
          <t>SIC 2013/03_2_BS1B_BB_CHILQUINTA_Empresa Eléctrica Carén S.A.</t>
        </is>
      </c>
      <c r="K181" t="inlineStr">
        <is>
          <t>San Pedro 012</t>
        </is>
      </c>
      <c r="L181" t="inlineStr">
        <is>
          <t>-1</t>
        </is>
      </c>
      <c r="M181" t="n">
        <v>954.2057045195643</v>
      </c>
      <c r="N181" t="n">
        <v>0</v>
      </c>
      <c r="O181" t="inlineStr">
        <is>
          <t>3</t>
        </is>
      </c>
      <c r="P181" s="2" t="n">
        <v>44999.6862684375</v>
      </c>
      <c r="Q181" t="n">
        <v>13</v>
      </c>
      <c r="R181" t="inlineStr">
        <is>
          <t>MELIPILLA 220</t>
        </is>
      </c>
      <c r="S181" t="n">
        <v>55.05772820218963</v>
      </c>
      <c r="T181" t="n">
        <v>4924.373710597619</v>
      </c>
      <c r="U181" t="n">
        <v>0</v>
      </c>
      <c r="V181" t="n">
        <v>0</v>
      </c>
      <c r="W181" t="inlineStr">
        <is>
          <t>CHILQUINTA</t>
        </is>
      </c>
      <c r="X181" t="n">
        <v>95.14913905578901</v>
      </c>
      <c r="Y181" t="n">
        <v>4.924373710597618</v>
      </c>
      <c r="Z181" t="n">
        <v>5238.695436805978</v>
      </c>
      <c r="AA181" t="n">
        <v>0</v>
      </c>
      <c r="AB181" t="n">
        <v>0</v>
      </c>
      <c r="AC181" t="n">
        <v>0</v>
      </c>
      <c r="AD181" s="2" t="n">
        <v>44501</v>
      </c>
    </row>
    <row r="182">
      <c r="A182" t="n">
        <v>-1</v>
      </c>
      <c r="B182" t="inlineStr">
        <is>
          <t>01-11-2021</t>
        </is>
      </c>
      <c r="C182" t="n">
        <v>2021</v>
      </c>
      <c r="D182" t="n">
        <v>11</v>
      </c>
      <c r="E182" t="inlineStr">
        <is>
          <t>San Pedro 012</t>
        </is>
      </c>
      <c r="F182" t="inlineStr">
        <is>
          <t>Chilquinta</t>
        </is>
      </c>
      <c r="G182" t="inlineStr">
        <is>
          <t>Chilquinta</t>
        </is>
      </c>
      <c r="H182" t="inlineStr">
        <is>
          <t>Empresa Eléctrica Carén S.A.</t>
        </is>
      </c>
      <c r="I182" t="inlineStr">
        <is>
          <t>Empresa Eléctrica Carén S.A.</t>
        </is>
      </c>
      <c r="J182" t="inlineStr">
        <is>
          <t>SIC 2013/03_2_BS1B_BB_CHILQUINTA_Empresa Eléctrica Carén S.A.</t>
        </is>
      </c>
      <c r="K182" t="inlineStr">
        <is>
          <t>San Pedro 012</t>
        </is>
      </c>
      <c r="L182" t="inlineStr">
        <is>
          <t>-1</t>
        </is>
      </c>
      <c r="M182" t="n">
        <v>954.2057045195643</v>
      </c>
      <c r="N182" t="n">
        <v>0</v>
      </c>
      <c r="O182" t="inlineStr">
        <is>
          <t>3</t>
        </is>
      </c>
      <c r="P182" s="2" t="n">
        <v>44999.6862684375</v>
      </c>
      <c r="Q182" t="n">
        <v>5</v>
      </c>
      <c r="R182" t="inlineStr">
        <is>
          <t>NOGALES 220</t>
        </is>
      </c>
      <c r="S182" t="n">
        <v>15.59513204032008</v>
      </c>
      <c r="T182" t="n">
        <v>1392.445443542256</v>
      </c>
      <c r="U182" t="n">
        <v>0</v>
      </c>
      <c r="V182" t="n">
        <v>0</v>
      </c>
      <c r="W182" t="inlineStr">
        <is>
          <t>CHILQUINTA</t>
        </is>
      </c>
      <c r="X182" t="n">
        <v>94.986367291326</v>
      </c>
      <c r="Y182" t="n">
        <v>1.392445443542256</v>
      </c>
      <c r="Z182" t="n">
        <v>1481.32493993857</v>
      </c>
      <c r="AA182" t="n">
        <v>0</v>
      </c>
      <c r="AB182" t="n">
        <v>0</v>
      </c>
      <c r="AC182" t="n">
        <v>0</v>
      </c>
      <c r="AD182" s="2" t="n">
        <v>44501</v>
      </c>
    </row>
    <row r="183">
      <c r="A183" t="n">
        <v>-1</v>
      </c>
      <c r="B183" t="inlineStr">
        <is>
          <t>01-11-2021</t>
        </is>
      </c>
      <c r="C183" t="n">
        <v>2021</v>
      </c>
      <c r="D183" t="n">
        <v>11</v>
      </c>
      <c r="E183" t="inlineStr">
        <is>
          <t>San Pedro 012</t>
        </is>
      </c>
      <c r="F183" t="inlineStr">
        <is>
          <t>Chilquinta</t>
        </is>
      </c>
      <c r="G183" t="inlineStr">
        <is>
          <t>Chilquinta</t>
        </is>
      </c>
      <c r="H183" t="inlineStr">
        <is>
          <t>Empresa Eléctrica Carén S.A.</t>
        </is>
      </c>
      <c r="I183" t="inlineStr">
        <is>
          <t>Empresa Eléctrica Carén S.A.</t>
        </is>
      </c>
      <c r="J183" t="inlineStr">
        <is>
          <t>SIC 2013/03_2_BS1B_BB_CHILQUINTA_Empresa Eléctrica Carén S.A.</t>
        </is>
      </c>
      <c r="K183" t="inlineStr">
        <is>
          <t>San Pedro 012</t>
        </is>
      </c>
      <c r="L183" t="inlineStr">
        <is>
          <t>-1</t>
        </is>
      </c>
      <c r="M183" t="n">
        <v>954.2057045195643</v>
      </c>
      <c r="N183" t="n">
        <v>0</v>
      </c>
      <c r="O183" t="inlineStr">
        <is>
          <t>3</t>
        </is>
      </c>
      <c r="P183" s="2" t="n">
        <v>44999.6862684375</v>
      </c>
      <c r="Q183" t="n">
        <v>11</v>
      </c>
      <c r="R183" t="inlineStr">
        <is>
          <t>QUILLOTA 220</t>
        </is>
      </c>
      <c r="S183" t="n">
        <v>692.0200254801779</v>
      </c>
      <c r="T183" t="n">
        <v>60406.16087254894</v>
      </c>
      <c r="U183" t="n">
        <v>0</v>
      </c>
      <c r="V183" t="n">
        <v>0</v>
      </c>
      <c r="W183" t="inlineStr">
        <is>
          <t>CHILQUINTA</t>
        </is>
      </c>
      <c r="X183" t="n">
        <v>92.86129144034402</v>
      </c>
      <c r="Y183" t="n">
        <v>60.40616087254894</v>
      </c>
      <c r="Z183" t="n">
        <v>64261.87326866909</v>
      </c>
      <c r="AA183" t="n">
        <v>0</v>
      </c>
      <c r="AB183" t="n">
        <v>0</v>
      </c>
      <c r="AC183" t="n">
        <v>0</v>
      </c>
      <c r="AD183" s="2" t="n">
        <v>44501</v>
      </c>
    </row>
    <row r="184">
      <c r="A184" t="n">
        <v>-1</v>
      </c>
      <c r="B184" t="inlineStr">
        <is>
          <t>01-11-2021</t>
        </is>
      </c>
      <c r="C184" t="n">
        <v>2021</v>
      </c>
      <c r="D184" t="n">
        <v>11</v>
      </c>
      <c r="E184" t="inlineStr">
        <is>
          <t>San Rafael 012</t>
        </is>
      </c>
      <c r="F184" t="inlineStr">
        <is>
          <t>Chilquinta</t>
        </is>
      </c>
      <c r="G184" t="inlineStr">
        <is>
          <t>Chilquinta</t>
        </is>
      </c>
      <c r="H184" t="inlineStr">
        <is>
          <t>Empresa Eléctrica Carén S.A.</t>
        </is>
      </c>
      <c r="I184" t="inlineStr">
        <is>
          <t>Empresa Eléctrica Carén S.A.</t>
        </is>
      </c>
      <c r="J184" t="inlineStr">
        <is>
          <t>SIC 2013/03_2_BS1B_BB_CHILQUINTA_Empresa Eléctrica Carén S.A.</t>
        </is>
      </c>
      <c r="K184" t="inlineStr">
        <is>
          <t>San Rafael 012</t>
        </is>
      </c>
      <c r="L184" t="inlineStr">
        <is>
          <t>-1</t>
        </is>
      </c>
      <c r="M184" t="n">
        <v>1350.800577942871</v>
      </c>
      <c r="N184" t="n">
        <v>0</v>
      </c>
      <c r="O184" t="inlineStr">
        <is>
          <t>3</t>
        </is>
      </c>
      <c r="P184" s="2" t="n">
        <v>44999.6862684375</v>
      </c>
      <c r="Q184" t="n">
        <v>31</v>
      </c>
      <c r="R184" t="inlineStr">
        <is>
          <t>LOS MAQUIS 220</t>
        </is>
      </c>
      <c r="S184" t="n">
        <v>1119.418269478066</v>
      </c>
      <c r="T184" t="n">
        <v>97713.58859570933</v>
      </c>
      <c r="U184" t="n">
        <v>0</v>
      </c>
      <c r="V184" t="n">
        <v>0</v>
      </c>
      <c r="W184" t="inlineStr">
        <is>
          <t>CHILQUINTA</t>
        </is>
      </c>
      <c r="X184" t="n">
        <v>92.86129144034399</v>
      </c>
      <c r="Y184" t="n">
        <v>97.71358859570931</v>
      </c>
      <c r="Z184" t="n">
        <v>103950.6261656482</v>
      </c>
      <c r="AA184" t="n">
        <v>0</v>
      </c>
      <c r="AB184" t="n">
        <v>0</v>
      </c>
      <c r="AC184" t="n">
        <v>0</v>
      </c>
      <c r="AD184" s="2" t="n">
        <v>44501</v>
      </c>
    </row>
    <row r="185">
      <c r="A185" t="n">
        <v>-1</v>
      </c>
      <c r="B185" t="inlineStr">
        <is>
          <t>01-11-2021</t>
        </is>
      </c>
      <c r="C185" t="n">
        <v>2021</v>
      </c>
      <c r="D185" t="n">
        <v>11</v>
      </c>
      <c r="E185" t="inlineStr">
        <is>
          <t>San Rafael 012</t>
        </is>
      </c>
      <c r="F185" t="inlineStr">
        <is>
          <t>Chilquinta</t>
        </is>
      </c>
      <c r="G185" t="inlineStr">
        <is>
          <t>Chilquinta</t>
        </is>
      </c>
      <c r="H185" t="inlineStr">
        <is>
          <t>Empresa Eléctrica Carén S.A.</t>
        </is>
      </c>
      <c r="I185" t="inlineStr">
        <is>
          <t>Empresa Eléctrica Carén S.A.</t>
        </is>
      </c>
      <c r="J185" t="inlineStr">
        <is>
          <t>SIC 2013/03_2_BS1B_BB_CHILQUINTA_Empresa Eléctrica Carén S.A.</t>
        </is>
      </c>
      <c r="K185" t="inlineStr">
        <is>
          <t>San Rafael 012</t>
        </is>
      </c>
      <c r="L185" t="inlineStr">
        <is>
          <t>-1</t>
        </is>
      </c>
      <c r="M185" t="n">
        <v>1350.800577942871</v>
      </c>
      <c r="N185" t="n">
        <v>0</v>
      </c>
      <c r="O185" t="inlineStr">
        <is>
          <t>3</t>
        </is>
      </c>
      <c r="P185" s="2" t="n">
        <v>44999.6862684375</v>
      </c>
      <c r="Q185" t="n">
        <v>13</v>
      </c>
      <c r="R185" t="inlineStr">
        <is>
          <t>MELIPILLA 220</t>
        </is>
      </c>
      <c r="S185" t="n">
        <v>16.83668051097809</v>
      </c>
      <c r="T185" t="n">
        <v>1505.87591586633</v>
      </c>
      <c r="U185" t="n">
        <v>0</v>
      </c>
      <c r="V185" t="n">
        <v>0</v>
      </c>
      <c r="W185" t="inlineStr">
        <is>
          <t>CHILQUINTA</t>
        </is>
      </c>
      <c r="X185" t="n">
        <v>95.14913905578902</v>
      </c>
      <c r="Y185" t="n">
        <v>1.50587591586633</v>
      </c>
      <c r="Z185" t="n">
        <v>1601.995655176947</v>
      </c>
      <c r="AA185" t="n">
        <v>0</v>
      </c>
      <c r="AB185" t="n">
        <v>0</v>
      </c>
      <c r="AC185" t="n">
        <v>0</v>
      </c>
      <c r="AD185" s="2" t="n">
        <v>44501</v>
      </c>
    </row>
    <row r="186">
      <c r="A186" t="n">
        <v>-1</v>
      </c>
      <c r="B186" t="inlineStr">
        <is>
          <t>01-11-2021</t>
        </is>
      </c>
      <c r="C186" t="n">
        <v>2021</v>
      </c>
      <c r="D186" t="n">
        <v>11</v>
      </c>
      <c r="E186" t="inlineStr">
        <is>
          <t>San Rafael 012</t>
        </is>
      </c>
      <c r="F186" t="inlineStr">
        <is>
          <t>Chilquinta</t>
        </is>
      </c>
      <c r="G186" t="inlineStr">
        <is>
          <t>Chilquinta</t>
        </is>
      </c>
      <c r="H186" t="inlineStr">
        <is>
          <t>Empresa Eléctrica Carén S.A.</t>
        </is>
      </c>
      <c r="I186" t="inlineStr">
        <is>
          <t>Empresa Eléctrica Carén S.A.</t>
        </is>
      </c>
      <c r="J186" t="inlineStr">
        <is>
          <t>SIC 2013/03_2_BS1B_BB_CHILQUINTA_Empresa Eléctrica Carén S.A.</t>
        </is>
      </c>
      <c r="K186" t="inlineStr">
        <is>
          <t>San Rafael 012</t>
        </is>
      </c>
      <c r="L186" t="inlineStr">
        <is>
          <t>-1</t>
        </is>
      </c>
      <c r="M186" t="n">
        <v>1350.800577942871</v>
      </c>
      <c r="N186" t="n">
        <v>0</v>
      </c>
      <c r="O186" t="inlineStr">
        <is>
          <t>3</t>
        </is>
      </c>
      <c r="P186" s="2" t="n">
        <v>44999.6862684375</v>
      </c>
      <c r="Q186" t="n">
        <v>5</v>
      </c>
      <c r="R186" t="inlineStr">
        <is>
          <t>NOGALES 220</t>
        </is>
      </c>
      <c r="S186" t="n">
        <v>4.921325225176186</v>
      </c>
      <c r="T186" t="n">
        <v>439.4112770747336</v>
      </c>
      <c r="U186" t="n">
        <v>0</v>
      </c>
      <c r="V186" t="n">
        <v>0</v>
      </c>
      <c r="W186" t="inlineStr">
        <is>
          <t>CHILQUINTA</t>
        </is>
      </c>
      <c r="X186" t="n">
        <v>94.986367291326</v>
      </c>
      <c r="Y186" t="n">
        <v>0.4394112770747336</v>
      </c>
      <c r="Z186" t="n">
        <v>467.4588053986528</v>
      </c>
      <c r="AA186" t="n">
        <v>0</v>
      </c>
      <c r="AB186" t="n">
        <v>0</v>
      </c>
      <c r="AC186" t="n">
        <v>0</v>
      </c>
      <c r="AD186" s="2" t="n">
        <v>44501</v>
      </c>
    </row>
    <row r="187">
      <c r="A187" t="n">
        <v>-1</v>
      </c>
      <c r="B187" t="inlineStr">
        <is>
          <t>01-11-2021</t>
        </is>
      </c>
      <c r="C187" t="n">
        <v>2021</v>
      </c>
      <c r="D187" t="n">
        <v>11</v>
      </c>
      <c r="E187" t="inlineStr">
        <is>
          <t>San Rafael 012</t>
        </is>
      </c>
      <c r="F187" t="inlineStr">
        <is>
          <t>Chilquinta</t>
        </is>
      </c>
      <c r="G187" t="inlineStr">
        <is>
          <t>Chilquinta</t>
        </is>
      </c>
      <c r="H187" t="inlineStr">
        <is>
          <t>Empresa Eléctrica Carén S.A.</t>
        </is>
      </c>
      <c r="I187" t="inlineStr">
        <is>
          <t>Empresa Eléctrica Carén S.A.</t>
        </is>
      </c>
      <c r="J187" t="inlineStr">
        <is>
          <t>SIC 2013/03_2_BS1B_BB_CHILQUINTA_Empresa Eléctrica Carén S.A.</t>
        </is>
      </c>
      <c r="K187" t="inlineStr">
        <is>
          <t>San Rafael 012</t>
        </is>
      </c>
      <c r="L187" t="inlineStr">
        <is>
          <t>-1</t>
        </is>
      </c>
      <c r="M187" t="n">
        <v>1350.800577942871</v>
      </c>
      <c r="N187" t="n">
        <v>0</v>
      </c>
      <c r="O187" t="inlineStr">
        <is>
          <t>3</t>
        </is>
      </c>
      <c r="P187" s="2" t="n">
        <v>44999.6862684375</v>
      </c>
      <c r="Q187" t="n">
        <v>11</v>
      </c>
      <c r="R187" t="inlineStr">
        <is>
          <t>QUILLOTA 220</t>
        </is>
      </c>
      <c r="S187" t="n">
        <v>243.5195252997929</v>
      </c>
      <c r="T187" t="n">
        <v>21256.72535366159</v>
      </c>
      <c r="U187" t="n">
        <v>0</v>
      </c>
      <c r="V187" t="n">
        <v>0</v>
      </c>
      <c r="W187" t="inlineStr">
        <is>
          <t>CHILQUINTA</t>
        </is>
      </c>
      <c r="X187" t="n">
        <v>92.861291440344</v>
      </c>
      <c r="Y187" t="n">
        <v>21.25672535366159</v>
      </c>
      <c r="Z187" t="n">
        <v>22613.53761027829</v>
      </c>
      <c r="AA187" t="n">
        <v>0</v>
      </c>
      <c r="AB187" t="n">
        <v>0</v>
      </c>
      <c r="AC187" t="n">
        <v>0</v>
      </c>
      <c r="AD187" s="2" t="n">
        <v>44501</v>
      </c>
    </row>
    <row r="188">
      <c r="A188" t="n">
        <v>-1</v>
      </c>
      <c r="B188" t="inlineStr">
        <is>
          <t>01-11-2021</t>
        </is>
      </c>
      <c r="C188" t="n">
        <v>2021</v>
      </c>
      <c r="D188" t="n">
        <v>11</v>
      </c>
      <c r="E188" t="inlineStr">
        <is>
          <t>San Sebastian 012</t>
        </is>
      </c>
      <c r="F188" t="inlineStr">
        <is>
          <t>Chilquinta</t>
        </is>
      </c>
      <c r="G188" t="inlineStr">
        <is>
          <t>Chilquinta</t>
        </is>
      </c>
      <c r="H188" t="inlineStr">
        <is>
          <t>Empresa Eléctrica Carén S.A.</t>
        </is>
      </c>
      <c r="I188" t="inlineStr">
        <is>
          <t>Empresa Eléctrica Carén S.A.</t>
        </is>
      </c>
      <c r="J188" t="inlineStr">
        <is>
          <t>SIC 2013/03_2_BS1B_BB_CHILQUINTA_Empresa Eléctrica Carén S.A.</t>
        </is>
      </c>
      <c r="K188" t="inlineStr">
        <is>
          <t>San Sebastian 012</t>
        </is>
      </c>
      <c r="L188" t="inlineStr">
        <is>
          <t>-1</t>
        </is>
      </c>
      <c r="M188" t="n">
        <v>103.3752892158874</v>
      </c>
      <c r="N188" t="n">
        <v>0</v>
      </c>
      <c r="O188" t="inlineStr">
        <is>
          <t>3</t>
        </is>
      </c>
      <c r="P188" s="2" t="n">
        <v>44999.6862684375</v>
      </c>
      <c r="Q188" t="n">
        <v>31</v>
      </c>
      <c r="R188" t="inlineStr">
        <is>
          <t>LOS MAQUIS 220</t>
        </is>
      </c>
      <c r="S188" t="n">
        <v>0.442443139229178</v>
      </c>
      <c r="T188" t="n">
        <v>38.62069081987691</v>
      </c>
      <c r="U188" t="n">
        <v>0</v>
      </c>
      <c r="V188" t="n">
        <v>0</v>
      </c>
      <c r="W188" t="inlineStr">
        <is>
          <t>CHILQUINTA</t>
        </is>
      </c>
      <c r="X188" t="n">
        <v>92.86129144034402</v>
      </c>
      <c r="Y188" t="n">
        <v>0.03862069081987692</v>
      </c>
      <c r="Z188" t="n">
        <v>41.0858412977414</v>
      </c>
      <c r="AA188" t="n">
        <v>0</v>
      </c>
      <c r="AB188" t="n">
        <v>0</v>
      </c>
      <c r="AC188" t="n">
        <v>0</v>
      </c>
      <c r="AD188" s="2" t="n">
        <v>44501</v>
      </c>
    </row>
    <row r="189">
      <c r="A189" t="n">
        <v>-1</v>
      </c>
      <c r="B189" t="inlineStr">
        <is>
          <t>01-11-2021</t>
        </is>
      </c>
      <c r="C189" t="n">
        <v>2021</v>
      </c>
      <c r="D189" t="n">
        <v>11</v>
      </c>
      <c r="E189" t="inlineStr">
        <is>
          <t>San Sebastian 012</t>
        </is>
      </c>
      <c r="F189" t="inlineStr">
        <is>
          <t>Chilquinta</t>
        </is>
      </c>
      <c r="G189" t="inlineStr">
        <is>
          <t>Chilquinta</t>
        </is>
      </c>
      <c r="H189" t="inlineStr">
        <is>
          <t>Empresa Eléctrica Carén S.A.</t>
        </is>
      </c>
      <c r="I189" t="inlineStr">
        <is>
          <t>Empresa Eléctrica Carén S.A.</t>
        </is>
      </c>
      <c r="J189" t="inlineStr">
        <is>
          <t>SIC 2013/03_2_BS1B_BB_CHILQUINTA_Empresa Eléctrica Carén S.A.</t>
        </is>
      </c>
      <c r="K189" t="inlineStr">
        <is>
          <t>San Sebastian 012</t>
        </is>
      </c>
      <c r="L189" t="inlineStr">
        <is>
          <t>-1</t>
        </is>
      </c>
      <c r="M189" t="n">
        <v>103.3752892158874</v>
      </c>
      <c r="N189" t="n">
        <v>0</v>
      </c>
      <c r="O189" t="inlineStr">
        <is>
          <t>3</t>
        </is>
      </c>
      <c r="P189" s="2" t="n">
        <v>44999.6862684375</v>
      </c>
      <c r="Q189" t="n">
        <v>13</v>
      </c>
      <c r="R189" t="inlineStr">
        <is>
          <t>MELIPILLA 220</t>
        </is>
      </c>
      <c r="S189" t="n">
        <v>103.8682645895853</v>
      </c>
      <c r="T189" t="n">
        <v>9289.997393862857</v>
      </c>
      <c r="U189" t="n">
        <v>0</v>
      </c>
      <c r="V189" t="n">
        <v>0</v>
      </c>
      <c r="W189" t="inlineStr">
        <is>
          <t>CHILQUINTA</t>
        </is>
      </c>
      <c r="X189" t="n">
        <v>95.14913905578902</v>
      </c>
      <c r="Y189" t="n">
        <v>9.289997393862858</v>
      </c>
      <c r="Z189" t="n">
        <v>9882.975950917933</v>
      </c>
      <c r="AA189" t="n">
        <v>0</v>
      </c>
      <c r="AB189" t="n">
        <v>0</v>
      </c>
      <c r="AC189" t="n">
        <v>0</v>
      </c>
      <c r="AD189" s="2" t="n">
        <v>44501</v>
      </c>
    </row>
    <row r="190">
      <c r="A190" t="n">
        <v>-1</v>
      </c>
      <c r="B190" t="inlineStr">
        <is>
          <t>01-11-2021</t>
        </is>
      </c>
      <c r="C190" t="n">
        <v>2021</v>
      </c>
      <c r="D190" t="n">
        <v>11</v>
      </c>
      <c r="E190" t="inlineStr">
        <is>
          <t>San Sebastian 012</t>
        </is>
      </c>
      <c r="F190" t="inlineStr">
        <is>
          <t>Chilquinta</t>
        </is>
      </c>
      <c r="G190" t="inlineStr">
        <is>
          <t>Chilquinta</t>
        </is>
      </c>
      <c r="H190" t="inlineStr">
        <is>
          <t>Empresa Eléctrica Carén S.A.</t>
        </is>
      </c>
      <c r="I190" t="inlineStr">
        <is>
          <t>Empresa Eléctrica Carén S.A.</t>
        </is>
      </c>
      <c r="J190" t="inlineStr">
        <is>
          <t>SIC 2013/03_2_BS1B_BB_CHILQUINTA_Empresa Eléctrica Carén S.A.</t>
        </is>
      </c>
      <c r="K190" t="inlineStr">
        <is>
          <t>San Sebastian 012</t>
        </is>
      </c>
      <c r="L190" t="inlineStr">
        <is>
          <t>-1</t>
        </is>
      </c>
      <c r="M190" t="n">
        <v>103.3752892158874</v>
      </c>
      <c r="N190" t="n">
        <v>0</v>
      </c>
      <c r="O190" t="inlineStr">
        <is>
          <t>3</t>
        </is>
      </c>
      <c r="P190" s="2" t="n">
        <v>44999.6862684375</v>
      </c>
      <c r="Q190" t="n">
        <v>5</v>
      </c>
      <c r="R190" t="inlineStr">
        <is>
          <t>NOGALES 220</t>
        </is>
      </c>
      <c r="S190" t="n">
        <v>0.03082839734685889</v>
      </c>
      <c r="T190" t="n">
        <v>2.752580824988178</v>
      </c>
      <c r="U190" t="n">
        <v>0</v>
      </c>
      <c r="V190" t="n">
        <v>0</v>
      </c>
      <c r="W190" t="inlineStr">
        <is>
          <t>CHILQUINTA</t>
        </is>
      </c>
      <c r="X190" t="n">
        <v>94.986367291326</v>
      </c>
      <c r="Y190" t="n">
        <v>0.002752580824988178</v>
      </c>
      <c r="Z190" t="n">
        <v>2.928277473391679</v>
      </c>
      <c r="AA190" t="n">
        <v>0</v>
      </c>
      <c r="AB190" t="n">
        <v>0</v>
      </c>
      <c r="AC190" t="n">
        <v>0</v>
      </c>
      <c r="AD190" s="2" t="n">
        <v>44501</v>
      </c>
    </row>
    <row r="191">
      <c r="A191" t="n">
        <v>-1</v>
      </c>
      <c r="B191" t="inlineStr">
        <is>
          <t>01-11-2021</t>
        </is>
      </c>
      <c r="C191" t="n">
        <v>2021</v>
      </c>
      <c r="D191" t="n">
        <v>11</v>
      </c>
      <c r="E191" t="inlineStr">
        <is>
          <t>San Sebastian 012</t>
        </is>
      </c>
      <c r="F191" t="inlineStr">
        <is>
          <t>Chilquinta</t>
        </is>
      </c>
      <c r="G191" t="inlineStr">
        <is>
          <t>Chilquinta</t>
        </is>
      </c>
      <c r="H191" t="inlineStr">
        <is>
          <t>Empresa Eléctrica Carén S.A.</t>
        </is>
      </c>
      <c r="I191" t="inlineStr">
        <is>
          <t>Empresa Eléctrica Carén S.A.</t>
        </is>
      </c>
      <c r="J191" t="inlineStr">
        <is>
          <t>SIC 2013/03_2_BS1B_BB_CHILQUINTA_Empresa Eléctrica Carén S.A.</t>
        </is>
      </c>
      <c r="K191" t="inlineStr">
        <is>
          <t>San Sebastian 012</t>
        </is>
      </c>
      <c r="L191" t="inlineStr">
        <is>
          <t>-1</t>
        </is>
      </c>
      <c r="M191" t="n">
        <v>103.3752892158874</v>
      </c>
      <c r="N191" t="n">
        <v>0</v>
      </c>
      <c r="O191" t="inlineStr">
        <is>
          <t>3</t>
        </is>
      </c>
      <c r="P191" s="2" t="n">
        <v>44999.6862684375</v>
      </c>
      <c r="Q191" t="n">
        <v>11</v>
      </c>
      <c r="R191" t="inlineStr">
        <is>
          <t>QUILLOTA 220</t>
        </is>
      </c>
      <c r="S191" t="n">
        <v>1.627717360651117</v>
      </c>
      <c r="T191" t="n">
        <v>142.082820037335</v>
      </c>
      <c r="U191" t="n">
        <v>0</v>
      </c>
      <c r="V191" t="n">
        <v>0</v>
      </c>
      <c r="W191" t="inlineStr">
        <is>
          <t>CHILQUINTA</t>
        </is>
      </c>
      <c r="X191" t="n">
        <v>92.861291440344</v>
      </c>
      <c r="Y191" t="n">
        <v>0.142082820037335</v>
      </c>
      <c r="Z191" t="n">
        <v>151.1519362099309</v>
      </c>
      <c r="AA191" t="n">
        <v>0</v>
      </c>
      <c r="AB191" t="n">
        <v>0</v>
      </c>
      <c r="AC191" t="n">
        <v>0</v>
      </c>
      <c r="AD191" s="2" t="n">
        <v>44501</v>
      </c>
    </row>
    <row r="192">
      <c r="A192" t="n">
        <v>-1</v>
      </c>
      <c r="B192" t="inlineStr">
        <is>
          <t>01-11-2021</t>
        </is>
      </c>
      <c r="C192" t="n">
        <v>2021</v>
      </c>
      <c r="D192" t="n">
        <v>11</v>
      </c>
      <c r="E192" t="inlineStr">
        <is>
          <t>Valparaiso 012</t>
        </is>
      </c>
      <c r="F192" t="inlineStr">
        <is>
          <t>Chilquinta</t>
        </is>
      </c>
      <c r="G192" t="inlineStr">
        <is>
          <t>Chilquinta</t>
        </is>
      </c>
      <c r="H192" t="inlineStr">
        <is>
          <t>Empresa Eléctrica Carén S.A.</t>
        </is>
      </c>
      <c r="I192" t="inlineStr">
        <is>
          <t>Empresa Eléctrica Carén S.A.</t>
        </is>
      </c>
      <c r="J192" t="inlineStr">
        <is>
          <t>SIC 2013/03_2_BS1B_BB_CHILQUINTA_Empresa Eléctrica Carén S.A.</t>
        </is>
      </c>
      <c r="K192" t="inlineStr">
        <is>
          <t>Valparaiso 012</t>
        </is>
      </c>
      <c r="L192" t="inlineStr">
        <is>
          <t>-1</t>
        </is>
      </c>
      <c r="M192" t="n">
        <v>800.3267489934142</v>
      </c>
      <c r="N192" t="n">
        <v>0</v>
      </c>
      <c r="O192" t="inlineStr">
        <is>
          <t>3</t>
        </is>
      </c>
      <c r="P192" s="2" t="n">
        <v>44999.6862684375</v>
      </c>
      <c r="Q192" t="n">
        <v>31</v>
      </c>
      <c r="R192" t="inlineStr">
        <is>
          <t>LOS MAQUIS 220</t>
        </is>
      </c>
      <c r="S192" t="n">
        <v>28.43539813558973</v>
      </c>
      <c r="T192" t="n">
        <v>2482.11492588174</v>
      </c>
      <c r="U192" t="n">
        <v>0</v>
      </c>
      <c r="V192" t="n">
        <v>0</v>
      </c>
      <c r="W192" t="inlineStr">
        <is>
          <t>CHILQUINTA</t>
        </is>
      </c>
      <c r="X192" t="n">
        <v>92.861291440344</v>
      </c>
      <c r="Y192" t="n">
        <v>2.482114925881739</v>
      </c>
      <c r="Z192" t="n">
        <v>2640.547793491212</v>
      </c>
      <c r="AA192" t="n">
        <v>0</v>
      </c>
      <c r="AB192" t="n">
        <v>0</v>
      </c>
      <c r="AC192" t="n">
        <v>0</v>
      </c>
      <c r="AD192" s="2" t="n">
        <v>44501</v>
      </c>
    </row>
    <row r="193">
      <c r="A193" t="n">
        <v>-1</v>
      </c>
      <c r="B193" t="inlineStr">
        <is>
          <t>01-11-2021</t>
        </is>
      </c>
      <c r="C193" t="n">
        <v>2021</v>
      </c>
      <c r="D193" t="n">
        <v>11</v>
      </c>
      <c r="E193" t="inlineStr">
        <is>
          <t>Valparaiso 012</t>
        </is>
      </c>
      <c r="F193" t="inlineStr">
        <is>
          <t>Chilquinta</t>
        </is>
      </c>
      <c r="G193" t="inlineStr">
        <is>
          <t>Chilquinta</t>
        </is>
      </c>
      <c r="H193" t="inlineStr">
        <is>
          <t>Empresa Eléctrica Carén S.A.</t>
        </is>
      </c>
      <c r="I193" t="inlineStr">
        <is>
          <t>Empresa Eléctrica Carén S.A.</t>
        </is>
      </c>
      <c r="J193" t="inlineStr">
        <is>
          <t>SIC 2013/03_2_BS1B_BB_CHILQUINTA_Empresa Eléctrica Carén S.A.</t>
        </is>
      </c>
      <c r="K193" t="inlineStr">
        <is>
          <t>Valparaiso 012</t>
        </is>
      </c>
      <c r="L193" t="inlineStr">
        <is>
          <t>-1</t>
        </is>
      </c>
      <c r="M193" t="n">
        <v>800.3267489934142</v>
      </c>
      <c r="N193" t="n">
        <v>0</v>
      </c>
      <c r="O193" t="inlineStr">
        <is>
          <t>3</t>
        </is>
      </c>
      <c r="P193" s="2" t="n">
        <v>44999.6862684375</v>
      </c>
      <c r="Q193" t="n">
        <v>13</v>
      </c>
      <c r="R193" t="inlineStr">
        <is>
          <t>MELIPILLA 220</t>
        </is>
      </c>
      <c r="S193" t="n">
        <v>702.5852814713274</v>
      </c>
      <c r="T193" t="n">
        <v>62839.36156655003</v>
      </c>
      <c r="U193" t="n">
        <v>0</v>
      </c>
      <c r="V193" t="n">
        <v>0</v>
      </c>
      <c r="W193" t="inlineStr">
        <is>
          <t>CHILQUINTA</t>
        </is>
      </c>
      <c r="X193" t="n">
        <v>95.14913905578901</v>
      </c>
      <c r="Y193" t="n">
        <v>62.83936156655002</v>
      </c>
      <c r="Z193" t="n">
        <v>66850.38464526599</v>
      </c>
      <c r="AA193" t="n">
        <v>0</v>
      </c>
      <c r="AB193" t="n">
        <v>0</v>
      </c>
      <c r="AC193" t="n">
        <v>0</v>
      </c>
      <c r="AD193" s="2" t="n">
        <v>44501</v>
      </c>
    </row>
    <row r="194">
      <c r="A194" t="n">
        <v>-1</v>
      </c>
      <c r="B194" t="inlineStr">
        <is>
          <t>01-11-2021</t>
        </is>
      </c>
      <c r="C194" t="n">
        <v>2021</v>
      </c>
      <c r="D194" t="n">
        <v>11</v>
      </c>
      <c r="E194" t="inlineStr">
        <is>
          <t>Valparaiso 012</t>
        </is>
      </c>
      <c r="F194" t="inlineStr">
        <is>
          <t>Chilquinta</t>
        </is>
      </c>
      <c r="G194" t="inlineStr">
        <is>
          <t>Chilquinta</t>
        </is>
      </c>
      <c r="H194" t="inlineStr">
        <is>
          <t>Empresa Eléctrica Carén S.A.</t>
        </is>
      </c>
      <c r="I194" t="inlineStr">
        <is>
          <t>Empresa Eléctrica Carén S.A.</t>
        </is>
      </c>
      <c r="J194" t="inlineStr">
        <is>
          <t>SIC 2013/03_2_BS1B_BB_CHILQUINTA_Empresa Eléctrica Carén S.A.</t>
        </is>
      </c>
      <c r="K194" t="inlineStr">
        <is>
          <t>Valparaiso 012</t>
        </is>
      </c>
      <c r="L194" t="inlineStr">
        <is>
          <t>-1</t>
        </is>
      </c>
      <c r="M194" t="n">
        <v>800.3267489934142</v>
      </c>
      <c r="N194" t="n">
        <v>0</v>
      </c>
      <c r="O194" t="inlineStr">
        <is>
          <t>3</t>
        </is>
      </c>
      <c r="P194" s="2" t="n">
        <v>44999.6862684375</v>
      </c>
      <c r="Q194" t="n">
        <v>5</v>
      </c>
      <c r="R194" t="inlineStr">
        <is>
          <t>NOGALES 220</t>
        </is>
      </c>
      <c r="S194" t="n">
        <v>2.143952690549555</v>
      </c>
      <c r="T194" t="n">
        <v>191.4275010565806</v>
      </c>
      <c r="U194" t="n">
        <v>0</v>
      </c>
      <c r="V194" t="n">
        <v>0</v>
      </c>
      <c r="W194" t="inlineStr">
        <is>
          <t>CHILQUINTA</t>
        </is>
      </c>
      <c r="X194" t="n">
        <v>94.986367291326</v>
      </c>
      <c r="Y194" t="n">
        <v>0.1914275010565806</v>
      </c>
      <c r="Z194" t="n">
        <v>203.6462777197666</v>
      </c>
      <c r="AA194" t="n">
        <v>0</v>
      </c>
      <c r="AB194" t="n">
        <v>0</v>
      </c>
      <c r="AC194" t="n">
        <v>0</v>
      </c>
      <c r="AD194" s="2" t="n">
        <v>44501</v>
      </c>
    </row>
    <row r="195">
      <c r="A195" t="n">
        <v>-1</v>
      </c>
      <c r="B195" t="inlineStr">
        <is>
          <t>01-11-2021</t>
        </is>
      </c>
      <c r="C195" t="n">
        <v>2021</v>
      </c>
      <c r="D195" t="n">
        <v>11</v>
      </c>
      <c r="E195" t="inlineStr">
        <is>
          <t>Valparaiso 012</t>
        </is>
      </c>
      <c r="F195" t="inlineStr">
        <is>
          <t>Chilquinta</t>
        </is>
      </c>
      <c r="G195" t="inlineStr">
        <is>
          <t>Chilquinta</t>
        </is>
      </c>
      <c r="H195" t="inlineStr">
        <is>
          <t>Empresa Eléctrica Carén S.A.</t>
        </is>
      </c>
      <c r="I195" t="inlineStr">
        <is>
          <t>Empresa Eléctrica Carén S.A.</t>
        </is>
      </c>
      <c r="J195" t="inlineStr">
        <is>
          <t>SIC 2013/03_2_BS1B_BB_CHILQUINTA_Empresa Eléctrica Carén S.A.</t>
        </is>
      </c>
      <c r="K195" t="inlineStr">
        <is>
          <t>Valparaiso 012</t>
        </is>
      </c>
      <c r="L195" t="inlineStr">
        <is>
          <t>-1</t>
        </is>
      </c>
      <c r="M195" t="n">
        <v>800.3267489934142</v>
      </c>
      <c r="N195" t="n">
        <v>0</v>
      </c>
      <c r="O195" t="inlineStr">
        <is>
          <t>3</t>
        </is>
      </c>
      <c r="P195" s="2" t="n">
        <v>44999.6862684375</v>
      </c>
      <c r="Q195" t="n">
        <v>11</v>
      </c>
      <c r="R195" t="inlineStr">
        <is>
          <t>QUILLOTA 220</t>
        </is>
      </c>
      <c r="S195" t="n">
        <v>87.24446913917947</v>
      </c>
      <c r="T195" t="n">
        <v>7615.536030773957</v>
      </c>
      <c r="U195" t="n">
        <v>0</v>
      </c>
      <c r="V195" t="n">
        <v>0</v>
      </c>
      <c r="W195" t="inlineStr">
        <is>
          <t>CHILQUINTA</t>
        </is>
      </c>
      <c r="X195" t="n">
        <v>92.861291440344</v>
      </c>
      <c r="Y195" t="n">
        <v>7.615536030773956</v>
      </c>
      <c r="Z195" t="n">
        <v>8101.634075291445</v>
      </c>
      <c r="AA195" t="n">
        <v>0</v>
      </c>
      <c r="AB195" t="n">
        <v>0</v>
      </c>
      <c r="AC195" t="n">
        <v>0</v>
      </c>
      <c r="AD195" s="2" t="n">
        <v>44501</v>
      </c>
    </row>
    <row r="196">
      <c r="A196" t="n">
        <v>-1</v>
      </c>
      <c r="B196" t="inlineStr">
        <is>
          <t>01-12-2021</t>
        </is>
      </c>
      <c r="C196" t="n">
        <v>2021</v>
      </c>
      <c r="D196" t="n">
        <v>12</v>
      </c>
      <c r="E196" t="inlineStr">
        <is>
          <t>Bosquemar 012</t>
        </is>
      </c>
      <c r="F196" t="inlineStr">
        <is>
          <t>Chilquinta</t>
        </is>
      </c>
      <c r="G196" t="inlineStr">
        <is>
          <t>Chilquinta</t>
        </is>
      </c>
      <c r="H196" t="inlineStr">
        <is>
          <t>Empresa Eléctrica Carén S.A.</t>
        </is>
      </c>
      <c r="I196" t="inlineStr">
        <is>
          <t>Empresa Eléctrica Carén S.A.</t>
        </is>
      </c>
      <c r="J196" t="inlineStr">
        <is>
          <t>SIC 2013/03_2_BS1B_BB_CHILQUINTA_Empresa Eléctrica Carén S.A.</t>
        </is>
      </c>
      <c r="K196" t="inlineStr">
        <is>
          <t>Bosquemar 012</t>
        </is>
      </c>
      <c r="L196" t="inlineStr">
        <is>
          <t>-1</t>
        </is>
      </c>
      <c r="M196" t="n">
        <v>445.2539419186293</v>
      </c>
      <c r="N196" t="n">
        <v>0</v>
      </c>
      <c r="O196" t="inlineStr">
        <is>
          <t>3</t>
        </is>
      </c>
      <c r="P196" s="2" t="n">
        <v>44999.6862684375</v>
      </c>
      <c r="Q196" t="n">
        <v>31</v>
      </c>
      <c r="R196" t="inlineStr">
        <is>
          <t>LOS MAQUIS 220</t>
        </is>
      </c>
      <c r="S196" t="n">
        <v>99.58336502512834</v>
      </c>
      <c r="T196" t="n">
        <v>8692.593489276087</v>
      </c>
      <c r="U196" t="n">
        <v>0</v>
      </c>
      <c r="V196" t="n">
        <v>0</v>
      </c>
      <c r="W196" t="inlineStr">
        <is>
          <t>CHILQUINTA</t>
        </is>
      </c>
      <c r="X196" t="n">
        <v>92.86129144034402</v>
      </c>
      <c r="Y196" t="n">
        <v>8.692593489276089</v>
      </c>
      <c r="Z196" t="n">
        <v>9247.439882208604</v>
      </c>
      <c r="AA196" t="n">
        <v>0</v>
      </c>
      <c r="AB196" t="n">
        <v>0</v>
      </c>
      <c r="AC196" t="n">
        <v>0</v>
      </c>
      <c r="AD196" s="2" t="n">
        <v>44531</v>
      </c>
    </row>
    <row r="197">
      <c r="A197" t="n">
        <v>-1</v>
      </c>
      <c r="B197" t="inlineStr">
        <is>
          <t>01-12-2021</t>
        </is>
      </c>
      <c r="C197" t="n">
        <v>2021</v>
      </c>
      <c r="D197" t="n">
        <v>12</v>
      </c>
      <c r="E197" t="inlineStr">
        <is>
          <t>Bosquemar 012</t>
        </is>
      </c>
      <c r="F197" t="inlineStr">
        <is>
          <t>Chilquinta</t>
        </is>
      </c>
      <c r="G197" t="inlineStr">
        <is>
          <t>Chilquinta</t>
        </is>
      </c>
      <c r="H197" t="inlineStr">
        <is>
          <t>Empresa Eléctrica Carén S.A.</t>
        </is>
      </c>
      <c r="I197" t="inlineStr">
        <is>
          <t>Empresa Eléctrica Carén S.A.</t>
        </is>
      </c>
      <c r="J197" t="inlineStr">
        <is>
          <t>SIC 2013/03_2_BS1B_BB_CHILQUINTA_Empresa Eléctrica Carén S.A.</t>
        </is>
      </c>
      <c r="K197" t="inlineStr">
        <is>
          <t>Bosquemar 012</t>
        </is>
      </c>
      <c r="L197" t="inlineStr">
        <is>
          <t>-1</t>
        </is>
      </c>
      <c r="M197" t="n">
        <v>445.2539419186293</v>
      </c>
      <c r="N197" t="n">
        <v>0</v>
      </c>
      <c r="O197" t="inlineStr">
        <is>
          <t>3</t>
        </is>
      </c>
      <c r="P197" s="2" t="n">
        <v>44999.6862684375</v>
      </c>
      <c r="Q197" t="n">
        <v>13</v>
      </c>
      <c r="R197" t="inlineStr">
        <is>
          <t>MELIPILLA 220</t>
        </is>
      </c>
      <c r="S197" t="n">
        <v>59.74094368096319</v>
      </c>
      <c r="T197" t="n">
        <v>5343.241396166585</v>
      </c>
      <c r="U197" t="n">
        <v>0</v>
      </c>
      <c r="V197" t="n">
        <v>0</v>
      </c>
      <c r="W197" t="inlineStr">
        <is>
          <t>CHILQUINTA</t>
        </is>
      </c>
      <c r="X197" t="n">
        <v>95.14913905578902</v>
      </c>
      <c r="Y197" t="n">
        <v>5.343241396166585</v>
      </c>
      <c r="Z197" t="n">
        <v>5684.299357624027</v>
      </c>
      <c r="AA197" t="n">
        <v>0</v>
      </c>
      <c r="AB197" t="n">
        <v>0</v>
      </c>
      <c r="AC197" t="n">
        <v>0</v>
      </c>
      <c r="AD197" s="2" t="n">
        <v>44531</v>
      </c>
    </row>
    <row r="198">
      <c r="A198" t="n">
        <v>-1</v>
      </c>
      <c r="B198" t="inlineStr">
        <is>
          <t>01-12-2021</t>
        </is>
      </c>
      <c r="C198" t="n">
        <v>2021</v>
      </c>
      <c r="D198" t="n">
        <v>12</v>
      </c>
      <c r="E198" t="inlineStr">
        <is>
          <t>Bosquemar 012</t>
        </is>
      </c>
      <c r="F198" t="inlineStr">
        <is>
          <t>Chilquinta</t>
        </is>
      </c>
      <c r="G198" t="inlineStr">
        <is>
          <t>Chilquinta</t>
        </is>
      </c>
      <c r="H198" t="inlineStr">
        <is>
          <t>Empresa Eléctrica Carén S.A.</t>
        </is>
      </c>
      <c r="I198" t="inlineStr">
        <is>
          <t>Empresa Eléctrica Carén S.A.</t>
        </is>
      </c>
      <c r="J198" t="inlineStr">
        <is>
          <t>SIC 2013/03_2_BS1B_BB_CHILQUINTA_Empresa Eléctrica Carén S.A.</t>
        </is>
      </c>
      <c r="K198" t="inlineStr">
        <is>
          <t>Bosquemar 012</t>
        </is>
      </c>
      <c r="L198" t="inlineStr">
        <is>
          <t>-1</t>
        </is>
      </c>
      <c r="M198" t="n">
        <v>445.2539419186293</v>
      </c>
      <c r="N198" t="n">
        <v>0</v>
      </c>
      <c r="O198" t="inlineStr">
        <is>
          <t>3</t>
        </is>
      </c>
      <c r="P198" s="2" t="n">
        <v>44999.6862684375</v>
      </c>
      <c r="Q198" t="n">
        <v>5</v>
      </c>
      <c r="R198" t="inlineStr">
        <is>
          <t>NOGALES 220</t>
        </is>
      </c>
      <c r="S198" t="n">
        <v>11.91520036735122</v>
      </c>
      <c r="T198" t="n">
        <v>1063.874702536388</v>
      </c>
      <c r="U198" t="n">
        <v>0</v>
      </c>
      <c r="V198" t="n">
        <v>0</v>
      </c>
      <c r="W198" t="inlineStr">
        <is>
          <t>CHILQUINTA</t>
        </is>
      </c>
      <c r="X198" t="n">
        <v>94.986367291326</v>
      </c>
      <c r="Y198" t="n">
        <v>1.063874702536387</v>
      </c>
      <c r="Z198" t="n">
        <v>1131.781598442966</v>
      </c>
      <c r="AA198" t="n">
        <v>0</v>
      </c>
      <c r="AB198" t="n">
        <v>0</v>
      </c>
      <c r="AC198" t="n">
        <v>0</v>
      </c>
      <c r="AD198" s="2" t="n">
        <v>44531</v>
      </c>
    </row>
    <row r="199">
      <c r="A199" t="n">
        <v>-1</v>
      </c>
      <c r="B199" t="inlineStr">
        <is>
          <t>01-12-2021</t>
        </is>
      </c>
      <c r="C199" t="n">
        <v>2021</v>
      </c>
      <c r="D199" t="n">
        <v>12</v>
      </c>
      <c r="E199" t="inlineStr">
        <is>
          <t>Bosquemar 012</t>
        </is>
      </c>
      <c r="F199" t="inlineStr">
        <is>
          <t>Chilquinta</t>
        </is>
      </c>
      <c r="G199" t="inlineStr">
        <is>
          <t>Chilquinta</t>
        </is>
      </c>
      <c r="H199" t="inlineStr">
        <is>
          <t>Empresa Eléctrica Carén S.A.</t>
        </is>
      </c>
      <c r="I199" t="inlineStr">
        <is>
          <t>Empresa Eléctrica Carén S.A.</t>
        </is>
      </c>
      <c r="J199" t="inlineStr">
        <is>
          <t>SIC 2013/03_2_BS1B_BB_CHILQUINTA_Empresa Eléctrica Carén S.A.</t>
        </is>
      </c>
      <c r="K199" t="inlineStr">
        <is>
          <t>Bosquemar 012</t>
        </is>
      </c>
      <c r="L199" t="inlineStr">
        <is>
          <t>-1</t>
        </is>
      </c>
      <c r="M199" t="n">
        <v>445.2539419186293</v>
      </c>
      <c r="N199" t="n">
        <v>0</v>
      </c>
      <c r="O199" t="inlineStr">
        <is>
          <t>3</t>
        </is>
      </c>
      <c r="P199" s="2" t="n">
        <v>44999.6862684375</v>
      </c>
      <c r="Q199" t="n">
        <v>11</v>
      </c>
      <c r="R199" t="inlineStr">
        <is>
          <t>QUILLOTA 220</t>
        </is>
      </c>
      <c r="S199" t="n">
        <v>285.1870527777258</v>
      </c>
      <c r="T199" t="n">
        <v>24893.86774162485</v>
      </c>
      <c r="U199" t="n">
        <v>0</v>
      </c>
      <c r="V199" t="n">
        <v>0</v>
      </c>
      <c r="W199" t="inlineStr">
        <is>
          <t>CHILQUINTA</t>
        </is>
      </c>
      <c r="X199" t="n">
        <v>92.86129144034402</v>
      </c>
      <c r="Y199" t="n">
        <v>24.89386774162485</v>
      </c>
      <c r="Z199" t="n">
        <v>26482.83802300516</v>
      </c>
      <c r="AA199" t="n">
        <v>0</v>
      </c>
      <c r="AB199" t="n">
        <v>0</v>
      </c>
      <c r="AC199" t="n">
        <v>0</v>
      </c>
      <c r="AD199" s="2" t="n">
        <v>44531</v>
      </c>
    </row>
    <row r="200">
      <c r="A200" t="n">
        <v>-1</v>
      </c>
      <c r="B200" t="inlineStr">
        <is>
          <t>01-12-2021</t>
        </is>
      </c>
      <c r="C200" t="n">
        <v>2021</v>
      </c>
      <c r="D200" t="n">
        <v>12</v>
      </c>
      <c r="E200" t="inlineStr">
        <is>
          <t>Casablanca 012</t>
        </is>
      </c>
      <c r="F200" t="inlineStr">
        <is>
          <t>Chilquinta</t>
        </is>
      </c>
      <c r="G200" t="inlineStr">
        <is>
          <t>Chilquinta</t>
        </is>
      </c>
      <c r="H200" t="inlineStr">
        <is>
          <t>Empresa Eléctrica Carén S.A.</t>
        </is>
      </c>
      <c r="I200" t="inlineStr">
        <is>
          <t>Empresa Eléctrica Carén S.A.</t>
        </is>
      </c>
      <c r="J200" t="inlineStr">
        <is>
          <t>SIC 2013/03_2_BS1B_BB_CHILQUINTA_Empresa Eléctrica Carén S.A.</t>
        </is>
      </c>
      <c r="K200" t="inlineStr">
        <is>
          <t>Casablanca 012</t>
        </is>
      </c>
      <c r="L200" t="inlineStr">
        <is>
          <t>-1</t>
        </is>
      </c>
      <c r="M200" t="n">
        <v>2.373148659337501</v>
      </c>
      <c r="N200" t="n">
        <v>0</v>
      </c>
      <c r="O200" t="inlineStr">
        <is>
          <t>3</t>
        </is>
      </c>
      <c r="P200" s="2" t="n">
        <v>44999.6862684375</v>
      </c>
      <c r="Q200" t="n">
        <v>31</v>
      </c>
      <c r="R200" t="inlineStr">
        <is>
          <t>LOS MAQUIS 220</t>
        </is>
      </c>
      <c r="S200" t="n">
        <v>0.01182993975555936</v>
      </c>
      <c r="T200" t="n">
        <v>1.032630874360947</v>
      </c>
      <c r="U200" t="n">
        <v>0</v>
      </c>
      <c r="V200" t="n">
        <v>0</v>
      </c>
      <c r="W200" t="inlineStr">
        <is>
          <t>CHILQUINTA</t>
        </is>
      </c>
      <c r="X200" t="n">
        <v>92.861291440344</v>
      </c>
      <c r="Y200" t="n">
        <v>0.001032630874360947</v>
      </c>
      <c r="Z200" t="n">
        <v>1.09854348336271</v>
      </c>
      <c r="AA200" t="n">
        <v>0</v>
      </c>
      <c r="AB200" t="n">
        <v>0</v>
      </c>
      <c r="AC200" t="n">
        <v>0</v>
      </c>
      <c r="AD200" s="2" t="n">
        <v>44531</v>
      </c>
    </row>
    <row r="201">
      <c r="A201" t="n">
        <v>-1</v>
      </c>
      <c r="B201" t="inlineStr">
        <is>
          <t>01-12-2021</t>
        </is>
      </c>
      <c r="C201" t="n">
        <v>2021</v>
      </c>
      <c r="D201" t="n">
        <v>12</v>
      </c>
      <c r="E201" t="inlineStr">
        <is>
          <t>Casablanca 012</t>
        </is>
      </c>
      <c r="F201" t="inlineStr">
        <is>
          <t>Chilquinta</t>
        </is>
      </c>
      <c r="G201" t="inlineStr">
        <is>
          <t>Chilquinta</t>
        </is>
      </c>
      <c r="H201" t="inlineStr">
        <is>
          <t>Empresa Eléctrica Carén S.A.</t>
        </is>
      </c>
      <c r="I201" t="inlineStr">
        <is>
          <t>Empresa Eléctrica Carén S.A.</t>
        </is>
      </c>
      <c r="J201" t="inlineStr">
        <is>
          <t>SIC 2013/03_2_BS1B_BB_CHILQUINTA_Empresa Eléctrica Carén S.A.</t>
        </is>
      </c>
      <c r="K201" t="inlineStr">
        <is>
          <t>Casablanca 012</t>
        </is>
      </c>
      <c r="L201" t="inlineStr">
        <is>
          <t>-1</t>
        </is>
      </c>
      <c r="M201" t="n">
        <v>2.373148659337501</v>
      </c>
      <c r="N201" t="n">
        <v>0</v>
      </c>
      <c r="O201" t="inlineStr">
        <is>
          <t>3</t>
        </is>
      </c>
      <c r="P201" s="2" t="n">
        <v>44999.6862684375</v>
      </c>
      <c r="Q201" t="n">
        <v>13</v>
      </c>
      <c r="R201" t="inlineStr">
        <is>
          <t>MELIPILLA 220</t>
        </is>
      </c>
      <c r="S201" t="n">
        <v>2.369880402542239</v>
      </c>
      <c r="T201" t="n">
        <v>211.9625551690559</v>
      </c>
      <c r="U201" t="n">
        <v>0</v>
      </c>
      <c r="V201" t="n">
        <v>0</v>
      </c>
      <c r="W201" t="inlineStr">
        <is>
          <t>CHILQUINTA</t>
        </is>
      </c>
      <c r="X201" t="n">
        <v>95.14913905578901</v>
      </c>
      <c r="Y201" t="n">
        <v>0.2119625551690558</v>
      </c>
      <c r="Z201" t="n">
        <v>225.4920799670807</v>
      </c>
      <c r="AA201" t="n">
        <v>0</v>
      </c>
      <c r="AB201" t="n">
        <v>0</v>
      </c>
      <c r="AC201" t="n">
        <v>0</v>
      </c>
      <c r="AD201" s="2" t="n">
        <v>44531</v>
      </c>
    </row>
    <row r="202">
      <c r="A202" t="n">
        <v>-1</v>
      </c>
      <c r="B202" t="inlineStr">
        <is>
          <t>01-12-2021</t>
        </is>
      </c>
      <c r="C202" t="n">
        <v>2021</v>
      </c>
      <c r="D202" t="n">
        <v>12</v>
      </c>
      <c r="E202" t="inlineStr">
        <is>
          <t>Casablanca 012</t>
        </is>
      </c>
      <c r="F202" t="inlineStr">
        <is>
          <t>Chilquinta</t>
        </is>
      </c>
      <c r="G202" t="inlineStr">
        <is>
          <t>Chilquinta</t>
        </is>
      </c>
      <c r="H202" t="inlineStr">
        <is>
          <t>Empresa Eléctrica Carén S.A.</t>
        </is>
      </c>
      <c r="I202" t="inlineStr">
        <is>
          <t>Empresa Eléctrica Carén S.A.</t>
        </is>
      </c>
      <c r="J202" t="inlineStr">
        <is>
          <t>SIC 2013/03_2_BS1B_BB_CHILQUINTA_Empresa Eléctrica Carén S.A.</t>
        </is>
      </c>
      <c r="K202" t="inlineStr">
        <is>
          <t>Casablanca 012</t>
        </is>
      </c>
      <c r="L202" t="inlineStr">
        <is>
          <t>-1</t>
        </is>
      </c>
      <c r="M202" t="n">
        <v>2.373148659337501</v>
      </c>
      <c r="N202" t="n">
        <v>0</v>
      </c>
      <c r="O202" t="inlineStr">
        <is>
          <t>3</t>
        </is>
      </c>
      <c r="P202" s="2" t="n">
        <v>44999.6862684375</v>
      </c>
      <c r="Q202" t="n">
        <v>5</v>
      </c>
      <c r="R202" t="inlineStr">
        <is>
          <t>NOGALES 220</t>
        </is>
      </c>
      <c r="S202" t="n">
        <v>0.001157537866768565</v>
      </c>
      <c r="T202" t="n">
        <v>0.1033532979485071</v>
      </c>
      <c r="U202" t="n">
        <v>0</v>
      </c>
      <c r="V202" t="n">
        <v>0</v>
      </c>
      <c r="W202" t="inlineStr">
        <is>
          <t>CHILQUINTA</t>
        </is>
      </c>
      <c r="X202" t="n">
        <v>94.98636729132602</v>
      </c>
      <c r="Y202" t="n">
        <v>0.0001033532979485071</v>
      </c>
      <c r="Z202" t="n">
        <v>0.1099503169664969</v>
      </c>
      <c r="AA202" t="n">
        <v>0</v>
      </c>
      <c r="AB202" t="n">
        <v>0</v>
      </c>
      <c r="AC202" t="n">
        <v>0</v>
      </c>
      <c r="AD202" s="2" t="n">
        <v>44531</v>
      </c>
    </row>
    <row r="203">
      <c r="A203" t="n">
        <v>-1</v>
      </c>
      <c r="B203" t="inlineStr">
        <is>
          <t>01-12-2021</t>
        </is>
      </c>
      <c r="C203" t="n">
        <v>2021</v>
      </c>
      <c r="D203" t="n">
        <v>12</v>
      </c>
      <c r="E203" t="inlineStr">
        <is>
          <t>Casablanca 012</t>
        </is>
      </c>
      <c r="F203" t="inlineStr">
        <is>
          <t>Chilquinta</t>
        </is>
      </c>
      <c r="G203" t="inlineStr">
        <is>
          <t>Chilquinta</t>
        </is>
      </c>
      <c r="H203" t="inlineStr">
        <is>
          <t>Empresa Eléctrica Carén S.A.</t>
        </is>
      </c>
      <c r="I203" t="inlineStr">
        <is>
          <t>Empresa Eléctrica Carén S.A.</t>
        </is>
      </c>
      <c r="J203" t="inlineStr">
        <is>
          <t>SIC 2013/03_2_BS1B_BB_CHILQUINTA_Empresa Eléctrica Carén S.A.</t>
        </is>
      </c>
      <c r="K203" t="inlineStr">
        <is>
          <t>Casablanca 012</t>
        </is>
      </c>
      <c r="L203" t="inlineStr">
        <is>
          <t>-1</t>
        </is>
      </c>
      <c r="M203" t="n">
        <v>2.373148659337501</v>
      </c>
      <c r="N203" t="n">
        <v>0</v>
      </c>
      <c r="O203" t="inlineStr">
        <is>
          <t>3</t>
        </is>
      </c>
      <c r="P203" s="2" t="n">
        <v>44999.6862684375</v>
      </c>
      <c r="Q203" t="n">
        <v>11</v>
      </c>
      <c r="R203" t="inlineStr">
        <is>
          <t>QUILLOTA 220</t>
        </is>
      </c>
      <c r="S203" t="n">
        <v>0.04982946705190489</v>
      </c>
      <c r="T203" t="n">
        <v>4.349594942490522</v>
      </c>
      <c r="U203" t="n">
        <v>0</v>
      </c>
      <c r="V203" t="n">
        <v>0</v>
      </c>
      <c r="W203" t="inlineStr">
        <is>
          <t>CHILQUINTA</t>
        </is>
      </c>
      <c r="X203" t="n">
        <v>92.86129144034402</v>
      </c>
      <c r="Y203" t="n">
        <v>0.004349594942490521</v>
      </c>
      <c r="Z203" t="n">
        <v>4.62722866222396</v>
      </c>
      <c r="AA203" t="n">
        <v>0</v>
      </c>
      <c r="AB203" t="n">
        <v>0</v>
      </c>
      <c r="AC203" t="n">
        <v>0</v>
      </c>
      <c r="AD203" s="2" t="n">
        <v>44531</v>
      </c>
    </row>
    <row r="204">
      <c r="A204" t="n">
        <v>-1</v>
      </c>
      <c r="B204" t="inlineStr">
        <is>
          <t>01-12-2021</t>
        </is>
      </c>
      <c r="C204" t="n">
        <v>2021</v>
      </c>
      <c r="D204" t="n">
        <v>12</v>
      </c>
      <c r="E204" t="inlineStr">
        <is>
          <t>Catemu 012</t>
        </is>
      </c>
      <c r="F204" t="inlineStr">
        <is>
          <t>Chilquinta</t>
        </is>
      </c>
      <c r="G204" t="inlineStr">
        <is>
          <t>Chilquinta</t>
        </is>
      </c>
      <c r="H204" t="inlineStr">
        <is>
          <t>Empresa Eléctrica Carén S.A.</t>
        </is>
      </c>
      <c r="I204" t="inlineStr">
        <is>
          <t>Empresa Eléctrica Carén S.A.</t>
        </is>
      </c>
      <c r="J204" t="inlineStr">
        <is>
          <t>SIC 2013/03_2_BS1B_BB_CHILQUINTA_Empresa Eléctrica Carén S.A.</t>
        </is>
      </c>
      <c r="K204" t="inlineStr">
        <is>
          <t>Catemu 012</t>
        </is>
      </c>
      <c r="L204" t="inlineStr">
        <is>
          <t>-1</t>
        </is>
      </c>
      <c r="M204" t="n">
        <v>211.8700982149731</v>
      </c>
      <c r="N204" t="n">
        <v>0</v>
      </c>
      <c r="O204" t="inlineStr">
        <is>
          <t>3</t>
        </is>
      </c>
      <c r="P204" s="2" t="n">
        <v>44999.6862684375</v>
      </c>
      <c r="Q204" t="n">
        <v>31</v>
      </c>
      <c r="R204" t="inlineStr">
        <is>
          <t>LOS MAQUIS 220</t>
        </is>
      </c>
      <c r="S204" t="n">
        <v>141.143724543762</v>
      </c>
      <c r="T204" t="n">
        <v>12320.38122744388</v>
      </c>
      <c r="U204" t="n">
        <v>0</v>
      </c>
      <c r="V204" t="n">
        <v>0</v>
      </c>
      <c r="W204" t="inlineStr">
        <is>
          <t>CHILQUINTA</t>
        </is>
      </c>
      <c r="X204" t="n">
        <v>92.861291440344</v>
      </c>
      <c r="Y204" t="n">
        <v>12.32038122744388</v>
      </c>
      <c r="Z204" t="n">
        <v>13106.78853983392</v>
      </c>
      <c r="AA204" t="n">
        <v>0</v>
      </c>
      <c r="AB204" t="n">
        <v>0</v>
      </c>
      <c r="AC204" t="n">
        <v>0</v>
      </c>
      <c r="AD204" s="2" t="n">
        <v>44531</v>
      </c>
    </row>
    <row r="205">
      <c r="A205" t="n">
        <v>-1</v>
      </c>
      <c r="B205" t="inlineStr">
        <is>
          <t>01-12-2021</t>
        </is>
      </c>
      <c r="C205" t="n">
        <v>2021</v>
      </c>
      <c r="D205" t="n">
        <v>12</v>
      </c>
      <c r="E205" t="inlineStr">
        <is>
          <t>Catemu 012</t>
        </is>
      </c>
      <c r="F205" t="inlineStr">
        <is>
          <t>Chilquinta</t>
        </is>
      </c>
      <c r="G205" t="inlineStr">
        <is>
          <t>Chilquinta</t>
        </is>
      </c>
      <c r="H205" t="inlineStr">
        <is>
          <t>Empresa Eléctrica Carén S.A.</t>
        </is>
      </c>
      <c r="I205" t="inlineStr">
        <is>
          <t>Empresa Eléctrica Carén S.A.</t>
        </is>
      </c>
      <c r="J205" t="inlineStr">
        <is>
          <t>SIC 2013/03_2_BS1B_BB_CHILQUINTA_Empresa Eléctrica Carén S.A.</t>
        </is>
      </c>
      <c r="K205" t="inlineStr">
        <is>
          <t>Catemu 012</t>
        </is>
      </c>
      <c r="L205" t="inlineStr">
        <is>
          <t>-1</t>
        </is>
      </c>
      <c r="M205" t="n">
        <v>211.8700982149731</v>
      </c>
      <c r="N205" t="n">
        <v>0</v>
      </c>
      <c r="O205" t="inlineStr">
        <is>
          <t>3</t>
        </is>
      </c>
      <c r="P205" s="2" t="n">
        <v>44999.6862684375</v>
      </c>
      <c r="Q205" t="n">
        <v>13</v>
      </c>
      <c r="R205" t="inlineStr">
        <is>
          <t>MELIPILLA 220</t>
        </is>
      </c>
      <c r="S205" t="n">
        <v>5.100165702891866</v>
      </c>
      <c r="T205" t="n">
        <v>456.1597931317026</v>
      </c>
      <c r="U205" t="n">
        <v>0</v>
      </c>
      <c r="V205" t="n">
        <v>0</v>
      </c>
      <c r="W205" t="inlineStr">
        <is>
          <t>CHILQUINTA</t>
        </is>
      </c>
      <c r="X205" t="n">
        <v>95.14913905578901</v>
      </c>
      <c r="Y205" t="n">
        <v>0.4561597931317026</v>
      </c>
      <c r="Z205" t="n">
        <v>485.2763756720241</v>
      </c>
      <c r="AA205" t="n">
        <v>0</v>
      </c>
      <c r="AB205" t="n">
        <v>0</v>
      </c>
      <c r="AC205" t="n">
        <v>0</v>
      </c>
      <c r="AD205" s="2" t="n">
        <v>44531</v>
      </c>
    </row>
    <row r="206">
      <c r="A206" t="n">
        <v>-1</v>
      </c>
      <c r="B206" t="inlineStr">
        <is>
          <t>01-12-2021</t>
        </is>
      </c>
      <c r="C206" t="n">
        <v>2021</v>
      </c>
      <c r="D206" t="n">
        <v>12</v>
      </c>
      <c r="E206" t="inlineStr">
        <is>
          <t>Catemu 012</t>
        </is>
      </c>
      <c r="F206" t="inlineStr">
        <is>
          <t>Chilquinta</t>
        </is>
      </c>
      <c r="G206" t="inlineStr">
        <is>
          <t>Chilquinta</t>
        </is>
      </c>
      <c r="H206" t="inlineStr">
        <is>
          <t>Empresa Eléctrica Carén S.A.</t>
        </is>
      </c>
      <c r="I206" t="inlineStr">
        <is>
          <t>Empresa Eléctrica Carén S.A.</t>
        </is>
      </c>
      <c r="J206" t="inlineStr">
        <is>
          <t>SIC 2013/03_2_BS1B_BB_CHILQUINTA_Empresa Eléctrica Carén S.A.</t>
        </is>
      </c>
      <c r="K206" t="inlineStr">
        <is>
          <t>Catemu 012</t>
        </is>
      </c>
      <c r="L206" t="inlineStr">
        <is>
          <t>-1</t>
        </is>
      </c>
      <c r="M206" t="n">
        <v>211.8700982149731</v>
      </c>
      <c r="N206" t="n">
        <v>0</v>
      </c>
      <c r="O206" t="inlineStr">
        <is>
          <t>3</t>
        </is>
      </c>
      <c r="P206" s="2" t="n">
        <v>44999.6862684375</v>
      </c>
      <c r="Q206" t="n">
        <v>5</v>
      </c>
      <c r="R206" t="inlineStr">
        <is>
          <t>NOGALES 220</t>
        </is>
      </c>
      <c r="S206" t="n">
        <v>1.482436708547254</v>
      </c>
      <c r="T206" t="n">
        <v>132.362601023161</v>
      </c>
      <c r="U206" t="n">
        <v>0</v>
      </c>
      <c r="V206" t="n">
        <v>0</v>
      </c>
      <c r="W206" t="inlineStr">
        <is>
          <t>CHILQUINTA</t>
        </is>
      </c>
      <c r="X206" t="n">
        <v>94.986367291326</v>
      </c>
      <c r="Y206" t="n">
        <v>0.132362601023161</v>
      </c>
      <c r="Z206" t="n">
        <v>140.8112776842139</v>
      </c>
      <c r="AA206" t="n">
        <v>0</v>
      </c>
      <c r="AB206" t="n">
        <v>0</v>
      </c>
      <c r="AC206" t="n">
        <v>0</v>
      </c>
      <c r="AD206" s="2" t="n">
        <v>44531</v>
      </c>
    </row>
    <row r="207">
      <c r="A207" t="n">
        <v>-1</v>
      </c>
      <c r="B207" t="inlineStr">
        <is>
          <t>01-12-2021</t>
        </is>
      </c>
      <c r="C207" t="n">
        <v>2021</v>
      </c>
      <c r="D207" t="n">
        <v>12</v>
      </c>
      <c r="E207" t="inlineStr">
        <is>
          <t>Catemu 012</t>
        </is>
      </c>
      <c r="F207" t="inlineStr">
        <is>
          <t>Chilquinta</t>
        </is>
      </c>
      <c r="G207" t="inlineStr">
        <is>
          <t>Chilquinta</t>
        </is>
      </c>
      <c r="H207" t="inlineStr">
        <is>
          <t>Empresa Eléctrica Carén S.A.</t>
        </is>
      </c>
      <c r="I207" t="inlineStr">
        <is>
          <t>Empresa Eléctrica Carén S.A.</t>
        </is>
      </c>
      <c r="J207" t="inlineStr">
        <is>
          <t>SIC 2013/03_2_BS1B_BB_CHILQUINTA_Empresa Eléctrica Carén S.A.</t>
        </is>
      </c>
      <c r="K207" t="inlineStr">
        <is>
          <t>Catemu 012</t>
        </is>
      </c>
      <c r="L207" t="inlineStr">
        <is>
          <t>-1</t>
        </is>
      </c>
      <c r="M207" t="n">
        <v>211.8700982149731</v>
      </c>
      <c r="N207" t="n">
        <v>0</v>
      </c>
      <c r="O207" t="inlineStr">
        <is>
          <t>3</t>
        </is>
      </c>
      <c r="P207" s="2" t="n">
        <v>44999.6862684375</v>
      </c>
      <c r="Q207" t="n">
        <v>11</v>
      </c>
      <c r="R207" t="inlineStr">
        <is>
          <t>QUILLOTA 220</t>
        </is>
      </c>
      <c r="S207" t="n">
        <v>69.46016233365104</v>
      </c>
      <c r="T207" t="n">
        <v>6063.150755281248</v>
      </c>
      <c r="U207" t="n">
        <v>0</v>
      </c>
      <c r="V207" t="n">
        <v>0</v>
      </c>
      <c r="W207" t="inlineStr">
        <is>
          <t>CHILQUINTA</t>
        </is>
      </c>
      <c r="X207" t="n">
        <v>92.861291440344</v>
      </c>
      <c r="Y207" t="n">
        <v>6.063150755281248</v>
      </c>
      <c r="Z207" t="n">
        <v>6450.160377958775</v>
      </c>
      <c r="AA207" t="n">
        <v>0</v>
      </c>
      <c r="AB207" t="n">
        <v>0</v>
      </c>
      <c r="AC207" t="n">
        <v>0</v>
      </c>
      <c r="AD207" s="2" t="n">
        <v>44531</v>
      </c>
    </row>
    <row r="208">
      <c r="A208" t="n">
        <v>-1</v>
      </c>
      <c r="B208" t="inlineStr">
        <is>
          <t>01-12-2021</t>
        </is>
      </c>
      <c r="C208" t="n">
        <v>2021</v>
      </c>
      <c r="D208" t="n">
        <v>12</v>
      </c>
      <c r="E208" t="inlineStr">
        <is>
          <t>Con Con 012</t>
        </is>
      </c>
      <c r="F208" t="inlineStr">
        <is>
          <t>Chilquinta</t>
        </is>
      </c>
      <c r="G208" t="inlineStr">
        <is>
          <t>Chilquinta</t>
        </is>
      </c>
      <c r="H208" t="inlineStr">
        <is>
          <t>Empresa Eléctrica Carén S.A.</t>
        </is>
      </c>
      <c r="I208" t="inlineStr">
        <is>
          <t>Empresa Eléctrica Carén S.A.</t>
        </is>
      </c>
      <c r="J208" t="inlineStr">
        <is>
          <t>SIC 2013/03_2_BS1B_BB_CHILQUINTA_Empresa Eléctrica Carén S.A.</t>
        </is>
      </c>
      <c r="K208" t="inlineStr">
        <is>
          <t>Con Con 012</t>
        </is>
      </c>
      <c r="L208" t="inlineStr">
        <is>
          <t>-1</t>
        </is>
      </c>
      <c r="M208" t="n">
        <v>299.1374070549597</v>
      </c>
      <c r="N208" t="n">
        <v>0</v>
      </c>
      <c r="O208" t="inlineStr">
        <is>
          <t>3</t>
        </is>
      </c>
      <c r="P208" s="2" t="n">
        <v>44999.6862684375</v>
      </c>
      <c r="Q208" t="n">
        <v>31</v>
      </c>
      <c r="R208" t="inlineStr">
        <is>
          <t>LOS MAQUIS 220</t>
        </is>
      </c>
      <c r="S208" t="n">
        <v>58.85609463153056</v>
      </c>
      <c r="T208" t="n">
        <v>5137.525779221884</v>
      </c>
      <c r="U208" t="n">
        <v>0</v>
      </c>
      <c r="V208" t="n">
        <v>0</v>
      </c>
      <c r="W208" t="inlineStr">
        <is>
          <t>CHILQUINTA</t>
        </is>
      </c>
      <c r="X208" t="n">
        <v>92.861291440344</v>
      </c>
      <c r="Y208" t="n">
        <v>5.137525779221884</v>
      </c>
      <c r="Z208" t="n">
        <v>5465.452956619026</v>
      </c>
      <c r="AA208" t="n">
        <v>0</v>
      </c>
      <c r="AB208" t="n">
        <v>0</v>
      </c>
      <c r="AC208" t="n">
        <v>0</v>
      </c>
      <c r="AD208" s="2" t="n">
        <v>44531</v>
      </c>
    </row>
    <row r="209">
      <c r="A209" t="n">
        <v>-1</v>
      </c>
      <c r="B209" t="inlineStr">
        <is>
          <t>01-12-2021</t>
        </is>
      </c>
      <c r="C209" t="n">
        <v>2021</v>
      </c>
      <c r="D209" t="n">
        <v>12</v>
      </c>
      <c r="E209" t="inlineStr">
        <is>
          <t>Con Con 012</t>
        </is>
      </c>
      <c r="F209" t="inlineStr">
        <is>
          <t>Chilquinta</t>
        </is>
      </c>
      <c r="G209" t="inlineStr">
        <is>
          <t>Chilquinta</t>
        </is>
      </c>
      <c r="H209" t="inlineStr">
        <is>
          <t>Empresa Eléctrica Carén S.A.</t>
        </is>
      </c>
      <c r="I209" t="inlineStr">
        <is>
          <t>Empresa Eléctrica Carén S.A.</t>
        </is>
      </c>
      <c r="J209" t="inlineStr">
        <is>
          <t>SIC 2013/03_2_BS1B_BB_CHILQUINTA_Empresa Eléctrica Carén S.A.</t>
        </is>
      </c>
      <c r="K209" t="inlineStr">
        <is>
          <t>Con Con 012</t>
        </is>
      </c>
      <c r="L209" t="inlineStr">
        <is>
          <t>-1</t>
        </is>
      </c>
      <c r="M209" t="n">
        <v>299.1374070549597</v>
      </c>
      <c r="N209" t="n">
        <v>0</v>
      </c>
      <c r="O209" t="inlineStr">
        <is>
          <t>3</t>
        </is>
      </c>
      <c r="P209" s="2" t="n">
        <v>44999.6862684375</v>
      </c>
      <c r="Q209" t="n">
        <v>13</v>
      </c>
      <c r="R209" t="inlineStr">
        <is>
          <t>MELIPILLA 220</t>
        </is>
      </c>
      <c r="S209" t="n">
        <v>41.28698574651445</v>
      </c>
      <c r="T209" t="n">
        <v>3692.715879110112</v>
      </c>
      <c r="U209" t="n">
        <v>0</v>
      </c>
      <c r="V209" t="n">
        <v>0</v>
      </c>
      <c r="W209" t="inlineStr">
        <is>
          <t>CHILQUINTA</t>
        </is>
      </c>
      <c r="X209" t="n">
        <v>95.14913905578901</v>
      </c>
      <c r="Y209" t="n">
        <v>3.692715879110112</v>
      </c>
      <c r="Z209" t="n">
        <v>3928.421147989482</v>
      </c>
      <c r="AA209" t="n">
        <v>0</v>
      </c>
      <c r="AB209" t="n">
        <v>0</v>
      </c>
      <c r="AC209" t="n">
        <v>0</v>
      </c>
      <c r="AD209" s="2" t="n">
        <v>44531</v>
      </c>
    </row>
    <row r="210">
      <c r="A210" t="n">
        <v>-1</v>
      </c>
      <c r="B210" t="inlineStr">
        <is>
          <t>01-12-2021</t>
        </is>
      </c>
      <c r="C210" t="n">
        <v>2021</v>
      </c>
      <c r="D210" t="n">
        <v>12</v>
      </c>
      <c r="E210" t="inlineStr">
        <is>
          <t>Con Con 012</t>
        </is>
      </c>
      <c r="F210" t="inlineStr">
        <is>
          <t>Chilquinta</t>
        </is>
      </c>
      <c r="G210" t="inlineStr">
        <is>
          <t>Chilquinta</t>
        </is>
      </c>
      <c r="H210" t="inlineStr">
        <is>
          <t>Empresa Eléctrica Carén S.A.</t>
        </is>
      </c>
      <c r="I210" t="inlineStr">
        <is>
          <t>Empresa Eléctrica Carén S.A.</t>
        </is>
      </c>
      <c r="J210" t="inlineStr">
        <is>
          <t>SIC 2013/03_2_BS1B_BB_CHILQUINTA_Empresa Eléctrica Carén S.A.</t>
        </is>
      </c>
      <c r="K210" t="inlineStr">
        <is>
          <t>Con Con 012</t>
        </is>
      </c>
      <c r="L210" t="inlineStr">
        <is>
          <t>-1</t>
        </is>
      </c>
      <c r="M210" t="n">
        <v>299.1374070549597</v>
      </c>
      <c r="N210" t="n">
        <v>0</v>
      </c>
      <c r="O210" t="inlineStr">
        <is>
          <t>3</t>
        </is>
      </c>
      <c r="P210" s="2" t="n">
        <v>44999.6862684375</v>
      </c>
      <c r="Q210" t="n">
        <v>5</v>
      </c>
      <c r="R210" t="inlineStr">
        <is>
          <t>NOGALES 220</t>
        </is>
      </c>
      <c r="S210" t="n">
        <v>9.859532589768575</v>
      </c>
      <c r="T210" t="n">
        <v>880.3299128590031</v>
      </c>
      <c r="U210" t="n">
        <v>0</v>
      </c>
      <c r="V210" t="n">
        <v>0</v>
      </c>
      <c r="W210" t="inlineStr">
        <is>
          <t>CHILQUINTA</t>
        </is>
      </c>
      <c r="X210" t="n">
        <v>94.98636729132602</v>
      </c>
      <c r="Y210" t="n">
        <v>0.8803299128590032</v>
      </c>
      <c r="Z210" t="n">
        <v>936.5211838925566</v>
      </c>
      <c r="AA210" t="n">
        <v>0</v>
      </c>
      <c r="AB210" t="n">
        <v>0</v>
      </c>
      <c r="AC210" t="n">
        <v>0</v>
      </c>
      <c r="AD210" s="2" t="n">
        <v>44531</v>
      </c>
    </row>
    <row r="211">
      <c r="A211" t="n">
        <v>-1</v>
      </c>
      <c r="B211" t="inlineStr">
        <is>
          <t>01-12-2021</t>
        </is>
      </c>
      <c r="C211" t="n">
        <v>2021</v>
      </c>
      <c r="D211" t="n">
        <v>12</v>
      </c>
      <c r="E211" t="inlineStr">
        <is>
          <t>Con Con 012</t>
        </is>
      </c>
      <c r="F211" t="inlineStr">
        <is>
          <t>Chilquinta</t>
        </is>
      </c>
      <c r="G211" t="inlineStr">
        <is>
          <t>Chilquinta</t>
        </is>
      </c>
      <c r="H211" t="inlineStr">
        <is>
          <t>Empresa Eléctrica Carén S.A.</t>
        </is>
      </c>
      <c r="I211" t="inlineStr">
        <is>
          <t>Empresa Eléctrica Carén S.A.</t>
        </is>
      </c>
      <c r="J211" t="inlineStr">
        <is>
          <t>SIC 2013/03_2_BS1B_BB_CHILQUINTA_Empresa Eléctrica Carén S.A.</t>
        </is>
      </c>
      <c r="K211" t="inlineStr">
        <is>
          <t>Con Con 012</t>
        </is>
      </c>
      <c r="L211" t="inlineStr">
        <is>
          <t>-1</t>
        </is>
      </c>
      <c r="M211" t="n">
        <v>299.1374070549597</v>
      </c>
      <c r="N211" t="n">
        <v>0</v>
      </c>
      <c r="O211" t="inlineStr">
        <is>
          <t>3</t>
        </is>
      </c>
      <c r="P211" s="2" t="n">
        <v>44999.6862684375</v>
      </c>
      <c r="Q211" t="n">
        <v>11</v>
      </c>
      <c r="R211" t="inlineStr">
        <is>
          <t>QUILLOTA 220</t>
        </is>
      </c>
      <c r="S211" t="n">
        <v>196.6409568450296</v>
      </c>
      <c r="T211" t="n">
        <v>17164.71321053274</v>
      </c>
      <c r="U211" t="n">
        <v>0</v>
      </c>
      <c r="V211" t="n">
        <v>0</v>
      </c>
      <c r="W211" t="inlineStr">
        <is>
          <t>CHILQUINTA</t>
        </is>
      </c>
      <c r="X211" t="n">
        <v>92.86129144034402</v>
      </c>
      <c r="Y211" t="n">
        <v>17.16471321053274</v>
      </c>
      <c r="Z211" t="n">
        <v>18260.3332026944</v>
      </c>
      <c r="AA211" t="n">
        <v>0</v>
      </c>
      <c r="AB211" t="n">
        <v>0</v>
      </c>
      <c r="AC211" t="n">
        <v>0</v>
      </c>
      <c r="AD211" s="2" t="n">
        <v>44531</v>
      </c>
    </row>
    <row r="212">
      <c r="A212" t="n">
        <v>-1</v>
      </c>
      <c r="B212" t="inlineStr">
        <is>
          <t>01-12-2021</t>
        </is>
      </c>
      <c r="C212" t="n">
        <v>2021</v>
      </c>
      <c r="D212" t="n">
        <v>12</v>
      </c>
      <c r="E212" t="inlineStr">
        <is>
          <t>El Melon 012</t>
        </is>
      </c>
      <c r="F212" t="inlineStr">
        <is>
          <t>Chilquinta</t>
        </is>
      </c>
      <c r="G212" t="inlineStr">
        <is>
          <t>Chilquinta</t>
        </is>
      </c>
      <c r="H212" t="inlineStr">
        <is>
          <t>Empresa Eléctrica Carén S.A.</t>
        </is>
      </c>
      <c r="I212" t="inlineStr">
        <is>
          <t>Empresa Eléctrica Carén S.A.</t>
        </is>
      </c>
      <c r="J212" t="inlineStr">
        <is>
          <t>SIC 2013/03_2_BS1B_BB_CHILQUINTA_Empresa Eléctrica Carén S.A.</t>
        </is>
      </c>
      <c r="K212" t="inlineStr">
        <is>
          <t>El Melon 012</t>
        </is>
      </c>
      <c r="L212" t="inlineStr">
        <is>
          <t>-1</t>
        </is>
      </c>
      <c r="M212" t="n">
        <v>204.8439349738075</v>
      </c>
      <c r="N212" t="n">
        <v>0</v>
      </c>
      <c r="O212" t="inlineStr">
        <is>
          <t>3</t>
        </is>
      </c>
      <c r="P212" s="2" t="n">
        <v>44999.6862684375</v>
      </c>
      <c r="Q212" t="n">
        <v>31</v>
      </c>
      <c r="R212" t="inlineStr">
        <is>
          <t>LOS MAQUIS 220</t>
        </is>
      </c>
      <c r="S212" t="n">
        <v>122.7550886694212</v>
      </c>
      <c r="T212" t="n">
        <v>10715.24430083341</v>
      </c>
      <c r="U212" t="n">
        <v>0</v>
      </c>
      <c r="V212" t="n">
        <v>0</v>
      </c>
      <c r="W212" t="inlineStr">
        <is>
          <t>CHILQUINTA</t>
        </is>
      </c>
      <c r="X212" t="n">
        <v>92.861291440344</v>
      </c>
      <c r="Y212" t="n">
        <v>10.71524430083341</v>
      </c>
      <c r="Z212" t="n">
        <v>11399.19606471639</v>
      </c>
      <c r="AA212" t="n">
        <v>0</v>
      </c>
      <c r="AB212" t="n">
        <v>0</v>
      </c>
      <c r="AC212" t="n">
        <v>0</v>
      </c>
      <c r="AD212" s="2" t="n">
        <v>44531</v>
      </c>
    </row>
    <row r="213">
      <c r="A213" t="n">
        <v>-1</v>
      </c>
      <c r="B213" t="inlineStr">
        <is>
          <t>01-12-2021</t>
        </is>
      </c>
      <c r="C213" t="n">
        <v>2021</v>
      </c>
      <c r="D213" t="n">
        <v>12</v>
      </c>
      <c r="E213" t="inlineStr">
        <is>
          <t>El Melon 012</t>
        </is>
      </c>
      <c r="F213" t="inlineStr">
        <is>
          <t>Chilquinta</t>
        </is>
      </c>
      <c r="G213" t="inlineStr">
        <is>
          <t>Chilquinta</t>
        </is>
      </c>
      <c r="H213" t="inlineStr">
        <is>
          <t>Empresa Eléctrica Carén S.A.</t>
        </is>
      </c>
      <c r="I213" t="inlineStr">
        <is>
          <t>Empresa Eléctrica Carén S.A.</t>
        </is>
      </c>
      <c r="J213" t="inlineStr">
        <is>
          <t>SIC 2013/03_2_BS1B_BB_CHILQUINTA_Empresa Eléctrica Carén S.A.</t>
        </is>
      </c>
      <c r="K213" t="inlineStr">
        <is>
          <t>El Melon 012</t>
        </is>
      </c>
      <c r="L213" t="inlineStr">
        <is>
          <t>-1</t>
        </is>
      </c>
      <c r="M213" t="n">
        <v>204.8439349738075</v>
      </c>
      <c r="N213" t="n">
        <v>0</v>
      </c>
      <c r="O213" t="inlineStr">
        <is>
          <t>3</t>
        </is>
      </c>
      <c r="P213" s="2" t="n">
        <v>44999.6862684375</v>
      </c>
      <c r="Q213" t="n">
        <v>13</v>
      </c>
      <c r="R213" t="inlineStr">
        <is>
          <t>MELIPILLA 220</t>
        </is>
      </c>
      <c r="S213" t="n">
        <v>6.437832984273974</v>
      </c>
      <c r="T213" t="n">
        <v>575.8010098883118</v>
      </c>
      <c r="U213" t="n">
        <v>0</v>
      </c>
      <c r="V213" t="n">
        <v>0</v>
      </c>
      <c r="W213" t="inlineStr">
        <is>
          <t>CHILQUINTA</t>
        </is>
      </c>
      <c r="X213" t="n">
        <v>95.14913905578904</v>
      </c>
      <c r="Y213" t="n">
        <v>0.5758010098883118</v>
      </c>
      <c r="Z213" t="n">
        <v>612.5542658386296</v>
      </c>
      <c r="AA213" t="n">
        <v>0</v>
      </c>
      <c r="AB213" t="n">
        <v>0</v>
      </c>
      <c r="AC213" t="n">
        <v>0</v>
      </c>
      <c r="AD213" s="2" t="n">
        <v>44531</v>
      </c>
    </row>
    <row r="214">
      <c r="A214" t="n">
        <v>-1</v>
      </c>
      <c r="B214" t="inlineStr">
        <is>
          <t>01-12-2021</t>
        </is>
      </c>
      <c r="C214" t="n">
        <v>2021</v>
      </c>
      <c r="D214" t="n">
        <v>12</v>
      </c>
      <c r="E214" t="inlineStr">
        <is>
          <t>El Melon 012</t>
        </is>
      </c>
      <c r="F214" t="inlineStr">
        <is>
          <t>Chilquinta</t>
        </is>
      </c>
      <c r="G214" t="inlineStr">
        <is>
          <t>Chilquinta</t>
        </is>
      </c>
      <c r="H214" t="inlineStr">
        <is>
          <t>Empresa Eléctrica Carén S.A.</t>
        </is>
      </c>
      <c r="I214" t="inlineStr">
        <is>
          <t>Empresa Eléctrica Carén S.A.</t>
        </is>
      </c>
      <c r="J214" t="inlineStr">
        <is>
          <t>SIC 2013/03_2_BS1B_BB_CHILQUINTA_Empresa Eléctrica Carén S.A.</t>
        </is>
      </c>
      <c r="K214" t="inlineStr">
        <is>
          <t>El Melon 012</t>
        </is>
      </c>
      <c r="L214" t="inlineStr">
        <is>
          <t>-1</t>
        </is>
      </c>
      <c r="M214" t="n">
        <v>204.8439349738075</v>
      </c>
      <c r="N214" t="n">
        <v>0</v>
      </c>
      <c r="O214" t="inlineStr">
        <is>
          <t>3</t>
        </is>
      </c>
      <c r="P214" s="2" t="n">
        <v>44999.6862684375</v>
      </c>
      <c r="Q214" t="n">
        <v>5</v>
      </c>
      <c r="R214" t="inlineStr">
        <is>
          <t>NOGALES 220</t>
        </is>
      </c>
      <c r="S214" t="n">
        <v>1.838407658647209</v>
      </c>
      <c r="T214" t="n">
        <v>164.1462451897234</v>
      </c>
      <c r="U214" t="n">
        <v>0</v>
      </c>
      <c r="V214" t="n">
        <v>0</v>
      </c>
      <c r="W214" t="inlineStr">
        <is>
          <t>CHILQUINTA</t>
        </is>
      </c>
      <c r="X214" t="n">
        <v>94.98636729132602</v>
      </c>
      <c r="Y214" t="n">
        <v>0.1641462451897234</v>
      </c>
      <c r="Z214" t="n">
        <v>174.6236650954504</v>
      </c>
      <c r="AA214" t="n">
        <v>0</v>
      </c>
      <c r="AB214" t="n">
        <v>0</v>
      </c>
      <c r="AC214" t="n">
        <v>0</v>
      </c>
      <c r="AD214" s="2" t="n">
        <v>44531</v>
      </c>
    </row>
    <row r="215">
      <c r="A215" t="n">
        <v>-1</v>
      </c>
      <c r="B215" t="inlineStr">
        <is>
          <t>01-12-2021</t>
        </is>
      </c>
      <c r="C215" t="n">
        <v>2021</v>
      </c>
      <c r="D215" t="n">
        <v>12</v>
      </c>
      <c r="E215" t="inlineStr">
        <is>
          <t>El Melon 012</t>
        </is>
      </c>
      <c r="F215" t="inlineStr">
        <is>
          <t>Chilquinta</t>
        </is>
      </c>
      <c r="G215" t="inlineStr">
        <is>
          <t>Chilquinta</t>
        </is>
      </c>
      <c r="H215" t="inlineStr">
        <is>
          <t>Empresa Eléctrica Carén S.A.</t>
        </is>
      </c>
      <c r="I215" t="inlineStr">
        <is>
          <t>Empresa Eléctrica Carén S.A.</t>
        </is>
      </c>
      <c r="J215" t="inlineStr">
        <is>
          <t>SIC 2013/03_2_BS1B_BB_CHILQUINTA_Empresa Eléctrica Carén S.A.</t>
        </is>
      </c>
      <c r="K215" t="inlineStr">
        <is>
          <t>El Melon 012</t>
        </is>
      </c>
      <c r="L215" t="inlineStr">
        <is>
          <t>-1</t>
        </is>
      </c>
      <c r="M215" t="n">
        <v>204.8439349738075</v>
      </c>
      <c r="N215" t="n">
        <v>0</v>
      </c>
      <c r="O215" t="inlineStr">
        <is>
          <t>3</t>
        </is>
      </c>
      <c r="P215" s="2" t="n">
        <v>44999.6862684375</v>
      </c>
      <c r="Q215" t="n">
        <v>11</v>
      </c>
      <c r="R215" t="inlineStr">
        <is>
          <t>QUILLOTA 220</t>
        </is>
      </c>
      <c r="S215" t="n">
        <v>78.9526913866723</v>
      </c>
      <c r="T215" t="n">
        <v>6891.749951765875</v>
      </c>
      <c r="U215" t="n">
        <v>0</v>
      </c>
      <c r="V215" t="n">
        <v>0</v>
      </c>
      <c r="W215" t="inlineStr">
        <is>
          <t>CHILQUINTA</t>
        </is>
      </c>
      <c r="X215" t="n">
        <v>92.86129144034402</v>
      </c>
      <c r="Y215" t="n">
        <v>6.891749951765876</v>
      </c>
      <c r="Z215" t="n">
        <v>7331.648884857314</v>
      </c>
      <c r="AA215" t="n">
        <v>0</v>
      </c>
      <c r="AB215" t="n">
        <v>0</v>
      </c>
      <c r="AC215" t="n">
        <v>0</v>
      </c>
      <c r="AD215" s="2" t="n">
        <v>44531</v>
      </c>
    </row>
    <row r="216">
      <c r="A216" t="n">
        <v>-1</v>
      </c>
      <c r="B216" t="inlineStr">
        <is>
          <t>01-12-2021</t>
        </is>
      </c>
      <c r="C216" t="n">
        <v>2021</v>
      </c>
      <c r="D216" t="n">
        <v>12</v>
      </c>
      <c r="E216" t="inlineStr">
        <is>
          <t>Juncal 012</t>
        </is>
      </c>
      <c r="F216" t="inlineStr">
        <is>
          <t>Chilquinta</t>
        </is>
      </c>
      <c r="G216" t="inlineStr">
        <is>
          <t>Chilquinta</t>
        </is>
      </c>
      <c r="H216" t="inlineStr">
        <is>
          <t>Empresa Eléctrica Carén S.A.</t>
        </is>
      </c>
      <c r="I216" t="inlineStr">
        <is>
          <t>Empresa Eléctrica Carén S.A.</t>
        </is>
      </c>
      <c r="J216" t="inlineStr">
        <is>
          <t>SIC 2013/03_2_BS1B_BB_CHILQUINTA_Empresa Eléctrica Carén S.A.</t>
        </is>
      </c>
      <c r="K216" t="inlineStr">
        <is>
          <t>Juncal 012</t>
        </is>
      </c>
      <c r="L216" t="inlineStr">
        <is>
          <t>-1</t>
        </is>
      </c>
      <c r="M216" t="n">
        <v>12.68150980350815</v>
      </c>
      <c r="N216" t="n">
        <v>0</v>
      </c>
      <c r="O216" t="inlineStr">
        <is>
          <t>3</t>
        </is>
      </c>
      <c r="P216" s="2" t="n">
        <v>44999.6862684375</v>
      </c>
      <c r="Q216" t="n">
        <v>31</v>
      </c>
      <c r="R216" t="inlineStr">
        <is>
          <t>LOS MAQUIS 220</t>
        </is>
      </c>
      <c r="S216" t="n">
        <v>10.93930214042509</v>
      </c>
      <c r="T216" t="n">
        <v>954.8874607630338</v>
      </c>
      <c r="U216" t="n">
        <v>0</v>
      </c>
      <c r="V216" t="n">
        <v>0</v>
      </c>
      <c r="W216" t="inlineStr">
        <is>
          <t>CHILQUINTA</t>
        </is>
      </c>
      <c r="X216" t="n">
        <v>92.861291440344</v>
      </c>
      <c r="Y216" t="n">
        <v>0.9548874607630339</v>
      </c>
      <c r="Z216" t="n">
        <v>1015.837724215993</v>
      </c>
      <c r="AA216" t="n">
        <v>0</v>
      </c>
      <c r="AB216" t="n">
        <v>0</v>
      </c>
      <c r="AC216" t="n">
        <v>0</v>
      </c>
      <c r="AD216" s="2" t="n">
        <v>44531</v>
      </c>
    </row>
    <row r="217">
      <c r="A217" t="n">
        <v>-1</v>
      </c>
      <c r="B217" t="inlineStr">
        <is>
          <t>01-12-2021</t>
        </is>
      </c>
      <c r="C217" t="n">
        <v>2021</v>
      </c>
      <c r="D217" t="n">
        <v>12</v>
      </c>
      <c r="E217" t="inlineStr">
        <is>
          <t>Juncal 012</t>
        </is>
      </c>
      <c r="F217" t="inlineStr">
        <is>
          <t>Chilquinta</t>
        </is>
      </c>
      <c r="G217" t="inlineStr">
        <is>
          <t>Chilquinta</t>
        </is>
      </c>
      <c r="H217" t="inlineStr">
        <is>
          <t>Empresa Eléctrica Carén S.A.</t>
        </is>
      </c>
      <c r="I217" t="inlineStr">
        <is>
          <t>Empresa Eléctrica Carén S.A.</t>
        </is>
      </c>
      <c r="J217" t="inlineStr">
        <is>
          <t>SIC 2013/03_2_BS1B_BB_CHILQUINTA_Empresa Eléctrica Carén S.A.</t>
        </is>
      </c>
      <c r="K217" t="inlineStr">
        <is>
          <t>Juncal 012</t>
        </is>
      </c>
      <c r="L217" t="inlineStr">
        <is>
          <t>-1</t>
        </is>
      </c>
      <c r="M217" t="n">
        <v>12.68150980350815</v>
      </c>
      <c r="N217" t="n">
        <v>0</v>
      </c>
      <c r="O217" t="inlineStr">
        <is>
          <t>3</t>
        </is>
      </c>
      <c r="P217" s="2" t="n">
        <v>44999.6862684375</v>
      </c>
      <c r="Q217" t="n">
        <v>5</v>
      </c>
      <c r="R217" t="inlineStr">
        <is>
          <t>NOGALES 220</t>
        </is>
      </c>
      <c r="S217" t="n">
        <v>0.02183322715061621</v>
      </c>
      <c r="T217" t="n">
        <v>1.94942739728638</v>
      </c>
      <c r="U217" t="n">
        <v>0</v>
      </c>
      <c r="V217" t="n">
        <v>0</v>
      </c>
      <c r="W217" t="inlineStr">
        <is>
          <t>CHILQUINTA</t>
        </is>
      </c>
      <c r="X217" t="n">
        <v>94.98636729132602</v>
      </c>
      <c r="Y217" t="n">
        <v>0.00194942739728638</v>
      </c>
      <c r="Z217" t="n">
        <v>2.073858933283383</v>
      </c>
      <c r="AA217" t="n">
        <v>0</v>
      </c>
      <c r="AB217" t="n">
        <v>0</v>
      </c>
      <c r="AC217" t="n">
        <v>0</v>
      </c>
      <c r="AD217" s="2" t="n">
        <v>44531</v>
      </c>
    </row>
    <row r="218">
      <c r="A218" t="n">
        <v>-1</v>
      </c>
      <c r="B218" t="inlineStr">
        <is>
          <t>01-12-2021</t>
        </is>
      </c>
      <c r="C218" t="n">
        <v>2021</v>
      </c>
      <c r="D218" t="n">
        <v>12</v>
      </c>
      <c r="E218" t="inlineStr">
        <is>
          <t>Juncal 012</t>
        </is>
      </c>
      <c r="F218" t="inlineStr">
        <is>
          <t>Chilquinta</t>
        </is>
      </c>
      <c r="G218" t="inlineStr">
        <is>
          <t>Chilquinta</t>
        </is>
      </c>
      <c r="H218" t="inlineStr">
        <is>
          <t>Empresa Eléctrica Carén S.A.</t>
        </is>
      </c>
      <c r="I218" t="inlineStr">
        <is>
          <t>Empresa Eléctrica Carén S.A.</t>
        </is>
      </c>
      <c r="J218" t="inlineStr">
        <is>
          <t>SIC 2013/03_2_BS1B_BB_CHILQUINTA_Empresa Eléctrica Carén S.A.</t>
        </is>
      </c>
      <c r="K218" t="inlineStr">
        <is>
          <t>Juncal 012</t>
        </is>
      </c>
      <c r="L218" t="inlineStr">
        <is>
          <t>-1</t>
        </is>
      </c>
      <c r="M218" t="n">
        <v>12.68150980350815</v>
      </c>
      <c r="N218" t="n">
        <v>0</v>
      </c>
      <c r="O218" t="inlineStr">
        <is>
          <t>3</t>
        </is>
      </c>
      <c r="P218" s="2" t="n">
        <v>44999.6862684375</v>
      </c>
      <c r="Q218" t="n">
        <v>11</v>
      </c>
      <c r="R218" t="inlineStr">
        <is>
          <t>QUILLOTA 220</t>
        </is>
      </c>
      <c r="S218" t="n">
        <v>2.038587652854986</v>
      </c>
      <c r="T218" t="n">
        <v>177.9475292289465</v>
      </c>
      <c r="U218" t="n">
        <v>0</v>
      </c>
      <c r="V218" t="n">
        <v>0</v>
      </c>
      <c r="W218" t="inlineStr">
        <is>
          <t>CHILQUINTA</t>
        </is>
      </c>
      <c r="X218" t="n">
        <v>92.861291440344</v>
      </c>
      <c r="Y218" t="n">
        <v>0.1779475292289464</v>
      </c>
      <c r="Z218" t="n">
        <v>189.3058821584537</v>
      </c>
      <c r="AA218" t="n">
        <v>0</v>
      </c>
      <c r="AB218" t="n">
        <v>0</v>
      </c>
      <c r="AC218" t="n">
        <v>0</v>
      </c>
      <c r="AD218" s="2" t="n">
        <v>44531</v>
      </c>
    </row>
    <row r="219">
      <c r="A219" t="n">
        <v>-1</v>
      </c>
      <c r="B219" t="inlineStr">
        <is>
          <t>01-12-2021</t>
        </is>
      </c>
      <c r="C219" t="n">
        <v>2021</v>
      </c>
      <c r="D219" t="n">
        <v>12</v>
      </c>
      <c r="E219" t="inlineStr">
        <is>
          <t>La Calera 012</t>
        </is>
      </c>
      <c r="F219" t="inlineStr">
        <is>
          <t>Chilquinta</t>
        </is>
      </c>
      <c r="G219" t="inlineStr">
        <is>
          <t>Chilquinta</t>
        </is>
      </c>
      <c r="H219" t="inlineStr">
        <is>
          <t>Empresa Eléctrica Carén S.A.</t>
        </is>
      </c>
      <c r="I219" t="inlineStr">
        <is>
          <t>Empresa Eléctrica Carén S.A.</t>
        </is>
      </c>
      <c r="J219" t="inlineStr">
        <is>
          <t>SIC 2013/03_2_BS1B_BB_CHILQUINTA_Empresa Eléctrica Carén S.A.</t>
        </is>
      </c>
      <c r="K219" t="inlineStr">
        <is>
          <t>La Calera 012</t>
        </is>
      </c>
      <c r="L219" t="inlineStr">
        <is>
          <t>-1</t>
        </is>
      </c>
      <c r="M219" t="n">
        <v>847.8998409904074</v>
      </c>
      <c r="N219" t="n">
        <v>0</v>
      </c>
      <c r="O219" t="inlineStr">
        <is>
          <t>3</t>
        </is>
      </c>
      <c r="P219" s="2" t="n">
        <v>44999.6862684375</v>
      </c>
      <c r="Q219" t="n">
        <v>31</v>
      </c>
      <c r="R219" t="inlineStr">
        <is>
          <t>LOS MAQUIS 220</t>
        </is>
      </c>
      <c r="S219" t="n">
        <v>365.8252414318143</v>
      </c>
      <c r="T219" t="n">
        <v>31932.74409918388</v>
      </c>
      <c r="U219" t="n">
        <v>0</v>
      </c>
      <c r="V219" t="n">
        <v>0</v>
      </c>
      <c r="W219" t="inlineStr">
        <is>
          <t>CHILQUINTA</t>
        </is>
      </c>
      <c r="X219" t="n">
        <v>92.861291440344</v>
      </c>
      <c r="Y219" t="n">
        <v>31.93274409918388</v>
      </c>
      <c r="Z219" t="n">
        <v>33971.00436083392</v>
      </c>
      <c r="AA219" t="n">
        <v>0</v>
      </c>
      <c r="AB219" t="n">
        <v>0</v>
      </c>
      <c r="AC219" t="n">
        <v>0</v>
      </c>
      <c r="AD219" s="2" t="n">
        <v>44531</v>
      </c>
    </row>
    <row r="220">
      <c r="A220" t="n">
        <v>-1</v>
      </c>
      <c r="B220" t="inlineStr">
        <is>
          <t>01-12-2021</t>
        </is>
      </c>
      <c r="C220" t="n">
        <v>2021</v>
      </c>
      <c r="D220" t="n">
        <v>12</v>
      </c>
      <c r="E220" t="inlineStr">
        <is>
          <t>La Calera 012</t>
        </is>
      </c>
      <c r="F220" t="inlineStr">
        <is>
          <t>Chilquinta</t>
        </is>
      </c>
      <c r="G220" t="inlineStr">
        <is>
          <t>Chilquinta</t>
        </is>
      </c>
      <c r="H220" t="inlineStr">
        <is>
          <t>Empresa Eléctrica Carén S.A.</t>
        </is>
      </c>
      <c r="I220" t="inlineStr">
        <is>
          <t>Empresa Eléctrica Carén S.A.</t>
        </is>
      </c>
      <c r="J220" t="inlineStr">
        <is>
          <t>SIC 2013/03_2_BS1B_BB_CHILQUINTA_Empresa Eléctrica Carén S.A.</t>
        </is>
      </c>
      <c r="K220" t="inlineStr">
        <is>
          <t>La Calera 012</t>
        </is>
      </c>
      <c r="L220" t="inlineStr">
        <is>
          <t>-1</t>
        </is>
      </c>
      <c r="M220" t="n">
        <v>847.8998409904074</v>
      </c>
      <c r="N220" t="n">
        <v>0</v>
      </c>
      <c r="O220" t="inlineStr">
        <is>
          <t>3</t>
        </is>
      </c>
      <c r="P220" s="2" t="n">
        <v>44999.6862684375</v>
      </c>
      <c r="Q220" t="n">
        <v>13</v>
      </c>
      <c r="R220" t="inlineStr">
        <is>
          <t>MELIPILLA 220</t>
        </is>
      </c>
      <c r="S220" t="n">
        <v>33.70952366646567</v>
      </c>
      <c r="T220" t="n">
        <v>3014.986225554256</v>
      </c>
      <c r="U220" t="n">
        <v>0</v>
      </c>
      <c r="V220" t="n">
        <v>0</v>
      </c>
      <c r="W220" t="inlineStr">
        <is>
          <t>CHILQUINTA</t>
        </is>
      </c>
      <c r="X220" t="n">
        <v>95.14913905578904</v>
      </c>
      <c r="Y220" t="n">
        <v>3.014986225554256</v>
      </c>
      <c r="Z220" t="n">
        <v>3207.432154844953</v>
      </c>
      <c r="AA220" t="n">
        <v>0</v>
      </c>
      <c r="AB220" t="n">
        <v>0</v>
      </c>
      <c r="AC220" t="n">
        <v>0</v>
      </c>
      <c r="AD220" s="2" t="n">
        <v>44531</v>
      </c>
    </row>
    <row r="221">
      <c r="A221" t="n">
        <v>-1</v>
      </c>
      <c r="B221" t="inlineStr">
        <is>
          <t>01-12-2021</t>
        </is>
      </c>
      <c r="C221" t="n">
        <v>2021</v>
      </c>
      <c r="D221" t="n">
        <v>12</v>
      </c>
      <c r="E221" t="inlineStr">
        <is>
          <t>La Calera 012</t>
        </is>
      </c>
      <c r="F221" t="inlineStr">
        <is>
          <t>Chilquinta</t>
        </is>
      </c>
      <c r="G221" t="inlineStr">
        <is>
          <t>Chilquinta</t>
        </is>
      </c>
      <c r="H221" t="inlineStr">
        <is>
          <t>Empresa Eléctrica Carén S.A.</t>
        </is>
      </c>
      <c r="I221" t="inlineStr">
        <is>
          <t>Empresa Eléctrica Carén S.A.</t>
        </is>
      </c>
      <c r="J221" t="inlineStr">
        <is>
          <t>SIC 2013/03_2_BS1B_BB_CHILQUINTA_Empresa Eléctrica Carén S.A.</t>
        </is>
      </c>
      <c r="K221" t="inlineStr">
        <is>
          <t>La Calera 012</t>
        </is>
      </c>
      <c r="L221" t="inlineStr">
        <is>
          <t>-1</t>
        </is>
      </c>
      <c r="M221" t="n">
        <v>847.8998409904074</v>
      </c>
      <c r="N221" t="n">
        <v>0</v>
      </c>
      <c r="O221" t="inlineStr">
        <is>
          <t>3</t>
        </is>
      </c>
      <c r="P221" s="2" t="n">
        <v>44999.6862684375</v>
      </c>
      <c r="Q221" t="n">
        <v>5</v>
      </c>
      <c r="R221" t="inlineStr">
        <is>
          <t>NOGALES 220</t>
        </is>
      </c>
      <c r="S221" t="n">
        <v>10.35419106547922</v>
      </c>
      <c r="T221" t="n">
        <v>924.4965758171646</v>
      </c>
      <c r="U221" t="n">
        <v>0</v>
      </c>
      <c r="V221" t="n">
        <v>0</v>
      </c>
      <c r="W221" t="inlineStr">
        <is>
          <t>CHILQUINTA</t>
        </is>
      </c>
      <c r="X221" t="n">
        <v>94.98636729132602</v>
      </c>
      <c r="Y221" t="n">
        <v>0.9244965758171646</v>
      </c>
      <c r="Z221" t="n">
        <v>983.5069955501751</v>
      </c>
      <c r="AA221" t="n">
        <v>0</v>
      </c>
      <c r="AB221" t="n">
        <v>0</v>
      </c>
      <c r="AC221" t="n">
        <v>0</v>
      </c>
      <c r="AD221" s="2" t="n">
        <v>44531</v>
      </c>
    </row>
    <row r="222">
      <c r="A222" t="n">
        <v>-1</v>
      </c>
      <c r="B222" t="inlineStr">
        <is>
          <t>01-12-2021</t>
        </is>
      </c>
      <c r="C222" t="n">
        <v>2021</v>
      </c>
      <c r="D222" t="n">
        <v>12</v>
      </c>
      <c r="E222" t="inlineStr">
        <is>
          <t>La Calera 012</t>
        </is>
      </c>
      <c r="F222" t="inlineStr">
        <is>
          <t>Chilquinta</t>
        </is>
      </c>
      <c r="G222" t="inlineStr">
        <is>
          <t>Chilquinta</t>
        </is>
      </c>
      <c r="H222" t="inlineStr">
        <is>
          <t>Empresa Eléctrica Carén S.A.</t>
        </is>
      </c>
      <c r="I222" t="inlineStr">
        <is>
          <t>Empresa Eléctrica Carén S.A.</t>
        </is>
      </c>
      <c r="J222" t="inlineStr">
        <is>
          <t>SIC 2013/03_2_BS1B_BB_CHILQUINTA_Empresa Eléctrica Carén S.A.</t>
        </is>
      </c>
      <c r="K222" t="inlineStr">
        <is>
          <t>La Calera 012</t>
        </is>
      </c>
      <c r="L222" t="inlineStr">
        <is>
          <t>-1</t>
        </is>
      </c>
      <c r="M222" t="n">
        <v>847.8998409904074</v>
      </c>
      <c r="N222" t="n">
        <v>0</v>
      </c>
      <c r="O222" t="inlineStr">
        <is>
          <t>3</t>
        </is>
      </c>
      <c r="P222" s="2" t="n">
        <v>44999.6862684375</v>
      </c>
      <c r="Q222" t="n">
        <v>11</v>
      </c>
      <c r="R222" t="inlineStr">
        <is>
          <t>QUILLOTA 220</t>
        </is>
      </c>
      <c r="S222" t="n">
        <v>459.286974204826</v>
      </c>
      <c r="T222" t="n">
        <v>40090.98267240482</v>
      </c>
      <c r="U222" t="n">
        <v>0</v>
      </c>
      <c r="V222" t="n">
        <v>0</v>
      </c>
      <c r="W222" t="inlineStr">
        <is>
          <t>CHILQUINTA</t>
        </is>
      </c>
      <c r="X222" t="n">
        <v>92.86129144034402</v>
      </c>
      <c r="Y222" t="n">
        <v>40.09098267240482</v>
      </c>
      <c r="Z222" t="n">
        <v>42649.98156638811</v>
      </c>
      <c r="AA222" t="n">
        <v>0</v>
      </c>
      <c r="AB222" t="n">
        <v>0</v>
      </c>
      <c r="AC222" t="n">
        <v>0</v>
      </c>
      <c r="AD222" s="2" t="n">
        <v>44531</v>
      </c>
    </row>
    <row r="223">
      <c r="A223" t="n">
        <v>-1</v>
      </c>
      <c r="B223" t="inlineStr">
        <is>
          <t>01-12-2021</t>
        </is>
      </c>
      <c r="C223" t="n">
        <v>2021</v>
      </c>
      <c r="D223" t="n">
        <v>12</v>
      </c>
      <c r="E223" t="inlineStr">
        <is>
          <t>Las Vegas 012</t>
        </is>
      </c>
      <c r="F223" t="inlineStr">
        <is>
          <t>Chilquinta</t>
        </is>
      </c>
      <c r="G223" t="inlineStr">
        <is>
          <t>Chilquinta</t>
        </is>
      </c>
      <c r="H223" t="inlineStr">
        <is>
          <t>Empresa Eléctrica Carén S.A.</t>
        </is>
      </c>
      <c r="I223" t="inlineStr">
        <is>
          <t>Empresa Eléctrica Carén S.A.</t>
        </is>
      </c>
      <c r="J223" t="inlineStr">
        <is>
          <t>SIC 2013/03_2_BS1B_BB_CHILQUINTA_Empresa Eléctrica Carén S.A.</t>
        </is>
      </c>
      <c r="K223" t="inlineStr">
        <is>
          <t>Las Vegas 012</t>
        </is>
      </c>
      <c r="L223" t="inlineStr">
        <is>
          <t>-1</t>
        </is>
      </c>
      <c r="M223" t="n">
        <v>560.8463671036537</v>
      </c>
      <c r="N223" t="n">
        <v>0</v>
      </c>
      <c r="O223" t="inlineStr">
        <is>
          <t>3</t>
        </is>
      </c>
      <c r="P223" s="2" t="n">
        <v>44999.6862684375</v>
      </c>
      <c r="Q223" t="n">
        <v>31</v>
      </c>
      <c r="R223" t="inlineStr">
        <is>
          <t>LOS MAQUIS 220</t>
        </is>
      </c>
      <c r="S223" t="n">
        <v>281.5073575792028</v>
      </c>
      <c r="T223" t="n">
        <v>24572.66856827767</v>
      </c>
      <c r="U223" t="n">
        <v>0</v>
      </c>
      <c r="V223" t="n">
        <v>0</v>
      </c>
      <c r="W223" t="inlineStr">
        <is>
          <t>CHILQUINTA</t>
        </is>
      </c>
      <c r="X223" t="n">
        <v>92.861291440344</v>
      </c>
      <c r="Y223" t="n">
        <v>24.57266856827767</v>
      </c>
      <c r="Z223" t="n">
        <v>26141.13677476348</v>
      </c>
      <c r="AA223" t="n">
        <v>0</v>
      </c>
      <c r="AB223" t="n">
        <v>0</v>
      </c>
      <c r="AC223" t="n">
        <v>0</v>
      </c>
      <c r="AD223" s="2" t="n">
        <v>44531</v>
      </c>
    </row>
    <row r="224">
      <c r="A224" t="n">
        <v>-1</v>
      </c>
      <c r="B224" t="inlineStr">
        <is>
          <t>01-12-2021</t>
        </is>
      </c>
      <c r="C224" t="n">
        <v>2021</v>
      </c>
      <c r="D224" t="n">
        <v>12</v>
      </c>
      <c r="E224" t="inlineStr">
        <is>
          <t>Las Vegas 012</t>
        </is>
      </c>
      <c r="F224" t="inlineStr">
        <is>
          <t>Chilquinta</t>
        </is>
      </c>
      <c r="G224" t="inlineStr">
        <is>
          <t>Chilquinta</t>
        </is>
      </c>
      <c r="H224" t="inlineStr">
        <is>
          <t>Empresa Eléctrica Carén S.A.</t>
        </is>
      </c>
      <c r="I224" t="inlineStr">
        <is>
          <t>Empresa Eléctrica Carén S.A.</t>
        </is>
      </c>
      <c r="J224" t="inlineStr">
        <is>
          <t>SIC 2013/03_2_BS1B_BB_CHILQUINTA_Empresa Eléctrica Carén S.A.</t>
        </is>
      </c>
      <c r="K224" t="inlineStr">
        <is>
          <t>Las Vegas 012</t>
        </is>
      </c>
      <c r="L224" t="inlineStr">
        <is>
          <t>-1</t>
        </is>
      </c>
      <c r="M224" t="n">
        <v>560.8463671036537</v>
      </c>
      <c r="N224" t="n">
        <v>0</v>
      </c>
      <c r="O224" t="inlineStr">
        <is>
          <t>3</t>
        </is>
      </c>
      <c r="P224" s="2" t="n">
        <v>44999.6862684375</v>
      </c>
      <c r="Q224" t="n">
        <v>13</v>
      </c>
      <c r="R224" t="inlineStr">
        <is>
          <t>MELIPILLA 220</t>
        </is>
      </c>
      <c r="S224" t="n">
        <v>17.97838273087763</v>
      </c>
      <c r="T224" t="n">
        <v>1607.989980150963</v>
      </c>
      <c r="U224" t="n">
        <v>0</v>
      </c>
      <c r="V224" t="n">
        <v>0</v>
      </c>
      <c r="W224" t="inlineStr">
        <is>
          <t>CHILQUINTA</t>
        </is>
      </c>
      <c r="X224" t="n">
        <v>95.14913905578902</v>
      </c>
      <c r="Y224" t="n">
        <v>1.607989980150964</v>
      </c>
      <c r="Z224" t="n">
        <v>1710.627638458472</v>
      </c>
      <c r="AA224" t="n">
        <v>0</v>
      </c>
      <c r="AB224" t="n">
        <v>0</v>
      </c>
      <c r="AC224" t="n">
        <v>0</v>
      </c>
      <c r="AD224" s="2" t="n">
        <v>44531</v>
      </c>
    </row>
    <row r="225">
      <c r="A225" t="n">
        <v>-1</v>
      </c>
      <c r="B225" t="inlineStr">
        <is>
          <t>01-12-2021</t>
        </is>
      </c>
      <c r="C225" t="n">
        <v>2021</v>
      </c>
      <c r="D225" t="n">
        <v>12</v>
      </c>
      <c r="E225" t="inlineStr">
        <is>
          <t>Las Vegas 012</t>
        </is>
      </c>
      <c r="F225" t="inlineStr">
        <is>
          <t>Chilquinta</t>
        </is>
      </c>
      <c r="G225" t="inlineStr">
        <is>
          <t>Chilquinta</t>
        </is>
      </c>
      <c r="H225" t="inlineStr">
        <is>
          <t>Empresa Eléctrica Carén S.A.</t>
        </is>
      </c>
      <c r="I225" t="inlineStr">
        <is>
          <t>Empresa Eléctrica Carén S.A.</t>
        </is>
      </c>
      <c r="J225" t="inlineStr">
        <is>
          <t>SIC 2013/03_2_BS1B_BB_CHILQUINTA_Empresa Eléctrica Carén S.A.</t>
        </is>
      </c>
      <c r="K225" t="inlineStr">
        <is>
          <t>Las Vegas 012</t>
        </is>
      </c>
      <c r="L225" t="inlineStr">
        <is>
          <t>-1</t>
        </is>
      </c>
      <c r="M225" t="n">
        <v>560.8463671036537</v>
      </c>
      <c r="N225" t="n">
        <v>0</v>
      </c>
      <c r="O225" t="inlineStr">
        <is>
          <t>3</t>
        </is>
      </c>
      <c r="P225" s="2" t="n">
        <v>44999.6862684375</v>
      </c>
      <c r="Q225" t="n">
        <v>5</v>
      </c>
      <c r="R225" t="inlineStr">
        <is>
          <t>NOGALES 220</t>
        </is>
      </c>
      <c r="S225" t="n">
        <v>7.275170812136718</v>
      </c>
      <c r="T225" t="n">
        <v>649.5795240566275</v>
      </c>
      <c r="U225" t="n">
        <v>0</v>
      </c>
      <c r="V225" t="n">
        <v>0</v>
      </c>
      <c r="W225" t="inlineStr">
        <is>
          <t>CHILQUINTA</t>
        </is>
      </c>
      <c r="X225" t="n">
        <v>94.986367291326</v>
      </c>
      <c r="Y225" t="n">
        <v>0.6495795240566276</v>
      </c>
      <c r="Z225" t="n">
        <v>691.0420468687528</v>
      </c>
      <c r="AA225" t="n">
        <v>0</v>
      </c>
      <c r="AB225" t="n">
        <v>0</v>
      </c>
      <c r="AC225" t="n">
        <v>0</v>
      </c>
      <c r="AD225" s="2" t="n">
        <v>44531</v>
      </c>
    </row>
    <row r="226">
      <c r="A226" t="n">
        <v>-1</v>
      </c>
      <c r="B226" t="inlineStr">
        <is>
          <t>01-12-2021</t>
        </is>
      </c>
      <c r="C226" t="n">
        <v>2021</v>
      </c>
      <c r="D226" t="n">
        <v>12</v>
      </c>
      <c r="E226" t="inlineStr">
        <is>
          <t>Las Vegas 012</t>
        </is>
      </c>
      <c r="F226" t="inlineStr">
        <is>
          <t>Chilquinta</t>
        </is>
      </c>
      <c r="G226" t="inlineStr">
        <is>
          <t>Chilquinta</t>
        </is>
      </c>
      <c r="H226" t="inlineStr">
        <is>
          <t>Empresa Eléctrica Carén S.A.</t>
        </is>
      </c>
      <c r="I226" t="inlineStr">
        <is>
          <t>Empresa Eléctrica Carén S.A.</t>
        </is>
      </c>
      <c r="J226" t="inlineStr">
        <is>
          <t>SIC 2013/03_2_BS1B_BB_CHILQUINTA_Empresa Eléctrica Carén S.A.</t>
        </is>
      </c>
      <c r="K226" t="inlineStr">
        <is>
          <t>Las Vegas 012</t>
        </is>
      </c>
      <c r="L226" t="inlineStr">
        <is>
          <t>-1</t>
        </is>
      </c>
      <c r="M226" t="n">
        <v>560.8463671036537</v>
      </c>
      <c r="N226" t="n">
        <v>0</v>
      </c>
      <c r="O226" t="inlineStr">
        <is>
          <t>3</t>
        </is>
      </c>
      <c r="P226" s="2" t="n">
        <v>44999.6862684375</v>
      </c>
      <c r="Q226" t="n">
        <v>11</v>
      </c>
      <c r="R226" t="inlineStr">
        <is>
          <t>QUILLOTA 220</t>
        </is>
      </c>
      <c r="S226" t="n">
        <v>268.1586010123229</v>
      </c>
      <c r="T226" t="n">
        <v>23407.46076078983</v>
      </c>
      <c r="U226" t="n">
        <v>0</v>
      </c>
      <c r="V226" t="n">
        <v>0</v>
      </c>
      <c r="W226" t="inlineStr">
        <is>
          <t>CHILQUINTA</t>
        </is>
      </c>
      <c r="X226" t="n">
        <v>92.86129144034402</v>
      </c>
      <c r="Y226" t="n">
        <v>23.40746076078983</v>
      </c>
      <c r="Z226" t="n">
        <v>24901.55400084024</v>
      </c>
      <c r="AA226" t="n">
        <v>0</v>
      </c>
      <c r="AB226" t="n">
        <v>0</v>
      </c>
      <c r="AC226" t="n">
        <v>0</v>
      </c>
      <c r="AD226" s="2" t="n">
        <v>44531</v>
      </c>
    </row>
    <row r="227">
      <c r="A227" t="n">
        <v>-1</v>
      </c>
      <c r="B227" t="inlineStr">
        <is>
          <t>01-12-2021</t>
        </is>
      </c>
      <c r="C227" t="n">
        <v>2021</v>
      </c>
      <c r="D227" t="n">
        <v>12</v>
      </c>
      <c r="E227" t="inlineStr">
        <is>
          <t>Mayaca 012</t>
        </is>
      </c>
      <c r="F227" t="inlineStr">
        <is>
          <t>Chilquinta</t>
        </is>
      </c>
      <c r="G227" t="inlineStr">
        <is>
          <t>Chilquinta</t>
        </is>
      </c>
      <c r="H227" t="inlineStr">
        <is>
          <t>Empresa Eléctrica Carén S.A.</t>
        </is>
      </c>
      <c r="I227" t="inlineStr">
        <is>
          <t>Empresa Eléctrica Carén S.A.</t>
        </is>
      </c>
      <c r="J227" t="inlineStr">
        <is>
          <t>SIC 2013/03_2_BS1B_BB_CHILQUINTA_Empresa Eléctrica Carén S.A.</t>
        </is>
      </c>
      <c r="K227" t="inlineStr">
        <is>
          <t>Mayaca 012</t>
        </is>
      </c>
      <c r="L227" t="inlineStr">
        <is>
          <t>-1</t>
        </is>
      </c>
      <c r="M227" t="n">
        <v>639.3234123119776</v>
      </c>
      <c r="N227" t="n">
        <v>0</v>
      </c>
      <c r="O227" t="inlineStr">
        <is>
          <t>3</t>
        </is>
      </c>
      <c r="P227" s="2" t="n">
        <v>44999.6862684375</v>
      </c>
      <c r="Q227" t="n">
        <v>31</v>
      </c>
      <c r="R227" t="inlineStr">
        <is>
          <t>LOS MAQUIS 220</t>
        </is>
      </c>
      <c r="S227" t="n">
        <v>167.7177717018449</v>
      </c>
      <c r="T227" t="n">
        <v>14640.01954506629</v>
      </c>
      <c r="U227" t="n">
        <v>0</v>
      </c>
      <c r="V227" t="n">
        <v>0</v>
      </c>
      <c r="W227" t="inlineStr">
        <is>
          <t>CHILQUINTA</t>
        </is>
      </c>
      <c r="X227" t="n">
        <v>92.86129144034402</v>
      </c>
      <c r="Y227" t="n">
        <v>14.64001954506629</v>
      </c>
      <c r="Z227" t="n">
        <v>15574.4888777301</v>
      </c>
      <c r="AA227" t="n">
        <v>0</v>
      </c>
      <c r="AB227" t="n">
        <v>0</v>
      </c>
      <c r="AC227" t="n">
        <v>0</v>
      </c>
      <c r="AD227" s="2" t="n">
        <v>44531</v>
      </c>
    </row>
    <row r="228">
      <c r="A228" t="n">
        <v>-1</v>
      </c>
      <c r="B228" t="inlineStr">
        <is>
          <t>01-12-2021</t>
        </is>
      </c>
      <c r="C228" t="n">
        <v>2021</v>
      </c>
      <c r="D228" t="n">
        <v>12</v>
      </c>
      <c r="E228" t="inlineStr">
        <is>
          <t>Mayaca 012</t>
        </is>
      </c>
      <c r="F228" t="inlineStr">
        <is>
          <t>Chilquinta</t>
        </is>
      </c>
      <c r="G228" t="inlineStr">
        <is>
          <t>Chilquinta</t>
        </is>
      </c>
      <c r="H228" t="inlineStr">
        <is>
          <t>Empresa Eléctrica Carén S.A.</t>
        </is>
      </c>
      <c r="I228" t="inlineStr">
        <is>
          <t>Empresa Eléctrica Carén S.A.</t>
        </is>
      </c>
      <c r="J228" t="inlineStr">
        <is>
          <t>SIC 2013/03_2_BS1B_BB_CHILQUINTA_Empresa Eléctrica Carén S.A.</t>
        </is>
      </c>
      <c r="K228" t="inlineStr">
        <is>
          <t>Mayaca 012</t>
        </is>
      </c>
      <c r="L228" t="inlineStr">
        <is>
          <t>-1</t>
        </is>
      </c>
      <c r="M228" t="n">
        <v>639.3234123119776</v>
      </c>
      <c r="N228" t="n">
        <v>0</v>
      </c>
      <c r="O228" t="inlineStr">
        <is>
          <t>3</t>
        </is>
      </c>
      <c r="P228" s="2" t="n">
        <v>44999.6862684375</v>
      </c>
      <c r="Q228" t="n">
        <v>13</v>
      </c>
      <c r="R228" t="inlineStr">
        <is>
          <t>MELIPILLA 220</t>
        </is>
      </c>
      <c r="S228" t="n">
        <v>34.55228598669859</v>
      </c>
      <c r="T228" t="n">
        <v>3090.363048201148</v>
      </c>
      <c r="U228" t="n">
        <v>0</v>
      </c>
      <c r="V228" t="n">
        <v>0</v>
      </c>
      <c r="W228" t="inlineStr">
        <is>
          <t>CHILQUINTA</t>
        </is>
      </c>
      <c r="X228" t="n">
        <v>95.14913905578901</v>
      </c>
      <c r="Y228" t="n">
        <v>3.090363048201147</v>
      </c>
      <c r="Z228" t="n">
        <v>3287.620264043775</v>
      </c>
      <c r="AA228" t="n">
        <v>0</v>
      </c>
      <c r="AB228" t="n">
        <v>0</v>
      </c>
      <c r="AC228" t="n">
        <v>0</v>
      </c>
      <c r="AD228" s="2" t="n">
        <v>44531</v>
      </c>
    </row>
    <row r="229">
      <c r="A229" t="n">
        <v>-1</v>
      </c>
      <c r="B229" t="inlineStr">
        <is>
          <t>01-12-2021</t>
        </is>
      </c>
      <c r="C229" t="n">
        <v>2021</v>
      </c>
      <c r="D229" t="n">
        <v>12</v>
      </c>
      <c r="E229" t="inlineStr">
        <is>
          <t>Mayaca 012</t>
        </is>
      </c>
      <c r="F229" t="inlineStr">
        <is>
          <t>Chilquinta</t>
        </is>
      </c>
      <c r="G229" t="inlineStr">
        <is>
          <t>Chilquinta</t>
        </is>
      </c>
      <c r="H229" t="inlineStr">
        <is>
          <t>Empresa Eléctrica Carén S.A.</t>
        </is>
      </c>
      <c r="I229" t="inlineStr">
        <is>
          <t>Empresa Eléctrica Carén S.A.</t>
        </is>
      </c>
      <c r="J229" t="inlineStr">
        <is>
          <t>SIC 2013/03_2_BS1B_BB_CHILQUINTA_Empresa Eléctrica Carén S.A.</t>
        </is>
      </c>
      <c r="K229" t="inlineStr">
        <is>
          <t>Mayaca 012</t>
        </is>
      </c>
      <c r="L229" t="inlineStr">
        <is>
          <t>-1</t>
        </is>
      </c>
      <c r="M229" t="n">
        <v>639.3234123119776</v>
      </c>
      <c r="N229" t="n">
        <v>0</v>
      </c>
      <c r="O229" t="inlineStr">
        <is>
          <t>3</t>
        </is>
      </c>
      <c r="P229" s="2" t="n">
        <v>44999.6862684375</v>
      </c>
      <c r="Q229" t="n">
        <v>5</v>
      </c>
      <c r="R229" t="inlineStr">
        <is>
          <t>NOGALES 220</t>
        </is>
      </c>
      <c r="S229" t="n">
        <v>10.11236781061016</v>
      </c>
      <c r="T229" t="n">
        <v>902.9048580609832</v>
      </c>
      <c r="U229" t="n">
        <v>0</v>
      </c>
      <c r="V229" t="n">
        <v>0</v>
      </c>
      <c r="W229" t="inlineStr">
        <is>
          <t>CHILQUINTA</t>
        </is>
      </c>
      <c r="X229" t="n">
        <v>94.986367291326</v>
      </c>
      <c r="Y229" t="n">
        <v>0.9029048580609832</v>
      </c>
      <c r="Z229" t="n">
        <v>960.5370830435992</v>
      </c>
      <c r="AA229" t="n">
        <v>0</v>
      </c>
      <c r="AB229" t="n">
        <v>0</v>
      </c>
      <c r="AC229" t="n">
        <v>0</v>
      </c>
      <c r="AD229" s="2" t="n">
        <v>44531</v>
      </c>
    </row>
    <row r="230">
      <c r="A230" t="n">
        <v>-1</v>
      </c>
      <c r="B230" t="inlineStr">
        <is>
          <t>01-12-2021</t>
        </is>
      </c>
      <c r="C230" t="n">
        <v>2021</v>
      </c>
      <c r="D230" t="n">
        <v>12</v>
      </c>
      <c r="E230" t="inlineStr">
        <is>
          <t>Mayaca 012</t>
        </is>
      </c>
      <c r="F230" t="inlineStr">
        <is>
          <t>Chilquinta</t>
        </is>
      </c>
      <c r="G230" t="inlineStr">
        <is>
          <t>Chilquinta</t>
        </is>
      </c>
      <c r="H230" t="inlineStr">
        <is>
          <t>Empresa Eléctrica Carén S.A.</t>
        </is>
      </c>
      <c r="I230" t="inlineStr">
        <is>
          <t>Empresa Eléctrica Carén S.A.</t>
        </is>
      </c>
      <c r="J230" t="inlineStr">
        <is>
          <t>SIC 2013/03_2_BS1B_BB_CHILQUINTA_Empresa Eléctrica Carén S.A.</t>
        </is>
      </c>
      <c r="K230" t="inlineStr">
        <is>
          <t>Mayaca 012</t>
        </is>
      </c>
      <c r="L230" t="inlineStr">
        <is>
          <t>-1</t>
        </is>
      </c>
      <c r="M230" t="n">
        <v>639.3234123119776</v>
      </c>
      <c r="N230" t="n">
        <v>0</v>
      </c>
      <c r="O230" t="inlineStr">
        <is>
          <t>3</t>
        </is>
      </c>
      <c r="P230" s="2" t="n">
        <v>44999.6862684375</v>
      </c>
      <c r="Q230" t="n">
        <v>11</v>
      </c>
      <c r="R230" t="inlineStr">
        <is>
          <t>QUILLOTA 220</t>
        </is>
      </c>
      <c r="S230" t="n">
        <v>442.9833321516587</v>
      </c>
      <c r="T230" t="n">
        <v>38667.84405154089</v>
      </c>
      <c r="U230" t="n">
        <v>0</v>
      </c>
      <c r="V230" t="n">
        <v>0</v>
      </c>
      <c r="W230" t="inlineStr">
        <is>
          <t>CHILQUINTA</t>
        </is>
      </c>
      <c r="X230" t="n">
        <v>92.86129144034399</v>
      </c>
      <c r="Y230" t="n">
        <v>38.66784405154088</v>
      </c>
      <c r="Z230" t="n">
        <v>41136.00431014989</v>
      </c>
      <c r="AA230" t="n">
        <v>0</v>
      </c>
      <c r="AB230" t="n">
        <v>0</v>
      </c>
      <c r="AC230" t="n">
        <v>0</v>
      </c>
      <c r="AD230" s="2" t="n">
        <v>44531</v>
      </c>
    </row>
    <row r="231">
      <c r="A231" t="n">
        <v>-1</v>
      </c>
      <c r="B231" t="inlineStr">
        <is>
          <t>01-12-2021</t>
        </is>
      </c>
      <c r="C231" t="n">
        <v>2021</v>
      </c>
      <c r="D231" t="n">
        <v>12</v>
      </c>
      <c r="E231" t="inlineStr">
        <is>
          <t>Miraflores 012</t>
        </is>
      </c>
      <c r="F231" t="inlineStr">
        <is>
          <t>Chilquinta</t>
        </is>
      </c>
      <c r="G231" t="inlineStr">
        <is>
          <t>Chilquinta</t>
        </is>
      </c>
      <c r="H231" t="inlineStr">
        <is>
          <t>Empresa Eléctrica Carén S.A.</t>
        </is>
      </c>
      <c r="I231" t="inlineStr">
        <is>
          <t>Empresa Eléctrica Carén S.A.</t>
        </is>
      </c>
      <c r="J231" t="inlineStr">
        <is>
          <t>SIC 2013/03_2_BS1B_BB_CHILQUINTA_Empresa Eléctrica Carén S.A.</t>
        </is>
      </c>
      <c r="K231" t="inlineStr">
        <is>
          <t>Miraflores 012</t>
        </is>
      </c>
      <c r="L231" t="inlineStr">
        <is>
          <t>-1</t>
        </is>
      </c>
      <c r="M231" t="n">
        <v>567.0592970854253</v>
      </c>
      <c r="N231" t="n">
        <v>0</v>
      </c>
      <c r="O231" t="inlineStr">
        <is>
          <t>3</t>
        </is>
      </c>
      <c r="P231" s="2" t="n">
        <v>44999.6862684375</v>
      </c>
      <c r="Q231" t="n">
        <v>31</v>
      </c>
      <c r="R231" t="inlineStr">
        <is>
          <t>LOS MAQUIS 220</t>
        </is>
      </c>
      <c r="S231" t="n">
        <v>113.0856067634987</v>
      </c>
      <c r="T231" t="n">
        <v>9871.198958130986</v>
      </c>
      <c r="U231" t="n">
        <v>0</v>
      </c>
      <c r="V231" t="n">
        <v>0</v>
      </c>
      <c r="W231" t="inlineStr">
        <is>
          <t>CHILQUINTA</t>
        </is>
      </c>
      <c r="X231" t="n">
        <v>92.86129144034402</v>
      </c>
      <c r="Y231" t="n">
        <v>9.871198958130984</v>
      </c>
      <c r="Z231" t="n">
        <v>10501.27548737339</v>
      </c>
      <c r="AA231" t="n">
        <v>0</v>
      </c>
      <c r="AB231" t="n">
        <v>0</v>
      </c>
      <c r="AC231" t="n">
        <v>0</v>
      </c>
      <c r="AD231" s="2" t="n">
        <v>44531</v>
      </c>
    </row>
    <row r="232">
      <c r="A232" t="n">
        <v>-1</v>
      </c>
      <c r="B232" t="inlineStr">
        <is>
          <t>01-12-2021</t>
        </is>
      </c>
      <c r="C232" t="n">
        <v>2021</v>
      </c>
      <c r="D232" t="n">
        <v>12</v>
      </c>
      <c r="E232" t="inlineStr">
        <is>
          <t>Miraflores 012</t>
        </is>
      </c>
      <c r="F232" t="inlineStr">
        <is>
          <t>Chilquinta</t>
        </is>
      </c>
      <c r="G232" t="inlineStr">
        <is>
          <t>Chilquinta</t>
        </is>
      </c>
      <c r="H232" t="inlineStr">
        <is>
          <t>Empresa Eléctrica Carén S.A.</t>
        </is>
      </c>
      <c r="I232" t="inlineStr">
        <is>
          <t>Empresa Eléctrica Carén S.A.</t>
        </is>
      </c>
      <c r="J232" t="inlineStr">
        <is>
          <t>SIC 2013/03_2_BS1B_BB_CHILQUINTA_Empresa Eléctrica Carén S.A.</t>
        </is>
      </c>
      <c r="K232" t="inlineStr">
        <is>
          <t>Miraflores 012</t>
        </is>
      </c>
      <c r="L232" t="inlineStr">
        <is>
          <t>-1</t>
        </is>
      </c>
      <c r="M232" t="n">
        <v>567.0592970854253</v>
      </c>
      <c r="N232" t="n">
        <v>0</v>
      </c>
      <c r="O232" t="inlineStr">
        <is>
          <t>3</t>
        </is>
      </c>
      <c r="P232" s="2" t="n">
        <v>44999.6862684375</v>
      </c>
      <c r="Q232" t="n">
        <v>13</v>
      </c>
      <c r="R232" t="inlineStr">
        <is>
          <t>MELIPILLA 220</t>
        </is>
      </c>
      <c r="S232" t="n">
        <v>105.670978434063</v>
      </c>
      <c r="T232" t="n">
        <v>9451.232463912907</v>
      </c>
      <c r="U232" t="n">
        <v>0</v>
      </c>
      <c r="V232" t="n">
        <v>0</v>
      </c>
      <c r="W232" t="inlineStr">
        <is>
          <t>CHILQUINTA</t>
        </is>
      </c>
      <c r="X232" t="n">
        <v>95.14913905578902</v>
      </c>
      <c r="Y232" t="n">
        <v>9.451232463912907</v>
      </c>
      <c r="Z232" t="n">
        <v>10054.50262118394</v>
      </c>
      <c r="AA232" t="n">
        <v>0</v>
      </c>
      <c r="AB232" t="n">
        <v>0</v>
      </c>
      <c r="AC232" t="n">
        <v>0</v>
      </c>
      <c r="AD232" s="2" t="n">
        <v>44531</v>
      </c>
    </row>
    <row r="233">
      <c r="A233" t="n">
        <v>-1</v>
      </c>
      <c r="B233" t="inlineStr">
        <is>
          <t>01-12-2021</t>
        </is>
      </c>
      <c r="C233" t="n">
        <v>2021</v>
      </c>
      <c r="D233" t="n">
        <v>12</v>
      </c>
      <c r="E233" t="inlineStr">
        <is>
          <t>Miraflores 012</t>
        </is>
      </c>
      <c r="F233" t="inlineStr">
        <is>
          <t>Chilquinta</t>
        </is>
      </c>
      <c r="G233" t="inlineStr">
        <is>
          <t>Chilquinta</t>
        </is>
      </c>
      <c r="H233" t="inlineStr">
        <is>
          <t>Empresa Eléctrica Carén S.A.</t>
        </is>
      </c>
      <c r="I233" t="inlineStr">
        <is>
          <t>Empresa Eléctrica Carén S.A.</t>
        </is>
      </c>
      <c r="J233" t="inlineStr">
        <is>
          <t>SIC 2013/03_2_BS1B_BB_CHILQUINTA_Empresa Eléctrica Carén S.A.</t>
        </is>
      </c>
      <c r="K233" t="inlineStr">
        <is>
          <t>Miraflores 012</t>
        </is>
      </c>
      <c r="L233" t="inlineStr">
        <is>
          <t>-1</t>
        </is>
      </c>
      <c r="M233" t="n">
        <v>567.0592970854253</v>
      </c>
      <c r="N233" t="n">
        <v>0</v>
      </c>
      <c r="O233" t="inlineStr">
        <is>
          <t>3</t>
        </is>
      </c>
      <c r="P233" s="2" t="n">
        <v>44999.6862684375</v>
      </c>
      <c r="Q233" t="n">
        <v>5</v>
      </c>
      <c r="R233" t="inlineStr">
        <is>
          <t>NOGALES 220</t>
        </is>
      </c>
      <c r="S233" t="n">
        <v>13.37487052394177</v>
      </c>
      <c r="T233" t="n">
        <v>1194.204542217399</v>
      </c>
      <c r="U233" t="n">
        <v>0</v>
      </c>
      <c r="V233" t="n">
        <v>0</v>
      </c>
      <c r="W233" t="inlineStr">
        <is>
          <t>CHILQUINTA</t>
        </is>
      </c>
      <c r="X233" t="n">
        <v>94.986367291326</v>
      </c>
      <c r="Y233" t="n">
        <v>1.194204542217399</v>
      </c>
      <c r="Z233" t="n">
        <v>1270.430364061063</v>
      </c>
      <c r="AA233" t="n">
        <v>0</v>
      </c>
      <c r="AB233" t="n">
        <v>0</v>
      </c>
      <c r="AC233" t="n">
        <v>0</v>
      </c>
      <c r="AD233" s="2" t="n">
        <v>44531</v>
      </c>
    </row>
    <row r="234">
      <c r="A234" t="n">
        <v>-1</v>
      </c>
      <c r="B234" t="inlineStr">
        <is>
          <t>01-12-2021</t>
        </is>
      </c>
      <c r="C234" t="n">
        <v>2021</v>
      </c>
      <c r="D234" t="n">
        <v>12</v>
      </c>
      <c r="E234" t="inlineStr">
        <is>
          <t>Miraflores 012</t>
        </is>
      </c>
      <c r="F234" t="inlineStr">
        <is>
          <t>Chilquinta</t>
        </is>
      </c>
      <c r="G234" t="inlineStr">
        <is>
          <t>Chilquinta</t>
        </is>
      </c>
      <c r="H234" t="inlineStr">
        <is>
          <t>Empresa Eléctrica Carén S.A.</t>
        </is>
      </c>
      <c r="I234" t="inlineStr">
        <is>
          <t>Empresa Eléctrica Carén S.A.</t>
        </is>
      </c>
      <c r="J234" t="inlineStr">
        <is>
          <t>SIC 2013/03_2_BS1B_BB_CHILQUINTA_Empresa Eléctrica Carén S.A.</t>
        </is>
      </c>
      <c r="K234" t="inlineStr">
        <is>
          <t>Miraflores 012</t>
        </is>
      </c>
      <c r="L234" t="inlineStr">
        <is>
          <t>-1</t>
        </is>
      </c>
      <c r="M234" t="n">
        <v>567.0592970854253</v>
      </c>
      <c r="N234" t="n">
        <v>0</v>
      </c>
      <c r="O234" t="inlineStr">
        <is>
          <t>3</t>
        </is>
      </c>
      <c r="P234" s="2" t="n">
        <v>44999.6862684375</v>
      </c>
      <c r="Q234" t="n">
        <v>11</v>
      </c>
      <c r="R234" t="inlineStr">
        <is>
          <t>QUILLOTA 220</t>
        </is>
      </c>
      <c r="S234" t="n">
        <v>349.1568855319494</v>
      </c>
      <c r="T234" t="n">
        <v>30477.76974743807</v>
      </c>
      <c r="U234" t="n">
        <v>0</v>
      </c>
      <c r="V234" t="n">
        <v>0</v>
      </c>
      <c r="W234" t="inlineStr">
        <is>
          <t>CHILQUINTA</t>
        </is>
      </c>
      <c r="X234" t="n">
        <v>92.86129144034402</v>
      </c>
      <c r="Y234" t="n">
        <v>30.47776974743808</v>
      </c>
      <c r="Z234" t="n">
        <v>32423.15930578519</v>
      </c>
      <c r="AA234" t="n">
        <v>0</v>
      </c>
      <c r="AB234" t="n">
        <v>0</v>
      </c>
      <c r="AC234" t="n">
        <v>0</v>
      </c>
      <c r="AD234" s="2" t="n">
        <v>44531</v>
      </c>
    </row>
    <row r="235">
      <c r="A235" t="n">
        <v>-1</v>
      </c>
      <c r="B235" t="inlineStr">
        <is>
          <t>01-12-2021</t>
        </is>
      </c>
      <c r="C235" t="n">
        <v>2021</v>
      </c>
      <c r="D235" t="n">
        <v>12</v>
      </c>
      <c r="E235" t="inlineStr">
        <is>
          <t>Panquehue 012</t>
        </is>
      </c>
      <c r="F235" t="inlineStr">
        <is>
          <t>Chilquinta</t>
        </is>
      </c>
      <c r="G235" t="inlineStr">
        <is>
          <t>Chilquinta</t>
        </is>
      </c>
      <c r="H235" t="inlineStr">
        <is>
          <t>Empresa Eléctrica Carén S.A.</t>
        </is>
      </c>
      <c r="I235" t="inlineStr">
        <is>
          <t>Empresa Eléctrica Carén S.A.</t>
        </is>
      </c>
      <c r="J235" t="inlineStr">
        <is>
          <t>SIC 2013/03_2_BS1B_BB_CHILQUINTA_Empresa Eléctrica Carén S.A.</t>
        </is>
      </c>
      <c r="K235" t="inlineStr">
        <is>
          <t>Panquehue 012</t>
        </is>
      </c>
      <c r="L235" t="inlineStr">
        <is>
          <t>-1</t>
        </is>
      </c>
      <c r="M235" t="n">
        <v>169.4268280611144</v>
      </c>
      <c r="N235" t="n">
        <v>0</v>
      </c>
      <c r="O235" t="inlineStr">
        <is>
          <t>3</t>
        </is>
      </c>
      <c r="P235" s="2" t="n">
        <v>44999.6862684375</v>
      </c>
      <c r="Q235" t="n">
        <v>31</v>
      </c>
      <c r="R235" t="inlineStr">
        <is>
          <t>LOS MAQUIS 220</t>
        </is>
      </c>
      <c r="S235" t="n">
        <v>110.53490162799</v>
      </c>
      <c r="T235" t="n">
        <v>9648.548891542147</v>
      </c>
      <c r="U235" t="n">
        <v>0</v>
      </c>
      <c r="V235" t="n">
        <v>0</v>
      </c>
      <c r="W235" t="inlineStr">
        <is>
          <t>CHILQUINTA</t>
        </is>
      </c>
      <c r="X235" t="n">
        <v>92.86129144034402</v>
      </c>
      <c r="Y235" t="n">
        <v>9.648548891542145</v>
      </c>
      <c r="Z235" t="n">
        <v>10264.41371440654</v>
      </c>
      <c r="AA235" t="n">
        <v>0</v>
      </c>
      <c r="AB235" t="n">
        <v>0</v>
      </c>
      <c r="AC235" t="n">
        <v>0</v>
      </c>
      <c r="AD235" s="2" t="n">
        <v>44531</v>
      </c>
    </row>
    <row r="236">
      <c r="A236" t="n">
        <v>-1</v>
      </c>
      <c r="B236" t="inlineStr">
        <is>
          <t>01-12-2021</t>
        </is>
      </c>
      <c r="C236" t="n">
        <v>2021</v>
      </c>
      <c r="D236" t="n">
        <v>12</v>
      </c>
      <c r="E236" t="inlineStr">
        <is>
          <t>Panquehue 012</t>
        </is>
      </c>
      <c r="F236" t="inlineStr">
        <is>
          <t>Chilquinta</t>
        </is>
      </c>
      <c r="G236" t="inlineStr">
        <is>
          <t>Chilquinta</t>
        </is>
      </c>
      <c r="H236" t="inlineStr">
        <is>
          <t>Empresa Eléctrica Carén S.A.</t>
        </is>
      </c>
      <c r="I236" t="inlineStr">
        <is>
          <t>Empresa Eléctrica Carén S.A.</t>
        </is>
      </c>
      <c r="J236" t="inlineStr">
        <is>
          <t>SIC 2013/03_2_BS1B_BB_CHILQUINTA_Empresa Eléctrica Carén S.A.</t>
        </is>
      </c>
      <c r="K236" t="inlineStr">
        <is>
          <t>Panquehue 012</t>
        </is>
      </c>
      <c r="L236" t="inlineStr">
        <is>
          <t>-1</t>
        </is>
      </c>
      <c r="M236" t="n">
        <v>169.4268280611144</v>
      </c>
      <c r="N236" t="n">
        <v>0</v>
      </c>
      <c r="O236" t="inlineStr">
        <is>
          <t>3</t>
        </is>
      </c>
      <c r="P236" s="2" t="n">
        <v>44999.6862684375</v>
      </c>
      <c r="Q236" t="n">
        <v>13</v>
      </c>
      <c r="R236" t="inlineStr">
        <is>
          <t>MELIPILLA 220</t>
        </is>
      </c>
      <c r="S236" t="n">
        <v>3.915886159011272</v>
      </c>
      <c r="T236" t="n">
        <v>350.2376048701789</v>
      </c>
      <c r="U236" t="n">
        <v>0</v>
      </c>
      <c r="V236" t="n">
        <v>0</v>
      </c>
      <c r="W236" t="inlineStr">
        <is>
          <t>CHILQUINTA</t>
        </is>
      </c>
      <c r="X236" t="n">
        <v>95.14913905578902</v>
      </c>
      <c r="Y236" t="n">
        <v>0.3502376048701789</v>
      </c>
      <c r="Z236" t="n">
        <v>372.5931966704031</v>
      </c>
      <c r="AA236" t="n">
        <v>0</v>
      </c>
      <c r="AB236" t="n">
        <v>0</v>
      </c>
      <c r="AC236" t="n">
        <v>0</v>
      </c>
      <c r="AD236" s="2" t="n">
        <v>44531</v>
      </c>
    </row>
    <row r="237">
      <c r="A237" t="n">
        <v>-1</v>
      </c>
      <c r="B237" t="inlineStr">
        <is>
          <t>01-12-2021</t>
        </is>
      </c>
      <c r="C237" t="n">
        <v>2021</v>
      </c>
      <c r="D237" t="n">
        <v>12</v>
      </c>
      <c r="E237" t="inlineStr">
        <is>
          <t>Panquehue 012</t>
        </is>
      </c>
      <c r="F237" t="inlineStr">
        <is>
          <t>Chilquinta</t>
        </is>
      </c>
      <c r="G237" t="inlineStr">
        <is>
          <t>Chilquinta</t>
        </is>
      </c>
      <c r="H237" t="inlineStr">
        <is>
          <t>Empresa Eléctrica Carén S.A.</t>
        </is>
      </c>
      <c r="I237" t="inlineStr">
        <is>
          <t>Empresa Eléctrica Carén S.A.</t>
        </is>
      </c>
      <c r="J237" t="inlineStr">
        <is>
          <t>SIC 2013/03_2_BS1B_BB_CHILQUINTA_Empresa Eléctrica Carén S.A.</t>
        </is>
      </c>
      <c r="K237" t="inlineStr">
        <is>
          <t>Panquehue 012</t>
        </is>
      </c>
      <c r="L237" t="inlineStr">
        <is>
          <t>-1</t>
        </is>
      </c>
      <c r="M237" t="n">
        <v>169.4268280611144</v>
      </c>
      <c r="N237" t="n">
        <v>0</v>
      </c>
      <c r="O237" t="inlineStr">
        <is>
          <t>3</t>
        </is>
      </c>
      <c r="P237" s="2" t="n">
        <v>44999.6862684375</v>
      </c>
      <c r="Q237" t="n">
        <v>5</v>
      </c>
      <c r="R237" t="inlineStr">
        <is>
          <t>NOGALES 220</t>
        </is>
      </c>
      <c r="S237" t="n">
        <v>1.727952692321498</v>
      </c>
      <c r="T237" t="n">
        <v>154.2840321491923</v>
      </c>
      <c r="U237" t="n">
        <v>0</v>
      </c>
      <c r="V237" t="n">
        <v>0</v>
      </c>
      <c r="W237" t="inlineStr">
        <is>
          <t>CHILQUINTA</t>
        </is>
      </c>
      <c r="X237" t="n">
        <v>94.986367291326</v>
      </c>
      <c r="Y237" t="n">
        <v>0.1542840321491923</v>
      </c>
      <c r="Z237" t="n">
        <v>164.1319490948855</v>
      </c>
      <c r="AA237" t="n">
        <v>0</v>
      </c>
      <c r="AB237" t="n">
        <v>0</v>
      </c>
      <c r="AC237" t="n">
        <v>0</v>
      </c>
      <c r="AD237" s="2" t="n">
        <v>44531</v>
      </c>
    </row>
    <row r="238">
      <c r="A238" t="n">
        <v>-1</v>
      </c>
      <c r="B238" t="inlineStr">
        <is>
          <t>01-12-2021</t>
        </is>
      </c>
      <c r="C238" t="n">
        <v>2021</v>
      </c>
      <c r="D238" t="n">
        <v>12</v>
      </c>
      <c r="E238" t="inlineStr">
        <is>
          <t>Panquehue 012</t>
        </is>
      </c>
      <c r="F238" t="inlineStr">
        <is>
          <t>Chilquinta</t>
        </is>
      </c>
      <c r="G238" t="inlineStr">
        <is>
          <t>Chilquinta</t>
        </is>
      </c>
      <c r="H238" t="inlineStr">
        <is>
          <t>Empresa Eléctrica Carén S.A.</t>
        </is>
      </c>
      <c r="I238" t="inlineStr">
        <is>
          <t>Empresa Eléctrica Carén S.A.</t>
        </is>
      </c>
      <c r="J238" t="inlineStr">
        <is>
          <t>SIC 2013/03_2_BS1B_BB_CHILQUINTA_Empresa Eléctrica Carén S.A.</t>
        </is>
      </c>
      <c r="K238" t="inlineStr">
        <is>
          <t>Panquehue 012</t>
        </is>
      </c>
      <c r="L238" t="inlineStr">
        <is>
          <t>-1</t>
        </is>
      </c>
      <c r="M238" t="n">
        <v>169.4268280611144</v>
      </c>
      <c r="N238" t="n">
        <v>0</v>
      </c>
      <c r="O238" t="inlineStr">
        <is>
          <t>3</t>
        </is>
      </c>
      <c r="P238" s="2" t="n">
        <v>44999.6862684375</v>
      </c>
      <c r="Q238" t="n">
        <v>11</v>
      </c>
      <c r="R238" t="inlineStr">
        <is>
          <t>QUILLOTA 220</t>
        </is>
      </c>
      <c r="S238" t="n">
        <v>57.49946275916952</v>
      </c>
      <c r="T238" t="n">
        <v>5019.1059068059</v>
      </c>
      <c r="U238" t="n">
        <v>0</v>
      </c>
      <c r="V238" t="n">
        <v>0</v>
      </c>
      <c r="W238" t="inlineStr">
        <is>
          <t>CHILQUINTA</t>
        </is>
      </c>
      <c r="X238" t="n">
        <v>92.86129144034402</v>
      </c>
      <c r="Y238" t="n">
        <v>5.0191059068059</v>
      </c>
      <c r="Z238" t="n">
        <v>5339.474368942448</v>
      </c>
      <c r="AA238" t="n">
        <v>0</v>
      </c>
      <c r="AB238" t="n">
        <v>0</v>
      </c>
      <c r="AC238" t="n">
        <v>0</v>
      </c>
      <c r="AD238" s="2" t="n">
        <v>44531</v>
      </c>
    </row>
    <row r="239">
      <c r="A239" t="n">
        <v>-1</v>
      </c>
      <c r="B239" t="inlineStr">
        <is>
          <t>01-12-2021</t>
        </is>
      </c>
      <c r="C239" t="n">
        <v>2021</v>
      </c>
      <c r="D239" t="n">
        <v>12</v>
      </c>
      <c r="E239" t="inlineStr">
        <is>
          <t>Peñablanca 012</t>
        </is>
      </c>
      <c r="F239" t="inlineStr">
        <is>
          <t>Chilquinta</t>
        </is>
      </c>
      <c r="G239" t="inlineStr">
        <is>
          <t>Chilquinta</t>
        </is>
      </c>
      <c r="H239" t="inlineStr">
        <is>
          <t>Empresa Eléctrica Carén S.A.</t>
        </is>
      </c>
      <c r="I239" t="inlineStr">
        <is>
          <t>Empresa Eléctrica Carén S.A.</t>
        </is>
      </c>
      <c r="J239" t="inlineStr">
        <is>
          <t>SIC 2013/03_2_BS1B_BB_CHILQUINTA_Empresa Eléctrica Carén S.A.</t>
        </is>
      </c>
      <c r="K239" t="inlineStr">
        <is>
          <t>Peñablanca 012</t>
        </is>
      </c>
      <c r="L239" t="inlineStr">
        <is>
          <t>-1</t>
        </is>
      </c>
      <c r="M239" t="n">
        <v>734.7577717403946</v>
      </c>
      <c r="N239" t="n">
        <v>0</v>
      </c>
      <c r="O239" t="inlineStr">
        <is>
          <t>3</t>
        </is>
      </c>
      <c r="P239" s="2" t="n">
        <v>44999.6862684375</v>
      </c>
      <c r="Q239" t="n">
        <v>31</v>
      </c>
      <c r="R239" t="inlineStr">
        <is>
          <t>LOS MAQUIS 220</t>
        </is>
      </c>
      <c r="S239" t="n">
        <v>189.2408607867984</v>
      </c>
      <c r="T239" t="n">
        <v>16518.76168238779</v>
      </c>
      <c r="U239" t="n">
        <v>0</v>
      </c>
      <c r="V239" t="n">
        <v>0</v>
      </c>
      <c r="W239" t="inlineStr">
        <is>
          <t>CHILQUINTA</t>
        </is>
      </c>
      <c r="X239" t="n">
        <v>92.86129144034402</v>
      </c>
      <c r="Y239" t="n">
        <v>16.51876168238779</v>
      </c>
      <c r="Z239" t="n">
        <v>17573.15072594446</v>
      </c>
      <c r="AA239" t="n">
        <v>0</v>
      </c>
      <c r="AB239" t="n">
        <v>0</v>
      </c>
      <c r="AC239" t="n">
        <v>0</v>
      </c>
      <c r="AD239" s="2" t="n">
        <v>44531</v>
      </c>
    </row>
    <row r="240">
      <c r="A240" t="n">
        <v>-1</v>
      </c>
      <c r="B240" t="inlineStr">
        <is>
          <t>01-12-2021</t>
        </is>
      </c>
      <c r="C240" t="n">
        <v>2021</v>
      </c>
      <c r="D240" t="n">
        <v>12</v>
      </c>
      <c r="E240" t="inlineStr">
        <is>
          <t>Peñablanca 012</t>
        </is>
      </c>
      <c r="F240" t="inlineStr">
        <is>
          <t>Chilquinta</t>
        </is>
      </c>
      <c r="G240" t="inlineStr">
        <is>
          <t>Chilquinta</t>
        </is>
      </c>
      <c r="H240" t="inlineStr">
        <is>
          <t>Empresa Eléctrica Carén S.A.</t>
        </is>
      </c>
      <c r="I240" t="inlineStr">
        <is>
          <t>Empresa Eléctrica Carén S.A.</t>
        </is>
      </c>
      <c r="J240" t="inlineStr">
        <is>
          <t>SIC 2013/03_2_BS1B_BB_CHILQUINTA_Empresa Eléctrica Carén S.A.</t>
        </is>
      </c>
      <c r="K240" t="inlineStr">
        <is>
          <t>Peñablanca 012</t>
        </is>
      </c>
      <c r="L240" t="inlineStr">
        <is>
          <t>-1</t>
        </is>
      </c>
      <c r="M240" t="n">
        <v>734.7577717403946</v>
      </c>
      <c r="N240" t="n">
        <v>0</v>
      </c>
      <c r="O240" t="inlineStr">
        <is>
          <t>3</t>
        </is>
      </c>
      <c r="P240" s="2" t="n">
        <v>44999.6862684375</v>
      </c>
      <c r="Q240" t="n">
        <v>13</v>
      </c>
      <c r="R240" t="inlineStr">
        <is>
          <t>MELIPILLA 220</t>
        </is>
      </c>
      <c r="S240" t="n">
        <v>60.06350568066811</v>
      </c>
      <c r="T240" t="n">
        <v>5372.091402936779</v>
      </c>
      <c r="U240" t="n">
        <v>0</v>
      </c>
      <c r="V240" t="n">
        <v>0</v>
      </c>
      <c r="W240" t="inlineStr">
        <is>
          <t>CHILQUINTA</t>
        </is>
      </c>
      <c r="X240" t="n">
        <v>95.14913905578901</v>
      </c>
      <c r="Y240" t="n">
        <v>5.372091402936778</v>
      </c>
      <c r="Z240" t="n">
        <v>5714.990854188063</v>
      </c>
      <c r="AA240" t="n">
        <v>0</v>
      </c>
      <c r="AB240" t="n">
        <v>0</v>
      </c>
      <c r="AC240" t="n">
        <v>0</v>
      </c>
      <c r="AD240" s="2" t="n">
        <v>44531</v>
      </c>
    </row>
    <row r="241">
      <c r="A241" t="n">
        <v>-1</v>
      </c>
      <c r="B241" t="inlineStr">
        <is>
          <t>01-12-2021</t>
        </is>
      </c>
      <c r="C241" t="n">
        <v>2021</v>
      </c>
      <c r="D241" t="n">
        <v>12</v>
      </c>
      <c r="E241" t="inlineStr">
        <is>
          <t>Peñablanca 012</t>
        </is>
      </c>
      <c r="F241" t="inlineStr">
        <is>
          <t>Chilquinta</t>
        </is>
      </c>
      <c r="G241" t="inlineStr">
        <is>
          <t>Chilquinta</t>
        </is>
      </c>
      <c r="H241" t="inlineStr">
        <is>
          <t>Empresa Eléctrica Carén S.A.</t>
        </is>
      </c>
      <c r="I241" t="inlineStr">
        <is>
          <t>Empresa Eléctrica Carén S.A.</t>
        </is>
      </c>
      <c r="J241" t="inlineStr">
        <is>
          <t>SIC 2013/03_2_BS1B_BB_CHILQUINTA_Empresa Eléctrica Carén S.A.</t>
        </is>
      </c>
      <c r="K241" t="inlineStr">
        <is>
          <t>Peñablanca 012</t>
        </is>
      </c>
      <c r="L241" t="inlineStr">
        <is>
          <t>-1</t>
        </is>
      </c>
      <c r="M241" t="n">
        <v>734.7577717403946</v>
      </c>
      <c r="N241" t="n">
        <v>0</v>
      </c>
      <c r="O241" t="inlineStr">
        <is>
          <t>3</t>
        </is>
      </c>
      <c r="P241" s="2" t="n">
        <v>44999.6862684375</v>
      </c>
      <c r="Q241" t="n">
        <v>5</v>
      </c>
      <c r="R241" t="inlineStr">
        <is>
          <t>NOGALES 220</t>
        </is>
      </c>
      <c r="S241" t="n">
        <v>10.50545453898243</v>
      </c>
      <c r="T241" t="n">
        <v>938.002465597986</v>
      </c>
      <c r="U241" t="n">
        <v>0</v>
      </c>
      <c r="V241" t="n">
        <v>0</v>
      </c>
      <c r="W241" t="inlineStr">
        <is>
          <t>CHILQUINTA</t>
        </is>
      </c>
      <c r="X241" t="n">
        <v>94.986367291326</v>
      </c>
      <c r="Y241" t="n">
        <v>0.9380024655979858</v>
      </c>
      <c r="Z241" t="n">
        <v>997.8749634021128</v>
      </c>
      <c r="AA241" t="n">
        <v>0</v>
      </c>
      <c r="AB241" t="n">
        <v>0</v>
      </c>
      <c r="AC241" t="n">
        <v>0</v>
      </c>
      <c r="AD241" s="2" t="n">
        <v>44531</v>
      </c>
    </row>
    <row r="242">
      <c r="A242" t="n">
        <v>-1</v>
      </c>
      <c r="B242" t="inlineStr">
        <is>
          <t>01-12-2021</t>
        </is>
      </c>
      <c r="C242" t="n">
        <v>2021</v>
      </c>
      <c r="D242" t="n">
        <v>12</v>
      </c>
      <c r="E242" t="inlineStr">
        <is>
          <t>Peñablanca 012</t>
        </is>
      </c>
      <c r="F242" t="inlineStr">
        <is>
          <t>Chilquinta</t>
        </is>
      </c>
      <c r="G242" t="inlineStr">
        <is>
          <t>Chilquinta</t>
        </is>
      </c>
      <c r="H242" t="inlineStr">
        <is>
          <t>Empresa Eléctrica Carén S.A.</t>
        </is>
      </c>
      <c r="I242" t="inlineStr">
        <is>
          <t>Empresa Eléctrica Carén S.A.</t>
        </is>
      </c>
      <c r="J242" t="inlineStr">
        <is>
          <t>SIC 2013/03_2_BS1B_BB_CHILQUINTA_Empresa Eléctrica Carén S.A.</t>
        </is>
      </c>
      <c r="K242" t="inlineStr">
        <is>
          <t>Peñablanca 012</t>
        </is>
      </c>
      <c r="L242" t="inlineStr">
        <is>
          <t>-1</t>
        </is>
      </c>
      <c r="M242" t="n">
        <v>734.7577717403946</v>
      </c>
      <c r="N242" t="n">
        <v>0</v>
      </c>
      <c r="O242" t="inlineStr">
        <is>
          <t>3</t>
        </is>
      </c>
      <c r="P242" s="2" t="n">
        <v>44999.6862684375</v>
      </c>
      <c r="Q242" t="n">
        <v>11</v>
      </c>
      <c r="R242" t="inlineStr">
        <is>
          <t>QUILLOTA 220</t>
        </is>
      </c>
      <c r="S242" t="n">
        <v>493.3850010400274</v>
      </c>
      <c r="T242" t="n">
        <v>43067.38627144007</v>
      </c>
      <c r="U242" t="n">
        <v>0</v>
      </c>
      <c r="V242" t="n">
        <v>0</v>
      </c>
      <c r="W242" t="inlineStr">
        <is>
          <t>CHILQUINTA</t>
        </is>
      </c>
      <c r="X242" t="n">
        <v>92.861291440344</v>
      </c>
      <c r="Y242" t="n">
        <v>43.06738627144006</v>
      </c>
      <c r="Z242" t="n">
        <v>45816.36837387241</v>
      </c>
      <c r="AA242" t="n">
        <v>0</v>
      </c>
      <c r="AB242" t="n">
        <v>0</v>
      </c>
      <c r="AC242" t="n">
        <v>0</v>
      </c>
      <c r="AD242" s="2" t="n">
        <v>44531</v>
      </c>
    </row>
    <row r="243">
      <c r="A243" t="n">
        <v>-1</v>
      </c>
      <c r="B243" t="inlineStr">
        <is>
          <t>01-12-2021</t>
        </is>
      </c>
      <c r="C243" t="n">
        <v>2021</v>
      </c>
      <c r="D243" t="n">
        <v>12</v>
      </c>
      <c r="E243" t="inlineStr">
        <is>
          <t>Placeres 012</t>
        </is>
      </c>
      <c r="F243" t="inlineStr">
        <is>
          <t>Chilquinta</t>
        </is>
      </c>
      <c r="G243" t="inlineStr">
        <is>
          <t>Chilquinta</t>
        </is>
      </c>
      <c r="H243" t="inlineStr">
        <is>
          <t>Empresa Eléctrica Carén S.A.</t>
        </is>
      </c>
      <c r="I243" t="inlineStr">
        <is>
          <t>Empresa Eléctrica Carén S.A.</t>
        </is>
      </c>
      <c r="J243" t="inlineStr">
        <is>
          <t>SIC 2013/03_2_BS1B_BB_CHILQUINTA_Empresa Eléctrica Carén S.A.</t>
        </is>
      </c>
      <c r="K243" t="inlineStr">
        <is>
          <t>Placeres 012</t>
        </is>
      </c>
      <c r="L243" t="inlineStr">
        <is>
          <t>-1</t>
        </is>
      </c>
      <c r="M243" t="n">
        <v>742.3362343508094</v>
      </c>
      <c r="N243" t="n">
        <v>0</v>
      </c>
      <c r="O243" t="inlineStr">
        <is>
          <t>3</t>
        </is>
      </c>
      <c r="P243" s="2" t="n">
        <v>44999.6862684375</v>
      </c>
      <c r="Q243" t="n">
        <v>31</v>
      </c>
      <c r="R243" t="inlineStr">
        <is>
          <t>LOS MAQUIS 220</t>
        </is>
      </c>
      <c r="S243" t="n">
        <v>129.4657086142604</v>
      </c>
      <c r="T243" t="n">
        <v>11301.01172520992</v>
      </c>
      <c r="U243" t="n">
        <v>0</v>
      </c>
      <c r="V243" t="n">
        <v>0</v>
      </c>
      <c r="W243" t="inlineStr">
        <is>
          <t>CHILQUINTA</t>
        </is>
      </c>
      <c r="X243" t="n">
        <v>92.86129144034399</v>
      </c>
      <c r="Y243" t="n">
        <v>11.30101172520992</v>
      </c>
      <c r="Z243" t="n">
        <v>12022.35289915949</v>
      </c>
      <c r="AA243" t="n">
        <v>0</v>
      </c>
      <c r="AB243" t="n">
        <v>0</v>
      </c>
      <c r="AC243" t="n">
        <v>0</v>
      </c>
      <c r="AD243" s="2" t="n">
        <v>44531</v>
      </c>
    </row>
    <row r="244">
      <c r="A244" t="n">
        <v>-1</v>
      </c>
      <c r="B244" t="inlineStr">
        <is>
          <t>01-12-2021</t>
        </is>
      </c>
      <c r="C244" t="n">
        <v>2021</v>
      </c>
      <c r="D244" t="n">
        <v>12</v>
      </c>
      <c r="E244" t="inlineStr">
        <is>
          <t>Placeres 012</t>
        </is>
      </c>
      <c r="F244" t="inlineStr">
        <is>
          <t>Chilquinta</t>
        </is>
      </c>
      <c r="G244" t="inlineStr">
        <is>
          <t>Chilquinta</t>
        </is>
      </c>
      <c r="H244" t="inlineStr">
        <is>
          <t>Empresa Eléctrica Carén S.A.</t>
        </is>
      </c>
      <c r="I244" t="inlineStr">
        <is>
          <t>Empresa Eléctrica Carén S.A.</t>
        </is>
      </c>
      <c r="J244" t="inlineStr">
        <is>
          <t>SIC 2013/03_2_BS1B_BB_CHILQUINTA_Empresa Eléctrica Carén S.A.</t>
        </is>
      </c>
      <c r="K244" t="inlineStr">
        <is>
          <t>Placeres 012</t>
        </is>
      </c>
      <c r="L244" t="inlineStr">
        <is>
          <t>-1</t>
        </is>
      </c>
      <c r="M244" t="n">
        <v>742.3362343508094</v>
      </c>
      <c r="N244" t="n">
        <v>0</v>
      </c>
      <c r="O244" t="inlineStr">
        <is>
          <t>3</t>
        </is>
      </c>
      <c r="P244" s="2" t="n">
        <v>44999.6862684375</v>
      </c>
      <c r="Q244" t="n">
        <v>13</v>
      </c>
      <c r="R244" t="inlineStr">
        <is>
          <t>MELIPILLA 220</t>
        </is>
      </c>
      <c r="S244" t="n">
        <v>260.8211873300189</v>
      </c>
      <c r="T244" t="n">
        <v>23327.89673664236</v>
      </c>
      <c r="U244" t="n">
        <v>0</v>
      </c>
      <c r="V244" t="n">
        <v>0</v>
      </c>
      <c r="W244" t="inlineStr">
        <is>
          <t>CHILQUINTA</t>
        </is>
      </c>
      <c r="X244" t="n">
        <v>95.14913905578902</v>
      </c>
      <c r="Y244" t="n">
        <v>23.32789673664236</v>
      </c>
      <c r="Z244" t="n">
        <v>24816.91142195996</v>
      </c>
      <c r="AA244" t="n">
        <v>0</v>
      </c>
      <c r="AB244" t="n">
        <v>0</v>
      </c>
      <c r="AC244" t="n">
        <v>0</v>
      </c>
      <c r="AD244" s="2" t="n">
        <v>44531</v>
      </c>
    </row>
    <row r="245">
      <c r="A245" t="n">
        <v>-1</v>
      </c>
      <c r="B245" t="inlineStr">
        <is>
          <t>01-12-2021</t>
        </is>
      </c>
      <c r="C245" t="n">
        <v>2021</v>
      </c>
      <c r="D245" t="n">
        <v>12</v>
      </c>
      <c r="E245" t="inlineStr">
        <is>
          <t>Placeres 012</t>
        </is>
      </c>
      <c r="F245" t="inlineStr">
        <is>
          <t>Chilquinta</t>
        </is>
      </c>
      <c r="G245" t="inlineStr">
        <is>
          <t>Chilquinta</t>
        </is>
      </c>
      <c r="H245" t="inlineStr">
        <is>
          <t>Empresa Eléctrica Carén S.A.</t>
        </is>
      </c>
      <c r="I245" t="inlineStr">
        <is>
          <t>Empresa Eléctrica Carén S.A.</t>
        </is>
      </c>
      <c r="J245" t="inlineStr">
        <is>
          <t>SIC 2013/03_2_BS1B_BB_CHILQUINTA_Empresa Eléctrica Carén S.A.</t>
        </is>
      </c>
      <c r="K245" t="inlineStr">
        <is>
          <t>Placeres 012</t>
        </is>
      </c>
      <c r="L245" t="inlineStr">
        <is>
          <t>-1</t>
        </is>
      </c>
      <c r="M245" t="n">
        <v>742.3362343508094</v>
      </c>
      <c r="N245" t="n">
        <v>0</v>
      </c>
      <c r="O245" t="inlineStr">
        <is>
          <t>3</t>
        </is>
      </c>
      <c r="P245" s="2" t="n">
        <v>44999.6862684375</v>
      </c>
      <c r="Q245" t="n">
        <v>5</v>
      </c>
      <c r="R245" t="inlineStr">
        <is>
          <t>NOGALES 220</t>
        </is>
      </c>
      <c r="S245" t="n">
        <v>7.732388897378291</v>
      </c>
      <c r="T245" t="n">
        <v>690.4032399350009</v>
      </c>
      <c r="U245" t="n">
        <v>0</v>
      </c>
      <c r="V245" t="n">
        <v>0</v>
      </c>
      <c r="W245" t="inlineStr">
        <is>
          <t>CHILQUINTA</t>
        </is>
      </c>
      <c r="X245" t="n">
        <v>94.986367291326</v>
      </c>
      <c r="Y245" t="n">
        <v>0.6904032399350009</v>
      </c>
      <c r="Z245" t="n">
        <v>734.4715318457456</v>
      </c>
      <c r="AA245" t="n">
        <v>0</v>
      </c>
      <c r="AB245" t="n">
        <v>0</v>
      </c>
      <c r="AC245" t="n">
        <v>0</v>
      </c>
      <c r="AD245" s="2" t="n">
        <v>44531</v>
      </c>
    </row>
    <row r="246">
      <c r="A246" t="n">
        <v>-1</v>
      </c>
      <c r="B246" t="inlineStr">
        <is>
          <t>01-12-2021</t>
        </is>
      </c>
      <c r="C246" t="n">
        <v>2021</v>
      </c>
      <c r="D246" t="n">
        <v>12</v>
      </c>
      <c r="E246" t="inlineStr">
        <is>
          <t>Placeres 012</t>
        </is>
      </c>
      <c r="F246" t="inlineStr">
        <is>
          <t>Chilquinta</t>
        </is>
      </c>
      <c r="G246" t="inlineStr">
        <is>
          <t>Chilquinta</t>
        </is>
      </c>
      <c r="H246" t="inlineStr">
        <is>
          <t>Empresa Eléctrica Carén S.A.</t>
        </is>
      </c>
      <c r="I246" t="inlineStr">
        <is>
          <t>Empresa Eléctrica Carén S.A.</t>
        </is>
      </c>
      <c r="J246" t="inlineStr">
        <is>
          <t>SIC 2013/03_2_BS1B_BB_CHILQUINTA_Empresa Eléctrica Carén S.A.</t>
        </is>
      </c>
      <c r="K246" t="inlineStr">
        <is>
          <t>Placeres 012</t>
        </is>
      </c>
      <c r="L246" t="inlineStr">
        <is>
          <t>-1</t>
        </is>
      </c>
      <c r="M246" t="n">
        <v>742.3362343508094</v>
      </c>
      <c r="N246" t="n">
        <v>0</v>
      </c>
      <c r="O246" t="inlineStr">
        <is>
          <t>3</t>
        </is>
      </c>
      <c r="P246" s="2" t="n">
        <v>44999.6862684375</v>
      </c>
      <c r="Q246" t="n">
        <v>11</v>
      </c>
      <c r="R246" t="inlineStr">
        <is>
          <t>QUILLOTA 220</t>
        </is>
      </c>
      <c r="S246" t="n">
        <v>362.9441638417535</v>
      </c>
      <c r="T246" t="n">
        <v>31681.25594857617</v>
      </c>
      <c r="U246" t="n">
        <v>0</v>
      </c>
      <c r="V246" t="n">
        <v>0</v>
      </c>
      <c r="W246" t="inlineStr">
        <is>
          <t>CHILQUINTA</t>
        </is>
      </c>
      <c r="X246" t="n">
        <v>92.86129144034403</v>
      </c>
      <c r="Y246" t="n">
        <v>31.68125594857618</v>
      </c>
      <c r="Z246" t="n">
        <v>33703.46377508104</v>
      </c>
      <c r="AA246" t="n">
        <v>0</v>
      </c>
      <c r="AB246" t="n">
        <v>0</v>
      </c>
      <c r="AC246" t="n">
        <v>0</v>
      </c>
      <c r="AD246" s="2" t="n">
        <v>44531</v>
      </c>
    </row>
    <row r="247">
      <c r="A247" t="n">
        <v>-1</v>
      </c>
      <c r="B247" t="inlineStr">
        <is>
          <t>01-12-2021</t>
        </is>
      </c>
      <c r="C247" t="n">
        <v>2021</v>
      </c>
      <c r="D247" t="n">
        <v>12</v>
      </c>
      <c r="E247" t="inlineStr">
        <is>
          <t>Placilla SIC2 012</t>
        </is>
      </c>
      <c r="F247" t="inlineStr">
        <is>
          <t>Chilquinta</t>
        </is>
      </c>
      <c r="G247" t="inlineStr">
        <is>
          <t>Chilquinta</t>
        </is>
      </c>
      <c r="H247" t="inlineStr">
        <is>
          <t>Empresa Eléctrica Carén S.A.</t>
        </is>
      </c>
      <c r="I247" t="inlineStr">
        <is>
          <t>Empresa Eléctrica Carén S.A.</t>
        </is>
      </c>
      <c r="J247" t="inlineStr">
        <is>
          <t>SIC 2013/03_2_BS1B_BB_CHILQUINTA_Empresa Eléctrica Carén S.A.</t>
        </is>
      </c>
      <c r="K247" t="inlineStr">
        <is>
          <t>Placilla SIC2 012</t>
        </is>
      </c>
      <c r="L247" t="inlineStr">
        <is>
          <t>-1</t>
        </is>
      </c>
      <c r="M247" t="n">
        <v>381.6108477455828</v>
      </c>
      <c r="N247" t="n">
        <v>0</v>
      </c>
      <c r="O247" t="inlineStr">
        <is>
          <t>3</t>
        </is>
      </c>
      <c r="P247" s="2" t="n">
        <v>44999.6862684375</v>
      </c>
      <c r="Q247" t="n">
        <v>31</v>
      </c>
      <c r="R247" t="inlineStr">
        <is>
          <t>LOS MAQUIS 220</t>
        </is>
      </c>
      <c r="S247" t="n">
        <v>68.46637136477166</v>
      </c>
      <c r="T247" t="n">
        <v>5976.403125256871</v>
      </c>
      <c r="U247" t="n">
        <v>0</v>
      </c>
      <c r="V247" t="n">
        <v>0</v>
      </c>
      <c r="W247" t="inlineStr">
        <is>
          <t>CHILQUINTA</t>
        </is>
      </c>
      <c r="X247" t="n">
        <v>92.861291440344</v>
      </c>
      <c r="Y247" t="n">
        <v>5.976403125256871</v>
      </c>
      <c r="Z247" t="n">
        <v>6357.875665166885</v>
      </c>
      <c r="AA247" t="n">
        <v>0</v>
      </c>
      <c r="AB247" t="n">
        <v>0</v>
      </c>
      <c r="AC247" t="n">
        <v>0</v>
      </c>
      <c r="AD247" s="2" t="n">
        <v>44531</v>
      </c>
    </row>
    <row r="248">
      <c r="A248" t="n">
        <v>-1</v>
      </c>
      <c r="B248" t="inlineStr">
        <is>
          <t>01-12-2021</t>
        </is>
      </c>
      <c r="C248" t="n">
        <v>2021</v>
      </c>
      <c r="D248" t="n">
        <v>12</v>
      </c>
      <c r="E248" t="inlineStr">
        <is>
          <t>Placilla SIC2 012</t>
        </is>
      </c>
      <c r="F248" t="inlineStr">
        <is>
          <t>Chilquinta</t>
        </is>
      </c>
      <c r="G248" t="inlineStr">
        <is>
          <t>Chilquinta</t>
        </is>
      </c>
      <c r="H248" t="inlineStr">
        <is>
          <t>Empresa Eléctrica Carén S.A.</t>
        </is>
      </c>
      <c r="I248" t="inlineStr">
        <is>
          <t>Empresa Eléctrica Carén S.A.</t>
        </is>
      </c>
      <c r="J248" t="inlineStr">
        <is>
          <t>SIC 2013/03_2_BS1B_BB_CHILQUINTA_Empresa Eléctrica Carén S.A.</t>
        </is>
      </c>
      <c r="K248" t="inlineStr">
        <is>
          <t>Placilla SIC2 012</t>
        </is>
      </c>
      <c r="L248" t="inlineStr">
        <is>
          <t>-1</t>
        </is>
      </c>
      <c r="M248" t="n">
        <v>381.6108477455828</v>
      </c>
      <c r="N248" t="n">
        <v>0</v>
      </c>
      <c r="O248" t="inlineStr">
        <is>
          <t>3</t>
        </is>
      </c>
      <c r="P248" s="2" t="n">
        <v>44999.6862684375</v>
      </c>
      <c r="Q248" t="n">
        <v>13</v>
      </c>
      <c r="R248" t="inlineStr">
        <is>
          <t>MELIPILLA 220</t>
        </is>
      </c>
      <c r="S248" t="n">
        <v>120.4121635029478</v>
      </c>
      <c r="T248" t="n">
        <v>10769.68686780136</v>
      </c>
      <c r="U248" t="n">
        <v>0</v>
      </c>
      <c r="V248" t="n">
        <v>0</v>
      </c>
      <c r="W248" t="inlineStr">
        <is>
          <t>CHILQUINTA</t>
        </is>
      </c>
      <c r="X248" t="n">
        <v>95.14913905578902</v>
      </c>
      <c r="Y248" t="n">
        <v>10.76968686780136</v>
      </c>
      <c r="Z248" t="n">
        <v>11457.11368915039</v>
      </c>
      <c r="AA248" t="n">
        <v>0</v>
      </c>
      <c r="AB248" t="n">
        <v>0</v>
      </c>
      <c r="AC248" t="n">
        <v>0</v>
      </c>
      <c r="AD248" s="2" t="n">
        <v>44531</v>
      </c>
    </row>
    <row r="249">
      <c r="A249" t="n">
        <v>-1</v>
      </c>
      <c r="B249" t="inlineStr">
        <is>
          <t>01-12-2021</t>
        </is>
      </c>
      <c r="C249" t="n">
        <v>2021</v>
      </c>
      <c r="D249" t="n">
        <v>12</v>
      </c>
      <c r="E249" t="inlineStr">
        <is>
          <t>Placilla SIC2 012</t>
        </is>
      </c>
      <c r="F249" t="inlineStr">
        <is>
          <t>Chilquinta</t>
        </is>
      </c>
      <c r="G249" t="inlineStr">
        <is>
          <t>Chilquinta</t>
        </is>
      </c>
      <c r="H249" t="inlineStr">
        <is>
          <t>Empresa Eléctrica Carén S.A.</t>
        </is>
      </c>
      <c r="I249" t="inlineStr">
        <is>
          <t>Empresa Eléctrica Carén S.A.</t>
        </is>
      </c>
      <c r="J249" t="inlineStr">
        <is>
          <t>SIC 2013/03_2_BS1B_BB_CHILQUINTA_Empresa Eléctrica Carén S.A.</t>
        </is>
      </c>
      <c r="K249" t="inlineStr">
        <is>
          <t>Placilla SIC2 012</t>
        </is>
      </c>
      <c r="L249" t="inlineStr">
        <is>
          <t>-1</t>
        </is>
      </c>
      <c r="M249" t="n">
        <v>381.6108477455828</v>
      </c>
      <c r="N249" t="n">
        <v>0</v>
      </c>
      <c r="O249" t="inlineStr">
        <is>
          <t>3</t>
        </is>
      </c>
      <c r="P249" s="2" t="n">
        <v>44999.6862684375</v>
      </c>
      <c r="Q249" t="n">
        <v>5</v>
      </c>
      <c r="R249" t="inlineStr">
        <is>
          <t>NOGALES 220</t>
        </is>
      </c>
      <c r="S249" t="n">
        <v>4.634423217908681</v>
      </c>
      <c r="T249" t="n">
        <v>413.7946044021396</v>
      </c>
      <c r="U249" t="n">
        <v>0</v>
      </c>
      <c r="V249" t="n">
        <v>0</v>
      </c>
      <c r="W249" t="inlineStr">
        <is>
          <t>CHILQUINTA</t>
        </is>
      </c>
      <c r="X249" t="n">
        <v>94.986367291326</v>
      </c>
      <c r="Y249" t="n">
        <v>0.4137946044021396</v>
      </c>
      <c r="Z249" t="n">
        <v>440.207025959723</v>
      </c>
      <c r="AA249" t="n">
        <v>0</v>
      </c>
      <c r="AB249" t="n">
        <v>0</v>
      </c>
      <c r="AC249" t="n">
        <v>0</v>
      </c>
      <c r="AD249" s="2" t="n">
        <v>44531</v>
      </c>
    </row>
    <row r="250">
      <c r="A250" t="n">
        <v>-1</v>
      </c>
      <c r="B250" t="inlineStr">
        <is>
          <t>01-12-2021</t>
        </is>
      </c>
      <c r="C250" t="n">
        <v>2021</v>
      </c>
      <c r="D250" t="n">
        <v>12</v>
      </c>
      <c r="E250" t="inlineStr">
        <is>
          <t>Placilla SIC2 012</t>
        </is>
      </c>
      <c r="F250" t="inlineStr">
        <is>
          <t>Chilquinta</t>
        </is>
      </c>
      <c r="G250" t="inlineStr">
        <is>
          <t>Chilquinta</t>
        </is>
      </c>
      <c r="H250" t="inlineStr">
        <is>
          <t>Empresa Eléctrica Carén S.A.</t>
        </is>
      </c>
      <c r="I250" t="inlineStr">
        <is>
          <t>Empresa Eléctrica Carén S.A.</t>
        </is>
      </c>
      <c r="J250" t="inlineStr">
        <is>
          <t>SIC 2013/03_2_BS1B_BB_CHILQUINTA_Empresa Eléctrica Carén S.A.</t>
        </is>
      </c>
      <c r="K250" t="inlineStr">
        <is>
          <t>Placilla SIC2 012</t>
        </is>
      </c>
      <c r="L250" t="inlineStr">
        <is>
          <t>-1</t>
        </is>
      </c>
      <c r="M250" t="n">
        <v>381.6108477455828</v>
      </c>
      <c r="N250" t="n">
        <v>0</v>
      </c>
      <c r="O250" t="inlineStr">
        <is>
          <t>3</t>
        </is>
      </c>
      <c r="P250" s="2" t="n">
        <v>44999.6862684375</v>
      </c>
      <c r="Q250" t="n">
        <v>11</v>
      </c>
      <c r="R250" t="inlineStr">
        <is>
          <t>QUILLOTA 220</t>
        </is>
      </c>
      <c r="S250" t="n">
        <v>197.673533045892</v>
      </c>
      <c r="T250" t="n">
        <v>17254.84638848402</v>
      </c>
      <c r="U250" t="n">
        <v>0</v>
      </c>
      <c r="V250" t="n">
        <v>0</v>
      </c>
      <c r="W250" t="inlineStr">
        <is>
          <t>CHILQUINTA</t>
        </is>
      </c>
      <c r="X250" t="n">
        <v>92.861291440344</v>
      </c>
      <c r="Y250" t="n">
        <v>17.25484638848402</v>
      </c>
      <c r="Z250" t="n">
        <v>18356.21956221704</v>
      </c>
      <c r="AA250" t="n">
        <v>0</v>
      </c>
      <c r="AB250" t="n">
        <v>0</v>
      </c>
      <c r="AC250" t="n">
        <v>0</v>
      </c>
      <c r="AD250" s="2" t="n">
        <v>44531</v>
      </c>
    </row>
    <row r="251">
      <c r="A251" t="n">
        <v>-1</v>
      </c>
      <c r="B251" t="inlineStr">
        <is>
          <t>01-12-2021</t>
        </is>
      </c>
      <c r="C251" t="n">
        <v>2021</v>
      </c>
      <c r="D251" t="n">
        <v>12</v>
      </c>
      <c r="E251" t="inlineStr">
        <is>
          <t>Playa Ancha 13.8</t>
        </is>
      </c>
      <c r="F251" t="inlineStr">
        <is>
          <t>Chilquinta</t>
        </is>
      </c>
      <c r="G251" t="inlineStr">
        <is>
          <t>Chilquinta</t>
        </is>
      </c>
      <c r="H251" t="inlineStr">
        <is>
          <t>Empresa Eléctrica Carén S.A.</t>
        </is>
      </c>
      <c r="I251" t="inlineStr">
        <is>
          <t>Empresa Eléctrica Carén S.A.</t>
        </is>
      </c>
      <c r="J251" t="inlineStr">
        <is>
          <t>SIC 2013/03_2_BS1B_BB_CHILQUINTA_Empresa Eléctrica Carén S.A.</t>
        </is>
      </c>
      <c r="K251" t="inlineStr">
        <is>
          <t>Playa Ancha 13.8</t>
        </is>
      </c>
      <c r="L251" t="inlineStr">
        <is>
          <t>-1</t>
        </is>
      </c>
      <c r="M251" t="n">
        <v>528.5752167239918</v>
      </c>
      <c r="N251" t="n">
        <v>0</v>
      </c>
      <c r="O251" t="inlineStr">
        <is>
          <t>3</t>
        </is>
      </c>
      <c r="P251" s="2" t="n">
        <v>44999.6862684375</v>
      </c>
      <c r="Q251" t="n">
        <v>31</v>
      </c>
      <c r="R251" t="inlineStr">
        <is>
          <t>LOS MAQUIS 220</t>
        </is>
      </c>
      <c r="S251" t="n">
        <v>19.49026432606481</v>
      </c>
      <c r="T251" t="n">
        <v>1701.297648882122</v>
      </c>
      <c r="U251" t="n">
        <v>0</v>
      </c>
      <c r="V251" t="n">
        <v>0</v>
      </c>
      <c r="W251" t="inlineStr">
        <is>
          <t>CHILQUINTA</t>
        </is>
      </c>
      <c r="X251" t="n">
        <v>92.86129144034402</v>
      </c>
      <c r="Y251" t="n">
        <v>1.701297648882122</v>
      </c>
      <c r="Z251" t="n">
        <v>1809.891115832045</v>
      </c>
      <c r="AA251" t="n">
        <v>0</v>
      </c>
      <c r="AB251" t="n">
        <v>0</v>
      </c>
      <c r="AC251" t="n">
        <v>0</v>
      </c>
      <c r="AD251" s="2" t="n">
        <v>44531</v>
      </c>
    </row>
    <row r="252">
      <c r="A252" t="n">
        <v>-1</v>
      </c>
      <c r="B252" t="inlineStr">
        <is>
          <t>01-12-2021</t>
        </is>
      </c>
      <c r="C252" t="n">
        <v>2021</v>
      </c>
      <c r="D252" t="n">
        <v>12</v>
      </c>
      <c r="E252" t="inlineStr">
        <is>
          <t>Playa Ancha 13.8</t>
        </is>
      </c>
      <c r="F252" t="inlineStr">
        <is>
          <t>Chilquinta</t>
        </is>
      </c>
      <c r="G252" t="inlineStr">
        <is>
          <t>Chilquinta</t>
        </is>
      </c>
      <c r="H252" t="inlineStr">
        <is>
          <t>Empresa Eléctrica Carén S.A.</t>
        </is>
      </c>
      <c r="I252" t="inlineStr">
        <is>
          <t>Empresa Eléctrica Carén S.A.</t>
        </is>
      </c>
      <c r="J252" t="inlineStr">
        <is>
          <t>SIC 2013/03_2_BS1B_BB_CHILQUINTA_Empresa Eléctrica Carén S.A.</t>
        </is>
      </c>
      <c r="K252" t="inlineStr">
        <is>
          <t>Playa Ancha 13.8</t>
        </is>
      </c>
      <c r="L252" t="inlineStr">
        <is>
          <t>-1</t>
        </is>
      </c>
      <c r="M252" t="n">
        <v>528.5752167239918</v>
      </c>
      <c r="N252" t="n">
        <v>0</v>
      </c>
      <c r="O252" t="inlineStr">
        <is>
          <t>3</t>
        </is>
      </c>
      <c r="P252" s="2" t="n">
        <v>44999.6862684375</v>
      </c>
      <c r="Q252" t="n">
        <v>13</v>
      </c>
      <c r="R252" t="inlineStr">
        <is>
          <t>MELIPILLA 220</t>
        </is>
      </c>
      <c r="S252" t="n">
        <v>463.9154788270806</v>
      </c>
      <c r="T252" t="n">
        <v>41492.68890074778</v>
      </c>
      <c r="U252" t="n">
        <v>0</v>
      </c>
      <c r="V252" t="n">
        <v>0</v>
      </c>
      <c r="W252" t="inlineStr">
        <is>
          <t>CHILQUINTA</t>
        </is>
      </c>
      <c r="X252" t="n">
        <v>95.14913905578901</v>
      </c>
      <c r="Y252" t="n">
        <v>41.49268890074778</v>
      </c>
      <c r="Z252" t="n">
        <v>44141.15840505083</v>
      </c>
      <c r="AA252" t="n">
        <v>0</v>
      </c>
      <c r="AB252" t="n">
        <v>0</v>
      </c>
      <c r="AC252" t="n">
        <v>0</v>
      </c>
      <c r="AD252" s="2" t="n">
        <v>44531</v>
      </c>
    </row>
    <row r="253">
      <c r="A253" t="n">
        <v>-1</v>
      </c>
      <c r="B253" t="inlineStr">
        <is>
          <t>01-12-2021</t>
        </is>
      </c>
      <c r="C253" t="n">
        <v>2021</v>
      </c>
      <c r="D253" t="n">
        <v>12</v>
      </c>
      <c r="E253" t="inlineStr">
        <is>
          <t>Playa Ancha 13.8</t>
        </is>
      </c>
      <c r="F253" t="inlineStr">
        <is>
          <t>Chilquinta</t>
        </is>
      </c>
      <c r="G253" t="inlineStr">
        <is>
          <t>Chilquinta</t>
        </is>
      </c>
      <c r="H253" t="inlineStr">
        <is>
          <t>Empresa Eléctrica Carén S.A.</t>
        </is>
      </c>
      <c r="I253" t="inlineStr">
        <is>
          <t>Empresa Eléctrica Carén S.A.</t>
        </is>
      </c>
      <c r="J253" t="inlineStr">
        <is>
          <t>SIC 2013/03_2_BS1B_BB_CHILQUINTA_Empresa Eléctrica Carén S.A.</t>
        </is>
      </c>
      <c r="K253" t="inlineStr">
        <is>
          <t>Playa Ancha 13.8</t>
        </is>
      </c>
      <c r="L253" t="inlineStr">
        <is>
          <t>-1</t>
        </is>
      </c>
      <c r="M253" t="n">
        <v>528.5752167239918</v>
      </c>
      <c r="N253" t="n">
        <v>0</v>
      </c>
      <c r="O253" t="inlineStr">
        <is>
          <t>3</t>
        </is>
      </c>
      <c r="P253" s="2" t="n">
        <v>44999.6862684375</v>
      </c>
      <c r="Q253" t="n">
        <v>5</v>
      </c>
      <c r="R253" t="inlineStr">
        <is>
          <t>NOGALES 220</t>
        </is>
      </c>
      <c r="S253" t="n">
        <v>1.260798416147118</v>
      </c>
      <c r="T253" t="n">
        <v>112.5731417502839</v>
      </c>
      <c r="U253" t="n">
        <v>0</v>
      </c>
      <c r="V253" t="n">
        <v>0</v>
      </c>
      <c r="W253" t="inlineStr">
        <is>
          <t>CHILQUINTA</t>
        </is>
      </c>
      <c r="X253" t="n">
        <v>94.986367291326</v>
      </c>
      <c r="Y253" t="n">
        <v>0.1125731417502839</v>
      </c>
      <c r="Z253" t="n">
        <v>119.7586614364722</v>
      </c>
      <c r="AA253" t="n">
        <v>0</v>
      </c>
      <c r="AB253" t="n">
        <v>0</v>
      </c>
      <c r="AC253" t="n">
        <v>0</v>
      </c>
      <c r="AD253" s="2" t="n">
        <v>44531</v>
      </c>
    </row>
    <row r="254">
      <c r="A254" t="n">
        <v>-1</v>
      </c>
      <c r="B254" t="inlineStr">
        <is>
          <t>01-12-2021</t>
        </is>
      </c>
      <c r="C254" t="n">
        <v>2021</v>
      </c>
      <c r="D254" t="n">
        <v>12</v>
      </c>
      <c r="E254" t="inlineStr">
        <is>
          <t>Playa Ancha 13.8</t>
        </is>
      </c>
      <c r="F254" t="inlineStr">
        <is>
          <t>Chilquinta</t>
        </is>
      </c>
      <c r="G254" t="inlineStr">
        <is>
          <t>Chilquinta</t>
        </is>
      </c>
      <c r="H254" t="inlineStr">
        <is>
          <t>Empresa Eléctrica Carén S.A.</t>
        </is>
      </c>
      <c r="I254" t="inlineStr">
        <is>
          <t>Empresa Eléctrica Carén S.A.</t>
        </is>
      </c>
      <c r="J254" t="inlineStr">
        <is>
          <t>SIC 2013/03_2_BS1B_BB_CHILQUINTA_Empresa Eléctrica Carén S.A.</t>
        </is>
      </c>
      <c r="K254" t="inlineStr">
        <is>
          <t>Playa Ancha 13.8</t>
        </is>
      </c>
      <c r="L254" t="inlineStr">
        <is>
          <t>-1</t>
        </is>
      </c>
      <c r="M254" t="n">
        <v>528.5752167239918</v>
      </c>
      <c r="N254" t="n">
        <v>0</v>
      </c>
      <c r="O254" t="inlineStr">
        <is>
          <t>3</t>
        </is>
      </c>
      <c r="P254" s="2" t="n">
        <v>44999.6862684375</v>
      </c>
      <c r="Q254" t="n">
        <v>11</v>
      </c>
      <c r="R254" t="inlineStr">
        <is>
          <t>QUILLOTA 220</t>
        </is>
      </c>
      <c r="S254" t="n">
        <v>57.17205015542248</v>
      </c>
      <c r="T254" t="n">
        <v>4990.526187021172</v>
      </c>
      <c r="U254" t="n">
        <v>0</v>
      </c>
      <c r="V254" t="n">
        <v>0</v>
      </c>
      <c r="W254" t="inlineStr">
        <is>
          <t>CHILQUINTA</t>
        </is>
      </c>
      <c r="X254" t="n">
        <v>92.861291440344</v>
      </c>
      <c r="Y254" t="n">
        <v>4.990526187021172</v>
      </c>
      <c r="Z254" t="n">
        <v>5309.070411724651</v>
      </c>
      <c r="AA254" t="n">
        <v>0</v>
      </c>
      <c r="AB254" t="n">
        <v>0</v>
      </c>
      <c r="AC254" t="n">
        <v>0</v>
      </c>
      <c r="AD254" s="2" t="n">
        <v>44531</v>
      </c>
    </row>
    <row r="255">
      <c r="A255" t="n">
        <v>-1</v>
      </c>
      <c r="B255" t="inlineStr">
        <is>
          <t>01-12-2021</t>
        </is>
      </c>
      <c r="C255" t="n">
        <v>2021</v>
      </c>
      <c r="D255" t="n">
        <v>12</v>
      </c>
      <c r="E255" t="inlineStr">
        <is>
          <t>Quilpue 012</t>
        </is>
      </c>
      <c r="F255" t="inlineStr">
        <is>
          <t>Chilquinta</t>
        </is>
      </c>
      <c r="G255" t="inlineStr">
        <is>
          <t>Chilquinta</t>
        </is>
      </c>
      <c r="H255" t="inlineStr">
        <is>
          <t>Empresa Eléctrica Carén S.A.</t>
        </is>
      </c>
      <c r="I255" t="inlineStr">
        <is>
          <t>Empresa Eléctrica Carén S.A.</t>
        </is>
      </c>
      <c r="J255" t="inlineStr">
        <is>
          <t>SIC 2013/03_2_BS1B_BB_CHILQUINTA_Empresa Eléctrica Carén S.A.</t>
        </is>
      </c>
      <c r="K255" t="inlineStr">
        <is>
          <t>Quilpue 012</t>
        </is>
      </c>
      <c r="L255" t="inlineStr">
        <is>
          <t>-1</t>
        </is>
      </c>
      <c r="M255" t="n">
        <v>1440.255423123782</v>
      </c>
      <c r="N255" t="n">
        <v>0</v>
      </c>
      <c r="O255" t="inlineStr">
        <is>
          <t>3</t>
        </is>
      </c>
      <c r="P255" s="2" t="n">
        <v>44999.6862684375</v>
      </c>
      <c r="Q255" t="n">
        <v>31</v>
      </c>
      <c r="R255" t="inlineStr">
        <is>
          <t>LOS MAQUIS 220</t>
        </is>
      </c>
      <c r="S255" t="n">
        <v>334.4033811755881</v>
      </c>
      <c r="T255" t="n">
        <v>29189.94204770377</v>
      </c>
      <c r="U255" t="n">
        <v>0</v>
      </c>
      <c r="V255" t="n">
        <v>0</v>
      </c>
      <c r="W255" t="inlineStr">
        <is>
          <t>CHILQUINTA</t>
        </is>
      </c>
      <c r="X255" t="n">
        <v>92.86129144034402</v>
      </c>
      <c r="Y255" t="n">
        <v>29.18994204770377</v>
      </c>
      <c r="Z255" t="n">
        <v>31053.12983798273</v>
      </c>
      <c r="AA255" t="n">
        <v>0</v>
      </c>
      <c r="AB255" t="n">
        <v>0</v>
      </c>
      <c r="AC255" t="n">
        <v>0</v>
      </c>
      <c r="AD255" s="2" t="n">
        <v>44531</v>
      </c>
    </row>
    <row r="256">
      <c r="A256" t="n">
        <v>-1</v>
      </c>
      <c r="B256" t="inlineStr">
        <is>
          <t>01-12-2021</t>
        </is>
      </c>
      <c r="C256" t="n">
        <v>2021</v>
      </c>
      <c r="D256" t="n">
        <v>12</v>
      </c>
      <c r="E256" t="inlineStr">
        <is>
          <t>Quilpue 012</t>
        </is>
      </c>
      <c r="F256" t="inlineStr">
        <is>
          <t>Chilquinta</t>
        </is>
      </c>
      <c r="G256" t="inlineStr">
        <is>
          <t>Chilquinta</t>
        </is>
      </c>
      <c r="H256" t="inlineStr">
        <is>
          <t>Empresa Eléctrica Carén S.A.</t>
        </is>
      </c>
      <c r="I256" t="inlineStr">
        <is>
          <t>Empresa Eléctrica Carén S.A.</t>
        </is>
      </c>
      <c r="J256" t="inlineStr">
        <is>
          <t>SIC 2013/03_2_BS1B_BB_CHILQUINTA_Empresa Eléctrica Carén S.A.</t>
        </is>
      </c>
      <c r="K256" t="inlineStr">
        <is>
          <t>Quilpue 012</t>
        </is>
      </c>
      <c r="L256" t="inlineStr">
        <is>
          <t>-1</t>
        </is>
      </c>
      <c r="M256" t="n">
        <v>1440.255423123782</v>
      </c>
      <c r="N256" t="n">
        <v>0</v>
      </c>
      <c r="O256" t="inlineStr">
        <is>
          <t>3</t>
        </is>
      </c>
      <c r="P256" s="2" t="n">
        <v>44999.6862684375</v>
      </c>
      <c r="Q256" t="n">
        <v>13</v>
      </c>
      <c r="R256" t="inlineStr">
        <is>
          <t>MELIPILLA 220</t>
        </is>
      </c>
      <c r="S256" t="n">
        <v>163.00441780859</v>
      </c>
      <c r="T256" t="n">
        <v>14579.14621577082</v>
      </c>
      <c r="U256" t="n">
        <v>0</v>
      </c>
      <c r="V256" t="n">
        <v>0</v>
      </c>
      <c r="W256" t="inlineStr">
        <is>
          <t>CHILQUINTA</t>
        </is>
      </c>
      <c r="X256" t="n">
        <v>95.14913905578901</v>
      </c>
      <c r="Y256" t="n">
        <v>14.57914621577081</v>
      </c>
      <c r="Z256" t="n">
        <v>15509.73001677746</v>
      </c>
      <c r="AA256" t="n">
        <v>0</v>
      </c>
      <c r="AB256" t="n">
        <v>0</v>
      </c>
      <c r="AC256" t="n">
        <v>0</v>
      </c>
      <c r="AD256" s="2" t="n">
        <v>44531</v>
      </c>
    </row>
    <row r="257">
      <c r="A257" t="n">
        <v>-1</v>
      </c>
      <c r="B257" t="inlineStr">
        <is>
          <t>01-12-2021</t>
        </is>
      </c>
      <c r="C257" t="n">
        <v>2021</v>
      </c>
      <c r="D257" t="n">
        <v>12</v>
      </c>
      <c r="E257" t="inlineStr">
        <is>
          <t>Quilpue 012</t>
        </is>
      </c>
      <c r="F257" t="inlineStr">
        <is>
          <t>Chilquinta</t>
        </is>
      </c>
      <c r="G257" t="inlineStr">
        <is>
          <t>Chilquinta</t>
        </is>
      </c>
      <c r="H257" t="inlineStr">
        <is>
          <t>Empresa Eléctrica Carén S.A.</t>
        </is>
      </c>
      <c r="I257" t="inlineStr">
        <is>
          <t>Empresa Eléctrica Carén S.A.</t>
        </is>
      </c>
      <c r="J257" t="inlineStr">
        <is>
          <t>SIC 2013/03_2_BS1B_BB_CHILQUINTA_Empresa Eléctrica Carén S.A.</t>
        </is>
      </c>
      <c r="K257" t="inlineStr">
        <is>
          <t>Quilpue 012</t>
        </is>
      </c>
      <c r="L257" t="inlineStr">
        <is>
          <t>-1</t>
        </is>
      </c>
      <c r="M257" t="n">
        <v>1440.255423123782</v>
      </c>
      <c r="N257" t="n">
        <v>0</v>
      </c>
      <c r="O257" t="inlineStr">
        <is>
          <t>3</t>
        </is>
      </c>
      <c r="P257" s="2" t="n">
        <v>44999.6862684375</v>
      </c>
      <c r="Q257" t="n">
        <v>5</v>
      </c>
      <c r="R257" t="inlineStr">
        <is>
          <t>NOGALES 220</t>
        </is>
      </c>
      <c r="S257" t="n">
        <v>24.88736363070504</v>
      </c>
      <c r="T257" t="n">
        <v>2222.122646974601</v>
      </c>
      <c r="U257" t="n">
        <v>0</v>
      </c>
      <c r="V257" t="n">
        <v>0</v>
      </c>
      <c r="W257" t="inlineStr">
        <is>
          <t>CHILQUINTA</t>
        </is>
      </c>
      <c r="X257" t="n">
        <v>94.986367291326</v>
      </c>
      <c r="Y257" t="n">
        <v>2.222122646974602</v>
      </c>
      <c r="Z257" t="n">
        <v>2363.960262738938</v>
      </c>
      <c r="AA257" t="n">
        <v>0</v>
      </c>
      <c r="AB257" t="n">
        <v>0</v>
      </c>
      <c r="AC257" t="n">
        <v>0</v>
      </c>
      <c r="AD257" s="2" t="n">
        <v>44531</v>
      </c>
    </row>
    <row r="258">
      <c r="A258" t="n">
        <v>-1</v>
      </c>
      <c r="B258" t="inlineStr">
        <is>
          <t>01-12-2021</t>
        </is>
      </c>
      <c r="C258" t="n">
        <v>2021</v>
      </c>
      <c r="D258" t="n">
        <v>12</v>
      </c>
      <c r="E258" t="inlineStr">
        <is>
          <t>Quilpue 012</t>
        </is>
      </c>
      <c r="F258" t="inlineStr">
        <is>
          <t>Chilquinta</t>
        </is>
      </c>
      <c r="G258" t="inlineStr">
        <is>
          <t>Chilquinta</t>
        </is>
      </c>
      <c r="H258" t="inlineStr">
        <is>
          <t>Empresa Eléctrica Carén S.A.</t>
        </is>
      </c>
      <c r="I258" t="inlineStr">
        <is>
          <t>Empresa Eléctrica Carén S.A.</t>
        </is>
      </c>
      <c r="J258" t="inlineStr">
        <is>
          <t>SIC 2013/03_2_BS1B_BB_CHILQUINTA_Empresa Eléctrica Carén S.A.</t>
        </is>
      </c>
      <c r="K258" t="inlineStr">
        <is>
          <t>Quilpue 012</t>
        </is>
      </c>
      <c r="L258" t="inlineStr">
        <is>
          <t>-1</t>
        </is>
      </c>
      <c r="M258" t="n">
        <v>1440.255423123782</v>
      </c>
      <c r="N258" t="n">
        <v>0</v>
      </c>
      <c r="O258" t="inlineStr">
        <is>
          <t>3</t>
        </is>
      </c>
      <c r="P258" s="2" t="n">
        <v>44999.6862684375</v>
      </c>
      <c r="Q258" t="n">
        <v>11</v>
      </c>
      <c r="R258" t="inlineStr">
        <is>
          <t>QUILLOTA 220</t>
        </is>
      </c>
      <c r="S258" t="n">
        <v>954.1001459392251</v>
      </c>
      <c r="T258" t="n">
        <v>83283.0334124169</v>
      </c>
      <c r="U258" t="n">
        <v>0</v>
      </c>
      <c r="V258" t="n">
        <v>0</v>
      </c>
      <c r="W258" t="inlineStr">
        <is>
          <t>CHILQUINTA</t>
        </is>
      </c>
      <c r="X258" t="n">
        <v>92.861291440344</v>
      </c>
      <c r="Y258" t="n">
        <v>83.2830334124169</v>
      </c>
      <c r="Z258" t="n">
        <v>88598.97171533713</v>
      </c>
      <c r="AA258" t="n">
        <v>0</v>
      </c>
      <c r="AB258" t="n">
        <v>0</v>
      </c>
      <c r="AC258" t="n">
        <v>0</v>
      </c>
      <c r="AD258" s="2" t="n">
        <v>44531</v>
      </c>
    </row>
    <row r="259">
      <c r="A259" t="n">
        <v>-1</v>
      </c>
      <c r="B259" t="inlineStr">
        <is>
          <t>01-12-2021</t>
        </is>
      </c>
      <c r="C259" t="n">
        <v>2021</v>
      </c>
      <c r="D259" t="n">
        <v>12</v>
      </c>
      <c r="E259" t="inlineStr">
        <is>
          <t>Quintero 012</t>
        </is>
      </c>
      <c r="F259" t="inlineStr">
        <is>
          <t>Chilquinta</t>
        </is>
      </c>
      <c r="G259" t="inlineStr">
        <is>
          <t>Chilquinta</t>
        </is>
      </c>
      <c r="H259" t="inlineStr">
        <is>
          <t>Empresa Eléctrica Carén S.A.</t>
        </is>
      </c>
      <c r="I259" t="inlineStr">
        <is>
          <t>Empresa Eléctrica Carén S.A.</t>
        </is>
      </c>
      <c r="J259" t="inlineStr">
        <is>
          <t>SIC 2013/03_2_BS1B_BB_CHILQUINTA_Empresa Eléctrica Carén S.A.</t>
        </is>
      </c>
      <c r="K259" t="inlineStr">
        <is>
          <t>Quintero 012</t>
        </is>
      </c>
      <c r="L259" t="inlineStr">
        <is>
          <t>-1</t>
        </is>
      </c>
      <c r="M259" t="n">
        <v>375.6214836390515</v>
      </c>
      <c r="N259" t="n">
        <v>0</v>
      </c>
      <c r="O259" t="inlineStr">
        <is>
          <t>3</t>
        </is>
      </c>
      <c r="P259" s="2" t="n">
        <v>44999.6862684375</v>
      </c>
      <c r="Q259" t="n">
        <v>31</v>
      </c>
      <c r="R259" t="inlineStr">
        <is>
          <t>LOS MAQUIS 220</t>
        </is>
      </c>
      <c r="S259" t="n">
        <v>78.31668416262039</v>
      </c>
      <c r="T259" t="n">
        <v>6836.233126706477</v>
      </c>
      <c r="U259" t="n">
        <v>0</v>
      </c>
      <c r="V259" t="n">
        <v>0</v>
      </c>
      <c r="W259" t="inlineStr">
        <is>
          <t>CHILQUINTA</t>
        </is>
      </c>
      <c r="X259" t="n">
        <v>92.86129144034402</v>
      </c>
      <c r="Y259" t="n">
        <v>6.836233126706477</v>
      </c>
      <c r="Z259" t="n">
        <v>7272.588432666465</v>
      </c>
      <c r="AA259" t="n">
        <v>0</v>
      </c>
      <c r="AB259" t="n">
        <v>0</v>
      </c>
      <c r="AC259" t="n">
        <v>0</v>
      </c>
      <c r="AD259" s="2" t="n">
        <v>44531</v>
      </c>
    </row>
    <row r="260">
      <c r="A260" t="n">
        <v>-1</v>
      </c>
      <c r="B260" t="inlineStr">
        <is>
          <t>01-12-2021</t>
        </is>
      </c>
      <c r="C260" t="n">
        <v>2021</v>
      </c>
      <c r="D260" t="n">
        <v>12</v>
      </c>
      <c r="E260" t="inlineStr">
        <is>
          <t>Quintero 012</t>
        </is>
      </c>
      <c r="F260" t="inlineStr">
        <is>
          <t>Chilquinta</t>
        </is>
      </c>
      <c r="G260" t="inlineStr">
        <is>
          <t>Chilquinta</t>
        </is>
      </c>
      <c r="H260" t="inlineStr">
        <is>
          <t>Empresa Eléctrica Carén S.A.</t>
        </is>
      </c>
      <c r="I260" t="inlineStr">
        <is>
          <t>Empresa Eléctrica Carén S.A.</t>
        </is>
      </c>
      <c r="J260" t="inlineStr">
        <is>
          <t>SIC 2013/03_2_BS1B_BB_CHILQUINTA_Empresa Eléctrica Carén S.A.</t>
        </is>
      </c>
      <c r="K260" t="inlineStr">
        <is>
          <t>Quintero 012</t>
        </is>
      </c>
      <c r="L260" t="inlineStr">
        <is>
          <t>-1</t>
        </is>
      </c>
      <c r="M260" t="n">
        <v>375.6214836390515</v>
      </c>
      <c r="N260" t="n">
        <v>0</v>
      </c>
      <c r="O260" t="inlineStr">
        <is>
          <t>3</t>
        </is>
      </c>
      <c r="P260" s="2" t="n">
        <v>44999.6862684375</v>
      </c>
      <c r="Q260" t="n">
        <v>13</v>
      </c>
      <c r="R260" t="inlineStr">
        <is>
          <t>MELIPILLA 220</t>
        </is>
      </c>
      <c r="S260" t="n">
        <v>40.3906854795594</v>
      </c>
      <c r="T260" t="n">
        <v>3612.550612298041</v>
      </c>
      <c r="U260" t="n">
        <v>0</v>
      </c>
      <c r="V260" t="n">
        <v>0</v>
      </c>
      <c r="W260" t="inlineStr">
        <is>
          <t>CHILQUINTA</t>
        </is>
      </c>
      <c r="X260" t="n">
        <v>95.14913905578901</v>
      </c>
      <c r="Y260" t="n">
        <v>3.612550612298041</v>
      </c>
      <c r="Z260" t="n">
        <v>3843.138949253235</v>
      </c>
      <c r="AA260" t="n">
        <v>0</v>
      </c>
      <c r="AB260" t="n">
        <v>0</v>
      </c>
      <c r="AC260" t="n">
        <v>0</v>
      </c>
      <c r="AD260" s="2" t="n">
        <v>44531</v>
      </c>
    </row>
    <row r="261">
      <c r="A261" t="n">
        <v>-1</v>
      </c>
      <c r="B261" t="inlineStr">
        <is>
          <t>01-12-2021</t>
        </is>
      </c>
      <c r="C261" t="n">
        <v>2021</v>
      </c>
      <c r="D261" t="n">
        <v>12</v>
      </c>
      <c r="E261" t="inlineStr">
        <is>
          <t>Quintero 012</t>
        </is>
      </c>
      <c r="F261" t="inlineStr">
        <is>
          <t>Chilquinta</t>
        </is>
      </c>
      <c r="G261" t="inlineStr">
        <is>
          <t>Chilquinta</t>
        </is>
      </c>
      <c r="H261" t="inlineStr">
        <is>
          <t>Empresa Eléctrica Carén S.A.</t>
        </is>
      </c>
      <c r="I261" t="inlineStr">
        <is>
          <t>Empresa Eléctrica Carén S.A.</t>
        </is>
      </c>
      <c r="J261" t="inlineStr">
        <is>
          <t>SIC 2013/03_2_BS1B_BB_CHILQUINTA_Empresa Eléctrica Carén S.A.</t>
        </is>
      </c>
      <c r="K261" t="inlineStr">
        <is>
          <t>Quintero 012</t>
        </is>
      </c>
      <c r="L261" t="inlineStr">
        <is>
          <t>-1</t>
        </is>
      </c>
      <c r="M261" t="n">
        <v>375.6214836390515</v>
      </c>
      <c r="N261" t="n">
        <v>0</v>
      </c>
      <c r="O261" t="inlineStr">
        <is>
          <t>3</t>
        </is>
      </c>
      <c r="P261" s="2" t="n">
        <v>44999.6862684375</v>
      </c>
      <c r="Q261" t="n">
        <v>5</v>
      </c>
      <c r="R261" t="inlineStr">
        <is>
          <t>NOGALES 220</t>
        </is>
      </c>
      <c r="S261" t="n">
        <v>13.07179605912836</v>
      </c>
      <c r="T261" t="n">
        <v>1167.143876331894</v>
      </c>
      <c r="U261" t="n">
        <v>0</v>
      </c>
      <c r="V261" t="n">
        <v>0</v>
      </c>
      <c r="W261" t="inlineStr">
        <is>
          <t>CHILQUINTA</t>
        </is>
      </c>
      <c r="X261" t="n">
        <v>94.986367291326</v>
      </c>
      <c r="Y261" t="n">
        <v>1.167143876331894</v>
      </c>
      <c r="Z261" t="n">
        <v>1241.642421629675</v>
      </c>
      <c r="AA261" t="n">
        <v>0</v>
      </c>
      <c r="AB261" t="n">
        <v>0</v>
      </c>
      <c r="AC261" t="n">
        <v>0</v>
      </c>
      <c r="AD261" s="2" t="n">
        <v>44531</v>
      </c>
    </row>
    <row r="262">
      <c r="A262" t="n">
        <v>-1</v>
      </c>
      <c r="B262" t="inlineStr">
        <is>
          <t>01-12-2021</t>
        </is>
      </c>
      <c r="C262" t="n">
        <v>2021</v>
      </c>
      <c r="D262" t="n">
        <v>12</v>
      </c>
      <c r="E262" t="inlineStr">
        <is>
          <t>Quintero 012</t>
        </is>
      </c>
      <c r="F262" t="inlineStr">
        <is>
          <t>Chilquinta</t>
        </is>
      </c>
      <c r="G262" t="inlineStr">
        <is>
          <t>Chilquinta</t>
        </is>
      </c>
      <c r="H262" t="inlineStr">
        <is>
          <t>Empresa Eléctrica Carén S.A.</t>
        </is>
      </c>
      <c r="I262" t="inlineStr">
        <is>
          <t>Empresa Eléctrica Carén S.A.</t>
        </is>
      </c>
      <c r="J262" t="inlineStr">
        <is>
          <t>SIC 2013/03_2_BS1B_BB_CHILQUINTA_Empresa Eléctrica Carén S.A.</t>
        </is>
      </c>
      <c r="K262" t="inlineStr">
        <is>
          <t>Quintero 012</t>
        </is>
      </c>
      <c r="L262" t="inlineStr">
        <is>
          <t>-1</t>
        </is>
      </c>
      <c r="M262" t="n">
        <v>375.6214836390515</v>
      </c>
      <c r="N262" t="n">
        <v>0</v>
      </c>
      <c r="O262" t="inlineStr">
        <is>
          <t>3</t>
        </is>
      </c>
      <c r="P262" s="2" t="n">
        <v>44999.6862684375</v>
      </c>
      <c r="Q262" t="n">
        <v>11</v>
      </c>
      <c r="R262" t="inlineStr">
        <is>
          <t>QUILLOTA 220</t>
        </is>
      </c>
      <c r="S262" t="n">
        <v>253.2676720561413</v>
      </c>
      <c r="T262" t="n">
        <v>22107.63732078944</v>
      </c>
      <c r="U262" t="n">
        <v>0</v>
      </c>
      <c r="V262" t="n">
        <v>0</v>
      </c>
      <c r="W262" t="inlineStr">
        <is>
          <t>CHILQUINTA</t>
        </is>
      </c>
      <c r="X262" t="n">
        <v>92.861291440344</v>
      </c>
      <c r="Y262" t="n">
        <v>22.10763732078944</v>
      </c>
      <c r="Z262" t="n">
        <v>23518.76310722281</v>
      </c>
      <c r="AA262" t="n">
        <v>0</v>
      </c>
      <c r="AB262" t="n">
        <v>0</v>
      </c>
      <c r="AC262" t="n">
        <v>0</v>
      </c>
      <c r="AD262" s="2" t="n">
        <v>44531</v>
      </c>
    </row>
    <row r="263">
      <c r="A263" t="n">
        <v>-1</v>
      </c>
      <c r="B263" t="inlineStr">
        <is>
          <t>01-12-2021</t>
        </is>
      </c>
      <c r="C263" t="n">
        <v>2021</v>
      </c>
      <c r="D263" t="n">
        <v>12</v>
      </c>
      <c r="E263" t="inlineStr">
        <is>
          <t>Reñaca 012</t>
        </is>
      </c>
      <c r="F263" t="inlineStr">
        <is>
          <t>Chilquinta</t>
        </is>
      </c>
      <c r="G263" t="inlineStr">
        <is>
          <t>Chilquinta</t>
        </is>
      </c>
      <c r="H263" t="inlineStr">
        <is>
          <t>Empresa Eléctrica Carén S.A.</t>
        </is>
      </c>
      <c r="I263" t="inlineStr">
        <is>
          <t>Empresa Eléctrica Carén S.A.</t>
        </is>
      </c>
      <c r="J263" t="inlineStr">
        <is>
          <t>SIC 2013/03_2_BS1B_BB_CHILQUINTA_Empresa Eléctrica Carén S.A.</t>
        </is>
      </c>
      <c r="K263" t="inlineStr">
        <is>
          <t>Reñaca 012</t>
        </is>
      </c>
      <c r="L263" t="inlineStr">
        <is>
          <t>-1</t>
        </is>
      </c>
      <c r="M263" t="n">
        <v>927.4529293048507</v>
      </c>
      <c r="N263" t="n">
        <v>0</v>
      </c>
      <c r="O263" t="inlineStr">
        <is>
          <t>3</t>
        </is>
      </c>
      <c r="P263" s="2" t="n">
        <v>44999.6862684375</v>
      </c>
      <c r="Q263" t="n">
        <v>31</v>
      </c>
      <c r="R263" t="inlineStr">
        <is>
          <t>LOS MAQUIS 220</t>
        </is>
      </c>
      <c r="S263" t="n">
        <v>195.2411310889299</v>
      </c>
      <c r="T263" t="n">
        <v>17042.52296068003</v>
      </c>
      <c r="U263" t="n">
        <v>0</v>
      </c>
      <c r="V263" t="n">
        <v>0</v>
      </c>
      <c r="W263" t="inlineStr">
        <is>
          <t>CHILQUINTA</t>
        </is>
      </c>
      <c r="X263" t="n">
        <v>92.86129144034402</v>
      </c>
      <c r="Y263" t="n">
        <v>17.04252296068004</v>
      </c>
      <c r="Z263" t="n">
        <v>18130.34357519153</v>
      </c>
      <c r="AA263" t="n">
        <v>0</v>
      </c>
      <c r="AB263" t="n">
        <v>0</v>
      </c>
      <c r="AC263" t="n">
        <v>0</v>
      </c>
      <c r="AD263" s="2" t="n">
        <v>44531</v>
      </c>
    </row>
    <row r="264">
      <c r="A264" t="n">
        <v>-1</v>
      </c>
      <c r="B264" t="inlineStr">
        <is>
          <t>01-12-2021</t>
        </is>
      </c>
      <c r="C264" t="n">
        <v>2021</v>
      </c>
      <c r="D264" t="n">
        <v>12</v>
      </c>
      <c r="E264" t="inlineStr">
        <is>
          <t>Reñaca 012</t>
        </is>
      </c>
      <c r="F264" t="inlineStr">
        <is>
          <t>Chilquinta</t>
        </is>
      </c>
      <c r="G264" t="inlineStr">
        <is>
          <t>Chilquinta</t>
        </is>
      </c>
      <c r="H264" t="inlineStr">
        <is>
          <t>Empresa Eléctrica Carén S.A.</t>
        </is>
      </c>
      <c r="I264" t="inlineStr">
        <is>
          <t>Empresa Eléctrica Carén S.A.</t>
        </is>
      </c>
      <c r="J264" t="inlineStr">
        <is>
          <t>SIC 2013/03_2_BS1B_BB_CHILQUINTA_Empresa Eléctrica Carén S.A.</t>
        </is>
      </c>
      <c r="K264" t="inlineStr">
        <is>
          <t>Reñaca 012</t>
        </is>
      </c>
      <c r="L264" t="inlineStr">
        <is>
          <t>-1</t>
        </is>
      </c>
      <c r="M264" t="n">
        <v>927.4529293048507</v>
      </c>
      <c r="N264" t="n">
        <v>0</v>
      </c>
      <c r="O264" t="inlineStr">
        <is>
          <t>3</t>
        </is>
      </c>
      <c r="P264" s="2" t="n">
        <v>44999.6862684375</v>
      </c>
      <c r="Q264" t="n">
        <v>13</v>
      </c>
      <c r="R264" t="inlineStr">
        <is>
          <t>MELIPILLA 220</t>
        </is>
      </c>
      <c r="S264" t="n">
        <v>144.2783430395233</v>
      </c>
      <c r="T264" t="n">
        <v>12904.28251713004</v>
      </c>
      <c r="U264" t="n">
        <v>0</v>
      </c>
      <c r="V264" t="n">
        <v>0</v>
      </c>
      <c r="W264" t="inlineStr">
        <is>
          <t>CHILQUINTA</t>
        </is>
      </c>
      <c r="X264" t="n">
        <v>95.14913905578902</v>
      </c>
      <c r="Y264" t="n">
        <v>12.90428251713005</v>
      </c>
      <c r="Z264" t="n">
        <v>13727.96012460643</v>
      </c>
      <c r="AA264" t="n">
        <v>0</v>
      </c>
      <c r="AB264" t="n">
        <v>0</v>
      </c>
      <c r="AC264" t="n">
        <v>0</v>
      </c>
      <c r="AD264" s="2" t="n">
        <v>44531</v>
      </c>
    </row>
    <row r="265">
      <c r="A265" t="n">
        <v>-1</v>
      </c>
      <c r="B265" t="inlineStr">
        <is>
          <t>01-12-2021</t>
        </is>
      </c>
      <c r="C265" t="n">
        <v>2021</v>
      </c>
      <c r="D265" t="n">
        <v>12</v>
      </c>
      <c r="E265" t="inlineStr">
        <is>
          <t>Reñaca 012</t>
        </is>
      </c>
      <c r="F265" t="inlineStr">
        <is>
          <t>Chilquinta</t>
        </is>
      </c>
      <c r="G265" t="inlineStr">
        <is>
          <t>Chilquinta</t>
        </is>
      </c>
      <c r="H265" t="inlineStr">
        <is>
          <t>Empresa Eléctrica Carén S.A.</t>
        </is>
      </c>
      <c r="I265" t="inlineStr">
        <is>
          <t>Empresa Eléctrica Carén S.A.</t>
        </is>
      </c>
      <c r="J265" t="inlineStr">
        <is>
          <t>SIC 2013/03_2_BS1B_BB_CHILQUINTA_Empresa Eléctrica Carén S.A.</t>
        </is>
      </c>
      <c r="K265" t="inlineStr">
        <is>
          <t>Reñaca 012</t>
        </is>
      </c>
      <c r="L265" t="inlineStr">
        <is>
          <t>-1</t>
        </is>
      </c>
      <c r="M265" t="n">
        <v>927.4529293048507</v>
      </c>
      <c r="N265" t="n">
        <v>0</v>
      </c>
      <c r="O265" t="inlineStr">
        <is>
          <t>3</t>
        </is>
      </c>
      <c r="P265" s="2" t="n">
        <v>44999.6862684375</v>
      </c>
      <c r="Q265" t="n">
        <v>5</v>
      </c>
      <c r="R265" t="inlineStr">
        <is>
          <t>NOGALES 220</t>
        </is>
      </c>
      <c r="S265" t="n">
        <v>23.41555586180891</v>
      </c>
      <c r="T265" t="n">
        <v>2090.709074055122</v>
      </c>
      <c r="U265" t="n">
        <v>0</v>
      </c>
      <c r="V265" t="n">
        <v>0</v>
      </c>
      <c r="W265" t="inlineStr">
        <is>
          <t>CHILQUINTA</t>
        </is>
      </c>
      <c r="X265" t="n">
        <v>94.986367291326</v>
      </c>
      <c r="Y265" t="n">
        <v>2.090709074055122</v>
      </c>
      <c r="Z265" t="n">
        <v>2224.158589420343</v>
      </c>
      <c r="AA265" t="n">
        <v>0</v>
      </c>
      <c r="AB265" t="n">
        <v>0</v>
      </c>
      <c r="AC265" t="n">
        <v>0</v>
      </c>
      <c r="AD265" s="2" t="n">
        <v>44531</v>
      </c>
    </row>
    <row r="266">
      <c r="A266" t="n">
        <v>-1</v>
      </c>
      <c r="B266" t="inlineStr">
        <is>
          <t>01-12-2021</t>
        </is>
      </c>
      <c r="C266" t="n">
        <v>2021</v>
      </c>
      <c r="D266" t="n">
        <v>12</v>
      </c>
      <c r="E266" t="inlineStr">
        <is>
          <t>Reñaca 012</t>
        </is>
      </c>
      <c r="F266" t="inlineStr">
        <is>
          <t>Chilquinta</t>
        </is>
      </c>
      <c r="G266" t="inlineStr">
        <is>
          <t>Chilquinta</t>
        </is>
      </c>
      <c r="H266" t="inlineStr">
        <is>
          <t>Empresa Eléctrica Carén S.A.</t>
        </is>
      </c>
      <c r="I266" t="inlineStr">
        <is>
          <t>Empresa Eléctrica Carén S.A.</t>
        </is>
      </c>
      <c r="J266" t="inlineStr">
        <is>
          <t>SIC 2013/03_2_BS1B_BB_CHILQUINTA_Empresa Eléctrica Carén S.A.</t>
        </is>
      </c>
      <c r="K266" t="inlineStr">
        <is>
          <t>Reñaca 012</t>
        </is>
      </c>
      <c r="L266" t="inlineStr">
        <is>
          <t>-1</t>
        </is>
      </c>
      <c r="M266" t="n">
        <v>927.4529293048507</v>
      </c>
      <c r="N266" t="n">
        <v>0</v>
      </c>
      <c r="O266" t="inlineStr">
        <is>
          <t>3</t>
        </is>
      </c>
      <c r="P266" s="2" t="n">
        <v>44999.6862684375</v>
      </c>
      <c r="Q266" t="n">
        <v>11</v>
      </c>
      <c r="R266" t="inlineStr">
        <is>
          <t>QUILLOTA 220</t>
        </is>
      </c>
      <c r="S266" t="n">
        <v>587.7901898187275</v>
      </c>
      <c r="T266" t="n">
        <v>51307.97875518006</v>
      </c>
      <c r="U266" t="n">
        <v>0</v>
      </c>
      <c r="V266" t="n">
        <v>0</v>
      </c>
      <c r="W266" t="inlineStr">
        <is>
          <t>CHILQUINTA</t>
        </is>
      </c>
      <c r="X266" t="n">
        <v>92.86129144034402</v>
      </c>
      <c r="Y266" t="n">
        <v>51.30797875518007</v>
      </c>
      <c r="Z266" t="n">
        <v>54582.95612253198</v>
      </c>
      <c r="AA266" t="n">
        <v>0</v>
      </c>
      <c r="AB266" t="n">
        <v>0</v>
      </c>
      <c r="AC266" t="n">
        <v>0</v>
      </c>
      <c r="AD266" s="2" t="n">
        <v>44531</v>
      </c>
    </row>
    <row r="267">
      <c r="A267" t="n">
        <v>-1</v>
      </c>
      <c r="B267" t="inlineStr">
        <is>
          <t>01-12-2021</t>
        </is>
      </c>
      <c r="C267" t="n">
        <v>2021</v>
      </c>
      <c r="D267" t="n">
        <v>12</v>
      </c>
      <c r="E267" t="inlineStr">
        <is>
          <t>Rio Blanco 012</t>
        </is>
      </c>
      <c r="F267" t="inlineStr">
        <is>
          <t>Chilquinta</t>
        </is>
      </c>
      <c r="G267" t="inlineStr">
        <is>
          <t>Chilquinta</t>
        </is>
      </c>
      <c r="H267" t="inlineStr">
        <is>
          <t>Empresa Eléctrica Carén S.A.</t>
        </is>
      </c>
      <c r="I267" t="inlineStr">
        <is>
          <t>Empresa Eléctrica Carén S.A.</t>
        </is>
      </c>
      <c r="J267" t="inlineStr">
        <is>
          <t>SIC 2013/03_2_BS1B_BB_CHILQUINTA_Empresa Eléctrica Carén S.A.</t>
        </is>
      </c>
      <c r="K267" t="inlineStr">
        <is>
          <t>Rio Blanco 012</t>
        </is>
      </c>
      <c r="L267" t="inlineStr">
        <is>
          <t>-1</t>
        </is>
      </c>
      <c r="M267" t="n">
        <v>11.27188234484404</v>
      </c>
      <c r="N267" t="n">
        <v>0</v>
      </c>
      <c r="O267" t="inlineStr">
        <is>
          <t>3</t>
        </is>
      </c>
      <c r="P267" s="2" t="n">
        <v>44999.6862684375</v>
      </c>
      <c r="Q267" t="n">
        <v>31</v>
      </c>
      <c r="R267" t="inlineStr">
        <is>
          <t>LOS MAQUIS 220</t>
        </is>
      </c>
      <c r="S267" t="n">
        <v>9.600440795442527</v>
      </c>
      <c r="T267" t="n">
        <v>838.0187708216752</v>
      </c>
      <c r="U267" t="n">
        <v>0</v>
      </c>
      <c r="V267" t="n">
        <v>0</v>
      </c>
      <c r="W267" t="inlineStr">
        <is>
          <t>CHILQUINTA</t>
        </is>
      </c>
      <c r="X267" t="n">
        <v>92.861291440344</v>
      </c>
      <c r="Y267" t="n">
        <v>0.838018770821675</v>
      </c>
      <c r="Z267" t="n">
        <v>891.5093306613566</v>
      </c>
      <c r="AA267" t="n">
        <v>0</v>
      </c>
      <c r="AB267" t="n">
        <v>0</v>
      </c>
      <c r="AC267" t="n">
        <v>0</v>
      </c>
      <c r="AD267" s="2" t="n">
        <v>44531</v>
      </c>
    </row>
    <row r="268">
      <c r="A268" t="n">
        <v>-1</v>
      </c>
      <c r="B268" t="inlineStr">
        <is>
          <t>01-12-2021</t>
        </is>
      </c>
      <c r="C268" t="n">
        <v>2021</v>
      </c>
      <c r="D268" t="n">
        <v>12</v>
      </c>
      <c r="E268" t="inlineStr">
        <is>
          <t>Rio Blanco 012</t>
        </is>
      </c>
      <c r="F268" t="inlineStr">
        <is>
          <t>Chilquinta</t>
        </is>
      </c>
      <c r="G268" t="inlineStr">
        <is>
          <t>Chilquinta</t>
        </is>
      </c>
      <c r="H268" t="inlineStr">
        <is>
          <t>Empresa Eléctrica Carén S.A.</t>
        </is>
      </c>
      <c r="I268" t="inlineStr">
        <is>
          <t>Empresa Eléctrica Carén S.A.</t>
        </is>
      </c>
      <c r="J268" t="inlineStr">
        <is>
          <t>SIC 2013/03_2_BS1B_BB_CHILQUINTA_Empresa Eléctrica Carén S.A.</t>
        </is>
      </c>
      <c r="K268" t="inlineStr">
        <is>
          <t>Rio Blanco 012</t>
        </is>
      </c>
      <c r="L268" t="inlineStr">
        <is>
          <t>-1</t>
        </is>
      </c>
      <c r="M268" t="n">
        <v>11.27188234484404</v>
      </c>
      <c r="N268" t="n">
        <v>0</v>
      </c>
      <c r="O268" t="inlineStr">
        <is>
          <t>3</t>
        </is>
      </c>
      <c r="P268" s="2" t="n">
        <v>44999.6862684375</v>
      </c>
      <c r="Q268" t="n">
        <v>11</v>
      </c>
      <c r="R268" t="inlineStr">
        <is>
          <t>QUILLOTA 220</t>
        </is>
      </c>
      <c r="S268" t="n">
        <v>1.954283418966048</v>
      </c>
      <c r="T268" t="n">
        <v>170.5886451980998</v>
      </c>
      <c r="U268" t="n">
        <v>0</v>
      </c>
      <c r="V268" t="n">
        <v>0</v>
      </c>
      <c r="W268" t="inlineStr">
        <is>
          <t>CHILQUINTA</t>
        </is>
      </c>
      <c r="X268" t="n">
        <v>92.86129144034402</v>
      </c>
      <c r="Y268" t="n">
        <v>0.1705886451980998</v>
      </c>
      <c r="Z268" t="n">
        <v>181.4772821256381</v>
      </c>
      <c r="AA268" t="n">
        <v>0</v>
      </c>
      <c r="AB268" t="n">
        <v>0</v>
      </c>
      <c r="AC268" t="n">
        <v>0</v>
      </c>
      <c r="AD268" s="2" t="n">
        <v>44531</v>
      </c>
    </row>
    <row r="269">
      <c r="A269" t="n">
        <v>-1</v>
      </c>
      <c r="B269" t="inlineStr">
        <is>
          <t>01-12-2021</t>
        </is>
      </c>
      <c r="C269" t="n">
        <v>2021</v>
      </c>
      <c r="D269" t="n">
        <v>12</v>
      </c>
      <c r="E269" t="inlineStr">
        <is>
          <t>San Antonio 012</t>
        </is>
      </c>
      <c r="F269" t="inlineStr">
        <is>
          <t>Chilquinta</t>
        </is>
      </c>
      <c r="G269" t="inlineStr">
        <is>
          <t>Chilquinta</t>
        </is>
      </c>
      <c r="H269" t="inlineStr">
        <is>
          <t>Empresa Eléctrica Carén S.A.</t>
        </is>
      </c>
      <c r="I269" t="inlineStr">
        <is>
          <t>Empresa Eléctrica Carén S.A.</t>
        </is>
      </c>
      <c r="J269" t="inlineStr">
        <is>
          <t>SIC 2013/03_2_BS1B_BB_CHILQUINTA_Empresa Eléctrica Carén S.A.</t>
        </is>
      </c>
      <c r="K269" t="inlineStr">
        <is>
          <t>San Antonio 012</t>
        </is>
      </c>
      <c r="L269" t="inlineStr">
        <is>
          <t>-1</t>
        </is>
      </c>
      <c r="M269" t="n">
        <v>1194.034973143618</v>
      </c>
      <c r="N269" t="n">
        <v>0</v>
      </c>
      <c r="O269" t="inlineStr">
        <is>
          <t>3</t>
        </is>
      </c>
      <c r="P269" s="2" t="n">
        <v>44999.6862684375</v>
      </c>
      <c r="Q269" t="n">
        <v>31</v>
      </c>
      <c r="R269" t="inlineStr">
        <is>
          <t>LOS MAQUIS 220</t>
        </is>
      </c>
      <c r="S269" t="n">
        <v>0.4759030429878671</v>
      </c>
      <c r="T269" t="n">
        <v>41.54139290190832</v>
      </c>
      <c r="U269" t="n">
        <v>0</v>
      </c>
      <c r="V269" t="n">
        <v>0</v>
      </c>
      <c r="W269" t="inlineStr">
        <is>
          <t>CHILQUINTA</t>
        </is>
      </c>
      <c r="X269" t="n">
        <v>92.861291440344</v>
      </c>
      <c r="Y269" t="n">
        <v>0.04154139290190832</v>
      </c>
      <c r="Z269" t="n">
        <v>44.19297117224289</v>
      </c>
      <c r="AA269" t="n">
        <v>0</v>
      </c>
      <c r="AB269" t="n">
        <v>0</v>
      </c>
      <c r="AC269" t="n">
        <v>0</v>
      </c>
      <c r="AD269" s="2" t="n">
        <v>44531</v>
      </c>
    </row>
    <row r="270">
      <c r="A270" t="n">
        <v>-1</v>
      </c>
      <c r="B270" t="inlineStr">
        <is>
          <t>01-12-2021</t>
        </is>
      </c>
      <c r="C270" t="n">
        <v>2021</v>
      </c>
      <c r="D270" t="n">
        <v>12</v>
      </c>
      <c r="E270" t="inlineStr">
        <is>
          <t>San Antonio 012</t>
        </is>
      </c>
      <c r="F270" t="inlineStr">
        <is>
          <t>Chilquinta</t>
        </is>
      </c>
      <c r="G270" t="inlineStr">
        <is>
          <t>Chilquinta</t>
        </is>
      </c>
      <c r="H270" t="inlineStr">
        <is>
          <t>Empresa Eléctrica Carén S.A.</t>
        </is>
      </c>
      <c r="I270" t="inlineStr">
        <is>
          <t>Empresa Eléctrica Carén S.A.</t>
        </is>
      </c>
      <c r="J270" t="inlineStr">
        <is>
          <t>SIC 2013/03_2_BS1B_BB_CHILQUINTA_Empresa Eléctrica Carén S.A.</t>
        </is>
      </c>
      <c r="K270" t="inlineStr">
        <is>
          <t>San Antonio 012</t>
        </is>
      </c>
      <c r="L270" t="inlineStr">
        <is>
          <t>-1</t>
        </is>
      </c>
      <c r="M270" t="n">
        <v>1194.034973143618</v>
      </c>
      <c r="N270" t="n">
        <v>0</v>
      </c>
      <c r="O270" t="inlineStr">
        <is>
          <t>3</t>
        </is>
      </c>
      <c r="P270" s="2" t="n">
        <v>44999.6862684375</v>
      </c>
      <c r="Q270" t="n">
        <v>13</v>
      </c>
      <c r="R270" t="inlineStr">
        <is>
          <t>MELIPILLA 220</t>
        </is>
      </c>
      <c r="S270" t="n">
        <v>1219.179559320072</v>
      </c>
      <c r="T270" t="n">
        <v>109043.6522982978</v>
      </c>
      <c r="U270" t="n">
        <v>0</v>
      </c>
      <c r="V270" t="n">
        <v>0</v>
      </c>
      <c r="W270" t="inlineStr">
        <is>
          <t>CHILQUINTA</t>
        </is>
      </c>
      <c r="X270" t="n">
        <v>95.14913905578901</v>
      </c>
      <c r="Y270" t="n">
        <v>109.0436522982978</v>
      </c>
      <c r="Z270" t="n">
        <v>116003.8854237211</v>
      </c>
      <c r="AA270" t="n">
        <v>0</v>
      </c>
      <c r="AB270" t="n">
        <v>0</v>
      </c>
      <c r="AC270" t="n">
        <v>0</v>
      </c>
      <c r="AD270" s="2" t="n">
        <v>44531</v>
      </c>
    </row>
    <row r="271">
      <c r="A271" t="n">
        <v>-1</v>
      </c>
      <c r="B271" t="inlineStr">
        <is>
          <t>01-12-2021</t>
        </is>
      </c>
      <c r="C271" t="n">
        <v>2021</v>
      </c>
      <c r="D271" t="n">
        <v>12</v>
      </c>
      <c r="E271" t="inlineStr">
        <is>
          <t>San Antonio 012</t>
        </is>
      </c>
      <c r="F271" t="inlineStr">
        <is>
          <t>Chilquinta</t>
        </is>
      </c>
      <c r="G271" t="inlineStr">
        <is>
          <t>Chilquinta</t>
        </is>
      </c>
      <c r="H271" t="inlineStr">
        <is>
          <t>Empresa Eléctrica Carén S.A.</t>
        </is>
      </c>
      <c r="I271" t="inlineStr">
        <is>
          <t>Empresa Eléctrica Carén S.A.</t>
        </is>
      </c>
      <c r="J271" t="inlineStr">
        <is>
          <t>SIC 2013/03_2_BS1B_BB_CHILQUINTA_Empresa Eléctrica Carén S.A.</t>
        </is>
      </c>
      <c r="K271" t="inlineStr">
        <is>
          <t>San Antonio 012</t>
        </is>
      </c>
      <c r="L271" t="inlineStr">
        <is>
          <t>-1</t>
        </is>
      </c>
      <c r="M271" t="n">
        <v>1194.034973143618</v>
      </c>
      <c r="N271" t="n">
        <v>0</v>
      </c>
      <c r="O271" t="inlineStr">
        <is>
          <t>3</t>
        </is>
      </c>
      <c r="P271" s="2" t="n">
        <v>44999.6862684375</v>
      </c>
      <c r="Q271" t="n">
        <v>5</v>
      </c>
      <c r="R271" t="inlineStr">
        <is>
          <t>NOGALES 220</t>
        </is>
      </c>
      <c r="S271" t="n">
        <v>0.2136853369742589</v>
      </c>
      <c r="T271" t="n">
        <v>19.07936226845126</v>
      </c>
      <c r="U271" t="n">
        <v>0</v>
      </c>
      <c r="V271" t="n">
        <v>0</v>
      </c>
      <c r="W271" t="inlineStr">
        <is>
          <t>CHILQUINTA</t>
        </is>
      </c>
      <c r="X271" t="n">
        <v>94.986367291326</v>
      </c>
      <c r="Y271" t="n">
        <v>0.01907936226845126</v>
      </c>
      <c r="Z271" t="n">
        <v>20.29719390260772</v>
      </c>
      <c r="AA271" t="n">
        <v>0</v>
      </c>
      <c r="AB271" t="n">
        <v>0</v>
      </c>
      <c r="AC271" t="n">
        <v>0</v>
      </c>
      <c r="AD271" s="2" t="n">
        <v>44531</v>
      </c>
    </row>
    <row r="272">
      <c r="A272" t="n">
        <v>-1</v>
      </c>
      <c r="B272" t="inlineStr">
        <is>
          <t>01-12-2021</t>
        </is>
      </c>
      <c r="C272" t="n">
        <v>2021</v>
      </c>
      <c r="D272" t="n">
        <v>12</v>
      </c>
      <c r="E272" t="inlineStr">
        <is>
          <t>San Antonio 012</t>
        </is>
      </c>
      <c r="F272" t="inlineStr">
        <is>
          <t>Chilquinta</t>
        </is>
      </c>
      <c r="G272" t="inlineStr">
        <is>
          <t>Chilquinta</t>
        </is>
      </c>
      <c r="H272" t="inlineStr">
        <is>
          <t>Empresa Eléctrica Carén S.A.</t>
        </is>
      </c>
      <c r="I272" t="inlineStr">
        <is>
          <t>Empresa Eléctrica Carén S.A.</t>
        </is>
      </c>
      <c r="J272" t="inlineStr">
        <is>
          <t>SIC 2013/03_2_BS1B_BB_CHILQUINTA_Empresa Eléctrica Carén S.A.</t>
        </is>
      </c>
      <c r="K272" t="inlineStr">
        <is>
          <t>San Antonio 012</t>
        </is>
      </c>
      <c r="L272" t="inlineStr">
        <is>
          <t>-1</t>
        </is>
      </c>
      <c r="M272" t="n">
        <v>1194.034973143618</v>
      </c>
      <c r="N272" t="n">
        <v>0</v>
      </c>
      <c r="O272" t="inlineStr">
        <is>
          <t>3</t>
        </is>
      </c>
      <c r="P272" s="2" t="n">
        <v>44999.6862684375</v>
      </c>
      <c r="Q272" t="n">
        <v>11</v>
      </c>
      <c r="R272" t="inlineStr">
        <is>
          <t>QUILLOTA 220</t>
        </is>
      </c>
      <c r="S272" t="n">
        <v>4.127377010333236</v>
      </c>
      <c r="T272" t="n">
        <v>360.2771458742865</v>
      </c>
      <c r="U272" t="n">
        <v>0</v>
      </c>
      <c r="V272" t="n">
        <v>0</v>
      </c>
      <c r="W272" t="inlineStr">
        <is>
          <t>CHILQUINTA</t>
        </is>
      </c>
      <c r="X272" t="n">
        <v>92.86129144034402</v>
      </c>
      <c r="Y272" t="n">
        <v>0.3602771458742866</v>
      </c>
      <c r="Z272" t="n">
        <v>383.2735594407303</v>
      </c>
      <c r="AA272" t="n">
        <v>0</v>
      </c>
      <c r="AB272" t="n">
        <v>0</v>
      </c>
      <c r="AC272" t="n">
        <v>0</v>
      </c>
      <c r="AD272" s="2" t="n">
        <v>44531</v>
      </c>
    </row>
    <row r="273">
      <c r="A273" t="n">
        <v>-1</v>
      </c>
      <c r="B273" t="inlineStr">
        <is>
          <t>01-12-2021</t>
        </is>
      </c>
      <c r="C273" t="n">
        <v>2021</v>
      </c>
      <c r="D273" t="n">
        <v>12</v>
      </c>
      <c r="E273" t="inlineStr">
        <is>
          <t>San Felipe 012</t>
        </is>
      </c>
      <c r="F273" t="inlineStr">
        <is>
          <t>Chilquinta</t>
        </is>
      </c>
      <c r="G273" t="inlineStr">
        <is>
          <t>Chilquinta</t>
        </is>
      </c>
      <c r="H273" t="inlineStr">
        <is>
          <t>Empresa Eléctrica Carén S.A.</t>
        </is>
      </c>
      <c r="I273" t="inlineStr">
        <is>
          <t>Empresa Eléctrica Carén S.A.</t>
        </is>
      </c>
      <c r="J273" t="inlineStr">
        <is>
          <t>SIC 2013/03_2_BS1B_BB_CHILQUINTA_Empresa Eléctrica Carén S.A.</t>
        </is>
      </c>
      <c r="K273" t="inlineStr">
        <is>
          <t>San Felipe 012</t>
        </is>
      </c>
      <c r="L273" t="inlineStr">
        <is>
          <t>-1</t>
        </is>
      </c>
      <c r="M273" t="n">
        <v>1156.816347703486</v>
      </c>
      <c r="N273" t="n">
        <v>0</v>
      </c>
      <c r="O273" t="inlineStr">
        <is>
          <t>3</t>
        </is>
      </c>
      <c r="P273" s="2" t="n">
        <v>44999.6862684375</v>
      </c>
      <c r="Q273" t="n">
        <v>31</v>
      </c>
      <c r="R273" t="inlineStr">
        <is>
          <t>LOS MAQUIS 220</t>
        </is>
      </c>
      <c r="S273" t="n">
        <v>983.9598527346</v>
      </c>
      <c r="T273" t="n">
        <v>85889.47569136252</v>
      </c>
      <c r="U273" t="n">
        <v>0</v>
      </c>
      <c r="V273" t="n">
        <v>0</v>
      </c>
      <c r="W273" t="inlineStr">
        <is>
          <t>CHILQUINTA</t>
        </is>
      </c>
      <c r="X273" t="n">
        <v>92.86129144034402</v>
      </c>
      <c r="Y273" t="n">
        <v>85.88947569136252</v>
      </c>
      <c r="Z273" t="n">
        <v>91371.78265038566</v>
      </c>
      <c r="AA273" t="n">
        <v>0</v>
      </c>
      <c r="AB273" t="n">
        <v>0</v>
      </c>
      <c r="AC273" t="n">
        <v>0</v>
      </c>
      <c r="AD273" s="2" t="n">
        <v>44531</v>
      </c>
    </row>
    <row r="274">
      <c r="A274" t="n">
        <v>-1</v>
      </c>
      <c r="B274" t="inlineStr">
        <is>
          <t>01-12-2021</t>
        </is>
      </c>
      <c r="C274" t="n">
        <v>2021</v>
      </c>
      <c r="D274" t="n">
        <v>12</v>
      </c>
      <c r="E274" t="inlineStr">
        <is>
          <t>San Felipe 012</t>
        </is>
      </c>
      <c r="F274" t="inlineStr">
        <is>
          <t>Chilquinta</t>
        </is>
      </c>
      <c r="G274" t="inlineStr">
        <is>
          <t>Chilquinta</t>
        </is>
      </c>
      <c r="H274" t="inlineStr">
        <is>
          <t>Empresa Eléctrica Carén S.A.</t>
        </is>
      </c>
      <c r="I274" t="inlineStr">
        <is>
          <t>Empresa Eléctrica Carén S.A.</t>
        </is>
      </c>
      <c r="J274" t="inlineStr">
        <is>
          <t>SIC 2013/03_2_BS1B_BB_CHILQUINTA_Empresa Eléctrica Carén S.A.</t>
        </is>
      </c>
      <c r="K274" t="inlineStr">
        <is>
          <t>San Felipe 012</t>
        </is>
      </c>
      <c r="L274" t="inlineStr">
        <is>
          <t>-1</t>
        </is>
      </c>
      <c r="M274" t="n">
        <v>1156.816347703486</v>
      </c>
      <c r="N274" t="n">
        <v>0</v>
      </c>
      <c r="O274" t="inlineStr">
        <is>
          <t>3</t>
        </is>
      </c>
      <c r="P274" s="2" t="n">
        <v>44999.6862684375</v>
      </c>
      <c r="Q274" t="n">
        <v>13</v>
      </c>
      <c r="R274" t="inlineStr">
        <is>
          <t>MELIPILLA 220</t>
        </is>
      </c>
      <c r="S274" t="n">
        <v>12.55418475055711</v>
      </c>
      <c r="T274" t="n">
        <v>1122.848678329055</v>
      </c>
      <c r="U274" t="n">
        <v>0</v>
      </c>
      <c r="V274" t="n">
        <v>0</v>
      </c>
      <c r="W274" t="inlineStr">
        <is>
          <t>CHILQUINTA</t>
        </is>
      </c>
      <c r="X274" t="n">
        <v>95.14913905578902</v>
      </c>
      <c r="Y274" t="n">
        <v>1.122848678329055</v>
      </c>
      <c r="Z274" t="n">
        <v>1194.519870562825</v>
      </c>
      <c r="AA274" t="n">
        <v>0</v>
      </c>
      <c r="AB274" t="n">
        <v>0</v>
      </c>
      <c r="AC274" t="n">
        <v>0</v>
      </c>
      <c r="AD274" s="2" t="n">
        <v>44531</v>
      </c>
    </row>
    <row r="275">
      <c r="A275" t="n">
        <v>-1</v>
      </c>
      <c r="B275" t="inlineStr">
        <is>
          <t>01-12-2021</t>
        </is>
      </c>
      <c r="C275" t="n">
        <v>2021</v>
      </c>
      <c r="D275" t="n">
        <v>12</v>
      </c>
      <c r="E275" t="inlineStr">
        <is>
          <t>San Felipe 012</t>
        </is>
      </c>
      <c r="F275" t="inlineStr">
        <is>
          <t>Chilquinta</t>
        </is>
      </c>
      <c r="G275" t="inlineStr">
        <is>
          <t>Chilquinta</t>
        </is>
      </c>
      <c r="H275" t="inlineStr">
        <is>
          <t>Empresa Eléctrica Carén S.A.</t>
        </is>
      </c>
      <c r="I275" t="inlineStr">
        <is>
          <t>Empresa Eléctrica Carén S.A.</t>
        </is>
      </c>
      <c r="J275" t="inlineStr">
        <is>
          <t>SIC 2013/03_2_BS1B_BB_CHILQUINTA_Empresa Eléctrica Carén S.A.</t>
        </is>
      </c>
      <c r="K275" t="inlineStr">
        <is>
          <t>San Felipe 012</t>
        </is>
      </c>
      <c r="L275" t="inlineStr">
        <is>
          <t>-1</t>
        </is>
      </c>
      <c r="M275" t="n">
        <v>1156.816347703486</v>
      </c>
      <c r="N275" t="n">
        <v>0</v>
      </c>
      <c r="O275" t="inlineStr">
        <is>
          <t>3</t>
        </is>
      </c>
      <c r="P275" s="2" t="n">
        <v>44999.6862684375</v>
      </c>
      <c r="Q275" t="n">
        <v>5</v>
      </c>
      <c r="R275" t="inlineStr">
        <is>
          <t>NOGALES 220</t>
        </is>
      </c>
      <c r="S275" t="n">
        <v>3.511844535019306</v>
      </c>
      <c r="T275" t="n">
        <v>313.5627135809769</v>
      </c>
      <c r="U275" t="n">
        <v>0</v>
      </c>
      <c r="V275" t="n">
        <v>0</v>
      </c>
      <c r="W275" t="inlineStr">
        <is>
          <t>CHILQUINTA</t>
        </is>
      </c>
      <c r="X275" t="n">
        <v>94.98636729132602</v>
      </c>
      <c r="Y275" t="n">
        <v>0.313562713580977</v>
      </c>
      <c r="Z275" t="n">
        <v>333.5773548733798</v>
      </c>
      <c r="AA275" t="n">
        <v>0</v>
      </c>
      <c r="AB275" t="n">
        <v>0</v>
      </c>
      <c r="AC275" t="n">
        <v>0</v>
      </c>
      <c r="AD275" s="2" t="n">
        <v>44531</v>
      </c>
    </row>
    <row r="276">
      <c r="A276" t="n">
        <v>-1</v>
      </c>
      <c r="B276" t="inlineStr">
        <is>
          <t>01-12-2021</t>
        </is>
      </c>
      <c r="C276" t="n">
        <v>2021</v>
      </c>
      <c r="D276" t="n">
        <v>12</v>
      </c>
      <c r="E276" t="inlineStr">
        <is>
          <t>San Felipe 012</t>
        </is>
      </c>
      <c r="F276" t="inlineStr">
        <is>
          <t>Chilquinta</t>
        </is>
      </c>
      <c r="G276" t="inlineStr">
        <is>
          <t>Chilquinta</t>
        </is>
      </c>
      <c r="H276" t="inlineStr">
        <is>
          <t>Empresa Eléctrica Carén S.A.</t>
        </is>
      </c>
      <c r="I276" t="inlineStr">
        <is>
          <t>Empresa Eléctrica Carén S.A.</t>
        </is>
      </c>
      <c r="J276" t="inlineStr">
        <is>
          <t>SIC 2013/03_2_BS1B_BB_CHILQUINTA_Empresa Eléctrica Carén S.A.</t>
        </is>
      </c>
      <c r="K276" t="inlineStr">
        <is>
          <t>San Felipe 012</t>
        </is>
      </c>
      <c r="L276" t="inlineStr">
        <is>
          <t>-1</t>
        </is>
      </c>
      <c r="M276" t="n">
        <v>1156.816347703486</v>
      </c>
      <c r="N276" t="n">
        <v>0</v>
      </c>
      <c r="O276" t="inlineStr">
        <is>
          <t>3</t>
        </is>
      </c>
      <c r="P276" s="2" t="n">
        <v>44999.6862684375</v>
      </c>
      <c r="Q276" t="n">
        <v>11</v>
      </c>
      <c r="R276" t="inlineStr">
        <is>
          <t>QUILLOTA 220</t>
        </is>
      </c>
      <c r="S276" t="n">
        <v>185.818101753069</v>
      </c>
      <c r="T276" t="n">
        <v>16219.99036767624</v>
      </c>
      <c r="U276" t="n">
        <v>0</v>
      </c>
      <c r="V276" t="n">
        <v>0</v>
      </c>
      <c r="W276" t="inlineStr">
        <is>
          <t>CHILQUINTA</t>
        </is>
      </c>
      <c r="X276" t="n">
        <v>92.861291440344</v>
      </c>
      <c r="Y276" t="n">
        <v>16.21999036767624</v>
      </c>
      <c r="Z276" t="n">
        <v>17255.30890178324</v>
      </c>
      <c r="AA276" t="n">
        <v>0</v>
      </c>
      <c r="AB276" t="n">
        <v>0</v>
      </c>
      <c r="AC276" t="n">
        <v>0</v>
      </c>
      <c r="AD276" s="2" t="n">
        <v>44531</v>
      </c>
    </row>
    <row r="277">
      <c r="A277" t="n">
        <v>-1</v>
      </c>
      <c r="B277" t="inlineStr">
        <is>
          <t>01-12-2021</t>
        </is>
      </c>
      <c r="C277" t="n">
        <v>2021</v>
      </c>
      <c r="D277" t="n">
        <v>12</v>
      </c>
      <c r="E277" t="inlineStr">
        <is>
          <t>San Pedro 012</t>
        </is>
      </c>
      <c r="F277" t="inlineStr">
        <is>
          <t>Chilquinta</t>
        </is>
      </c>
      <c r="G277" t="inlineStr">
        <is>
          <t>Chilquinta</t>
        </is>
      </c>
      <c r="H277" t="inlineStr">
        <is>
          <t>Empresa Eléctrica Carén S.A.</t>
        </is>
      </c>
      <c r="I277" t="inlineStr">
        <is>
          <t>Empresa Eléctrica Carén S.A.</t>
        </is>
      </c>
      <c r="J277" t="inlineStr">
        <is>
          <t>SIC 2013/03_2_BS1B_BB_CHILQUINTA_Empresa Eléctrica Carén S.A.</t>
        </is>
      </c>
      <c r="K277" t="inlineStr">
        <is>
          <t>San Pedro 012</t>
        </is>
      </c>
      <c r="L277" t="inlineStr">
        <is>
          <t>-1</t>
        </is>
      </c>
      <c r="M277" t="n">
        <v>1018.291844984163</v>
      </c>
      <c r="N277" t="n">
        <v>0</v>
      </c>
      <c r="O277" t="inlineStr">
        <is>
          <t>3</t>
        </is>
      </c>
      <c r="P277" s="2" t="n">
        <v>44999.6862684375</v>
      </c>
      <c r="Q277" t="n">
        <v>31</v>
      </c>
      <c r="R277" t="inlineStr">
        <is>
          <t>LOS MAQUIS 220</t>
        </is>
      </c>
      <c r="S277" t="n">
        <v>229.9481846165075</v>
      </c>
      <c r="T277" t="n">
        <v>20072.08826458043</v>
      </c>
      <c r="U277" t="n">
        <v>0</v>
      </c>
      <c r="V277" t="n">
        <v>0</v>
      </c>
      <c r="W277" t="inlineStr">
        <is>
          <t>CHILQUINTA</t>
        </is>
      </c>
      <c r="X277" t="n">
        <v>92.861291440344</v>
      </c>
      <c r="Y277" t="n">
        <v>20.07208826458044</v>
      </c>
      <c r="Z277" t="n">
        <v>21353.28538785153</v>
      </c>
      <c r="AA277" t="n">
        <v>0</v>
      </c>
      <c r="AB277" t="n">
        <v>0</v>
      </c>
      <c r="AC277" t="n">
        <v>0</v>
      </c>
      <c r="AD277" s="2" t="n">
        <v>44531</v>
      </c>
    </row>
    <row r="278">
      <c r="A278" t="n">
        <v>-1</v>
      </c>
      <c r="B278" t="inlineStr">
        <is>
          <t>01-12-2021</t>
        </is>
      </c>
      <c r="C278" t="n">
        <v>2021</v>
      </c>
      <c r="D278" t="n">
        <v>12</v>
      </c>
      <c r="E278" t="inlineStr">
        <is>
          <t>San Pedro 012</t>
        </is>
      </c>
      <c r="F278" t="inlineStr">
        <is>
          <t>Chilquinta</t>
        </is>
      </c>
      <c r="G278" t="inlineStr">
        <is>
          <t>Chilquinta</t>
        </is>
      </c>
      <c r="H278" t="inlineStr">
        <is>
          <t>Empresa Eléctrica Carén S.A.</t>
        </is>
      </c>
      <c r="I278" t="inlineStr">
        <is>
          <t>Empresa Eléctrica Carén S.A.</t>
        </is>
      </c>
      <c r="J278" t="inlineStr">
        <is>
          <t>SIC 2013/03_2_BS1B_BB_CHILQUINTA_Empresa Eléctrica Carén S.A.</t>
        </is>
      </c>
      <c r="K278" t="inlineStr">
        <is>
          <t>San Pedro 012</t>
        </is>
      </c>
      <c r="L278" t="inlineStr">
        <is>
          <t>-1</t>
        </is>
      </c>
      <c r="M278" t="n">
        <v>1018.291844984163</v>
      </c>
      <c r="N278" t="n">
        <v>0</v>
      </c>
      <c r="O278" t="inlineStr">
        <is>
          <t>3</t>
        </is>
      </c>
      <c r="P278" s="2" t="n">
        <v>44999.6862684375</v>
      </c>
      <c r="Q278" t="n">
        <v>13</v>
      </c>
      <c r="R278" t="inlineStr">
        <is>
          <t>MELIPILLA 220</t>
        </is>
      </c>
      <c r="S278" t="n">
        <v>58.75550247299402</v>
      </c>
      <c r="T278" t="n">
        <v>5255.103346589923</v>
      </c>
      <c r="U278" t="n">
        <v>0</v>
      </c>
      <c r="V278" t="n">
        <v>0</v>
      </c>
      <c r="W278" t="inlineStr">
        <is>
          <t>CHILQUINTA</t>
        </is>
      </c>
      <c r="X278" t="n">
        <v>95.14913905578902</v>
      </c>
      <c r="Y278" t="n">
        <v>5.255103346589923</v>
      </c>
      <c r="Z278" t="n">
        <v>5590.535475095663</v>
      </c>
      <c r="AA278" t="n">
        <v>0</v>
      </c>
      <c r="AB278" t="n">
        <v>0</v>
      </c>
      <c r="AC278" t="n">
        <v>0</v>
      </c>
      <c r="AD278" s="2" t="n">
        <v>44531</v>
      </c>
    </row>
    <row r="279">
      <c r="A279" t="n">
        <v>-1</v>
      </c>
      <c r="B279" t="inlineStr">
        <is>
          <t>01-12-2021</t>
        </is>
      </c>
      <c r="C279" t="n">
        <v>2021</v>
      </c>
      <c r="D279" t="n">
        <v>12</v>
      </c>
      <c r="E279" t="inlineStr">
        <is>
          <t>San Pedro 012</t>
        </is>
      </c>
      <c r="F279" t="inlineStr">
        <is>
          <t>Chilquinta</t>
        </is>
      </c>
      <c r="G279" t="inlineStr">
        <is>
          <t>Chilquinta</t>
        </is>
      </c>
      <c r="H279" t="inlineStr">
        <is>
          <t>Empresa Eléctrica Carén S.A.</t>
        </is>
      </c>
      <c r="I279" t="inlineStr">
        <is>
          <t>Empresa Eléctrica Carén S.A.</t>
        </is>
      </c>
      <c r="J279" t="inlineStr">
        <is>
          <t>SIC 2013/03_2_BS1B_BB_CHILQUINTA_Empresa Eléctrica Carén S.A.</t>
        </is>
      </c>
      <c r="K279" t="inlineStr">
        <is>
          <t>San Pedro 012</t>
        </is>
      </c>
      <c r="L279" t="inlineStr">
        <is>
          <t>-1</t>
        </is>
      </c>
      <c r="M279" t="n">
        <v>1018.291844984163</v>
      </c>
      <c r="N279" t="n">
        <v>0</v>
      </c>
      <c r="O279" t="inlineStr">
        <is>
          <t>3</t>
        </is>
      </c>
      <c r="P279" s="2" t="n">
        <v>44999.6862684375</v>
      </c>
      <c r="Q279" t="n">
        <v>5</v>
      </c>
      <c r="R279" t="inlineStr">
        <is>
          <t>NOGALES 220</t>
        </is>
      </c>
      <c r="S279" t="n">
        <v>16.64252865277601</v>
      </c>
      <c r="T279" t="n">
        <v>1485.964538912859</v>
      </c>
      <c r="U279" t="n">
        <v>0</v>
      </c>
      <c r="V279" t="n">
        <v>0</v>
      </c>
      <c r="W279" t="inlineStr">
        <is>
          <t>CHILQUINTA</t>
        </is>
      </c>
      <c r="X279" t="n">
        <v>94.98636729132599</v>
      </c>
      <c r="Y279" t="n">
        <v>1.485964538912859</v>
      </c>
      <c r="Z279" t="n">
        <v>1580.813339268999</v>
      </c>
      <c r="AA279" t="n">
        <v>0</v>
      </c>
      <c r="AB279" t="n">
        <v>0</v>
      </c>
      <c r="AC279" t="n">
        <v>0</v>
      </c>
      <c r="AD279" s="2" t="n">
        <v>44531</v>
      </c>
    </row>
    <row r="280">
      <c r="A280" t="n">
        <v>-1</v>
      </c>
      <c r="B280" t="inlineStr">
        <is>
          <t>01-12-2021</t>
        </is>
      </c>
      <c r="C280" t="n">
        <v>2021</v>
      </c>
      <c r="D280" t="n">
        <v>12</v>
      </c>
      <c r="E280" t="inlineStr">
        <is>
          <t>San Pedro 012</t>
        </is>
      </c>
      <c r="F280" t="inlineStr">
        <is>
          <t>Chilquinta</t>
        </is>
      </c>
      <c r="G280" t="inlineStr">
        <is>
          <t>Chilquinta</t>
        </is>
      </c>
      <c r="H280" t="inlineStr">
        <is>
          <t>Empresa Eléctrica Carén S.A.</t>
        </is>
      </c>
      <c r="I280" t="inlineStr">
        <is>
          <t>Empresa Eléctrica Carén S.A.</t>
        </is>
      </c>
      <c r="J280" t="inlineStr">
        <is>
          <t>SIC 2013/03_2_BS1B_BB_CHILQUINTA_Empresa Eléctrica Carén S.A.</t>
        </is>
      </c>
      <c r="K280" t="inlineStr">
        <is>
          <t>San Pedro 012</t>
        </is>
      </c>
      <c r="L280" t="inlineStr">
        <is>
          <t>-1</t>
        </is>
      </c>
      <c r="M280" t="n">
        <v>1018.291844984163</v>
      </c>
      <c r="N280" t="n">
        <v>0</v>
      </c>
      <c r="O280" t="inlineStr">
        <is>
          <t>3</t>
        </is>
      </c>
      <c r="P280" s="2" t="n">
        <v>44999.6862684375</v>
      </c>
      <c r="Q280" t="n">
        <v>11</v>
      </c>
      <c r="R280" t="inlineStr">
        <is>
          <t>QUILLOTA 220</t>
        </is>
      </c>
      <c r="S280" t="n">
        <v>738.497312659641</v>
      </c>
      <c r="T280" t="n">
        <v>64463.1453280699</v>
      </c>
      <c r="U280" t="n">
        <v>0</v>
      </c>
      <c r="V280" t="n">
        <v>0</v>
      </c>
      <c r="W280" t="inlineStr">
        <is>
          <t>CHILQUINTA</t>
        </is>
      </c>
      <c r="X280" t="n">
        <v>92.86129144034399</v>
      </c>
      <c r="Y280" t="n">
        <v>64.4631453280699</v>
      </c>
      <c r="Z280" t="n">
        <v>68577.81417879777</v>
      </c>
      <c r="AA280" t="n">
        <v>0</v>
      </c>
      <c r="AB280" t="n">
        <v>0</v>
      </c>
      <c r="AC280" t="n">
        <v>0</v>
      </c>
      <c r="AD280" s="2" t="n">
        <v>44531</v>
      </c>
    </row>
    <row r="281">
      <c r="A281" t="n">
        <v>-1</v>
      </c>
      <c r="B281" t="inlineStr">
        <is>
          <t>01-12-2021</t>
        </is>
      </c>
      <c r="C281" t="n">
        <v>2021</v>
      </c>
      <c r="D281" t="n">
        <v>12</v>
      </c>
      <c r="E281" t="inlineStr">
        <is>
          <t>San Rafael 012</t>
        </is>
      </c>
      <c r="F281" t="inlineStr">
        <is>
          <t>Chilquinta</t>
        </is>
      </c>
      <c r="G281" t="inlineStr">
        <is>
          <t>Chilquinta</t>
        </is>
      </c>
      <c r="H281" t="inlineStr">
        <is>
          <t>Empresa Eléctrica Carén S.A.</t>
        </is>
      </c>
      <c r="I281" t="inlineStr">
        <is>
          <t>Empresa Eléctrica Carén S.A.</t>
        </is>
      </c>
      <c r="J281" t="inlineStr">
        <is>
          <t>SIC 2013/03_2_BS1B_BB_CHILQUINTA_Empresa Eléctrica Carén S.A.</t>
        </is>
      </c>
      <c r="K281" t="inlineStr">
        <is>
          <t>San Rafael 012</t>
        </is>
      </c>
      <c r="L281" t="inlineStr">
        <is>
          <t>-1</t>
        </is>
      </c>
      <c r="M281" t="n">
        <v>1604.34038035128</v>
      </c>
      <c r="N281" t="n">
        <v>0</v>
      </c>
      <c r="O281" t="inlineStr">
        <is>
          <t>3</t>
        </is>
      </c>
      <c r="P281" s="2" t="n">
        <v>44999.6862684375</v>
      </c>
      <c r="Q281" t="n">
        <v>31</v>
      </c>
      <c r="R281" t="inlineStr">
        <is>
          <t>LOS MAQUIS 220</t>
        </is>
      </c>
      <c r="S281" t="n">
        <v>1329.528548885894</v>
      </c>
      <c r="T281" t="n">
        <v>116054.0337729696</v>
      </c>
      <c r="U281" t="n">
        <v>0</v>
      </c>
      <c r="V281" t="n">
        <v>0</v>
      </c>
      <c r="W281" t="inlineStr">
        <is>
          <t>CHILQUINTA</t>
        </is>
      </c>
      <c r="X281" t="n">
        <v>92.861291440344</v>
      </c>
      <c r="Y281" t="n">
        <v>116.0540337729696</v>
      </c>
      <c r="Z281" t="n">
        <v>123461.7380563506</v>
      </c>
      <c r="AA281" t="n">
        <v>0</v>
      </c>
      <c r="AB281" t="n">
        <v>0</v>
      </c>
      <c r="AC281" t="n">
        <v>0</v>
      </c>
      <c r="AD281" s="2" t="n">
        <v>44531</v>
      </c>
    </row>
    <row r="282">
      <c r="A282" t="n">
        <v>-1</v>
      </c>
      <c r="B282" t="inlineStr">
        <is>
          <t>01-12-2021</t>
        </is>
      </c>
      <c r="C282" t="n">
        <v>2021</v>
      </c>
      <c r="D282" t="n">
        <v>12</v>
      </c>
      <c r="E282" t="inlineStr">
        <is>
          <t>San Rafael 012</t>
        </is>
      </c>
      <c r="F282" t="inlineStr">
        <is>
          <t>Chilquinta</t>
        </is>
      </c>
      <c r="G282" t="inlineStr">
        <is>
          <t>Chilquinta</t>
        </is>
      </c>
      <c r="H282" t="inlineStr">
        <is>
          <t>Empresa Eléctrica Carén S.A.</t>
        </is>
      </c>
      <c r="I282" t="inlineStr">
        <is>
          <t>Empresa Eléctrica Carén S.A.</t>
        </is>
      </c>
      <c r="J282" t="inlineStr">
        <is>
          <t>SIC 2013/03_2_BS1B_BB_CHILQUINTA_Empresa Eléctrica Carén S.A.</t>
        </is>
      </c>
      <c r="K282" t="inlineStr">
        <is>
          <t>San Rafael 012</t>
        </is>
      </c>
      <c r="L282" t="inlineStr">
        <is>
          <t>-1</t>
        </is>
      </c>
      <c r="M282" t="n">
        <v>1604.34038035128</v>
      </c>
      <c r="N282" t="n">
        <v>0</v>
      </c>
      <c r="O282" t="inlineStr">
        <is>
          <t>3</t>
        </is>
      </c>
      <c r="P282" s="2" t="n">
        <v>44999.6862684375</v>
      </c>
      <c r="Q282" t="n">
        <v>13</v>
      </c>
      <c r="R282" t="inlineStr">
        <is>
          <t>MELIPILLA 220</t>
        </is>
      </c>
      <c r="S282" t="n">
        <v>19.99685731255141</v>
      </c>
      <c r="T282" t="n">
        <v>1788.522731684081</v>
      </c>
      <c r="U282" t="n">
        <v>0</v>
      </c>
      <c r="V282" t="n">
        <v>0</v>
      </c>
      <c r="W282" t="inlineStr">
        <is>
          <t>CHILQUINTA</t>
        </is>
      </c>
      <c r="X282" t="n">
        <v>95.14913905578901</v>
      </c>
      <c r="Y282" t="n">
        <v>1.788522731684081</v>
      </c>
      <c r="Z282" t="n">
        <v>1902.683757110725</v>
      </c>
      <c r="AA282" t="n">
        <v>0</v>
      </c>
      <c r="AB282" t="n">
        <v>0</v>
      </c>
      <c r="AC282" t="n">
        <v>0</v>
      </c>
      <c r="AD282" s="2" t="n">
        <v>44531</v>
      </c>
    </row>
    <row r="283">
      <c r="A283" t="n">
        <v>-1</v>
      </c>
      <c r="B283" t="inlineStr">
        <is>
          <t>01-12-2021</t>
        </is>
      </c>
      <c r="C283" t="n">
        <v>2021</v>
      </c>
      <c r="D283" t="n">
        <v>12</v>
      </c>
      <c r="E283" t="inlineStr">
        <is>
          <t>San Rafael 012</t>
        </is>
      </c>
      <c r="F283" t="inlineStr">
        <is>
          <t>Chilquinta</t>
        </is>
      </c>
      <c r="G283" t="inlineStr">
        <is>
          <t>Chilquinta</t>
        </is>
      </c>
      <c r="H283" t="inlineStr">
        <is>
          <t>Empresa Eléctrica Carén S.A.</t>
        </is>
      </c>
      <c r="I283" t="inlineStr">
        <is>
          <t>Empresa Eléctrica Carén S.A.</t>
        </is>
      </c>
      <c r="J283" t="inlineStr">
        <is>
          <t>SIC 2013/03_2_BS1B_BB_CHILQUINTA_Empresa Eléctrica Carén S.A.</t>
        </is>
      </c>
      <c r="K283" t="inlineStr">
        <is>
          <t>San Rafael 012</t>
        </is>
      </c>
      <c r="L283" t="inlineStr">
        <is>
          <t>-1</t>
        </is>
      </c>
      <c r="M283" t="n">
        <v>1604.34038035128</v>
      </c>
      <c r="N283" t="n">
        <v>0</v>
      </c>
      <c r="O283" t="inlineStr">
        <is>
          <t>3</t>
        </is>
      </c>
      <c r="P283" s="2" t="n">
        <v>44999.6862684375</v>
      </c>
      <c r="Q283" t="n">
        <v>5</v>
      </c>
      <c r="R283" t="inlineStr">
        <is>
          <t>NOGALES 220</t>
        </is>
      </c>
      <c r="S283" t="n">
        <v>5.845038055591822</v>
      </c>
      <c r="T283" t="n">
        <v>521.8869956854096</v>
      </c>
      <c r="U283" t="n">
        <v>0</v>
      </c>
      <c r="V283" t="n">
        <v>0</v>
      </c>
      <c r="W283" t="inlineStr">
        <is>
          <t>CHILQUINTA</t>
        </is>
      </c>
      <c r="X283" t="n">
        <v>94.986367291326</v>
      </c>
      <c r="Y283" t="n">
        <v>0.5218869956854094</v>
      </c>
      <c r="Z283" t="n">
        <v>555.198931580223</v>
      </c>
      <c r="AA283" t="n">
        <v>0</v>
      </c>
      <c r="AB283" t="n">
        <v>0</v>
      </c>
      <c r="AC283" t="n">
        <v>0</v>
      </c>
      <c r="AD283" s="2" t="n">
        <v>44531</v>
      </c>
    </row>
    <row r="284">
      <c r="A284" t="n">
        <v>-1</v>
      </c>
      <c r="B284" t="inlineStr">
        <is>
          <t>01-12-2021</t>
        </is>
      </c>
      <c r="C284" t="n">
        <v>2021</v>
      </c>
      <c r="D284" t="n">
        <v>12</v>
      </c>
      <c r="E284" t="inlineStr">
        <is>
          <t>San Rafael 012</t>
        </is>
      </c>
      <c r="F284" t="inlineStr">
        <is>
          <t>Chilquinta</t>
        </is>
      </c>
      <c r="G284" t="inlineStr">
        <is>
          <t>Chilquinta</t>
        </is>
      </c>
      <c r="H284" t="inlineStr">
        <is>
          <t>Empresa Eléctrica Carén S.A.</t>
        </is>
      </c>
      <c r="I284" t="inlineStr">
        <is>
          <t>Empresa Eléctrica Carén S.A.</t>
        </is>
      </c>
      <c r="J284" t="inlineStr">
        <is>
          <t>SIC 2013/03_2_BS1B_BB_CHILQUINTA_Empresa Eléctrica Carén S.A.</t>
        </is>
      </c>
      <c r="K284" t="inlineStr">
        <is>
          <t>San Rafael 012</t>
        </is>
      </c>
      <c r="L284" t="inlineStr">
        <is>
          <t>-1</t>
        </is>
      </c>
      <c r="M284" t="n">
        <v>1604.34038035128</v>
      </c>
      <c r="N284" t="n">
        <v>0</v>
      </c>
      <c r="O284" t="inlineStr">
        <is>
          <t>3</t>
        </is>
      </c>
      <c r="P284" s="2" t="n">
        <v>44999.6862684375</v>
      </c>
      <c r="Q284" t="n">
        <v>11</v>
      </c>
      <c r="R284" t="inlineStr">
        <is>
          <t>QUILLOTA 220</t>
        </is>
      </c>
      <c r="S284" t="n">
        <v>289.2271547865417</v>
      </c>
      <c r="T284" t="n">
        <v>25246.52668630887</v>
      </c>
      <c r="U284" t="n">
        <v>0</v>
      </c>
      <c r="V284" t="n">
        <v>0</v>
      </c>
      <c r="W284" t="inlineStr">
        <is>
          <t>CHILQUINTA</t>
        </is>
      </c>
      <c r="X284" t="n">
        <v>92.86129144034402</v>
      </c>
      <c r="Y284" t="n">
        <v>25.24652668630887</v>
      </c>
      <c r="Z284" t="n">
        <v>26858.00711309454</v>
      </c>
      <c r="AA284" t="n">
        <v>0</v>
      </c>
      <c r="AB284" t="n">
        <v>0</v>
      </c>
      <c r="AC284" t="n">
        <v>0</v>
      </c>
      <c r="AD284" s="2" t="n">
        <v>44531</v>
      </c>
    </row>
    <row r="285">
      <c r="A285" t="n">
        <v>-1</v>
      </c>
      <c r="B285" t="inlineStr">
        <is>
          <t>01-12-2021</t>
        </is>
      </c>
      <c r="C285" t="n">
        <v>2021</v>
      </c>
      <c r="D285" t="n">
        <v>12</v>
      </c>
      <c r="E285" t="inlineStr">
        <is>
          <t>San Sebastian 012</t>
        </is>
      </c>
      <c r="F285" t="inlineStr">
        <is>
          <t>Chilquinta</t>
        </is>
      </c>
      <c r="G285" t="inlineStr">
        <is>
          <t>Chilquinta</t>
        </is>
      </c>
      <c r="H285" t="inlineStr">
        <is>
          <t>Empresa Eléctrica Carén S.A.</t>
        </is>
      </c>
      <c r="I285" t="inlineStr">
        <is>
          <t>Empresa Eléctrica Carén S.A.</t>
        </is>
      </c>
      <c r="J285" t="inlineStr">
        <is>
          <t>SIC 2013/03_2_BS1B_BB_CHILQUINTA_Empresa Eléctrica Carén S.A.</t>
        </is>
      </c>
      <c r="K285" t="inlineStr">
        <is>
          <t>San Sebastian 012</t>
        </is>
      </c>
      <c r="L285" t="inlineStr">
        <is>
          <t>-1</t>
        </is>
      </c>
      <c r="M285" t="n">
        <v>106.1337927267915</v>
      </c>
      <c r="N285" t="n">
        <v>0</v>
      </c>
      <c r="O285" t="inlineStr">
        <is>
          <t>3</t>
        </is>
      </c>
      <c r="P285" s="2" t="n">
        <v>44999.6862684375</v>
      </c>
      <c r="Q285" t="n">
        <v>31</v>
      </c>
      <c r="R285" t="inlineStr">
        <is>
          <t>LOS MAQUIS 220</t>
        </is>
      </c>
      <c r="S285" t="n">
        <v>0.4542494515712919</v>
      </c>
      <c r="T285" t="n">
        <v>39.65125926643947</v>
      </c>
      <c r="U285" t="n">
        <v>0</v>
      </c>
      <c r="V285" t="n">
        <v>0</v>
      </c>
      <c r="W285" t="inlineStr">
        <is>
          <t>CHILQUINTA</t>
        </is>
      </c>
      <c r="X285" t="n">
        <v>92.861291440344</v>
      </c>
      <c r="Y285" t="n">
        <v>0.03965125926643948</v>
      </c>
      <c r="Z285" t="n">
        <v>42.18219070897817</v>
      </c>
      <c r="AA285" t="n">
        <v>0</v>
      </c>
      <c r="AB285" t="n">
        <v>0</v>
      </c>
      <c r="AC285" t="n">
        <v>0</v>
      </c>
      <c r="AD285" s="2" t="n">
        <v>44531</v>
      </c>
    </row>
    <row r="286">
      <c r="A286" t="n">
        <v>-1</v>
      </c>
      <c r="B286" t="inlineStr">
        <is>
          <t>01-12-2021</t>
        </is>
      </c>
      <c r="C286" t="n">
        <v>2021</v>
      </c>
      <c r="D286" t="n">
        <v>12</v>
      </c>
      <c r="E286" t="inlineStr">
        <is>
          <t>San Sebastian 012</t>
        </is>
      </c>
      <c r="F286" t="inlineStr">
        <is>
          <t>Chilquinta</t>
        </is>
      </c>
      <c r="G286" t="inlineStr">
        <is>
          <t>Chilquinta</t>
        </is>
      </c>
      <c r="H286" t="inlineStr">
        <is>
          <t>Empresa Eléctrica Carén S.A.</t>
        </is>
      </c>
      <c r="I286" t="inlineStr">
        <is>
          <t>Empresa Eléctrica Carén S.A.</t>
        </is>
      </c>
      <c r="J286" t="inlineStr">
        <is>
          <t>SIC 2013/03_2_BS1B_BB_CHILQUINTA_Empresa Eléctrica Carén S.A.</t>
        </is>
      </c>
      <c r="K286" t="inlineStr">
        <is>
          <t>San Sebastian 012</t>
        </is>
      </c>
      <c r="L286" t="inlineStr">
        <is>
          <t>-1</t>
        </is>
      </c>
      <c r="M286" t="n">
        <v>106.1337927267915</v>
      </c>
      <c r="N286" t="n">
        <v>0</v>
      </c>
      <c r="O286" t="inlineStr">
        <is>
          <t>3</t>
        </is>
      </c>
      <c r="P286" s="2" t="n">
        <v>44999.6862684375</v>
      </c>
      <c r="Q286" t="n">
        <v>13</v>
      </c>
      <c r="R286" t="inlineStr">
        <is>
          <t>MELIPILLA 220</t>
        </is>
      </c>
      <c r="S286" t="n">
        <v>106.639922833206</v>
      </c>
      <c r="T286" t="n">
        <v>9537.895035762003</v>
      </c>
      <c r="U286" t="n">
        <v>0</v>
      </c>
      <c r="V286" t="n">
        <v>0</v>
      </c>
      <c r="W286" t="inlineStr">
        <is>
          <t>CHILQUINTA</t>
        </is>
      </c>
      <c r="X286" t="n">
        <v>95.14913905578901</v>
      </c>
      <c r="Y286" t="n">
        <v>9.537895035762004</v>
      </c>
      <c r="Z286" t="n">
        <v>10146.69684655532</v>
      </c>
      <c r="AA286" t="n">
        <v>0</v>
      </c>
      <c r="AB286" t="n">
        <v>0</v>
      </c>
      <c r="AC286" t="n">
        <v>0</v>
      </c>
      <c r="AD286" s="2" t="n">
        <v>44531</v>
      </c>
    </row>
    <row r="287">
      <c r="A287" t="n">
        <v>-1</v>
      </c>
      <c r="B287" t="inlineStr">
        <is>
          <t>01-12-2021</t>
        </is>
      </c>
      <c r="C287" t="n">
        <v>2021</v>
      </c>
      <c r="D287" t="n">
        <v>12</v>
      </c>
      <c r="E287" t="inlineStr">
        <is>
          <t>San Sebastian 012</t>
        </is>
      </c>
      <c r="F287" t="inlineStr">
        <is>
          <t>Chilquinta</t>
        </is>
      </c>
      <c r="G287" t="inlineStr">
        <is>
          <t>Chilquinta</t>
        </is>
      </c>
      <c r="H287" t="inlineStr">
        <is>
          <t>Empresa Eléctrica Carén S.A.</t>
        </is>
      </c>
      <c r="I287" t="inlineStr">
        <is>
          <t>Empresa Eléctrica Carén S.A.</t>
        </is>
      </c>
      <c r="J287" t="inlineStr">
        <is>
          <t>SIC 2013/03_2_BS1B_BB_CHILQUINTA_Empresa Eléctrica Carén S.A.</t>
        </is>
      </c>
      <c r="K287" t="inlineStr">
        <is>
          <t>San Sebastian 012</t>
        </is>
      </c>
      <c r="L287" t="inlineStr">
        <is>
          <t>-1</t>
        </is>
      </c>
      <c r="M287" t="n">
        <v>106.1337927267915</v>
      </c>
      <c r="N287" t="n">
        <v>0</v>
      </c>
      <c r="O287" t="inlineStr">
        <is>
          <t>3</t>
        </is>
      </c>
      <c r="P287" s="2" t="n">
        <v>44999.6862684375</v>
      </c>
      <c r="Q287" t="n">
        <v>5</v>
      </c>
      <c r="R287" t="inlineStr">
        <is>
          <t>NOGALES 220</t>
        </is>
      </c>
      <c r="S287" t="n">
        <v>0.03165103342325488</v>
      </c>
      <c r="T287" t="n">
        <v>2.826031684737844</v>
      </c>
      <c r="U287" t="n">
        <v>0</v>
      </c>
      <c r="V287" t="n">
        <v>0</v>
      </c>
      <c r="W287" t="inlineStr">
        <is>
          <t>CHILQUINTA</t>
        </is>
      </c>
      <c r="X287" t="n">
        <v>94.98636729132602</v>
      </c>
      <c r="Y287" t="n">
        <v>0.002826031684737844</v>
      </c>
      <c r="Z287" t="n">
        <v>3.006416685891323</v>
      </c>
      <c r="AA287" t="n">
        <v>0</v>
      </c>
      <c r="AB287" t="n">
        <v>0</v>
      </c>
      <c r="AC287" t="n">
        <v>0</v>
      </c>
      <c r="AD287" s="2" t="n">
        <v>44531</v>
      </c>
    </row>
    <row r="288">
      <c r="A288" t="n">
        <v>-1</v>
      </c>
      <c r="B288" t="inlineStr">
        <is>
          <t>01-12-2021</t>
        </is>
      </c>
      <c r="C288" t="n">
        <v>2021</v>
      </c>
      <c r="D288" t="n">
        <v>12</v>
      </c>
      <c r="E288" t="inlineStr">
        <is>
          <t>San Sebastian 012</t>
        </is>
      </c>
      <c r="F288" t="inlineStr">
        <is>
          <t>Chilquinta</t>
        </is>
      </c>
      <c r="G288" t="inlineStr">
        <is>
          <t>Chilquinta</t>
        </is>
      </c>
      <c r="H288" t="inlineStr">
        <is>
          <t>Empresa Eléctrica Carén S.A.</t>
        </is>
      </c>
      <c r="I288" t="inlineStr">
        <is>
          <t>Empresa Eléctrica Carén S.A.</t>
        </is>
      </c>
      <c r="J288" t="inlineStr">
        <is>
          <t>SIC 2013/03_2_BS1B_BB_CHILQUINTA_Empresa Eléctrica Carén S.A.</t>
        </is>
      </c>
      <c r="K288" t="inlineStr">
        <is>
          <t>San Sebastian 012</t>
        </is>
      </c>
      <c r="L288" t="inlineStr">
        <is>
          <t>-1</t>
        </is>
      </c>
      <c r="M288" t="n">
        <v>106.1337927267915</v>
      </c>
      <c r="N288" t="n">
        <v>0</v>
      </c>
      <c r="O288" t="inlineStr">
        <is>
          <t>3</t>
        </is>
      </c>
      <c r="P288" s="2" t="n">
        <v>44999.6862684375</v>
      </c>
      <c r="Q288" t="n">
        <v>11</v>
      </c>
      <c r="R288" t="inlineStr">
        <is>
          <t>QUILLOTA 220</t>
        </is>
      </c>
      <c r="S288" t="n">
        <v>1.671151957914866</v>
      </c>
      <c r="T288" t="n">
        <v>145.8742092647318</v>
      </c>
      <c r="U288" t="n">
        <v>0</v>
      </c>
      <c r="V288" t="n">
        <v>0</v>
      </c>
      <c r="W288" t="inlineStr">
        <is>
          <t>CHILQUINTA</t>
        </is>
      </c>
      <c r="X288" t="n">
        <v>92.86129144034402</v>
      </c>
      <c r="Y288" t="n">
        <v>0.1458742092647318</v>
      </c>
      <c r="Z288" t="n">
        <v>155.1853290050339</v>
      </c>
      <c r="AA288" t="n">
        <v>0</v>
      </c>
      <c r="AB288" t="n">
        <v>0</v>
      </c>
      <c r="AC288" t="n">
        <v>0</v>
      </c>
      <c r="AD288" s="2" t="n">
        <v>44531</v>
      </c>
    </row>
    <row r="289">
      <c r="A289" t="n">
        <v>-1</v>
      </c>
      <c r="B289" t="inlineStr">
        <is>
          <t>01-12-2021</t>
        </is>
      </c>
      <c r="C289" t="n">
        <v>2021</v>
      </c>
      <c r="D289" t="n">
        <v>12</v>
      </c>
      <c r="E289" t="inlineStr">
        <is>
          <t>Valparaiso 012</t>
        </is>
      </c>
      <c r="F289" t="inlineStr">
        <is>
          <t>Chilquinta</t>
        </is>
      </c>
      <c r="G289" t="inlineStr">
        <is>
          <t>Chilquinta</t>
        </is>
      </c>
      <c r="H289" t="inlineStr">
        <is>
          <t>Empresa Eléctrica Carén S.A.</t>
        </is>
      </c>
      <c r="I289" t="inlineStr">
        <is>
          <t>Empresa Eléctrica Carén S.A.</t>
        </is>
      </c>
      <c r="J289" t="inlineStr">
        <is>
          <t>SIC 2013/03_2_BS1B_BB_CHILQUINTA_Empresa Eléctrica Carén S.A.</t>
        </is>
      </c>
      <c r="K289" t="inlineStr">
        <is>
          <t>Valparaiso 012</t>
        </is>
      </c>
      <c r="L289" t="inlineStr">
        <is>
          <t>-1</t>
        </is>
      </c>
      <c r="M289" t="n">
        <v>823.2792178579012</v>
      </c>
      <c r="N289" t="n">
        <v>0</v>
      </c>
      <c r="O289" t="inlineStr">
        <is>
          <t>3</t>
        </is>
      </c>
      <c r="P289" s="2" t="n">
        <v>44999.6862684375</v>
      </c>
      <c r="Q289" t="n">
        <v>31</v>
      </c>
      <c r="R289" t="inlineStr">
        <is>
          <t>LOS MAQUIS 220</t>
        </is>
      </c>
      <c r="S289" t="n">
        <v>29.25089329575685</v>
      </c>
      <c r="T289" t="n">
        <v>2553.29918359402</v>
      </c>
      <c r="U289" t="n">
        <v>0</v>
      </c>
      <c r="V289" t="n">
        <v>0</v>
      </c>
      <c r="W289" t="inlineStr">
        <is>
          <t>CHILQUINTA</t>
        </is>
      </c>
      <c r="X289" t="n">
        <v>92.86129144034402</v>
      </c>
      <c r="Y289" t="n">
        <v>2.55329918359402</v>
      </c>
      <c r="Z289" t="n">
        <v>2716.275727227681</v>
      </c>
      <c r="AA289" t="n">
        <v>0</v>
      </c>
      <c r="AB289" t="n">
        <v>0</v>
      </c>
      <c r="AC289" t="n">
        <v>0</v>
      </c>
      <c r="AD289" s="2" t="n">
        <v>44531</v>
      </c>
    </row>
    <row r="290">
      <c r="A290" t="n">
        <v>-1</v>
      </c>
      <c r="B290" t="inlineStr">
        <is>
          <t>01-12-2021</t>
        </is>
      </c>
      <c r="C290" t="n">
        <v>2021</v>
      </c>
      <c r="D290" t="n">
        <v>12</v>
      </c>
      <c r="E290" t="inlineStr">
        <is>
          <t>Valparaiso 012</t>
        </is>
      </c>
      <c r="F290" t="inlineStr">
        <is>
          <t>Chilquinta</t>
        </is>
      </c>
      <c r="G290" t="inlineStr">
        <is>
          <t>Chilquinta</t>
        </is>
      </c>
      <c r="H290" t="inlineStr">
        <is>
          <t>Empresa Eléctrica Carén S.A.</t>
        </is>
      </c>
      <c r="I290" t="inlineStr">
        <is>
          <t>Empresa Eléctrica Carén S.A.</t>
        </is>
      </c>
      <c r="J290" t="inlineStr">
        <is>
          <t>SIC 2013/03_2_BS1B_BB_CHILQUINTA_Empresa Eléctrica Carén S.A.</t>
        </is>
      </c>
      <c r="K290" t="inlineStr">
        <is>
          <t>Valparaiso 012</t>
        </is>
      </c>
      <c r="L290" t="inlineStr">
        <is>
          <t>-1</t>
        </is>
      </c>
      <c r="M290" t="n">
        <v>823.2792178579012</v>
      </c>
      <c r="N290" t="n">
        <v>0</v>
      </c>
      <c r="O290" t="inlineStr">
        <is>
          <t>3</t>
        </is>
      </c>
      <c r="P290" s="2" t="n">
        <v>44999.6862684375</v>
      </c>
      <c r="Q290" t="n">
        <v>13</v>
      </c>
      <c r="R290" t="inlineStr">
        <is>
          <t>MELIPILLA 220</t>
        </is>
      </c>
      <c r="S290" t="n">
        <v>722.7346352420211</v>
      </c>
      <c r="T290" t="n">
        <v>64641.52361053332</v>
      </c>
      <c r="U290" t="n">
        <v>0</v>
      </c>
      <c r="V290" t="n">
        <v>0</v>
      </c>
      <c r="W290" t="inlineStr">
        <is>
          <t>CHILQUINTA</t>
        </is>
      </c>
      <c r="X290" t="n">
        <v>95.14913905578901</v>
      </c>
      <c r="Y290" t="n">
        <v>64.64152361053334</v>
      </c>
      <c r="Z290" t="n">
        <v>68767.578309078</v>
      </c>
      <c r="AA290" t="n">
        <v>0</v>
      </c>
      <c r="AB290" t="n">
        <v>0</v>
      </c>
      <c r="AC290" t="n">
        <v>0</v>
      </c>
      <c r="AD290" s="2" t="n">
        <v>44531</v>
      </c>
    </row>
    <row r="291">
      <c r="A291" t="n">
        <v>-1</v>
      </c>
      <c r="B291" t="inlineStr">
        <is>
          <t>01-12-2021</t>
        </is>
      </c>
      <c r="C291" t="n">
        <v>2021</v>
      </c>
      <c r="D291" t="n">
        <v>12</v>
      </c>
      <c r="E291" t="inlineStr">
        <is>
          <t>Valparaiso 012</t>
        </is>
      </c>
      <c r="F291" t="inlineStr">
        <is>
          <t>Chilquinta</t>
        </is>
      </c>
      <c r="G291" t="inlineStr">
        <is>
          <t>Chilquinta</t>
        </is>
      </c>
      <c r="H291" t="inlineStr">
        <is>
          <t>Empresa Eléctrica Carén S.A.</t>
        </is>
      </c>
      <c r="I291" t="inlineStr">
        <is>
          <t>Empresa Eléctrica Carén S.A.</t>
        </is>
      </c>
      <c r="J291" t="inlineStr">
        <is>
          <t>SIC 2013/03_2_BS1B_BB_CHILQUINTA_Empresa Eléctrica Carén S.A.</t>
        </is>
      </c>
      <c r="K291" t="inlineStr">
        <is>
          <t>Valparaiso 012</t>
        </is>
      </c>
      <c r="L291" t="inlineStr">
        <is>
          <t>-1</t>
        </is>
      </c>
      <c r="M291" t="n">
        <v>823.2792178579012</v>
      </c>
      <c r="N291" t="n">
        <v>0</v>
      </c>
      <c r="O291" t="inlineStr">
        <is>
          <t>3</t>
        </is>
      </c>
      <c r="P291" s="2" t="n">
        <v>44999.6862684375</v>
      </c>
      <c r="Q291" t="n">
        <v>5</v>
      </c>
      <c r="R291" t="inlineStr">
        <is>
          <t>NOGALES 220</t>
        </is>
      </c>
      <c r="S291" t="n">
        <v>2.205438836600107</v>
      </c>
      <c r="T291" t="n">
        <v>196.9174259695413</v>
      </c>
      <c r="U291" t="n">
        <v>0</v>
      </c>
      <c r="V291" t="n">
        <v>0</v>
      </c>
      <c r="W291" t="inlineStr">
        <is>
          <t>CHILQUINTA</t>
        </is>
      </c>
      <c r="X291" t="n">
        <v>94.98636729132602</v>
      </c>
      <c r="Y291" t="n">
        <v>0.1969174259695413</v>
      </c>
      <c r="Z291" t="n">
        <v>209.4866233718524</v>
      </c>
      <c r="AA291" t="n">
        <v>0</v>
      </c>
      <c r="AB291" t="n">
        <v>0</v>
      </c>
      <c r="AC291" t="n">
        <v>0</v>
      </c>
      <c r="AD291" s="2" t="n">
        <v>44531</v>
      </c>
    </row>
    <row r="292">
      <c r="A292" t="n">
        <v>-1</v>
      </c>
      <c r="B292" t="inlineStr">
        <is>
          <t>01-12-2021</t>
        </is>
      </c>
      <c r="C292" t="n">
        <v>2021</v>
      </c>
      <c r="D292" t="n">
        <v>12</v>
      </c>
      <c r="E292" t="inlineStr">
        <is>
          <t>Valparaiso 012</t>
        </is>
      </c>
      <c r="F292" t="inlineStr">
        <is>
          <t>Chilquinta</t>
        </is>
      </c>
      <c r="G292" t="inlineStr">
        <is>
          <t>Chilquinta</t>
        </is>
      </c>
      <c r="H292" t="inlineStr">
        <is>
          <t>Empresa Eléctrica Carén S.A.</t>
        </is>
      </c>
      <c r="I292" t="inlineStr">
        <is>
          <t>Empresa Eléctrica Carén S.A.</t>
        </is>
      </c>
      <c r="J292" t="inlineStr">
        <is>
          <t>SIC 2013/03_2_BS1B_BB_CHILQUINTA_Empresa Eléctrica Carén S.A.</t>
        </is>
      </c>
      <c r="K292" t="inlineStr">
        <is>
          <t>Valparaiso 012</t>
        </is>
      </c>
      <c r="L292" t="inlineStr">
        <is>
          <t>-1</t>
        </is>
      </c>
      <c r="M292" t="n">
        <v>823.2792178579012</v>
      </c>
      <c r="N292" t="n">
        <v>0</v>
      </c>
      <c r="O292" t="inlineStr">
        <is>
          <t>3</t>
        </is>
      </c>
      <c r="P292" s="2" t="n">
        <v>44999.6862684375</v>
      </c>
      <c r="Q292" t="n">
        <v>11</v>
      </c>
      <c r="R292" t="inlineStr">
        <is>
          <t>QUILLOTA 220</t>
        </is>
      </c>
      <c r="S292" t="n">
        <v>89.74654215377541</v>
      </c>
      <c r="T292" t="n">
        <v>7833.941018302564</v>
      </c>
      <c r="U292" t="n">
        <v>0</v>
      </c>
      <c r="V292" t="n">
        <v>0</v>
      </c>
      <c r="W292" t="inlineStr">
        <is>
          <t>CHILQUINTA</t>
        </is>
      </c>
      <c r="X292" t="n">
        <v>92.86129144034399</v>
      </c>
      <c r="Y292" t="n">
        <v>7.833941018302563</v>
      </c>
      <c r="Z292" t="n">
        <v>8333.979806704856</v>
      </c>
      <c r="AA292" t="n">
        <v>0</v>
      </c>
      <c r="AB292" t="n">
        <v>0</v>
      </c>
      <c r="AC292" t="n">
        <v>0</v>
      </c>
      <c r="AD292" s="2" t="n">
        <v>44531</v>
      </c>
    </row>
    <row r="293">
      <c r="A293" t="n">
        <v>-1</v>
      </c>
      <c r="B293" t="inlineStr">
        <is>
          <t>01-01-2022</t>
        </is>
      </c>
      <c r="C293" t="n">
        <v>2022</v>
      </c>
      <c r="D293" t="n">
        <v>1</v>
      </c>
      <c r="E293" t="inlineStr">
        <is>
          <t>Bosquemar 012</t>
        </is>
      </c>
      <c r="F293" t="inlineStr">
        <is>
          <t>Chilquinta</t>
        </is>
      </c>
      <c r="G293" t="inlineStr">
        <is>
          <t>Chilquinta</t>
        </is>
      </c>
      <c r="H293" t="inlineStr">
        <is>
          <t>Empresa Eléctrica Carén S.A.</t>
        </is>
      </c>
      <c r="I293" t="inlineStr">
        <is>
          <t>Empresa Eléctrica Carén S.A.</t>
        </is>
      </c>
      <c r="J293" t="inlineStr">
        <is>
          <t>SIC 2013/03_2_BS1B_BB_CHILQUINTA_Empresa Eléctrica Carén S.A.</t>
        </is>
      </c>
      <c r="K293" t="inlineStr">
        <is>
          <t>Bosquemar 012</t>
        </is>
      </c>
      <c r="L293" t="inlineStr">
        <is>
          <t>-1</t>
        </is>
      </c>
      <c r="M293" t="n">
        <v>419.3925565782182</v>
      </c>
      <c r="N293" t="n">
        <v>0</v>
      </c>
      <c r="O293" t="inlineStr">
        <is>
          <t>3</t>
        </is>
      </c>
      <c r="P293" s="2" t="n">
        <v>44999.6862684375</v>
      </c>
      <c r="Q293" t="n">
        <v>31</v>
      </c>
      <c r="R293" t="inlineStr">
        <is>
          <t>LOS MAQUIS 220</t>
        </is>
      </c>
      <c r="S293" t="n">
        <v>45.35418848784636</v>
      </c>
      <c r="T293" t="n">
        <v>4105.807514718404</v>
      </c>
      <c r="U293" t="n">
        <v>0</v>
      </c>
      <c r="V293" t="n">
        <v>0</v>
      </c>
      <c r="W293" t="inlineStr">
        <is>
          <t>CHILQUINTA</t>
        </is>
      </c>
      <c r="X293" t="n">
        <v>96.30599687562001</v>
      </c>
      <c r="Y293" t="n">
        <v>4.105807514718403</v>
      </c>
      <c r="Z293" t="n">
        <v>4367.880334806812</v>
      </c>
      <c r="AA293" t="n">
        <v>0</v>
      </c>
      <c r="AB293" t="n">
        <v>0</v>
      </c>
      <c r="AC293" t="n">
        <v>0</v>
      </c>
      <c r="AD293" s="2" t="n">
        <v>44562</v>
      </c>
    </row>
    <row r="294">
      <c r="A294" t="n">
        <v>-1</v>
      </c>
      <c r="B294" t="inlineStr">
        <is>
          <t>01-01-2022</t>
        </is>
      </c>
      <c r="C294" t="n">
        <v>2022</v>
      </c>
      <c r="D294" t="n">
        <v>1</v>
      </c>
      <c r="E294" t="inlineStr">
        <is>
          <t>Bosquemar 012</t>
        </is>
      </c>
      <c r="F294" t="inlineStr">
        <is>
          <t>Chilquinta</t>
        </is>
      </c>
      <c r="G294" t="inlineStr">
        <is>
          <t>Chilquinta</t>
        </is>
      </c>
      <c r="H294" t="inlineStr">
        <is>
          <t>Empresa Eléctrica Carén S.A.</t>
        </is>
      </c>
      <c r="I294" t="inlineStr">
        <is>
          <t>Empresa Eléctrica Carén S.A.</t>
        </is>
      </c>
      <c r="J294" t="inlineStr">
        <is>
          <t>SIC 2013/03_2_BS1B_BB_CHILQUINTA_Empresa Eléctrica Carén S.A.</t>
        </is>
      </c>
      <c r="K294" t="inlineStr">
        <is>
          <t>Bosquemar 012</t>
        </is>
      </c>
      <c r="L294" t="inlineStr">
        <is>
          <t>-1</t>
        </is>
      </c>
      <c r="M294" t="n">
        <v>419.3925565782182</v>
      </c>
      <c r="N294" t="n">
        <v>0</v>
      </c>
      <c r="O294" t="inlineStr">
        <is>
          <t>3</t>
        </is>
      </c>
      <c r="P294" s="2" t="n">
        <v>44999.6862684375</v>
      </c>
      <c r="Q294" t="n">
        <v>13</v>
      </c>
      <c r="R294" t="inlineStr">
        <is>
          <t>MELIPILLA 220</t>
        </is>
      </c>
      <c r="S294" t="n">
        <v>70.35829982061338</v>
      </c>
      <c r="T294" t="n">
        <v>6440.257846267159</v>
      </c>
      <c r="U294" t="n">
        <v>0</v>
      </c>
      <c r="V294" t="n">
        <v>0</v>
      </c>
      <c r="W294" t="inlineStr">
        <is>
          <t>CHILQUINTA</t>
        </is>
      </c>
      <c r="X294" t="n">
        <v>97.37782396383999</v>
      </c>
      <c r="Y294" t="n">
        <v>6.440257846267158</v>
      </c>
      <c r="Z294" t="n">
        <v>6851.338134326766</v>
      </c>
      <c r="AA294" t="n">
        <v>0</v>
      </c>
      <c r="AB294" t="n">
        <v>0</v>
      </c>
      <c r="AC294" t="n">
        <v>0</v>
      </c>
      <c r="AD294" s="2" t="n">
        <v>44562</v>
      </c>
    </row>
    <row r="295">
      <c r="A295" t="n">
        <v>-1</v>
      </c>
      <c r="B295" t="inlineStr">
        <is>
          <t>01-01-2022</t>
        </is>
      </c>
      <c r="C295" t="n">
        <v>2022</v>
      </c>
      <c r="D295" t="n">
        <v>1</v>
      </c>
      <c r="E295" t="inlineStr">
        <is>
          <t>Bosquemar 012</t>
        </is>
      </c>
      <c r="F295" t="inlineStr">
        <is>
          <t>Chilquinta</t>
        </is>
      </c>
      <c r="G295" t="inlineStr">
        <is>
          <t>Chilquinta</t>
        </is>
      </c>
      <c r="H295" t="inlineStr">
        <is>
          <t>Empresa Eléctrica Carén S.A.</t>
        </is>
      </c>
      <c r="I295" t="inlineStr">
        <is>
          <t>Empresa Eléctrica Carén S.A.</t>
        </is>
      </c>
      <c r="J295" t="inlineStr">
        <is>
          <t>SIC 2013/03_2_BS1B_BB_CHILQUINTA_Empresa Eléctrica Carén S.A.</t>
        </is>
      </c>
      <c r="K295" t="inlineStr">
        <is>
          <t>Bosquemar 012</t>
        </is>
      </c>
      <c r="L295" t="inlineStr">
        <is>
          <t>-1</t>
        </is>
      </c>
      <c r="M295" t="n">
        <v>419.3925565782182</v>
      </c>
      <c r="N295" t="n">
        <v>0</v>
      </c>
      <c r="O295" t="inlineStr">
        <is>
          <t>3</t>
        </is>
      </c>
      <c r="P295" s="2" t="n">
        <v>44999.6862684375</v>
      </c>
      <c r="Q295" t="n">
        <v>5</v>
      </c>
      <c r="R295" t="inlineStr">
        <is>
          <t>NOGALES 220</t>
        </is>
      </c>
      <c r="S295" t="n">
        <v>77.07408407887081</v>
      </c>
      <c r="T295" t="n">
        <v>7262.964496030347</v>
      </c>
      <c r="U295" t="n">
        <v>0</v>
      </c>
      <c r="V295" t="n">
        <v>0</v>
      </c>
      <c r="W295" t="inlineStr">
        <is>
          <t>CHILQUINTA</t>
        </is>
      </c>
      <c r="X295" t="n">
        <v>100.24845662251</v>
      </c>
      <c r="Y295" t="n">
        <v>7.262964496030347</v>
      </c>
      <c r="Z295" t="n">
        <v>7726.55797450037</v>
      </c>
      <c r="AA295" t="n">
        <v>0</v>
      </c>
      <c r="AB295" t="n">
        <v>0</v>
      </c>
      <c r="AC295" t="n">
        <v>0</v>
      </c>
      <c r="AD295" s="2" t="n">
        <v>44562</v>
      </c>
    </row>
    <row r="296">
      <c r="A296" t="n">
        <v>-1</v>
      </c>
      <c r="B296" t="inlineStr">
        <is>
          <t>01-01-2022</t>
        </is>
      </c>
      <c r="C296" t="n">
        <v>2022</v>
      </c>
      <c r="D296" t="n">
        <v>1</v>
      </c>
      <c r="E296" t="inlineStr">
        <is>
          <t>Bosquemar 012</t>
        </is>
      </c>
      <c r="F296" t="inlineStr">
        <is>
          <t>Chilquinta</t>
        </is>
      </c>
      <c r="G296" t="inlineStr">
        <is>
          <t>Chilquinta</t>
        </is>
      </c>
      <c r="H296" t="inlineStr">
        <is>
          <t>Empresa Eléctrica Carén S.A.</t>
        </is>
      </c>
      <c r="I296" t="inlineStr">
        <is>
          <t>Empresa Eléctrica Carén S.A.</t>
        </is>
      </c>
      <c r="J296" t="inlineStr">
        <is>
          <t>SIC 2013/03_2_BS1B_BB_CHILQUINTA_Empresa Eléctrica Carén S.A.</t>
        </is>
      </c>
      <c r="K296" t="inlineStr">
        <is>
          <t>Bosquemar 012</t>
        </is>
      </c>
      <c r="L296" t="inlineStr">
        <is>
          <t>-1</t>
        </is>
      </c>
      <c r="M296" t="n">
        <v>419.3925565782182</v>
      </c>
      <c r="N296" t="n">
        <v>0</v>
      </c>
      <c r="O296" t="inlineStr">
        <is>
          <t>3</t>
        </is>
      </c>
      <c r="P296" s="2" t="n">
        <v>44999.6862684375</v>
      </c>
      <c r="Q296" t="n">
        <v>11</v>
      </c>
      <c r="R296" t="inlineStr">
        <is>
          <t>QUILLOTA 220</t>
        </is>
      </c>
      <c r="S296" t="n">
        <v>238.5418963511037</v>
      </c>
      <c r="T296" t="n">
        <v>21782.7225884644</v>
      </c>
      <c r="U296" t="n">
        <v>0</v>
      </c>
      <c r="V296" t="n">
        <v>0</v>
      </c>
      <c r="W296" t="inlineStr">
        <is>
          <t>CHILQUINTA</t>
        </is>
      </c>
      <c r="X296" t="n">
        <v>97.14481812686</v>
      </c>
      <c r="Y296" t="n">
        <v>21.7827225884644</v>
      </c>
      <c r="Z296" t="n">
        <v>23173.10913666426</v>
      </c>
      <c r="AA296" t="n">
        <v>0</v>
      </c>
      <c r="AB296" t="n">
        <v>0</v>
      </c>
      <c r="AC296" t="n">
        <v>0</v>
      </c>
      <c r="AD296" s="2" t="n">
        <v>44562</v>
      </c>
    </row>
    <row r="297">
      <c r="A297" t="n">
        <v>-1</v>
      </c>
      <c r="B297" t="inlineStr">
        <is>
          <t>01-01-2022</t>
        </is>
      </c>
      <c r="C297" t="n">
        <v>2022</v>
      </c>
      <c r="D297" t="n">
        <v>1</v>
      </c>
      <c r="E297" t="inlineStr">
        <is>
          <t>Casablanca 012</t>
        </is>
      </c>
      <c r="F297" t="inlineStr">
        <is>
          <t>Chilquinta</t>
        </is>
      </c>
      <c r="G297" t="inlineStr">
        <is>
          <t>Chilquinta</t>
        </is>
      </c>
      <c r="H297" t="inlineStr">
        <is>
          <t>Empresa Eléctrica Carén S.A.</t>
        </is>
      </c>
      <c r="I297" t="inlineStr">
        <is>
          <t>Empresa Eléctrica Carén S.A.</t>
        </is>
      </c>
      <c r="J297" t="inlineStr">
        <is>
          <t>SIC 2013/03_2_BS1B_BB_CHILQUINTA_Empresa Eléctrica Carén S.A.</t>
        </is>
      </c>
      <c r="K297" t="inlineStr">
        <is>
          <t>Casablanca 012</t>
        </is>
      </c>
      <c r="L297" t="inlineStr">
        <is>
          <t>-1</t>
        </is>
      </c>
      <c r="M297" t="n">
        <v>4.028618731436627</v>
      </c>
      <c r="N297" t="n">
        <v>0</v>
      </c>
      <c r="O297" t="inlineStr">
        <is>
          <t>3</t>
        </is>
      </c>
      <c r="P297" s="2" t="n">
        <v>44999.6862684375</v>
      </c>
      <c r="Q297" t="n">
        <v>31</v>
      </c>
      <c r="R297" t="inlineStr">
        <is>
          <t>LOS MAQUIS 220</t>
        </is>
      </c>
      <c r="S297" t="n">
        <v>0.006919266278290633</v>
      </c>
      <c r="T297" t="n">
        <v>0.6263848263839221</v>
      </c>
      <c r="U297" t="n">
        <v>0</v>
      </c>
      <c r="V297" t="n">
        <v>0</v>
      </c>
      <c r="W297" t="inlineStr">
        <is>
          <t>CHILQUINTA</t>
        </is>
      </c>
      <c r="X297" t="n">
        <v>96.30599687562001</v>
      </c>
      <c r="Y297" t="n">
        <v>0.0006263848263839221</v>
      </c>
      <c r="Z297" t="n">
        <v>0.6663668365786406</v>
      </c>
      <c r="AA297" t="n">
        <v>0</v>
      </c>
      <c r="AB297" t="n">
        <v>0</v>
      </c>
      <c r="AC297" t="n">
        <v>0</v>
      </c>
      <c r="AD297" s="2" t="n">
        <v>44562</v>
      </c>
    </row>
    <row r="298">
      <c r="A298" t="n">
        <v>-1</v>
      </c>
      <c r="B298" t="inlineStr">
        <is>
          <t>01-01-2022</t>
        </is>
      </c>
      <c r="C298" t="n">
        <v>2022</v>
      </c>
      <c r="D298" t="n">
        <v>1</v>
      </c>
      <c r="E298" t="inlineStr">
        <is>
          <t>Casablanca 012</t>
        </is>
      </c>
      <c r="F298" t="inlineStr">
        <is>
          <t>Chilquinta</t>
        </is>
      </c>
      <c r="G298" t="inlineStr">
        <is>
          <t>Chilquinta</t>
        </is>
      </c>
      <c r="H298" t="inlineStr">
        <is>
          <t>Empresa Eléctrica Carén S.A.</t>
        </is>
      </c>
      <c r="I298" t="inlineStr">
        <is>
          <t>Empresa Eléctrica Carén S.A.</t>
        </is>
      </c>
      <c r="J298" t="inlineStr">
        <is>
          <t>SIC 2013/03_2_BS1B_BB_CHILQUINTA_Empresa Eléctrica Carén S.A.</t>
        </is>
      </c>
      <c r="K298" t="inlineStr">
        <is>
          <t>Casablanca 012</t>
        </is>
      </c>
      <c r="L298" t="inlineStr">
        <is>
          <t>-1</t>
        </is>
      </c>
      <c r="M298" t="n">
        <v>4.028618731436627</v>
      </c>
      <c r="N298" t="n">
        <v>0</v>
      </c>
      <c r="O298" t="inlineStr">
        <is>
          <t>3</t>
        </is>
      </c>
      <c r="P298" s="2" t="n">
        <v>44999.6862684375</v>
      </c>
      <c r="Q298" t="n">
        <v>13</v>
      </c>
      <c r="R298" t="inlineStr">
        <is>
          <t>MELIPILLA 220</t>
        </is>
      </c>
      <c r="S298" t="n">
        <v>4.06898433168915</v>
      </c>
      <c r="T298" t="n">
        <v>372.4551095650783</v>
      </c>
      <c r="U298" t="n">
        <v>0</v>
      </c>
      <c r="V298" t="n">
        <v>0</v>
      </c>
      <c r="W298" t="inlineStr">
        <is>
          <t>CHILQUINTA</t>
        </is>
      </c>
      <c r="X298" t="n">
        <v>97.37782396384</v>
      </c>
      <c r="Y298" t="n">
        <v>0.3724551095650783</v>
      </c>
      <c r="Z298" t="n">
        <v>396.2288399628492</v>
      </c>
      <c r="AA298" t="n">
        <v>0</v>
      </c>
      <c r="AB298" t="n">
        <v>0</v>
      </c>
      <c r="AC298" t="n">
        <v>0</v>
      </c>
      <c r="AD298" s="2" t="n">
        <v>44562</v>
      </c>
    </row>
    <row r="299">
      <c r="A299" t="n">
        <v>-1</v>
      </c>
      <c r="B299" t="inlineStr">
        <is>
          <t>01-01-2022</t>
        </is>
      </c>
      <c r="C299" t="n">
        <v>2022</v>
      </c>
      <c r="D299" t="n">
        <v>1</v>
      </c>
      <c r="E299" t="inlineStr">
        <is>
          <t>Casablanca 012</t>
        </is>
      </c>
      <c r="F299" t="inlineStr">
        <is>
          <t>Chilquinta</t>
        </is>
      </c>
      <c r="G299" t="inlineStr">
        <is>
          <t>Chilquinta</t>
        </is>
      </c>
      <c r="H299" t="inlineStr">
        <is>
          <t>Empresa Eléctrica Carén S.A.</t>
        </is>
      </c>
      <c r="I299" t="inlineStr">
        <is>
          <t>Empresa Eléctrica Carén S.A.</t>
        </is>
      </c>
      <c r="J299" t="inlineStr">
        <is>
          <t>SIC 2013/03_2_BS1B_BB_CHILQUINTA_Empresa Eléctrica Carén S.A.</t>
        </is>
      </c>
      <c r="K299" t="inlineStr">
        <is>
          <t>Casablanca 012</t>
        </is>
      </c>
      <c r="L299" t="inlineStr">
        <is>
          <t>-1</t>
        </is>
      </c>
      <c r="M299" t="n">
        <v>4.028618731436627</v>
      </c>
      <c r="N299" t="n">
        <v>0</v>
      </c>
      <c r="O299" t="inlineStr">
        <is>
          <t>3</t>
        </is>
      </c>
      <c r="P299" s="2" t="n">
        <v>44999.6862684375</v>
      </c>
      <c r="Q299" t="n">
        <v>5</v>
      </c>
      <c r="R299" t="inlineStr">
        <is>
          <t>NOGALES 220</t>
        </is>
      </c>
      <c r="S299" t="n">
        <v>0.0135070706989386</v>
      </c>
      <c r="T299" t="n">
        <v>1.272819211596139</v>
      </c>
      <c r="U299" t="n">
        <v>0</v>
      </c>
      <c r="V299" t="n">
        <v>0</v>
      </c>
      <c r="W299" t="inlineStr">
        <is>
          <t>CHILQUINTA</t>
        </is>
      </c>
      <c r="X299" t="n">
        <v>100.24845662251</v>
      </c>
      <c r="Y299" t="n">
        <v>0.001272819211596139</v>
      </c>
      <c r="Z299" t="n">
        <v>1.354062991059722</v>
      </c>
      <c r="AA299" t="n">
        <v>0</v>
      </c>
      <c r="AB299" t="n">
        <v>0</v>
      </c>
      <c r="AC299" t="n">
        <v>0</v>
      </c>
      <c r="AD299" s="2" t="n">
        <v>44562</v>
      </c>
    </row>
    <row r="300">
      <c r="A300" t="n">
        <v>-1</v>
      </c>
      <c r="B300" t="inlineStr">
        <is>
          <t>01-01-2022</t>
        </is>
      </c>
      <c r="C300" t="n">
        <v>2022</v>
      </c>
      <c r="D300" t="n">
        <v>1</v>
      </c>
      <c r="E300" t="inlineStr">
        <is>
          <t>Casablanca 012</t>
        </is>
      </c>
      <c r="F300" t="inlineStr">
        <is>
          <t>Chilquinta</t>
        </is>
      </c>
      <c r="G300" t="inlineStr">
        <is>
          <t>Chilquinta</t>
        </is>
      </c>
      <c r="H300" t="inlineStr">
        <is>
          <t>Empresa Eléctrica Carén S.A.</t>
        </is>
      </c>
      <c r="I300" t="inlineStr">
        <is>
          <t>Empresa Eléctrica Carén S.A.</t>
        </is>
      </c>
      <c r="J300" t="inlineStr">
        <is>
          <t>SIC 2013/03_2_BS1B_BB_CHILQUINTA_Empresa Eléctrica Carén S.A.</t>
        </is>
      </c>
      <c r="K300" t="inlineStr">
        <is>
          <t>Casablanca 012</t>
        </is>
      </c>
      <c r="L300" t="inlineStr">
        <is>
          <t>-1</t>
        </is>
      </c>
      <c r="M300" t="n">
        <v>4.028618731436627</v>
      </c>
      <c r="N300" t="n">
        <v>0</v>
      </c>
      <c r="O300" t="inlineStr">
        <is>
          <t>3</t>
        </is>
      </c>
      <c r="P300" s="2" t="n">
        <v>44999.6862684375</v>
      </c>
      <c r="Q300" t="n">
        <v>11</v>
      </c>
      <c r="R300" t="inlineStr">
        <is>
          <t>QUILLOTA 220</t>
        </is>
      </c>
      <c r="S300" t="n">
        <v>0.05386255186693306</v>
      </c>
      <c r="T300" t="n">
        <v>4.918519736664069</v>
      </c>
      <c r="U300" t="n">
        <v>0</v>
      </c>
      <c r="V300" t="n">
        <v>0</v>
      </c>
      <c r="W300" t="inlineStr">
        <is>
          <t>CHILQUINTA</t>
        </is>
      </c>
      <c r="X300" t="n">
        <v>97.14481812686</v>
      </c>
      <c r="Y300" t="n">
        <v>0.00491851973666407</v>
      </c>
      <c r="Z300" t="n">
        <v>5.232467804961776</v>
      </c>
      <c r="AA300" t="n">
        <v>0</v>
      </c>
      <c r="AB300" t="n">
        <v>0</v>
      </c>
      <c r="AC300" t="n">
        <v>0</v>
      </c>
      <c r="AD300" s="2" t="n">
        <v>44562</v>
      </c>
    </row>
    <row r="301">
      <c r="A301" t="n">
        <v>-1</v>
      </c>
      <c r="B301" t="inlineStr">
        <is>
          <t>01-01-2022</t>
        </is>
      </c>
      <c r="C301" t="n">
        <v>2022</v>
      </c>
      <c r="D301" t="n">
        <v>1</v>
      </c>
      <c r="E301" t="inlineStr">
        <is>
          <t>Catemu 012</t>
        </is>
      </c>
      <c r="F301" t="inlineStr">
        <is>
          <t>Chilquinta</t>
        </is>
      </c>
      <c r="G301" t="inlineStr">
        <is>
          <t>Chilquinta</t>
        </is>
      </c>
      <c r="H301" t="inlineStr">
        <is>
          <t>Empresa Eléctrica Carén S.A.</t>
        </is>
      </c>
      <c r="I301" t="inlineStr">
        <is>
          <t>Empresa Eléctrica Carén S.A.</t>
        </is>
      </c>
      <c r="J301" t="inlineStr">
        <is>
          <t>SIC 2013/03_2_BS1B_BB_CHILQUINTA_Empresa Eléctrica Carén S.A.</t>
        </is>
      </c>
      <c r="K301" t="inlineStr">
        <is>
          <t>Catemu 012</t>
        </is>
      </c>
      <c r="L301" t="inlineStr">
        <is>
          <t>-1</t>
        </is>
      </c>
      <c r="M301" t="n">
        <v>195.5629110946913</v>
      </c>
      <c r="N301" t="n">
        <v>0</v>
      </c>
      <c r="O301" t="inlineStr">
        <is>
          <t>3</t>
        </is>
      </c>
      <c r="P301" s="2" t="n">
        <v>44999.6862684375</v>
      </c>
      <c r="Q301" t="n">
        <v>31</v>
      </c>
      <c r="R301" t="inlineStr">
        <is>
          <t>LOS MAQUIS 220</t>
        </is>
      </c>
      <c r="S301" t="n">
        <v>83.25116316887718</v>
      </c>
      <c r="T301" t="n">
        <v>7536.531084431599</v>
      </c>
      <c r="U301" t="n">
        <v>0</v>
      </c>
      <c r="V301" t="n">
        <v>0</v>
      </c>
      <c r="W301" t="inlineStr">
        <is>
          <t>CHILQUINTA</t>
        </is>
      </c>
      <c r="X301" t="n">
        <v>96.30599687562001</v>
      </c>
      <c r="Y301" t="n">
        <v>7.5365310844316</v>
      </c>
      <c r="Z301" t="n">
        <v>8017.586260033617</v>
      </c>
      <c r="AA301" t="n">
        <v>0</v>
      </c>
      <c r="AB301" t="n">
        <v>0</v>
      </c>
      <c r="AC301" t="n">
        <v>0</v>
      </c>
      <c r="AD301" s="2" t="n">
        <v>44562</v>
      </c>
    </row>
    <row r="302">
      <c r="A302" t="n">
        <v>-1</v>
      </c>
      <c r="B302" t="inlineStr">
        <is>
          <t>01-01-2022</t>
        </is>
      </c>
      <c r="C302" t="n">
        <v>2022</v>
      </c>
      <c r="D302" t="n">
        <v>1</v>
      </c>
      <c r="E302" t="inlineStr">
        <is>
          <t>Catemu 012</t>
        </is>
      </c>
      <c r="F302" t="inlineStr">
        <is>
          <t>Chilquinta</t>
        </is>
      </c>
      <c r="G302" t="inlineStr">
        <is>
          <t>Chilquinta</t>
        </is>
      </c>
      <c r="H302" t="inlineStr">
        <is>
          <t>Empresa Eléctrica Carén S.A.</t>
        </is>
      </c>
      <c r="I302" t="inlineStr">
        <is>
          <t>Empresa Eléctrica Carén S.A.</t>
        </is>
      </c>
      <c r="J302" t="inlineStr">
        <is>
          <t>SIC 2013/03_2_BS1B_BB_CHILQUINTA_Empresa Eléctrica Carén S.A.</t>
        </is>
      </c>
      <c r="K302" t="inlineStr">
        <is>
          <t>Catemu 012</t>
        </is>
      </c>
      <c r="L302" t="inlineStr">
        <is>
          <t>-1</t>
        </is>
      </c>
      <c r="M302" t="n">
        <v>195.5629110946913</v>
      </c>
      <c r="N302" t="n">
        <v>0</v>
      </c>
      <c r="O302" t="inlineStr">
        <is>
          <t>3</t>
        </is>
      </c>
      <c r="P302" s="2" t="n">
        <v>44999.6862684375</v>
      </c>
      <c r="Q302" t="n">
        <v>13</v>
      </c>
      <c r="R302" t="inlineStr">
        <is>
          <t>MELIPILLA 220</t>
        </is>
      </c>
      <c r="S302" t="n">
        <v>10.53310643398265</v>
      </c>
      <c r="T302" t="n">
        <v>964.1495250735076</v>
      </c>
      <c r="U302" t="n">
        <v>0</v>
      </c>
      <c r="V302" t="n">
        <v>0</v>
      </c>
      <c r="W302" t="inlineStr">
        <is>
          <t>CHILQUINTA</t>
        </is>
      </c>
      <c r="X302" t="n">
        <v>97.37782396384</v>
      </c>
      <c r="Y302" t="n">
        <v>0.9641495250735077</v>
      </c>
      <c r="Z302" t="n">
        <v>1025.690984120753</v>
      </c>
      <c r="AA302" t="n">
        <v>0</v>
      </c>
      <c r="AB302" t="n">
        <v>0</v>
      </c>
      <c r="AC302" t="n">
        <v>0</v>
      </c>
      <c r="AD302" s="2" t="n">
        <v>44562</v>
      </c>
    </row>
    <row r="303">
      <c r="A303" t="n">
        <v>-1</v>
      </c>
      <c r="B303" t="inlineStr">
        <is>
          <t>01-01-2022</t>
        </is>
      </c>
      <c r="C303" t="n">
        <v>2022</v>
      </c>
      <c r="D303" t="n">
        <v>1</v>
      </c>
      <c r="E303" t="inlineStr">
        <is>
          <t>Catemu 012</t>
        </is>
      </c>
      <c r="F303" t="inlineStr">
        <is>
          <t>Chilquinta</t>
        </is>
      </c>
      <c r="G303" t="inlineStr">
        <is>
          <t>Chilquinta</t>
        </is>
      </c>
      <c r="H303" t="inlineStr">
        <is>
          <t>Empresa Eléctrica Carén S.A.</t>
        </is>
      </c>
      <c r="I303" t="inlineStr">
        <is>
          <t>Empresa Eléctrica Carén S.A.</t>
        </is>
      </c>
      <c r="J303" t="inlineStr">
        <is>
          <t>SIC 2013/03_2_BS1B_BB_CHILQUINTA_Empresa Eléctrica Carén S.A.</t>
        </is>
      </c>
      <c r="K303" t="inlineStr">
        <is>
          <t>Catemu 012</t>
        </is>
      </c>
      <c r="L303" t="inlineStr">
        <is>
          <t>-1</t>
        </is>
      </c>
      <c r="M303" t="n">
        <v>195.5629110946913</v>
      </c>
      <c r="N303" t="n">
        <v>0</v>
      </c>
      <c r="O303" t="inlineStr">
        <is>
          <t>3</t>
        </is>
      </c>
      <c r="P303" s="2" t="n">
        <v>44999.6862684375</v>
      </c>
      <c r="Q303" t="n">
        <v>5</v>
      </c>
      <c r="R303" t="inlineStr">
        <is>
          <t>NOGALES 220</t>
        </is>
      </c>
      <c r="S303" t="n">
        <v>22.52037287403164</v>
      </c>
      <c r="T303" t="n">
        <v>2122.174665794005</v>
      </c>
      <c r="U303" t="n">
        <v>0</v>
      </c>
      <c r="V303" t="n">
        <v>0</v>
      </c>
      <c r="W303" t="inlineStr">
        <is>
          <t>CHILQUINTA</t>
        </is>
      </c>
      <c r="X303" t="n">
        <v>100.24845662251</v>
      </c>
      <c r="Y303" t="n">
        <v>2.122174665794005</v>
      </c>
      <c r="Z303" t="n">
        <v>2257.632623185112</v>
      </c>
      <c r="AA303" t="n">
        <v>0</v>
      </c>
      <c r="AB303" t="n">
        <v>0</v>
      </c>
      <c r="AC303" t="n">
        <v>0</v>
      </c>
      <c r="AD303" s="2" t="n">
        <v>44562</v>
      </c>
    </row>
    <row r="304">
      <c r="A304" t="n">
        <v>-1</v>
      </c>
      <c r="B304" t="inlineStr">
        <is>
          <t>01-01-2022</t>
        </is>
      </c>
      <c r="C304" t="n">
        <v>2022</v>
      </c>
      <c r="D304" t="n">
        <v>1</v>
      </c>
      <c r="E304" t="inlineStr">
        <is>
          <t>Catemu 012</t>
        </is>
      </c>
      <c r="F304" t="inlineStr">
        <is>
          <t>Chilquinta</t>
        </is>
      </c>
      <c r="G304" t="inlineStr">
        <is>
          <t>Chilquinta</t>
        </is>
      </c>
      <c r="H304" t="inlineStr">
        <is>
          <t>Empresa Eléctrica Carén S.A.</t>
        </is>
      </c>
      <c r="I304" t="inlineStr">
        <is>
          <t>Empresa Eléctrica Carén S.A.</t>
        </is>
      </c>
      <c r="J304" t="inlineStr">
        <is>
          <t>SIC 2013/03_2_BS1B_BB_CHILQUINTA_Empresa Eléctrica Carén S.A.</t>
        </is>
      </c>
      <c r="K304" t="inlineStr">
        <is>
          <t>Catemu 012</t>
        </is>
      </c>
      <c r="L304" t="inlineStr">
        <is>
          <t>-1</t>
        </is>
      </c>
      <c r="M304" t="n">
        <v>195.5629110946913</v>
      </c>
      <c r="N304" t="n">
        <v>0</v>
      </c>
      <c r="O304" t="inlineStr">
        <is>
          <t>3</t>
        </is>
      </c>
      <c r="P304" s="2" t="n">
        <v>44999.6862684375</v>
      </c>
      <c r="Q304" t="n">
        <v>11</v>
      </c>
      <c r="R304" t="inlineStr">
        <is>
          <t>QUILLOTA 220</t>
        </is>
      </c>
      <c r="S304" t="n">
        <v>84.82398906755475</v>
      </c>
      <c r="T304" t="n">
        <v>7745.798331316625</v>
      </c>
      <c r="U304" t="n">
        <v>0</v>
      </c>
      <c r="V304" t="n">
        <v>0</v>
      </c>
      <c r="W304" t="inlineStr">
        <is>
          <t>CHILQUINTA</t>
        </is>
      </c>
      <c r="X304" t="n">
        <v>97.14481812686</v>
      </c>
      <c r="Y304" t="n">
        <v>7.745798331316625</v>
      </c>
      <c r="Z304" t="n">
        <v>8240.210990762367</v>
      </c>
      <c r="AA304" t="n">
        <v>0</v>
      </c>
      <c r="AB304" t="n">
        <v>0</v>
      </c>
      <c r="AC304" t="n">
        <v>0</v>
      </c>
      <c r="AD304" s="2" t="n">
        <v>44562</v>
      </c>
    </row>
    <row r="305">
      <c r="A305" t="n">
        <v>-1</v>
      </c>
      <c r="B305" t="inlineStr">
        <is>
          <t>01-01-2022</t>
        </is>
      </c>
      <c r="C305" t="n">
        <v>2022</v>
      </c>
      <c r="D305" t="n">
        <v>1</v>
      </c>
      <c r="E305" t="inlineStr">
        <is>
          <t>Con Con 012</t>
        </is>
      </c>
      <c r="F305" t="inlineStr">
        <is>
          <t>Chilquinta</t>
        </is>
      </c>
      <c r="G305" t="inlineStr">
        <is>
          <t>Chilquinta</t>
        </is>
      </c>
      <c r="H305" t="inlineStr">
        <is>
          <t>Empresa Eléctrica Carén S.A.</t>
        </is>
      </c>
      <c r="I305" t="inlineStr">
        <is>
          <t>Empresa Eléctrica Carén S.A.</t>
        </is>
      </c>
      <c r="J305" t="inlineStr">
        <is>
          <t>SIC 2013/03_2_BS1B_BB_CHILQUINTA_Empresa Eléctrica Carén S.A.</t>
        </is>
      </c>
      <c r="K305" t="inlineStr">
        <is>
          <t>Con Con 012</t>
        </is>
      </c>
      <c r="L305" t="inlineStr">
        <is>
          <t>-1</t>
        </is>
      </c>
      <c r="M305" t="n">
        <v>273.0547857471757</v>
      </c>
      <c r="N305" t="n">
        <v>0</v>
      </c>
      <c r="O305" t="inlineStr">
        <is>
          <t>3</t>
        </is>
      </c>
      <c r="P305" s="2" t="n">
        <v>44999.6862684375</v>
      </c>
      <c r="Q305" t="n">
        <v>31</v>
      </c>
      <c r="R305" t="inlineStr">
        <is>
          <t>LOS MAQUIS 220</t>
        </is>
      </c>
      <c r="S305" t="n">
        <v>22.67388518042588</v>
      </c>
      <c r="T305" t="n">
        <v>2052.613248423606</v>
      </c>
      <c r="U305" t="n">
        <v>0</v>
      </c>
      <c r="V305" t="n">
        <v>0</v>
      </c>
      <c r="W305" t="inlineStr">
        <is>
          <t>CHILQUINTA</t>
        </is>
      </c>
      <c r="X305" t="n">
        <v>96.30599687562</v>
      </c>
      <c r="Y305" t="n">
        <v>2.052613248423606</v>
      </c>
      <c r="Z305" t="n">
        <v>2183.631115344262</v>
      </c>
      <c r="AA305" t="n">
        <v>0</v>
      </c>
      <c r="AB305" t="n">
        <v>0</v>
      </c>
      <c r="AC305" t="n">
        <v>0</v>
      </c>
      <c r="AD305" s="2" t="n">
        <v>44562</v>
      </c>
    </row>
    <row r="306">
      <c r="A306" t="n">
        <v>-1</v>
      </c>
      <c r="B306" t="inlineStr">
        <is>
          <t>01-01-2022</t>
        </is>
      </c>
      <c r="C306" t="n">
        <v>2022</v>
      </c>
      <c r="D306" t="n">
        <v>1</v>
      </c>
      <c r="E306" t="inlineStr">
        <is>
          <t>Con Con 012</t>
        </is>
      </c>
      <c r="F306" t="inlineStr">
        <is>
          <t>Chilquinta</t>
        </is>
      </c>
      <c r="G306" t="inlineStr">
        <is>
          <t>Chilquinta</t>
        </is>
      </c>
      <c r="H306" t="inlineStr">
        <is>
          <t>Empresa Eléctrica Carén S.A.</t>
        </is>
      </c>
      <c r="I306" t="inlineStr">
        <is>
          <t>Empresa Eléctrica Carén S.A.</t>
        </is>
      </c>
      <c r="J306" t="inlineStr">
        <is>
          <t>SIC 2013/03_2_BS1B_BB_CHILQUINTA_Empresa Eléctrica Carén S.A.</t>
        </is>
      </c>
      <c r="K306" t="inlineStr">
        <is>
          <t>Con Con 012</t>
        </is>
      </c>
      <c r="L306" t="inlineStr">
        <is>
          <t>-1</t>
        </is>
      </c>
      <c r="M306" t="n">
        <v>273.0547857471757</v>
      </c>
      <c r="N306" t="n">
        <v>0</v>
      </c>
      <c r="O306" t="inlineStr">
        <is>
          <t>3</t>
        </is>
      </c>
      <c r="P306" s="2" t="n">
        <v>44999.6862684375</v>
      </c>
      <c r="Q306" t="n">
        <v>13</v>
      </c>
      <c r="R306" t="inlineStr">
        <is>
          <t>MELIPILLA 220</t>
        </is>
      </c>
      <c r="S306" t="n">
        <v>44.48844303050618</v>
      </c>
      <c r="T306" t="n">
        <v>4072.256507418957</v>
      </c>
      <c r="U306" t="n">
        <v>0</v>
      </c>
      <c r="V306" t="n">
        <v>0</v>
      </c>
      <c r="W306" t="inlineStr">
        <is>
          <t>CHILQUINTA</t>
        </is>
      </c>
      <c r="X306" t="n">
        <v>97.37782396383999</v>
      </c>
      <c r="Y306" t="n">
        <v>4.072256507418957</v>
      </c>
      <c r="Z306" t="n">
        <v>4332.187773849955</v>
      </c>
      <c r="AA306" t="n">
        <v>0</v>
      </c>
      <c r="AB306" t="n">
        <v>0</v>
      </c>
      <c r="AC306" t="n">
        <v>0</v>
      </c>
      <c r="AD306" s="2" t="n">
        <v>44562</v>
      </c>
    </row>
    <row r="307">
      <c r="A307" t="n">
        <v>-1</v>
      </c>
      <c r="B307" t="inlineStr">
        <is>
          <t>01-01-2022</t>
        </is>
      </c>
      <c r="C307" t="n">
        <v>2022</v>
      </c>
      <c r="D307" t="n">
        <v>1</v>
      </c>
      <c r="E307" t="inlineStr">
        <is>
          <t>Con Con 012</t>
        </is>
      </c>
      <c r="F307" t="inlineStr">
        <is>
          <t>Chilquinta</t>
        </is>
      </c>
      <c r="G307" t="inlineStr">
        <is>
          <t>Chilquinta</t>
        </is>
      </c>
      <c r="H307" t="inlineStr">
        <is>
          <t>Empresa Eléctrica Carén S.A.</t>
        </is>
      </c>
      <c r="I307" t="inlineStr">
        <is>
          <t>Empresa Eléctrica Carén S.A.</t>
        </is>
      </c>
      <c r="J307" t="inlineStr">
        <is>
          <t>SIC 2013/03_2_BS1B_BB_CHILQUINTA_Empresa Eléctrica Carén S.A.</t>
        </is>
      </c>
      <c r="K307" t="inlineStr">
        <is>
          <t>Con Con 012</t>
        </is>
      </c>
      <c r="L307" t="inlineStr">
        <is>
          <t>-1</t>
        </is>
      </c>
      <c r="M307" t="n">
        <v>273.0547857471757</v>
      </c>
      <c r="N307" t="n">
        <v>0</v>
      </c>
      <c r="O307" t="inlineStr">
        <is>
          <t>3</t>
        </is>
      </c>
      <c r="P307" s="2" t="n">
        <v>44999.6862684375</v>
      </c>
      <c r="Q307" t="n">
        <v>5</v>
      </c>
      <c r="R307" t="inlineStr">
        <is>
          <t>NOGALES 220</t>
        </is>
      </c>
      <c r="S307" t="n">
        <v>58.41460064875388</v>
      </c>
      <c r="T307" t="n">
        <v>5504.615145702377</v>
      </c>
      <c r="U307" t="n">
        <v>0</v>
      </c>
      <c r="V307" t="n">
        <v>0</v>
      </c>
      <c r="W307" t="inlineStr">
        <is>
          <t>CHILQUINTA</t>
        </is>
      </c>
      <c r="X307" t="n">
        <v>100.24845662251</v>
      </c>
      <c r="Y307" t="n">
        <v>5.504615145702378</v>
      </c>
      <c r="Z307" t="n">
        <v>5855.973559257848</v>
      </c>
      <c r="AA307" t="n">
        <v>0</v>
      </c>
      <c r="AB307" t="n">
        <v>0</v>
      </c>
      <c r="AC307" t="n">
        <v>0</v>
      </c>
      <c r="AD307" s="2" t="n">
        <v>44562</v>
      </c>
    </row>
    <row r="308">
      <c r="A308" t="n">
        <v>-1</v>
      </c>
      <c r="B308" t="inlineStr">
        <is>
          <t>01-01-2022</t>
        </is>
      </c>
      <c r="C308" t="n">
        <v>2022</v>
      </c>
      <c r="D308" t="n">
        <v>1</v>
      </c>
      <c r="E308" t="inlineStr">
        <is>
          <t>Con Con 012</t>
        </is>
      </c>
      <c r="F308" t="inlineStr">
        <is>
          <t>Chilquinta</t>
        </is>
      </c>
      <c r="G308" t="inlineStr">
        <is>
          <t>Chilquinta</t>
        </is>
      </c>
      <c r="H308" t="inlineStr">
        <is>
          <t>Empresa Eléctrica Carén S.A.</t>
        </is>
      </c>
      <c r="I308" t="inlineStr">
        <is>
          <t>Empresa Eléctrica Carén S.A.</t>
        </is>
      </c>
      <c r="J308" t="inlineStr">
        <is>
          <t>SIC 2013/03_2_BS1B_BB_CHILQUINTA_Empresa Eléctrica Carén S.A.</t>
        </is>
      </c>
      <c r="K308" t="inlineStr">
        <is>
          <t>Con Con 012</t>
        </is>
      </c>
      <c r="L308" t="inlineStr">
        <is>
          <t>-1</t>
        </is>
      </c>
      <c r="M308" t="n">
        <v>273.0547857471757</v>
      </c>
      <c r="N308" t="n">
        <v>0</v>
      </c>
      <c r="O308" t="inlineStr">
        <is>
          <t>3</t>
        </is>
      </c>
      <c r="P308" s="2" t="n">
        <v>44999.6862684375</v>
      </c>
      <c r="Q308" t="n">
        <v>11</v>
      </c>
      <c r="R308" t="inlineStr">
        <is>
          <t>QUILLOTA 220</t>
        </is>
      </c>
      <c r="S308" t="n">
        <v>155.2489960898544</v>
      </c>
      <c r="T308" t="n">
        <v>14176.73736015491</v>
      </c>
      <c r="U308" t="n">
        <v>0</v>
      </c>
      <c r="V308" t="n">
        <v>0</v>
      </c>
      <c r="W308" t="inlineStr">
        <is>
          <t>CHILQUINTA</t>
        </is>
      </c>
      <c r="X308" t="n">
        <v>97.14481812686</v>
      </c>
      <c r="Y308" t="n">
        <v>14.17673736015491</v>
      </c>
      <c r="Z308" t="n">
        <v>15081.6354895265</v>
      </c>
      <c r="AA308" t="n">
        <v>0</v>
      </c>
      <c r="AB308" t="n">
        <v>0</v>
      </c>
      <c r="AC308" t="n">
        <v>0</v>
      </c>
      <c r="AD308" s="2" t="n">
        <v>44562</v>
      </c>
    </row>
    <row r="309">
      <c r="A309" t="n">
        <v>-1</v>
      </c>
      <c r="B309" t="inlineStr">
        <is>
          <t>01-01-2022</t>
        </is>
      </c>
      <c r="C309" t="n">
        <v>2022</v>
      </c>
      <c r="D309" t="n">
        <v>1</v>
      </c>
      <c r="E309" t="inlineStr">
        <is>
          <t>El Melon 012</t>
        </is>
      </c>
      <c r="F309" t="inlineStr">
        <is>
          <t>Chilquinta</t>
        </is>
      </c>
      <c r="G309" t="inlineStr">
        <is>
          <t>Chilquinta</t>
        </is>
      </c>
      <c r="H309" t="inlineStr">
        <is>
          <t>Empresa Eléctrica Carén S.A.</t>
        </is>
      </c>
      <c r="I309" t="inlineStr">
        <is>
          <t>Empresa Eléctrica Carén S.A.</t>
        </is>
      </c>
      <c r="J309" t="inlineStr">
        <is>
          <t>SIC 2013/03_2_BS1B_BB_CHILQUINTA_Empresa Eléctrica Carén S.A.</t>
        </is>
      </c>
      <c r="K309" t="inlineStr">
        <is>
          <t>El Melon 012</t>
        </is>
      </c>
      <c r="L309" t="inlineStr">
        <is>
          <t>-1</t>
        </is>
      </c>
      <c r="M309" t="n">
        <v>191.7041830753352</v>
      </c>
      <c r="N309" t="n">
        <v>0</v>
      </c>
      <c r="O309" t="inlineStr">
        <is>
          <t>3</t>
        </is>
      </c>
      <c r="P309" s="2" t="n">
        <v>44999.6862684375</v>
      </c>
      <c r="Q309" t="n">
        <v>31</v>
      </c>
      <c r="R309" t="inlineStr">
        <is>
          <t>LOS MAQUIS 220</t>
        </is>
      </c>
      <c r="S309" t="n">
        <v>67.98276860736857</v>
      </c>
      <c r="T309" t="n">
        <v>6154.319403031401</v>
      </c>
      <c r="U309" t="n">
        <v>0</v>
      </c>
      <c r="V309" t="n">
        <v>0</v>
      </c>
      <c r="W309" t="inlineStr">
        <is>
          <t>CHILQUINTA</t>
        </is>
      </c>
      <c r="X309" t="n">
        <v>96.30599687562</v>
      </c>
      <c r="Y309" t="n">
        <v>6.154319403031399</v>
      </c>
      <c r="Z309" t="n">
        <v>6547.148301097235</v>
      </c>
      <c r="AA309" t="n">
        <v>0</v>
      </c>
      <c r="AB309" t="n">
        <v>0</v>
      </c>
      <c r="AC309" t="n">
        <v>0</v>
      </c>
      <c r="AD309" s="2" t="n">
        <v>44562</v>
      </c>
    </row>
    <row r="310">
      <c r="A310" t="n">
        <v>-1</v>
      </c>
      <c r="B310" t="inlineStr">
        <is>
          <t>01-01-2022</t>
        </is>
      </c>
      <c r="C310" t="n">
        <v>2022</v>
      </c>
      <c r="D310" t="n">
        <v>1</v>
      </c>
      <c r="E310" t="inlineStr">
        <is>
          <t>El Melon 012</t>
        </is>
      </c>
      <c r="F310" t="inlineStr">
        <is>
          <t>Chilquinta</t>
        </is>
      </c>
      <c r="G310" t="inlineStr">
        <is>
          <t>Chilquinta</t>
        </is>
      </c>
      <c r="H310" t="inlineStr">
        <is>
          <t>Empresa Eléctrica Carén S.A.</t>
        </is>
      </c>
      <c r="I310" t="inlineStr">
        <is>
          <t>Empresa Eléctrica Carén S.A.</t>
        </is>
      </c>
      <c r="J310" t="inlineStr">
        <is>
          <t>SIC 2013/03_2_BS1B_BB_CHILQUINTA_Empresa Eléctrica Carén S.A.</t>
        </is>
      </c>
      <c r="K310" t="inlineStr">
        <is>
          <t>El Melon 012</t>
        </is>
      </c>
      <c r="L310" t="inlineStr">
        <is>
          <t>-1</t>
        </is>
      </c>
      <c r="M310" t="n">
        <v>191.7041830753352</v>
      </c>
      <c r="N310" t="n">
        <v>0</v>
      </c>
      <c r="O310" t="inlineStr">
        <is>
          <t>3</t>
        </is>
      </c>
      <c r="P310" s="2" t="n">
        <v>44999.6862684375</v>
      </c>
      <c r="Q310" t="n">
        <v>13</v>
      </c>
      <c r="R310" t="inlineStr">
        <is>
          <t>MELIPILLA 220</t>
        </is>
      </c>
      <c r="S310" t="n">
        <v>11.43134167760572</v>
      </c>
      <c r="T310" t="n">
        <v>1046.369626899253</v>
      </c>
      <c r="U310" t="n">
        <v>0</v>
      </c>
      <c r="V310" t="n">
        <v>0</v>
      </c>
      <c r="W310" t="inlineStr">
        <is>
          <t>CHILQUINTA</t>
        </is>
      </c>
      <c r="X310" t="n">
        <v>97.37782396384</v>
      </c>
      <c r="Y310" t="n">
        <v>1.046369626899254</v>
      </c>
      <c r="Z310" t="n">
        <v>1113.159177552397</v>
      </c>
      <c r="AA310" t="n">
        <v>0</v>
      </c>
      <c r="AB310" t="n">
        <v>0</v>
      </c>
      <c r="AC310" t="n">
        <v>0</v>
      </c>
      <c r="AD310" s="2" t="n">
        <v>44562</v>
      </c>
    </row>
    <row r="311">
      <c r="A311" t="n">
        <v>-1</v>
      </c>
      <c r="B311" t="inlineStr">
        <is>
          <t>01-01-2022</t>
        </is>
      </c>
      <c r="C311" t="n">
        <v>2022</v>
      </c>
      <c r="D311" t="n">
        <v>1</v>
      </c>
      <c r="E311" t="inlineStr">
        <is>
          <t>El Melon 012</t>
        </is>
      </c>
      <c r="F311" t="inlineStr">
        <is>
          <t>Chilquinta</t>
        </is>
      </c>
      <c r="G311" t="inlineStr">
        <is>
          <t>Chilquinta</t>
        </is>
      </c>
      <c r="H311" t="inlineStr">
        <is>
          <t>Empresa Eléctrica Carén S.A.</t>
        </is>
      </c>
      <c r="I311" t="inlineStr">
        <is>
          <t>Empresa Eléctrica Carén S.A.</t>
        </is>
      </c>
      <c r="J311" t="inlineStr">
        <is>
          <t>SIC 2013/03_2_BS1B_BB_CHILQUINTA_Empresa Eléctrica Carén S.A.</t>
        </is>
      </c>
      <c r="K311" t="inlineStr">
        <is>
          <t>El Melon 012</t>
        </is>
      </c>
      <c r="L311" t="inlineStr">
        <is>
          <t>-1</t>
        </is>
      </c>
      <c r="M311" t="n">
        <v>191.7041830753352</v>
      </c>
      <c r="N311" t="n">
        <v>0</v>
      </c>
      <c r="O311" t="inlineStr">
        <is>
          <t>3</t>
        </is>
      </c>
      <c r="P311" s="2" t="n">
        <v>44999.6862684375</v>
      </c>
      <c r="Q311" t="n">
        <v>5</v>
      </c>
      <c r="R311" t="inlineStr">
        <is>
          <t>NOGALES 220</t>
        </is>
      </c>
      <c r="S311" t="n">
        <v>24.62135130561233</v>
      </c>
      <c r="T311" t="n">
        <v>2320.157320247362</v>
      </c>
      <c r="U311" t="n">
        <v>0</v>
      </c>
      <c r="V311" t="n">
        <v>0</v>
      </c>
      <c r="W311" t="inlineStr">
        <is>
          <t>CHILQUINTA</t>
        </is>
      </c>
      <c r="X311" t="n">
        <v>100.24845662251</v>
      </c>
      <c r="Y311" t="n">
        <v>2.320157320247362</v>
      </c>
      <c r="Z311" t="n">
        <v>2468.252468348258</v>
      </c>
      <c r="AA311" t="n">
        <v>0</v>
      </c>
      <c r="AB311" t="n">
        <v>0</v>
      </c>
      <c r="AC311" t="n">
        <v>0</v>
      </c>
      <c r="AD311" s="2" t="n">
        <v>44562</v>
      </c>
    </row>
    <row r="312">
      <c r="A312" t="n">
        <v>-1</v>
      </c>
      <c r="B312" t="inlineStr">
        <is>
          <t>01-01-2022</t>
        </is>
      </c>
      <c r="C312" t="n">
        <v>2022</v>
      </c>
      <c r="D312" t="n">
        <v>1</v>
      </c>
      <c r="E312" t="inlineStr">
        <is>
          <t>El Melon 012</t>
        </is>
      </c>
      <c r="F312" t="inlineStr">
        <is>
          <t>Chilquinta</t>
        </is>
      </c>
      <c r="G312" t="inlineStr">
        <is>
          <t>Chilquinta</t>
        </is>
      </c>
      <c r="H312" t="inlineStr">
        <is>
          <t>Empresa Eléctrica Carén S.A.</t>
        </is>
      </c>
      <c r="I312" t="inlineStr">
        <is>
          <t>Empresa Eléctrica Carén S.A.</t>
        </is>
      </c>
      <c r="J312" t="inlineStr">
        <is>
          <t>SIC 2013/03_2_BS1B_BB_CHILQUINTA_Empresa Eléctrica Carén S.A.</t>
        </is>
      </c>
      <c r="K312" t="inlineStr">
        <is>
          <t>El Melon 012</t>
        </is>
      </c>
      <c r="L312" t="inlineStr">
        <is>
          <t>-1</t>
        </is>
      </c>
      <c r="M312" t="n">
        <v>191.7041830753352</v>
      </c>
      <c r="N312" t="n">
        <v>0</v>
      </c>
      <c r="O312" t="inlineStr">
        <is>
          <t>3</t>
        </is>
      </c>
      <c r="P312" s="2" t="n">
        <v>44999.6862684375</v>
      </c>
      <c r="Q312" t="n">
        <v>11</v>
      </c>
      <c r="R312" t="inlineStr">
        <is>
          <t>QUILLOTA 220</t>
        </is>
      </c>
      <c r="S312" t="n">
        <v>93.12462253507265</v>
      </c>
      <c r="T312" t="n">
        <v>8503.780048143994</v>
      </c>
      <c r="U312" t="n">
        <v>0</v>
      </c>
      <c r="V312" t="n">
        <v>0</v>
      </c>
      <c r="W312" t="inlineStr">
        <is>
          <t>CHILQUINTA</t>
        </is>
      </c>
      <c r="X312" t="n">
        <v>97.14481812686</v>
      </c>
      <c r="Y312" t="n">
        <v>8.503780048143993</v>
      </c>
      <c r="Z312" t="n">
        <v>9046.574519302121</v>
      </c>
      <c r="AA312" t="n">
        <v>0</v>
      </c>
      <c r="AB312" t="n">
        <v>0</v>
      </c>
      <c r="AC312" t="n">
        <v>0</v>
      </c>
      <c r="AD312" s="2" t="n">
        <v>44562</v>
      </c>
    </row>
    <row r="313">
      <c r="A313" t="n">
        <v>-1</v>
      </c>
      <c r="B313" t="inlineStr">
        <is>
          <t>01-01-2022</t>
        </is>
      </c>
      <c r="C313" t="n">
        <v>2022</v>
      </c>
      <c r="D313" t="n">
        <v>1</v>
      </c>
      <c r="E313" t="inlineStr">
        <is>
          <t>Juncal 012</t>
        </is>
      </c>
      <c r="F313" t="inlineStr">
        <is>
          <t>Chilquinta</t>
        </is>
      </c>
      <c r="G313" t="inlineStr">
        <is>
          <t>Chilquinta</t>
        </is>
      </c>
      <c r="H313" t="inlineStr">
        <is>
          <t>Empresa Eléctrica Carén S.A.</t>
        </is>
      </c>
      <c r="I313" t="inlineStr">
        <is>
          <t>Empresa Eléctrica Carén S.A.</t>
        </is>
      </c>
      <c r="J313" t="inlineStr">
        <is>
          <t>SIC 2013/03_2_BS1B_BB_CHILQUINTA_Empresa Eléctrica Carén S.A.</t>
        </is>
      </c>
      <c r="K313" t="inlineStr">
        <is>
          <t>Juncal 012</t>
        </is>
      </c>
      <c r="L313" t="inlineStr">
        <is>
          <t>-1</t>
        </is>
      </c>
      <c r="M313" t="n">
        <v>11.69367714868327</v>
      </c>
      <c r="N313" t="n">
        <v>0</v>
      </c>
      <c r="O313" t="inlineStr">
        <is>
          <t>3</t>
        </is>
      </c>
      <c r="P313" s="2" t="n">
        <v>44999.6862684375</v>
      </c>
      <c r="Q313" t="n">
        <v>31</v>
      </c>
      <c r="R313" t="inlineStr">
        <is>
          <t>LOS MAQUIS 220</t>
        </is>
      </c>
      <c r="S313" t="n">
        <v>7.704403105318474</v>
      </c>
      <c r="T313" t="n">
        <v>697.4614081059589</v>
      </c>
      <c r="U313" t="n">
        <v>0</v>
      </c>
      <c r="V313" t="n">
        <v>0</v>
      </c>
      <c r="W313" t="inlineStr">
        <is>
          <t>CHILQUINTA</t>
        </is>
      </c>
      <c r="X313" t="n">
        <v>96.30599687562</v>
      </c>
      <c r="Y313" t="n">
        <v>0.6974614081059588</v>
      </c>
      <c r="Z313" t="n">
        <v>741.980221389318</v>
      </c>
      <c r="AA313" t="n">
        <v>0</v>
      </c>
      <c r="AB313" t="n">
        <v>0</v>
      </c>
      <c r="AC313" t="n">
        <v>0</v>
      </c>
      <c r="AD313" s="2" t="n">
        <v>44562</v>
      </c>
    </row>
    <row r="314">
      <c r="A314" t="n">
        <v>-1</v>
      </c>
      <c r="B314" t="inlineStr">
        <is>
          <t>01-01-2022</t>
        </is>
      </c>
      <c r="C314" t="n">
        <v>2022</v>
      </c>
      <c r="D314" t="n">
        <v>1</v>
      </c>
      <c r="E314" t="inlineStr">
        <is>
          <t>Juncal 012</t>
        </is>
      </c>
      <c r="F314" t="inlineStr">
        <is>
          <t>Chilquinta</t>
        </is>
      </c>
      <c r="G314" t="inlineStr">
        <is>
          <t>Chilquinta</t>
        </is>
      </c>
      <c r="H314" t="inlineStr">
        <is>
          <t>Empresa Eléctrica Carén S.A.</t>
        </is>
      </c>
      <c r="I314" t="inlineStr">
        <is>
          <t>Empresa Eléctrica Carén S.A.</t>
        </is>
      </c>
      <c r="J314" t="inlineStr">
        <is>
          <t>SIC 2013/03_2_BS1B_BB_CHILQUINTA_Empresa Eléctrica Carén S.A.</t>
        </is>
      </c>
      <c r="K314" t="inlineStr">
        <is>
          <t>Juncal 012</t>
        </is>
      </c>
      <c r="L314" t="inlineStr">
        <is>
          <t>-1</t>
        </is>
      </c>
      <c r="M314" t="n">
        <v>11.69367714868327</v>
      </c>
      <c r="N314" t="n">
        <v>0</v>
      </c>
      <c r="O314" t="inlineStr">
        <is>
          <t>3</t>
        </is>
      </c>
      <c r="P314" s="2" t="n">
        <v>44999.6862684375</v>
      </c>
      <c r="Q314" t="n">
        <v>5</v>
      </c>
      <c r="R314" t="inlineStr">
        <is>
          <t>NOGALES 220</t>
        </is>
      </c>
      <c r="S314" t="n">
        <v>0.6321117467695967</v>
      </c>
      <c r="T314" t="n">
        <v>59.56613340501428</v>
      </c>
      <c r="U314" t="n">
        <v>0</v>
      </c>
      <c r="V314" t="n">
        <v>0</v>
      </c>
      <c r="W314" t="inlineStr">
        <is>
          <t>CHILQUINTA</t>
        </is>
      </c>
      <c r="X314" t="n">
        <v>100.24845662251</v>
      </c>
      <c r="Y314" t="n">
        <v>0.05956613340501429</v>
      </c>
      <c r="Z314" t="n">
        <v>63.36822702661095</v>
      </c>
      <c r="AA314" t="n">
        <v>0</v>
      </c>
      <c r="AB314" t="n">
        <v>0</v>
      </c>
      <c r="AC314" t="n">
        <v>0</v>
      </c>
      <c r="AD314" s="2" t="n">
        <v>44562</v>
      </c>
    </row>
    <row r="315">
      <c r="A315" t="n">
        <v>-1</v>
      </c>
      <c r="B315" t="inlineStr">
        <is>
          <t>01-01-2022</t>
        </is>
      </c>
      <c r="C315" t="n">
        <v>2022</v>
      </c>
      <c r="D315" t="n">
        <v>1</v>
      </c>
      <c r="E315" t="inlineStr">
        <is>
          <t>Juncal 012</t>
        </is>
      </c>
      <c r="F315" t="inlineStr">
        <is>
          <t>Chilquinta</t>
        </is>
      </c>
      <c r="G315" t="inlineStr">
        <is>
          <t>Chilquinta</t>
        </is>
      </c>
      <c r="H315" t="inlineStr">
        <is>
          <t>Empresa Eléctrica Carén S.A.</t>
        </is>
      </c>
      <c r="I315" t="inlineStr">
        <is>
          <t>Empresa Eléctrica Carén S.A.</t>
        </is>
      </c>
      <c r="J315" t="inlineStr">
        <is>
          <t>SIC 2013/03_2_BS1B_BB_CHILQUINTA_Empresa Eléctrica Carén S.A.</t>
        </is>
      </c>
      <c r="K315" t="inlineStr">
        <is>
          <t>Juncal 012</t>
        </is>
      </c>
      <c r="L315" t="inlineStr">
        <is>
          <t>-1</t>
        </is>
      </c>
      <c r="M315" t="n">
        <v>11.69367714868327</v>
      </c>
      <c r="N315" t="n">
        <v>0</v>
      </c>
      <c r="O315" t="inlineStr">
        <is>
          <t>3</t>
        </is>
      </c>
      <c r="P315" s="2" t="n">
        <v>44999.6862684375</v>
      </c>
      <c r="Q315" t="n">
        <v>11</v>
      </c>
      <c r="R315" t="inlineStr">
        <is>
          <t>QUILLOTA 220</t>
        </is>
      </c>
      <c r="S315" t="n">
        <v>3.689964348246721</v>
      </c>
      <c r="T315" t="n">
        <v>336.9532605747237</v>
      </c>
      <c r="U315" t="n">
        <v>0</v>
      </c>
      <c r="V315" t="n">
        <v>0</v>
      </c>
      <c r="W315" t="inlineStr">
        <is>
          <t>CHILQUINTA</t>
        </is>
      </c>
      <c r="X315" t="n">
        <v>97.14481812686</v>
      </c>
      <c r="Y315" t="n">
        <v>0.3369532605747237</v>
      </c>
      <c r="Z315" t="n">
        <v>358.4609155050252</v>
      </c>
      <c r="AA315" t="n">
        <v>0</v>
      </c>
      <c r="AB315" t="n">
        <v>0</v>
      </c>
      <c r="AC315" t="n">
        <v>0</v>
      </c>
      <c r="AD315" s="2" t="n">
        <v>44562</v>
      </c>
    </row>
    <row r="316">
      <c r="A316" t="n">
        <v>-1</v>
      </c>
      <c r="B316" t="inlineStr">
        <is>
          <t>01-01-2022</t>
        </is>
      </c>
      <c r="C316" t="n">
        <v>2022</v>
      </c>
      <c r="D316" t="n">
        <v>1</v>
      </c>
      <c r="E316" t="inlineStr">
        <is>
          <t>La Calera 012</t>
        </is>
      </c>
      <c r="F316" t="inlineStr">
        <is>
          <t>Chilquinta</t>
        </is>
      </c>
      <c r="G316" t="inlineStr">
        <is>
          <t>Chilquinta</t>
        </is>
      </c>
      <c r="H316" t="inlineStr">
        <is>
          <t>Empresa Eléctrica Carén S.A.</t>
        </is>
      </c>
      <c r="I316" t="inlineStr">
        <is>
          <t>Empresa Eléctrica Carén S.A.</t>
        </is>
      </c>
      <c r="J316" t="inlineStr">
        <is>
          <t>SIC 2013/03_2_BS1B_BB_CHILQUINTA_Empresa Eléctrica Carén S.A.</t>
        </is>
      </c>
      <c r="K316" t="inlineStr">
        <is>
          <t>La Calera 012</t>
        </is>
      </c>
      <c r="L316" t="inlineStr">
        <is>
          <t>-1</t>
        </is>
      </c>
      <c r="M316" t="n">
        <v>778.0759066872308</v>
      </c>
      <c r="N316" t="n">
        <v>0</v>
      </c>
      <c r="O316" t="inlineStr">
        <is>
          <t>3</t>
        </is>
      </c>
      <c r="P316" s="2" t="n">
        <v>44999.6862684375</v>
      </c>
      <c r="Q316" t="n">
        <v>31</v>
      </c>
      <c r="R316" t="inlineStr">
        <is>
          <t>LOS MAQUIS 220</t>
        </is>
      </c>
      <c r="S316" t="n">
        <v>185.8750892871971</v>
      </c>
      <c r="T316" t="n">
        <v>16826.83262205949</v>
      </c>
      <c r="U316" t="n">
        <v>0</v>
      </c>
      <c r="V316" t="n">
        <v>0</v>
      </c>
      <c r="W316" t="inlineStr">
        <is>
          <t>CHILQUINTA</t>
        </is>
      </c>
      <c r="X316" t="n">
        <v>96.30599687562001</v>
      </c>
      <c r="Y316" t="n">
        <v>16.82683262205949</v>
      </c>
      <c r="Z316" t="n">
        <v>17900.88576814839</v>
      </c>
      <c r="AA316" t="n">
        <v>0</v>
      </c>
      <c r="AB316" t="n">
        <v>0</v>
      </c>
      <c r="AC316" t="n">
        <v>0</v>
      </c>
      <c r="AD316" s="2" t="n">
        <v>44562</v>
      </c>
    </row>
    <row r="317">
      <c r="A317" t="n">
        <v>-1</v>
      </c>
      <c r="B317" t="inlineStr">
        <is>
          <t>01-01-2022</t>
        </is>
      </c>
      <c r="C317" t="n">
        <v>2022</v>
      </c>
      <c r="D317" t="n">
        <v>1</v>
      </c>
      <c r="E317" t="inlineStr">
        <is>
          <t>La Calera 012</t>
        </is>
      </c>
      <c r="F317" t="inlineStr">
        <is>
          <t>Chilquinta</t>
        </is>
      </c>
      <c r="G317" t="inlineStr">
        <is>
          <t>Chilquinta</t>
        </is>
      </c>
      <c r="H317" t="inlineStr">
        <is>
          <t>Empresa Eléctrica Carén S.A.</t>
        </is>
      </c>
      <c r="I317" t="inlineStr">
        <is>
          <t>Empresa Eléctrica Carén S.A.</t>
        </is>
      </c>
      <c r="J317" t="inlineStr">
        <is>
          <t>SIC 2013/03_2_BS1B_BB_CHILQUINTA_Empresa Eléctrica Carén S.A.</t>
        </is>
      </c>
      <c r="K317" t="inlineStr">
        <is>
          <t>La Calera 012</t>
        </is>
      </c>
      <c r="L317" t="inlineStr">
        <is>
          <t>-1</t>
        </is>
      </c>
      <c r="M317" t="n">
        <v>778.0759066872308</v>
      </c>
      <c r="N317" t="n">
        <v>0</v>
      </c>
      <c r="O317" t="inlineStr">
        <is>
          <t>3</t>
        </is>
      </c>
      <c r="P317" s="2" t="n">
        <v>44999.6862684375</v>
      </c>
      <c r="Q317" t="n">
        <v>13</v>
      </c>
      <c r="R317" t="inlineStr">
        <is>
          <t>MELIPILLA 220</t>
        </is>
      </c>
      <c r="S317" t="n">
        <v>56.47952385866355</v>
      </c>
      <c r="T317" t="n">
        <v>5169.861943958214</v>
      </c>
      <c r="U317" t="n">
        <v>0</v>
      </c>
      <c r="V317" t="n">
        <v>0</v>
      </c>
      <c r="W317" t="inlineStr">
        <is>
          <t>CHILQUINTA</t>
        </is>
      </c>
      <c r="X317" t="n">
        <v>97.37782396384</v>
      </c>
      <c r="Y317" t="n">
        <v>5.169861943958214</v>
      </c>
      <c r="Z317" t="n">
        <v>5499.853131870441</v>
      </c>
      <c r="AA317" t="n">
        <v>0</v>
      </c>
      <c r="AB317" t="n">
        <v>0</v>
      </c>
      <c r="AC317" t="n">
        <v>0</v>
      </c>
      <c r="AD317" s="2" t="n">
        <v>44562</v>
      </c>
    </row>
    <row r="318">
      <c r="A318" t="n">
        <v>-1</v>
      </c>
      <c r="B318" t="inlineStr">
        <is>
          <t>01-01-2022</t>
        </is>
      </c>
      <c r="C318" t="n">
        <v>2022</v>
      </c>
      <c r="D318" t="n">
        <v>1</v>
      </c>
      <c r="E318" t="inlineStr">
        <is>
          <t>La Calera 012</t>
        </is>
      </c>
      <c r="F318" t="inlineStr">
        <is>
          <t>Chilquinta</t>
        </is>
      </c>
      <c r="G318" t="inlineStr">
        <is>
          <t>Chilquinta</t>
        </is>
      </c>
      <c r="H318" t="inlineStr">
        <is>
          <t>Empresa Eléctrica Carén S.A.</t>
        </is>
      </c>
      <c r="I318" t="inlineStr">
        <is>
          <t>Empresa Eléctrica Carén S.A.</t>
        </is>
      </c>
      <c r="J318" t="inlineStr">
        <is>
          <t>SIC 2013/03_2_BS1B_BB_CHILQUINTA_Empresa Eléctrica Carén S.A.</t>
        </is>
      </c>
      <c r="K318" t="inlineStr">
        <is>
          <t>La Calera 012</t>
        </is>
      </c>
      <c r="L318" t="inlineStr">
        <is>
          <t>-1</t>
        </is>
      </c>
      <c r="M318" t="n">
        <v>778.0759066872308</v>
      </c>
      <c r="N318" t="n">
        <v>0</v>
      </c>
      <c r="O318" t="inlineStr">
        <is>
          <t>3</t>
        </is>
      </c>
      <c r="P318" s="2" t="n">
        <v>44999.6862684375</v>
      </c>
      <c r="Q318" t="n">
        <v>5</v>
      </c>
      <c r="R318" t="inlineStr">
        <is>
          <t>NOGALES 220</t>
        </is>
      </c>
      <c r="S318" t="n">
        <v>102.9963093772823</v>
      </c>
      <c r="T318" t="n">
        <v>9705.707789713881</v>
      </c>
      <c r="U318" t="n">
        <v>0</v>
      </c>
      <c r="V318" t="n">
        <v>0</v>
      </c>
      <c r="W318" t="inlineStr">
        <is>
          <t>CHILQUINTA</t>
        </is>
      </c>
      <c r="X318" t="n">
        <v>100.24845662251</v>
      </c>
      <c r="Y318" t="n">
        <v>9.70570778971388</v>
      </c>
      <c r="Z318" t="n">
        <v>10325.22105288711</v>
      </c>
      <c r="AA318" t="n">
        <v>0</v>
      </c>
      <c r="AB318" t="n">
        <v>0</v>
      </c>
      <c r="AC318" t="n">
        <v>0</v>
      </c>
      <c r="AD318" s="2" t="n">
        <v>44562</v>
      </c>
    </row>
    <row r="319">
      <c r="A319" t="n">
        <v>-1</v>
      </c>
      <c r="B319" t="inlineStr">
        <is>
          <t>01-01-2022</t>
        </is>
      </c>
      <c r="C319" t="n">
        <v>2022</v>
      </c>
      <c r="D319" t="n">
        <v>1</v>
      </c>
      <c r="E319" t="inlineStr">
        <is>
          <t>La Calera 012</t>
        </is>
      </c>
      <c r="F319" t="inlineStr">
        <is>
          <t>Chilquinta</t>
        </is>
      </c>
      <c r="G319" t="inlineStr">
        <is>
          <t>Chilquinta</t>
        </is>
      </c>
      <c r="H319" t="inlineStr">
        <is>
          <t>Empresa Eléctrica Carén S.A.</t>
        </is>
      </c>
      <c r="I319" t="inlineStr">
        <is>
          <t>Empresa Eléctrica Carén S.A.</t>
        </is>
      </c>
      <c r="J319" t="inlineStr">
        <is>
          <t>SIC 2013/03_2_BS1B_BB_CHILQUINTA_Empresa Eléctrica Carén S.A.</t>
        </is>
      </c>
      <c r="K319" t="inlineStr">
        <is>
          <t>La Calera 012</t>
        </is>
      </c>
      <c r="L319" t="inlineStr">
        <is>
          <t>-1</t>
        </is>
      </c>
      <c r="M319" t="n">
        <v>778.0759066872308</v>
      </c>
      <c r="N319" t="n">
        <v>0</v>
      </c>
      <c r="O319" t="inlineStr">
        <is>
          <t>3</t>
        </is>
      </c>
      <c r="P319" s="2" t="n">
        <v>44999.6862684375</v>
      </c>
      <c r="Q319" t="n">
        <v>11</v>
      </c>
      <c r="R319" t="inlineStr">
        <is>
          <t>QUILLOTA 220</t>
        </is>
      </c>
      <c r="S319" t="n">
        <v>454.8690244684064</v>
      </c>
      <c r="T319" t="n">
        <v>41536.87853431404</v>
      </c>
      <c r="U319" t="n">
        <v>0</v>
      </c>
      <c r="V319" t="n">
        <v>0</v>
      </c>
      <c r="W319" t="inlineStr">
        <is>
          <t>CHILQUINTA</t>
        </is>
      </c>
      <c r="X319" t="n">
        <v>97.14481812686</v>
      </c>
      <c r="Y319" t="n">
        <v>41.53687853431403</v>
      </c>
      <c r="Z319" t="n">
        <v>44188.16865352558</v>
      </c>
      <c r="AA319" t="n">
        <v>0</v>
      </c>
      <c r="AB319" t="n">
        <v>0</v>
      </c>
      <c r="AC319" t="n">
        <v>0</v>
      </c>
      <c r="AD319" s="2" t="n">
        <v>44562</v>
      </c>
    </row>
    <row r="320">
      <c r="A320" t="n">
        <v>-1</v>
      </c>
      <c r="B320" t="inlineStr">
        <is>
          <t>01-01-2022</t>
        </is>
      </c>
      <c r="C320" t="n">
        <v>2022</v>
      </c>
      <c r="D320" t="n">
        <v>1</v>
      </c>
      <c r="E320" t="inlineStr">
        <is>
          <t>Las Vegas 012</t>
        </is>
      </c>
      <c r="F320" t="inlineStr">
        <is>
          <t>Chilquinta</t>
        </is>
      </c>
      <c r="G320" t="inlineStr">
        <is>
          <t>Chilquinta</t>
        </is>
      </c>
      <c r="H320" t="inlineStr">
        <is>
          <t>Empresa Eléctrica Carén S.A.</t>
        </is>
      </c>
      <c r="I320" t="inlineStr">
        <is>
          <t>Empresa Eléctrica Carén S.A.</t>
        </is>
      </c>
      <c r="J320" t="inlineStr">
        <is>
          <t>SIC 2013/03_2_BS1B_BB_CHILQUINTA_Empresa Eléctrica Carén S.A.</t>
        </is>
      </c>
      <c r="K320" t="inlineStr">
        <is>
          <t>Las Vegas 012</t>
        </is>
      </c>
      <c r="L320" t="inlineStr">
        <is>
          <t>-1</t>
        </is>
      </c>
      <c r="M320" t="n">
        <v>461.4406422898626</v>
      </c>
      <c r="N320" t="n">
        <v>0</v>
      </c>
      <c r="O320" t="inlineStr">
        <is>
          <t>3</t>
        </is>
      </c>
      <c r="P320" s="2" t="n">
        <v>44999.6862684375</v>
      </c>
      <c r="Q320" t="n">
        <v>31</v>
      </c>
      <c r="R320" t="inlineStr">
        <is>
          <t>LOS MAQUIS 220</t>
        </is>
      </c>
      <c r="S320" t="n">
        <v>131.219501681048</v>
      </c>
      <c r="T320" t="n">
        <v>11878.99142378049</v>
      </c>
      <c r="U320" t="n">
        <v>0</v>
      </c>
      <c r="V320" t="n">
        <v>0</v>
      </c>
      <c r="W320" t="inlineStr">
        <is>
          <t>CHILQUINTA</t>
        </is>
      </c>
      <c r="X320" t="n">
        <v>96.30599687562</v>
      </c>
      <c r="Y320" t="n">
        <v>11.87899142378049</v>
      </c>
      <c r="Z320" t="n">
        <v>12637.22491891542</v>
      </c>
      <c r="AA320" t="n">
        <v>0</v>
      </c>
      <c r="AB320" t="n">
        <v>0</v>
      </c>
      <c r="AC320" t="n">
        <v>0</v>
      </c>
      <c r="AD320" s="2" t="n">
        <v>44562</v>
      </c>
    </row>
    <row r="321">
      <c r="A321" t="n">
        <v>-1</v>
      </c>
      <c r="B321" t="inlineStr">
        <is>
          <t>01-01-2022</t>
        </is>
      </c>
      <c r="C321" t="n">
        <v>2022</v>
      </c>
      <c r="D321" t="n">
        <v>1</v>
      </c>
      <c r="E321" t="inlineStr">
        <is>
          <t>Las Vegas 012</t>
        </is>
      </c>
      <c r="F321" t="inlineStr">
        <is>
          <t>Chilquinta</t>
        </is>
      </c>
      <c r="G321" t="inlineStr">
        <is>
          <t>Chilquinta</t>
        </is>
      </c>
      <c r="H321" t="inlineStr">
        <is>
          <t>Empresa Eléctrica Carén S.A.</t>
        </is>
      </c>
      <c r="I321" t="inlineStr">
        <is>
          <t>Empresa Eléctrica Carén S.A.</t>
        </is>
      </c>
      <c r="J321" t="inlineStr">
        <is>
          <t>SIC 2013/03_2_BS1B_BB_CHILQUINTA_Empresa Eléctrica Carén S.A.</t>
        </is>
      </c>
      <c r="K321" t="inlineStr">
        <is>
          <t>Las Vegas 012</t>
        </is>
      </c>
      <c r="L321" t="inlineStr">
        <is>
          <t>-1</t>
        </is>
      </c>
      <c r="M321" t="n">
        <v>461.4406422898626</v>
      </c>
      <c r="N321" t="n">
        <v>0</v>
      </c>
      <c r="O321" t="inlineStr">
        <is>
          <t>3</t>
        </is>
      </c>
      <c r="P321" s="2" t="n">
        <v>44999.6862684375</v>
      </c>
      <c r="Q321" t="n">
        <v>13</v>
      </c>
      <c r="R321" t="inlineStr">
        <is>
          <t>MELIPILLA 220</t>
        </is>
      </c>
      <c r="S321" t="n">
        <v>26.44796683068645</v>
      </c>
      <c r="T321" t="n">
        <v>2420.91873074566</v>
      </c>
      <c r="U321" t="n">
        <v>0</v>
      </c>
      <c r="V321" t="n">
        <v>0</v>
      </c>
      <c r="W321" t="inlineStr">
        <is>
          <t>CHILQUINTA</t>
        </is>
      </c>
      <c r="X321" t="n">
        <v>97.37782396384002</v>
      </c>
      <c r="Y321" t="n">
        <v>2.42091873074566</v>
      </c>
      <c r="Z321" t="n">
        <v>2575.445458240064</v>
      </c>
      <c r="AA321" t="n">
        <v>0</v>
      </c>
      <c r="AB321" t="n">
        <v>0</v>
      </c>
      <c r="AC321" t="n">
        <v>0</v>
      </c>
      <c r="AD321" s="2" t="n">
        <v>44562</v>
      </c>
    </row>
    <row r="322">
      <c r="A322" t="n">
        <v>-1</v>
      </c>
      <c r="B322" t="inlineStr">
        <is>
          <t>01-01-2022</t>
        </is>
      </c>
      <c r="C322" t="n">
        <v>2022</v>
      </c>
      <c r="D322" t="n">
        <v>1</v>
      </c>
      <c r="E322" t="inlineStr">
        <is>
          <t>Las Vegas 012</t>
        </is>
      </c>
      <c r="F322" t="inlineStr">
        <is>
          <t>Chilquinta</t>
        </is>
      </c>
      <c r="G322" t="inlineStr">
        <is>
          <t>Chilquinta</t>
        </is>
      </c>
      <c r="H322" t="inlineStr">
        <is>
          <t>Empresa Eléctrica Carén S.A.</t>
        </is>
      </c>
      <c r="I322" t="inlineStr">
        <is>
          <t>Empresa Eléctrica Carén S.A.</t>
        </is>
      </c>
      <c r="J322" t="inlineStr">
        <is>
          <t>SIC 2013/03_2_BS1B_BB_CHILQUINTA_Empresa Eléctrica Carén S.A.</t>
        </is>
      </c>
      <c r="K322" t="inlineStr">
        <is>
          <t>Las Vegas 012</t>
        </is>
      </c>
      <c r="L322" t="inlineStr">
        <is>
          <t>-1</t>
        </is>
      </c>
      <c r="M322" t="n">
        <v>461.4406422898626</v>
      </c>
      <c r="N322" t="n">
        <v>0</v>
      </c>
      <c r="O322" t="inlineStr">
        <is>
          <t>3</t>
        </is>
      </c>
      <c r="P322" s="2" t="n">
        <v>44999.6862684375</v>
      </c>
      <c r="Q322" t="n">
        <v>5</v>
      </c>
      <c r="R322" t="inlineStr">
        <is>
          <t>NOGALES 220</t>
        </is>
      </c>
      <c r="S322" t="n">
        <v>82.89370834947069</v>
      </c>
      <c r="T322" t="n">
        <v>7811.368346205853</v>
      </c>
      <c r="U322" t="n">
        <v>0</v>
      </c>
      <c r="V322" t="n">
        <v>0</v>
      </c>
      <c r="W322" t="inlineStr">
        <is>
          <t>CHILQUINTA</t>
        </is>
      </c>
      <c r="X322" t="n">
        <v>100.24845662251</v>
      </c>
      <c r="Y322" t="n">
        <v>7.811368346205853</v>
      </c>
      <c r="Z322" t="n">
        <v>8309.966325750907</v>
      </c>
      <c r="AA322" t="n">
        <v>0</v>
      </c>
      <c r="AB322" t="n">
        <v>0</v>
      </c>
      <c r="AC322" t="n">
        <v>0</v>
      </c>
      <c r="AD322" s="2" t="n">
        <v>44562</v>
      </c>
    </row>
    <row r="323">
      <c r="A323" t="n">
        <v>-1</v>
      </c>
      <c r="B323" t="inlineStr">
        <is>
          <t>01-01-2022</t>
        </is>
      </c>
      <c r="C323" t="n">
        <v>2022</v>
      </c>
      <c r="D323" t="n">
        <v>1</v>
      </c>
      <c r="E323" t="inlineStr">
        <is>
          <t>Las Vegas 012</t>
        </is>
      </c>
      <c r="F323" t="inlineStr">
        <is>
          <t>Chilquinta</t>
        </is>
      </c>
      <c r="G323" t="inlineStr">
        <is>
          <t>Chilquinta</t>
        </is>
      </c>
      <c r="H323" t="inlineStr">
        <is>
          <t>Empresa Eléctrica Carén S.A.</t>
        </is>
      </c>
      <c r="I323" t="inlineStr">
        <is>
          <t>Empresa Eléctrica Carén S.A.</t>
        </is>
      </c>
      <c r="J323" t="inlineStr">
        <is>
          <t>SIC 2013/03_2_BS1B_BB_CHILQUINTA_Empresa Eléctrica Carén S.A.</t>
        </is>
      </c>
      <c r="K323" t="inlineStr">
        <is>
          <t>Las Vegas 012</t>
        </is>
      </c>
      <c r="L323" t="inlineStr">
        <is>
          <t>-1</t>
        </is>
      </c>
      <c r="M323" t="n">
        <v>461.4406422898626</v>
      </c>
      <c r="N323" t="n">
        <v>0</v>
      </c>
      <c r="O323" t="inlineStr">
        <is>
          <t>3</t>
        </is>
      </c>
      <c r="P323" s="2" t="n">
        <v>44999.6862684375</v>
      </c>
      <c r="Q323" t="n">
        <v>11</v>
      </c>
      <c r="R323" t="inlineStr">
        <is>
          <t>QUILLOTA 220</t>
        </is>
      </c>
      <c r="S323" t="n">
        <v>234.0120661082269</v>
      </c>
      <c r="T323" t="n">
        <v>21369.07602547998</v>
      </c>
      <c r="U323" t="n">
        <v>0</v>
      </c>
      <c r="V323" t="n">
        <v>0</v>
      </c>
      <c r="W323" t="inlineStr">
        <is>
          <t>CHILQUINTA</t>
        </is>
      </c>
      <c r="X323" t="n">
        <v>97.14481812686</v>
      </c>
      <c r="Y323" t="n">
        <v>21.36907602547998</v>
      </c>
      <c r="Z323" t="n">
        <v>22733.05960157444</v>
      </c>
      <c r="AA323" t="n">
        <v>0</v>
      </c>
      <c r="AB323" t="n">
        <v>0</v>
      </c>
      <c r="AC323" t="n">
        <v>0</v>
      </c>
      <c r="AD323" s="2" t="n">
        <v>44562</v>
      </c>
    </row>
    <row r="324">
      <c r="A324" t="n">
        <v>-1</v>
      </c>
      <c r="B324" t="inlineStr">
        <is>
          <t>01-01-2022</t>
        </is>
      </c>
      <c r="C324" t="n">
        <v>2022</v>
      </c>
      <c r="D324" t="n">
        <v>1</v>
      </c>
      <c r="E324" t="inlineStr">
        <is>
          <t>Mayaca 012</t>
        </is>
      </c>
      <c r="F324" t="inlineStr">
        <is>
          <t>Chilquinta</t>
        </is>
      </c>
      <c r="G324" t="inlineStr">
        <is>
          <t>Chilquinta</t>
        </is>
      </c>
      <c r="H324" t="inlineStr">
        <is>
          <t>Empresa Eléctrica Carén S.A.</t>
        </is>
      </c>
      <c r="I324" t="inlineStr">
        <is>
          <t>Empresa Eléctrica Carén S.A.</t>
        </is>
      </c>
      <c r="J324" t="inlineStr">
        <is>
          <t>SIC 2013/03_2_BS1B_BB_CHILQUINTA_Empresa Eléctrica Carén S.A.</t>
        </is>
      </c>
      <c r="K324" t="inlineStr">
        <is>
          <t>Mayaca 012</t>
        </is>
      </c>
      <c r="L324" t="inlineStr">
        <is>
          <t>-1</t>
        </is>
      </c>
      <c r="M324" t="n">
        <v>583.8829092612176</v>
      </c>
      <c r="N324" t="n">
        <v>0</v>
      </c>
      <c r="O324" t="inlineStr">
        <is>
          <t>3</t>
        </is>
      </c>
      <c r="P324" s="2" t="n">
        <v>44999.6862684375</v>
      </c>
      <c r="Q324" t="n">
        <v>31</v>
      </c>
      <c r="R324" t="inlineStr">
        <is>
          <t>LOS MAQUIS 220</t>
        </is>
      </c>
      <c r="S324" t="n">
        <v>70.04234529440949</v>
      </c>
      <c r="T324" t="n">
        <v>6340.768013859427</v>
      </c>
      <c r="U324" t="n">
        <v>0</v>
      </c>
      <c r="V324" t="n">
        <v>0</v>
      </c>
      <c r="W324" t="inlineStr">
        <is>
          <t>CHILQUINTA</t>
        </is>
      </c>
      <c r="X324" t="n">
        <v>96.30599687562</v>
      </c>
      <c r="Y324" t="n">
        <v>6.340768013859426</v>
      </c>
      <c r="Z324" t="n">
        <v>6745.497887084497</v>
      </c>
      <c r="AA324" t="n">
        <v>0</v>
      </c>
      <c r="AB324" t="n">
        <v>0</v>
      </c>
      <c r="AC324" t="n">
        <v>0</v>
      </c>
      <c r="AD324" s="2" t="n">
        <v>44562</v>
      </c>
    </row>
    <row r="325">
      <c r="A325" t="n">
        <v>-1</v>
      </c>
      <c r="B325" t="inlineStr">
        <is>
          <t>01-01-2022</t>
        </is>
      </c>
      <c r="C325" t="n">
        <v>2022</v>
      </c>
      <c r="D325" t="n">
        <v>1</v>
      </c>
      <c r="E325" t="inlineStr">
        <is>
          <t>Mayaca 012</t>
        </is>
      </c>
      <c r="F325" t="inlineStr">
        <is>
          <t>Chilquinta</t>
        </is>
      </c>
      <c r="G325" t="inlineStr">
        <is>
          <t>Chilquinta</t>
        </is>
      </c>
      <c r="H325" t="inlineStr">
        <is>
          <t>Empresa Eléctrica Carén S.A.</t>
        </is>
      </c>
      <c r="I325" t="inlineStr">
        <is>
          <t>Empresa Eléctrica Carén S.A.</t>
        </is>
      </c>
      <c r="J325" t="inlineStr">
        <is>
          <t>SIC 2013/03_2_BS1B_BB_CHILQUINTA_Empresa Eléctrica Carén S.A.</t>
        </is>
      </c>
      <c r="K325" t="inlineStr">
        <is>
          <t>Mayaca 012</t>
        </is>
      </c>
      <c r="L325" t="inlineStr">
        <is>
          <t>-1</t>
        </is>
      </c>
      <c r="M325" t="n">
        <v>583.8829092612176</v>
      </c>
      <c r="N325" t="n">
        <v>0</v>
      </c>
      <c r="O325" t="inlineStr">
        <is>
          <t>3</t>
        </is>
      </c>
      <c r="P325" s="2" t="n">
        <v>44999.6862684375</v>
      </c>
      <c r="Q325" t="n">
        <v>13</v>
      </c>
      <c r="R325" t="inlineStr">
        <is>
          <t>MELIPILLA 220</t>
        </is>
      </c>
      <c r="S325" t="n">
        <v>48.82667263278836</v>
      </c>
      <c r="T325" t="n">
        <v>4469.357024433166</v>
      </c>
      <c r="U325" t="n">
        <v>0</v>
      </c>
      <c r="V325" t="n">
        <v>0</v>
      </c>
      <c r="W325" t="inlineStr">
        <is>
          <t>CHILQUINTA</t>
        </is>
      </c>
      <c r="X325" t="n">
        <v>97.37782396384</v>
      </c>
      <c r="Y325" t="n">
        <v>4.469357024433166</v>
      </c>
      <c r="Z325" t="n">
        <v>4754.635132375709</v>
      </c>
      <c r="AA325" t="n">
        <v>0</v>
      </c>
      <c r="AB325" t="n">
        <v>0</v>
      </c>
      <c r="AC325" t="n">
        <v>0</v>
      </c>
      <c r="AD325" s="2" t="n">
        <v>44562</v>
      </c>
    </row>
    <row r="326">
      <c r="A326" t="n">
        <v>-1</v>
      </c>
      <c r="B326" t="inlineStr">
        <is>
          <t>01-01-2022</t>
        </is>
      </c>
      <c r="C326" t="n">
        <v>2022</v>
      </c>
      <c r="D326" t="n">
        <v>1</v>
      </c>
      <c r="E326" t="inlineStr">
        <is>
          <t>Mayaca 012</t>
        </is>
      </c>
      <c r="F326" t="inlineStr">
        <is>
          <t>Chilquinta</t>
        </is>
      </c>
      <c r="G326" t="inlineStr">
        <is>
          <t>Chilquinta</t>
        </is>
      </c>
      <c r="H326" t="inlineStr">
        <is>
          <t>Empresa Eléctrica Carén S.A.</t>
        </is>
      </c>
      <c r="I326" t="inlineStr">
        <is>
          <t>Empresa Eléctrica Carén S.A.</t>
        </is>
      </c>
      <c r="J326" t="inlineStr">
        <is>
          <t>SIC 2013/03_2_BS1B_BB_CHILQUINTA_Empresa Eléctrica Carén S.A.</t>
        </is>
      </c>
      <c r="K326" t="inlineStr">
        <is>
          <t>Mayaca 012</t>
        </is>
      </c>
      <c r="L326" t="inlineStr">
        <is>
          <t>-1</t>
        </is>
      </c>
      <c r="M326" t="n">
        <v>583.8829092612176</v>
      </c>
      <c r="N326" t="n">
        <v>0</v>
      </c>
      <c r="O326" t="inlineStr">
        <is>
          <t>3</t>
        </is>
      </c>
      <c r="P326" s="2" t="n">
        <v>44999.6862684375</v>
      </c>
      <c r="Q326" t="n">
        <v>5</v>
      </c>
      <c r="R326" t="inlineStr">
        <is>
          <t>NOGALES 220</t>
        </is>
      </c>
      <c r="S326" t="n">
        <v>77.35643793574957</v>
      </c>
      <c r="T326" t="n">
        <v>7289.571702101445</v>
      </c>
      <c r="U326" t="n">
        <v>0</v>
      </c>
      <c r="V326" t="n">
        <v>0</v>
      </c>
      <c r="W326" t="inlineStr">
        <is>
          <t>CHILQUINTA</t>
        </is>
      </c>
      <c r="X326" t="n">
        <v>100.24845662251</v>
      </c>
      <c r="Y326" t="n">
        <v>7.289571702101445</v>
      </c>
      <c r="Z326" t="n">
        <v>7754.863512873878</v>
      </c>
      <c r="AA326" t="n">
        <v>0</v>
      </c>
      <c r="AB326" t="n">
        <v>0</v>
      </c>
      <c r="AC326" t="n">
        <v>0</v>
      </c>
      <c r="AD326" s="2" t="n">
        <v>44562</v>
      </c>
    </row>
    <row r="327">
      <c r="A327" t="n">
        <v>-1</v>
      </c>
      <c r="B327" t="inlineStr">
        <is>
          <t>01-01-2022</t>
        </is>
      </c>
      <c r="C327" t="n">
        <v>2022</v>
      </c>
      <c r="D327" t="n">
        <v>1</v>
      </c>
      <c r="E327" t="inlineStr">
        <is>
          <t>Mayaca 012</t>
        </is>
      </c>
      <c r="F327" t="inlineStr">
        <is>
          <t>Chilquinta</t>
        </is>
      </c>
      <c r="G327" t="inlineStr">
        <is>
          <t>Chilquinta</t>
        </is>
      </c>
      <c r="H327" t="inlineStr">
        <is>
          <t>Empresa Eléctrica Carén S.A.</t>
        </is>
      </c>
      <c r="I327" t="inlineStr">
        <is>
          <t>Empresa Eléctrica Carén S.A.</t>
        </is>
      </c>
      <c r="J327" t="inlineStr">
        <is>
          <t>SIC 2013/03_2_BS1B_BB_CHILQUINTA_Empresa Eléctrica Carén S.A.</t>
        </is>
      </c>
      <c r="K327" t="inlineStr">
        <is>
          <t>Mayaca 012</t>
        </is>
      </c>
      <c r="L327" t="inlineStr">
        <is>
          <t>-1</t>
        </is>
      </c>
      <c r="M327" t="n">
        <v>583.8829092612176</v>
      </c>
      <c r="N327" t="n">
        <v>0</v>
      </c>
      <c r="O327" t="inlineStr">
        <is>
          <t>3</t>
        </is>
      </c>
      <c r="P327" s="2" t="n">
        <v>44999.6862684375</v>
      </c>
      <c r="Q327" t="n">
        <v>11</v>
      </c>
      <c r="R327" t="inlineStr">
        <is>
          <t>QUILLOTA 220</t>
        </is>
      </c>
      <c r="S327" t="n">
        <v>404.2747609958444</v>
      </c>
      <c r="T327" t="n">
        <v>36916.80624240784</v>
      </c>
      <c r="U327" t="n">
        <v>0</v>
      </c>
      <c r="V327" t="n">
        <v>0</v>
      </c>
      <c r="W327" t="inlineStr">
        <is>
          <t>CHILQUINTA</t>
        </is>
      </c>
      <c r="X327" t="n">
        <v>97.14481812685999</v>
      </c>
      <c r="Y327" t="n">
        <v>36.91680624240783</v>
      </c>
      <c r="Z327" t="n">
        <v>39273.19813022111</v>
      </c>
      <c r="AA327" t="n">
        <v>0</v>
      </c>
      <c r="AB327" t="n">
        <v>0</v>
      </c>
      <c r="AC327" t="n">
        <v>0</v>
      </c>
      <c r="AD327" s="2" t="n">
        <v>44562</v>
      </c>
    </row>
    <row r="328">
      <c r="A328" t="n">
        <v>-1</v>
      </c>
      <c r="B328" t="inlineStr">
        <is>
          <t>01-01-2022</t>
        </is>
      </c>
      <c r="C328" t="n">
        <v>2022</v>
      </c>
      <c r="D328" t="n">
        <v>1</v>
      </c>
      <c r="E328" t="inlineStr">
        <is>
          <t>Miraflores 012</t>
        </is>
      </c>
      <c r="F328" t="inlineStr">
        <is>
          <t>Chilquinta</t>
        </is>
      </c>
      <c r="G328" t="inlineStr">
        <is>
          <t>Chilquinta</t>
        </is>
      </c>
      <c r="H328" t="inlineStr">
        <is>
          <t>Empresa Eléctrica Carén S.A.</t>
        </is>
      </c>
      <c r="I328" t="inlineStr">
        <is>
          <t>Empresa Eléctrica Carén S.A.</t>
        </is>
      </c>
      <c r="J328" t="inlineStr">
        <is>
          <t>SIC 2013/03_2_BS1B_BB_CHILQUINTA_Empresa Eléctrica Carén S.A.</t>
        </is>
      </c>
      <c r="K328" t="inlineStr">
        <is>
          <t>Miraflores 012</t>
        </is>
      </c>
      <c r="L328" t="inlineStr">
        <is>
          <t>-1</t>
        </is>
      </c>
      <c r="M328" t="n">
        <v>500.8850621105648</v>
      </c>
      <c r="N328" t="n">
        <v>0</v>
      </c>
      <c r="O328" t="inlineStr">
        <is>
          <t>3</t>
        </is>
      </c>
      <c r="P328" s="2" t="n">
        <v>44999.6862684375</v>
      </c>
      <c r="Q328" t="n">
        <v>31</v>
      </c>
      <c r="R328" t="inlineStr">
        <is>
          <t>LOS MAQUIS 220</t>
        </is>
      </c>
      <c r="S328" t="n">
        <v>43.29238669221057</v>
      </c>
      <c r="T328" t="n">
        <v>3919.157470067074</v>
      </c>
      <c r="U328" t="n">
        <v>0</v>
      </c>
      <c r="V328" t="n">
        <v>0</v>
      </c>
      <c r="W328" t="inlineStr">
        <is>
          <t>CHILQUINTA</t>
        </is>
      </c>
      <c r="X328" t="n">
        <v>96.30599687562</v>
      </c>
      <c r="Y328" t="n">
        <v>3.919157470067073</v>
      </c>
      <c r="Z328" t="n">
        <v>4169.316457518164</v>
      </c>
      <c r="AA328" t="n">
        <v>0</v>
      </c>
      <c r="AB328" t="n">
        <v>0</v>
      </c>
      <c r="AC328" t="n">
        <v>0</v>
      </c>
      <c r="AD328" s="2" t="n">
        <v>44562</v>
      </c>
    </row>
    <row r="329">
      <c r="A329" t="n">
        <v>-1</v>
      </c>
      <c r="B329" t="inlineStr">
        <is>
          <t>01-01-2022</t>
        </is>
      </c>
      <c r="C329" t="n">
        <v>2022</v>
      </c>
      <c r="D329" t="n">
        <v>1</v>
      </c>
      <c r="E329" t="inlineStr">
        <is>
          <t>Miraflores 012</t>
        </is>
      </c>
      <c r="F329" t="inlineStr">
        <is>
          <t>Chilquinta</t>
        </is>
      </c>
      <c r="G329" t="inlineStr">
        <is>
          <t>Chilquinta</t>
        </is>
      </c>
      <c r="H329" t="inlineStr">
        <is>
          <t>Empresa Eléctrica Carén S.A.</t>
        </is>
      </c>
      <c r="I329" t="inlineStr">
        <is>
          <t>Empresa Eléctrica Carén S.A.</t>
        </is>
      </c>
      <c r="J329" t="inlineStr">
        <is>
          <t>SIC 2013/03_2_BS1B_BB_CHILQUINTA_Empresa Eléctrica Carén S.A.</t>
        </is>
      </c>
      <c r="K329" t="inlineStr">
        <is>
          <t>Miraflores 012</t>
        </is>
      </c>
      <c r="L329" t="inlineStr">
        <is>
          <t>-1</t>
        </is>
      </c>
      <c r="M329" t="n">
        <v>500.8850621105648</v>
      </c>
      <c r="N329" t="n">
        <v>0</v>
      </c>
      <c r="O329" t="inlineStr">
        <is>
          <t>3</t>
        </is>
      </c>
      <c r="P329" s="2" t="n">
        <v>44999.6862684375</v>
      </c>
      <c r="Q329" t="n">
        <v>13</v>
      </c>
      <c r="R329" t="inlineStr">
        <is>
          <t>MELIPILLA 220</t>
        </is>
      </c>
      <c r="S329" t="n">
        <v>115.5202012818684</v>
      </c>
      <c r="T329" t="n">
        <v>10574.15947521156</v>
      </c>
      <c r="U329" t="n">
        <v>0</v>
      </c>
      <c r="V329" t="n">
        <v>0</v>
      </c>
      <c r="W329" t="inlineStr">
        <is>
          <t>CHILQUINTA</t>
        </is>
      </c>
      <c r="X329" t="n">
        <v>97.37782396384002</v>
      </c>
      <c r="Y329" t="n">
        <v>10.57415947521156</v>
      </c>
      <c r="Z329" t="n">
        <v>11249.10582469315</v>
      </c>
      <c r="AA329" t="n">
        <v>0</v>
      </c>
      <c r="AB329" t="n">
        <v>0</v>
      </c>
      <c r="AC329" t="n">
        <v>0</v>
      </c>
      <c r="AD329" s="2" t="n">
        <v>44562</v>
      </c>
    </row>
    <row r="330">
      <c r="A330" t="n">
        <v>-1</v>
      </c>
      <c r="B330" t="inlineStr">
        <is>
          <t>01-01-2022</t>
        </is>
      </c>
      <c r="C330" t="n">
        <v>2022</v>
      </c>
      <c r="D330" t="n">
        <v>1</v>
      </c>
      <c r="E330" t="inlineStr">
        <is>
          <t>Miraflores 012</t>
        </is>
      </c>
      <c r="F330" t="inlineStr">
        <is>
          <t>Chilquinta</t>
        </is>
      </c>
      <c r="G330" t="inlineStr">
        <is>
          <t>Chilquinta</t>
        </is>
      </c>
      <c r="H330" t="inlineStr">
        <is>
          <t>Empresa Eléctrica Carén S.A.</t>
        </is>
      </c>
      <c r="I330" t="inlineStr">
        <is>
          <t>Empresa Eléctrica Carén S.A.</t>
        </is>
      </c>
      <c r="J330" t="inlineStr">
        <is>
          <t>SIC 2013/03_2_BS1B_BB_CHILQUINTA_Empresa Eléctrica Carén S.A.</t>
        </is>
      </c>
      <c r="K330" t="inlineStr">
        <is>
          <t>Miraflores 012</t>
        </is>
      </c>
      <c r="L330" t="inlineStr">
        <is>
          <t>-1</t>
        </is>
      </c>
      <c r="M330" t="n">
        <v>500.8850621105648</v>
      </c>
      <c r="N330" t="n">
        <v>0</v>
      </c>
      <c r="O330" t="inlineStr">
        <is>
          <t>3</t>
        </is>
      </c>
      <c r="P330" s="2" t="n">
        <v>44999.6862684375</v>
      </c>
      <c r="Q330" t="n">
        <v>5</v>
      </c>
      <c r="R330" t="inlineStr">
        <is>
          <t>NOGALES 220</t>
        </is>
      </c>
      <c r="S330" t="n">
        <v>85.19389470677991</v>
      </c>
      <c r="T330" t="n">
        <v>8028.123070534392</v>
      </c>
      <c r="U330" t="n">
        <v>0</v>
      </c>
      <c r="V330" t="n">
        <v>0</v>
      </c>
      <c r="W330" t="inlineStr">
        <is>
          <t>CHILQUINTA</t>
        </is>
      </c>
      <c r="X330" t="n">
        <v>100.24845662251</v>
      </c>
      <c r="Y330" t="n">
        <v>8.028123070534392</v>
      </c>
      <c r="Z330" t="n">
        <v>8540.556458015311</v>
      </c>
      <c r="AA330" t="n">
        <v>0</v>
      </c>
      <c r="AB330" t="n">
        <v>0</v>
      </c>
      <c r="AC330" t="n">
        <v>0</v>
      </c>
      <c r="AD330" s="2" t="n">
        <v>44562</v>
      </c>
    </row>
    <row r="331">
      <c r="A331" t="n">
        <v>-1</v>
      </c>
      <c r="B331" t="inlineStr">
        <is>
          <t>01-01-2022</t>
        </is>
      </c>
      <c r="C331" t="n">
        <v>2022</v>
      </c>
      <c r="D331" t="n">
        <v>1</v>
      </c>
      <c r="E331" t="inlineStr">
        <is>
          <t>Miraflores 012</t>
        </is>
      </c>
      <c r="F331" t="inlineStr">
        <is>
          <t>Chilquinta</t>
        </is>
      </c>
      <c r="G331" t="inlineStr">
        <is>
          <t>Chilquinta</t>
        </is>
      </c>
      <c r="H331" t="inlineStr">
        <is>
          <t>Empresa Eléctrica Carén S.A.</t>
        </is>
      </c>
      <c r="I331" t="inlineStr">
        <is>
          <t>Empresa Eléctrica Carén S.A.</t>
        </is>
      </c>
      <c r="J331" t="inlineStr">
        <is>
          <t>SIC 2013/03_2_BS1B_BB_CHILQUINTA_Empresa Eléctrica Carén S.A.</t>
        </is>
      </c>
      <c r="K331" t="inlineStr">
        <is>
          <t>Miraflores 012</t>
        </is>
      </c>
      <c r="L331" t="inlineStr">
        <is>
          <t>-1</t>
        </is>
      </c>
      <c r="M331" t="n">
        <v>500.8850621105648</v>
      </c>
      <c r="N331" t="n">
        <v>0</v>
      </c>
      <c r="O331" t="inlineStr">
        <is>
          <t>3</t>
        </is>
      </c>
      <c r="P331" s="2" t="n">
        <v>44999.6862684375</v>
      </c>
      <c r="Q331" t="n">
        <v>11</v>
      </c>
      <c r="R331" t="inlineStr">
        <is>
          <t>QUILLOTA 220</t>
        </is>
      </c>
      <c r="S331" t="n">
        <v>271.1337682973726</v>
      </c>
      <c r="T331" t="n">
        <v>24758.88617274055</v>
      </c>
      <c r="U331" t="n">
        <v>0</v>
      </c>
      <c r="V331" t="n">
        <v>0</v>
      </c>
      <c r="W331" t="inlineStr">
        <is>
          <t>CHILQUINTA</t>
        </is>
      </c>
      <c r="X331" t="n">
        <v>97.14481812686002</v>
      </c>
      <c r="Y331" t="n">
        <v>24.75888617274056</v>
      </c>
      <c r="Z331" t="n">
        <v>26339.24060929846</v>
      </c>
      <c r="AA331" t="n">
        <v>0</v>
      </c>
      <c r="AB331" t="n">
        <v>0</v>
      </c>
      <c r="AC331" t="n">
        <v>0</v>
      </c>
      <c r="AD331" s="2" t="n">
        <v>44562</v>
      </c>
    </row>
    <row r="332">
      <c r="A332" t="n">
        <v>-1</v>
      </c>
      <c r="B332" t="inlineStr">
        <is>
          <t>01-01-2022</t>
        </is>
      </c>
      <c r="C332" t="n">
        <v>2022</v>
      </c>
      <c r="D332" t="n">
        <v>1</v>
      </c>
      <c r="E332" t="inlineStr">
        <is>
          <t>Panquehue 012</t>
        </is>
      </c>
      <c r="F332" t="inlineStr">
        <is>
          <t>Chilquinta</t>
        </is>
      </c>
      <c r="G332" t="inlineStr">
        <is>
          <t>Chilquinta</t>
        </is>
      </c>
      <c r="H332" t="inlineStr">
        <is>
          <t>Empresa Eléctrica Carén S.A.</t>
        </is>
      </c>
      <c r="I332" t="inlineStr">
        <is>
          <t>Empresa Eléctrica Carén S.A.</t>
        </is>
      </c>
      <c r="J332" t="inlineStr">
        <is>
          <t>SIC 2013/03_2_BS1B_BB_CHILQUINTA_Empresa Eléctrica Carén S.A.</t>
        </is>
      </c>
      <c r="K332" t="inlineStr">
        <is>
          <t>Panquehue 012</t>
        </is>
      </c>
      <c r="L332" t="inlineStr">
        <is>
          <t>-1</t>
        </is>
      </c>
      <c r="M332" t="n">
        <v>175.399656289146</v>
      </c>
      <c r="N332" t="n">
        <v>0</v>
      </c>
      <c r="O332" t="inlineStr">
        <is>
          <t>3</t>
        </is>
      </c>
      <c r="P332" s="2" t="n">
        <v>44999.6862684375</v>
      </c>
      <c r="Q332" t="n">
        <v>31</v>
      </c>
      <c r="R332" t="inlineStr">
        <is>
          <t>LOS MAQUIS 220</t>
        </is>
      </c>
      <c r="S332" t="n">
        <v>65.33600843437928</v>
      </c>
      <c r="T332" t="n">
        <v>5914.714458698004</v>
      </c>
      <c r="U332" t="n">
        <v>0</v>
      </c>
      <c r="V332" t="n">
        <v>0</v>
      </c>
      <c r="W332" t="inlineStr">
        <is>
          <t>CHILQUINTA</t>
        </is>
      </c>
      <c r="X332" t="n">
        <v>96.30599687562001</v>
      </c>
      <c r="Y332" t="n">
        <v>5.914714458698005</v>
      </c>
      <c r="Z332" t="n">
        <v>6292.249424146813</v>
      </c>
      <c r="AA332" t="n">
        <v>0</v>
      </c>
      <c r="AB332" t="n">
        <v>0</v>
      </c>
      <c r="AC332" t="n">
        <v>0</v>
      </c>
      <c r="AD332" s="2" t="n">
        <v>44562</v>
      </c>
    </row>
    <row r="333">
      <c r="A333" t="n">
        <v>-1</v>
      </c>
      <c r="B333" t="inlineStr">
        <is>
          <t>01-01-2022</t>
        </is>
      </c>
      <c r="C333" t="n">
        <v>2022</v>
      </c>
      <c r="D333" t="n">
        <v>1</v>
      </c>
      <c r="E333" t="inlineStr">
        <is>
          <t>Panquehue 012</t>
        </is>
      </c>
      <c r="F333" t="inlineStr">
        <is>
          <t>Chilquinta</t>
        </is>
      </c>
      <c r="G333" t="inlineStr">
        <is>
          <t>Chilquinta</t>
        </is>
      </c>
      <c r="H333" t="inlineStr">
        <is>
          <t>Empresa Eléctrica Carén S.A.</t>
        </is>
      </c>
      <c r="I333" t="inlineStr">
        <is>
          <t>Empresa Eléctrica Carén S.A.</t>
        </is>
      </c>
      <c r="J333" t="inlineStr">
        <is>
          <t>SIC 2013/03_2_BS1B_BB_CHILQUINTA_Empresa Eléctrica Carén S.A.</t>
        </is>
      </c>
      <c r="K333" t="inlineStr">
        <is>
          <t>Panquehue 012</t>
        </is>
      </c>
      <c r="L333" t="inlineStr">
        <is>
          <t>-1</t>
        </is>
      </c>
      <c r="M333" t="n">
        <v>175.399656289146</v>
      </c>
      <c r="N333" t="n">
        <v>0</v>
      </c>
      <c r="O333" t="inlineStr">
        <is>
          <t>3</t>
        </is>
      </c>
      <c r="P333" s="2" t="n">
        <v>44999.6862684375</v>
      </c>
      <c r="Q333" t="n">
        <v>13</v>
      </c>
      <c r="R333" t="inlineStr">
        <is>
          <t>MELIPILLA 220</t>
        </is>
      </c>
      <c r="S333" t="n">
        <v>8.729146161240269</v>
      </c>
      <c r="T333" t="n">
        <v>799.0237427492515</v>
      </c>
      <c r="U333" t="n">
        <v>0</v>
      </c>
      <c r="V333" t="n">
        <v>0</v>
      </c>
      <c r="W333" t="inlineStr">
        <is>
          <t>CHILQUINTA</t>
        </is>
      </c>
      <c r="X333" t="n">
        <v>97.37782396384</v>
      </c>
      <c r="Y333" t="n">
        <v>0.7990237427492515</v>
      </c>
      <c r="Z333" t="n">
        <v>850.0252582438847</v>
      </c>
      <c r="AA333" t="n">
        <v>0</v>
      </c>
      <c r="AB333" t="n">
        <v>0</v>
      </c>
      <c r="AC333" t="n">
        <v>0</v>
      </c>
      <c r="AD333" s="2" t="n">
        <v>44562</v>
      </c>
    </row>
    <row r="334">
      <c r="A334" t="n">
        <v>-1</v>
      </c>
      <c r="B334" t="inlineStr">
        <is>
          <t>01-01-2022</t>
        </is>
      </c>
      <c r="C334" t="n">
        <v>2022</v>
      </c>
      <c r="D334" t="n">
        <v>1</v>
      </c>
      <c r="E334" t="inlineStr">
        <is>
          <t>Panquehue 012</t>
        </is>
      </c>
      <c r="F334" t="inlineStr">
        <is>
          <t>Chilquinta</t>
        </is>
      </c>
      <c r="G334" t="inlineStr">
        <is>
          <t>Chilquinta</t>
        </is>
      </c>
      <c r="H334" t="inlineStr">
        <is>
          <t>Empresa Eléctrica Carén S.A.</t>
        </is>
      </c>
      <c r="I334" t="inlineStr">
        <is>
          <t>Empresa Eléctrica Carén S.A.</t>
        </is>
      </c>
      <c r="J334" t="inlineStr">
        <is>
          <t>SIC 2013/03_2_BS1B_BB_CHILQUINTA_Empresa Eléctrica Carén S.A.</t>
        </is>
      </c>
      <c r="K334" t="inlineStr">
        <is>
          <t>Panquehue 012</t>
        </is>
      </c>
      <c r="L334" t="inlineStr">
        <is>
          <t>-1</t>
        </is>
      </c>
      <c r="M334" t="n">
        <v>175.399656289146</v>
      </c>
      <c r="N334" t="n">
        <v>0</v>
      </c>
      <c r="O334" t="inlineStr">
        <is>
          <t>3</t>
        </is>
      </c>
      <c r="P334" s="2" t="n">
        <v>44999.6862684375</v>
      </c>
      <c r="Q334" t="n">
        <v>5</v>
      </c>
      <c r="R334" t="inlineStr">
        <is>
          <t>NOGALES 220</t>
        </is>
      </c>
      <c r="S334" t="n">
        <v>27.00821994752827</v>
      </c>
      <c r="T334" t="n">
        <v>2545.080423909337</v>
      </c>
      <c r="U334" t="n">
        <v>0</v>
      </c>
      <c r="V334" t="n">
        <v>0</v>
      </c>
      <c r="W334" t="inlineStr">
        <is>
          <t>CHILQUINTA</t>
        </is>
      </c>
      <c r="X334" t="n">
        <v>100.24845662251</v>
      </c>
      <c r="Y334" t="n">
        <v>2.545080423909337</v>
      </c>
      <c r="Z334" t="n">
        <v>2707.532365860997</v>
      </c>
      <c r="AA334" t="n">
        <v>0</v>
      </c>
      <c r="AB334" t="n">
        <v>0</v>
      </c>
      <c r="AC334" t="n">
        <v>0</v>
      </c>
      <c r="AD334" s="2" t="n">
        <v>44562</v>
      </c>
    </row>
    <row r="335">
      <c r="A335" t="n">
        <v>-1</v>
      </c>
      <c r="B335" t="inlineStr">
        <is>
          <t>01-01-2022</t>
        </is>
      </c>
      <c r="C335" t="n">
        <v>2022</v>
      </c>
      <c r="D335" t="n">
        <v>1</v>
      </c>
      <c r="E335" t="inlineStr">
        <is>
          <t>Panquehue 012</t>
        </is>
      </c>
      <c r="F335" t="inlineStr">
        <is>
          <t>Chilquinta</t>
        </is>
      </c>
      <c r="G335" t="inlineStr">
        <is>
          <t>Chilquinta</t>
        </is>
      </c>
      <c r="H335" t="inlineStr">
        <is>
          <t>Empresa Eléctrica Carén S.A.</t>
        </is>
      </c>
      <c r="I335" t="inlineStr">
        <is>
          <t>Empresa Eléctrica Carén S.A.</t>
        </is>
      </c>
      <c r="J335" t="inlineStr">
        <is>
          <t>SIC 2013/03_2_BS1B_BB_CHILQUINTA_Empresa Eléctrica Carén S.A.</t>
        </is>
      </c>
      <c r="K335" t="inlineStr">
        <is>
          <t>Panquehue 012</t>
        </is>
      </c>
      <c r="L335" t="inlineStr">
        <is>
          <t>-1</t>
        </is>
      </c>
      <c r="M335" t="n">
        <v>175.399656289146</v>
      </c>
      <c r="N335" t="n">
        <v>0</v>
      </c>
      <c r="O335" t="inlineStr">
        <is>
          <t>3</t>
        </is>
      </c>
      <c r="P335" s="2" t="n">
        <v>44999.6862684375</v>
      </c>
      <c r="Q335" t="n">
        <v>11</v>
      </c>
      <c r="R335" t="inlineStr">
        <is>
          <t>QUILLOTA 220</t>
        </is>
      </c>
      <c r="S335" t="n">
        <v>79.31815596398731</v>
      </c>
      <c r="T335" t="n">
        <v>7243.026965162695</v>
      </c>
      <c r="U335" t="n">
        <v>0</v>
      </c>
      <c r="V335" t="n">
        <v>0</v>
      </c>
      <c r="W335" t="inlineStr">
        <is>
          <t>CHILQUINTA</t>
        </is>
      </c>
      <c r="X335" t="n">
        <v>97.14481812686</v>
      </c>
      <c r="Y335" t="n">
        <v>7.243026965162696</v>
      </c>
      <c r="Z335" t="n">
        <v>7705.347835279464</v>
      </c>
      <c r="AA335" t="n">
        <v>0</v>
      </c>
      <c r="AB335" t="n">
        <v>0</v>
      </c>
      <c r="AC335" t="n">
        <v>0</v>
      </c>
      <c r="AD335" s="2" t="n">
        <v>44562</v>
      </c>
    </row>
    <row r="336">
      <c r="A336" t="n">
        <v>-1</v>
      </c>
      <c r="B336" t="inlineStr">
        <is>
          <t>01-01-2022</t>
        </is>
      </c>
      <c r="C336" t="n">
        <v>2022</v>
      </c>
      <c r="D336" t="n">
        <v>1</v>
      </c>
      <c r="E336" t="inlineStr">
        <is>
          <t>Peñablanca 012</t>
        </is>
      </c>
      <c r="F336" t="inlineStr">
        <is>
          <t>Chilquinta</t>
        </is>
      </c>
      <c r="G336" t="inlineStr">
        <is>
          <t>Chilquinta</t>
        </is>
      </c>
      <c r="H336" t="inlineStr">
        <is>
          <t>Empresa Eléctrica Carén S.A.</t>
        </is>
      </c>
      <c r="I336" t="inlineStr">
        <is>
          <t>Empresa Eléctrica Carén S.A.</t>
        </is>
      </c>
      <c r="J336" t="inlineStr">
        <is>
          <t>SIC 2013/03_2_BS1B_BB_CHILQUINTA_Empresa Eléctrica Carén S.A.</t>
        </is>
      </c>
      <c r="K336" t="inlineStr">
        <is>
          <t>Peñablanca 012</t>
        </is>
      </c>
      <c r="L336" t="inlineStr">
        <is>
          <t>-1</t>
        </is>
      </c>
      <c r="M336" t="n">
        <v>677.6165460360781</v>
      </c>
      <c r="N336" t="n">
        <v>0</v>
      </c>
      <c r="O336" t="inlineStr">
        <is>
          <t>3</t>
        </is>
      </c>
      <c r="P336" s="2" t="n">
        <v>44999.6862684375</v>
      </c>
      <c r="Q336" t="n">
        <v>31</v>
      </c>
      <c r="R336" t="inlineStr">
        <is>
          <t>LOS MAQUIS 220</t>
        </is>
      </c>
      <c r="S336" t="n">
        <v>100.0402121820008</v>
      </c>
      <c r="T336" t="n">
        <v>9056.404020125965</v>
      </c>
      <c r="U336" t="n">
        <v>0</v>
      </c>
      <c r="V336" t="n">
        <v>0</v>
      </c>
      <c r="W336" t="inlineStr">
        <is>
          <t>CHILQUINTA</t>
        </is>
      </c>
      <c r="X336" t="n">
        <v>96.30599687562001</v>
      </c>
      <c r="Y336" t="n">
        <v>9.056404020125967</v>
      </c>
      <c r="Z336" t="n">
        <v>9634.472361836133</v>
      </c>
      <c r="AA336" t="n">
        <v>0</v>
      </c>
      <c r="AB336" t="n">
        <v>0</v>
      </c>
      <c r="AC336" t="n">
        <v>0</v>
      </c>
      <c r="AD336" s="2" t="n">
        <v>44562</v>
      </c>
    </row>
    <row r="337">
      <c r="A337" t="n">
        <v>-1</v>
      </c>
      <c r="B337" t="inlineStr">
        <is>
          <t>01-01-2022</t>
        </is>
      </c>
      <c r="C337" t="n">
        <v>2022</v>
      </c>
      <c r="D337" t="n">
        <v>1</v>
      </c>
      <c r="E337" t="inlineStr">
        <is>
          <t>Peñablanca 012</t>
        </is>
      </c>
      <c r="F337" t="inlineStr">
        <is>
          <t>Chilquinta</t>
        </is>
      </c>
      <c r="G337" t="inlineStr">
        <is>
          <t>Chilquinta</t>
        </is>
      </c>
      <c r="H337" t="inlineStr">
        <is>
          <t>Empresa Eléctrica Carén S.A.</t>
        </is>
      </c>
      <c r="I337" t="inlineStr">
        <is>
          <t>Empresa Eléctrica Carén S.A.</t>
        </is>
      </c>
      <c r="J337" t="inlineStr">
        <is>
          <t>SIC 2013/03_2_BS1B_BB_CHILQUINTA_Empresa Eléctrica Carén S.A.</t>
        </is>
      </c>
      <c r="K337" t="inlineStr">
        <is>
          <t>Peñablanca 012</t>
        </is>
      </c>
      <c r="L337" t="inlineStr">
        <is>
          <t>-1</t>
        </is>
      </c>
      <c r="M337" t="n">
        <v>677.6165460360781</v>
      </c>
      <c r="N337" t="n">
        <v>0</v>
      </c>
      <c r="O337" t="inlineStr">
        <is>
          <t>3</t>
        </is>
      </c>
      <c r="P337" s="2" t="n">
        <v>44999.6862684375</v>
      </c>
      <c r="Q337" t="n">
        <v>13</v>
      </c>
      <c r="R337" t="inlineStr">
        <is>
          <t>MELIPILLA 220</t>
        </is>
      </c>
      <c r="S337" t="n">
        <v>78.79168505257411</v>
      </c>
      <c r="T337" t="n">
        <v>7212.209066652052</v>
      </c>
      <c r="U337" t="n">
        <v>0</v>
      </c>
      <c r="V337" t="n">
        <v>0</v>
      </c>
      <c r="W337" t="inlineStr">
        <is>
          <t>CHILQUINTA</t>
        </is>
      </c>
      <c r="X337" t="n">
        <v>97.37782396384</v>
      </c>
      <c r="Y337" t="n">
        <v>7.212209066652052</v>
      </c>
      <c r="Z337" t="n">
        <v>7672.562836863885</v>
      </c>
      <c r="AA337" t="n">
        <v>0</v>
      </c>
      <c r="AB337" t="n">
        <v>0</v>
      </c>
      <c r="AC337" t="n">
        <v>0</v>
      </c>
      <c r="AD337" s="2" t="n">
        <v>44562</v>
      </c>
    </row>
    <row r="338">
      <c r="A338" t="n">
        <v>-1</v>
      </c>
      <c r="B338" t="inlineStr">
        <is>
          <t>01-01-2022</t>
        </is>
      </c>
      <c r="C338" t="n">
        <v>2022</v>
      </c>
      <c r="D338" t="n">
        <v>1</v>
      </c>
      <c r="E338" t="inlineStr">
        <is>
          <t>Peñablanca 012</t>
        </is>
      </c>
      <c r="F338" t="inlineStr">
        <is>
          <t>Chilquinta</t>
        </is>
      </c>
      <c r="G338" t="inlineStr">
        <is>
          <t>Chilquinta</t>
        </is>
      </c>
      <c r="H338" t="inlineStr">
        <is>
          <t>Empresa Eléctrica Carén S.A.</t>
        </is>
      </c>
      <c r="I338" t="inlineStr">
        <is>
          <t>Empresa Eléctrica Carén S.A.</t>
        </is>
      </c>
      <c r="J338" t="inlineStr">
        <is>
          <t>SIC 2013/03_2_BS1B_BB_CHILQUINTA_Empresa Eléctrica Carén S.A.</t>
        </is>
      </c>
      <c r="K338" t="inlineStr">
        <is>
          <t>Peñablanca 012</t>
        </is>
      </c>
      <c r="L338" t="inlineStr">
        <is>
          <t>-1</t>
        </is>
      </c>
      <c r="M338" t="n">
        <v>677.6165460360781</v>
      </c>
      <c r="N338" t="n">
        <v>0</v>
      </c>
      <c r="O338" t="inlineStr">
        <is>
          <t>3</t>
        </is>
      </c>
      <c r="P338" s="2" t="n">
        <v>44999.6862684375</v>
      </c>
      <c r="Q338" t="n">
        <v>5</v>
      </c>
      <c r="R338" t="inlineStr">
        <is>
          <t>NOGALES 220</t>
        </is>
      </c>
      <c r="S338" t="n">
        <v>77.66270460161736</v>
      </c>
      <c r="T338" t="n">
        <v>7318.432297035523</v>
      </c>
      <c r="U338" t="n">
        <v>0</v>
      </c>
      <c r="V338" t="n">
        <v>0</v>
      </c>
      <c r="W338" t="inlineStr">
        <is>
          <t>CHILQUINTA</t>
        </is>
      </c>
      <c r="X338" t="n">
        <v>100.24845662251</v>
      </c>
      <c r="Y338" t="n">
        <v>7.318432297035524</v>
      </c>
      <c r="Z338" t="n">
        <v>7785.566273442047</v>
      </c>
      <c r="AA338" t="n">
        <v>0</v>
      </c>
      <c r="AB338" t="n">
        <v>0</v>
      </c>
      <c r="AC338" t="n">
        <v>0</v>
      </c>
      <c r="AD338" s="2" t="n">
        <v>44562</v>
      </c>
    </row>
    <row r="339">
      <c r="A339" t="n">
        <v>-1</v>
      </c>
      <c r="B339" t="inlineStr">
        <is>
          <t>01-01-2022</t>
        </is>
      </c>
      <c r="C339" t="n">
        <v>2022</v>
      </c>
      <c r="D339" t="n">
        <v>1</v>
      </c>
      <c r="E339" t="inlineStr">
        <is>
          <t>Peñablanca 012</t>
        </is>
      </c>
      <c r="F339" t="inlineStr">
        <is>
          <t>Chilquinta</t>
        </is>
      </c>
      <c r="G339" t="inlineStr">
        <is>
          <t>Chilquinta</t>
        </is>
      </c>
      <c r="H339" t="inlineStr">
        <is>
          <t>Empresa Eléctrica Carén S.A.</t>
        </is>
      </c>
      <c r="I339" t="inlineStr">
        <is>
          <t>Empresa Eléctrica Carén S.A.</t>
        </is>
      </c>
      <c r="J339" t="inlineStr">
        <is>
          <t>SIC 2013/03_2_BS1B_BB_CHILQUINTA_Empresa Eléctrica Carén S.A.</t>
        </is>
      </c>
      <c r="K339" t="inlineStr">
        <is>
          <t>Peñablanca 012</t>
        </is>
      </c>
      <c r="L339" t="inlineStr">
        <is>
          <t>-1</t>
        </is>
      </c>
      <c r="M339" t="n">
        <v>677.6165460360781</v>
      </c>
      <c r="N339" t="n">
        <v>0</v>
      </c>
      <c r="O339" t="inlineStr">
        <is>
          <t>3</t>
        </is>
      </c>
      <c r="P339" s="2" t="n">
        <v>44999.6862684375</v>
      </c>
      <c r="Q339" t="n">
        <v>11</v>
      </c>
      <c r="R339" t="inlineStr">
        <is>
          <t>QUILLOTA 220</t>
        </is>
      </c>
      <c r="S339" t="n">
        <v>440.4069111000726</v>
      </c>
      <c r="T339" t="n">
        <v>40216.25432379103</v>
      </c>
      <c r="U339" t="n">
        <v>0</v>
      </c>
      <c r="V339" t="n">
        <v>0</v>
      </c>
      <c r="W339" t="inlineStr">
        <is>
          <t>CHILQUINTA</t>
        </is>
      </c>
      <c r="X339" t="n">
        <v>97.14481812686</v>
      </c>
      <c r="Y339" t="n">
        <v>40.21625432379103</v>
      </c>
      <c r="Z339" t="n">
        <v>42783.24928062876</v>
      </c>
      <c r="AA339" t="n">
        <v>0</v>
      </c>
      <c r="AB339" t="n">
        <v>0</v>
      </c>
      <c r="AC339" t="n">
        <v>0</v>
      </c>
      <c r="AD339" s="2" t="n">
        <v>44562</v>
      </c>
    </row>
    <row r="340">
      <c r="A340" t="n">
        <v>-1</v>
      </c>
      <c r="B340" t="inlineStr">
        <is>
          <t>01-01-2022</t>
        </is>
      </c>
      <c r="C340" t="n">
        <v>2022</v>
      </c>
      <c r="D340" t="n">
        <v>1</v>
      </c>
      <c r="E340" t="inlineStr">
        <is>
          <t>Placeres 012</t>
        </is>
      </c>
      <c r="F340" t="inlineStr">
        <is>
          <t>Chilquinta</t>
        </is>
      </c>
      <c r="G340" t="inlineStr">
        <is>
          <t>Chilquinta</t>
        </is>
      </c>
      <c r="H340" t="inlineStr">
        <is>
          <t>Empresa Eléctrica Carén S.A.</t>
        </is>
      </c>
      <c r="I340" t="inlineStr">
        <is>
          <t>Empresa Eléctrica Carén S.A.</t>
        </is>
      </c>
      <c r="J340" t="inlineStr">
        <is>
          <t>SIC 2013/03_2_BS1B_BB_CHILQUINTA_Empresa Eléctrica Carén S.A.</t>
        </is>
      </c>
      <c r="K340" t="inlineStr">
        <is>
          <t>Placeres 012</t>
        </is>
      </c>
      <c r="L340" t="inlineStr">
        <is>
          <t>-1</t>
        </is>
      </c>
      <c r="M340" t="n">
        <v>668.1049773385155</v>
      </c>
      <c r="N340" t="n">
        <v>0</v>
      </c>
      <c r="O340" t="inlineStr">
        <is>
          <t>3</t>
        </is>
      </c>
      <c r="P340" s="2" t="n">
        <v>44999.6862684375</v>
      </c>
      <c r="Q340" t="n">
        <v>31</v>
      </c>
      <c r="R340" t="inlineStr">
        <is>
          <t>LOS MAQUIS 220</t>
        </is>
      </c>
      <c r="S340" t="n">
        <v>52.95628021165441</v>
      </c>
      <c r="T340" t="n">
        <v>4794.006915211564</v>
      </c>
      <c r="U340" t="n">
        <v>0</v>
      </c>
      <c r="V340" t="n">
        <v>0</v>
      </c>
      <c r="W340" t="inlineStr">
        <is>
          <t>CHILQUINTA</t>
        </is>
      </c>
      <c r="X340" t="n">
        <v>96.30599687562001</v>
      </c>
      <c r="Y340" t="n">
        <v>4.794006915211565</v>
      </c>
      <c r="Z340" t="n">
        <v>5100.007356608047</v>
      </c>
      <c r="AA340" t="n">
        <v>0</v>
      </c>
      <c r="AB340" t="n">
        <v>0</v>
      </c>
      <c r="AC340" t="n">
        <v>0</v>
      </c>
      <c r="AD340" s="2" t="n">
        <v>44562</v>
      </c>
    </row>
    <row r="341">
      <c r="A341" t="n">
        <v>-1</v>
      </c>
      <c r="B341" t="inlineStr">
        <is>
          <t>01-01-2022</t>
        </is>
      </c>
      <c r="C341" t="n">
        <v>2022</v>
      </c>
      <c r="D341" t="n">
        <v>1</v>
      </c>
      <c r="E341" t="inlineStr">
        <is>
          <t>Placeres 012</t>
        </is>
      </c>
      <c r="F341" t="inlineStr">
        <is>
          <t>Chilquinta</t>
        </is>
      </c>
      <c r="G341" t="inlineStr">
        <is>
          <t>Chilquinta</t>
        </is>
      </c>
      <c r="H341" t="inlineStr">
        <is>
          <t>Empresa Eléctrica Carén S.A.</t>
        </is>
      </c>
      <c r="I341" t="inlineStr">
        <is>
          <t>Empresa Eléctrica Carén S.A.</t>
        </is>
      </c>
      <c r="J341" t="inlineStr">
        <is>
          <t>SIC 2013/03_2_BS1B_BB_CHILQUINTA_Empresa Eléctrica Carén S.A.</t>
        </is>
      </c>
      <c r="K341" t="inlineStr">
        <is>
          <t>Placeres 012</t>
        </is>
      </c>
      <c r="L341" t="inlineStr">
        <is>
          <t>-1</t>
        </is>
      </c>
      <c r="M341" t="n">
        <v>668.1049773385155</v>
      </c>
      <c r="N341" t="n">
        <v>0</v>
      </c>
      <c r="O341" t="inlineStr">
        <is>
          <t>3</t>
        </is>
      </c>
      <c r="P341" s="2" t="n">
        <v>44999.6862684375</v>
      </c>
      <c r="Q341" t="n">
        <v>13</v>
      </c>
      <c r="R341" t="inlineStr">
        <is>
          <t>MELIPILLA 220</t>
        </is>
      </c>
      <c r="S341" t="n">
        <v>271.7075630478072</v>
      </c>
      <c r="T341" t="n">
        <v>24870.79376946653</v>
      </c>
      <c r="U341" t="n">
        <v>0</v>
      </c>
      <c r="V341" t="n">
        <v>0</v>
      </c>
      <c r="W341" t="inlineStr">
        <is>
          <t>CHILQUINTA</t>
        </is>
      </c>
      <c r="X341" t="n">
        <v>97.37782396384002</v>
      </c>
      <c r="Y341" t="n">
        <v>24.87079376946653</v>
      </c>
      <c r="Z341" t="n">
        <v>26458.29124411333</v>
      </c>
      <c r="AA341" t="n">
        <v>0</v>
      </c>
      <c r="AB341" t="n">
        <v>0</v>
      </c>
      <c r="AC341" t="n">
        <v>0</v>
      </c>
      <c r="AD341" s="2" t="n">
        <v>44562</v>
      </c>
    </row>
    <row r="342">
      <c r="A342" t="n">
        <v>-1</v>
      </c>
      <c r="B342" t="inlineStr">
        <is>
          <t>01-01-2022</t>
        </is>
      </c>
      <c r="C342" t="n">
        <v>2022</v>
      </c>
      <c r="D342" t="n">
        <v>1</v>
      </c>
      <c r="E342" t="inlineStr">
        <is>
          <t>Placeres 012</t>
        </is>
      </c>
      <c r="F342" t="inlineStr">
        <is>
          <t>Chilquinta</t>
        </is>
      </c>
      <c r="G342" t="inlineStr">
        <is>
          <t>Chilquinta</t>
        </is>
      </c>
      <c r="H342" t="inlineStr">
        <is>
          <t>Empresa Eléctrica Carén S.A.</t>
        </is>
      </c>
      <c r="I342" t="inlineStr">
        <is>
          <t>Empresa Eléctrica Carén S.A.</t>
        </is>
      </c>
      <c r="J342" t="inlineStr">
        <is>
          <t>SIC 2013/03_2_BS1B_BB_CHILQUINTA_Empresa Eléctrica Carén S.A.</t>
        </is>
      </c>
      <c r="K342" t="inlineStr">
        <is>
          <t>Placeres 012</t>
        </is>
      </c>
      <c r="L342" t="inlineStr">
        <is>
          <t>-1</t>
        </is>
      </c>
      <c r="M342" t="n">
        <v>668.1049773385155</v>
      </c>
      <c r="N342" t="n">
        <v>0</v>
      </c>
      <c r="O342" t="inlineStr">
        <is>
          <t>3</t>
        </is>
      </c>
      <c r="P342" s="2" t="n">
        <v>44999.6862684375</v>
      </c>
      <c r="Q342" t="n">
        <v>5</v>
      </c>
      <c r="R342" t="inlineStr">
        <is>
          <t>NOGALES 220</t>
        </is>
      </c>
      <c r="S342" t="n">
        <v>75.21207255699613</v>
      </c>
      <c r="T342" t="n">
        <v>7087.500541625956</v>
      </c>
      <c r="U342" t="n">
        <v>0</v>
      </c>
      <c r="V342" t="n">
        <v>0</v>
      </c>
      <c r="W342" t="inlineStr">
        <is>
          <t>CHILQUINTA</t>
        </is>
      </c>
      <c r="X342" t="n">
        <v>100.24845662251</v>
      </c>
      <c r="Y342" t="n">
        <v>7.087500541625955</v>
      </c>
      <c r="Z342" t="n">
        <v>7539.894193219103</v>
      </c>
      <c r="AA342" t="n">
        <v>0</v>
      </c>
      <c r="AB342" t="n">
        <v>0</v>
      </c>
      <c r="AC342" t="n">
        <v>0</v>
      </c>
      <c r="AD342" s="2" t="n">
        <v>44562</v>
      </c>
    </row>
    <row r="343">
      <c r="A343" t="n">
        <v>-1</v>
      </c>
      <c r="B343" t="inlineStr">
        <is>
          <t>01-01-2022</t>
        </is>
      </c>
      <c r="C343" t="n">
        <v>2022</v>
      </c>
      <c r="D343" t="n">
        <v>1</v>
      </c>
      <c r="E343" t="inlineStr">
        <is>
          <t>Placeres 012</t>
        </is>
      </c>
      <c r="F343" t="inlineStr">
        <is>
          <t>Chilquinta</t>
        </is>
      </c>
      <c r="G343" t="inlineStr">
        <is>
          <t>Chilquinta</t>
        </is>
      </c>
      <c r="H343" t="inlineStr">
        <is>
          <t>Empresa Eléctrica Carén S.A.</t>
        </is>
      </c>
      <c r="I343" t="inlineStr">
        <is>
          <t>Empresa Eléctrica Carén S.A.</t>
        </is>
      </c>
      <c r="J343" t="inlineStr">
        <is>
          <t>SIC 2013/03_2_BS1B_BB_CHILQUINTA_Empresa Eléctrica Carén S.A.</t>
        </is>
      </c>
      <c r="K343" t="inlineStr">
        <is>
          <t>Placeres 012</t>
        </is>
      </c>
      <c r="L343" t="inlineStr">
        <is>
          <t>-1</t>
        </is>
      </c>
      <c r="M343" t="n">
        <v>668.1049773385155</v>
      </c>
      <c r="N343" t="n">
        <v>0</v>
      </c>
      <c r="O343" t="inlineStr">
        <is>
          <t>3</t>
        </is>
      </c>
      <c r="P343" s="2" t="n">
        <v>44999.6862684375</v>
      </c>
      <c r="Q343" t="n">
        <v>11</v>
      </c>
      <c r="R343" t="inlineStr">
        <is>
          <t>QUILLOTA 220</t>
        </is>
      </c>
      <c r="S343" t="n">
        <v>287.2433291771118</v>
      </c>
      <c r="T343" t="n">
        <v>26229.94891280045</v>
      </c>
      <c r="U343" t="n">
        <v>0</v>
      </c>
      <c r="V343" t="n">
        <v>0</v>
      </c>
      <c r="W343" t="inlineStr">
        <is>
          <t>CHILQUINTA</t>
        </is>
      </c>
      <c r="X343" t="n">
        <v>97.14481812686002</v>
      </c>
      <c r="Y343" t="n">
        <v>26.22994891280045</v>
      </c>
      <c r="Z343" t="n">
        <v>27904.20097106431</v>
      </c>
      <c r="AA343" t="n">
        <v>0</v>
      </c>
      <c r="AB343" t="n">
        <v>0</v>
      </c>
      <c r="AC343" t="n">
        <v>0</v>
      </c>
      <c r="AD343" s="2" t="n">
        <v>44562</v>
      </c>
    </row>
    <row r="344">
      <c r="A344" t="n">
        <v>-1</v>
      </c>
      <c r="B344" t="inlineStr">
        <is>
          <t>01-01-2022</t>
        </is>
      </c>
      <c r="C344" t="n">
        <v>2022</v>
      </c>
      <c r="D344" t="n">
        <v>1</v>
      </c>
      <c r="E344" t="inlineStr">
        <is>
          <t>Placilla SIC2 012</t>
        </is>
      </c>
      <c r="F344" t="inlineStr">
        <is>
          <t>Chilquinta</t>
        </is>
      </c>
      <c r="G344" t="inlineStr">
        <is>
          <t>Chilquinta</t>
        </is>
      </c>
      <c r="H344" t="inlineStr">
        <is>
          <t>Empresa Eléctrica Carén S.A.</t>
        </is>
      </c>
      <c r="I344" t="inlineStr">
        <is>
          <t>Empresa Eléctrica Carén S.A.</t>
        </is>
      </c>
      <c r="J344" t="inlineStr">
        <is>
          <t>SIC 2013/03_2_BS1B_BB_CHILQUINTA_Empresa Eléctrica Carén S.A.</t>
        </is>
      </c>
      <c r="K344" t="inlineStr">
        <is>
          <t>Placilla SIC2 012</t>
        </is>
      </c>
      <c r="L344" t="inlineStr">
        <is>
          <t>-1</t>
        </is>
      </c>
      <c r="M344" t="n">
        <v>348.1912865222625</v>
      </c>
      <c r="N344" t="n">
        <v>0</v>
      </c>
      <c r="O344" t="inlineStr">
        <is>
          <t>3</t>
        </is>
      </c>
      <c r="P344" s="2" t="n">
        <v>44999.6862684375</v>
      </c>
      <c r="Q344" t="n">
        <v>31</v>
      </c>
      <c r="R344" t="inlineStr">
        <is>
          <t>LOS MAQUIS 220</t>
        </is>
      </c>
      <c r="S344" t="n">
        <v>27.91753918944005</v>
      </c>
      <c r="T344" t="n">
        <v>2527.30885543602</v>
      </c>
      <c r="U344" t="n">
        <v>0</v>
      </c>
      <c r="V344" t="n">
        <v>0</v>
      </c>
      <c r="W344" t="inlineStr">
        <is>
          <t>CHILQUINTA</t>
        </is>
      </c>
      <c r="X344" t="n">
        <v>96.30599687562001</v>
      </c>
      <c r="Y344" t="n">
        <v>2.527308855436019</v>
      </c>
      <c r="Z344" t="n">
        <v>2688.626441953213</v>
      </c>
      <c r="AA344" t="n">
        <v>0</v>
      </c>
      <c r="AB344" t="n">
        <v>0</v>
      </c>
      <c r="AC344" t="n">
        <v>0</v>
      </c>
      <c r="AD344" s="2" t="n">
        <v>44562</v>
      </c>
    </row>
    <row r="345">
      <c r="A345" t="n">
        <v>-1</v>
      </c>
      <c r="B345" t="inlineStr">
        <is>
          <t>01-01-2022</t>
        </is>
      </c>
      <c r="C345" t="n">
        <v>2022</v>
      </c>
      <c r="D345" t="n">
        <v>1</v>
      </c>
      <c r="E345" t="inlineStr">
        <is>
          <t>Placilla SIC2 012</t>
        </is>
      </c>
      <c r="F345" t="inlineStr">
        <is>
          <t>Chilquinta</t>
        </is>
      </c>
      <c r="G345" t="inlineStr">
        <is>
          <t>Chilquinta</t>
        </is>
      </c>
      <c r="H345" t="inlineStr">
        <is>
          <t>Empresa Eléctrica Carén S.A.</t>
        </is>
      </c>
      <c r="I345" t="inlineStr">
        <is>
          <t>Empresa Eléctrica Carén S.A.</t>
        </is>
      </c>
      <c r="J345" t="inlineStr">
        <is>
          <t>SIC 2013/03_2_BS1B_BB_CHILQUINTA_Empresa Eléctrica Carén S.A.</t>
        </is>
      </c>
      <c r="K345" t="inlineStr">
        <is>
          <t>Placilla SIC2 012</t>
        </is>
      </c>
      <c r="L345" t="inlineStr">
        <is>
          <t>-1</t>
        </is>
      </c>
      <c r="M345" t="n">
        <v>348.1912865222625</v>
      </c>
      <c r="N345" t="n">
        <v>0</v>
      </c>
      <c r="O345" t="inlineStr">
        <is>
          <t>3</t>
        </is>
      </c>
      <c r="P345" s="2" t="n">
        <v>44999.6862684375</v>
      </c>
      <c r="Q345" t="n">
        <v>13</v>
      </c>
      <c r="R345" t="inlineStr">
        <is>
          <t>MELIPILLA 220</t>
        </is>
      </c>
      <c r="S345" t="n">
        <v>128.2215762207658</v>
      </c>
      <c r="T345" t="n">
        <v>11736.78179293632</v>
      </c>
      <c r="U345" t="n">
        <v>0</v>
      </c>
      <c r="V345" t="n">
        <v>0</v>
      </c>
      <c r="W345" t="inlineStr">
        <is>
          <t>CHILQUINTA</t>
        </is>
      </c>
      <c r="X345" t="n">
        <v>97.37782396384002</v>
      </c>
      <c r="Y345" t="n">
        <v>11.73678179293632</v>
      </c>
      <c r="Z345" t="n">
        <v>12485.93807759183</v>
      </c>
      <c r="AA345" t="n">
        <v>0</v>
      </c>
      <c r="AB345" t="n">
        <v>0</v>
      </c>
      <c r="AC345" t="n">
        <v>0</v>
      </c>
      <c r="AD345" s="2" t="n">
        <v>44562</v>
      </c>
    </row>
    <row r="346">
      <c r="A346" t="n">
        <v>-1</v>
      </c>
      <c r="B346" t="inlineStr">
        <is>
          <t>01-01-2022</t>
        </is>
      </c>
      <c r="C346" t="n">
        <v>2022</v>
      </c>
      <c r="D346" t="n">
        <v>1</v>
      </c>
      <c r="E346" t="inlineStr">
        <is>
          <t>Placilla SIC2 012</t>
        </is>
      </c>
      <c r="F346" t="inlineStr">
        <is>
          <t>Chilquinta</t>
        </is>
      </c>
      <c r="G346" t="inlineStr">
        <is>
          <t>Chilquinta</t>
        </is>
      </c>
      <c r="H346" t="inlineStr">
        <is>
          <t>Empresa Eléctrica Carén S.A.</t>
        </is>
      </c>
      <c r="I346" t="inlineStr">
        <is>
          <t>Empresa Eléctrica Carén S.A.</t>
        </is>
      </c>
      <c r="J346" t="inlineStr">
        <is>
          <t>SIC 2013/03_2_BS1B_BB_CHILQUINTA_Empresa Eléctrica Carén S.A.</t>
        </is>
      </c>
      <c r="K346" t="inlineStr">
        <is>
          <t>Placilla SIC2 012</t>
        </is>
      </c>
      <c r="L346" t="inlineStr">
        <is>
          <t>-1</t>
        </is>
      </c>
      <c r="M346" t="n">
        <v>348.1912865222625</v>
      </c>
      <c r="N346" t="n">
        <v>0</v>
      </c>
      <c r="O346" t="inlineStr">
        <is>
          <t>3</t>
        </is>
      </c>
      <c r="P346" s="2" t="n">
        <v>44999.6862684375</v>
      </c>
      <c r="Q346" t="n">
        <v>5</v>
      </c>
      <c r="R346" t="inlineStr">
        <is>
          <t>NOGALES 220</t>
        </is>
      </c>
      <c r="S346" t="n">
        <v>43.26573992904242</v>
      </c>
      <c r="T346" t="n">
        <v>4077.084233366363</v>
      </c>
      <c r="U346" t="n">
        <v>0</v>
      </c>
      <c r="V346" t="n">
        <v>0</v>
      </c>
      <c r="W346" t="inlineStr">
        <is>
          <t>CHILQUINTA</t>
        </is>
      </c>
      <c r="X346" t="n">
        <v>100.24845662251</v>
      </c>
      <c r="Y346" t="n">
        <v>4.077084233366364</v>
      </c>
      <c r="Z346" t="n">
        <v>4337.323652517408</v>
      </c>
      <c r="AA346" t="n">
        <v>0</v>
      </c>
      <c r="AB346" t="n">
        <v>0</v>
      </c>
      <c r="AC346" t="n">
        <v>0</v>
      </c>
      <c r="AD346" s="2" t="n">
        <v>44562</v>
      </c>
    </row>
    <row r="347">
      <c r="A347" t="n">
        <v>-1</v>
      </c>
      <c r="B347" t="inlineStr">
        <is>
          <t>01-01-2022</t>
        </is>
      </c>
      <c r="C347" t="n">
        <v>2022</v>
      </c>
      <c r="D347" t="n">
        <v>1</v>
      </c>
      <c r="E347" t="inlineStr">
        <is>
          <t>Placilla SIC2 012</t>
        </is>
      </c>
      <c r="F347" t="inlineStr">
        <is>
          <t>Chilquinta</t>
        </is>
      </c>
      <c r="G347" t="inlineStr">
        <is>
          <t>Chilquinta</t>
        </is>
      </c>
      <c r="H347" t="inlineStr">
        <is>
          <t>Empresa Eléctrica Carén S.A.</t>
        </is>
      </c>
      <c r="I347" t="inlineStr">
        <is>
          <t>Empresa Eléctrica Carén S.A.</t>
        </is>
      </c>
      <c r="J347" t="inlineStr">
        <is>
          <t>SIC 2013/03_2_BS1B_BB_CHILQUINTA_Empresa Eléctrica Carén S.A.</t>
        </is>
      </c>
      <c r="K347" t="inlineStr">
        <is>
          <t>Placilla SIC2 012</t>
        </is>
      </c>
      <c r="L347" t="inlineStr">
        <is>
          <t>-1</t>
        </is>
      </c>
      <c r="M347" t="n">
        <v>348.1912865222625</v>
      </c>
      <c r="N347" t="n">
        <v>0</v>
      </c>
      <c r="O347" t="inlineStr">
        <is>
          <t>3</t>
        </is>
      </c>
      <c r="P347" s="2" t="n">
        <v>44999.6862684375</v>
      </c>
      <c r="Q347" t="n">
        <v>11</v>
      </c>
      <c r="R347" t="inlineStr">
        <is>
          <t>QUILLOTA 220</t>
        </is>
      </c>
      <c r="S347" t="n">
        <v>158.6959551974378</v>
      </c>
      <c r="T347" t="n">
        <v>14491.50032281601</v>
      </c>
      <c r="U347" t="n">
        <v>0</v>
      </c>
      <c r="V347" t="n">
        <v>0</v>
      </c>
      <c r="W347" t="inlineStr">
        <is>
          <t>CHILQUINTA</t>
        </is>
      </c>
      <c r="X347" t="n">
        <v>97.14481812686002</v>
      </c>
      <c r="Y347" t="n">
        <v>14.49150032281601</v>
      </c>
      <c r="Z347" t="n">
        <v>15416.48970512342</v>
      </c>
      <c r="AA347" t="n">
        <v>0</v>
      </c>
      <c r="AB347" t="n">
        <v>0</v>
      </c>
      <c r="AC347" t="n">
        <v>0</v>
      </c>
      <c r="AD347" s="2" t="n">
        <v>44562</v>
      </c>
    </row>
    <row r="348">
      <c r="A348" t="n">
        <v>-1</v>
      </c>
      <c r="B348" t="inlineStr">
        <is>
          <t>01-01-2022</t>
        </is>
      </c>
      <c r="C348" t="n">
        <v>2022</v>
      </c>
      <c r="D348" t="n">
        <v>1</v>
      </c>
      <c r="E348" t="inlineStr">
        <is>
          <t>Playa Ancha 13.8</t>
        </is>
      </c>
      <c r="F348" t="inlineStr">
        <is>
          <t>Chilquinta</t>
        </is>
      </c>
      <c r="G348" t="inlineStr">
        <is>
          <t>Chilquinta</t>
        </is>
      </c>
      <c r="H348" t="inlineStr">
        <is>
          <t>Empresa Eléctrica Carén S.A.</t>
        </is>
      </c>
      <c r="I348" t="inlineStr">
        <is>
          <t>Empresa Eléctrica Carén S.A.</t>
        </is>
      </c>
      <c r="J348" t="inlineStr">
        <is>
          <t>SIC 2013/03_2_BS1B_BB_CHILQUINTA_Empresa Eléctrica Carén S.A.</t>
        </is>
      </c>
      <c r="K348" t="inlineStr">
        <is>
          <t>Playa Ancha 13.8</t>
        </is>
      </c>
      <c r="L348" t="inlineStr">
        <is>
          <t>-1</t>
        </is>
      </c>
      <c r="M348" t="n">
        <v>477.4302098029098</v>
      </c>
      <c r="N348" t="n">
        <v>0</v>
      </c>
      <c r="O348" t="inlineStr">
        <is>
          <t>3</t>
        </is>
      </c>
      <c r="P348" s="2" t="n">
        <v>44999.6862684375</v>
      </c>
      <c r="Q348" t="n">
        <v>31</v>
      </c>
      <c r="R348" t="inlineStr">
        <is>
          <t>LOS MAQUIS 220</t>
        </is>
      </c>
      <c r="S348" t="n">
        <v>7.16395077544321</v>
      </c>
      <c r="T348" t="n">
        <v>648.5355357371135</v>
      </c>
      <c r="U348" t="n">
        <v>0</v>
      </c>
      <c r="V348" t="n">
        <v>0</v>
      </c>
      <c r="W348" t="inlineStr">
        <is>
          <t>CHILQUINTA</t>
        </is>
      </c>
      <c r="X348" t="n">
        <v>96.30599687562001</v>
      </c>
      <c r="Y348" t="n">
        <v>0.6485355357371135</v>
      </c>
      <c r="Z348" t="n">
        <v>689.9314209969293</v>
      </c>
      <c r="AA348" t="n">
        <v>0</v>
      </c>
      <c r="AB348" t="n">
        <v>0</v>
      </c>
      <c r="AC348" t="n">
        <v>0</v>
      </c>
      <c r="AD348" s="2" t="n">
        <v>44562</v>
      </c>
    </row>
    <row r="349">
      <c r="A349" t="n">
        <v>-1</v>
      </c>
      <c r="B349" t="inlineStr">
        <is>
          <t>01-01-2022</t>
        </is>
      </c>
      <c r="C349" t="n">
        <v>2022</v>
      </c>
      <c r="D349" t="n">
        <v>1</v>
      </c>
      <c r="E349" t="inlineStr">
        <is>
          <t>Playa Ancha 13.8</t>
        </is>
      </c>
      <c r="F349" t="inlineStr">
        <is>
          <t>Chilquinta</t>
        </is>
      </c>
      <c r="G349" t="inlineStr">
        <is>
          <t>Chilquinta</t>
        </is>
      </c>
      <c r="H349" t="inlineStr">
        <is>
          <t>Empresa Eléctrica Carén S.A.</t>
        </is>
      </c>
      <c r="I349" t="inlineStr">
        <is>
          <t>Empresa Eléctrica Carén S.A.</t>
        </is>
      </c>
      <c r="J349" t="inlineStr">
        <is>
          <t>SIC 2013/03_2_BS1B_BB_CHILQUINTA_Empresa Eléctrica Carén S.A.</t>
        </is>
      </c>
      <c r="K349" t="inlineStr">
        <is>
          <t>Playa Ancha 13.8</t>
        </is>
      </c>
      <c r="L349" t="inlineStr">
        <is>
          <t>-1</t>
        </is>
      </c>
      <c r="M349" t="n">
        <v>477.4302098029098</v>
      </c>
      <c r="N349" t="n">
        <v>0</v>
      </c>
      <c r="O349" t="inlineStr">
        <is>
          <t>3</t>
        </is>
      </c>
      <c r="P349" s="2" t="n">
        <v>44999.6862684375</v>
      </c>
      <c r="Q349" t="n">
        <v>13</v>
      </c>
      <c r="R349" t="inlineStr">
        <is>
          <t>MELIPILLA 220</t>
        </is>
      </c>
      <c r="S349" t="n">
        <v>433.082674670916</v>
      </c>
      <c r="T349" t="n">
        <v>39642.28954853984</v>
      </c>
      <c r="U349" t="n">
        <v>0</v>
      </c>
      <c r="V349" t="n">
        <v>0</v>
      </c>
      <c r="W349" t="inlineStr">
        <is>
          <t>CHILQUINTA</t>
        </is>
      </c>
      <c r="X349" t="n">
        <v>97.37782396384</v>
      </c>
      <c r="Y349" t="n">
        <v>39.64228954853984</v>
      </c>
      <c r="Z349" t="n">
        <v>42172.64845589345</v>
      </c>
      <c r="AA349" t="n">
        <v>0</v>
      </c>
      <c r="AB349" t="n">
        <v>0</v>
      </c>
      <c r="AC349" t="n">
        <v>0</v>
      </c>
      <c r="AD349" s="2" t="n">
        <v>44562</v>
      </c>
    </row>
    <row r="350">
      <c r="A350" t="n">
        <v>-1</v>
      </c>
      <c r="B350" t="inlineStr">
        <is>
          <t>01-01-2022</t>
        </is>
      </c>
      <c r="C350" t="n">
        <v>2022</v>
      </c>
      <c r="D350" t="n">
        <v>1</v>
      </c>
      <c r="E350" t="inlineStr">
        <is>
          <t>Playa Ancha 13.8</t>
        </is>
      </c>
      <c r="F350" t="inlineStr">
        <is>
          <t>Chilquinta</t>
        </is>
      </c>
      <c r="G350" t="inlineStr">
        <is>
          <t>Chilquinta</t>
        </is>
      </c>
      <c r="H350" t="inlineStr">
        <is>
          <t>Empresa Eléctrica Carén S.A.</t>
        </is>
      </c>
      <c r="I350" t="inlineStr">
        <is>
          <t>Empresa Eléctrica Carén S.A.</t>
        </is>
      </c>
      <c r="J350" t="inlineStr">
        <is>
          <t>SIC 2013/03_2_BS1B_BB_CHILQUINTA_Empresa Eléctrica Carén S.A.</t>
        </is>
      </c>
      <c r="K350" t="inlineStr">
        <is>
          <t>Playa Ancha 13.8</t>
        </is>
      </c>
      <c r="L350" t="inlineStr">
        <is>
          <t>-1</t>
        </is>
      </c>
      <c r="M350" t="n">
        <v>477.4302098029098</v>
      </c>
      <c r="N350" t="n">
        <v>0</v>
      </c>
      <c r="O350" t="inlineStr">
        <is>
          <t>3</t>
        </is>
      </c>
      <c r="P350" s="2" t="n">
        <v>44999.6862684375</v>
      </c>
      <c r="Q350" t="n">
        <v>5</v>
      </c>
      <c r="R350" t="inlineStr">
        <is>
          <t>NOGALES 220</t>
        </is>
      </c>
      <c r="S350" t="n">
        <v>10.52251303068869</v>
      </c>
      <c r="T350" t="n">
        <v>991.5737496497841</v>
      </c>
      <c r="U350" t="n">
        <v>0</v>
      </c>
      <c r="V350" t="n">
        <v>0</v>
      </c>
      <c r="W350" t="inlineStr">
        <is>
          <t>CHILQUINTA</t>
        </is>
      </c>
      <c r="X350" t="n">
        <v>100.24845662251</v>
      </c>
      <c r="Y350" t="n">
        <v>0.991573749649784</v>
      </c>
      <c r="Z350" t="n">
        <v>1054.865691116792</v>
      </c>
      <c r="AA350" t="n">
        <v>0</v>
      </c>
      <c r="AB350" t="n">
        <v>0</v>
      </c>
      <c r="AC350" t="n">
        <v>0</v>
      </c>
      <c r="AD350" s="2" t="n">
        <v>44562</v>
      </c>
    </row>
    <row r="351">
      <c r="A351" t="n">
        <v>-1</v>
      </c>
      <c r="B351" t="inlineStr">
        <is>
          <t>01-01-2022</t>
        </is>
      </c>
      <c r="C351" t="n">
        <v>2022</v>
      </c>
      <c r="D351" t="n">
        <v>1</v>
      </c>
      <c r="E351" t="inlineStr">
        <is>
          <t>Playa Ancha 13.8</t>
        </is>
      </c>
      <c r="F351" t="inlineStr">
        <is>
          <t>Chilquinta</t>
        </is>
      </c>
      <c r="G351" t="inlineStr">
        <is>
          <t>Chilquinta</t>
        </is>
      </c>
      <c r="H351" t="inlineStr">
        <is>
          <t>Empresa Eléctrica Carén S.A.</t>
        </is>
      </c>
      <c r="I351" t="inlineStr">
        <is>
          <t>Empresa Eléctrica Carén S.A.</t>
        </is>
      </c>
      <c r="J351" t="inlineStr">
        <is>
          <t>SIC 2013/03_2_BS1B_BB_CHILQUINTA_Empresa Eléctrica Carén S.A.</t>
        </is>
      </c>
      <c r="K351" t="inlineStr">
        <is>
          <t>Playa Ancha 13.8</t>
        </is>
      </c>
      <c r="L351" t="inlineStr">
        <is>
          <t>-1</t>
        </is>
      </c>
      <c r="M351" t="n">
        <v>477.4302098029098</v>
      </c>
      <c r="N351" t="n">
        <v>0</v>
      </c>
      <c r="O351" t="inlineStr">
        <is>
          <t>3</t>
        </is>
      </c>
      <c r="P351" s="2" t="n">
        <v>44999.6862684375</v>
      </c>
      <c r="Q351" t="n">
        <v>11</v>
      </c>
      <c r="R351" t="inlineStr">
        <is>
          <t>QUILLOTA 220</t>
        </is>
      </c>
      <c r="S351" t="n">
        <v>40.24873509685263</v>
      </c>
      <c r="T351" t="n">
        <v>3675.358687770721</v>
      </c>
      <c r="U351" t="n">
        <v>0</v>
      </c>
      <c r="V351" t="n">
        <v>0</v>
      </c>
      <c r="W351" t="inlineStr">
        <is>
          <t>CHILQUINTA</t>
        </is>
      </c>
      <c r="X351" t="n">
        <v>97.14481812686002</v>
      </c>
      <c r="Y351" t="n">
        <v>3.675358687770721</v>
      </c>
      <c r="Z351" t="n">
        <v>3909.956050819917</v>
      </c>
      <c r="AA351" t="n">
        <v>0</v>
      </c>
      <c r="AB351" t="n">
        <v>0</v>
      </c>
      <c r="AC351" t="n">
        <v>0</v>
      </c>
      <c r="AD351" s="2" t="n">
        <v>44562</v>
      </c>
    </row>
    <row r="352">
      <c r="A352" t="n">
        <v>-1</v>
      </c>
      <c r="B352" t="inlineStr">
        <is>
          <t>01-01-2022</t>
        </is>
      </c>
      <c r="C352" t="n">
        <v>2022</v>
      </c>
      <c r="D352" t="n">
        <v>1</v>
      </c>
      <c r="E352" t="inlineStr">
        <is>
          <t>Quilpue 012</t>
        </is>
      </c>
      <c r="F352" t="inlineStr">
        <is>
          <t>Chilquinta</t>
        </is>
      </c>
      <c r="G352" t="inlineStr">
        <is>
          <t>Chilquinta</t>
        </is>
      </c>
      <c r="H352" t="inlineStr">
        <is>
          <t>Empresa Eléctrica Carén S.A.</t>
        </is>
      </c>
      <c r="I352" t="inlineStr">
        <is>
          <t>Empresa Eléctrica Carén S.A.</t>
        </is>
      </c>
      <c r="J352" t="inlineStr">
        <is>
          <t>SIC 2013/03_2_BS1B_BB_CHILQUINTA_Empresa Eléctrica Carén S.A.</t>
        </is>
      </c>
      <c r="K352" t="inlineStr">
        <is>
          <t>Quilpue 012</t>
        </is>
      </c>
      <c r="L352" t="inlineStr">
        <is>
          <t>-1</t>
        </is>
      </c>
      <c r="M352" t="n">
        <v>1311.129337367961</v>
      </c>
      <c r="N352" t="n">
        <v>0</v>
      </c>
      <c r="O352" t="inlineStr">
        <is>
          <t>3</t>
        </is>
      </c>
      <c r="P352" s="2" t="n">
        <v>44999.6862684375</v>
      </c>
      <c r="Q352" t="n">
        <v>31</v>
      </c>
      <c r="R352" t="inlineStr">
        <is>
          <t>LOS MAQUIS 220</t>
        </is>
      </c>
      <c r="S352" t="n">
        <v>147.7625021011499</v>
      </c>
      <c r="T352" t="n">
        <v>13376.5901617459</v>
      </c>
      <c r="U352" t="n">
        <v>0</v>
      </c>
      <c r="V352" t="n">
        <v>0</v>
      </c>
      <c r="W352" t="inlineStr">
        <is>
          <t>CHILQUINTA</t>
        </is>
      </c>
      <c r="X352" t="n">
        <v>96.30599687562001</v>
      </c>
      <c r="Y352" t="n">
        <v>13.3765901617459</v>
      </c>
      <c r="Z352" t="n">
        <v>14230.41506568713</v>
      </c>
      <c r="AA352" t="n">
        <v>0</v>
      </c>
      <c r="AB352" t="n">
        <v>0</v>
      </c>
      <c r="AC352" t="n">
        <v>0</v>
      </c>
      <c r="AD352" s="2" t="n">
        <v>44562</v>
      </c>
    </row>
    <row r="353">
      <c r="A353" t="n">
        <v>-1</v>
      </c>
      <c r="B353" t="inlineStr">
        <is>
          <t>01-01-2022</t>
        </is>
      </c>
      <c r="C353" t="n">
        <v>2022</v>
      </c>
      <c r="D353" t="n">
        <v>1</v>
      </c>
      <c r="E353" t="inlineStr">
        <is>
          <t>Quilpue 012</t>
        </is>
      </c>
      <c r="F353" t="inlineStr">
        <is>
          <t>Chilquinta</t>
        </is>
      </c>
      <c r="G353" t="inlineStr">
        <is>
          <t>Chilquinta</t>
        </is>
      </c>
      <c r="H353" t="inlineStr">
        <is>
          <t>Empresa Eléctrica Carén S.A.</t>
        </is>
      </c>
      <c r="I353" t="inlineStr">
        <is>
          <t>Empresa Eléctrica Carén S.A.</t>
        </is>
      </c>
      <c r="J353" t="inlineStr">
        <is>
          <t>SIC 2013/03_2_BS1B_BB_CHILQUINTA_Empresa Eléctrica Carén S.A.</t>
        </is>
      </c>
      <c r="K353" t="inlineStr">
        <is>
          <t>Quilpue 012</t>
        </is>
      </c>
      <c r="L353" t="inlineStr">
        <is>
          <t>-1</t>
        </is>
      </c>
      <c r="M353" t="n">
        <v>1311.129337367961</v>
      </c>
      <c r="N353" t="n">
        <v>0</v>
      </c>
      <c r="O353" t="inlineStr">
        <is>
          <t>3</t>
        </is>
      </c>
      <c r="P353" s="2" t="n">
        <v>44999.6862684375</v>
      </c>
      <c r="Q353" t="n">
        <v>13</v>
      </c>
      <c r="R353" t="inlineStr">
        <is>
          <t>MELIPILLA 220</t>
        </is>
      </c>
      <c r="S353" t="n">
        <v>199.7585057607624</v>
      </c>
      <c r="T353" t="n">
        <v>18284.92569269616</v>
      </c>
      <c r="U353" t="n">
        <v>0</v>
      </c>
      <c r="V353" t="n">
        <v>0</v>
      </c>
      <c r="W353" t="inlineStr">
        <is>
          <t>CHILQUINTA</t>
        </is>
      </c>
      <c r="X353" t="n">
        <v>97.37782396384</v>
      </c>
      <c r="Y353" t="n">
        <v>18.28492569269616</v>
      </c>
      <c r="Z353" t="n">
        <v>19452.04860925124</v>
      </c>
      <c r="AA353" t="n">
        <v>0</v>
      </c>
      <c r="AB353" t="n">
        <v>0</v>
      </c>
      <c r="AC353" t="n">
        <v>0</v>
      </c>
      <c r="AD353" s="2" t="n">
        <v>44562</v>
      </c>
    </row>
    <row r="354">
      <c r="A354" t="n">
        <v>-1</v>
      </c>
      <c r="B354" t="inlineStr">
        <is>
          <t>01-01-2022</t>
        </is>
      </c>
      <c r="C354" t="n">
        <v>2022</v>
      </c>
      <c r="D354" t="n">
        <v>1</v>
      </c>
      <c r="E354" t="inlineStr">
        <is>
          <t>Quilpue 012</t>
        </is>
      </c>
      <c r="F354" t="inlineStr">
        <is>
          <t>Chilquinta</t>
        </is>
      </c>
      <c r="G354" t="inlineStr">
        <is>
          <t>Chilquinta</t>
        </is>
      </c>
      <c r="H354" t="inlineStr">
        <is>
          <t>Empresa Eléctrica Carén S.A.</t>
        </is>
      </c>
      <c r="I354" t="inlineStr">
        <is>
          <t>Empresa Eléctrica Carén S.A.</t>
        </is>
      </c>
      <c r="J354" t="inlineStr">
        <is>
          <t>SIC 2013/03_2_BS1B_BB_CHILQUINTA_Empresa Eléctrica Carén S.A.</t>
        </is>
      </c>
      <c r="K354" t="inlineStr">
        <is>
          <t>Quilpue 012</t>
        </is>
      </c>
      <c r="L354" t="inlineStr">
        <is>
          <t>-1</t>
        </is>
      </c>
      <c r="M354" t="n">
        <v>1311.129337367961</v>
      </c>
      <c r="N354" t="n">
        <v>0</v>
      </c>
      <c r="O354" t="inlineStr">
        <is>
          <t>3</t>
        </is>
      </c>
      <c r="P354" s="2" t="n">
        <v>44999.6862684375</v>
      </c>
      <c r="Q354" t="n">
        <v>5</v>
      </c>
      <c r="R354" t="inlineStr">
        <is>
          <t>NOGALES 220</t>
        </is>
      </c>
      <c r="S354" t="n">
        <v>179.7475956386501</v>
      </c>
      <c r="T354" t="n">
        <v>16938.25390171878</v>
      </c>
      <c r="U354" t="n">
        <v>0</v>
      </c>
      <c r="V354" t="n">
        <v>0</v>
      </c>
      <c r="W354" t="inlineStr">
        <is>
          <t>CHILQUINTA</t>
        </is>
      </c>
      <c r="X354" t="n">
        <v>100.24845662251</v>
      </c>
      <c r="Y354" t="n">
        <v>16.93825390171878</v>
      </c>
      <c r="Z354" t="n">
        <v>18019.41904438168</v>
      </c>
      <c r="AA354" t="n">
        <v>0</v>
      </c>
      <c r="AB354" t="n">
        <v>0</v>
      </c>
      <c r="AC354" t="n">
        <v>0</v>
      </c>
      <c r="AD354" s="2" t="n">
        <v>44562</v>
      </c>
    </row>
    <row r="355">
      <c r="A355" t="n">
        <v>-1</v>
      </c>
      <c r="B355" t="inlineStr">
        <is>
          <t>01-01-2022</t>
        </is>
      </c>
      <c r="C355" t="n">
        <v>2022</v>
      </c>
      <c r="D355" t="n">
        <v>1</v>
      </c>
      <c r="E355" t="inlineStr">
        <is>
          <t>Quilpue 012</t>
        </is>
      </c>
      <c r="F355" t="inlineStr">
        <is>
          <t>Chilquinta</t>
        </is>
      </c>
      <c r="G355" t="inlineStr">
        <is>
          <t>Chilquinta</t>
        </is>
      </c>
      <c r="H355" t="inlineStr">
        <is>
          <t>Empresa Eléctrica Carén S.A.</t>
        </is>
      </c>
      <c r="I355" t="inlineStr">
        <is>
          <t>Empresa Eléctrica Carén S.A.</t>
        </is>
      </c>
      <c r="J355" t="inlineStr">
        <is>
          <t>SIC 2013/03_2_BS1B_BB_CHILQUINTA_Empresa Eléctrica Carén S.A.</t>
        </is>
      </c>
      <c r="K355" t="inlineStr">
        <is>
          <t>Quilpue 012</t>
        </is>
      </c>
      <c r="L355" t="inlineStr">
        <is>
          <t>-1</t>
        </is>
      </c>
      <c r="M355" t="n">
        <v>1311.129337367961</v>
      </c>
      <c r="N355" t="n">
        <v>0</v>
      </c>
      <c r="O355" t="inlineStr">
        <is>
          <t>3</t>
        </is>
      </c>
      <c r="P355" s="2" t="n">
        <v>44999.6862684375</v>
      </c>
      <c r="Q355" t="n">
        <v>11</v>
      </c>
      <c r="R355" t="inlineStr">
        <is>
          <t>QUILLOTA 220</t>
        </is>
      </c>
      <c r="S355" t="n">
        <v>821.1754748088907</v>
      </c>
      <c r="T355" t="n">
        <v>74986.56562151473</v>
      </c>
      <c r="U355" t="n">
        <v>0</v>
      </c>
      <c r="V355" t="n">
        <v>0</v>
      </c>
      <c r="W355" t="inlineStr">
        <is>
          <t>CHILQUINTA</t>
        </is>
      </c>
      <c r="X355" t="n">
        <v>97.14481812686002</v>
      </c>
      <c r="Y355" t="n">
        <v>74.98656562151474</v>
      </c>
      <c r="Z355" t="n">
        <v>79772.94215054759</v>
      </c>
      <c r="AA355" t="n">
        <v>0</v>
      </c>
      <c r="AB355" t="n">
        <v>0</v>
      </c>
      <c r="AC355" t="n">
        <v>0</v>
      </c>
      <c r="AD355" s="2" t="n">
        <v>44562</v>
      </c>
    </row>
    <row r="356">
      <c r="A356" t="n">
        <v>-1</v>
      </c>
      <c r="B356" t="inlineStr">
        <is>
          <t>01-01-2022</t>
        </is>
      </c>
      <c r="C356" t="n">
        <v>2022</v>
      </c>
      <c r="D356" t="n">
        <v>1</v>
      </c>
      <c r="E356" t="inlineStr">
        <is>
          <t>Quintero 012</t>
        </is>
      </c>
      <c r="F356" t="inlineStr">
        <is>
          <t>Chilquinta</t>
        </is>
      </c>
      <c r="G356" t="inlineStr">
        <is>
          <t>Chilquinta</t>
        </is>
      </c>
      <c r="H356" t="inlineStr">
        <is>
          <t>Empresa Eléctrica Carén S.A.</t>
        </is>
      </c>
      <c r="I356" t="inlineStr">
        <is>
          <t>Empresa Eléctrica Carén S.A.</t>
        </is>
      </c>
      <c r="J356" t="inlineStr">
        <is>
          <t>SIC 2013/03_2_BS1B_BB_CHILQUINTA_Empresa Eléctrica Carén S.A.</t>
        </is>
      </c>
      <c r="K356" t="inlineStr">
        <is>
          <t>Quintero 012</t>
        </is>
      </c>
      <c r="L356" t="inlineStr">
        <is>
          <t>-1</t>
        </is>
      </c>
      <c r="M356" t="n">
        <v>389.1921369563186</v>
      </c>
      <c r="N356" t="n">
        <v>0</v>
      </c>
      <c r="O356" t="inlineStr">
        <is>
          <t>3</t>
        </is>
      </c>
      <c r="P356" s="2" t="n">
        <v>44999.6862684375</v>
      </c>
      <c r="Q356" t="n">
        <v>31</v>
      </c>
      <c r="R356" t="inlineStr">
        <is>
          <t>LOS MAQUIS 220</t>
        </is>
      </c>
      <c r="S356" t="n">
        <v>34.65925332662492</v>
      </c>
      <c r="T356" t="n">
        <v>3137.620306030145</v>
      </c>
      <c r="U356" t="n">
        <v>0</v>
      </c>
      <c r="V356" t="n">
        <v>0</v>
      </c>
      <c r="W356" t="inlineStr">
        <is>
          <t>CHILQUINTA</t>
        </is>
      </c>
      <c r="X356" t="n">
        <v>96.30599687562001</v>
      </c>
      <c r="Y356" t="n">
        <v>3.137620306030146</v>
      </c>
      <c r="Z356" t="n">
        <v>3337.893942585261</v>
      </c>
      <c r="AA356" t="n">
        <v>0</v>
      </c>
      <c r="AB356" t="n">
        <v>0</v>
      </c>
      <c r="AC356" t="n">
        <v>0</v>
      </c>
      <c r="AD356" s="2" t="n">
        <v>44562</v>
      </c>
    </row>
    <row r="357">
      <c r="A357" t="n">
        <v>-1</v>
      </c>
      <c r="B357" t="inlineStr">
        <is>
          <t>01-01-2022</t>
        </is>
      </c>
      <c r="C357" t="n">
        <v>2022</v>
      </c>
      <c r="D357" t="n">
        <v>1</v>
      </c>
      <c r="E357" t="inlineStr">
        <is>
          <t>Quintero 012</t>
        </is>
      </c>
      <c r="F357" t="inlineStr">
        <is>
          <t>Chilquinta</t>
        </is>
      </c>
      <c r="G357" t="inlineStr">
        <is>
          <t>Chilquinta</t>
        </is>
      </c>
      <c r="H357" t="inlineStr">
        <is>
          <t>Empresa Eléctrica Carén S.A.</t>
        </is>
      </c>
      <c r="I357" t="inlineStr">
        <is>
          <t>Empresa Eléctrica Carén S.A.</t>
        </is>
      </c>
      <c r="J357" t="inlineStr">
        <is>
          <t>SIC 2013/03_2_BS1B_BB_CHILQUINTA_Empresa Eléctrica Carén S.A.</t>
        </is>
      </c>
      <c r="K357" t="inlineStr">
        <is>
          <t>Quintero 012</t>
        </is>
      </c>
      <c r="L357" t="inlineStr">
        <is>
          <t>-1</t>
        </is>
      </c>
      <c r="M357" t="n">
        <v>389.1921369563186</v>
      </c>
      <c r="N357" t="n">
        <v>0</v>
      </c>
      <c r="O357" t="inlineStr">
        <is>
          <t>3</t>
        </is>
      </c>
      <c r="P357" s="2" t="n">
        <v>44999.6862684375</v>
      </c>
      <c r="Q357" t="n">
        <v>13</v>
      </c>
      <c r="R357" t="inlineStr">
        <is>
          <t>MELIPILLA 220</t>
        </is>
      </c>
      <c r="S357" t="n">
        <v>55.16100821044209</v>
      </c>
      <c r="T357" t="n">
        <v>5049.1714103533</v>
      </c>
      <c r="U357" t="n">
        <v>0</v>
      </c>
      <c r="V357" t="n">
        <v>0</v>
      </c>
      <c r="W357" t="inlineStr">
        <is>
          <t>CHILQUINTA</t>
        </is>
      </c>
      <c r="X357" t="n">
        <v>97.37782396384</v>
      </c>
      <c r="Y357" t="n">
        <v>5.0491714103533</v>
      </c>
      <c r="Z357" t="n">
        <v>5371.458947184363</v>
      </c>
      <c r="AA357" t="n">
        <v>0</v>
      </c>
      <c r="AB357" t="n">
        <v>0</v>
      </c>
      <c r="AC357" t="n">
        <v>0</v>
      </c>
      <c r="AD357" s="2" t="n">
        <v>44562</v>
      </c>
    </row>
    <row r="358">
      <c r="A358" t="n">
        <v>-1</v>
      </c>
      <c r="B358" t="inlineStr">
        <is>
          <t>01-01-2022</t>
        </is>
      </c>
      <c r="C358" t="n">
        <v>2022</v>
      </c>
      <c r="D358" t="n">
        <v>1</v>
      </c>
      <c r="E358" t="inlineStr">
        <is>
          <t>Quintero 012</t>
        </is>
      </c>
      <c r="F358" t="inlineStr">
        <is>
          <t>Chilquinta</t>
        </is>
      </c>
      <c r="G358" t="inlineStr">
        <is>
          <t>Chilquinta</t>
        </is>
      </c>
      <c r="H358" t="inlineStr">
        <is>
          <t>Empresa Eléctrica Carén S.A.</t>
        </is>
      </c>
      <c r="I358" t="inlineStr">
        <is>
          <t>Empresa Eléctrica Carén S.A.</t>
        </is>
      </c>
      <c r="J358" t="inlineStr">
        <is>
          <t>SIC 2013/03_2_BS1B_BB_CHILQUINTA_Empresa Eléctrica Carén S.A.</t>
        </is>
      </c>
      <c r="K358" t="inlineStr">
        <is>
          <t>Quintero 012</t>
        </is>
      </c>
      <c r="L358" t="inlineStr">
        <is>
          <t>-1</t>
        </is>
      </c>
      <c r="M358" t="n">
        <v>389.1921369563186</v>
      </c>
      <c r="N358" t="n">
        <v>0</v>
      </c>
      <c r="O358" t="inlineStr">
        <is>
          <t>3</t>
        </is>
      </c>
      <c r="P358" s="2" t="n">
        <v>44999.6862684375</v>
      </c>
      <c r="Q358" t="n">
        <v>5</v>
      </c>
      <c r="R358" t="inlineStr">
        <is>
          <t>NOGALES 220</t>
        </is>
      </c>
      <c r="S358" t="n">
        <v>85.11310344581965</v>
      </c>
      <c r="T358" t="n">
        <v>8020.509823267731</v>
      </c>
      <c r="U358" t="n">
        <v>0</v>
      </c>
      <c r="V358" t="n">
        <v>0</v>
      </c>
      <c r="W358" t="inlineStr">
        <is>
          <t>CHILQUINTA</t>
        </is>
      </c>
      <c r="X358" t="n">
        <v>100.24845662251</v>
      </c>
      <c r="Y358" t="n">
        <v>8.02050982326773</v>
      </c>
      <c r="Z358" t="n">
        <v>8532.457258795459</v>
      </c>
      <c r="AA358" t="n">
        <v>0</v>
      </c>
      <c r="AB358" t="n">
        <v>0</v>
      </c>
      <c r="AC358" t="n">
        <v>0</v>
      </c>
      <c r="AD358" s="2" t="n">
        <v>44562</v>
      </c>
    </row>
    <row r="359">
      <c r="A359" t="n">
        <v>-1</v>
      </c>
      <c r="B359" t="inlineStr">
        <is>
          <t>01-01-2022</t>
        </is>
      </c>
      <c r="C359" t="n">
        <v>2022</v>
      </c>
      <c r="D359" t="n">
        <v>1</v>
      </c>
      <c r="E359" t="inlineStr">
        <is>
          <t>Quintero 012</t>
        </is>
      </c>
      <c r="F359" t="inlineStr">
        <is>
          <t>Chilquinta</t>
        </is>
      </c>
      <c r="G359" t="inlineStr">
        <is>
          <t>Chilquinta</t>
        </is>
      </c>
      <c r="H359" t="inlineStr">
        <is>
          <t>Empresa Eléctrica Carén S.A.</t>
        </is>
      </c>
      <c r="I359" t="inlineStr">
        <is>
          <t>Empresa Eléctrica Carén S.A.</t>
        </is>
      </c>
      <c r="J359" t="inlineStr">
        <is>
          <t>SIC 2013/03_2_BS1B_BB_CHILQUINTA_Empresa Eléctrica Carén S.A.</t>
        </is>
      </c>
      <c r="K359" t="inlineStr">
        <is>
          <t>Quintero 012</t>
        </is>
      </c>
      <c r="L359" t="inlineStr">
        <is>
          <t>-1</t>
        </is>
      </c>
      <c r="M359" t="n">
        <v>389.1921369563186</v>
      </c>
      <c r="N359" t="n">
        <v>0</v>
      </c>
      <c r="O359" t="inlineStr">
        <is>
          <t>3</t>
        </is>
      </c>
      <c r="P359" s="2" t="n">
        <v>44999.6862684375</v>
      </c>
      <c r="Q359" t="n">
        <v>11</v>
      </c>
      <c r="R359" t="inlineStr">
        <is>
          <t>QUILLOTA 220</t>
        </is>
      </c>
      <c r="S359" t="n">
        <v>225.3351801912088</v>
      </c>
      <c r="T359" t="n">
        <v>20576.73639142271</v>
      </c>
      <c r="U359" t="n">
        <v>0</v>
      </c>
      <c r="V359" t="n">
        <v>0</v>
      </c>
      <c r="W359" t="inlineStr">
        <is>
          <t>CHILQUINTA</t>
        </is>
      </c>
      <c r="X359" t="n">
        <v>97.14481812686</v>
      </c>
      <c r="Y359" t="n">
        <v>20.57673639142271</v>
      </c>
      <c r="Z359" t="n">
        <v>21890.1450972582</v>
      </c>
      <c r="AA359" t="n">
        <v>0</v>
      </c>
      <c r="AB359" t="n">
        <v>0</v>
      </c>
      <c r="AC359" t="n">
        <v>0</v>
      </c>
      <c r="AD359" s="2" t="n">
        <v>44562</v>
      </c>
    </row>
    <row r="360">
      <c r="A360" t="n">
        <v>-1</v>
      </c>
      <c r="B360" t="inlineStr">
        <is>
          <t>01-01-2022</t>
        </is>
      </c>
      <c r="C360" t="n">
        <v>2022</v>
      </c>
      <c r="D360" t="n">
        <v>1</v>
      </c>
      <c r="E360" t="inlineStr">
        <is>
          <t>Reñaca 012</t>
        </is>
      </c>
      <c r="F360" t="inlineStr">
        <is>
          <t>Chilquinta</t>
        </is>
      </c>
      <c r="G360" t="inlineStr">
        <is>
          <t>Chilquinta</t>
        </is>
      </c>
      <c r="H360" t="inlineStr">
        <is>
          <t>Empresa Eléctrica Carén S.A.</t>
        </is>
      </c>
      <c r="I360" t="inlineStr">
        <is>
          <t>Empresa Eléctrica Carén S.A.</t>
        </is>
      </c>
      <c r="J360" t="inlineStr">
        <is>
          <t>SIC 2013/03_2_BS1B_BB_CHILQUINTA_Empresa Eléctrica Carén S.A.</t>
        </is>
      </c>
      <c r="K360" t="inlineStr">
        <is>
          <t>Reñaca 012</t>
        </is>
      </c>
      <c r="L360" t="inlineStr">
        <is>
          <t>-1</t>
        </is>
      </c>
      <c r="M360" t="n">
        <v>834.3936497266563</v>
      </c>
      <c r="N360" t="n">
        <v>0</v>
      </c>
      <c r="O360" t="inlineStr">
        <is>
          <t>3</t>
        </is>
      </c>
      <c r="P360" s="2" t="n">
        <v>44999.6862684375</v>
      </c>
      <c r="Q360" t="n">
        <v>31</v>
      </c>
      <c r="R360" t="inlineStr">
        <is>
          <t>LOS MAQUIS 220</t>
        </is>
      </c>
      <c r="S360" t="n">
        <v>81.66923071860795</v>
      </c>
      <c r="T360" t="n">
        <v>7393.322477715313</v>
      </c>
      <c r="U360" t="n">
        <v>0</v>
      </c>
      <c r="V360" t="n">
        <v>0</v>
      </c>
      <c r="W360" t="inlineStr">
        <is>
          <t>CHILQUINTA</t>
        </is>
      </c>
      <c r="X360" t="n">
        <v>96.30599687562001</v>
      </c>
      <c r="Y360" t="n">
        <v>7.393322477715314</v>
      </c>
      <c r="Z360" t="n">
        <v>7865.236678420546</v>
      </c>
      <c r="AA360" t="n">
        <v>0</v>
      </c>
      <c r="AB360" t="n">
        <v>0</v>
      </c>
      <c r="AC360" t="n">
        <v>0</v>
      </c>
      <c r="AD360" s="2" t="n">
        <v>44562</v>
      </c>
    </row>
    <row r="361">
      <c r="A361" t="n">
        <v>-1</v>
      </c>
      <c r="B361" t="inlineStr">
        <is>
          <t>01-01-2022</t>
        </is>
      </c>
      <c r="C361" t="n">
        <v>2022</v>
      </c>
      <c r="D361" t="n">
        <v>1</v>
      </c>
      <c r="E361" t="inlineStr">
        <is>
          <t>Reñaca 012</t>
        </is>
      </c>
      <c r="F361" t="inlineStr">
        <is>
          <t>Chilquinta</t>
        </is>
      </c>
      <c r="G361" t="inlineStr">
        <is>
          <t>Chilquinta</t>
        </is>
      </c>
      <c r="H361" t="inlineStr">
        <is>
          <t>Empresa Eléctrica Carén S.A.</t>
        </is>
      </c>
      <c r="I361" t="inlineStr">
        <is>
          <t>Empresa Eléctrica Carén S.A.</t>
        </is>
      </c>
      <c r="J361" t="inlineStr">
        <is>
          <t>SIC 2013/03_2_BS1B_BB_CHILQUINTA_Empresa Eléctrica Carén S.A.</t>
        </is>
      </c>
      <c r="K361" t="inlineStr">
        <is>
          <t>Reñaca 012</t>
        </is>
      </c>
      <c r="L361" t="inlineStr">
        <is>
          <t>-1</t>
        </is>
      </c>
      <c r="M361" t="n">
        <v>834.3936497266563</v>
      </c>
      <c r="N361" t="n">
        <v>0</v>
      </c>
      <c r="O361" t="inlineStr">
        <is>
          <t>3</t>
        </is>
      </c>
      <c r="P361" s="2" t="n">
        <v>44999.6862684375</v>
      </c>
      <c r="Q361" t="n">
        <v>13</v>
      </c>
      <c r="R361" t="inlineStr">
        <is>
          <t>MELIPILLA 220</t>
        </is>
      </c>
      <c r="S361" t="n">
        <v>159.0820845919464</v>
      </c>
      <c r="T361" t="n">
        <v>14561.60319544354</v>
      </c>
      <c r="U361" t="n">
        <v>0</v>
      </c>
      <c r="V361" t="n">
        <v>0</v>
      </c>
      <c r="W361" t="inlineStr">
        <is>
          <t>CHILQUINTA</t>
        </is>
      </c>
      <c r="X361" t="n">
        <v>97.37782396384</v>
      </c>
      <c r="Y361" t="n">
        <v>14.56160319544354</v>
      </c>
      <c r="Z361" t="n">
        <v>15491.06722919526</v>
      </c>
      <c r="AA361" t="n">
        <v>0</v>
      </c>
      <c r="AB361" t="n">
        <v>0</v>
      </c>
      <c r="AC361" t="n">
        <v>0</v>
      </c>
      <c r="AD361" s="2" t="n">
        <v>44562</v>
      </c>
    </row>
    <row r="362">
      <c r="A362" t="n">
        <v>-1</v>
      </c>
      <c r="B362" t="inlineStr">
        <is>
          <t>01-01-2022</t>
        </is>
      </c>
      <c r="C362" t="n">
        <v>2022</v>
      </c>
      <c r="D362" t="n">
        <v>1</v>
      </c>
      <c r="E362" t="inlineStr">
        <is>
          <t>Reñaca 012</t>
        </is>
      </c>
      <c r="F362" t="inlineStr">
        <is>
          <t>Chilquinta</t>
        </is>
      </c>
      <c r="G362" t="inlineStr">
        <is>
          <t>Chilquinta</t>
        </is>
      </c>
      <c r="H362" t="inlineStr">
        <is>
          <t>Empresa Eléctrica Carén S.A.</t>
        </is>
      </c>
      <c r="I362" t="inlineStr">
        <is>
          <t>Empresa Eléctrica Carén S.A.</t>
        </is>
      </c>
      <c r="J362" t="inlineStr">
        <is>
          <t>SIC 2013/03_2_BS1B_BB_CHILQUINTA_Empresa Eléctrica Carén S.A.</t>
        </is>
      </c>
      <c r="K362" t="inlineStr">
        <is>
          <t>Reñaca 012</t>
        </is>
      </c>
      <c r="L362" t="inlineStr">
        <is>
          <t>-1</t>
        </is>
      </c>
      <c r="M362" t="n">
        <v>834.3936497266563</v>
      </c>
      <c r="N362" t="n">
        <v>0</v>
      </c>
      <c r="O362" t="inlineStr">
        <is>
          <t>3</t>
        </is>
      </c>
      <c r="P362" s="2" t="n">
        <v>44999.6862684375</v>
      </c>
      <c r="Q362" t="n">
        <v>5</v>
      </c>
      <c r="R362" t="inlineStr">
        <is>
          <t>NOGALES 220</t>
        </is>
      </c>
      <c r="S362" t="n">
        <v>149.7369346231995</v>
      </c>
      <c r="T362" t="n">
        <v>14110.24279963975</v>
      </c>
      <c r="U362" t="n">
        <v>0</v>
      </c>
      <c r="V362" t="n">
        <v>0</v>
      </c>
      <c r="W362" t="inlineStr">
        <is>
          <t>CHILQUINTA</t>
        </is>
      </c>
      <c r="X362" t="n">
        <v>100.24845662251</v>
      </c>
      <c r="Y362" t="n">
        <v>14.11024279963975</v>
      </c>
      <c r="Z362" t="n">
        <v>15010.89659536144</v>
      </c>
      <c r="AA362" t="n">
        <v>0</v>
      </c>
      <c r="AB362" t="n">
        <v>0</v>
      </c>
      <c r="AC362" t="n">
        <v>0</v>
      </c>
      <c r="AD362" s="2" t="n">
        <v>44562</v>
      </c>
    </row>
    <row r="363">
      <c r="A363" t="n">
        <v>-1</v>
      </c>
      <c r="B363" t="inlineStr">
        <is>
          <t>01-01-2022</t>
        </is>
      </c>
      <c r="C363" t="n">
        <v>2022</v>
      </c>
      <c r="D363" t="n">
        <v>1</v>
      </c>
      <c r="E363" t="inlineStr">
        <is>
          <t>Reñaca 012</t>
        </is>
      </c>
      <c r="F363" t="inlineStr">
        <is>
          <t>Chilquinta</t>
        </is>
      </c>
      <c r="G363" t="inlineStr">
        <is>
          <t>Chilquinta</t>
        </is>
      </c>
      <c r="H363" t="inlineStr">
        <is>
          <t>Empresa Eléctrica Carén S.A.</t>
        </is>
      </c>
      <c r="I363" t="inlineStr">
        <is>
          <t>Empresa Eléctrica Carén S.A.</t>
        </is>
      </c>
      <c r="J363" t="inlineStr">
        <is>
          <t>SIC 2013/03_2_BS1B_BB_CHILQUINTA_Empresa Eléctrica Carén S.A.</t>
        </is>
      </c>
      <c r="K363" t="inlineStr">
        <is>
          <t>Reñaca 012</t>
        </is>
      </c>
      <c r="L363" t="inlineStr">
        <is>
          <t>-1</t>
        </is>
      </c>
      <c r="M363" t="n">
        <v>834.3936497266563</v>
      </c>
      <c r="N363" t="n">
        <v>0</v>
      </c>
      <c r="O363" t="inlineStr">
        <is>
          <t>3</t>
        </is>
      </c>
      <c r="P363" s="2" t="n">
        <v>44999.6862684375</v>
      </c>
      <c r="Q363" t="n">
        <v>11</v>
      </c>
      <c r="R363" t="inlineStr">
        <is>
          <t>QUILLOTA 220</t>
        </is>
      </c>
      <c r="S363" t="n">
        <v>467.652243064123</v>
      </c>
      <c r="T363" t="n">
        <v>42704.19257313741</v>
      </c>
      <c r="U363" t="n">
        <v>0</v>
      </c>
      <c r="V363" t="n">
        <v>0</v>
      </c>
      <c r="W363" t="inlineStr">
        <is>
          <t>CHILQUINTA</t>
        </is>
      </c>
      <c r="X363" t="n">
        <v>97.14481812686</v>
      </c>
      <c r="Y363" t="n">
        <v>42.70419257313742</v>
      </c>
      <c r="Z363" t="n">
        <v>45429.99209908236</v>
      </c>
      <c r="AA363" t="n">
        <v>0</v>
      </c>
      <c r="AB363" t="n">
        <v>0</v>
      </c>
      <c r="AC363" t="n">
        <v>0</v>
      </c>
      <c r="AD363" s="2" t="n">
        <v>44562</v>
      </c>
    </row>
    <row r="364">
      <c r="A364" t="n">
        <v>-1</v>
      </c>
      <c r="B364" t="inlineStr">
        <is>
          <t>01-01-2022</t>
        </is>
      </c>
      <c r="C364" t="n">
        <v>2022</v>
      </c>
      <c r="D364" t="n">
        <v>1</v>
      </c>
      <c r="E364" t="inlineStr">
        <is>
          <t>Rio Blanco 012</t>
        </is>
      </c>
      <c r="F364" t="inlineStr">
        <is>
          <t>Chilquinta</t>
        </is>
      </c>
      <c r="G364" t="inlineStr">
        <is>
          <t>Chilquinta</t>
        </is>
      </c>
      <c r="H364" t="inlineStr">
        <is>
          <t>Empresa Eléctrica Carén S.A.</t>
        </is>
      </c>
      <c r="I364" t="inlineStr">
        <is>
          <t>Empresa Eléctrica Carén S.A.</t>
        </is>
      </c>
      <c r="J364" t="inlineStr">
        <is>
          <t>SIC 2013/03_2_BS1B_BB_CHILQUINTA_Empresa Eléctrica Carén S.A.</t>
        </is>
      </c>
      <c r="K364" t="inlineStr">
        <is>
          <t>Rio Blanco 012</t>
        </is>
      </c>
      <c r="L364" t="inlineStr">
        <is>
          <t>-1</t>
        </is>
      </c>
      <c r="M364" t="n">
        <v>9.892632254743758</v>
      </c>
      <c r="N364" t="n">
        <v>0</v>
      </c>
      <c r="O364" t="inlineStr">
        <is>
          <t>3</t>
        </is>
      </c>
      <c r="P364" s="2" t="n">
        <v>44999.6862684375</v>
      </c>
      <c r="Q364" t="n">
        <v>31</v>
      </c>
      <c r="R364" t="inlineStr">
        <is>
          <t>LOS MAQUIS 220</t>
        </is>
      </c>
      <c r="S364" t="n">
        <v>6.430690042021221</v>
      </c>
      <c r="T364" t="n">
        <v>582.1551741892778</v>
      </c>
      <c r="U364" t="n">
        <v>0</v>
      </c>
      <c r="V364" t="n">
        <v>0</v>
      </c>
      <c r="W364" t="inlineStr">
        <is>
          <t>CHILQUINTA</t>
        </is>
      </c>
      <c r="X364" t="n">
        <v>96.30599687562</v>
      </c>
      <c r="Y364" t="n">
        <v>0.5821551741892778</v>
      </c>
      <c r="Z364" t="n">
        <v>619.3140150949764</v>
      </c>
      <c r="AA364" t="n">
        <v>0</v>
      </c>
      <c r="AB364" t="n">
        <v>0</v>
      </c>
      <c r="AC364" t="n">
        <v>0</v>
      </c>
      <c r="AD364" s="2" t="n">
        <v>44562</v>
      </c>
    </row>
    <row r="365">
      <c r="A365" t="n">
        <v>-1</v>
      </c>
      <c r="B365" t="inlineStr">
        <is>
          <t>01-01-2022</t>
        </is>
      </c>
      <c r="C365" t="n">
        <v>2022</v>
      </c>
      <c r="D365" t="n">
        <v>1</v>
      </c>
      <c r="E365" t="inlineStr">
        <is>
          <t>Rio Blanco 012</t>
        </is>
      </c>
      <c r="F365" t="inlineStr">
        <is>
          <t>Chilquinta</t>
        </is>
      </c>
      <c r="G365" t="inlineStr">
        <is>
          <t>Chilquinta</t>
        </is>
      </c>
      <c r="H365" t="inlineStr">
        <is>
          <t>Empresa Eléctrica Carén S.A.</t>
        </is>
      </c>
      <c r="I365" t="inlineStr">
        <is>
          <t>Empresa Eléctrica Carén S.A.</t>
        </is>
      </c>
      <c r="J365" t="inlineStr">
        <is>
          <t>SIC 2013/03_2_BS1B_BB_CHILQUINTA_Empresa Eléctrica Carén S.A.</t>
        </is>
      </c>
      <c r="K365" t="inlineStr">
        <is>
          <t>Rio Blanco 012</t>
        </is>
      </c>
      <c r="L365" t="inlineStr">
        <is>
          <t>-1</t>
        </is>
      </c>
      <c r="M365" t="n">
        <v>9.892632254743758</v>
      </c>
      <c r="N365" t="n">
        <v>0</v>
      </c>
      <c r="O365" t="inlineStr">
        <is>
          <t>3</t>
        </is>
      </c>
      <c r="P365" s="2" t="n">
        <v>44999.6862684375</v>
      </c>
      <c r="Q365" t="n">
        <v>5</v>
      </c>
      <c r="R365" t="inlineStr">
        <is>
          <t>NOGALES 220</t>
        </is>
      </c>
      <c r="S365" t="n">
        <v>0.5684312448940381</v>
      </c>
      <c r="T365" t="n">
        <v>53.56529369684097</v>
      </c>
      <c r="U365" t="n">
        <v>0</v>
      </c>
      <c r="V365" t="n">
        <v>0</v>
      </c>
      <c r="W365" t="inlineStr">
        <is>
          <t>CHILQUINTA</t>
        </is>
      </c>
      <c r="X365" t="n">
        <v>100.24845662251</v>
      </c>
      <c r="Y365" t="n">
        <v>0.05356529369684098</v>
      </c>
      <c r="Z365" t="n">
        <v>56.98435499663934</v>
      </c>
      <c r="AA365" t="n">
        <v>0</v>
      </c>
      <c r="AB365" t="n">
        <v>0</v>
      </c>
      <c r="AC365" t="n">
        <v>0</v>
      </c>
      <c r="AD365" s="2" t="n">
        <v>44562</v>
      </c>
    </row>
    <row r="366">
      <c r="A366" t="n">
        <v>-1</v>
      </c>
      <c r="B366" t="inlineStr">
        <is>
          <t>01-01-2022</t>
        </is>
      </c>
      <c r="C366" t="n">
        <v>2022</v>
      </c>
      <c r="D366" t="n">
        <v>1</v>
      </c>
      <c r="E366" t="inlineStr">
        <is>
          <t>Rio Blanco 012</t>
        </is>
      </c>
      <c r="F366" t="inlineStr">
        <is>
          <t>Chilquinta</t>
        </is>
      </c>
      <c r="G366" t="inlineStr">
        <is>
          <t>Chilquinta</t>
        </is>
      </c>
      <c r="H366" t="inlineStr">
        <is>
          <t>Empresa Eléctrica Carén S.A.</t>
        </is>
      </c>
      <c r="I366" t="inlineStr">
        <is>
          <t>Empresa Eléctrica Carén S.A.</t>
        </is>
      </c>
      <c r="J366" t="inlineStr">
        <is>
          <t>SIC 2013/03_2_BS1B_BB_CHILQUINTA_Empresa Eléctrica Carén S.A.</t>
        </is>
      </c>
      <c r="K366" t="inlineStr">
        <is>
          <t>Rio Blanco 012</t>
        </is>
      </c>
      <c r="L366" t="inlineStr">
        <is>
          <t>-1</t>
        </is>
      </c>
      <c r="M366" t="n">
        <v>9.892632254743758</v>
      </c>
      <c r="N366" t="n">
        <v>0</v>
      </c>
      <c r="O366" t="inlineStr">
        <is>
          <t>3</t>
        </is>
      </c>
      <c r="P366" s="2" t="n">
        <v>44999.6862684375</v>
      </c>
      <c r="Q366" t="n">
        <v>11</v>
      </c>
      <c r="R366" t="inlineStr">
        <is>
          <t>QUILLOTA 220</t>
        </is>
      </c>
      <c r="S366" t="n">
        <v>3.175055281798504</v>
      </c>
      <c r="T366" t="n">
        <v>289.9337578194595</v>
      </c>
      <c r="U366" t="n">
        <v>0</v>
      </c>
      <c r="V366" t="n">
        <v>0</v>
      </c>
      <c r="W366" t="inlineStr">
        <is>
          <t>CHILQUINTA</t>
        </is>
      </c>
      <c r="X366" t="n">
        <v>97.14481812686</v>
      </c>
      <c r="Y366" t="n">
        <v>0.2899337578194594</v>
      </c>
      <c r="Z366" t="n">
        <v>308.440167893042</v>
      </c>
      <c r="AA366" t="n">
        <v>0</v>
      </c>
      <c r="AB366" t="n">
        <v>0</v>
      </c>
      <c r="AC366" t="n">
        <v>0</v>
      </c>
      <c r="AD366" s="2" t="n">
        <v>44562</v>
      </c>
    </row>
    <row r="367">
      <c r="A367" t="n">
        <v>-1</v>
      </c>
      <c r="B367" t="inlineStr">
        <is>
          <t>01-01-2022</t>
        </is>
      </c>
      <c r="C367" t="n">
        <v>2022</v>
      </c>
      <c r="D367" t="n">
        <v>1</v>
      </c>
      <c r="E367" t="inlineStr">
        <is>
          <t>San Antonio 012</t>
        </is>
      </c>
      <c r="F367" t="inlineStr">
        <is>
          <t>Chilquinta</t>
        </is>
      </c>
      <c r="G367" t="inlineStr">
        <is>
          <t>Chilquinta</t>
        </is>
      </c>
      <c r="H367" t="inlineStr">
        <is>
          <t>Empresa Eléctrica Carén S.A.</t>
        </is>
      </c>
      <c r="I367" t="inlineStr">
        <is>
          <t>Empresa Eléctrica Carén S.A.</t>
        </is>
      </c>
      <c r="J367" t="inlineStr">
        <is>
          <t>SIC 2013/03_2_BS1B_BB_CHILQUINTA_Empresa Eléctrica Carén S.A.</t>
        </is>
      </c>
      <c r="K367" t="inlineStr">
        <is>
          <t>San Antonio 012</t>
        </is>
      </c>
      <c r="L367" t="inlineStr">
        <is>
          <t>-1</t>
        </is>
      </c>
      <c r="M367" t="n">
        <v>1127.256030082185</v>
      </c>
      <c r="N367" t="n">
        <v>0</v>
      </c>
      <c r="O367" t="inlineStr">
        <is>
          <t>3</t>
        </is>
      </c>
      <c r="P367" s="2" t="n">
        <v>44999.6862684375</v>
      </c>
      <c r="Q367" t="n">
        <v>31</v>
      </c>
      <c r="R367" t="inlineStr">
        <is>
          <t>LOS MAQUIS 220</t>
        </is>
      </c>
      <c r="S367" t="n">
        <v>0.05796688683491619</v>
      </c>
      <c r="T367" t="n">
        <v>5.247605293068085</v>
      </c>
      <c r="U367" t="n">
        <v>0</v>
      </c>
      <c r="V367" t="n">
        <v>0</v>
      </c>
      <c r="W367" t="inlineStr">
        <is>
          <t>CHILQUINTA</t>
        </is>
      </c>
      <c r="X367" t="n">
        <v>96.30599687562</v>
      </c>
      <c r="Y367" t="n">
        <v>0.005247605293068084</v>
      </c>
      <c r="Z367" t="n">
        <v>5.582558822412857</v>
      </c>
      <c r="AA367" t="n">
        <v>0</v>
      </c>
      <c r="AB367" t="n">
        <v>0</v>
      </c>
      <c r="AC367" t="n">
        <v>0</v>
      </c>
      <c r="AD367" s="2" t="n">
        <v>44562</v>
      </c>
    </row>
    <row r="368">
      <c r="A368" t="n">
        <v>-1</v>
      </c>
      <c r="B368" t="inlineStr">
        <is>
          <t>01-01-2022</t>
        </is>
      </c>
      <c r="C368" t="n">
        <v>2022</v>
      </c>
      <c r="D368" t="n">
        <v>1</v>
      </c>
      <c r="E368" t="inlineStr">
        <is>
          <t>San Antonio 012</t>
        </is>
      </c>
      <c r="F368" t="inlineStr">
        <is>
          <t>Chilquinta</t>
        </is>
      </c>
      <c r="G368" t="inlineStr">
        <is>
          <t>Chilquinta</t>
        </is>
      </c>
      <c r="H368" t="inlineStr">
        <is>
          <t>Empresa Eléctrica Carén S.A.</t>
        </is>
      </c>
      <c r="I368" t="inlineStr">
        <is>
          <t>Empresa Eléctrica Carén S.A.</t>
        </is>
      </c>
      <c r="J368" t="inlineStr">
        <is>
          <t>SIC 2013/03_2_BS1B_BB_CHILQUINTA_Empresa Eléctrica Carén S.A.</t>
        </is>
      </c>
      <c r="K368" t="inlineStr">
        <is>
          <t>San Antonio 012</t>
        </is>
      </c>
      <c r="L368" t="inlineStr">
        <is>
          <t>-1</t>
        </is>
      </c>
      <c r="M368" t="n">
        <v>1127.256030082185</v>
      </c>
      <c r="N368" t="n">
        <v>0</v>
      </c>
      <c r="O368" t="inlineStr">
        <is>
          <t>3</t>
        </is>
      </c>
      <c r="P368" s="2" t="n">
        <v>44999.6862684375</v>
      </c>
      <c r="Q368" t="n">
        <v>13</v>
      </c>
      <c r="R368" t="inlineStr">
        <is>
          <t>MELIPILLA 220</t>
        </is>
      </c>
      <c r="S368" t="n">
        <v>1157.2393353949</v>
      </c>
      <c r="T368" t="n">
        <v>105928.0813889488</v>
      </c>
      <c r="U368" t="n">
        <v>0</v>
      </c>
      <c r="V368" t="n">
        <v>0</v>
      </c>
      <c r="W368" t="inlineStr">
        <is>
          <t>CHILQUINTA</t>
        </is>
      </c>
      <c r="X368" t="n">
        <v>97.37782396384</v>
      </c>
      <c r="Y368" t="n">
        <v>105.9280813889488</v>
      </c>
      <c r="Z368" t="n">
        <v>112689.4482861157</v>
      </c>
      <c r="AA368" t="n">
        <v>0</v>
      </c>
      <c r="AB368" t="n">
        <v>0</v>
      </c>
      <c r="AC368" t="n">
        <v>0</v>
      </c>
      <c r="AD368" s="2" t="n">
        <v>44562</v>
      </c>
    </row>
    <row r="369">
      <c r="A369" t="n">
        <v>-1</v>
      </c>
      <c r="B369" t="inlineStr">
        <is>
          <t>01-01-2022</t>
        </is>
      </c>
      <c r="C369" t="n">
        <v>2022</v>
      </c>
      <c r="D369" t="n">
        <v>1</v>
      </c>
      <c r="E369" t="inlineStr">
        <is>
          <t>San Antonio 012</t>
        </is>
      </c>
      <c r="F369" t="inlineStr">
        <is>
          <t>Chilquinta</t>
        </is>
      </c>
      <c r="G369" t="inlineStr">
        <is>
          <t>Chilquinta</t>
        </is>
      </c>
      <c r="H369" t="inlineStr">
        <is>
          <t>Empresa Eléctrica Carén S.A.</t>
        </is>
      </c>
      <c r="I369" t="inlineStr">
        <is>
          <t>Empresa Eléctrica Carén S.A.</t>
        </is>
      </c>
      <c r="J369" t="inlineStr">
        <is>
          <t>SIC 2013/03_2_BS1B_BB_CHILQUINTA_Empresa Eléctrica Carén S.A.</t>
        </is>
      </c>
      <c r="K369" t="inlineStr">
        <is>
          <t>San Antonio 012</t>
        </is>
      </c>
      <c r="L369" t="inlineStr">
        <is>
          <t>-1</t>
        </is>
      </c>
      <c r="M369" t="n">
        <v>1127.256030082185</v>
      </c>
      <c r="N369" t="n">
        <v>0</v>
      </c>
      <c r="O369" t="inlineStr">
        <is>
          <t>3</t>
        </is>
      </c>
      <c r="P369" s="2" t="n">
        <v>44999.6862684375</v>
      </c>
      <c r="Q369" t="n">
        <v>5</v>
      </c>
      <c r="R369" t="inlineStr">
        <is>
          <t>NOGALES 220</t>
        </is>
      </c>
      <c r="S369" t="n">
        <v>0.4057682078444134</v>
      </c>
      <c r="T369" t="n">
        <v>38.23697838791124</v>
      </c>
      <c r="U369" t="n">
        <v>0</v>
      </c>
      <c r="V369" t="n">
        <v>0</v>
      </c>
      <c r="W369" t="inlineStr">
        <is>
          <t>CHILQUINTA</t>
        </is>
      </c>
      <c r="X369" t="n">
        <v>100.24845662251</v>
      </c>
      <c r="Y369" t="n">
        <v>0.03823697838791124</v>
      </c>
      <c r="Z369" t="n">
        <v>40.6776365828843</v>
      </c>
      <c r="AA369" t="n">
        <v>0</v>
      </c>
      <c r="AB369" t="n">
        <v>0</v>
      </c>
      <c r="AC369" t="n">
        <v>0</v>
      </c>
      <c r="AD369" s="2" t="n">
        <v>44562</v>
      </c>
    </row>
    <row r="370">
      <c r="A370" t="n">
        <v>-1</v>
      </c>
      <c r="B370" t="inlineStr">
        <is>
          <t>01-01-2022</t>
        </is>
      </c>
      <c r="C370" t="n">
        <v>2022</v>
      </c>
      <c r="D370" t="n">
        <v>1</v>
      </c>
      <c r="E370" t="inlineStr">
        <is>
          <t>San Antonio 012</t>
        </is>
      </c>
      <c r="F370" t="inlineStr">
        <is>
          <t>Chilquinta</t>
        </is>
      </c>
      <c r="G370" t="inlineStr">
        <is>
          <t>Chilquinta</t>
        </is>
      </c>
      <c r="H370" t="inlineStr">
        <is>
          <t>Empresa Eléctrica Carén S.A.</t>
        </is>
      </c>
      <c r="I370" t="inlineStr">
        <is>
          <t>Empresa Eléctrica Carén S.A.</t>
        </is>
      </c>
      <c r="J370" t="inlineStr">
        <is>
          <t>SIC 2013/03_2_BS1B_BB_CHILQUINTA_Empresa Eléctrica Carén S.A.</t>
        </is>
      </c>
      <c r="K370" t="inlineStr">
        <is>
          <t>San Antonio 012</t>
        </is>
      </c>
      <c r="L370" t="inlineStr">
        <is>
          <t>-1</t>
        </is>
      </c>
      <c r="M370" t="n">
        <v>1127.256030082185</v>
      </c>
      <c r="N370" t="n">
        <v>0</v>
      </c>
      <c r="O370" t="inlineStr">
        <is>
          <t>3</t>
        </is>
      </c>
      <c r="P370" s="2" t="n">
        <v>44999.6862684375</v>
      </c>
      <c r="Q370" t="n">
        <v>11</v>
      </c>
      <c r="R370" t="inlineStr">
        <is>
          <t>QUILLOTA 220</t>
        </is>
      </c>
      <c r="S370" t="n">
        <v>1.634666208744636</v>
      </c>
      <c r="T370" t="n">
        <v>149.2713904538242</v>
      </c>
      <c r="U370" t="n">
        <v>0</v>
      </c>
      <c r="V370" t="n">
        <v>0</v>
      </c>
      <c r="W370" t="inlineStr">
        <is>
          <t>CHILQUINTA</t>
        </is>
      </c>
      <c r="X370" t="n">
        <v>97.14481812686</v>
      </c>
      <c r="Y370" t="n">
        <v>0.1492713904538242</v>
      </c>
      <c r="Z370" t="n">
        <v>158.7993515466215</v>
      </c>
      <c r="AA370" t="n">
        <v>0</v>
      </c>
      <c r="AB370" t="n">
        <v>0</v>
      </c>
      <c r="AC370" t="n">
        <v>0</v>
      </c>
      <c r="AD370" s="2" t="n">
        <v>44562</v>
      </c>
    </row>
    <row r="371">
      <c r="A371" t="n">
        <v>-1</v>
      </c>
      <c r="B371" t="inlineStr">
        <is>
          <t>01-01-2022</t>
        </is>
      </c>
      <c r="C371" t="n">
        <v>2022</v>
      </c>
      <c r="D371" t="n">
        <v>1</v>
      </c>
      <c r="E371" t="inlineStr">
        <is>
          <t>San Felipe 012</t>
        </is>
      </c>
      <c r="F371" t="inlineStr">
        <is>
          <t>Chilquinta</t>
        </is>
      </c>
      <c r="G371" t="inlineStr">
        <is>
          <t>Chilquinta</t>
        </is>
      </c>
      <c r="H371" t="inlineStr">
        <is>
          <t>Empresa Eléctrica Carén S.A.</t>
        </is>
      </c>
      <c r="I371" t="inlineStr">
        <is>
          <t>Empresa Eléctrica Carén S.A.</t>
        </is>
      </c>
      <c r="J371" t="inlineStr">
        <is>
          <t>SIC 2013/03_2_BS1B_BB_CHILQUINTA_Empresa Eléctrica Carén S.A.</t>
        </is>
      </c>
      <c r="K371" t="inlineStr">
        <is>
          <t>San Felipe 012</t>
        </is>
      </c>
      <c r="L371" t="inlineStr">
        <is>
          <t>-1</t>
        </is>
      </c>
      <c r="M371" t="n">
        <v>1044.646328023879</v>
      </c>
      <c r="N371" t="n">
        <v>0</v>
      </c>
      <c r="O371" t="inlineStr">
        <is>
          <t>3</t>
        </is>
      </c>
      <c r="P371" s="2" t="n">
        <v>44999.6862684375</v>
      </c>
      <c r="Q371" t="n">
        <v>31</v>
      </c>
      <c r="R371" t="inlineStr">
        <is>
          <t>LOS MAQUIS 220</t>
        </is>
      </c>
      <c r="S371" t="n">
        <v>773.1753810771138</v>
      </c>
      <c r="T371" t="n">
        <v>69993.74028425969</v>
      </c>
      <c r="U371" t="n">
        <v>0</v>
      </c>
      <c r="V371" t="n">
        <v>0</v>
      </c>
      <c r="W371" t="inlineStr">
        <is>
          <t>CHILQUINTA</t>
        </is>
      </c>
      <c r="X371" t="n">
        <v>96.30599687562</v>
      </c>
      <c r="Y371" t="n">
        <v>69.9937402842597</v>
      </c>
      <c r="Z371" t="n">
        <v>74461.42583431883</v>
      </c>
      <c r="AA371" t="n">
        <v>0</v>
      </c>
      <c r="AB371" t="n">
        <v>0</v>
      </c>
      <c r="AC371" t="n">
        <v>0</v>
      </c>
      <c r="AD371" s="2" t="n">
        <v>44562</v>
      </c>
    </row>
    <row r="372">
      <c r="A372" t="n">
        <v>-1</v>
      </c>
      <c r="B372" t="inlineStr">
        <is>
          <t>01-01-2022</t>
        </is>
      </c>
      <c r="C372" t="n">
        <v>2022</v>
      </c>
      <c r="D372" t="n">
        <v>1</v>
      </c>
      <c r="E372" t="inlineStr">
        <is>
          <t>San Felipe 012</t>
        </is>
      </c>
      <c r="F372" t="inlineStr">
        <is>
          <t>Chilquinta</t>
        </is>
      </c>
      <c r="G372" t="inlineStr">
        <is>
          <t>Chilquinta</t>
        </is>
      </c>
      <c r="H372" t="inlineStr">
        <is>
          <t>Empresa Eléctrica Carén S.A.</t>
        </is>
      </c>
      <c r="I372" t="inlineStr">
        <is>
          <t>Empresa Eléctrica Carén S.A.</t>
        </is>
      </c>
      <c r="J372" t="inlineStr">
        <is>
          <t>SIC 2013/03_2_BS1B_BB_CHILQUINTA_Empresa Eléctrica Carén S.A.</t>
        </is>
      </c>
      <c r="K372" t="inlineStr">
        <is>
          <t>San Felipe 012</t>
        </is>
      </c>
      <c r="L372" t="inlineStr">
        <is>
          <t>-1</t>
        </is>
      </c>
      <c r="M372" t="n">
        <v>1044.646328023879</v>
      </c>
      <c r="N372" t="n">
        <v>0</v>
      </c>
      <c r="O372" t="inlineStr">
        <is>
          <t>3</t>
        </is>
      </c>
      <c r="P372" s="2" t="n">
        <v>44999.6862684375</v>
      </c>
      <c r="Q372" t="n">
        <v>13</v>
      </c>
      <c r="R372" t="inlineStr">
        <is>
          <t>MELIPILLA 220</t>
        </is>
      </c>
      <c r="S372" t="n">
        <v>25.46273401171069</v>
      </c>
      <c r="T372" t="n">
        <v>2330.735292416618</v>
      </c>
      <c r="U372" t="n">
        <v>0</v>
      </c>
      <c r="V372" t="n">
        <v>0</v>
      </c>
      <c r="W372" t="inlineStr">
        <is>
          <t>CHILQUINTA</t>
        </is>
      </c>
      <c r="X372" t="n">
        <v>97.37782396384</v>
      </c>
      <c r="Y372" t="n">
        <v>2.330735292416618</v>
      </c>
      <c r="Z372" t="n">
        <v>2479.505630230445</v>
      </c>
      <c r="AA372" t="n">
        <v>0</v>
      </c>
      <c r="AB372" t="n">
        <v>0</v>
      </c>
      <c r="AC372" t="n">
        <v>0</v>
      </c>
      <c r="AD372" s="2" t="n">
        <v>44562</v>
      </c>
    </row>
    <row r="373">
      <c r="A373" t="n">
        <v>-1</v>
      </c>
      <c r="B373" t="inlineStr">
        <is>
          <t>01-01-2022</t>
        </is>
      </c>
      <c r="C373" t="n">
        <v>2022</v>
      </c>
      <c r="D373" t="n">
        <v>1</v>
      </c>
      <c r="E373" t="inlineStr">
        <is>
          <t>San Felipe 012</t>
        </is>
      </c>
      <c r="F373" t="inlineStr">
        <is>
          <t>Chilquinta</t>
        </is>
      </c>
      <c r="G373" t="inlineStr">
        <is>
          <t>Chilquinta</t>
        </is>
      </c>
      <c r="H373" t="inlineStr">
        <is>
          <t>Empresa Eléctrica Carén S.A.</t>
        </is>
      </c>
      <c r="I373" t="inlineStr">
        <is>
          <t>Empresa Eléctrica Carén S.A.</t>
        </is>
      </c>
      <c r="J373" t="inlineStr">
        <is>
          <t>SIC 2013/03_2_BS1B_BB_CHILQUINTA_Empresa Eléctrica Carén S.A.</t>
        </is>
      </c>
      <c r="K373" t="inlineStr">
        <is>
          <t>San Felipe 012</t>
        </is>
      </c>
      <c r="L373" t="inlineStr">
        <is>
          <t>-1</t>
        </is>
      </c>
      <c r="M373" t="n">
        <v>1044.646328023879</v>
      </c>
      <c r="N373" t="n">
        <v>0</v>
      </c>
      <c r="O373" t="inlineStr">
        <is>
          <t>3</t>
        </is>
      </c>
      <c r="P373" s="2" t="n">
        <v>44999.6862684375</v>
      </c>
      <c r="Q373" t="n">
        <v>5</v>
      </c>
      <c r="R373" t="inlineStr">
        <is>
          <t>NOGALES 220</t>
        </is>
      </c>
      <c r="S373" t="n">
        <v>65.24691293380549</v>
      </c>
      <c r="T373" t="n">
        <v>6148.44818173745</v>
      </c>
      <c r="U373" t="n">
        <v>0</v>
      </c>
      <c r="V373" t="n">
        <v>0</v>
      </c>
      <c r="W373" t="inlineStr">
        <is>
          <t>CHILQUINTA</t>
        </is>
      </c>
      <c r="X373" t="n">
        <v>100.24845662251</v>
      </c>
      <c r="Y373" t="n">
        <v>6.14844818173745</v>
      </c>
      <c r="Z373" t="n">
        <v>6540.902320997287</v>
      </c>
      <c r="AA373" t="n">
        <v>0</v>
      </c>
      <c r="AB373" t="n">
        <v>0</v>
      </c>
      <c r="AC373" t="n">
        <v>0</v>
      </c>
      <c r="AD373" s="2" t="n">
        <v>44562</v>
      </c>
    </row>
    <row r="374">
      <c r="A374" t="n">
        <v>-1</v>
      </c>
      <c r="B374" t="inlineStr">
        <is>
          <t>01-01-2022</t>
        </is>
      </c>
      <c r="C374" t="n">
        <v>2022</v>
      </c>
      <c r="D374" t="n">
        <v>1</v>
      </c>
      <c r="E374" t="inlineStr">
        <is>
          <t>San Felipe 012</t>
        </is>
      </c>
      <c r="F374" t="inlineStr">
        <is>
          <t>Chilquinta</t>
        </is>
      </c>
      <c r="G374" t="inlineStr">
        <is>
          <t>Chilquinta</t>
        </is>
      </c>
      <c r="H374" t="inlineStr">
        <is>
          <t>Empresa Eléctrica Carén S.A.</t>
        </is>
      </c>
      <c r="I374" t="inlineStr">
        <is>
          <t>Empresa Eléctrica Carén S.A.</t>
        </is>
      </c>
      <c r="J374" t="inlineStr">
        <is>
          <t>SIC 2013/03_2_BS1B_BB_CHILQUINTA_Empresa Eléctrica Carén S.A.</t>
        </is>
      </c>
      <c r="K374" t="inlineStr">
        <is>
          <t>San Felipe 012</t>
        </is>
      </c>
      <c r="L374" t="inlineStr">
        <is>
          <t>-1</t>
        </is>
      </c>
      <c r="M374" t="n">
        <v>1044.646328023879</v>
      </c>
      <c r="N374" t="n">
        <v>0</v>
      </c>
      <c r="O374" t="inlineStr">
        <is>
          <t>3</t>
        </is>
      </c>
      <c r="P374" s="2" t="n">
        <v>44999.6862684375</v>
      </c>
      <c r="Q374" t="n">
        <v>11</v>
      </c>
      <c r="R374" t="inlineStr">
        <is>
          <t>QUILLOTA 220</t>
        </is>
      </c>
      <c r="S374" t="n">
        <v>210.4919344968084</v>
      </c>
      <c r="T374" t="n">
        <v>19221.30865223158</v>
      </c>
      <c r="U374" t="n">
        <v>0</v>
      </c>
      <c r="V374" t="n">
        <v>0</v>
      </c>
      <c r="W374" t="inlineStr">
        <is>
          <t>CHILQUINTA</t>
        </is>
      </c>
      <c r="X374" t="n">
        <v>97.14481812686</v>
      </c>
      <c r="Y374" t="n">
        <v>19.22130865223157</v>
      </c>
      <c r="Z374" t="n">
        <v>20448.20069386338</v>
      </c>
      <c r="AA374" t="n">
        <v>0</v>
      </c>
      <c r="AB374" t="n">
        <v>0</v>
      </c>
      <c r="AC374" t="n">
        <v>0</v>
      </c>
      <c r="AD374" s="2" t="n">
        <v>44562</v>
      </c>
    </row>
    <row r="375">
      <c r="A375" t="n">
        <v>-1</v>
      </c>
      <c r="B375" t="inlineStr">
        <is>
          <t>01-01-2022</t>
        </is>
      </c>
      <c r="C375" t="n">
        <v>2022</v>
      </c>
      <c r="D375" t="n">
        <v>1</v>
      </c>
      <c r="E375" t="inlineStr">
        <is>
          <t>San Pedro 012</t>
        </is>
      </c>
      <c r="F375" t="inlineStr">
        <is>
          <t>Chilquinta</t>
        </is>
      </c>
      <c r="G375" t="inlineStr">
        <is>
          <t>Chilquinta</t>
        </is>
      </c>
      <c r="H375" t="inlineStr">
        <is>
          <t>Empresa Eléctrica Carén S.A.</t>
        </is>
      </c>
      <c r="I375" t="inlineStr">
        <is>
          <t>Empresa Eléctrica Carén S.A.</t>
        </is>
      </c>
      <c r="J375" t="inlineStr">
        <is>
          <t>SIC 2013/03_2_BS1B_BB_CHILQUINTA_Empresa Eléctrica Carén S.A.</t>
        </is>
      </c>
      <c r="K375" t="inlineStr">
        <is>
          <t>San Pedro 012</t>
        </is>
      </c>
      <c r="L375" t="inlineStr">
        <is>
          <t>-1</t>
        </is>
      </c>
      <c r="M375" t="n">
        <v>950.9519343913598</v>
      </c>
      <c r="N375" t="n">
        <v>0</v>
      </c>
      <c r="O375" t="inlineStr">
        <is>
          <t>3</t>
        </is>
      </c>
      <c r="P375" s="2" t="n">
        <v>44999.6862684375</v>
      </c>
      <c r="Q375" t="n">
        <v>31</v>
      </c>
      <c r="R375" t="inlineStr">
        <is>
          <t>LOS MAQUIS 220</t>
        </is>
      </c>
      <c r="S375" t="n">
        <v>94.54480927635481</v>
      </c>
      <c r="T375" t="n">
        <v>8558.918180368233</v>
      </c>
      <c r="U375" t="n">
        <v>0</v>
      </c>
      <c r="V375" t="n">
        <v>0</v>
      </c>
      <c r="W375" t="inlineStr">
        <is>
          <t>CHILQUINTA</t>
        </is>
      </c>
      <c r="X375" t="n">
        <v>96.30599687562001</v>
      </c>
      <c r="Y375" t="n">
        <v>8.558918180368233</v>
      </c>
      <c r="Z375" t="n">
        <v>9105.232106774716</v>
      </c>
      <c r="AA375" t="n">
        <v>0</v>
      </c>
      <c r="AB375" t="n">
        <v>0</v>
      </c>
      <c r="AC375" t="n">
        <v>0</v>
      </c>
      <c r="AD375" s="2" t="n">
        <v>44562</v>
      </c>
    </row>
    <row r="376">
      <c r="A376" t="n">
        <v>-1</v>
      </c>
      <c r="B376" t="inlineStr">
        <is>
          <t>01-01-2022</t>
        </is>
      </c>
      <c r="C376" t="n">
        <v>2022</v>
      </c>
      <c r="D376" t="n">
        <v>1</v>
      </c>
      <c r="E376" t="inlineStr">
        <is>
          <t>San Pedro 012</t>
        </is>
      </c>
      <c r="F376" t="inlineStr">
        <is>
          <t>Chilquinta</t>
        </is>
      </c>
      <c r="G376" t="inlineStr">
        <is>
          <t>Chilquinta</t>
        </is>
      </c>
      <c r="H376" t="inlineStr">
        <is>
          <t>Empresa Eléctrica Carén S.A.</t>
        </is>
      </c>
      <c r="I376" t="inlineStr">
        <is>
          <t>Empresa Eléctrica Carén S.A.</t>
        </is>
      </c>
      <c r="J376" t="inlineStr">
        <is>
          <t>SIC 2013/03_2_BS1B_BB_CHILQUINTA_Empresa Eléctrica Carén S.A.</t>
        </is>
      </c>
      <c r="K376" t="inlineStr">
        <is>
          <t>San Pedro 012</t>
        </is>
      </c>
      <c r="L376" t="inlineStr">
        <is>
          <t>-1</t>
        </is>
      </c>
      <c r="M376" t="n">
        <v>950.9519343913598</v>
      </c>
      <c r="N376" t="n">
        <v>0</v>
      </c>
      <c r="O376" t="inlineStr">
        <is>
          <t>3</t>
        </is>
      </c>
      <c r="P376" s="2" t="n">
        <v>44999.6862684375</v>
      </c>
      <c r="Q376" t="n">
        <v>13</v>
      </c>
      <c r="R376" t="inlineStr">
        <is>
          <t>MELIPILLA 220</t>
        </is>
      </c>
      <c r="S376" t="n">
        <v>84.81354981323564</v>
      </c>
      <c r="T376" t="n">
        <v>7763.421388053936</v>
      </c>
      <c r="U376" t="n">
        <v>0</v>
      </c>
      <c r="V376" t="n">
        <v>0</v>
      </c>
      <c r="W376" t="inlineStr">
        <is>
          <t>CHILQUINTA</t>
        </is>
      </c>
      <c r="X376" t="n">
        <v>97.37782396383999</v>
      </c>
      <c r="Y376" t="n">
        <v>7.763421388053936</v>
      </c>
      <c r="Z376" t="n">
        <v>8258.958923461634</v>
      </c>
      <c r="AA376" t="n">
        <v>0</v>
      </c>
      <c r="AB376" t="n">
        <v>0</v>
      </c>
      <c r="AC376" t="n">
        <v>0</v>
      </c>
      <c r="AD376" s="2" t="n">
        <v>44562</v>
      </c>
    </row>
    <row r="377">
      <c r="A377" t="n">
        <v>-1</v>
      </c>
      <c r="B377" t="inlineStr">
        <is>
          <t>01-01-2022</t>
        </is>
      </c>
      <c r="C377" t="n">
        <v>2022</v>
      </c>
      <c r="D377" t="n">
        <v>1</v>
      </c>
      <c r="E377" t="inlineStr">
        <is>
          <t>San Pedro 012</t>
        </is>
      </c>
      <c r="F377" t="inlineStr">
        <is>
          <t>Chilquinta</t>
        </is>
      </c>
      <c r="G377" t="inlineStr">
        <is>
          <t>Chilquinta</t>
        </is>
      </c>
      <c r="H377" t="inlineStr">
        <is>
          <t>Empresa Eléctrica Carén S.A.</t>
        </is>
      </c>
      <c r="I377" t="inlineStr">
        <is>
          <t>Empresa Eléctrica Carén S.A.</t>
        </is>
      </c>
      <c r="J377" t="inlineStr">
        <is>
          <t>SIC 2013/03_2_BS1B_BB_CHILQUINTA_Empresa Eléctrica Carén S.A.</t>
        </is>
      </c>
      <c r="K377" t="inlineStr">
        <is>
          <t>San Pedro 012</t>
        </is>
      </c>
      <c r="L377" t="inlineStr">
        <is>
          <t>-1</t>
        </is>
      </c>
      <c r="M377" t="n">
        <v>950.9519343913598</v>
      </c>
      <c r="N377" t="n">
        <v>0</v>
      </c>
      <c r="O377" t="inlineStr">
        <is>
          <t>3</t>
        </is>
      </c>
      <c r="P377" s="2" t="n">
        <v>44999.6862684375</v>
      </c>
      <c r="Q377" t="n">
        <v>5</v>
      </c>
      <c r="R377" t="inlineStr">
        <is>
          <t>NOGALES 220</t>
        </is>
      </c>
      <c r="S377" t="n">
        <v>124.2275956789344</v>
      </c>
      <c r="T377" t="n">
        <v>11706.40725253406</v>
      </c>
      <c r="U377" t="n">
        <v>0</v>
      </c>
      <c r="V377" t="n">
        <v>0</v>
      </c>
      <c r="W377" t="inlineStr">
        <is>
          <t>CHILQUINTA</t>
        </is>
      </c>
      <c r="X377" t="n">
        <v>100.24845662251</v>
      </c>
      <c r="Y377" t="n">
        <v>11.70640725253406</v>
      </c>
      <c r="Z377" t="n">
        <v>12453.62473673837</v>
      </c>
      <c r="AA377" t="n">
        <v>0</v>
      </c>
      <c r="AB377" t="n">
        <v>0</v>
      </c>
      <c r="AC377" t="n">
        <v>0</v>
      </c>
      <c r="AD377" s="2" t="n">
        <v>44562</v>
      </c>
    </row>
    <row r="378">
      <c r="A378" t="n">
        <v>-1</v>
      </c>
      <c r="B378" t="inlineStr">
        <is>
          <t>01-01-2022</t>
        </is>
      </c>
      <c r="C378" t="n">
        <v>2022</v>
      </c>
      <c r="D378" t="n">
        <v>1</v>
      </c>
      <c r="E378" t="inlineStr">
        <is>
          <t>San Pedro 012</t>
        </is>
      </c>
      <c r="F378" t="inlineStr">
        <is>
          <t>Chilquinta</t>
        </is>
      </c>
      <c r="G378" t="inlineStr">
        <is>
          <t>Chilquinta</t>
        </is>
      </c>
      <c r="H378" t="inlineStr">
        <is>
          <t>Empresa Eléctrica Carén S.A.</t>
        </is>
      </c>
      <c r="I378" t="inlineStr">
        <is>
          <t>Empresa Eléctrica Carén S.A.</t>
        </is>
      </c>
      <c r="J378" t="inlineStr">
        <is>
          <t>SIC 2013/03_2_BS1B_BB_CHILQUINTA_Empresa Eléctrica Carén S.A.</t>
        </is>
      </c>
      <c r="K378" t="inlineStr">
        <is>
          <t>San Pedro 012</t>
        </is>
      </c>
      <c r="L378" t="inlineStr">
        <is>
          <t>-1</t>
        </is>
      </c>
      <c r="M378" t="n">
        <v>950.9519343913598</v>
      </c>
      <c r="N378" t="n">
        <v>0</v>
      </c>
      <c r="O378" t="inlineStr">
        <is>
          <t>3</t>
        </is>
      </c>
      <c r="P378" s="2" t="n">
        <v>44999.6862684375</v>
      </c>
      <c r="Q378" t="n">
        <v>11</v>
      </c>
      <c r="R378" t="inlineStr">
        <is>
          <t>QUILLOTA 220</t>
        </is>
      </c>
      <c r="S378" t="n">
        <v>674.430071675613</v>
      </c>
      <c r="T378" t="n">
        <v>61586.34345307983</v>
      </c>
      <c r="U378" t="n">
        <v>0</v>
      </c>
      <c r="V378" t="n">
        <v>0</v>
      </c>
      <c r="W378" t="inlineStr">
        <is>
          <t>CHILQUINTA</t>
        </is>
      </c>
      <c r="X378" t="n">
        <v>97.14481812686002</v>
      </c>
      <c r="Y378" t="n">
        <v>61.58634345307983</v>
      </c>
      <c r="Z378" t="n">
        <v>65517.38665221259</v>
      </c>
      <c r="AA378" t="n">
        <v>0</v>
      </c>
      <c r="AB378" t="n">
        <v>0</v>
      </c>
      <c r="AC378" t="n">
        <v>0</v>
      </c>
      <c r="AD378" s="2" t="n">
        <v>44562</v>
      </c>
    </row>
    <row r="379">
      <c r="A379" t="n">
        <v>-1</v>
      </c>
      <c r="B379" t="inlineStr">
        <is>
          <t>01-01-2022</t>
        </is>
      </c>
      <c r="C379" t="n">
        <v>2022</v>
      </c>
      <c r="D379" t="n">
        <v>1</v>
      </c>
      <c r="E379" t="inlineStr">
        <is>
          <t>San Rafael 012</t>
        </is>
      </c>
      <c r="F379" t="inlineStr">
        <is>
          <t>Chilquinta</t>
        </is>
      </c>
      <c r="G379" t="inlineStr">
        <is>
          <t>Chilquinta</t>
        </is>
      </c>
      <c r="H379" t="inlineStr">
        <is>
          <t>Empresa Eléctrica Carén S.A.</t>
        </is>
      </c>
      <c r="I379" t="inlineStr">
        <is>
          <t>Empresa Eléctrica Carén S.A.</t>
        </is>
      </c>
      <c r="J379" t="inlineStr">
        <is>
          <t>SIC 2013/03_2_BS1B_BB_CHILQUINTA_Empresa Eléctrica Carén S.A.</t>
        </is>
      </c>
      <c r="K379" t="inlineStr">
        <is>
          <t>San Rafael 012</t>
        </is>
      </c>
      <c r="L379" t="inlineStr">
        <is>
          <t>-1</t>
        </is>
      </c>
      <c r="M379" t="n">
        <v>1490.669027612373</v>
      </c>
      <c r="N379" t="n">
        <v>0</v>
      </c>
      <c r="O379" t="inlineStr">
        <is>
          <t>3</t>
        </is>
      </c>
      <c r="P379" s="2" t="n">
        <v>44999.6862684375</v>
      </c>
      <c r="Q379" t="n">
        <v>31</v>
      </c>
      <c r="R379" t="inlineStr">
        <is>
          <t>LOS MAQUIS 220</t>
        </is>
      </c>
      <c r="S379" t="n">
        <v>911.5313833509424</v>
      </c>
      <c r="T379" t="n">
        <v>82518.78224360391</v>
      </c>
      <c r="U379" t="n">
        <v>0</v>
      </c>
      <c r="V379" t="n">
        <v>0</v>
      </c>
      <c r="W379" t="inlineStr">
        <is>
          <t>CHILQUINTA</t>
        </is>
      </c>
      <c r="X379" t="n">
        <v>96.30599687561998</v>
      </c>
      <c r="Y379" t="n">
        <v>82.51878224360389</v>
      </c>
      <c r="Z379" t="n">
        <v>87785.93855702544</v>
      </c>
      <c r="AA379" t="n">
        <v>0</v>
      </c>
      <c r="AB379" t="n">
        <v>0</v>
      </c>
      <c r="AC379" t="n">
        <v>0</v>
      </c>
      <c r="AD379" s="2" t="n">
        <v>44562</v>
      </c>
    </row>
    <row r="380">
      <c r="A380" t="n">
        <v>-1</v>
      </c>
      <c r="B380" t="inlineStr">
        <is>
          <t>01-01-2022</t>
        </is>
      </c>
      <c r="C380" t="n">
        <v>2022</v>
      </c>
      <c r="D380" t="n">
        <v>1</v>
      </c>
      <c r="E380" t="inlineStr">
        <is>
          <t>San Rafael 012</t>
        </is>
      </c>
      <c r="F380" t="inlineStr">
        <is>
          <t>Chilquinta</t>
        </is>
      </c>
      <c r="G380" t="inlineStr">
        <is>
          <t>Chilquinta</t>
        </is>
      </c>
      <c r="H380" t="inlineStr">
        <is>
          <t>Empresa Eléctrica Carén S.A.</t>
        </is>
      </c>
      <c r="I380" t="inlineStr">
        <is>
          <t>Empresa Eléctrica Carén S.A.</t>
        </is>
      </c>
      <c r="J380" t="inlineStr">
        <is>
          <t>SIC 2013/03_2_BS1B_BB_CHILQUINTA_Empresa Eléctrica Carén S.A.</t>
        </is>
      </c>
      <c r="K380" t="inlineStr">
        <is>
          <t>San Rafael 012</t>
        </is>
      </c>
      <c r="L380" t="inlineStr">
        <is>
          <t>-1</t>
        </is>
      </c>
      <c r="M380" t="n">
        <v>1490.669027612373</v>
      </c>
      <c r="N380" t="n">
        <v>0</v>
      </c>
      <c r="O380" t="inlineStr">
        <is>
          <t>3</t>
        </is>
      </c>
      <c r="P380" s="2" t="n">
        <v>44999.6862684375</v>
      </c>
      <c r="Q380" t="n">
        <v>13</v>
      </c>
      <c r="R380" t="inlineStr">
        <is>
          <t>MELIPILLA 220</t>
        </is>
      </c>
      <c r="S380" t="n">
        <v>52.3244800675575</v>
      </c>
      <c r="T380" t="n">
        <v>4789.529368476985</v>
      </c>
      <c r="U380" t="n">
        <v>0</v>
      </c>
      <c r="V380" t="n">
        <v>0</v>
      </c>
      <c r="W380" t="inlineStr">
        <is>
          <t>CHILQUINTA</t>
        </is>
      </c>
      <c r="X380" t="n">
        <v>97.37782396384</v>
      </c>
      <c r="Y380" t="n">
        <v>4.789529368476985</v>
      </c>
      <c r="Z380" t="n">
        <v>5095.244009018069</v>
      </c>
      <c r="AA380" t="n">
        <v>0</v>
      </c>
      <c r="AB380" t="n">
        <v>0</v>
      </c>
      <c r="AC380" t="n">
        <v>0</v>
      </c>
      <c r="AD380" s="2" t="n">
        <v>44562</v>
      </c>
    </row>
    <row r="381">
      <c r="A381" t="n">
        <v>-1</v>
      </c>
      <c r="B381" t="inlineStr">
        <is>
          <t>01-01-2022</t>
        </is>
      </c>
      <c r="C381" t="n">
        <v>2022</v>
      </c>
      <c r="D381" t="n">
        <v>1</v>
      </c>
      <c r="E381" t="inlineStr">
        <is>
          <t>San Rafael 012</t>
        </is>
      </c>
      <c r="F381" t="inlineStr">
        <is>
          <t>Chilquinta</t>
        </is>
      </c>
      <c r="G381" t="inlineStr">
        <is>
          <t>Chilquinta</t>
        </is>
      </c>
      <c r="H381" t="inlineStr">
        <is>
          <t>Empresa Eléctrica Carén S.A.</t>
        </is>
      </c>
      <c r="I381" t="inlineStr">
        <is>
          <t>Empresa Eléctrica Carén S.A.</t>
        </is>
      </c>
      <c r="J381" t="inlineStr">
        <is>
          <t>SIC 2013/03_2_BS1B_BB_CHILQUINTA_Empresa Eléctrica Carén S.A.</t>
        </is>
      </c>
      <c r="K381" t="inlineStr">
        <is>
          <t>San Rafael 012</t>
        </is>
      </c>
      <c r="L381" t="inlineStr">
        <is>
          <t>-1</t>
        </is>
      </c>
      <c r="M381" t="n">
        <v>1490.669027612373</v>
      </c>
      <c r="N381" t="n">
        <v>0</v>
      </c>
      <c r="O381" t="inlineStr">
        <is>
          <t>3</t>
        </is>
      </c>
      <c r="P381" s="2" t="n">
        <v>44999.6862684375</v>
      </c>
      <c r="Q381" t="n">
        <v>5</v>
      </c>
      <c r="R381" t="inlineStr">
        <is>
          <t>NOGALES 220</t>
        </is>
      </c>
      <c r="S381" t="n">
        <v>116.8063913374511</v>
      </c>
      <c r="T381" t="n">
        <v>11007.08082791093</v>
      </c>
      <c r="U381" t="n">
        <v>0</v>
      </c>
      <c r="V381" t="n">
        <v>0</v>
      </c>
      <c r="W381" t="inlineStr">
        <is>
          <t>CHILQUINTA</t>
        </is>
      </c>
      <c r="X381" t="n">
        <v>100.24845662251</v>
      </c>
      <c r="Y381" t="n">
        <v>11.00708082791093</v>
      </c>
      <c r="Z381" t="n">
        <v>11709.66045522439</v>
      </c>
      <c r="AA381" t="n">
        <v>0</v>
      </c>
      <c r="AB381" t="n">
        <v>0</v>
      </c>
      <c r="AC381" t="n">
        <v>0</v>
      </c>
      <c r="AD381" s="2" t="n">
        <v>44562</v>
      </c>
    </row>
    <row r="382">
      <c r="A382" t="n">
        <v>-1</v>
      </c>
      <c r="B382" t="inlineStr">
        <is>
          <t>01-01-2022</t>
        </is>
      </c>
      <c r="C382" t="n">
        <v>2022</v>
      </c>
      <c r="D382" t="n">
        <v>1</v>
      </c>
      <c r="E382" t="inlineStr">
        <is>
          <t>San Rafael 012</t>
        </is>
      </c>
      <c r="F382" t="inlineStr">
        <is>
          <t>Chilquinta</t>
        </is>
      </c>
      <c r="G382" t="inlineStr">
        <is>
          <t>Chilquinta</t>
        </is>
      </c>
      <c r="H382" t="inlineStr">
        <is>
          <t>Empresa Eléctrica Carén S.A.</t>
        </is>
      </c>
      <c r="I382" t="inlineStr">
        <is>
          <t>Empresa Eléctrica Carén S.A.</t>
        </is>
      </c>
      <c r="J382" t="inlineStr">
        <is>
          <t>SIC 2013/03_2_BS1B_BB_CHILQUINTA_Empresa Eléctrica Carén S.A.</t>
        </is>
      </c>
      <c r="K382" t="inlineStr">
        <is>
          <t>San Rafael 012</t>
        </is>
      </c>
      <c r="L382" t="inlineStr">
        <is>
          <t>-1</t>
        </is>
      </c>
      <c r="M382" t="n">
        <v>1490.669027612373</v>
      </c>
      <c r="N382" t="n">
        <v>0</v>
      </c>
      <c r="O382" t="inlineStr">
        <is>
          <t>3</t>
        </is>
      </c>
      <c r="P382" s="2" t="n">
        <v>44999.6862684375</v>
      </c>
      <c r="Q382" t="n">
        <v>11</v>
      </c>
      <c r="R382" t="inlineStr">
        <is>
          <t>QUILLOTA 220</t>
        </is>
      </c>
      <c r="S382" t="n">
        <v>452.4312133822705</v>
      </c>
      <c r="T382" t="n">
        <v>41314.26706259914</v>
      </c>
      <c r="U382" t="n">
        <v>0</v>
      </c>
      <c r="V382" t="n">
        <v>0</v>
      </c>
      <c r="W382" t="inlineStr">
        <is>
          <t>CHILQUINTA</t>
        </is>
      </c>
      <c r="X382" t="n">
        <v>97.14481812686002</v>
      </c>
      <c r="Y382" t="n">
        <v>41.31426706259914</v>
      </c>
      <c r="Z382" t="n">
        <v>43951.34793893527</v>
      </c>
      <c r="AA382" t="n">
        <v>0</v>
      </c>
      <c r="AB382" t="n">
        <v>0</v>
      </c>
      <c r="AC382" t="n">
        <v>0</v>
      </c>
      <c r="AD382" s="2" t="n">
        <v>44562</v>
      </c>
    </row>
    <row r="383">
      <c r="A383" t="n">
        <v>-1</v>
      </c>
      <c r="B383" t="inlineStr">
        <is>
          <t>01-01-2022</t>
        </is>
      </c>
      <c r="C383" t="n">
        <v>2022</v>
      </c>
      <c r="D383" t="n">
        <v>1</v>
      </c>
      <c r="E383" t="inlineStr">
        <is>
          <t>San Sebastian 012</t>
        </is>
      </c>
      <c r="F383" t="inlineStr">
        <is>
          <t>Chilquinta</t>
        </is>
      </c>
      <c r="G383" t="inlineStr">
        <is>
          <t>Chilquinta</t>
        </is>
      </c>
      <c r="H383" t="inlineStr">
        <is>
          <t>Empresa Eléctrica Carén S.A.</t>
        </is>
      </c>
      <c r="I383" t="inlineStr">
        <is>
          <t>Empresa Eléctrica Carén S.A.</t>
        </is>
      </c>
      <c r="J383" t="inlineStr">
        <is>
          <t>SIC 2013/03_2_BS1B_BB_CHILQUINTA_Empresa Eléctrica Carén S.A.</t>
        </is>
      </c>
      <c r="K383" t="inlineStr">
        <is>
          <t>San Sebastian 012</t>
        </is>
      </c>
      <c r="L383" t="inlineStr">
        <is>
          <t>-1</t>
        </is>
      </c>
      <c r="M383" t="n">
        <v>113.468580188141</v>
      </c>
      <c r="N383" t="n">
        <v>0</v>
      </c>
      <c r="O383" t="inlineStr">
        <is>
          <t>3</t>
        </is>
      </c>
      <c r="P383" s="2" t="n">
        <v>44999.6862684375</v>
      </c>
      <c r="Q383" t="n">
        <v>31</v>
      </c>
      <c r="R383" t="inlineStr">
        <is>
          <t>LOS MAQUIS 220</t>
        </is>
      </c>
      <c r="S383" t="n">
        <v>0.152874243734187</v>
      </c>
      <c r="T383" t="n">
        <v>13.83934405306174</v>
      </c>
      <c r="U383" t="n">
        <v>0</v>
      </c>
      <c r="V383" t="n">
        <v>0</v>
      </c>
      <c r="W383" t="inlineStr">
        <is>
          <t>CHILQUINTA</t>
        </is>
      </c>
      <c r="X383" t="n">
        <v>96.30599687562001</v>
      </c>
      <c r="Y383" t="n">
        <v>0.01383934405306174</v>
      </c>
      <c r="Z383" t="n">
        <v>14.72270643942739</v>
      </c>
      <c r="AA383" t="n">
        <v>0</v>
      </c>
      <c r="AB383" t="n">
        <v>0</v>
      </c>
      <c r="AC383" t="n">
        <v>0</v>
      </c>
      <c r="AD383" s="2" t="n">
        <v>44562</v>
      </c>
    </row>
    <row r="384">
      <c r="A384" t="n">
        <v>-1</v>
      </c>
      <c r="B384" t="inlineStr">
        <is>
          <t>01-01-2022</t>
        </is>
      </c>
      <c r="C384" t="n">
        <v>2022</v>
      </c>
      <c r="D384" t="n">
        <v>1</v>
      </c>
      <c r="E384" t="inlineStr">
        <is>
          <t>San Sebastian 012</t>
        </is>
      </c>
      <c r="F384" t="inlineStr">
        <is>
          <t>Chilquinta</t>
        </is>
      </c>
      <c r="G384" t="inlineStr">
        <is>
          <t>Chilquinta</t>
        </is>
      </c>
      <c r="H384" t="inlineStr">
        <is>
          <t>Empresa Eléctrica Carén S.A.</t>
        </is>
      </c>
      <c r="I384" t="inlineStr">
        <is>
          <t>Empresa Eléctrica Carén S.A.</t>
        </is>
      </c>
      <c r="J384" t="inlineStr">
        <is>
          <t>SIC 2013/03_2_BS1B_BB_CHILQUINTA_Empresa Eléctrica Carén S.A.</t>
        </is>
      </c>
      <c r="K384" t="inlineStr">
        <is>
          <t>San Sebastian 012</t>
        </is>
      </c>
      <c r="L384" t="inlineStr">
        <is>
          <t>-1</t>
        </is>
      </c>
      <c r="M384" t="n">
        <v>113.468580188141</v>
      </c>
      <c r="N384" t="n">
        <v>0</v>
      </c>
      <c r="O384" t="inlineStr">
        <is>
          <t>3</t>
        </is>
      </c>
      <c r="P384" s="2" t="n">
        <v>44999.6862684375</v>
      </c>
      <c r="Q384" t="n">
        <v>13</v>
      </c>
      <c r="R384" t="inlineStr">
        <is>
          <t>MELIPILLA 220</t>
        </is>
      </c>
      <c r="S384" t="n">
        <v>115.2893523758133</v>
      </c>
      <c r="T384" t="n">
        <v>10553.02868492364</v>
      </c>
      <c r="U384" t="n">
        <v>0</v>
      </c>
      <c r="V384" t="n">
        <v>0</v>
      </c>
      <c r="W384" t="inlineStr">
        <is>
          <t>CHILQUINTA</t>
        </is>
      </c>
      <c r="X384" t="n">
        <v>97.37782396384</v>
      </c>
      <c r="Y384" t="n">
        <v>10.55302868492364</v>
      </c>
      <c r="Z384" t="n">
        <v>11226.62626055707</v>
      </c>
      <c r="AA384" t="n">
        <v>0</v>
      </c>
      <c r="AB384" t="n">
        <v>0</v>
      </c>
      <c r="AC384" t="n">
        <v>0</v>
      </c>
      <c r="AD384" s="2" t="n">
        <v>44562</v>
      </c>
    </row>
    <row r="385">
      <c r="A385" t="n">
        <v>-1</v>
      </c>
      <c r="B385" t="inlineStr">
        <is>
          <t>01-01-2022</t>
        </is>
      </c>
      <c r="C385" t="n">
        <v>2022</v>
      </c>
      <c r="D385" t="n">
        <v>1</v>
      </c>
      <c r="E385" t="inlineStr">
        <is>
          <t>San Sebastian 012</t>
        </is>
      </c>
      <c r="F385" t="inlineStr">
        <is>
          <t>Chilquinta</t>
        </is>
      </c>
      <c r="G385" t="inlineStr">
        <is>
          <t>Chilquinta</t>
        </is>
      </c>
      <c r="H385" t="inlineStr">
        <is>
          <t>Empresa Eléctrica Carén S.A.</t>
        </is>
      </c>
      <c r="I385" t="inlineStr">
        <is>
          <t>Empresa Eléctrica Carén S.A.</t>
        </is>
      </c>
      <c r="J385" t="inlineStr">
        <is>
          <t>SIC 2013/03_2_BS1B_BB_CHILQUINTA_Empresa Eléctrica Carén S.A.</t>
        </is>
      </c>
      <c r="K385" t="inlineStr">
        <is>
          <t>San Sebastian 012</t>
        </is>
      </c>
      <c r="L385" t="inlineStr">
        <is>
          <t>-1</t>
        </is>
      </c>
      <c r="M385" t="n">
        <v>113.468580188141</v>
      </c>
      <c r="N385" t="n">
        <v>0</v>
      </c>
      <c r="O385" t="inlineStr">
        <is>
          <t>3</t>
        </is>
      </c>
      <c r="P385" s="2" t="n">
        <v>44999.6862684375</v>
      </c>
      <c r="Q385" t="n">
        <v>5</v>
      </c>
      <c r="R385" t="inlineStr">
        <is>
          <t>NOGALES 220</t>
        </is>
      </c>
      <c r="S385" t="n">
        <v>0.2007203810861082</v>
      </c>
      <c r="T385" t="n">
        <v>18.91459391157053</v>
      </c>
      <c r="U385" t="n">
        <v>0</v>
      </c>
      <c r="V385" t="n">
        <v>0</v>
      </c>
      <c r="W385" t="inlineStr">
        <is>
          <t>CHILQUINTA</t>
        </is>
      </c>
      <c r="X385" t="n">
        <v>100.24845662251</v>
      </c>
      <c r="Y385" t="n">
        <v>0.01891459391157053</v>
      </c>
      <c r="Z385" t="n">
        <v>20.12190841656439</v>
      </c>
      <c r="AA385" t="n">
        <v>0</v>
      </c>
      <c r="AB385" t="n">
        <v>0</v>
      </c>
      <c r="AC385" t="n">
        <v>0</v>
      </c>
      <c r="AD385" s="2" t="n">
        <v>44562</v>
      </c>
    </row>
    <row r="386">
      <c r="A386" t="n">
        <v>-1</v>
      </c>
      <c r="B386" t="inlineStr">
        <is>
          <t>01-01-2022</t>
        </is>
      </c>
      <c r="C386" t="n">
        <v>2022</v>
      </c>
      <c r="D386" t="n">
        <v>1</v>
      </c>
      <c r="E386" t="inlineStr">
        <is>
          <t>San Sebastian 012</t>
        </is>
      </c>
      <c r="F386" t="inlineStr">
        <is>
          <t>Chilquinta</t>
        </is>
      </c>
      <c r="G386" t="inlineStr">
        <is>
          <t>Chilquinta</t>
        </is>
      </c>
      <c r="H386" t="inlineStr">
        <is>
          <t>Empresa Eléctrica Carén S.A.</t>
        </is>
      </c>
      <c r="I386" t="inlineStr">
        <is>
          <t>Empresa Eléctrica Carén S.A.</t>
        </is>
      </c>
      <c r="J386" t="inlineStr">
        <is>
          <t>SIC 2013/03_2_BS1B_BB_CHILQUINTA_Empresa Eléctrica Carén S.A.</t>
        </is>
      </c>
      <c r="K386" t="inlineStr">
        <is>
          <t>San Sebastian 012</t>
        </is>
      </c>
      <c r="L386" t="inlineStr">
        <is>
          <t>-1</t>
        </is>
      </c>
      <c r="M386" t="n">
        <v>113.468580188141</v>
      </c>
      <c r="N386" t="n">
        <v>0</v>
      </c>
      <c r="O386" t="inlineStr">
        <is>
          <t>3</t>
        </is>
      </c>
      <c r="P386" s="2" t="n">
        <v>44999.6862684375</v>
      </c>
      <c r="Q386" t="n">
        <v>11</v>
      </c>
      <c r="R386" t="inlineStr">
        <is>
          <t>QUILLOTA 220</t>
        </is>
      </c>
      <c r="S386" t="n">
        <v>1.054948979661871</v>
      </c>
      <c r="T386" t="n">
        <v>96.33385715662685</v>
      </c>
      <c r="U386" t="n">
        <v>0</v>
      </c>
      <c r="V386" t="n">
        <v>0</v>
      </c>
      <c r="W386" t="inlineStr">
        <is>
          <t>CHILQUINTA</t>
        </is>
      </c>
      <c r="X386" t="n">
        <v>97.14481812686002</v>
      </c>
      <c r="Y386" t="n">
        <v>0.09633385715662686</v>
      </c>
      <c r="Z386" t="n">
        <v>102.482826762369</v>
      </c>
      <c r="AA386" t="n">
        <v>0</v>
      </c>
      <c r="AB386" t="n">
        <v>0</v>
      </c>
      <c r="AC386" t="n">
        <v>0</v>
      </c>
      <c r="AD386" s="2" t="n">
        <v>44562</v>
      </c>
    </row>
    <row r="387">
      <c r="A387" t="n">
        <v>-1</v>
      </c>
      <c r="B387" t="inlineStr">
        <is>
          <t>01-01-2022</t>
        </is>
      </c>
      <c r="C387" t="n">
        <v>2022</v>
      </c>
      <c r="D387" t="n">
        <v>1</v>
      </c>
      <c r="E387" t="inlineStr">
        <is>
          <t>Valparaiso 012</t>
        </is>
      </c>
      <c r="F387" t="inlineStr">
        <is>
          <t>Chilquinta</t>
        </is>
      </c>
      <c r="G387" t="inlineStr">
        <is>
          <t>Chilquinta</t>
        </is>
      </c>
      <c r="H387" t="inlineStr">
        <is>
          <t>Empresa Eléctrica Carén S.A.</t>
        </is>
      </c>
      <c r="I387" t="inlineStr">
        <is>
          <t>Empresa Eléctrica Carén S.A.</t>
        </is>
      </c>
      <c r="J387" t="inlineStr">
        <is>
          <t>SIC 2013/03_2_BS1B_BB_CHILQUINTA_Empresa Eléctrica Carén S.A.</t>
        </is>
      </c>
      <c r="K387" t="inlineStr">
        <is>
          <t>Valparaiso 012</t>
        </is>
      </c>
      <c r="L387" t="inlineStr">
        <is>
          <t>-1</t>
        </is>
      </c>
      <c r="M387" t="n">
        <v>742.6313686750223</v>
      </c>
      <c r="N387" t="n">
        <v>0</v>
      </c>
      <c r="O387" t="inlineStr">
        <is>
          <t>3</t>
        </is>
      </c>
      <c r="P387" s="2" t="n">
        <v>44999.6862684375</v>
      </c>
      <c r="Q387" t="n">
        <v>31</v>
      </c>
      <c r="R387" t="inlineStr">
        <is>
          <t>LOS MAQUIS 220</t>
        </is>
      </c>
      <c r="S387" t="n">
        <v>10.2879368755486</v>
      </c>
      <c r="T387" t="n">
        <v>931.3426155975699</v>
      </c>
      <c r="U387" t="n">
        <v>0</v>
      </c>
      <c r="V387" t="n">
        <v>0</v>
      </c>
      <c r="W387" t="inlineStr">
        <is>
          <t>CHILQUINTA</t>
        </is>
      </c>
      <c r="X387" t="n">
        <v>96.30599687562</v>
      </c>
      <c r="Y387" t="n">
        <v>0.9313426155975699</v>
      </c>
      <c r="Z387" t="n">
        <v>990.7900165931595</v>
      </c>
      <c r="AA387" t="n">
        <v>0</v>
      </c>
      <c r="AB387" t="n">
        <v>0</v>
      </c>
      <c r="AC387" t="n">
        <v>0</v>
      </c>
      <c r="AD387" s="2" t="n">
        <v>44562</v>
      </c>
    </row>
    <row r="388">
      <c r="A388" t="n">
        <v>-1</v>
      </c>
      <c r="B388" t="inlineStr">
        <is>
          <t>01-01-2022</t>
        </is>
      </c>
      <c r="C388" t="n">
        <v>2022</v>
      </c>
      <c r="D388" t="n">
        <v>1</v>
      </c>
      <c r="E388" t="inlineStr">
        <is>
          <t>Valparaiso 012</t>
        </is>
      </c>
      <c r="F388" t="inlineStr">
        <is>
          <t>Chilquinta</t>
        </is>
      </c>
      <c r="G388" t="inlineStr">
        <is>
          <t>Chilquinta</t>
        </is>
      </c>
      <c r="H388" t="inlineStr">
        <is>
          <t>Empresa Eléctrica Carén S.A.</t>
        </is>
      </c>
      <c r="I388" t="inlineStr">
        <is>
          <t>Empresa Eléctrica Carén S.A.</t>
        </is>
      </c>
      <c r="J388" t="inlineStr">
        <is>
          <t>SIC 2013/03_2_BS1B_BB_CHILQUINTA_Empresa Eléctrica Carén S.A.</t>
        </is>
      </c>
      <c r="K388" t="inlineStr">
        <is>
          <t>Valparaiso 012</t>
        </is>
      </c>
      <c r="L388" t="inlineStr">
        <is>
          <t>-1</t>
        </is>
      </c>
      <c r="M388" t="n">
        <v>742.6313686750223</v>
      </c>
      <c r="N388" t="n">
        <v>0</v>
      </c>
      <c r="O388" t="inlineStr">
        <is>
          <t>3</t>
        </is>
      </c>
      <c r="P388" s="2" t="n">
        <v>44999.6862684375</v>
      </c>
      <c r="Q388" t="n">
        <v>13</v>
      </c>
      <c r="R388" t="inlineStr">
        <is>
          <t>MELIPILLA 220</t>
        </is>
      </c>
      <c r="S388" t="n">
        <v>673.2984968552244</v>
      </c>
      <c r="T388" t="n">
        <v>61630.48195177295</v>
      </c>
      <c r="U388" t="n">
        <v>0</v>
      </c>
      <c r="V388" t="n">
        <v>0</v>
      </c>
      <c r="W388" t="inlineStr">
        <is>
          <t>CHILQUINTA</t>
        </is>
      </c>
      <c r="X388" t="n">
        <v>97.37782396384</v>
      </c>
      <c r="Y388" t="n">
        <v>61.63048195177294</v>
      </c>
      <c r="Z388" t="n">
        <v>65564.34250188612</v>
      </c>
      <c r="AA388" t="n">
        <v>0</v>
      </c>
      <c r="AB388" t="n">
        <v>0</v>
      </c>
      <c r="AC388" t="n">
        <v>0</v>
      </c>
      <c r="AD388" s="2" t="n">
        <v>44562</v>
      </c>
    </row>
    <row r="389">
      <c r="A389" t="n">
        <v>-1</v>
      </c>
      <c r="B389" t="inlineStr">
        <is>
          <t>01-01-2022</t>
        </is>
      </c>
      <c r="C389" t="n">
        <v>2022</v>
      </c>
      <c r="D389" t="n">
        <v>1</v>
      </c>
      <c r="E389" t="inlineStr">
        <is>
          <t>Valparaiso 012</t>
        </is>
      </c>
      <c r="F389" t="inlineStr">
        <is>
          <t>Chilquinta</t>
        </is>
      </c>
      <c r="G389" t="inlineStr">
        <is>
          <t>Chilquinta</t>
        </is>
      </c>
      <c r="H389" t="inlineStr">
        <is>
          <t>Empresa Eléctrica Carén S.A.</t>
        </is>
      </c>
      <c r="I389" t="inlineStr">
        <is>
          <t>Empresa Eléctrica Carén S.A.</t>
        </is>
      </c>
      <c r="J389" t="inlineStr">
        <is>
          <t>SIC 2013/03_2_BS1B_BB_CHILQUINTA_Empresa Eléctrica Carén S.A.</t>
        </is>
      </c>
      <c r="K389" t="inlineStr">
        <is>
          <t>Valparaiso 012</t>
        </is>
      </c>
      <c r="L389" t="inlineStr">
        <is>
          <t>-1</t>
        </is>
      </c>
      <c r="M389" t="n">
        <v>742.6313686750223</v>
      </c>
      <c r="N389" t="n">
        <v>0</v>
      </c>
      <c r="O389" t="inlineStr">
        <is>
          <t>3</t>
        </is>
      </c>
      <c r="P389" s="2" t="n">
        <v>44999.6862684375</v>
      </c>
      <c r="Q389" t="n">
        <v>5</v>
      </c>
      <c r="R389" t="inlineStr">
        <is>
          <t>NOGALES 220</t>
        </is>
      </c>
      <c r="S389" t="n">
        <v>17.19238745869333</v>
      </c>
      <c r="T389" t="n">
        <v>1620.099689886791</v>
      </c>
      <c r="U389" t="n">
        <v>0</v>
      </c>
      <c r="V389" t="n">
        <v>0</v>
      </c>
      <c r="W389" t="inlineStr">
        <is>
          <t>CHILQUINTA</t>
        </is>
      </c>
      <c r="X389" t="n">
        <v>100.24845662251</v>
      </c>
      <c r="Y389" t="n">
        <v>1.62009968988679</v>
      </c>
      <c r="Z389" t="n">
        <v>1723.510308390203</v>
      </c>
      <c r="AA389" t="n">
        <v>0</v>
      </c>
      <c r="AB389" t="n">
        <v>0</v>
      </c>
      <c r="AC389" t="n">
        <v>0</v>
      </c>
      <c r="AD389" s="2" t="n">
        <v>44562</v>
      </c>
    </row>
    <row r="390">
      <c r="A390" t="n">
        <v>-1</v>
      </c>
      <c r="B390" t="inlineStr">
        <is>
          <t>01-01-2022</t>
        </is>
      </c>
      <c r="C390" t="n">
        <v>2022</v>
      </c>
      <c r="D390" t="n">
        <v>1</v>
      </c>
      <c r="E390" t="inlineStr">
        <is>
          <t>Valparaiso 012</t>
        </is>
      </c>
      <c r="F390" t="inlineStr">
        <is>
          <t>Chilquinta</t>
        </is>
      </c>
      <c r="G390" t="inlineStr">
        <is>
          <t>Chilquinta</t>
        </is>
      </c>
      <c r="H390" t="inlineStr">
        <is>
          <t>Empresa Eléctrica Carén S.A.</t>
        </is>
      </c>
      <c r="I390" t="inlineStr">
        <is>
          <t>Empresa Eléctrica Carén S.A.</t>
        </is>
      </c>
      <c r="J390" t="inlineStr">
        <is>
          <t>SIC 2013/03_2_BS1B_BB_CHILQUINTA_Empresa Eléctrica Carén S.A.</t>
        </is>
      </c>
      <c r="K390" t="inlineStr">
        <is>
          <t>Valparaiso 012</t>
        </is>
      </c>
      <c r="L390" t="inlineStr">
        <is>
          <t>-1</t>
        </is>
      </c>
      <c r="M390" t="n">
        <v>742.6313686750223</v>
      </c>
      <c r="N390" t="n">
        <v>0</v>
      </c>
      <c r="O390" t="inlineStr">
        <is>
          <t>3</t>
        </is>
      </c>
      <c r="P390" s="2" t="n">
        <v>44999.6862684375</v>
      </c>
      <c r="Q390" t="n">
        <v>11</v>
      </c>
      <c r="R390" t="inlineStr">
        <is>
          <t>QUILLOTA 220</t>
        </is>
      </c>
      <c r="S390" t="n">
        <v>62.98783623804702</v>
      </c>
      <c r="T390" t="n">
        <v>5751.80538181655</v>
      </c>
      <c r="U390" t="n">
        <v>0</v>
      </c>
      <c r="V390" t="n">
        <v>0</v>
      </c>
      <c r="W390" t="inlineStr">
        <is>
          <t>CHILQUINTA</t>
        </is>
      </c>
      <c r="X390" t="n">
        <v>97.14481812686</v>
      </c>
      <c r="Y390" t="n">
        <v>5.751805381816549</v>
      </c>
      <c r="Z390" t="n">
        <v>6118.941895549521</v>
      </c>
      <c r="AA390" t="n">
        <v>0</v>
      </c>
      <c r="AB390" t="n">
        <v>0</v>
      </c>
      <c r="AC390" t="n">
        <v>0</v>
      </c>
      <c r="AD390" s="2" t="n">
        <v>44562</v>
      </c>
    </row>
    <row r="391">
      <c r="A391" t="n">
        <v>-1</v>
      </c>
      <c r="B391" t="inlineStr">
        <is>
          <t>01-02-2022</t>
        </is>
      </c>
      <c r="C391" t="n">
        <v>2022</v>
      </c>
      <c r="D391" t="n">
        <v>2</v>
      </c>
      <c r="E391" t="inlineStr">
        <is>
          <t>Bosquemar 012</t>
        </is>
      </c>
      <c r="F391" t="inlineStr">
        <is>
          <t>Chilquinta</t>
        </is>
      </c>
      <c r="G391" t="inlineStr">
        <is>
          <t>Chilquinta</t>
        </is>
      </c>
      <c r="H391" t="inlineStr">
        <is>
          <t>Empresa Eléctrica Carén S.A.</t>
        </is>
      </c>
      <c r="I391" t="inlineStr">
        <is>
          <t>Empresa Eléctrica Carén S.A.</t>
        </is>
      </c>
      <c r="J391" t="inlineStr">
        <is>
          <t>SIC 2013/03_2_BS1B_BB_CHILQUINTA_Empresa Eléctrica Carén S.A.</t>
        </is>
      </c>
      <c r="K391" t="inlineStr">
        <is>
          <t>Bosquemar 012</t>
        </is>
      </c>
      <c r="L391" t="inlineStr">
        <is>
          <t>-1</t>
        </is>
      </c>
      <c r="M391" t="n">
        <v>385.0591880976808</v>
      </c>
      <c r="N391" t="n">
        <v>0</v>
      </c>
      <c r="O391" t="inlineStr">
        <is>
          <t>3</t>
        </is>
      </c>
      <c r="P391" s="2" t="n">
        <v>44999.6862684375</v>
      </c>
      <c r="Q391" t="n">
        <v>31</v>
      </c>
      <c r="R391" t="inlineStr">
        <is>
          <t>LOS MAQUIS 220</t>
        </is>
      </c>
      <c r="S391" t="n">
        <v>41.64128981793741</v>
      </c>
      <c r="T391" t="n">
        <v>3769.687571476883</v>
      </c>
      <c r="U391" t="n">
        <v>0</v>
      </c>
      <c r="V391" t="n">
        <v>0</v>
      </c>
      <c r="W391" t="inlineStr">
        <is>
          <t>CHILQUINTA</t>
        </is>
      </c>
      <c r="X391" t="n">
        <v>96.30599687562001</v>
      </c>
      <c r="Y391" t="n">
        <v>3.769687571476883</v>
      </c>
      <c r="Z391" t="n">
        <v>4010.305927103068</v>
      </c>
      <c r="AA391" t="n">
        <v>0</v>
      </c>
      <c r="AB391" t="n">
        <v>0</v>
      </c>
      <c r="AC391" t="n">
        <v>0</v>
      </c>
      <c r="AD391" s="2" t="n">
        <v>44593</v>
      </c>
    </row>
    <row r="392">
      <c r="A392" t="n">
        <v>-1</v>
      </c>
      <c r="B392" t="inlineStr">
        <is>
          <t>01-02-2022</t>
        </is>
      </c>
      <c r="C392" t="n">
        <v>2022</v>
      </c>
      <c r="D392" t="n">
        <v>2</v>
      </c>
      <c r="E392" t="inlineStr">
        <is>
          <t>Bosquemar 012</t>
        </is>
      </c>
      <c r="F392" t="inlineStr">
        <is>
          <t>Chilquinta</t>
        </is>
      </c>
      <c r="G392" t="inlineStr">
        <is>
          <t>Chilquinta</t>
        </is>
      </c>
      <c r="H392" t="inlineStr">
        <is>
          <t>Empresa Eléctrica Carén S.A.</t>
        </is>
      </c>
      <c r="I392" t="inlineStr">
        <is>
          <t>Empresa Eléctrica Carén S.A.</t>
        </is>
      </c>
      <c r="J392" t="inlineStr">
        <is>
          <t>SIC 2013/03_2_BS1B_BB_CHILQUINTA_Empresa Eléctrica Carén S.A.</t>
        </is>
      </c>
      <c r="K392" t="inlineStr">
        <is>
          <t>Bosquemar 012</t>
        </is>
      </c>
      <c r="L392" t="inlineStr">
        <is>
          <t>-1</t>
        </is>
      </c>
      <c r="M392" t="n">
        <v>385.0591880976808</v>
      </c>
      <c r="N392" t="n">
        <v>0</v>
      </c>
      <c r="O392" t="inlineStr">
        <is>
          <t>3</t>
        </is>
      </c>
      <c r="P392" s="2" t="n">
        <v>44999.6862684375</v>
      </c>
      <c r="Q392" t="n">
        <v>13</v>
      </c>
      <c r="R392" t="inlineStr">
        <is>
          <t>MELIPILLA 220</t>
        </is>
      </c>
      <c r="S392" t="n">
        <v>64.59845168903425</v>
      </c>
      <c r="T392" t="n">
        <v>5913.029257496715</v>
      </c>
      <c r="U392" t="n">
        <v>0</v>
      </c>
      <c r="V392" t="n">
        <v>0</v>
      </c>
      <c r="W392" t="inlineStr">
        <is>
          <t>CHILQUINTA</t>
        </is>
      </c>
      <c r="X392" t="n">
        <v>97.37782396384</v>
      </c>
      <c r="Y392" t="n">
        <v>5.913029257496715</v>
      </c>
      <c r="Z392" t="n">
        <v>6290.456656911399</v>
      </c>
      <c r="AA392" t="n">
        <v>0</v>
      </c>
      <c r="AB392" t="n">
        <v>0</v>
      </c>
      <c r="AC392" t="n">
        <v>0</v>
      </c>
      <c r="AD392" s="2" t="n">
        <v>44593</v>
      </c>
    </row>
    <row r="393">
      <c r="A393" t="n">
        <v>-1</v>
      </c>
      <c r="B393" t="inlineStr">
        <is>
          <t>01-02-2022</t>
        </is>
      </c>
      <c r="C393" t="n">
        <v>2022</v>
      </c>
      <c r="D393" t="n">
        <v>2</v>
      </c>
      <c r="E393" t="inlineStr">
        <is>
          <t>Bosquemar 012</t>
        </is>
      </c>
      <c r="F393" t="inlineStr">
        <is>
          <t>Chilquinta</t>
        </is>
      </c>
      <c r="G393" t="inlineStr">
        <is>
          <t>Chilquinta</t>
        </is>
      </c>
      <c r="H393" t="inlineStr">
        <is>
          <t>Empresa Eléctrica Carén S.A.</t>
        </is>
      </c>
      <c r="I393" t="inlineStr">
        <is>
          <t>Empresa Eléctrica Carén S.A.</t>
        </is>
      </c>
      <c r="J393" t="inlineStr">
        <is>
          <t>SIC 2013/03_2_BS1B_BB_CHILQUINTA_Empresa Eléctrica Carén S.A.</t>
        </is>
      </c>
      <c r="K393" t="inlineStr">
        <is>
          <t>Bosquemar 012</t>
        </is>
      </c>
      <c r="L393" t="inlineStr">
        <is>
          <t>-1</t>
        </is>
      </c>
      <c r="M393" t="n">
        <v>385.0591880976808</v>
      </c>
      <c r="N393" t="n">
        <v>0</v>
      </c>
      <c r="O393" t="inlineStr">
        <is>
          <t>3</t>
        </is>
      </c>
      <c r="P393" s="2" t="n">
        <v>44999.6862684375</v>
      </c>
      <c r="Q393" t="n">
        <v>5</v>
      </c>
      <c r="R393" t="inlineStr">
        <is>
          <t>NOGALES 220</t>
        </is>
      </c>
      <c r="S393" t="n">
        <v>70.76445152227519</v>
      </c>
      <c r="T393" t="n">
        <v>6668.385425915725</v>
      </c>
      <c r="U393" t="n">
        <v>0</v>
      </c>
      <c r="V393" t="n">
        <v>0</v>
      </c>
      <c r="W393" t="inlineStr">
        <is>
          <t>CHILQUINTA</t>
        </is>
      </c>
      <c r="X393" t="n">
        <v>100.24845662251</v>
      </c>
      <c r="Y393" t="n">
        <v>6.668385425915726</v>
      </c>
      <c r="Z393" t="n">
        <v>7094.027048846517</v>
      </c>
      <c r="AA393" t="n">
        <v>0</v>
      </c>
      <c r="AB393" t="n">
        <v>0</v>
      </c>
      <c r="AC393" t="n">
        <v>0</v>
      </c>
      <c r="AD393" s="2" t="n">
        <v>44593</v>
      </c>
    </row>
    <row r="394">
      <c r="A394" t="n">
        <v>-1</v>
      </c>
      <c r="B394" t="inlineStr">
        <is>
          <t>01-02-2022</t>
        </is>
      </c>
      <c r="C394" t="n">
        <v>2022</v>
      </c>
      <c r="D394" t="n">
        <v>2</v>
      </c>
      <c r="E394" t="inlineStr">
        <is>
          <t>Bosquemar 012</t>
        </is>
      </c>
      <c r="F394" t="inlineStr">
        <is>
          <t>Chilquinta</t>
        </is>
      </c>
      <c r="G394" t="inlineStr">
        <is>
          <t>Chilquinta</t>
        </is>
      </c>
      <c r="H394" t="inlineStr">
        <is>
          <t>Empresa Eléctrica Carén S.A.</t>
        </is>
      </c>
      <c r="I394" t="inlineStr">
        <is>
          <t>Empresa Eléctrica Carén S.A.</t>
        </is>
      </c>
      <c r="J394" t="inlineStr">
        <is>
          <t>SIC 2013/03_2_BS1B_BB_CHILQUINTA_Empresa Eléctrica Carén S.A.</t>
        </is>
      </c>
      <c r="K394" t="inlineStr">
        <is>
          <t>Bosquemar 012</t>
        </is>
      </c>
      <c r="L394" t="inlineStr">
        <is>
          <t>-1</t>
        </is>
      </c>
      <c r="M394" t="n">
        <v>385.0591880976808</v>
      </c>
      <c r="N394" t="n">
        <v>0</v>
      </c>
      <c r="O394" t="inlineStr">
        <is>
          <t>3</t>
        </is>
      </c>
      <c r="P394" s="2" t="n">
        <v>44999.6862684375</v>
      </c>
      <c r="Q394" t="n">
        <v>11</v>
      </c>
      <c r="R394" t="inlineStr">
        <is>
          <t>QUILLOTA 220</t>
        </is>
      </c>
      <c r="S394" t="n">
        <v>219.0137795616938</v>
      </c>
      <c r="T394" t="n">
        <v>19999.49055582914</v>
      </c>
      <c r="U394" t="n">
        <v>0</v>
      </c>
      <c r="V394" t="n">
        <v>0</v>
      </c>
      <c r="W394" t="inlineStr">
        <is>
          <t>CHILQUINTA</t>
        </is>
      </c>
      <c r="X394" t="n">
        <v>97.14481812686002</v>
      </c>
      <c r="Y394" t="n">
        <v>19.99949055582914</v>
      </c>
      <c r="Z394" t="n">
        <v>21276.05378279696</v>
      </c>
      <c r="AA394" t="n">
        <v>0</v>
      </c>
      <c r="AB394" t="n">
        <v>0</v>
      </c>
      <c r="AC394" t="n">
        <v>0</v>
      </c>
      <c r="AD394" s="2" t="n">
        <v>44593</v>
      </c>
    </row>
    <row r="395">
      <c r="A395" t="n">
        <v>-1</v>
      </c>
      <c r="B395" t="inlineStr">
        <is>
          <t>01-02-2022</t>
        </is>
      </c>
      <c r="C395" t="n">
        <v>2022</v>
      </c>
      <c r="D395" t="n">
        <v>2</v>
      </c>
      <c r="E395" t="inlineStr">
        <is>
          <t>Casablanca 012</t>
        </is>
      </c>
      <c r="F395" t="inlineStr">
        <is>
          <t>Chilquinta</t>
        </is>
      </c>
      <c r="G395" t="inlineStr">
        <is>
          <t>Chilquinta</t>
        </is>
      </c>
      <c r="H395" t="inlineStr">
        <is>
          <t>Empresa Eléctrica Carén S.A.</t>
        </is>
      </c>
      <c r="I395" t="inlineStr">
        <is>
          <t>Empresa Eléctrica Carén S.A.</t>
        </is>
      </c>
      <c r="J395" t="inlineStr">
        <is>
          <t>SIC 2013/03_2_BS1B_BB_CHILQUINTA_Empresa Eléctrica Carén S.A.</t>
        </is>
      </c>
      <c r="K395" t="inlineStr">
        <is>
          <t>Casablanca 012</t>
        </is>
      </c>
      <c r="L395" t="inlineStr">
        <is>
          <t>-1</t>
        </is>
      </c>
      <c r="M395" t="n">
        <v>3.242317823760014</v>
      </c>
      <c r="N395" t="n">
        <v>0</v>
      </c>
      <c r="O395" t="inlineStr">
        <is>
          <t>3</t>
        </is>
      </c>
      <c r="P395" s="2" t="n">
        <v>44999.6862684375</v>
      </c>
      <c r="Q395" t="n">
        <v>31</v>
      </c>
      <c r="R395" t="inlineStr">
        <is>
          <t>LOS MAQUIS 220</t>
        </is>
      </c>
      <c r="S395" t="n">
        <v>0.005568772295670453</v>
      </c>
      <c r="T395" t="n">
        <v>0.5041277972694053</v>
      </c>
      <c r="U395" t="n">
        <v>0</v>
      </c>
      <c r="V395" t="n">
        <v>0</v>
      </c>
      <c r="W395" t="inlineStr">
        <is>
          <t>CHILQUINTA</t>
        </is>
      </c>
      <c r="X395" t="n">
        <v>96.30599687562</v>
      </c>
      <c r="Y395" t="n">
        <v>0.0005041277972694051</v>
      </c>
      <c r="Z395" t="n">
        <v>0.5363061673078779</v>
      </c>
      <c r="AA395" t="n">
        <v>0</v>
      </c>
      <c r="AB395" t="n">
        <v>0</v>
      </c>
      <c r="AC395" t="n">
        <v>0</v>
      </c>
      <c r="AD395" s="2" t="n">
        <v>44593</v>
      </c>
    </row>
    <row r="396">
      <c r="A396" t="n">
        <v>-1</v>
      </c>
      <c r="B396" t="inlineStr">
        <is>
          <t>01-02-2022</t>
        </is>
      </c>
      <c r="C396" t="n">
        <v>2022</v>
      </c>
      <c r="D396" t="n">
        <v>2</v>
      </c>
      <c r="E396" t="inlineStr">
        <is>
          <t>Casablanca 012</t>
        </is>
      </c>
      <c r="F396" t="inlineStr">
        <is>
          <t>Chilquinta</t>
        </is>
      </c>
      <c r="G396" t="inlineStr">
        <is>
          <t>Chilquinta</t>
        </is>
      </c>
      <c r="H396" t="inlineStr">
        <is>
          <t>Empresa Eléctrica Carén S.A.</t>
        </is>
      </c>
      <c r="I396" t="inlineStr">
        <is>
          <t>Empresa Eléctrica Carén S.A.</t>
        </is>
      </c>
      <c r="J396" t="inlineStr">
        <is>
          <t>SIC 2013/03_2_BS1B_BB_CHILQUINTA_Empresa Eléctrica Carén S.A.</t>
        </is>
      </c>
      <c r="K396" t="inlineStr">
        <is>
          <t>Casablanca 012</t>
        </is>
      </c>
      <c r="L396" t="inlineStr">
        <is>
          <t>-1</t>
        </is>
      </c>
      <c r="M396" t="n">
        <v>3.242317823760014</v>
      </c>
      <c r="N396" t="n">
        <v>0</v>
      </c>
      <c r="O396" t="inlineStr">
        <is>
          <t>3</t>
        </is>
      </c>
      <c r="P396" s="2" t="n">
        <v>44999.6862684375</v>
      </c>
      <c r="Q396" t="n">
        <v>13</v>
      </c>
      <c r="R396" t="inlineStr">
        <is>
          <t>MELIPILLA 220</t>
        </is>
      </c>
      <c r="S396" t="n">
        <v>3.274804915215019</v>
      </c>
      <c r="T396" t="n">
        <v>299.7597739567425</v>
      </c>
      <c r="U396" t="n">
        <v>0</v>
      </c>
      <c r="V396" t="n">
        <v>0</v>
      </c>
      <c r="W396" t="inlineStr">
        <is>
          <t>CHILQUINTA</t>
        </is>
      </c>
      <c r="X396" t="n">
        <v>97.37782396384</v>
      </c>
      <c r="Y396" t="n">
        <v>0.2997597739567426</v>
      </c>
      <c r="Z396" t="n">
        <v>318.8933765497261</v>
      </c>
      <c r="AA396" t="n">
        <v>0</v>
      </c>
      <c r="AB396" t="n">
        <v>0</v>
      </c>
      <c r="AC396" t="n">
        <v>0</v>
      </c>
      <c r="AD396" s="2" t="n">
        <v>44593</v>
      </c>
    </row>
    <row r="397">
      <c r="A397" t="n">
        <v>-1</v>
      </c>
      <c r="B397" t="inlineStr">
        <is>
          <t>01-02-2022</t>
        </is>
      </c>
      <c r="C397" t="n">
        <v>2022</v>
      </c>
      <c r="D397" t="n">
        <v>2</v>
      </c>
      <c r="E397" t="inlineStr">
        <is>
          <t>Casablanca 012</t>
        </is>
      </c>
      <c r="F397" t="inlineStr">
        <is>
          <t>Chilquinta</t>
        </is>
      </c>
      <c r="G397" t="inlineStr">
        <is>
          <t>Chilquinta</t>
        </is>
      </c>
      <c r="H397" t="inlineStr">
        <is>
          <t>Empresa Eléctrica Carén S.A.</t>
        </is>
      </c>
      <c r="I397" t="inlineStr">
        <is>
          <t>Empresa Eléctrica Carén S.A.</t>
        </is>
      </c>
      <c r="J397" t="inlineStr">
        <is>
          <t>SIC 2013/03_2_BS1B_BB_CHILQUINTA_Empresa Eléctrica Carén S.A.</t>
        </is>
      </c>
      <c r="K397" t="inlineStr">
        <is>
          <t>Casablanca 012</t>
        </is>
      </c>
      <c r="L397" t="inlineStr">
        <is>
          <t>-1</t>
        </is>
      </c>
      <c r="M397" t="n">
        <v>3.242317823760014</v>
      </c>
      <c r="N397" t="n">
        <v>0</v>
      </c>
      <c r="O397" t="inlineStr">
        <is>
          <t>3</t>
        </is>
      </c>
      <c r="P397" s="2" t="n">
        <v>44999.6862684375</v>
      </c>
      <c r="Q397" t="n">
        <v>5</v>
      </c>
      <c r="R397" t="inlineStr">
        <is>
          <t>NOGALES 220</t>
        </is>
      </c>
      <c r="S397" t="n">
        <v>0.01087077705621897</v>
      </c>
      <c r="T397" t="n">
        <v>1.024391904842944</v>
      </c>
      <c r="U397" t="n">
        <v>0</v>
      </c>
      <c r="V397" t="n">
        <v>0</v>
      </c>
      <c r="W397" t="inlineStr">
        <is>
          <t>CHILQUINTA</t>
        </is>
      </c>
      <c r="X397" t="n">
        <v>100.24845662251</v>
      </c>
      <c r="Y397" t="n">
        <v>0.001024391904842944</v>
      </c>
      <c r="Z397" t="n">
        <v>1.089778622173344</v>
      </c>
      <c r="AA397" t="n">
        <v>0</v>
      </c>
      <c r="AB397" t="n">
        <v>0</v>
      </c>
      <c r="AC397" t="n">
        <v>0</v>
      </c>
      <c r="AD397" s="2" t="n">
        <v>44593</v>
      </c>
    </row>
    <row r="398">
      <c r="A398" t="n">
        <v>-1</v>
      </c>
      <c r="B398" t="inlineStr">
        <is>
          <t>01-02-2022</t>
        </is>
      </c>
      <c r="C398" t="n">
        <v>2022</v>
      </c>
      <c r="D398" t="n">
        <v>2</v>
      </c>
      <c r="E398" t="inlineStr">
        <is>
          <t>Casablanca 012</t>
        </is>
      </c>
      <c r="F398" t="inlineStr">
        <is>
          <t>Chilquinta</t>
        </is>
      </c>
      <c r="G398" t="inlineStr">
        <is>
          <t>Chilquinta</t>
        </is>
      </c>
      <c r="H398" t="inlineStr">
        <is>
          <t>Empresa Eléctrica Carén S.A.</t>
        </is>
      </c>
      <c r="I398" t="inlineStr">
        <is>
          <t>Empresa Eléctrica Carén S.A.</t>
        </is>
      </c>
      <c r="J398" t="inlineStr">
        <is>
          <t>SIC 2013/03_2_BS1B_BB_CHILQUINTA_Empresa Eléctrica Carén S.A.</t>
        </is>
      </c>
      <c r="K398" t="inlineStr">
        <is>
          <t>Casablanca 012</t>
        </is>
      </c>
      <c r="L398" t="inlineStr">
        <is>
          <t>-1</t>
        </is>
      </c>
      <c r="M398" t="n">
        <v>3.242317823760014</v>
      </c>
      <c r="N398" t="n">
        <v>0</v>
      </c>
      <c r="O398" t="inlineStr">
        <is>
          <t>3</t>
        </is>
      </c>
      <c r="P398" s="2" t="n">
        <v>44999.6862684375</v>
      </c>
      <c r="Q398" t="n">
        <v>11</v>
      </c>
      <c r="R398" t="inlineStr">
        <is>
          <t>QUILLOTA 220</t>
        </is>
      </c>
      <c r="S398" t="n">
        <v>0.04334972445731491</v>
      </c>
      <c r="T398" t="n">
        <v>3.958529032360031</v>
      </c>
      <c r="U398" t="n">
        <v>0</v>
      </c>
      <c r="V398" t="n">
        <v>0</v>
      </c>
      <c r="W398" t="inlineStr">
        <is>
          <t>CHILQUINTA</t>
        </is>
      </c>
      <c r="X398" t="n">
        <v>97.14481812686</v>
      </c>
      <c r="Y398" t="n">
        <v>0.00395852903236003</v>
      </c>
      <c r="Z398" t="n">
        <v>4.211201098255352</v>
      </c>
      <c r="AA398" t="n">
        <v>0</v>
      </c>
      <c r="AB398" t="n">
        <v>0</v>
      </c>
      <c r="AC398" t="n">
        <v>0</v>
      </c>
      <c r="AD398" s="2" t="n">
        <v>44593</v>
      </c>
    </row>
    <row r="399">
      <c r="A399" t="n">
        <v>-1</v>
      </c>
      <c r="B399" t="inlineStr">
        <is>
          <t>01-02-2022</t>
        </is>
      </c>
      <c r="C399" t="n">
        <v>2022</v>
      </c>
      <c r="D399" t="n">
        <v>2</v>
      </c>
      <c r="E399" t="inlineStr">
        <is>
          <t>Catemu 012</t>
        </is>
      </c>
      <c r="F399" t="inlineStr">
        <is>
          <t>Chilquinta</t>
        </is>
      </c>
      <c r="G399" t="inlineStr">
        <is>
          <t>Chilquinta</t>
        </is>
      </c>
      <c r="H399" t="inlineStr">
        <is>
          <t>Empresa Eléctrica Carén S.A.</t>
        </is>
      </c>
      <c r="I399" t="inlineStr">
        <is>
          <t>Empresa Eléctrica Carén S.A.</t>
        </is>
      </c>
      <c r="J399" t="inlineStr">
        <is>
          <t>SIC 2013/03_2_BS1B_BB_CHILQUINTA_Empresa Eléctrica Carén S.A.</t>
        </is>
      </c>
      <c r="K399" t="inlineStr">
        <is>
          <t>Catemu 012</t>
        </is>
      </c>
      <c r="L399" t="inlineStr">
        <is>
          <t>-1</t>
        </is>
      </c>
      <c r="M399" t="n">
        <v>175.0712862279468</v>
      </c>
      <c r="N399" t="n">
        <v>0</v>
      </c>
      <c r="O399" t="inlineStr">
        <is>
          <t>3</t>
        </is>
      </c>
      <c r="P399" s="2" t="n">
        <v>44999.6862684375</v>
      </c>
      <c r="Q399" t="n">
        <v>31</v>
      </c>
      <c r="R399" t="inlineStr">
        <is>
          <t>LOS MAQUIS 220</t>
        </is>
      </c>
      <c r="S399" t="n">
        <v>74.52787511887087</v>
      </c>
      <c r="T399" t="n">
        <v>6746.832429843899</v>
      </c>
      <c r="U399" t="n">
        <v>0</v>
      </c>
      <c r="V399" t="n">
        <v>0</v>
      </c>
      <c r="W399" t="inlineStr">
        <is>
          <t>CHILQUINTA</t>
        </is>
      </c>
      <c r="X399" t="n">
        <v>96.30599687561998</v>
      </c>
      <c r="Y399" t="n">
        <v>6.7468324298439</v>
      </c>
      <c r="Z399" t="n">
        <v>7177.481308344574</v>
      </c>
      <c r="AA399" t="n">
        <v>0</v>
      </c>
      <c r="AB399" t="n">
        <v>0</v>
      </c>
      <c r="AC399" t="n">
        <v>0</v>
      </c>
      <c r="AD399" s="2" t="n">
        <v>44593</v>
      </c>
    </row>
    <row r="400">
      <c r="A400" t="n">
        <v>-1</v>
      </c>
      <c r="B400" t="inlineStr">
        <is>
          <t>01-02-2022</t>
        </is>
      </c>
      <c r="C400" t="n">
        <v>2022</v>
      </c>
      <c r="D400" t="n">
        <v>2</v>
      </c>
      <c r="E400" t="inlineStr">
        <is>
          <t>Catemu 012</t>
        </is>
      </c>
      <c r="F400" t="inlineStr">
        <is>
          <t>Chilquinta</t>
        </is>
      </c>
      <c r="G400" t="inlineStr">
        <is>
          <t>Chilquinta</t>
        </is>
      </c>
      <c r="H400" t="inlineStr">
        <is>
          <t>Empresa Eléctrica Carén S.A.</t>
        </is>
      </c>
      <c r="I400" t="inlineStr">
        <is>
          <t>Empresa Eléctrica Carén S.A.</t>
        </is>
      </c>
      <c r="J400" t="inlineStr">
        <is>
          <t>SIC 2013/03_2_BS1B_BB_CHILQUINTA_Empresa Eléctrica Carén S.A.</t>
        </is>
      </c>
      <c r="K400" t="inlineStr">
        <is>
          <t>Catemu 012</t>
        </is>
      </c>
      <c r="L400" t="inlineStr">
        <is>
          <t>-1</t>
        </is>
      </c>
      <c r="M400" t="n">
        <v>175.0712862279468</v>
      </c>
      <c r="N400" t="n">
        <v>0</v>
      </c>
      <c r="O400" t="inlineStr">
        <is>
          <t>3</t>
        </is>
      </c>
      <c r="P400" s="2" t="n">
        <v>44999.6862684375</v>
      </c>
      <c r="Q400" t="n">
        <v>13</v>
      </c>
      <c r="R400" t="inlineStr">
        <is>
          <t>MELIPILLA 220</t>
        </is>
      </c>
      <c r="S400" t="n">
        <v>9.429418293330274</v>
      </c>
      <c r="T400" t="n">
        <v>863.1232605703683</v>
      </c>
      <c r="U400" t="n">
        <v>0</v>
      </c>
      <c r="V400" t="n">
        <v>0</v>
      </c>
      <c r="W400" t="inlineStr">
        <is>
          <t>CHILQUINTA</t>
        </is>
      </c>
      <c r="X400" t="n">
        <v>97.37782396384</v>
      </c>
      <c r="Y400" t="n">
        <v>0.8631232605703683</v>
      </c>
      <c r="Z400" t="n">
        <v>918.216234649328</v>
      </c>
      <c r="AA400" t="n">
        <v>0</v>
      </c>
      <c r="AB400" t="n">
        <v>0</v>
      </c>
      <c r="AC400" t="n">
        <v>0</v>
      </c>
      <c r="AD400" s="2" t="n">
        <v>44593</v>
      </c>
    </row>
    <row r="401">
      <c r="A401" t="n">
        <v>-1</v>
      </c>
      <c r="B401" t="inlineStr">
        <is>
          <t>01-02-2022</t>
        </is>
      </c>
      <c r="C401" t="n">
        <v>2022</v>
      </c>
      <c r="D401" t="n">
        <v>2</v>
      </c>
      <c r="E401" t="inlineStr">
        <is>
          <t>Catemu 012</t>
        </is>
      </c>
      <c r="F401" t="inlineStr">
        <is>
          <t>Chilquinta</t>
        </is>
      </c>
      <c r="G401" t="inlineStr">
        <is>
          <t>Chilquinta</t>
        </is>
      </c>
      <c r="H401" t="inlineStr">
        <is>
          <t>Empresa Eléctrica Carén S.A.</t>
        </is>
      </c>
      <c r="I401" t="inlineStr">
        <is>
          <t>Empresa Eléctrica Carén S.A.</t>
        </is>
      </c>
      <c r="J401" t="inlineStr">
        <is>
          <t>SIC 2013/03_2_BS1B_BB_CHILQUINTA_Empresa Eléctrica Carén S.A.</t>
        </is>
      </c>
      <c r="K401" t="inlineStr">
        <is>
          <t>Catemu 012</t>
        </is>
      </c>
      <c r="L401" t="inlineStr">
        <is>
          <t>-1</t>
        </is>
      </c>
      <c r="M401" t="n">
        <v>175.0712862279468</v>
      </c>
      <c r="N401" t="n">
        <v>0</v>
      </c>
      <c r="O401" t="inlineStr">
        <is>
          <t>3</t>
        </is>
      </c>
      <c r="P401" s="2" t="n">
        <v>44999.6862684375</v>
      </c>
      <c r="Q401" t="n">
        <v>5</v>
      </c>
      <c r="R401" t="inlineStr">
        <is>
          <t>NOGALES 220</t>
        </is>
      </c>
      <c r="S401" t="n">
        <v>20.16062566935632</v>
      </c>
      <c r="T401" t="n">
        <v>1899.807311423301</v>
      </c>
      <c r="U401" t="n">
        <v>0</v>
      </c>
      <c r="V401" t="n">
        <v>0</v>
      </c>
      <c r="W401" t="inlineStr">
        <is>
          <t>CHILQUINTA</t>
        </is>
      </c>
      <c r="X401" t="n">
        <v>100.24845662251</v>
      </c>
      <c r="Y401" t="n">
        <v>1.899807311423301</v>
      </c>
      <c r="Z401" t="n">
        <v>2021.071607897129</v>
      </c>
      <c r="AA401" t="n">
        <v>0</v>
      </c>
      <c r="AB401" t="n">
        <v>0</v>
      </c>
      <c r="AC401" t="n">
        <v>0</v>
      </c>
      <c r="AD401" s="2" t="n">
        <v>44593</v>
      </c>
    </row>
    <row r="402">
      <c r="A402" t="n">
        <v>-1</v>
      </c>
      <c r="B402" t="inlineStr">
        <is>
          <t>01-02-2022</t>
        </is>
      </c>
      <c r="C402" t="n">
        <v>2022</v>
      </c>
      <c r="D402" t="n">
        <v>2</v>
      </c>
      <c r="E402" t="inlineStr">
        <is>
          <t>Catemu 012</t>
        </is>
      </c>
      <c r="F402" t="inlineStr">
        <is>
          <t>Chilquinta</t>
        </is>
      </c>
      <c r="G402" t="inlineStr">
        <is>
          <t>Chilquinta</t>
        </is>
      </c>
      <c r="H402" t="inlineStr">
        <is>
          <t>Empresa Eléctrica Carén S.A.</t>
        </is>
      </c>
      <c r="I402" t="inlineStr">
        <is>
          <t>Empresa Eléctrica Carén S.A.</t>
        </is>
      </c>
      <c r="J402" t="inlineStr">
        <is>
          <t>SIC 2013/03_2_BS1B_BB_CHILQUINTA_Empresa Eléctrica Carén S.A.</t>
        </is>
      </c>
      <c r="K402" t="inlineStr">
        <is>
          <t>Catemu 012</t>
        </is>
      </c>
      <c r="L402" t="inlineStr">
        <is>
          <t>-1</t>
        </is>
      </c>
      <c r="M402" t="n">
        <v>175.0712862279468</v>
      </c>
      <c r="N402" t="n">
        <v>0</v>
      </c>
      <c r="O402" t="inlineStr">
        <is>
          <t>3</t>
        </is>
      </c>
      <c r="P402" s="2" t="n">
        <v>44999.6862684375</v>
      </c>
      <c r="Q402" t="n">
        <v>11</v>
      </c>
      <c r="R402" t="inlineStr">
        <is>
          <t>QUILLOTA 220</t>
        </is>
      </c>
      <c r="S402" t="n">
        <v>75.93589595243668</v>
      </c>
      <c r="T402" t="n">
        <v>6934.172073503649</v>
      </c>
      <c r="U402" t="n">
        <v>0</v>
      </c>
      <c r="V402" t="n">
        <v>0</v>
      </c>
      <c r="W402" t="inlineStr">
        <is>
          <t>CHILQUINTA</t>
        </is>
      </c>
      <c r="X402" t="n">
        <v>97.14481812686</v>
      </c>
      <c r="Y402" t="n">
        <v>6.934172073503648</v>
      </c>
      <c r="Z402" t="n">
        <v>7376.778801599627</v>
      </c>
      <c r="AA402" t="n">
        <v>0</v>
      </c>
      <c r="AB402" t="n">
        <v>0</v>
      </c>
      <c r="AC402" t="n">
        <v>0</v>
      </c>
      <c r="AD402" s="2" t="n">
        <v>44593</v>
      </c>
    </row>
    <row r="403">
      <c r="A403" t="n">
        <v>-1</v>
      </c>
      <c r="B403" t="inlineStr">
        <is>
          <t>01-02-2022</t>
        </is>
      </c>
      <c r="C403" t="n">
        <v>2022</v>
      </c>
      <c r="D403" t="n">
        <v>2</v>
      </c>
      <c r="E403" t="inlineStr">
        <is>
          <t>Con Con 012</t>
        </is>
      </c>
      <c r="F403" t="inlineStr">
        <is>
          <t>Chilquinta</t>
        </is>
      </c>
      <c r="G403" t="inlineStr">
        <is>
          <t>Chilquinta</t>
        </is>
      </c>
      <c r="H403" t="inlineStr">
        <is>
          <t>Empresa Eléctrica Carén S.A.</t>
        </is>
      </c>
      <c r="I403" t="inlineStr">
        <is>
          <t>Empresa Eléctrica Carén S.A.</t>
        </is>
      </c>
      <c r="J403" t="inlineStr">
        <is>
          <t>SIC 2013/03_2_BS1B_BB_CHILQUINTA_Empresa Eléctrica Carén S.A.</t>
        </is>
      </c>
      <c r="K403" t="inlineStr">
        <is>
          <t>Con Con 012</t>
        </is>
      </c>
      <c r="L403" t="inlineStr">
        <is>
          <t>-1</t>
        </is>
      </c>
      <c r="M403" t="n">
        <v>253.5748329934997</v>
      </c>
      <c r="N403" t="n">
        <v>0</v>
      </c>
      <c r="O403" t="inlineStr">
        <is>
          <t>3</t>
        </is>
      </c>
      <c r="P403" s="2" t="n">
        <v>44999.6862684375</v>
      </c>
      <c r="Q403" t="n">
        <v>31</v>
      </c>
      <c r="R403" t="inlineStr">
        <is>
          <t>LOS MAQUIS 220</t>
        </is>
      </c>
      <c r="S403" t="n">
        <v>21.05631158306754</v>
      </c>
      <c r="T403" t="n">
        <v>1906.178132879125</v>
      </c>
      <c r="U403" t="n">
        <v>0</v>
      </c>
      <c r="V403" t="n">
        <v>0</v>
      </c>
      <c r="W403" t="inlineStr">
        <is>
          <t>CHILQUINTA</t>
        </is>
      </c>
      <c r="X403" t="n">
        <v>96.30599687562001</v>
      </c>
      <c r="Y403" t="n">
        <v>1.906178132879125</v>
      </c>
      <c r="Z403" t="n">
        <v>2027.849077530984</v>
      </c>
      <c r="AA403" t="n">
        <v>0</v>
      </c>
      <c r="AB403" t="n">
        <v>0</v>
      </c>
      <c r="AC403" t="n">
        <v>0</v>
      </c>
      <c r="AD403" s="2" t="n">
        <v>44593</v>
      </c>
    </row>
    <row r="404">
      <c r="A404" t="n">
        <v>-1</v>
      </c>
      <c r="B404" t="inlineStr">
        <is>
          <t>01-02-2022</t>
        </is>
      </c>
      <c r="C404" t="n">
        <v>2022</v>
      </c>
      <c r="D404" t="n">
        <v>2</v>
      </c>
      <c r="E404" t="inlineStr">
        <is>
          <t>Con Con 012</t>
        </is>
      </c>
      <c r="F404" t="inlineStr">
        <is>
          <t>Chilquinta</t>
        </is>
      </c>
      <c r="G404" t="inlineStr">
        <is>
          <t>Chilquinta</t>
        </is>
      </c>
      <c r="H404" t="inlineStr">
        <is>
          <t>Empresa Eléctrica Carén S.A.</t>
        </is>
      </c>
      <c r="I404" t="inlineStr">
        <is>
          <t>Empresa Eléctrica Carén S.A.</t>
        </is>
      </c>
      <c r="J404" t="inlineStr">
        <is>
          <t>SIC 2013/03_2_BS1B_BB_CHILQUINTA_Empresa Eléctrica Carén S.A.</t>
        </is>
      </c>
      <c r="K404" t="inlineStr">
        <is>
          <t>Con Con 012</t>
        </is>
      </c>
      <c r="L404" t="inlineStr">
        <is>
          <t>-1</t>
        </is>
      </c>
      <c r="M404" t="n">
        <v>253.5748329934997</v>
      </c>
      <c r="N404" t="n">
        <v>0</v>
      </c>
      <c r="O404" t="inlineStr">
        <is>
          <t>3</t>
        </is>
      </c>
      <c r="P404" s="2" t="n">
        <v>44999.6862684375</v>
      </c>
      <c r="Q404" t="n">
        <v>13</v>
      </c>
      <c r="R404" t="inlineStr">
        <is>
          <t>MELIPILLA 220</t>
        </is>
      </c>
      <c r="S404" t="n">
        <v>41.31460095354917</v>
      </c>
      <c r="T404" t="n">
        <v>3781.738382463547</v>
      </c>
      <c r="U404" t="n">
        <v>0</v>
      </c>
      <c r="V404" t="n">
        <v>0</v>
      </c>
      <c r="W404" t="inlineStr">
        <is>
          <t>CHILQUINTA</t>
        </is>
      </c>
      <c r="X404" t="n">
        <v>97.37782396384</v>
      </c>
      <c r="Y404" t="n">
        <v>3.781738382463547</v>
      </c>
      <c r="Z404" t="n">
        <v>4023.125938791008</v>
      </c>
      <c r="AA404" t="n">
        <v>0</v>
      </c>
      <c r="AB404" t="n">
        <v>0</v>
      </c>
      <c r="AC404" t="n">
        <v>0</v>
      </c>
      <c r="AD404" s="2" t="n">
        <v>44593</v>
      </c>
    </row>
    <row r="405">
      <c r="A405" t="n">
        <v>-1</v>
      </c>
      <c r="B405" t="inlineStr">
        <is>
          <t>01-02-2022</t>
        </is>
      </c>
      <c r="C405" t="n">
        <v>2022</v>
      </c>
      <c r="D405" t="n">
        <v>2</v>
      </c>
      <c r="E405" t="inlineStr">
        <is>
          <t>Con Con 012</t>
        </is>
      </c>
      <c r="F405" t="inlineStr">
        <is>
          <t>Chilquinta</t>
        </is>
      </c>
      <c r="G405" t="inlineStr">
        <is>
          <t>Chilquinta</t>
        </is>
      </c>
      <c r="H405" t="inlineStr">
        <is>
          <t>Empresa Eléctrica Carén S.A.</t>
        </is>
      </c>
      <c r="I405" t="inlineStr">
        <is>
          <t>Empresa Eléctrica Carén S.A.</t>
        </is>
      </c>
      <c r="J405" t="inlineStr">
        <is>
          <t>SIC 2013/03_2_BS1B_BB_CHILQUINTA_Empresa Eléctrica Carén S.A.</t>
        </is>
      </c>
      <c r="K405" t="inlineStr">
        <is>
          <t>Con Con 012</t>
        </is>
      </c>
      <c r="L405" t="inlineStr">
        <is>
          <t>-1</t>
        </is>
      </c>
      <c r="M405" t="n">
        <v>253.5748329934997</v>
      </c>
      <c r="N405" t="n">
        <v>0</v>
      </c>
      <c r="O405" t="inlineStr">
        <is>
          <t>3</t>
        </is>
      </c>
      <c r="P405" s="2" t="n">
        <v>44999.6862684375</v>
      </c>
      <c r="Q405" t="n">
        <v>5</v>
      </c>
      <c r="R405" t="inlineStr">
        <is>
          <t>NOGALES 220</t>
        </is>
      </c>
      <c r="S405" t="n">
        <v>54.2472550457503</v>
      </c>
      <c r="T405" t="n">
        <v>5111.911378683488</v>
      </c>
      <c r="U405" t="n">
        <v>0</v>
      </c>
      <c r="V405" t="n">
        <v>0</v>
      </c>
      <c r="W405" t="inlineStr">
        <is>
          <t>CHILQUINTA</t>
        </is>
      </c>
      <c r="X405" t="n">
        <v>100.24845662251</v>
      </c>
      <c r="Y405" t="n">
        <v>5.111911378683488</v>
      </c>
      <c r="Z405" t="n">
        <v>5438.203594344136</v>
      </c>
      <c r="AA405" t="n">
        <v>0</v>
      </c>
      <c r="AB405" t="n">
        <v>0</v>
      </c>
      <c r="AC405" t="n">
        <v>0</v>
      </c>
      <c r="AD405" s="2" t="n">
        <v>44593</v>
      </c>
    </row>
    <row r="406">
      <c r="A406" t="n">
        <v>-1</v>
      </c>
      <c r="B406" t="inlineStr">
        <is>
          <t>01-02-2022</t>
        </is>
      </c>
      <c r="C406" t="n">
        <v>2022</v>
      </c>
      <c r="D406" t="n">
        <v>2</v>
      </c>
      <c r="E406" t="inlineStr">
        <is>
          <t>Con Con 012</t>
        </is>
      </c>
      <c r="F406" t="inlineStr">
        <is>
          <t>Chilquinta</t>
        </is>
      </c>
      <c r="G406" t="inlineStr">
        <is>
          <t>Chilquinta</t>
        </is>
      </c>
      <c r="H406" t="inlineStr">
        <is>
          <t>Empresa Eléctrica Carén S.A.</t>
        </is>
      </c>
      <c r="I406" t="inlineStr">
        <is>
          <t>Empresa Eléctrica Carén S.A.</t>
        </is>
      </c>
      <c r="J406" t="inlineStr">
        <is>
          <t>SIC 2013/03_2_BS1B_BB_CHILQUINTA_Empresa Eléctrica Carén S.A.</t>
        </is>
      </c>
      <c r="K406" t="inlineStr">
        <is>
          <t>Con Con 012</t>
        </is>
      </c>
      <c r="L406" t="inlineStr">
        <is>
          <t>-1</t>
        </is>
      </c>
      <c r="M406" t="n">
        <v>253.5748329934997</v>
      </c>
      <c r="N406" t="n">
        <v>0</v>
      </c>
      <c r="O406" t="inlineStr">
        <is>
          <t>3</t>
        </is>
      </c>
      <c r="P406" s="2" t="n">
        <v>44999.6862684375</v>
      </c>
      <c r="Q406" t="n">
        <v>11</v>
      </c>
      <c r="R406" t="inlineStr">
        <is>
          <t>QUILLOTA 220</t>
        </is>
      </c>
      <c r="S406" t="n">
        <v>144.1734051581277</v>
      </c>
      <c r="T406" t="n">
        <v>13165.35726944743</v>
      </c>
      <c r="U406" t="n">
        <v>0</v>
      </c>
      <c r="V406" t="n">
        <v>0</v>
      </c>
      <c r="W406" t="inlineStr">
        <is>
          <t>CHILQUINTA</t>
        </is>
      </c>
      <c r="X406" t="n">
        <v>97.14481812686</v>
      </c>
      <c r="Y406" t="n">
        <v>13.16535726944743</v>
      </c>
      <c r="Z406" t="n">
        <v>14005.69922281641</v>
      </c>
      <c r="AA406" t="n">
        <v>0</v>
      </c>
      <c r="AB406" t="n">
        <v>0</v>
      </c>
      <c r="AC406" t="n">
        <v>0</v>
      </c>
      <c r="AD406" s="2" t="n">
        <v>44593</v>
      </c>
    </row>
    <row r="407">
      <c r="A407" t="n">
        <v>-1</v>
      </c>
      <c r="B407" t="inlineStr">
        <is>
          <t>01-02-2022</t>
        </is>
      </c>
      <c r="C407" t="n">
        <v>2022</v>
      </c>
      <c r="D407" t="n">
        <v>2</v>
      </c>
      <c r="E407" t="inlineStr">
        <is>
          <t>El Melon 012</t>
        </is>
      </c>
      <c r="F407" t="inlineStr">
        <is>
          <t>Chilquinta</t>
        </is>
      </c>
      <c r="G407" t="inlineStr">
        <is>
          <t>Chilquinta</t>
        </is>
      </c>
      <c r="H407" t="inlineStr">
        <is>
          <t>Empresa Eléctrica Carén S.A.</t>
        </is>
      </c>
      <c r="I407" t="inlineStr">
        <is>
          <t>Empresa Eléctrica Carén S.A.</t>
        </is>
      </c>
      <c r="J407" t="inlineStr">
        <is>
          <t>SIC 2013/03_2_BS1B_BB_CHILQUINTA_Empresa Eléctrica Carén S.A.</t>
        </is>
      </c>
      <c r="K407" t="inlineStr">
        <is>
          <t>El Melon 012</t>
        </is>
      </c>
      <c r="L407" t="inlineStr">
        <is>
          <t>-1</t>
        </is>
      </c>
      <c r="M407" t="n">
        <v>174.9519999787104</v>
      </c>
      <c r="N407" t="n">
        <v>0</v>
      </c>
      <c r="O407" t="inlineStr">
        <is>
          <t>3</t>
        </is>
      </c>
      <c r="P407" s="2" t="n">
        <v>44999.6862684375</v>
      </c>
      <c r="Q407" t="n">
        <v>31</v>
      </c>
      <c r="R407" t="inlineStr">
        <is>
          <t>LOS MAQUIS 220</t>
        </is>
      </c>
      <c r="S407" t="n">
        <v>62.04205427940541</v>
      </c>
      <c r="T407" t="n">
        <v>5616.520572454097</v>
      </c>
      <c r="U407" t="n">
        <v>0</v>
      </c>
      <c r="V407" t="n">
        <v>0</v>
      </c>
      <c r="W407" t="inlineStr">
        <is>
          <t>CHILQUINTA</t>
        </is>
      </c>
      <c r="X407" t="n">
        <v>96.30599687562001</v>
      </c>
      <c r="Y407" t="n">
        <v>5.616520572454097</v>
      </c>
      <c r="Z407" t="n">
        <v>5975.021885589465</v>
      </c>
      <c r="AA407" t="n">
        <v>0</v>
      </c>
      <c r="AB407" t="n">
        <v>0</v>
      </c>
      <c r="AC407" t="n">
        <v>0</v>
      </c>
      <c r="AD407" s="2" t="n">
        <v>44593</v>
      </c>
    </row>
    <row r="408">
      <c r="A408" t="n">
        <v>-1</v>
      </c>
      <c r="B408" t="inlineStr">
        <is>
          <t>01-02-2022</t>
        </is>
      </c>
      <c r="C408" t="n">
        <v>2022</v>
      </c>
      <c r="D408" t="n">
        <v>2</v>
      </c>
      <c r="E408" t="inlineStr">
        <is>
          <t>El Melon 012</t>
        </is>
      </c>
      <c r="F408" t="inlineStr">
        <is>
          <t>Chilquinta</t>
        </is>
      </c>
      <c r="G408" t="inlineStr">
        <is>
          <t>Chilquinta</t>
        </is>
      </c>
      <c r="H408" t="inlineStr">
        <is>
          <t>Empresa Eléctrica Carén S.A.</t>
        </is>
      </c>
      <c r="I408" t="inlineStr">
        <is>
          <t>Empresa Eléctrica Carén S.A.</t>
        </is>
      </c>
      <c r="J408" t="inlineStr">
        <is>
          <t>SIC 2013/03_2_BS1B_BB_CHILQUINTA_Empresa Eléctrica Carén S.A.</t>
        </is>
      </c>
      <c r="K408" t="inlineStr">
        <is>
          <t>El Melon 012</t>
        </is>
      </c>
      <c r="L408" t="inlineStr">
        <is>
          <t>-1</t>
        </is>
      </c>
      <c r="M408" t="n">
        <v>174.9519999787104</v>
      </c>
      <c r="N408" t="n">
        <v>0</v>
      </c>
      <c r="O408" t="inlineStr">
        <is>
          <t>3</t>
        </is>
      </c>
      <c r="P408" s="2" t="n">
        <v>44999.6862684375</v>
      </c>
      <c r="Q408" t="n">
        <v>13</v>
      </c>
      <c r="R408" t="inlineStr">
        <is>
          <t>MELIPILLA 220</t>
        </is>
      </c>
      <c r="S408" t="n">
        <v>10.4324071434121</v>
      </c>
      <c r="T408" t="n">
        <v>954.9319999504727</v>
      </c>
      <c r="U408" t="n">
        <v>0</v>
      </c>
      <c r="V408" t="n">
        <v>0</v>
      </c>
      <c r="W408" t="inlineStr">
        <is>
          <t>CHILQUINTA</t>
        </is>
      </c>
      <c r="X408" t="n">
        <v>97.37782396384</v>
      </c>
      <c r="Y408" t="n">
        <v>0.9549319999504726</v>
      </c>
      <c r="Z408" t="n">
        <v>1015.88510633029</v>
      </c>
      <c r="AA408" t="n">
        <v>0</v>
      </c>
      <c r="AB408" t="n">
        <v>0</v>
      </c>
      <c r="AC408" t="n">
        <v>0</v>
      </c>
      <c r="AD408" s="2" t="n">
        <v>44593</v>
      </c>
    </row>
    <row r="409">
      <c r="A409" t="n">
        <v>-1</v>
      </c>
      <c r="B409" t="inlineStr">
        <is>
          <t>01-02-2022</t>
        </is>
      </c>
      <c r="C409" t="n">
        <v>2022</v>
      </c>
      <c r="D409" t="n">
        <v>2</v>
      </c>
      <c r="E409" t="inlineStr">
        <is>
          <t>El Melon 012</t>
        </is>
      </c>
      <c r="F409" t="inlineStr">
        <is>
          <t>Chilquinta</t>
        </is>
      </c>
      <c r="G409" t="inlineStr">
        <is>
          <t>Chilquinta</t>
        </is>
      </c>
      <c r="H409" t="inlineStr">
        <is>
          <t>Empresa Eléctrica Carén S.A.</t>
        </is>
      </c>
      <c r="I409" t="inlineStr">
        <is>
          <t>Empresa Eléctrica Carén S.A.</t>
        </is>
      </c>
      <c r="J409" t="inlineStr">
        <is>
          <t>SIC 2013/03_2_BS1B_BB_CHILQUINTA_Empresa Eléctrica Carén S.A.</t>
        </is>
      </c>
      <c r="K409" t="inlineStr">
        <is>
          <t>El Melon 012</t>
        </is>
      </c>
      <c r="L409" t="inlineStr">
        <is>
          <t>-1</t>
        </is>
      </c>
      <c r="M409" t="n">
        <v>174.9519999787104</v>
      </c>
      <c r="N409" t="n">
        <v>0</v>
      </c>
      <c r="O409" t="inlineStr">
        <is>
          <t>3</t>
        </is>
      </c>
      <c r="P409" s="2" t="n">
        <v>44999.6862684375</v>
      </c>
      <c r="Q409" t="n">
        <v>5</v>
      </c>
      <c r="R409" t="inlineStr">
        <is>
          <t>NOGALES 220</t>
        </is>
      </c>
      <c r="S409" t="n">
        <v>22.46980000119529</v>
      </c>
      <c r="T409" t="n">
        <v>2117.409004492123</v>
      </c>
      <c r="U409" t="n">
        <v>0</v>
      </c>
      <c r="V409" t="n">
        <v>0</v>
      </c>
      <c r="W409" t="inlineStr">
        <is>
          <t>CHILQUINTA</t>
        </is>
      </c>
      <c r="X409" t="n">
        <v>100.24845662251</v>
      </c>
      <c r="Y409" t="n">
        <v>2.117409004492123</v>
      </c>
      <c r="Z409" t="n">
        <v>2252.562770736301</v>
      </c>
      <c r="AA409" t="n">
        <v>0</v>
      </c>
      <c r="AB409" t="n">
        <v>0</v>
      </c>
      <c r="AC409" t="n">
        <v>0</v>
      </c>
      <c r="AD409" s="2" t="n">
        <v>44593</v>
      </c>
    </row>
    <row r="410">
      <c r="A410" t="n">
        <v>-1</v>
      </c>
      <c r="B410" t="inlineStr">
        <is>
          <t>01-02-2022</t>
        </is>
      </c>
      <c r="C410" t="n">
        <v>2022</v>
      </c>
      <c r="D410" t="n">
        <v>2</v>
      </c>
      <c r="E410" t="inlineStr">
        <is>
          <t>El Melon 012</t>
        </is>
      </c>
      <c r="F410" t="inlineStr">
        <is>
          <t>Chilquinta</t>
        </is>
      </c>
      <c r="G410" t="inlineStr">
        <is>
          <t>Chilquinta</t>
        </is>
      </c>
      <c r="H410" t="inlineStr">
        <is>
          <t>Empresa Eléctrica Carén S.A.</t>
        </is>
      </c>
      <c r="I410" t="inlineStr">
        <is>
          <t>Empresa Eléctrica Carén S.A.</t>
        </is>
      </c>
      <c r="J410" t="inlineStr">
        <is>
          <t>SIC 2013/03_2_BS1B_BB_CHILQUINTA_Empresa Eléctrica Carén S.A.</t>
        </is>
      </c>
      <c r="K410" t="inlineStr">
        <is>
          <t>El Melon 012</t>
        </is>
      </c>
      <c r="L410" t="inlineStr">
        <is>
          <t>-1</t>
        </is>
      </c>
      <c r="M410" t="n">
        <v>174.9519999787104</v>
      </c>
      <c r="N410" t="n">
        <v>0</v>
      </c>
      <c r="O410" t="inlineStr">
        <is>
          <t>3</t>
        </is>
      </c>
      <c r="P410" s="2" t="n">
        <v>44999.6862684375</v>
      </c>
      <c r="Q410" t="n">
        <v>11</v>
      </c>
      <c r="R410" t="inlineStr">
        <is>
          <t>QUILLOTA 220</t>
        </is>
      </c>
      <c r="S410" t="n">
        <v>84.9868724740917</v>
      </c>
      <c r="T410" t="n">
        <v>7760.672213486306</v>
      </c>
      <c r="U410" t="n">
        <v>0</v>
      </c>
      <c r="V410" t="n">
        <v>0</v>
      </c>
      <c r="W410" t="inlineStr">
        <is>
          <t>CHILQUINTA</t>
        </is>
      </c>
      <c r="X410" t="n">
        <v>97.14481812686</v>
      </c>
      <c r="Y410" t="n">
        <v>7.760672213486306</v>
      </c>
      <c r="Z410" t="n">
        <v>8256.034269666283</v>
      </c>
      <c r="AA410" t="n">
        <v>0</v>
      </c>
      <c r="AB410" t="n">
        <v>0</v>
      </c>
      <c r="AC410" t="n">
        <v>0</v>
      </c>
      <c r="AD410" s="2" t="n">
        <v>44593</v>
      </c>
    </row>
    <row r="411">
      <c r="A411" t="n">
        <v>-1</v>
      </c>
      <c r="B411" t="inlineStr">
        <is>
          <t>01-02-2022</t>
        </is>
      </c>
      <c r="C411" t="n">
        <v>2022</v>
      </c>
      <c r="D411" t="n">
        <v>2</v>
      </c>
      <c r="E411" t="inlineStr">
        <is>
          <t>Juncal 012</t>
        </is>
      </c>
      <c r="F411" t="inlineStr">
        <is>
          <t>Chilquinta</t>
        </is>
      </c>
      <c r="G411" t="inlineStr">
        <is>
          <t>Chilquinta</t>
        </is>
      </c>
      <c r="H411" t="inlineStr">
        <is>
          <t>Empresa Eléctrica Carén S.A.</t>
        </is>
      </c>
      <c r="I411" t="inlineStr">
        <is>
          <t>Empresa Eléctrica Carén S.A.</t>
        </is>
      </c>
      <c r="J411" t="inlineStr">
        <is>
          <t>SIC 2013/03_2_BS1B_BB_CHILQUINTA_Empresa Eléctrica Carén S.A.</t>
        </is>
      </c>
      <c r="K411" t="inlineStr">
        <is>
          <t>Juncal 012</t>
        </is>
      </c>
      <c r="L411" t="inlineStr">
        <is>
          <t>-1</t>
        </is>
      </c>
      <c r="M411" t="n">
        <v>10.78244368335141</v>
      </c>
      <c r="N411" t="n">
        <v>0</v>
      </c>
      <c r="O411" t="inlineStr">
        <is>
          <t>3</t>
        </is>
      </c>
      <c r="P411" s="2" t="n">
        <v>44999.6862684375</v>
      </c>
      <c r="Q411" t="n">
        <v>31</v>
      </c>
      <c r="R411" t="inlineStr">
        <is>
          <t>LOS MAQUIS 220</t>
        </is>
      </c>
      <c r="S411" t="n">
        <v>7.104035073029896</v>
      </c>
      <c r="T411" t="n">
        <v>643.1115087746614</v>
      </c>
      <c r="U411" t="n">
        <v>0</v>
      </c>
      <c r="V411" t="n">
        <v>0</v>
      </c>
      <c r="W411" t="inlineStr">
        <is>
          <t>CHILQUINTA</t>
        </is>
      </c>
      <c r="X411" t="n">
        <v>96.30599687562001</v>
      </c>
      <c r="Y411" t="n">
        <v>0.6431115087746614</v>
      </c>
      <c r="Z411" t="n">
        <v>684.1611795475121</v>
      </c>
      <c r="AA411" t="n">
        <v>0</v>
      </c>
      <c r="AB411" t="n">
        <v>0</v>
      </c>
      <c r="AC411" t="n">
        <v>0</v>
      </c>
      <c r="AD411" s="2" t="n">
        <v>44593</v>
      </c>
    </row>
    <row r="412">
      <c r="A412" t="n">
        <v>-1</v>
      </c>
      <c r="B412" t="inlineStr">
        <is>
          <t>01-02-2022</t>
        </is>
      </c>
      <c r="C412" t="n">
        <v>2022</v>
      </c>
      <c r="D412" t="n">
        <v>2</v>
      </c>
      <c r="E412" t="inlineStr">
        <is>
          <t>Juncal 012</t>
        </is>
      </c>
      <c r="F412" t="inlineStr">
        <is>
          <t>Chilquinta</t>
        </is>
      </c>
      <c r="G412" t="inlineStr">
        <is>
          <t>Chilquinta</t>
        </is>
      </c>
      <c r="H412" t="inlineStr">
        <is>
          <t>Empresa Eléctrica Carén S.A.</t>
        </is>
      </c>
      <c r="I412" t="inlineStr">
        <is>
          <t>Empresa Eléctrica Carén S.A.</t>
        </is>
      </c>
      <c r="J412" t="inlineStr">
        <is>
          <t>SIC 2013/03_2_BS1B_BB_CHILQUINTA_Empresa Eléctrica Carén S.A.</t>
        </is>
      </c>
      <c r="K412" t="inlineStr">
        <is>
          <t>Juncal 012</t>
        </is>
      </c>
      <c r="L412" t="inlineStr">
        <is>
          <t>-1</t>
        </is>
      </c>
      <c r="M412" t="n">
        <v>10.78244368335141</v>
      </c>
      <c r="N412" t="n">
        <v>0</v>
      </c>
      <c r="O412" t="inlineStr">
        <is>
          <t>3</t>
        </is>
      </c>
      <c r="P412" s="2" t="n">
        <v>44999.6862684375</v>
      </c>
      <c r="Q412" t="n">
        <v>5</v>
      </c>
      <c r="R412" t="inlineStr">
        <is>
          <t>NOGALES 220</t>
        </is>
      </c>
      <c r="S412" t="n">
        <v>0.5828542403272632</v>
      </c>
      <c r="T412" t="n">
        <v>54.92442374697204</v>
      </c>
      <c r="U412" t="n">
        <v>0</v>
      </c>
      <c r="V412" t="n">
        <v>0</v>
      </c>
      <c r="W412" t="inlineStr">
        <is>
          <t>CHILQUINTA</t>
        </is>
      </c>
      <c r="X412" t="n">
        <v>100.24845662251</v>
      </c>
      <c r="Y412" t="n">
        <v>0.05492442374697205</v>
      </c>
      <c r="Z412" t="n">
        <v>58.43023802869367</v>
      </c>
      <c r="AA412" t="n">
        <v>0</v>
      </c>
      <c r="AB412" t="n">
        <v>0</v>
      </c>
      <c r="AC412" t="n">
        <v>0</v>
      </c>
      <c r="AD412" s="2" t="n">
        <v>44593</v>
      </c>
    </row>
    <row r="413">
      <c r="A413" t="n">
        <v>-1</v>
      </c>
      <c r="B413" t="inlineStr">
        <is>
          <t>01-02-2022</t>
        </is>
      </c>
      <c r="C413" t="n">
        <v>2022</v>
      </c>
      <c r="D413" t="n">
        <v>2</v>
      </c>
      <c r="E413" t="inlineStr">
        <is>
          <t>Juncal 012</t>
        </is>
      </c>
      <c r="F413" t="inlineStr">
        <is>
          <t>Chilquinta</t>
        </is>
      </c>
      <c r="G413" t="inlineStr">
        <is>
          <t>Chilquinta</t>
        </is>
      </c>
      <c r="H413" t="inlineStr">
        <is>
          <t>Empresa Eléctrica Carén S.A.</t>
        </is>
      </c>
      <c r="I413" t="inlineStr">
        <is>
          <t>Empresa Eléctrica Carén S.A.</t>
        </is>
      </c>
      <c r="J413" t="inlineStr">
        <is>
          <t>SIC 2013/03_2_BS1B_BB_CHILQUINTA_Empresa Eléctrica Carén S.A.</t>
        </is>
      </c>
      <c r="K413" t="inlineStr">
        <is>
          <t>Juncal 012</t>
        </is>
      </c>
      <c r="L413" t="inlineStr">
        <is>
          <t>-1</t>
        </is>
      </c>
      <c r="M413" t="n">
        <v>10.78244368335141</v>
      </c>
      <c r="N413" t="n">
        <v>0</v>
      </c>
      <c r="O413" t="inlineStr">
        <is>
          <t>3</t>
        </is>
      </c>
      <c r="P413" s="2" t="n">
        <v>44999.6862684375</v>
      </c>
      <c r="Q413" t="n">
        <v>11</v>
      </c>
      <c r="R413" t="inlineStr">
        <is>
          <t>QUILLOTA 220</t>
        </is>
      </c>
      <c r="S413" t="n">
        <v>3.40242271722243</v>
      </c>
      <c r="T413" t="n">
        <v>310.6960718919536</v>
      </c>
      <c r="U413" t="n">
        <v>0</v>
      </c>
      <c r="V413" t="n">
        <v>0</v>
      </c>
      <c r="W413" t="inlineStr">
        <is>
          <t>CHILQUINTA</t>
        </is>
      </c>
      <c r="X413" t="n">
        <v>97.14481812686002</v>
      </c>
      <c r="Y413" t="n">
        <v>0.3106960718919535</v>
      </c>
      <c r="Z413" t="n">
        <v>330.5277360552698</v>
      </c>
      <c r="AA413" t="n">
        <v>0</v>
      </c>
      <c r="AB413" t="n">
        <v>0</v>
      </c>
      <c r="AC413" t="n">
        <v>0</v>
      </c>
      <c r="AD413" s="2" t="n">
        <v>44593</v>
      </c>
    </row>
    <row r="414">
      <c r="A414" t="n">
        <v>-1</v>
      </c>
      <c r="B414" t="inlineStr">
        <is>
          <t>01-02-2022</t>
        </is>
      </c>
      <c r="C414" t="n">
        <v>2022</v>
      </c>
      <c r="D414" t="n">
        <v>2</v>
      </c>
      <c r="E414" t="inlineStr">
        <is>
          <t>La Calera 012</t>
        </is>
      </c>
      <c r="F414" t="inlineStr">
        <is>
          <t>Chilquinta</t>
        </is>
      </c>
      <c r="G414" t="inlineStr">
        <is>
          <t>Chilquinta</t>
        </is>
      </c>
      <c r="H414" t="inlineStr">
        <is>
          <t>Empresa Eléctrica Carén S.A.</t>
        </is>
      </c>
      <c r="I414" t="inlineStr">
        <is>
          <t>Empresa Eléctrica Carén S.A.</t>
        </is>
      </c>
      <c r="J414" t="inlineStr">
        <is>
          <t>SIC 2013/03_2_BS1B_BB_CHILQUINTA_Empresa Eléctrica Carén S.A.</t>
        </is>
      </c>
      <c r="K414" t="inlineStr">
        <is>
          <t>La Calera 012</t>
        </is>
      </c>
      <c r="L414" t="inlineStr">
        <is>
          <t>-1</t>
        </is>
      </c>
      <c r="M414" t="n">
        <v>717.5557304342119</v>
      </c>
      <c r="N414" t="n">
        <v>0</v>
      </c>
      <c r="O414" t="inlineStr">
        <is>
          <t>3</t>
        </is>
      </c>
      <c r="P414" s="2" t="n">
        <v>44999.6862684375</v>
      </c>
      <c r="Q414" t="n">
        <v>31</v>
      </c>
      <c r="R414" t="inlineStr">
        <is>
          <t>LOS MAQUIS 220</t>
        </is>
      </c>
      <c r="S414" t="n">
        <v>171.417382695816</v>
      </c>
      <c r="T414" t="n">
        <v>15518.0106069904</v>
      </c>
      <c r="U414" t="n">
        <v>0</v>
      </c>
      <c r="V414" t="n">
        <v>0</v>
      </c>
      <c r="W414" t="inlineStr">
        <is>
          <t>CHILQUINTA</t>
        </is>
      </c>
      <c r="X414" t="n">
        <v>96.30599687562001</v>
      </c>
      <c r="Y414" t="n">
        <v>15.5180106069904</v>
      </c>
      <c r="Z414" t="n">
        <v>16508.52192233022</v>
      </c>
      <c r="AA414" t="n">
        <v>0</v>
      </c>
      <c r="AB414" t="n">
        <v>0</v>
      </c>
      <c r="AC414" t="n">
        <v>0</v>
      </c>
      <c r="AD414" s="2" t="n">
        <v>44593</v>
      </c>
    </row>
    <row r="415">
      <c r="A415" t="n">
        <v>-1</v>
      </c>
      <c r="B415" t="inlineStr">
        <is>
          <t>01-02-2022</t>
        </is>
      </c>
      <c r="C415" t="n">
        <v>2022</v>
      </c>
      <c r="D415" t="n">
        <v>2</v>
      </c>
      <c r="E415" t="inlineStr">
        <is>
          <t>La Calera 012</t>
        </is>
      </c>
      <c r="F415" t="inlineStr">
        <is>
          <t>Chilquinta</t>
        </is>
      </c>
      <c r="G415" t="inlineStr">
        <is>
          <t>Chilquinta</t>
        </is>
      </c>
      <c r="H415" t="inlineStr">
        <is>
          <t>Empresa Eléctrica Carén S.A.</t>
        </is>
      </c>
      <c r="I415" t="inlineStr">
        <is>
          <t>Empresa Eléctrica Carén S.A.</t>
        </is>
      </c>
      <c r="J415" t="inlineStr">
        <is>
          <t>SIC 2013/03_2_BS1B_BB_CHILQUINTA_Empresa Eléctrica Carén S.A.</t>
        </is>
      </c>
      <c r="K415" t="inlineStr">
        <is>
          <t>La Calera 012</t>
        </is>
      </c>
      <c r="L415" t="inlineStr">
        <is>
          <t>-1</t>
        </is>
      </c>
      <c r="M415" t="n">
        <v>717.5557304342119</v>
      </c>
      <c r="N415" t="n">
        <v>0</v>
      </c>
      <c r="O415" t="inlineStr">
        <is>
          <t>3</t>
        </is>
      </c>
      <c r="P415" s="2" t="n">
        <v>44999.6862684375</v>
      </c>
      <c r="Q415" t="n">
        <v>13</v>
      </c>
      <c r="R415" t="inlineStr">
        <is>
          <t>MELIPILLA 220</t>
        </is>
      </c>
      <c r="S415" t="n">
        <v>52.08644252914884</v>
      </c>
      <c r="T415" t="n">
        <v>4767.740565615757</v>
      </c>
      <c r="U415" t="n">
        <v>0</v>
      </c>
      <c r="V415" t="n">
        <v>0</v>
      </c>
      <c r="W415" t="inlineStr">
        <is>
          <t>CHILQUINTA</t>
        </is>
      </c>
      <c r="X415" t="n">
        <v>97.37782396383999</v>
      </c>
      <c r="Y415" t="n">
        <v>4.767740565615757</v>
      </c>
      <c r="Z415" t="n">
        <v>5072.064431506124</v>
      </c>
      <c r="AA415" t="n">
        <v>0</v>
      </c>
      <c r="AB415" t="n">
        <v>0</v>
      </c>
      <c r="AC415" t="n">
        <v>0</v>
      </c>
      <c r="AD415" s="2" t="n">
        <v>44593</v>
      </c>
    </row>
    <row r="416">
      <c r="A416" t="n">
        <v>-1</v>
      </c>
      <c r="B416" t="inlineStr">
        <is>
          <t>01-02-2022</t>
        </is>
      </c>
      <c r="C416" t="n">
        <v>2022</v>
      </c>
      <c r="D416" t="n">
        <v>2</v>
      </c>
      <c r="E416" t="inlineStr">
        <is>
          <t>La Calera 012</t>
        </is>
      </c>
      <c r="F416" t="inlineStr">
        <is>
          <t>Chilquinta</t>
        </is>
      </c>
      <c r="G416" t="inlineStr">
        <is>
          <t>Chilquinta</t>
        </is>
      </c>
      <c r="H416" t="inlineStr">
        <is>
          <t>Empresa Eléctrica Carén S.A.</t>
        </is>
      </c>
      <c r="I416" t="inlineStr">
        <is>
          <t>Empresa Eléctrica Carén S.A.</t>
        </is>
      </c>
      <c r="J416" t="inlineStr">
        <is>
          <t>SIC 2013/03_2_BS1B_BB_CHILQUINTA_Empresa Eléctrica Carén S.A.</t>
        </is>
      </c>
      <c r="K416" t="inlineStr">
        <is>
          <t>La Calera 012</t>
        </is>
      </c>
      <c r="L416" t="inlineStr">
        <is>
          <t>-1</t>
        </is>
      </c>
      <c r="M416" t="n">
        <v>717.5557304342119</v>
      </c>
      <c r="N416" t="n">
        <v>0</v>
      </c>
      <c r="O416" t="inlineStr">
        <is>
          <t>3</t>
        </is>
      </c>
      <c r="P416" s="2" t="n">
        <v>44999.6862684375</v>
      </c>
      <c r="Q416" t="n">
        <v>5</v>
      </c>
      <c r="R416" t="inlineStr">
        <is>
          <t>NOGALES 220</t>
        </is>
      </c>
      <c r="S416" t="n">
        <v>94.98506684509418</v>
      </c>
      <c r="T416" t="n">
        <v>8950.779972202239</v>
      </c>
      <c r="U416" t="n">
        <v>0</v>
      </c>
      <c r="V416" t="n">
        <v>0</v>
      </c>
      <c r="W416" t="inlineStr">
        <is>
          <t>CHILQUINTA</t>
        </is>
      </c>
      <c r="X416" t="n">
        <v>100.24845662251</v>
      </c>
      <c r="Y416" t="n">
        <v>8.950779972202239</v>
      </c>
      <c r="Z416" t="n">
        <v>9522.106353406638</v>
      </c>
      <c r="AA416" t="n">
        <v>0</v>
      </c>
      <c r="AB416" t="n">
        <v>0</v>
      </c>
      <c r="AC416" t="n">
        <v>0</v>
      </c>
      <c r="AD416" s="2" t="n">
        <v>44593</v>
      </c>
    </row>
    <row r="417">
      <c r="A417" t="n">
        <v>-1</v>
      </c>
      <c r="B417" t="inlineStr">
        <is>
          <t>01-02-2022</t>
        </is>
      </c>
      <c r="C417" t="n">
        <v>2022</v>
      </c>
      <c r="D417" t="n">
        <v>2</v>
      </c>
      <c r="E417" t="inlineStr">
        <is>
          <t>La Calera 012</t>
        </is>
      </c>
      <c r="F417" t="inlineStr">
        <is>
          <t>Chilquinta</t>
        </is>
      </c>
      <c r="G417" t="inlineStr">
        <is>
          <t>Chilquinta</t>
        </is>
      </c>
      <c r="H417" t="inlineStr">
        <is>
          <t>Empresa Eléctrica Carén S.A.</t>
        </is>
      </c>
      <c r="I417" t="inlineStr">
        <is>
          <t>Empresa Eléctrica Carén S.A.</t>
        </is>
      </c>
      <c r="J417" t="inlineStr">
        <is>
          <t>SIC 2013/03_2_BS1B_BB_CHILQUINTA_Empresa Eléctrica Carén S.A.</t>
        </is>
      </c>
      <c r="K417" t="inlineStr">
        <is>
          <t>La Calera 012</t>
        </is>
      </c>
      <c r="L417" t="inlineStr">
        <is>
          <t>-1</t>
        </is>
      </c>
      <c r="M417" t="n">
        <v>717.5557304342119</v>
      </c>
      <c r="N417" t="n">
        <v>0</v>
      </c>
      <c r="O417" t="inlineStr">
        <is>
          <t>3</t>
        </is>
      </c>
      <c r="P417" s="2" t="n">
        <v>44999.6862684375</v>
      </c>
      <c r="Q417" t="n">
        <v>11</v>
      </c>
      <c r="R417" t="inlineStr">
        <is>
          <t>QUILLOTA 220</t>
        </is>
      </c>
      <c r="S417" t="n">
        <v>419.4884744523105</v>
      </c>
      <c r="T417" t="n">
        <v>38306.06366356464</v>
      </c>
      <c r="U417" t="n">
        <v>0</v>
      </c>
      <c r="V417" t="n">
        <v>0</v>
      </c>
      <c r="W417" t="inlineStr">
        <is>
          <t>CHILQUINTA</t>
        </is>
      </c>
      <c r="X417" t="n">
        <v>97.14481812686002</v>
      </c>
      <c r="Y417" t="n">
        <v>38.30606366356464</v>
      </c>
      <c r="Z417" t="n">
        <v>40751.13155698367</v>
      </c>
      <c r="AA417" t="n">
        <v>0</v>
      </c>
      <c r="AB417" t="n">
        <v>0</v>
      </c>
      <c r="AC417" t="n">
        <v>0</v>
      </c>
      <c r="AD417" s="2" t="n">
        <v>44593</v>
      </c>
    </row>
    <row r="418">
      <c r="A418" t="n">
        <v>-1</v>
      </c>
      <c r="B418" t="inlineStr">
        <is>
          <t>01-02-2022</t>
        </is>
      </c>
      <c r="C418" t="n">
        <v>2022</v>
      </c>
      <c r="D418" t="n">
        <v>2</v>
      </c>
      <c r="E418" t="inlineStr">
        <is>
          <t>Las Vegas 012</t>
        </is>
      </c>
      <c r="F418" t="inlineStr">
        <is>
          <t>Chilquinta</t>
        </is>
      </c>
      <c r="G418" t="inlineStr">
        <is>
          <t>Chilquinta</t>
        </is>
      </c>
      <c r="H418" t="inlineStr">
        <is>
          <t>Empresa Eléctrica Carén S.A.</t>
        </is>
      </c>
      <c r="I418" t="inlineStr">
        <is>
          <t>Empresa Eléctrica Carén S.A.</t>
        </is>
      </c>
      <c r="J418" t="inlineStr">
        <is>
          <t>SIC 2013/03_2_BS1B_BB_CHILQUINTA_Empresa Eléctrica Carén S.A.</t>
        </is>
      </c>
      <c r="K418" t="inlineStr">
        <is>
          <t>Las Vegas 012</t>
        </is>
      </c>
      <c r="L418" t="inlineStr">
        <is>
          <t>-1</t>
        </is>
      </c>
      <c r="M418" t="n">
        <v>456.0508438572741</v>
      </c>
      <c r="N418" t="n">
        <v>0</v>
      </c>
      <c r="O418" t="inlineStr">
        <is>
          <t>3</t>
        </is>
      </c>
      <c r="P418" s="2" t="n">
        <v>44999.6862684375</v>
      </c>
      <c r="Q418" t="n">
        <v>31</v>
      </c>
      <c r="R418" t="inlineStr">
        <is>
          <t>LOS MAQUIS 220</t>
        </is>
      </c>
      <c r="S418" t="n">
        <v>129.6868090665095</v>
      </c>
      <c r="T418" t="n">
        <v>11740.24038304229</v>
      </c>
      <c r="U418" t="n">
        <v>0</v>
      </c>
      <c r="V418" t="n">
        <v>0</v>
      </c>
      <c r="W418" t="inlineStr">
        <is>
          <t>CHILQUINTA</t>
        </is>
      </c>
      <c r="X418" t="n">
        <v>96.30599687562</v>
      </c>
      <c r="Y418" t="n">
        <v>11.74024038304229</v>
      </c>
      <c r="Z418" t="n">
        <v>12489.61742876839</v>
      </c>
      <c r="AA418" t="n">
        <v>0</v>
      </c>
      <c r="AB418" t="n">
        <v>0</v>
      </c>
      <c r="AC418" t="n">
        <v>0</v>
      </c>
      <c r="AD418" s="2" t="n">
        <v>44593</v>
      </c>
    </row>
    <row r="419">
      <c r="A419" t="n">
        <v>-1</v>
      </c>
      <c r="B419" t="inlineStr">
        <is>
          <t>01-02-2022</t>
        </is>
      </c>
      <c r="C419" t="n">
        <v>2022</v>
      </c>
      <c r="D419" t="n">
        <v>2</v>
      </c>
      <c r="E419" t="inlineStr">
        <is>
          <t>Las Vegas 012</t>
        </is>
      </c>
      <c r="F419" t="inlineStr">
        <is>
          <t>Chilquinta</t>
        </is>
      </c>
      <c r="G419" t="inlineStr">
        <is>
          <t>Chilquinta</t>
        </is>
      </c>
      <c r="H419" t="inlineStr">
        <is>
          <t>Empresa Eléctrica Carén S.A.</t>
        </is>
      </c>
      <c r="I419" t="inlineStr">
        <is>
          <t>Empresa Eléctrica Carén S.A.</t>
        </is>
      </c>
      <c r="J419" t="inlineStr">
        <is>
          <t>SIC 2013/03_2_BS1B_BB_CHILQUINTA_Empresa Eléctrica Carén S.A.</t>
        </is>
      </c>
      <c r="K419" t="inlineStr">
        <is>
          <t>Las Vegas 012</t>
        </is>
      </c>
      <c r="L419" t="inlineStr">
        <is>
          <t>-1</t>
        </is>
      </c>
      <c r="M419" t="n">
        <v>456.0508438572741</v>
      </c>
      <c r="N419" t="n">
        <v>0</v>
      </c>
      <c r="O419" t="inlineStr">
        <is>
          <t>3</t>
        </is>
      </c>
      <c r="P419" s="2" t="n">
        <v>44999.6862684375</v>
      </c>
      <c r="Q419" t="n">
        <v>13</v>
      </c>
      <c r="R419" t="inlineStr">
        <is>
          <t>MELIPILLA 220</t>
        </is>
      </c>
      <c r="S419" t="n">
        <v>26.13904473517749</v>
      </c>
      <c r="T419" t="n">
        <v>2392.641498996749</v>
      </c>
      <c r="U419" t="n">
        <v>0</v>
      </c>
      <c r="V419" t="n">
        <v>0</v>
      </c>
      <c r="W419" t="inlineStr">
        <is>
          <t>CHILQUINTA</t>
        </is>
      </c>
      <c r="X419" t="n">
        <v>97.37782396384</v>
      </c>
      <c r="Y419" t="n">
        <v>2.392641498996749</v>
      </c>
      <c r="Z419" t="n">
        <v>2545.363296805052</v>
      </c>
      <c r="AA419" t="n">
        <v>0</v>
      </c>
      <c r="AB419" t="n">
        <v>0</v>
      </c>
      <c r="AC419" t="n">
        <v>0</v>
      </c>
      <c r="AD419" s="2" t="n">
        <v>44593</v>
      </c>
    </row>
    <row r="420">
      <c r="A420" t="n">
        <v>-1</v>
      </c>
      <c r="B420" t="inlineStr">
        <is>
          <t>01-02-2022</t>
        </is>
      </c>
      <c r="C420" t="n">
        <v>2022</v>
      </c>
      <c r="D420" t="n">
        <v>2</v>
      </c>
      <c r="E420" t="inlineStr">
        <is>
          <t>Las Vegas 012</t>
        </is>
      </c>
      <c r="F420" t="inlineStr">
        <is>
          <t>Chilquinta</t>
        </is>
      </c>
      <c r="G420" t="inlineStr">
        <is>
          <t>Chilquinta</t>
        </is>
      </c>
      <c r="H420" t="inlineStr">
        <is>
          <t>Empresa Eléctrica Carén S.A.</t>
        </is>
      </c>
      <c r="I420" t="inlineStr">
        <is>
          <t>Empresa Eléctrica Carén S.A.</t>
        </is>
      </c>
      <c r="J420" t="inlineStr">
        <is>
          <t>SIC 2013/03_2_BS1B_BB_CHILQUINTA_Empresa Eléctrica Carén S.A.</t>
        </is>
      </c>
      <c r="K420" t="inlineStr">
        <is>
          <t>Las Vegas 012</t>
        </is>
      </c>
      <c r="L420" t="inlineStr">
        <is>
          <t>-1</t>
        </is>
      </c>
      <c r="M420" t="n">
        <v>456.0508438572741</v>
      </c>
      <c r="N420" t="n">
        <v>0</v>
      </c>
      <c r="O420" t="inlineStr">
        <is>
          <t>3</t>
        </is>
      </c>
      <c r="P420" s="2" t="n">
        <v>44999.6862684375</v>
      </c>
      <c r="Q420" t="n">
        <v>5</v>
      </c>
      <c r="R420" t="inlineStr">
        <is>
          <t>NOGALES 220</t>
        </is>
      </c>
      <c r="S420" t="n">
        <v>81.92547898606587</v>
      </c>
      <c r="T420" t="n">
        <v>7720.1286568282</v>
      </c>
      <c r="U420" t="n">
        <v>0</v>
      </c>
      <c r="V420" t="n">
        <v>0</v>
      </c>
      <c r="W420" t="inlineStr">
        <is>
          <t>CHILQUINTA</t>
        </is>
      </c>
      <c r="X420" t="n">
        <v>100.24845662251</v>
      </c>
      <c r="Y420" t="n">
        <v>7.7201286568282</v>
      </c>
      <c r="Z420" t="n">
        <v>8212.902826412979</v>
      </c>
      <c r="AA420" t="n">
        <v>0</v>
      </c>
      <c r="AB420" t="n">
        <v>0</v>
      </c>
      <c r="AC420" t="n">
        <v>0</v>
      </c>
      <c r="AD420" s="2" t="n">
        <v>44593</v>
      </c>
    </row>
    <row r="421">
      <c r="A421" t="n">
        <v>-1</v>
      </c>
      <c r="B421" t="inlineStr">
        <is>
          <t>01-02-2022</t>
        </is>
      </c>
      <c r="C421" t="n">
        <v>2022</v>
      </c>
      <c r="D421" t="n">
        <v>2</v>
      </c>
      <c r="E421" t="inlineStr">
        <is>
          <t>Las Vegas 012</t>
        </is>
      </c>
      <c r="F421" t="inlineStr">
        <is>
          <t>Chilquinta</t>
        </is>
      </c>
      <c r="G421" t="inlineStr">
        <is>
          <t>Chilquinta</t>
        </is>
      </c>
      <c r="H421" t="inlineStr">
        <is>
          <t>Empresa Eléctrica Carén S.A.</t>
        </is>
      </c>
      <c r="I421" t="inlineStr">
        <is>
          <t>Empresa Eléctrica Carén S.A.</t>
        </is>
      </c>
      <c r="J421" t="inlineStr">
        <is>
          <t>SIC 2013/03_2_BS1B_BB_CHILQUINTA_Empresa Eléctrica Carén S.A.</t>
        </is>
      </c>
      <c r="K421" t="inlineStr">
        <is>
          <t>Las Vegas 012</t>
        </is>
      </c>
      <c r="L421" t="inlineStr">
        <is>
          <t>-1</t>
        </is>
      </c>
      <c r="M421" t="n">
        <v>456.0508438572741</v>
      </c>
      <c r="N421" t="n">
        <v>0</v>
      </c>
      <c r="O421" t="inlineStr">
        <is>
          <t>3</t>
        </is>
      </c>
      <c r="P421" s="2" t="n">
        <v>44999.6862684375</v>
      </c>
      <c r="Q421" t="n">
        <v>11</v>
      </c>
      <c r="R421" t="inlineStr">
        <is>
          <t>QUILLOTA 220</t>
        </is>
      </c>
      <c r="S421" t="n">
        <v>231.2787180856992</v>
      </c>
      <c r="T421" t="n">
        <v>21119.47726474567</v>
      </c>
      <c r="U421" t="n">
        <v>0</v>
      </c>
      <c r="V421" t="n">
        <v>0</v>
      </c>
      <c r="W421" t="inlineStr">
        <is>
          <t>CHILQUINTA</t>
        </is>
      </c>
      <c r="X421" t="n">
        <v>97.14481812686</v>
      </c>
      <c r="Y421" t="n">
        <v>21.11947726474566</v>
      </c>
      <c r="Z421" t="n">
        <v>22467.52900504858</v>
      </c>
      <c r="AA421" t="n">
        <v>0</v>
      </c>
      <c r="AB421" t="n">
        <v>0</v>
      </c>
      <c r="AC421" t="n">
        <v>0</v>
      </c>
      <c r="AD421" s="2" t="n">
        <v>44593</v>
      </c>
    </row>
    <row r="422">
      <c r="A422" t="n">
        <v>-1</v>
      </c>
      <c r="B422" t="inlineStr">
        <is>
          <t>01-02-2022</t>
        </is>
      </c>
      <c r="C422" t="n">
        <v>2022</v>
      </c>
      <c r="D422" t="n">
        <v>2</v>
      </c>
      <c r="E422" t="inlineStr">
        <is>
          <t>Mayaca 012</t>
        </is>
      </c>
      <c r="F422" t="inlineStr">
        <is>
          <t>Chilquinta</t>
        </is>
      </c>
      <c r="G422" t="inlineStr">
        <is>
          <t>Chilquinta</t>
        </is>
      </c>
      <c r="H422" t="inlineStr">
        <is>
          <t>Empresa Eléctrica Carén S.A.</t>
        </is>
      </c>
      <c r="I422" t="inlineStr">
        <is>
          <t>Empresa Eléctrica Carén S.A.</t>
        </is>
      </c>
      <c r="J422" t="inlineStr">
        <is>
          <t>SIC 2013/03_2_BS1B_BB_CHILQUINTA_Empresa Eléctrica Carén S.A.</t>
        </is>
      </c>
      <c r="K422" t="inlineStr">
        <is>
          <t>Mayaca 012</t>
        </is>
      </c>
      <c r="L422" t="inlineStr">
        <is>
          <t>-1</t>
        </is>
      </c>
      <c r="M422" t="n">
        <v>532.710225411284</v>
      </c>
      <c r="N422" t="n">
        <v>0</v>
      </c>
      <c r="O422" t="inlineStr">
        <is>
          <t>3</t>
        </is>
      </c>
      <c r="P422" s="2" t="n">
        <v>44999.6862684375</v>
      </c>
      <c r="Q422" t="n">
        <v>31</v>
      </c>
      <c r="R422" t="inlineStr">
        <is>
          <t>LOS MAQUIS 220</t>
        </is>
      </c>
      <c r="S422" t="n">
        <v>63.90369191886568</v>
      </c>
      <c r="T422" t="n">
        <v>5785.050229022129</v>
      </c>
      <c r="U422" t="n">
        <v>0</v>
      </c>
      <c r="V422" t="n">
        <v>0</v>
      </c>
      <c r="W422" t="inlineStr">
        <is>
          <t>CHILQUINTA</t>
        </is>
      </c>
      <c r="X422" t="n">
        <v>96.30599687562</v>
      </c>
      <c r="Y422" t="n">
        <v>5.78505022902213</v>
      </c>
      <c r="Z422" t="n">
        <v>6154.308754278862</v>
      </c>
      <c r="AA422" t="n">
        <v>0</v>
      </c>
      <c r="AB422" t="n">
        <v>0</v>
      </c>
      <c r="AC422" t="n">
        <v>0</v>
      </c>
      <c r="AD422" s="2" t="n">
        <v>44593</v>
      </c>
    </row>
    <row r="423">
      <c r="A423" t="n">
        <v>-1</v>
      </c>
      <c r="B423" t="inlineStr">
        <is>
          <t>01-02-2022</t>
        </is>
      </c>
      <c r="C423" t="n">
        <v>2022</v>
      </c>
      <c r="D423" t="n">
        <v>2</v>
      </c>
      <c r="E423" t="inlineStr">
        <is>
          <t>Mayaca 012</t>
        </is>
      </c>
      <c r="F423" t="inlineStr">
        <is>
          <t>Chilquinta</t>
        </is>
      </c>
      <c r="G423" t="inlineStr">
        <is>
          <t>Chilquinta</t>
        </is>
      </c>
      <c r="H423" t="inlineStr">
        <is>
          <t>Empresa Eléctrica Carén S.A.</t>
        </is>
      </c>
      <c r="I423" t="inlineStr">
        <is>
          <t>Empresa Eléctrica Carén S.A.</t>
        </is>
      </c>
      <c r="J423" t="inlineStr">
        <is>
          <t>SIC 2013/03_2_BS1B_BB_CHILQUINTA_Empresa Eléctrica Carén S.A.</t>
        </is>
      </c>
      <c r="K423" t="inlineStr">
        <is>
          <t>Mayaca 012</t>
        </is>
      </c>
      <c r="L423" t="inlineStr">
        <is>
          <t>-1</t>
        </is>
      </c>
      <c r="M423" t="n">
        <v>532.710225411284</v>
      </c>
      <c r="N423" t="n">
        <v>0</v>
      </c>
      <c r="O423" t="inlineStr">
        <is>
          <t>3</t>
        </is>
      </c>
      <c r="P423" s="2" t="n">
        <v>44999.6862684375</v>
      </c>
      <c r="Q423" t="n">
        <v>13</v>
      </c>
      <c r="R423" t="inlineStr">
        <is>
          <t>MELIPILLA 220</t>
        </is>
      </c>
      <c r="S423" t="n">
        <v>44.54740389165782</v>
      </c>
      <c r="T423" t="n">
        <v>4077.653498955461</v>
      </c>
      <c r="U423" t="n">
        <v>0</v>
      </c>
      <c r="V423" t="n">
        <v>0</v>
      </c>
      <c r="W423" t="inlineStr">
        <is>
          <t>CHILQUINTA</t>
        </is>
      </c>
      <c r="X423" t="n">
        <v>97.37782396384</v>
      </c>
      <c r="Y423" t="n">
        <v>4.07765349895546</v>
      </c>
      <c r="Z423" t="n">
        <v>4337.929254207937</v>
      </c>
      <c r="AA423" t="n">
        <v>0</v>
      </c>
      <c r="AB423" t="n">
        <v>0</v>
      </c>
      <c r="AC423" t="n">
        <v>0</v>
      </c>
      <c r="AD423" s="2" t="n">
        <v>44593</v>
      </c>
    </row>
    <row r="424">
      <c r="A424" t="n">
        <v>-1</v>
      </c>
      <c r="B424" t="inlineStr">
        <is>
          <t>01-02-2022</t>
        </is>
      </c>
      <c r="C424" t="n">
        <v>2022</v>
      </c>
      <c r="D424" t="n">
        <v>2</v>
      </c>
      <c r="E424" t="inlineStr">
        <is>
          <t>Mayaca 012</t>
        </is>
      </c>
      <c r="F424" t="inlineStr">
        <is>
          <t>Chilquinta</t>
        </is>
      </c>
      <c r="G424" t="inlineStr">
        <is>
          <t>Chilquinta</t>
        </is>
      </c>
      <c r="H424" t="inlineStr">
        <is>
          <t>Empresa Eléctrica Carén S.A.</t>
        </is>
      </c>
      <c r="I424" t="inlineStr">
        <is>
          <t>Empresa Eléctrica Carén S.A.</t>
        </is>
      </c>
      <c r="J424" t="inlineStr">
        <is>
          <t>SIC 2013/03_2_BS1B_BB_CHILQUINTA_Empresa Eléctrica Carén S.A.</t>
        </is>
      </c>
      <c r="K424" t="inlineStr">
        <is>
          <t>Mayaca 012</t>
        </is>
      </c>
      <c r="L424" t="inlineStr">
        <is>
          <t>-1</t>
        </is>
      </c>
      <c r="M424" t="n">
        <v>532.710225411284</v>
      </c>
      <c r="N424" t="n">
        <v>0</v>
      </c>
      <c r="O424" t="inlineStr">
        <is>
          <t>3</t>
        </is>
      </c>
      <c r="P424" s="2" t="n">
        <v>44999.6862684375</v>
      </c>
      <c r="Q424" t="n">
        <v>5</v>
      </c>
      <c r="R424" t="inlineStr">
        <is>
          <t>NOGALES 220</t>
        </is>
      </c>
      <c r="S424" t="n">
        <v>70.57676262850032</v>
      </c>
      <c r="T424" t="n">
        <v>6650.698835305176</v>
      </c>
      <c r="U424" t="n">
        <v>0</v>
      </c>
      <c r="V424" t="n">
        <v>0</v>
      </c>
      <c r="W424" t="inlineStr">
        <is>
          <t>CHILQUINTA</t>
        </is>
      </c>
      <c r="X424" t="n">
        <v>100.24845662251</v>
      </c>
      <c r="Y424" t="n">
        <v>6.650698835305175</v>
      </c>
      <c r="Z424" t="n">
        <v>7075.2115269204</v>
      </c>
      <c r="AA424" t="n">
        <v>0</v>
      </c>
      <c r="AB424" t="n">
        <v>0</v>
      </c>
      <c r="AC424" t="n">
        <v>0</v>
      </c>
      <c r="AD424" s="2" t="n">
        <v>44593</v>
      </c>
    </row>
    <row r="425">
      <c r="A425" t="n">
        <v>-1</v>
      </c>
      <c r="B425" t="inlineStr">
        <is>
          <t>01-02-2022</t>
        </is>
      </c>
      <c r="C425" t="n">
        <v>2022</v>
      </c>
      <c r="D425" t="n">
        <v>2</v>
      </c>
      <c r="E425" t="inlineStr">
        <is>
          <t>Mayaca 012</t>
        </is>
      </c>
      <c r="F425" t="inlineStr">
        <is>
          <t>Chilquinta</t>
        </is>
      </c>
      <c r="G425" t="inlineStr">
        <is>
          <t>Chilquinta</t>
        </is>
      </c>
      <c r="H425" t="inlineStr">
        <is>
          <t>Empresa Eléctrica Carén S.A.</t>
        </is>
      </c>
      <c r="I425" t="inlineStr">
        <is>
          <t>Empresa Eléctrica Carén S.A.</t>
        </is>
      </c>
      <c r="J425" t="inlineStr">
        <is>
          <t>SIC 2013/03_2_BS1B_BB_CHILQUINTA_Empresa Eléctrica Carén S.A.</t>
        </is>
      </c>
      <c r="K425" t="inlineStr">
        <is>
          <t>Mayaca 012</t>
        </is>
      </c>
      <c r="L425" t="inlineStr">
        <is>
          <t>-1</t>
        </is>
      </c>
      <c r="M425" t="n">
        <v>532.710225411284</v>
      </c>
      <c r="N425" t="n">
        <v>0</v>
      </c>
      <c r="O425" t="inlineStr">
        <is>
          <t>3</t>
        </is>
      </c>
      <c r="P425" s="2" t="n">
        <v>44999.6862684375</v>
      </c>
      <c r="Q425" t="n">
        <v>11</v>
      </c>
      <c r="R425" t="inlineStr">
        <is>
          <t>QUILLOTA 220</t>
        </is>
      </c>
      <c r="S425" t="n">
        <v>368.8432999874652</v>
      </c>
      <c r="T425" t="n">
        <v>33681.34237691759</v>
      </c>
      <c r="U425" t="n">
        <v>0</v>
      </c>
      <c r="V425" t="n">
        <v>0</v>
      </c>
      <c r="W425" t="inlineStr">
        <is>
          <t>CHILQUINTA</t>
        </is>
      </c>
      <c r="X425" t="n">
        <v>97.14481812686002</v>
      </c>
      <c r="Y425" t="n">
        <v>33.68134237691758</v>
      </c>
      <c r="Z425" t="n">
        <v>35831.21529459318</v>
      </c>
      <c r="AA425" t="n">
        <v>0</v>
      </c>
      <c r="AB425" t="n">
        <v>0</v>
      </c>
      <c r="AC425" t="n">
        <v>0</v>
      </c>
      <c r="AD425" s="2" t="n">
        <v>44593</v>
      </c>
    </row>
    <row r="426">
      <c r="A426" t="n">
        <v>-1</v>
      </c>
      <c r="B426" t="inlineStr">
        <is>
          <t>01-02-2022</t>
        </is>
      </c>
      <c r="C426" t="n">
        <v>2022</v>
      </c>
      <c r="D426" t="n">
        <v>2</v>
      </c>
      <c r="E426" t="inlineStr">
        <is>
          <t>Miraflores 012</t>
        </is>
      </c>
      <c r="F426" t="inlineStr">
        <is>
          <t>Chilquinta</t>
        </is>
      </c>
      <c r="G426" t="inlineStr">
        <is>
          <t>Chilquinta</t>
        </is>
      </c>
      <c r="H426" t="inlineStr">
        <is>
          <t>Empresa Eléctrica Carén S.A.</t>
        </is>
      </c>
      <c r="I426" t="inlineStr">
        <is>
          <t>Empresa Eléctrica Carén S.A.</t>
        </is>
      </c>
      <c r="J426" t="inlineStr">
        <is>
          <t>SIC 2013/03_2_BS1B_BB_CHILQUINTA_Empresa Eléctrica Carén S.A.</t>
        </is>
      </c>
      <c r="K426" t="inlineStr">
        <is>
          <t>Miraflores 012</t>
        </is>
      </c>
      <c r="L426" t="inlineStr">
        <is>
          <t>-1</t>
        </is>
      </c>
      <c r="M426" t="n">
        <v>459.3555099759495</v>
      </c>
      <c r="N426" t="n">
        <v>0</v>
      </c>
      <c r="O426" t="inlineStr">
        <is>
          <t>3</t>
        </is>
      </c>
      <c r="P426" s="2" t="n">
        <v>44999.6862684375</v>
      </c>
      <c r="Q426" t="n">
        <v>31</v>
      </c>
      <c r="R426" t="inlineStr">
        <is>
          <t>LOS MAQUIS 220</t>
        </is>
      </c>
      <c r="S426" t="n">
        <v>39.70291364506025</v>
      </c>
      <c r="T426" t="n">
        <v>3594.210956806932</v>
      </c>
      <c r="U426" t="n">
        <v>0</v>
      </c>
      <c r="V426" t="n">
        <v>0</v>
      </c>
      <c r="W426" t="inlineStr">
        <is>
          <t>CHILQUINTA</t>
        </is>
      </c>
      <c r="X426" t="n">
        <v>96.30599687562</v>
      </c>
      <c r="Y426" t="n">
        <v>3.594210956806932</v>
      </c>
      <c r="Z426" t="n">
        <v>3823.628677454183</v>
      </c>
      <c r="AA426" t="n">
        <v>0</v>
      </c>
      <c r="AB426" t="n">
        <v>0</v>
      </c>
      <c r="AC426" t="n">
        <v>0</v>
      </c>
      <c r="AD426" s="2" t="n">
        <v>44593</v>
      </c>
    </row>
    <row r="427">
      <c r="A427" t="n">
        <v>-1</v>
      </c>
      <c r="B427" t="inlineStr">
        <is>
          <t>01-02-2022</t>
        </is>
      </c>
      <c r="C427" t="n">
        <v>2022</v>
      </c>
      <c r="D427" t="n">
        <v>2</v>
      </c>
      <c r="E427" t="inlineStr">
        <is>
          <t>Miraflores 012</t>
        </is>
      </c>
      <c r="F427" t="inlineStr">
        <is>
          <t>Chilquinta</t>
        </is>
      </c>
      <c r="G427" t="inlineStr">
        <is>
          <t>Chilquinta</t>
        </is>
      </c>
      <c r="H427" t="inlineStr">
        <is>
          <t>Empresa Eléctrica Carén S.A.</t>
        </is>
      </c>
      <c r="I427" t="inlineStr">
        <is>
          <t>Empresa Eléctrica Carén S.A.</t>
        </is>
      </c>
      <c r="J427" t="inlineStr">
        <is>
          <t>SIC 2013/03_2_BS1B_BB_CHILQUINTA_Empresa Eléctrica Carén S.A.</t>
        </is>
      </c>
      <c r="K427" t="inlineStr">
        <is>
          <t>Miraflores 012</t>
        </is>
      </c>
      <c r="L427" t="inlineStr">
        <is>
          <t>-1</t>
        </is>
      </c>
      <c r="M427" t="n">
        <v>459.3555099759495</v>
      </c>
      <c r="N427" t="n">
        <v>0</v>
      </c>
      <c r="O427" t="inlineStr">
        <is>
          <t>3</t>
        </is>
      </c>
      <c r="P427" s="2" t="n">
        <v>44999.6862684375</v>
      </c>
      <c r="Q427" t="n">
        <v>13</v>
      </c>
      <c r="R427" t="inlineStr">
        <is>
          <t>MELIPILLA 220</t>
        </is>
      </c>
      <c r="S427" t="n">
        <v>105.9421511768772</v>
      </c>
      <c r="T427" t="n">
        <v>9697.431178793326</v>
      </c>
      <c r="U427" t="n">
        <v>0</v>
      </c>
      <c r="V427" t="n">
        <v>0</v>
      </c>
      <c r="W427" t="inlineStr">
        <is>
          <t>CHILQUINTA</t>
        </is>
      </c>
      <c r="X427" t="n">
        <v>97.37782396384</v>
      </c>
      <c r="Y427" t="n">
        <v>9.697431178793327</v>
      </c>
      <c r="Z427" t="n">
        <v>10316.41614765248</v>
      </c>
      <c r="AA427" t="n">
        <v>0</v>
      </c>
      <c r="AB427" t="n">
        <v>0</v>
      </c>
      <c r="AC427" t="n">
        <v>0</v>
      </c>
      <c r="AD427" s="2" t="n">
        <v>44593</v>
      </c>
    </row>
    <row r="428">
      <c r="A428" t="n">
        <v>-1</v>
      </c>
      <c r="B428" t="inlineStr">
        <is>
          <t>01-02-2022</t>
        </is>
      </c>
      <c r="C428" t="n">
        <v>2022</v>
      </c>
      <c r="D428" t="n">
        <v>2</v>
      </c>
      <c r="E428" t="inlineStr">
        <is>
          <t>Miraflores 012</t>
        </is>
      </c>
      <c r="F428" t="inlineStr">
        <is>
          <t>Chilquinta</t>
        </is>
      </c>
      <c r="G428" t="inlineStr">
        <is>
          <t>Chilquinta</t>
        </is>
      </c>
      <c r="H428" t="inlineStr">
        <is>
          <t>Empresa Eléctrica Carén S.A.</t>
        </is>
      </c>
      <c r="I428" t="inlineStr">
        <is>
          <t>Empresa Eléctrica Carén S.A.</t>
        </is>
      </c>
      <c r="J428" t="inlineStr">
        <is>
          <t>SIC 2013/03_2_BS1B_BB_CHILQUINTA_Empresa Eléctrica Carén S.A.</t>
        </is>
      </c>
      <c r="K428" t="inlineStr">
        <is>
          <t>Miraflores 012</t>
        </is>
      </c>
      <c r="L428" t="inlineStr">
        <is>
          <t>-1</t>
        </is>
      </c>
      <c r="M428" t="n">
        <v>459.3555099759495</v>
      </c>
      <c r="N428" t="n">
        <v>0</v>
      </c>
      <c r="O428" t="inlineStr">
        <is>
          <t>3</t>
        </is>
      </c>
      <c r="P428" s="2" t="n">
        <v>44999.6862684375</v>
      </c>
      <c r="Q428" t="n">
        <v>5</v>
      </c>
      <c r="R428" t="inlineStr">
        <is>
          <t>NOGALES 220</t>
        </is>
      </c>
      <c r="S428" t="n">
        <v>78.13026961708788</v>
      </c>
      <c r="T428" t="n">
        <v>7362.492607936826</v>
      </c>
      <c r="U428" t="n">
        <v>0</v>
      </c>
      <c r="V428" t="n">
        <v>0</v>
      </c>
      <c r="W428" t="inlineStr">
        <is>
          <t>CHILQUINTA</t>
        </is>
      </c>
      <c r="X428" t="n">
        <v>100.24845662251</v>
      </c>
      <c r="Y428" t="n">
        <v>7.362492607936828</v>
      </c>
      <c r="Z428" t="n">
        <v>7832.438944613646</v>
      </c>
      <c r="AA428" t="n">
        <v>0</v>
      </c>
      <c r="AB428" t="n">
        <v>0</v>
      </c>
      <c r="AC428" t="n">
        <v>0</v>
      </c>
      <c r="AD428" s="2" t="n">
        <v>44593</v>
      </c>
    </row>
    <row r="429">
      <c r="A429" t="n">
        <v>-1</v>
      </c>
      <c r="B429" t="inlineStr">
        <is>
          <t>01-02-2022</t>
        </is>
      </c>
      <c r="C429" t="n">
        <v>2022</v>
      </c>
      <c r="D429" t="n">
        <v>2</v>
      </c>
      <c r="E429" t="inlineStr">
        <is>
          <t>Miraflores 012</t>
        </is>
      </c>
      <c r="F429" t="inlineStr">
        <is>
          <t>Chilquinta</t>
        </is>
      </c>
      <c r="G429" t="inlineStr">
        <is>
          <t>Chilquinta</t>
        </is>
      </c>
      <c r="H429" t="inlineStr">
        <is>
          <t>Empresa Eléctrica Carén S.A.</t>
        </is>
      </c>
      <c r="I429" t="inlineStr">
        <is>
          <t>Empresa Eléctrica Carén S.A.</t>
        </is>
      </c>
      <c r="J429" t="inlineStr">
        <is>
          <t>SIC 2013/03_2_BS1B_BB_CHILQUINTA_Empresa Eléctrica Carén S.A.</t>
        </is>
      </c>
      <c r="K429" t="inlineStr">
        <is>
          <t>Miraflores 012</t>
        </is>
      </c>
      <c r="L429" t="inlineStr">
        <is>
          <t>-1</t>
        </is>
      </c>
      <c r="M429" t="n">
        <v>459.3555099759495</v>
      </c>
      <c r="N429" t="n">
        <v>0</v>
      </c>
      <c r="O429" t="inlineStr">
        <is>
          <t>3</t>
        </is>
      </c>
      <c r="P429" s="2" t="n">
        <v>44999.6862684375</v>
      </c>
      <c r="Q429" t="n">
        <v>11</v>
      </c>
      <c r="R429" t="inlineStr">
        <is>
          <t>QUILLOTA 220</t>
        </is>
      </c>
      <c r="S429" t="n">
        <v>248.6534333508396</v>
      </c>
      <c r="T429" t="n">
        <v>22706.06900591742</v>
      </c>
      <c r="U429" t="n">
        <v>0</v>
      </c>
      <c r="V429" t="n">
        <v>0</v>
      </c>
      <c r="W429" t="inlineStr">
        <is>
          <t>CHILQUINTA</t>
        </is>
      </c>
      <c r="X429" t="n">
        <v>97.14481812686</v>
      </c>
      <c r="Y429" t="n">
        <v>22.70606900591742</v>
      </c>
      <c r="Z429" t="n">
        <v>24155.39255948662</v>
      </c>
      <c r="AA429" t="n">
        <v>0</v>
      </c>
      <c r="AB429" t="n">
        <v>0</v>
      </c>
      <c r="AC429" t="n">
        <v>0</v>
      </c>
      <c r="AD429" s="2" t="n">
        <v>44593</v>
      </c>
    </row>
    <row r="430">
      <c r="A430" t="n">
        <v>-1</v>
      </c>
      <c r="B430" t="inlineStr">
        <is>
          <t>01-02-2022</t>
        </is>
      </c>
      <c r="C430" t="n">
        <v>2022</v>
      </c>
      <c r="D430" t="n">
        <v>2</v>
      </c>
      <c r="E430" t="inlineStr">
        <is>
          <t>Panquehue 012</t>
        </is>
      </c>
      <c r="F430" t="inlineStr">
        <is>
          <t>Chilquinta</t>
        </is>
      </c>
      <c r="G430" t="inlineStr">
        <is>
          <t>Chilquinta</t>
        </is>
      </c>
      <c r="H430" t="inlineStr">
        <is>
          <t>Empresa Eléctrica Carén S.A.</t>
        </is>
      </c>
      <c r="I430" t="inlineStr">
        <is>
          <t>Empresa Eléctrica Carén S.A.</t>
        </is>
      </c>
      <c r="J430" t="inlineStr">
        <is>
          <t>SIC 2013/03_2_BS1B_BB_CHILQUINTA_Empresa Eléctrica Carén S.A.</t>
        </is>
      </c>
      <c r="K430" t="inlineStr">
        <is>
          <t>Panquehue 012</t>
        </is>
      </c>
      <c r="L430" t="inlineStr">
        <is>
          <t>-1</t>
        </is>
      </c>
      <c r="M430" t="n">
        <v>162.5815769341763</v>
      </c>
      <c r="N430" t="n">
        <v>0</v>
      </c>
      <c r="O430" t="inlineStr">
        <is>
          <t>3</t>
        </is>
      </c>
      <c r="P430" s="2" t="n">
        <v>44999.6862684375</v>
      </c>
      <c r="Q430" t="n">
        <v>31</v>
      </c>
      <c r="R430" t="inlineStr">
        <is>
          <t>LOS MAQUIS 220</t>
        </is>
      </c>
      <c r="S430" t="n">
        <v>60.56130044140433</v>
      </c>
      <c r="T430" t="n">
        <v>5482.471426427766</v>
      </c>
      <c r="U430" t="n">
        <v>0</v>
      </c>
      <c r="V430" t="n">
        <v>0</v>
      </c>
      <c r="W430" t="inlineStr">
        <is>
          <t>CHILQUINTA</t>
        </is>
      </c>
      <c r="X430" t="n">
        <v>96.30599687562001</v>
      </c>
      <c r="Y430" t="n">
        <v>5.482471426427767</v>
      </c>
      <c r="Z430" t="n">
        <v>5832.416411093369</v>
      </c>
      <c r="AA430" t="n">
        <v>0</v>
      </c>
      <c r="AB430" t="n">
        <v>0</v>
      </c>
      <c r="AC430" t="n">
        <v>0</v>
      </c>
      <c r="AD430" s="2" t="n">
        <v>44593</v>
      </c>
    </row>
    <row r="431">
      <c r="A431" t="n">
        <v>-1</v>
      </c>
      <c r="B431" t="inlineStr">
        <is>
          <t>01-02-2022</t>
        </is>
      </c>
      <c r="C431" t="n">
        <v>2022</v>
      </c>
      <c r="D431" t="n">
        <v>2</v>
      </c>
      <c r="E431" t="inlineStr">
        <is>
          <t>Panquehue 012</t>
        </is>
      </c>
      <c r="F431" t="inlineStr">
        <is>
          <t>Chilquinta</t>
        </is>
      </c>
      <c r="G431" t="inlineStr">
        <is>
          <t>Chilquinta</t>
        </is>
      </c>
      <c r="H431" t="inlineStr">
        <is>
          <t>Empresa Eléctrica Carén S.A.</t>
        </is>
      </c>
      <c r="I431" t="inlineStr">
        <is>
          <t>Empresa Eléctrica Carén S.A.</t>
        </is>
      </c>
      <c r="J431" t="inlineStr">
        <is>
          <t>SIC 2013/03_2_BS1B_BB_CHILQUINTA_Empresa Eléctrica Carén S.A.</t>
        </is>
      </c>
      <c r="K431" t="inlineStr">
        <is>
          <t>Panquehue 012</t>
        </is>
      </c>
      <c r="L431" t="inlineStr">
        <is>
          <t>-1</t>
        </is>
      </c>
      <c r="M431" t="n">
        <v>162.5815769341763</v>
      </c>
      <c r="N431" t="n">
        <v>0</v>
      </c>
      <c r="O431" t="inlineStr">
        <is>
          <t>3</t>
        </is>
      </c>
      <c r="P431" s="2" t="n">
        <v>44999.6862684375</v>
      </c>
      <c r="Q431" t="n">
        <v>13</v>
      </c>
      <c r="R431" t="inlineStr">
        <is>
          <t>MELIPILLA 220</t>
        </is>
      </c>
      <c r="S431" t="n">
        <v>8.091226506418055</v>
      </c>
      <c r="T431" t="n">
        <v>740.6316685699215</v>
      </c>
      <c r="U431" t="n">
        <v>0</v>
      </c>
      <c r="V431" t="n">
        <v>0</v>
      </c>
      <c r="W431" t="inlineStr">
        <is>
          <t>CHILQUINTA</t>
        </is>
      </c>
      <c r="X431" t="n">
        <v>97.37782396384</v>
      </c>
      <c r="Y431" t="n">
        <v>0.7406316685699215</v>
      </c>
      <c r="Z431" t="n">
        <v>787.9060303935336</v>
      </c>
      <c r="AA431" t="n">
        <v>0</v>
      </c>
      <c r="AB431" t="n">
        <v>0</v>
      </c>
      <c r="AC431" t="n">
        <v>0</v>
      </c>
      <c r="AD431" s="2" t="n">
        <v>44593</v>
      </c>
    </row>
    <row r="432">
      <c r="A432" t="n">
        <v>-1</v>
      </c>
      <c r="B432" t="inlineStr">
        <is>
          <t>01-02-2022</t>
        </is>
      </c>
      <c r="C432" t="n">
        <v>2022</v>
      </c>
      <c r="D432" t="n">
        <v>2</v>
      </c>
      <c r="E432" t="inlineStr">
        <is>
          <t>Panquehue 012</t>
        </is>
      </c>
      <c r="F432" t="inlineStr">
        <is>
          <t>Chilquinta</t>
        </is>
      </c>
      <c r="G432" t="inlineStr">
        <is>
          <t>Chilquinta</t>
        </is>
      </c>
      <c r="H432" t="inlineStr">
        <is>
          <t>Empresa Eléctrica Carén S.A.</t>
        </is>
      </c>
      <c r="I432" t="inlineStr">
        <is>
          <t>Empresa Eléctrica Carén S.A.</t>
        </is>
      </c>
      <c r="J432" t="inlineStr">
        <is>
          <t>SIC 2013/03_2_BS1B_BB_CHILQUINTA_Empresa Eléctrica Carén S.A.</t>
        </is>
      </c>
      <c r="K432" t="inlineStr">
        <is>
          <t>Panquehue 012</t>
        </is>
      </c>
      <c r="L432" t="inlineStr">
        <is>
          <t>-1</t>
        </is>
      </c>
      <c r="M432" t="n">
        <v>162.5815769341763</v>
      </c>
      <c r="N432" t="n">
        <v>0</v>
      </c>
      <c r="O432" t="inlineStr">
        <is>
          <t>3</t>
        </is>
      </c>
      <c r="P432" s="2" t="n">
        <v>44999.6862684375</v>
      </c>
      <c r="Q432" t="n">
        <v>5</v>
      </c>
      <c r="R432" t="inlineStr">
        <is>
          <t>NOGALES 220</t>
        </is>
      </c>
      <c r="S432" t="n">
        <v>25.0344788704466</v>
      </c>
      <c r="T432" t="n">
        <v>2359.087796964443</v>
      </c>
      <c r="U432" t="n">
        <v>0</v>
      </c>
      <c r="V432" t="n">
        <v>0</v>
      </c>
      <c r="W432" t="inlineStr">
        <is>
          <t>CHILQUINTA</t>
        </is>
      </c>
      <c r="X432" t="n">
        <v>100.24845662251</v>
      </c>
      <c r="Y432" t="n">
        <v>2.359087796964443</v>
      </c>
      <c r="Z432" t="n">
        <v>2509.66786911111</v>
      </c>
      <c r="AA432" t="n">
        <v>0</v>
      </c>
      <c r="AB432" t="n">
        <v>0</v>
      </c>
      <c r="AC432" t="n">
        <v>0</v>
      </c>
      <c r="AD432" s="2" t="n">
        <v>44593</v>
      </c>
    </row>
    <row r="433">
      <c r="A433" t="n">
        <v>-1</v>
      </c>
      <c r="B433" t="inlineStr">
        <is>
          <t>01-02-2022</t>
        </is>
      </c>
      <c r="C433" t="n">
        <v>2022</v>
      </c>
      <c r="D433" t="n">
        <v>2</v>
      </c>
      <c r="E433" t="inlineStr">
        <is>
          <t>Panquehue 012</t>
        </is>
      </c>
      <c r="F433" t="inlineStr">
        <is>
          <t>Chilquinta</t>
        </is>
      </c>
      <c r="G433" t="inlineStr">
        <is>
          <t>Chilquinta</t>
        </is>
      </c>
      <c r="H433" t="inlineStr">
        <is>
          <t>Empresa Eléctrica Carén S.A.</t>
        </is>
      </c>
      <c r="I433" t="inlineStr">
        <is>
          <t>Empresa Eléctrica Carén S.A.</t>
        </is>
      </c>
      <c r="J433" t="inlineStr">
        <is>
          <t>SIC 2013/03_2_BS1B_BB_CHILQUINTA_Empresa Eléctrica Carén S.A.</t>
        </is>
      </c>
      <c r="K433" t="inlineStr">
        <is>
          <t>Panquehue 012</t>
        </is>
      </c>
      <c r="L433" t="inlineStr">
        <is>
          <t>-1</t>
        </is>
      </c>
      <c r="M433" t="n">
        <v>162.5815769341763</v>
      </c>
      <c r="N433" t="n">
        <v>0</v>
      </c>
      <c r="O433" t="inlineStr">
        <is>
          <t>3</t>
        </is>
      </c>
      <c r="P433" s="2" t="n">
        <v>44999.6862684375</v>
      </c>
      <c r="Q433" t="n">
        <v>11</v>
      </c>
      <c r="R433" t="inlineStr">
        <is>
          <t>QUILLOTA 220</t>
        </is>
      </c>
      <c r="S433" t="n">
        <v>73.52164279545399</v>
      </c>
      <c r="T433" t="n">
        <v>6713.711820687204</v>
      </c>
      <c r="U433" t="n">
        <v>0</v>
      </c>
      <c r="V433" t="n">
        <v>0</v>
      </c>
      <c r="W433" t="inlineStr">
        <is>
          <t>CHILQUINTA</t>
        </is>
      </c>
      <c r="X433" t="n">
        <v>97.14481812686</v>
      </c>
      <c r="Y433" t="n">
        <v>6.713711820687204</v>
      </c>
      <c r="Z433" t="n">
        <v>7142.246617752345</v>
      </c>
      <c r="AA433" t="n">
        <v>0</v>
      </c>
      <c r="AB433" t="n">
        <v>0</v>
      </c>
      <c r="AC433" t="n">
        <v>0</v>
      </c>
      <c r="AD433" s="2" t="n">
        <v>44593</v>
      </c>
    </row>
    <row r="434">
      <c r="A434" t="n">
        <v>-1</v>
      </c>
      <c r="B434" t="inlineStr">
        <is>
          <t>01-02-2022</t>
        </is>
      </c>
      <c r="C434" t="n">
        <v>2022</v>
      </c>
      <c r="D434" t="n">
        <v>2</v>
      </c>
      <c r="E434" t="inlineStr">
        <is>
          <t>Peñablanca 012</t>
        </is>
      </c>
      <c r="F434" t="inlineStr">
        <is>
          <t>Chilquinta</t>
        </is>
      </c>
      <c r="G434" t="inlineStr">
        <is>
          <t>Chilquinta</t>
        </is>
      </c>
      <c r="H434" t="inlineStr">
        <is>
          <t>Empresa Eléctrica Carén S.A.</t>
        </is>
      </c>
      <c r="I434" t="inlineStr">
        <is>
          <t>Empresa Eléctrica Carén S.A.</t>
        </is>
      </c>
      <c r="J434" t="inlineStr">
        <is>
          <t>SIC 2013/03_2_BS1B_BB_CHILQUINTA_Empresa Eléctrica Carén S.A.</t>
        </is>
      </c>
      <c r="K434" t="inlineStr">
        <is>
          <t>Peñablanca 012</t>
        </is>
      </c>
      <c r="L434" t="inlineStr">
        <is>
          <t>-1</t>
        </is>
      </c>
      <c r="M434" t="n">
        <v>616.335983882537</v>
      </c>
      <c r="N434" t="n">
        <v>0</v>
      </c>
      <c r="O434" t="inlineStr">
        <is>
          <t>3</t>
        </is>
      </c>
      <c r="P434" s="2" t="n">
        <v>44999.6862684375</v>
      </c>
      <c r="Q434" t="n">
        <v>31</v>
      </c>
      <c r="R434" t="inlineStr">
        <is>
          <t>LOS MAQUIS 220</t>
        </is>
      </c>
      <c r="S434" t="n">
        <v>90.99302985397938</v>
      </c>
      <c r="T434" t="n">
        <v>8237.383981891302</v>
      </c>
      <c r="U434" t="n">
        <v>0</v>
      </c>
      <c r="V434" t="n">
        <v>0</v>
      </c>
      <c r="W434" t="inlineStr">
        <is>
          <t>CHILQUINTA</t>
        </is>
      </c>
      <c r="X434" t="n">
        <v>96.30599687562</v>
      </c>
      <c r="Y434" t="n">
        <v>8.237383981891304</v>
      </c>
      <c r="Z434" t="n">
        <v>8763.174448820535</v>
      </c>
      <c r="AA434" t="n">
        <v>0</v>
      </c>
      <c r="AB434" t="n">
        <v>0</v>
      </c>
      <c r="AC434" t="n">
        <v>0</v>
      </c>
      <c r="AD434" s="2" t="n">
        <v>44593</v>
      </c>
    </row>
    <row r="435">
      <c r="A435" t="n">
        <v>-1</v>
      </c>
      <c r="B435" t="inlineStr">
        <is>
          <t>01-02-2022</t>
        </is>
      </c>
      <c r="C435" t="n">
        <v>2022</v>
      </c>
      <c r="D435" t="n">
        <v>2</v>
      </c>
      <c r="E435" t="inlineStr">
        <is>
          <t>Peñablanca 012</t>
        </is>
      </c>
      <c r="F435" t="inlineStr">
        <is>
          <t>Chilquinta</t>
        </is>
      </c>
      <c r="G435" t="inlineStr">
        <is>
          <t>Chilquinta</t>
        </is>
      </c>
      <c r="H435" t="inlineStr">
        <is>
          <t>Empresa Eléctrica Carén S.A.</t>
        </is>
      </c>
      <c r="I435" t="inlineStr">
        <is>
          <t>Empresa Eléctrica Carén S.A.</t>
        </is>
      </c>
      <c r="J435" t="inlineStr">
        <is>
          <t>SIC 2013/03_2_BS1B_BB_CHILQUINTA_Empresa Eléctrica Carén S.A.</t>
        </is>
      </c>
      <c r="K435" t="inlineStr">
        <is>
          <t>Peñablanca 012</t>
        </is>
      </c>
      <c r="L435" t="inlineStr">
        <is>
          <t>-1</t>
        </is>
      </c>
      <c r="M435" t="n">
        <v>616.335983882537</v>
      </c>
      <c r="N435" t="n">
        <v>0</v>
      </c>
      <c r="O435" t="inlineStr">
        <is>
          <t>3</t>
        </is>
      </c>
      <c r="P435" s="2" t="n">
        <v>44999.6862684375</v>
      </c>
      <c r="Q435" t="n">
        <v>13</v>
      </c>
      <c r="R435" t="inlineStr">
        <is>
          <t>MELIPILLA 220</t>
        </is>
      </c>
      <c r="S435" t="n">
        <v>71.66612299053226</v>
      </c>
      <c r="T435" t="n">
        <v>6559.969642218381</v>
      </c>
      <c r="U435" t="n">
        <v>0</v>
      </c>
      <c r="V435" t="n">
        <v>0</v>
      </c>
      <c r="W435" t="inlineStr">
        <is>
          <t>CHILQUINTA</t>
        </is>
      </c>
      <c r="X435" t="n">
        <v>97.37782396384002</v>
      </c>
      <c r="Y435" t="n">
        <v>6.55996964221838</v>
      </c>
      <c r="Z435" t="n">
        <v>6978.691108742958</v>
      </c>
      <c r="AA435" t="n">
        <v>0</v>
      </c>
      <c r="AB435" t="n">
        <v>0</v>
      </c>
      <c r="AC435" t="n">
        <v>0</v>
      </c>
      <c r="AD435" s="2" t="n">
        <v>44593</v>
      </c>
    </row>
    <row r="436">
      <c r="A436" t="n">
        <v>-1</v>
      </c>
      <c r="B436" t="inlineStr">
        <is>
          <t>01-02-2022</t>
        </is>
      </c>
      <c r="C436" t="n">
        <v>2022</v>
      </c>
      <c r="D436" t="n">
        <v>2</v>
      </c>
      <c r="E436" t="inlineStr">
        <is>
          <t>Peñablanca 012</t>
        </is>
      </c>
      <c r="F436" t="inlineStr">
        <is>
          <t>Chilquinta</t>
        </is>
      </c>
      <c r="G436" t="inlineStr">
        <is>
          <t>Chilquinta</t>
        </is>
      </c>
      <c r="H436" t="inlineStr">
        <is>
          <t>Empresa Eléctrica Carén S.A.</t>
        </is>
      </c>
      <c r="I436" t="inlineStr">
        <is>
          <t>Empresa Eléctrica Carén S.A.</t>
        </is>
      </c>
      <c r="J436" t="inlineStr">
        <is>
          <t>SIC 2013/03_2_BS1B_BB_CHILQUINTA_Empresa Eléctrica Carén S.A.</t>
        </is>
      </c>
      <c r="K436" t="inlineStr">
        <is>
          <t>Peñablanca 012</t>
        </is>
      </c>
      <c r="L436" t="inlineStr">
        <is>
          <t>-1</t>
        </is>
      </c>
      <c r="M436" t="n">
        <v>616.335983882537</v>
      </c>
      <c r="N436" t="n">
        <v>0</v>
      </c>
      <c r="O436" t="inlineStr">
        <is>
          <t>3</t>
        </is>
      </c>
      <c r="P436" s="2" t="n">
        <v>44999.6862684375</v>
      </c>
      <c r="Q436" t="n">
        <v>5</v>
      </c>
      <c r="R436" t="inlineStr">
        <is>
          <t>NOGALES 220</t>
        </is>
      </c>
      <c r="S436" t="n">
        <v>70.63924240283845</v>
      </c>
      <c r="T436" t="n">
        <v>6656.586526195844</v>
      </c>
      <c r="U436" t="n">
        <v>0</v>
      </c>
      <c r="V436" t="n">
        <v>0</v>
      </c>
      <c r="W436" t="inlineStr">
        <is>
          <t>CHILQUINTA</t>
        </is>
      </c>
      <c r="X436" t="n">
        <v>100.24845662251</v>
      </c>
      <c r="Y436" t="n">
        <v>6.656586526195844</v>
      </c>
      <c r="Z436" t="n">
        <v>7081.475027867919</v>
      </c>
      <c r="AA436" t="n">
        <v>0</v>
      </c>
      <c r="AB436" t="n">
        <v>0</v>
      </c>
      <c r="AC436" t="n">
        <v>0</v>
      </c>
      <c r="AD436" s="2" t="n">
        <v>44593</v>
      </c>
    </row>
    <row r="437">
      <c r="A437" t="n">
        <v>-1</v>
      </c>
      <c r="B437" t="inlineStr">
        <is>
          <t>01-02-2022</t>
        </is>
      </c>
      <c r="C437" t="n">
        <v>2022</v>
      </c>
      <c r="D437" t="n">
        <v>2</v>
      </c>
      <c r="E437" t="inlineStr">
        <is>
          <t>Peñablanca 012</t>
        </is>
      </c>
      <c r="F437" t="inlineStr">
        <is>
          <t>Chilquinta</t>
        </is>
      </c>
      <c r="G437" t="inlineStr">
        <is>
          <t>Chilquinta</t>
        </is>
      </c>
      <c r="H437" t="inlineStr">
        <is>
          <t>Empresa Eléctrica Carén S.A.</t>
        </is>
      </c>
      <c r="I437" t="inlineStr">
        <is>
          <t>Empresa Eléctrica Carén S.A.</t>
        </is>
      </c>
      <c r="J437" t="inlineStr">
        <is>
          <t>SIC 2013/03_2_BS1B_BB_CHILQUINTA_Empresa Eléctrica Carén S.A.</t>
        </is>
      </c>
      <c r="K437" t="inlineStr">
        <is>
          <t>Peñablanca 012</t>
        </is>
      </c>
      <c r="L437" t="inlineStr">
        <is>
          <t>-1</t>
        </is>
      </c>
      <c r="M437" t="n">
        <v>616.335983882537</v>
      </c>
      <c r="N437" t="n">
        <v>0</v>
      </c>
      <c r="O437" t="inlineStr">
        <is>
          <t>3</t>
        </is>
      </c>
      <c r="P437" s="2" t="n">
        <v>44999.6862684375</v>
      </c>
      <c r="Q437" t="n">
        <v>11</v>
      </c>
      <c r="R437" t="inlineStr">
        <is>
          <t>QUILLOTA 220</t>
        </is>
      </c>
      <c r="S437" t="n">
        <v>400.5785107364839</v>
      </c>
      <c r="T437" t="n">
        <v>36579.27897676271</v>
      </c>
      <c r="U437" t="n">
        <v>0</v>
      </c>
      <c r="V437" t="n">
        <v>0</v>
      </c>
      <c r="W437" t="inlineStr">
        <is>
          <t>CHILQUINTA</t>
        </is>
      </c>
      <c r="X437" t="n">
        <v>97.14481812686</v>
      </c>
      <c r="Y437" t="n">
        <v>36.57927897676271</v>
      </c>
      <c r="Z437" t="n">
        <v>38914.12657102416</v>
      </c>
      <c r="AA437" t="n">
        <v>0</v>
      </c>
      <c r="AB437" t="n">
        <v>0</v>
      </c>
      <c r="AC437" t="n">
        <v>0</v>
      </c>
      <c r="AD437" s="2" t="n">
        <v>44593</v>
      </c>
    </row>
    <row r="438">
      <c r="A438" t="n">
        <v>-1</v>
      </c>
      <c r="B438" t="inlineStr">
        <is>
          <t>01-02-2022</t>
        </is>
      </c>
      <c r="C438" t="n">
        <v>2022</v>
      </c>
      <c r="D438" t="n">
        <v>2</v>
      </c>
      <c r="E438" t="inlineStr">
        <is>
          <t>Placeres 012</t>
        </is>
      </c>
      <c r="F438" t="inlineStr">
        <is>
          <t>Chilquinta</t>
        </is>
      </c>
      <c r="G438" t="inlineStr">
        <is>
          <t>Chilquinta</t>
        </is>
      </c>
      <c r="H438" t="inlineStr">
        <is>
          <t>Empresa Eléctrica Carén S.A.</t>
        </is>
      </c>
      <c r="I438" t="inlineStr">
        <is>
          <t>Empresa Eléctrica Carén S.A.</t>
        </is>
      </c>
      <c r="J438" t="inlineStr">
        <is>
          <t>SIC 2013/03_2_BS1B_BB_CHILQUINTA_Empresa Eléctrica Carén S.A.</t>
        </is>
      </c>
      <c r="K438" t="inlineStr">
        <is>
          <t>Placeres 012</t>
        </is>
      </c>
      <c r="L438" t="inlineStr">
        <is>
          <t>-1</t>
        </is>
      </c>
      <c r="M438" t="n">
        <v>611.7319244977257</v>
      </c>
      <c r="N438" t="n">
        <v>0</v>
      </c>
      <c r="O438" t="inlineStr">
        <is>
          <t>3</t>
        </is>
      </c>
      <c r="P438" s="2" t="n">
        <v>44999.6862684375</v>
      </c>
      <c r="Q438" t="n">
        <v>31</v>
      </c>
      <c r="R438" t="inlineStr">
        <is>
          <t>LOS MAQUIS 220</t>
        </is>
      </c>
      <c r="S438" t="n">
        <v>48.4879596873625</v>
      </c>
      <c r="T438" t="n">
        <v>4389.500416506941</v>
      </c>
      <c r="U438" t="n">
        <v>0</v>
      </c>
      <c r="V438" t="n">
        <v>0</v>
      </c>
      <c r="W438" t="inlineStr">
        <is>
          <t>CHILQUINTA</t>
        </is>
      </c>
      <c r="X438" t="n">
        <v>96.30599687561998</v>
      </c>
      <c r="Y438" t="n">
        <v>4.389500416506942</v>
      </c>
      <c r="Z438" t="n">
        <v>4669.681294156321</v>
      </c>
      <c r="AA438" t="n">
        <v>0</v>
      </c>
      <c r="AB438" t="n">
        <v>0</v>
      </c>
      <c r="AC438" t="n">
        <v>0</v>
      </c>
      <c r="AD438" s="2" t="n">
        <v>44593</v>
      </c>
    </row>
    <row r="439">
      <c r="A439" t="n">
        <v>-1</v>
      </c>
      <c r="B439" t="inlineStr">
        <is>
          <t>01-02-2022</t>
        </is>
      </c>
      <c r="C439" t="n">
        <v>2022</v>
      </c>
      <c r="D439" t="n">
        <v>2</v>
      </c>
      <c r="E439" t="inlineStr">
        <is>
          <t>Placeres 012</t>
        </is>
      </c>
      <c r="F439" t="inlineStr">
        <is>
          <t>Chilquinta</t>
        </is>
      </c>
      <c r="G439" t="inlineStr">
        <is>
          <t>Chilquinta</t>
        </is>
      </c>
      <c r="H439" t="inlineStr">
        <is>
          <t>Empresa Eléctrica Carén S.A.</t>
        </is>
      </c>
      <c r="I439" t="inlineStr">
        <is>
          <t>Empresa Eléctrica Carén S.A.</t>
        </is>
      </c>
      <c r="J439" t="inlineStr">
        <is>
          <t>SIC 2013/03_2_BS1B_BB_CHILQUINTA_Empresa Eléctrica Carén S.A.</t>
        </is>
      </c>
      <c r="K439" t="inlineStr">
        <is>
          <t>Placeres 012</t>
        </is>
      </c>
      <c r="L439" t="inlineStr">
        <is>
          <t>-1</t>
        </is>
      </c>
      <c r="M439" t="n">
        <v>611.7319244977257</v>
      </c>
      <c r="N439" t="n">
        <v>0</v>
      </c>
      <c r="O439" t="inlineStr">
        <is>
          <t>3</t>
        </is>
      </c>
      <c r="P439" s="2" t="n">
        <v>44999.6862684375</v>
      </c>
      <c r="Q439" t="n">
        <v>13</v>
      </c>
      <c r="R439" t="inlineStr">
        <is>
          <t>MELIPILLA 220</t>
        </is>
      </c>
      <c r="S439" t="n">
        <v>248.7815479327074</v>
      </c>
      <c r="T439" t="n">
        <v>22772.25743324023</v>
      </c>
      <c r="U439" t="n">
        <v>0</v>
      </c>
      <c r="V439" t="n">
        <v>0</v>
      </c>
      <c r="W439" t="inlineStr">
        <is>
          <t>CHILQUINTA</t>
        </is>
      </c>
      <c r="X439" t="n">
        <v>97.37782396384</v>
      </c>
      <c r="Y439" t="n">
        <v>22.77225743324023</v>
      </c>
      <c r="Z439" t="n">
        <v>24225.8057800428</v>
      </c>
      <c r="AA439" t="n">
        <v>0</v>
      </c>
      <c r="AB439" t="n">
        <v>0</v>
      </c>
      <c r="AC439" t="n">
        <v>0</v>
      </c>
      <c r="AD439" s="2" t="n">
        <v>44593</v>
      </c>
    </row>
    <row r="440">
      <c r="A440" t="n">
        <v>-1</v>
      </c>
      <c r="B440" t="inlineStr">
        <is>
          <t>01-02-2022</t>
        </is>
      </c>
      <c r="C440" t="n">
        <v>2022</v>
      </c>
      <c r="D440" t="n">
        <v>2</v>
      </c>
      <c r="E440" t="inlineStr">
        <is>
          <t>Placeres 012</t>
        </is>
      </c>
      <c r="F440" t="inlineStr">
        <is>
          <t>Chilquinta</t>
        </is>
      </c>
      <c r="G440" t="inlineStr">
        <is>
          <t>Chilquinta</t>
        </is>
      </c>
      <c r="H440" t="inlineStr">
        <is>
          <t>Empresa Eléctrica Carén S.A.</t>
        </is>
      </c>
      <c r="I440" t="inlineStr">
        <is>
          <t>Empresa Eléctrica Carén S.A.</t>
        </is>
      </c>
      <c r="J440" t="inlineStr">
        <is>
          <t>SIC 2013/03_2_BS1B_BB_CHILQUINTA_Empresa Eléctrica Carén S.A.</t>
        </is>
      </c>
      <c r="K440" t="inlineStr">
        <is>
          <t>Placeres 012</t>
        </is>
      </c>
      <c r="L440" t="inlineStr">
        <is>
          <t>-1</t>
        </is>
      </c>
      <c r="M440" t="n">
        <v>611.7319244977257</v>
      </c>
      <c r="N440" t="n">
        <v>0</v>
      </c>
      <c r="O440" t="inlineStr">
        <is>
          <t>3</t>
        </is>
      </c>
      <c r="P440" s="2" t="n">
        <v>44999.6862684375</v>
      </c>
      <c r="Q440" t="n">
        <v>5</v>
      </c>
      <c r="R440" t="inlineStr">
        <is>
          <t>NOGALES 220</t>
        </is>
      </c>
      <c r="S440" t="n">
        <v>68.86586307744517</v>
      </c>
      <c r="T440" t="n">
        <v>6489.474698241517</v>
      </c>
      <c r="U440" t="n">
        <v>0</v>
      </c>
      <c r="V440" t="n">
        <v>0</v>
      </c>
      <c r="W440" t="inlineStr">
        <is>
          <t>CHILQUINTA</t>
        </is>
      </c>
      <c r="X440" t="n">
        <v>100.24845662251</v>
      </c>
      <c r="Y440" t="n">
        <v>6.489474698241517</v>
      </c>
      <c r="Z440" t="n">
        <v>6903.696487490976</v>
      </c>
      <c r="AA440" t="n">
        <v>0</v>
      </c>
      <c r="AB440" t="n">
        <v>0</v>
      </c>
      <c r="AC440" t="n">
        <v>0</v>
      </c>
      <c r="AD440" s="2" t="n">
        <v>44593</v>
      </c>
    </row>
    <row r="441">
      <c r="A441" t="n">
        <v>-1</v>
      </c>
      <c r="B441" t="inlineStr">
        <is>
          <t>01-02-2022</t>
        </is>
      </c>
      <c r="C441" t="n">
        <v>2022</v>
      </c>
      <c r="D441" t="n">
        <v>2</v>
      </c>
      <c r="E441" t="inlineStr">
        <is>
          <t>Placeres 012</t>
        </is>
      </c>
      <c r="F441" t="inlineStr">
        <is>
          <t>Chilquinta</t>
        </is>
      </c>
      <c r="G441" t="inlineStr">
        <is>
          <t>Chilquinta</t>
        </is>
      </c>
      <c r="H441" t="inlineStr">
        <is>
          <t>Empresa Eléctrica Carén S.A.</t>
        </is>
      </c>
      <c r="I441" t="inlineStr">
        <is>
          <t>Empresa Eléctrica Carén S.A.</t>
        </is>
      </c>
      <c r="J441" t="inlineStr">
        <is>
          <t>SIC 2013/03_2_BS1B_BB_CHILQUINTA_Empresa Eléctrica Carén S.A.</t>
        </is>
      </c>
      <c r="K441" t="inlineStr">
        <is>
          <t>Placeres 012</t>
        </is>
      </c>
      <c r="L441" t="inlineStr">
        <is>
          <t>-1</t>
        </is>
      </c>
      <c r="M441" t="n">
        <v>611.7319244977257</v>
      </c>
      <c r="N441" t="n">
        <v>0</v>
      </c>
      <c r="O441" t="inlineStr">
        <is>
          <t>3</t>
        </is>
      </c>
      <c r="P441" s="2" t="n">
        <v>44999.6862684375</v>
      </c>
      <c r="Q441" t="n">
        <v>11</v>
      </c>
      <c r="R441" t="inlineStr">
        <is>
          <t>QUILLOTA 220</t>
        </is>
      </c>
      <c r="S441" t="n">
        <v>263.0064443714159</v>
      </c>
      <c r="T441" t="n">
        <v>24016.73041237412</v>
      </c>
      <c r="U441" t="n">
        <v>0</v>
      </c>
      <c r="V441" t="n">
        <v>0</v>
      </c>
      <c r="W441" t="inlineStr">
        <is>
          <t>CHILQUINTA</t>
        </is>
      </c>
      <c r="X441" t="n">
        <v>97.14481812686</v>
      </c>
      <c r="Y441" t="n">
        <v>24.01673041237412</v>
      </c>
      <c r="Z441" t="n">
        <v>25549.71320465332</v>
      </c>
      <c r="AA441" t="n">
        <v>0</v>
      </c>
      <c r="AB441" t="n">
        <v>0</v>
      </c>
      <c r="AC441" t="n">
        <v>0</v>
      </c>
      <c r="AD441" s="2" t="n">
        <v>44593</v>
      </c>
    </row>
    <row r="442">
      <c r="A442" t="n">
        <v>-1</v>
      </c>
      <c r="B442" t="inlineStr">
        <is>
          <t>01-02-2022</t>
        </is>
      </c>
      <c r="C442" t="n">
        <v>2022</v>
      </c>
      <c r="D442" t="n">
        <v>2</v>
      </c>
      <c r="E442" t="inlineStr">
        <is>
          <t>Placilla SIC2 012</t>
        </is>
      </c>
      <c r="F442" t="inlineStr">
        <is>
          <t>Chilquinta</t>
        </is>
      </c>
      <c r="G442" t="inlineStr">
        <is>
          <t>Chilquinta</t>
        </is>
      </c>
      <c r="H442" t="inlineStr">
        <is>
          <t>Empresa Eléctrica Carén S.A.</t>
        </is>
      </c>
      <c r="I442" t="inlineStr">
        <is>
          <t>Empresa Eléctrica Carén S.A.</t>
        </is>
      </c>
      <c r="J442" t="inlineStr">
        <is>
          <t>SIC 2013/03_2_BS1B_BB_CHILQUINTA_Empresa Eléctrica Carén S.A.</t>
        </is>
      </c>
      <c r="K442" t="inlineStr">
        <is>
          <t>Placilla SIC2 012</t>
        </is>
      </c>
      <c r="L442" t="inlineStr">
        <is>
          <t>-1</t>
        </is>
      </c>
      <c r="M442" t="n">
        <v>317.3685491115261</v>
      </c>
      <c r="N442" t="n">
        <v>0</v>
      </c>
      <c r="O442" t="inlineStr">
        <is>
          <t>3</t>
        </is>
      </c>
      <c r="P442" s="2" t="n">
        <v>44999.6862684375</v>
      </c>
      <c r="Q442" t="n">
        <v>31</v>
      </c>
      <c r="R442" t="inlineStr">
        <is>
          <t>LOS MAQUIS 220</t>
        </is>
      </c>
      <c r="S442" t="n">
        <v>25.44621089117996</v>
      </c>
      <c r="T442" t="n">
        <v>2303.585344187404</v>
      </c>
      <c r="U442" t="n">
        <v>0</v>
      </c>
      <c r="V442" t="n">
        <v>0</v>
      </c>
      <c r="W442" t="inlineStr">
        <is>
          <t>CHILQUINTA</t>
        </is>
      </c>
      <c r="X442" t="n">
        <v>96.30599687562</v>
      </c>
      <c r="Y442" t="n">
        <v>2.303585344187404</v>
      </c>
      <c r="Z442" t="n">
        <v>2450.622706582345</v>
      </c>
      <c r="AA442" t="n">
        <v>0</v>
      </c>
      <c r="AB442" t="n">
        <v>0</v>
      </c>
      <c r="AC442" t="n">
        <v>0</v>
      </c>
      <c r="AD442" s="2" t="n">
        <v>44593</v>
      </c>
    </row>
    <row r="443">
      <c r="A443" t="n">
        <v>-1</v>
      </c>
      <c r="B443" t="inlineStr">
        <is>
          <t>01-02-2022</t>
        </is>
      </c>
      <c r="C443" t="n">
        <v>2022</v>
      </c>
      <c r="D443" t="n">
        <v>2</v>
      </c>
      <c r="E443" t="inlineStr">
        <is>
          <t>Placilla SIC2 012</t>
        </is>
      </c>
      <c r="F443" t="inlineStr">
        <is>
          <t>Chilquinta</t>
        </is>
      </c>
      <c r="G443" t="inlineStr">
        <is>
          <t>Chilquinta</t>
        </is>
      </c>
      <c r="H443" t="inlineStr">
        <is>
          <t>Empresa Eléctrica Carén S.A.</t>
        </is>
      </c>
      <c r="I443" t="inlineStr">
        <is>
          <t>Empresa Eléctrica Carén S.A.</t>
        </is>
      </c>
      <c r="J443" t="inlineStr">
        <is>
          <t>SIC 2013/03_2_BS1B_BB_CHILQUINTA_Empresa Eléctrica Carén S.A.</t>
        </is>
      </c>
      <c r="K443" t="inlineStr">
        <is>
          <t>Placilla SIC2 012</t>
        </is>
      </c>
      <c r="L443" t="inlineStr">
        <is>
          <t>-1</t>
        </is>
      </c>
      <c r="M443" t="n">
        <v>317.3685491115261</v>
      </c>
      <c r="N443" t="n">
        <v>0</v>
      </c>
      <c r="O443" t="inlineStr">
        <is>
          <t>3</t>
        </is>
      </c>
      <c r="P443" s="2" t="n">
        <v>44999.6862684375</v>
      </c>
      <c r="Q443" t="n">
        <v>13</v>
      </c>
      <c r="R443" t="inlineStr">
        <is>
          <t>MELIPILLA 220</t>
        </is>
      </c>
      <c r="S443" t="n">
        <v>116.8710912223691</v>
      </c>
      <c r="T443" t="n">
        <v>10697.81339466292</v>
      </c>
      <c r="U443" t="n">
        <v>0</v>
      </c>
      <c r="V443" t="n">
        <v>0</v>
      </c>
      <c r="W443" t="inlineStr">
        <is>
          <t>CHILQUINTA</t>
        </is>
      </c>
      <c r="X443" t="n">
        <v>97.37782396384002</v>
      </c>
      <c r="Y443" t="n">
        <v>10.69781339466292</v>
      </c>
      <c r="Z443" t="n">
        <v>11380.65254751375</v>
      </c>
      <c r="AA443" t="n">
        <v>0</v>
      </c>
      <c r="AB443" t="n">
        <v>0</v>
      </c>
      <c r="AC443" t="n">
        <v>0</v>
      </c>
      <c r="AD443" s="2" t="n">
        <v>44593</v>
      </c>
    </row>
    <row r="444">
      <c r="A444" t="n">
        <v>-1</v>
      </c>
      <c r="B444" t="inlineStr">
        <is>
          <t>01-02-2022</t>
        </is>
      </c>
      <c r="C444" t="n">
        <v>2022</v>
      </c>
      <c r="D444" t="n">
        <v>2</v>
      </c>
      <c r="E444" t="inlineStr">
        <is>
          <t>Placilla SIC2 012</t>
        </is>
      </c>
      <c r="F444" t="inlineStr">
        <is>
          <t>Chilquinta</t>
        </is>
      </c>
      <c r="G444" t="inlineStr">
        <is>
          <t>Chilquinta</t>
        </is>
      </c>
      <c r="H444" t="inlineStr">
        <is>
          <t>Empresa Eléctrica Carén S.A.</t>
        </is>
      </c>
      <c r="I444" t="inlineStr">
        <is>
          <t>Empresa Eléctrica Carén S.A.</t>
        </is>
      </c>
      <c r="J444" t="inlineStr">
        <is>
          <t>SIC 2013/03_2_BS1B_BB_CHILQUINTA_Empresa Eléctrica Carén S.A.</t>
        </is>
      </c>
      <c r="K444" t="inlineStr">
        <is>
          <t>Placilla SIC2 012</t>
        </is>
      </c>
      <c r="L444" t="inlineStr">
        <is>
          <t>-1</t>
        </is>
      </c>
      <c r="M444" t="n">
        <v>317.3685491115261</v>
      </c>
      <c r="N444" t="n">
        <v>0</v>
      </c>
      <c r="O444" t="inlineStr">
        <is>
          <t>3</t>
        </is>
      </c>
      <c r="P444" s="2" t="n">
        <v>44999.6862684375</v>
      </c>
      <c r="Q444" t="n">
        <v>5</v>
      </c>
      <c r="R444" t="inlineStr">
        <is>
          <t>NOGALES 220</t>
        </is>
      </c>
      <c r="S444" t="n">
        <v>39.43575166588459</v>
      </c>
      <c r="T444" t="n">
        <v>3716.170845838297</v>
      </c>
      <c r="U444" t="n">
        <v>0</v>
      </c>
      <c r="V444" t="n">
        <v>0</v>
      </c>
      <c r="W444" t="inlineStr">
        <is>
          <t>CHILQUINTA</t>
        </is>
      </c>
      <c r="X444" t="n">
        <v>100.24845662251</v>
      </c>
      <c r="Y444" t="n">
        <v>3.716170845838297</v>
      </c>
      <c r="Z444" t="n">
        <v>3953.373240253508</v>
      </c>
      <c r="AA444" t="n">
        <v>0</v>
      </c>
      <c r="AB444" t="n">
        <v>0</v>
      </c>
      <c r="AC444" t="n">
        <v>0</v>
      </c>
      <c r="AD444" s="2" t="n">
        <v>44593</v>
      </c>
    </row>
    <row r="445">
      <c r="A445" t="n">
        <v>-1</v>
      </c>
      <c r="B445" t="inlineStr">
        <is>
          <t>01-02-2022</t>
        </is>
      </c>
      <c r="C445" t="n">
        <v>2022</v>
      </c>
      <c r="D445" t="n">
        <v>2</v>
      </c>
      <c r="E445" t="inlineStr">
        <is>
          <t>Placilla SIC2 012</t>
        </is>
      </c>
      <c r="F445" t="inlineStr">
        <is>
          <t>Chilquinta</t>
        </is>
      </c>
      <c r="G445" t="inlineStr">
        <is>
          <t>Chilquinta</t>
        </is>
      </c>
      <c r="H445" t="inlineStr">
        <is>
          <t>Empresa Eléctrica Carén S.A.</t>
        </is>
      </c>
      <c r="I445" t="inlineStr">
        <is>
          <t>Empresa Eléctrica Carén S.A.</t>
        </is>
      </c>
      <c r="J445" t="inlineStr">
        <is>
          <t>SIC 2013/03_2_BS1B_BB_CHILQUINTA_Empresa Eléctrica Carén S.A.</t>
        </is>
      </c>
      <c r="K445" t="inlineStr">
        <is>
          <t>Placilla SIC2 012</t>
        </is>
      </c>
      <c r="L445" t="inlineStr">
        <is>
          <t>-1</t>
        </is>
      </c>
      <c r="M445" t="n">
        <v>317.3685491115261</v>
      </c>
      <c r="N445" t="n">
        <v>0</v>
      </c>
      <c r="O445" t="inlineStr">
        <is>
          <t>3</t>
        </is>
      </c>
      <c r="P445" s="2" t="n">
        <v>44999.6862684375</v>
      </c>
      <c r="Q445" t="n">
        <v>11</v>
      </c>
      <c r="R445" t="inlineStr">
        <is>
          <t>QUILLOTA 220</t>
        </is>
      </c>
      <c r="S445" t="n">
        <v>144.6478042398065</v>
      </c>
      <c r="T445" t="n">
        <v>13208.67755720611</v>
      </c>
      <c r="U445" t="n">
        <v>0</v>
      </c>
      <c r="V445" t="n">
        <v>0</v>
      </c>
      <c r="W445" t="inlineStr">
        <is>
          <t>CHILQUINTA</t>
        </is>
      </c>
      <c r="X445" t="n">
        <v>97.14481812686</v>
      </c>
      <c r="Y445" t="n">
        <v>13.20867755720611</v>
      </c>
      <c r="Z445" t="n">
        <v>14051.78463532565</v>
      </c>
      <c r="AA445" t="n">
        <v>0</v>
      </c>
      <c r="AB445" t="n">
        <v>0</v>
      </c>
      <c r="AC445" t="n">
        <v>0</v>
      </c>
      <c r="AD445" s="2" t="n">
        <v>44593</v>
      </c>
    </row>
    <row r="446">
      <c r="A446" t="n">
        <v>-1</v>
      </c>
      <c r="B446" t="inlineStr">
        <is>
          <t>01-02-2022</t>
        </is>
      </c>
      <c r="C446" t="n">
        <v>2022</v>
      </c>
      <c r="D446" t="n">
        <v>2</v>
      </c>
      <c r="E446" t="inlineStr">
        <is>
          <t>Playa Ancha 13.8</t>
        </is>
      </c>
      <c r="F446" t="inlineStr">
        <is>
          <t>Chilquinta</t>
        </is>
      </c>
      <c r="G446" t="inlineStr">
        <is>
          <t>Chilquinta</t>
        </is>
      </c>
      <c r="H446" t="inlineStr">
        <is>
          <t>Empresa Eléctrica Carén S.A.</t>
        </is>
      </c>
      <c r="I446" t="inlineStr">
        <is>
          <t>Empresa Eléctrica Carén S.A.</t>
        </is>
      </c>
      <c r="J446" t="inlineStr">
        <is>
          <t>SIC 2013/03_2_BS1B_BB_CHILQUINTA_Empresa Eléctrica Carén S.A.</t>
        </is>
      </c>
      <c r="K446" t="inlineStr">
        <is>
          <t>Playa Ancha 13.8</t>
        </is>
      </c>
      <c r="L446" t="inlineStr">
        <is>
          <t>-1</t>
        </is>
      </c>
      <c r="M446" t="n">
        <v>434.6972533578901</v>
      </c>
      <c r="N446" t="n">
        <v>0</v>
      </c>
      <c r="O446" t="inlineStr">
        <is>
          <t>3</t>
        </is>
      </c>
      <c r="P446" s="2" t="n">
        <v>44999.6862684375</v>
      </c>
      <c r="Q446" t="n">
        <v>31</v>
      </c>
      <c r="R446" t="inlineStr">
        <is>
          <t>LOS MAQUIS 220</t>
        </is>
      </c>
      <c r="S446" t="n">
        <v>6.522732875579567</v>
      </c>
      <c r="T446" t="n">
        <v>590.4875944199056</v>
      </c>
      <c r="U446" t="n">
        <v>0</v>
      </c>
      <c r="V446" t="n">
        <v>0</v>
      </c>
      <c r="W446" t="inlineStr">
        <is>
          <t>CHILQUINTA</t>
        </is>
      </c>
      <c r="X446" t="n">
        <v>96.30599687562001</v>
      </c>
      <c r="Y446" t="n">
        <v>0.5904875944199055</v>
      </c>
      <c r="Z446" t="n">
        <v>628.1782919360697</v>
      </c>
      <c r="AA446" t="n">
        <v>0</v>
      </c>
      <c r="AB446" t="n">
        <v>0</v>
      </c>
      <c r="AC446" t="n">
        <v>0</v>
      </c>
      <c r="AD446" s="2" t="n">
        <v>44593</v>
      </c>
    </row>
    <row r="447">
      <c r="A447" t="n">
        <v>-1</v>
      </c>
      <c r="B447" t="inlineStr">
        <is>
          <t>01-02-2022</t>
        </is>
      </c>
      <c r="C447" t="n">
        <v>2022</v>
      </c>
      <c r="D447" t="n">
        <v>2</v>
      </c>
      <c r="E447" t="inlineStr">
        <is>
          <t>Playa Ancha 13.8</t>
        </is>
      </c>
      <c r="F447" t="inlineStr">
        <is>
          <t>Chilquinta</t>
        </is>
      </c>
      <c r="G447" t="inlineStr">
        <is>
          <t>Chilquinta</t>
        </is>
      </c>
      <c r="H447" t="inlineStr">
        <is>
          <t>Empresa Eléctrica Carén S.A.</t>
        </is>
      </c>
      <c r="I447" t="inlineStr">
        <is>
          <t>Empresa Eléctrica Carén S.A.</t>
        </is>
      </c>
      <c r="J447" t="inlineStr">
        <is>
          <t>SIC 2013/03_2_BS1B_BB_CHILQUINTA_Empresa Eléctrica Carén S.A.</t>
        </is>
      </c>
      <c r="K447" t="inlineStr">
        <is>
          <t>Playa Ancha 13.8</t>
        </is>
      </c>
      <c r="L447" t="inlineStr">
        <is>
          <t>-1</t>
        </is>
      </c>
      <c r="M447" t="n">
        <v>434.6972533578901</v>
      </c>
      <c r="N447" t="n">
        <v>0</v>
      </c>
      <c r="O447" t="inlineStr">
        <is>
          <t>3</t>
        </is>
      </c>
      <c r="P447" s="2" t="n">
        <v>44999.6862684375</v>
      </c>
      <c r="Q447" t="n">
        <v>13</v>
      </c>
      <c r="R447" t="inlineStr">
        <is>
          <t>MELIPILLA 220</t>
        </is>
      </c>
      <c r="S447" t="n">
        <v>394.3190968875898</v>
      </c>
      <c r="T447" t="n">
        <v>36094.05946616208</v>
      </c>
      <c r="U447" t="n">
        <v>0</v>
      </c>
      <c r="V447" t="n">
        <v>0</v>
      </c>
      <c r="W447" t="inlineStr">
        <is>
          <t>CHILQUINTA</t>
        </is>
      </c>
      <c r="X447" t="n">
        <v>97.37782396384002</v>
      </c>
      <c r="Y447" t="n">
        <v>36.09405946616208</v>
      </c>
      <c r="Z447" t="n">
        <v>38397.93560230009</v>
      </c>
      <c r="AA447" t="n">
        <v>0</v>
      </c>
      <c r="AB447" t="n">
        <v>0</v>
      </c>
      <c r="AC447" t="n">
        <v>0</v>
      </c>
      <c r="AD447" s="2" t="n">
        <v>44593</v>
      </c>
    </row>
    <row r="448">
      <c r="A448" t="n">
        <v>-1</v>
      </c>
      <c r="B448" t="inlineStr">
        <is>
          <t>01-02-2022</t>
        </is>
      </c>
      <c r="C448" t="n">
        <v>2022</v>
      </c>
      <c r="D448" t="n">
        <v>2</v>
      </c>
      <c r="E448" t="inlineStr">
        <is>
          <t>Playa Ancha 13.8</t>
        </is>
      </c>
      <c r="F448" t="inlineStr">
        <is>
          <t>Chilquinta</t>
        </is>
      </c>
      <c r="G448" t="inlineStr">
        <is>
          <t>Chilquinta</t>
        </is>
      </c>
      <c r="H448" t="inlineStr">
        <is>
          <t>Empresa Eléctrica Carén S.A.</t>
        </is>
      </c>
      <c r="I448" t="inlineStr">
        <is>
          <t>Empresa Eléctrica Carén S.A.</t>
        </is>
      </c>
      <c r="J448" t="inlineStr">
        <is>
          <t>SIC 2013/03_2_BS1B_BB_CHILQUINTA_Empresa Eléctrica Carén S.A.</t>
        </is>
      </c>
      <c r="K448" t="inlineStr">
        <is>
          <t>Playa Ancha 13.8</t>
        </is>
      </c>
      <c r="L448" t="inlineStr">
        <is>
          <t>-1</t>
        </is>
      </c>
      <c r="M448" t="n">
        <v>434.6972533578901</v>
      </c>
      <c r="N448" t="n">
        <v>0</v>
      </c>
      <c r="O448" t="inlineStr">
        <is>
          <t>3</t>
        </is>
      </c>
      <c r="P448" s="2" t="n">
        <v>44999.6862684375</v>
      </c>
      <c r="Q448" t="n">
        <v>5</v>
      </c>
      <c r="R448" t="inlineStr">
        <is>
          <t>NOGALES 220</t>
        </is>
      </c>
      <c r="S448" t="n">
        <v>9.580683037948607</v>
      </c>
      <c r="T448" t="n">
        <v>902.8217666671798</v>
      </c>
      <c r="U448" t="n">
        <v>0</v>
      </c>
      <c r="V448" t="n">
        <v>0</v>
      </c>
      <c r="W448" t="inlineStr">
        <is>
          <t>CHILQUINTA</t>
        </is>
      </c>
      <c r="X448" t="n">
        <v>100.24845662251</v>
      </c>
      <c r="Y448" t="n">
        <v>0.9028217666671797</v>
      </c>
      <c r="Z448" t="n">
        <v>960.4486879438083</v>
      </c>
      <c r="AA448" t="n">
        <v>0</v>
      </c>
      <c r="AB448" t="n">
        <v>0</v>
      </c>
      <c r="AC448" t="n">
        <v>0</v>
      </c>
      <c r="AD448" s="2" t="n">
        <v>44593</v>
      </c>
    </row>
    <row r="449">
      <c r="A449" t="n">
        <v>-1</v>
      </c>
      <c r="B449" t="inlineStr">
        <is>
          <t>01-02-2022</t>
        </is>
      </c>
      <c r="C449" t="n">
        <v>2022</v>
      </c>
      <c r="D449" t="n">
        <v>2</v>
      </c>
      <c r="E449" t="inlineStr">
        <is>
          <t>Playa Ancha 13.8</t>
        </is>
      </c>
      <c r="F449" t="inlineStr">
        <is>
          <t>Chilquinta</t>
        </is>
      </c>
      <c r="G449" t="inlineStr">
        <is>
          <t>Chilquinta</t>
        </is>
      </c>
      <c r="H449" t="inlineStr">
        <is>
          <t>Empresa Eléctrica Carén S.A.</t>
        </is>
      </c>
      <c r="I449" t="inlineStr">
        <is>
          <t>Empresa Eléctrica Carén S.A.</t>
        </is>
      </c>
      <c r="J449" t="inlineStr">
        <is>
          <t>SIC 2013/03_2_BS1B_BB_CHILQUINTA_Empresa Eléctrica Carén S.A.</t>
        </is>
      </c>
      <c r="K449" t="inlineStr">
        <is>
          <t>Playa Ancha 13.8</t>
        </is>
      </c>
      <c r="L449" t="inlineStr">
        <is>
          <t>-1</t>
        </is>
      </c>
      <c r="M449" t="n">
        <v>434.6972533578901</v>
      </c>
      <c r="N449" t="n">
        <v>0</v>
      </c>
      <c r="O449" t="inlineStr">
        <is>
          <t>3</t>
        </is>
      </c>
      <c r="P449" s="2" t="n">
        <v>44999.6862684375</v>
      </c>
      <c r="Q449" t="n">
        <v>11</v>
      </c>
      <c r="R449" t="inlineStr">
        <is>
          <t>QUILLOTA 220</t>
        </is>
      </c>
      <c r="S449" t="n">
        <v>36.64622438733771</v>
      </c>
      <c r="T449" t="n">
        <v>3346.391354955383</v>
      </c>
      <c r="U449" t="n">
        <v>0</v>
      </c>
      <c r="V449" t="n">
        <v>0</v>
      </c>
      <c r="W449" t="inlineStr">
        <is>
          <t>CHILQUINTA</t>
        </is>
      </c>
      <c r="X449" t="n">
        <v>97.14481812686</v>
      </c>
      <c r="Y449" t="n">
        <v>3.346391354955382</v>
      </c>
      <c r="Z449" t="n">
        <v>3559.990803144024</v>
      </c>
      <c r="AA449" t="n">
        <v>0</v>
      </c>
      <c r="AB449" t="n">
        <v>0</v>
      </c>
      <c r="AC449" t="n">
        <v>0</v>
      </c>
      <c r="AD449" s="2" t="n">
        <v>44593</v>
      </c>
    </row>
    <row r="450">
      <c r="A450" t="n">
        <v>-1</v>
      </c>
      <c r="B450" t="inlineStr">
        <is>
          <t>01-02-2022</t>
        </is>
      </c>
      <c r="C450" t="n">
        <v>2022</v>
      </c>
      <c r="D450" t="n">
        <v>2</v>
      </c>
      <c r="E450" t="inlineStr">
        <is>
          <t>Quilpue 012</t>
        </is>
      </c>
      <c r="F450" t="inlineStr">
        <is>
          <t>Chilquinta</t>
        </is>
      </c>
      <c r="G450" t="inlineStr">
        <is>
          <t>Chilquinta</t>
        </is>
      </c>
      <c r="H450" t="inlineStr">
        <is>
          <t>Empresa Eléctrica Carén S.A.</t>
        </is>
      </c>
      <c r="I450" t="inlineStr">
        <is>
          <t>Empresa Eléctrica Carén S.A.</t>
        </is>
      </c>
      <c r="J450" t="inlineStr">
        <is>
          <t>SIC 2013/03_2_BS1B_BB_CHILQUINTA_Empresa Eléctrica Carén S.A.</t>
        </is>
      </c>
      <c r="K450" t="inlineStr">
        <is>
          <t>Quilpue 012</t>
        </is>
      </c>
      <c r="L450" t="inlineStr">
        <is>
          <t>-1</t>
        </is>
      </c>
      <c r="M450" t="n">
        <v>1191.662302995926</v>
      </c>
      <c r="N450" t="n">
        <v>0</v>
      </c>
      <c r="O450" t="inlineStr">
        <is>
          <t>3</t>
        </is>
      </c>
      <c r="P450" s="2" t="n">
        <v>44999.6862684375</v>
      </c>
      <c r="Q450" t="n">
        <v>31</v>
      </c>
      <c r="R450" t="inlineStr">
        <is>
          <t>LOS MAQUIS 220</t>
        </is>
      </c>
      <c r="S450" t="n">
        <v>134.2987289902124</v>
      </c>
      <c r="T450" t="n">
        <v>12157.74659605926</v>
      </c>
      <c r="U450" t="n">
        <v>0</v>
      </c>
      <c r="V450" t="n">
        <v>0</v>
      </c>
      <c r="W450" t="inlineStr">
        <is>
          <t>CHILQUINTA</t>
        </is>
      </c>
      <c r="X450" t="n">
        <v>96.30599687562</v>
      </c>
      <c r="Y450" t="n">
        <v>12.15774659605926</v>
      </c>
      <c r="Z450" t="n">
        <v>12933.77297453113</v>
      </c>
      <c r="AA450" t="n">
        <v>0</v>
      </c>
      <c r="AB450" t="n">
        <v>0</v>
      </c>
      <c r="AC450" t="n">
        <v>0</v>
      </c>
      <c r="AD450" s="2" t="n">
        <v>44593</v>
      </c>
    </row>
    <row r="451">
      <c r="A451" t="n">
        <v>-1</v>
      </c>
      <c r="B451" t="inlineStr">
        <is>
          <t>01-02-2022</t>
        </is>
      </c>
      <c r="C451" t="n">
        <v>2022</v>
      </c>
      <c r="D451" t="n">
        <v>2</v>
      </c>
      <c r="E451" t="inlineStr">
        <is>
          <t>Quilpue 012</t>
        </is>
      </c>
      <c r="F451" t="inlineStr">
        <is>
          <t>Chilquinta</t>
        </is>
      </c>
      <c r="G451" t="inlineStr">
        <is>
          <t>Chilquinta</t>
        </is>
      </c>
      <c r="H451" t="inlineStr">
        <is>
          <t>Empresa Eléctrica Carén S.A.</t>
        </is>
      </c>
      <c r="I451" t="inlineStr">
        <is>
          <t>Empresa Eléctrica Carén S.A.</t>
        </is>
      </c>
      <c r="J451" t="inlineStr">
        <is>
          <t>SIC 2013/03_2_BS1B_BB_CHILQUINTA_Empresa Eléctrica Carén S.A.</t>
        </is>
      </c>
      <c r="K451" t="inlineStr">
        <is>
          <t>Quilpue 012</t>
        </is>
      </c>
      <c r="L451" t="inlineStr">
        <is>
          <t>-1</t>
        </is>
      </c>
      <c r="M451" t="n">
        <v>1191.662302995926</v>
      </c>
      <c r="N451" t="n">
        <v>0</v>
      </c>
      <c r="O451" t="inlineStr">
        <is>
          <t>3</t>
        </is>
      </c>
      <c r="P451" s="2" t="n">
        <v>44999.6862684375</v>
      </c>
      <c r="Q451" t="n">
        <v>13</v>
      </c>
      <c r="R451" t="inlineStr">
        <is>
          <t>MELIPILLA 220</t>
        </is>
      </c>
      <c r="S451" t="n">
        <v>181.5569785782995</v>
      </c>
      <c r="T451" t="n">
        <v>16618.84608944006</v>
      </c>
      <c r="U451" t="n">
        <v>0</v>
      </c>
      <c r="V451" t="n">
        <v>0</v>
      </c>
      <c r="W451" t="inlineStr">
        <is>
          <t>CHILQUINTA</t>
        </is>
      </c>
      <c r="X451" t="n">
        <v>97.37782396383999</v>
      </c>
      <c r="Y451" t="n">
        <v>16.61884608944006</v>
      </c>
      <c r="Z451" t="n">
        <v>17679.62349940432</v>
      </c>
      <c r="AA451" t="n">
        <v>0</v>
      </c>
      <c r="AB451" t="n">
        <v>0</v>
      </c>
      <c r="AC451" t="n">
        <v>0</v>
      </c>
      <c r="AD451" s="2" t="n">
        <v>44593</v>
      </c>
    </row>
    <row r="452">
      <c r="A452" t="n">
        <v>-1</v>
      </c>
      <c r="B452" t="inlineStr">
        <is>
          <t>01-02-2022</t>
        </is>
      </c>
      <c r="C452" t="n">
        <v>2022</v>
      </c>
      <c r="D452" t="n">
        <v>2</v>
      </c>
      <c r="E452" t="inlineStr">
        <is>
          <t>Quilpue 012</t>
        </is>
      </c>
      <c r="F452" t="inlineStr">
        <is>
          <t>Chilquinta</t>
        </is>
      </c>
      <c r="G452" t="inlineStr">
        <is>
          <t>Chilquinta</t>
        </is>
      </c>
      <c r="H452" t="inlineStr">
        <is>
          <t>Empresa Eléctrica Carén S.A.</t>
        </is>
      </c>
      <c r="I452" t="inlineStr">
        <is>
          <t>Empresa Eléctrica Carén S.A.</t>
        </is>
      </c>
      <c r="J452" t="inlineStr">
        <is>
          <t>SIC 2013/03_2_BS1B_BB_CHILQUINTA_Empresa Eléctrica Carén S.A.</t>
        </is>
      </c>
      <c r="K452" t="inlineStr">
        <is>
          <t>Quilpue 012</t>
        </is>
      </c>
      <c r="L452" t="inlineStr">
        <is>
          <t>-1</t>
        </is>
      </c>
      <c r="M452" t="n">
        <v>1191.662302995926</v>
      </c>
      <c r="N452" t="n">
        <v>0</v>
      </c>
      <c r="O452" t="inlineStr">
        <is>
          <t>3</t>
        </is>
      </c>
      <c r="P452" s="2" t="n">
        <v>44999.6862684375</v>
      </c>
      <c r="Q452" t="n">
        <v>5</v>
      </c>
      <c r="R452" t="inlineStr">
        <is>
          <t>NOGALES 220</t>
        </is>
      </c>
      <c r="S452" t="n">
        <v>163.369415718154</v>
      </c>
      <c r="T452" t="n">
        <v>15394.87987796219</v>
      </c>
      <c r="U452" t="n">
        <v>0</v>
      </c>
      <c r="V452" t="n">
        <v>0</v>
      </c>
      <c r="W452" t="inlineStr">
        <is>
          <t>CHILQUINTA</t>
        </is>
      </c>
      <c r="X452" t="n">
        <v>100.24845662251</v>
      </c>
      <c r="Y452" t="n">
        <v>15.39487987796219</v>
      </c>
      <c r="Z452" t="n">
        <v>16377.53178506616</v>
      </c>
      <c r="AA452" t="n">
        <v>0</v>
      </c>
      <c r="AB452" t="n">
        <v>0</v>
      </c>
      <c r="AC452" t="n">
        <v>0</v>
      </c>
      <c r="AD452" s="2" t="n">
        <v>44593</v>
      </c>
    </row>
    <row r="453">
      <c r="A453" t="n">
        <v>-1</v>
      </c>
      <c r="B453" t="inlineStr">
        <is>
          <t>01-02-2022</t>
        </is>
      </c>
      <c r="C453" t="n">
        <v>2022</v>
      </c>
      <c r="D453" t="n">
        <v>2</v>
      </c>
      <c r="E453" t="inlineStr">
        <is>
          <t>Quilpue 012</t>
        </is>
      </c>
      <c r="F453" t="inlineStr">
        <is>
          <t>Chilquinta</t>
        </is>
      </c>
      <c r="G453" t="inlineStr">
        <is>
          <t>Chilquinta</t>
        </is>
      </c>
      <c r="H453" t="inlineStr">
        <is>
          <t>Empresa Eléctrica Carén S.A.</t>
        </is>
      </c>
      <c r="I453" t="inlineStr">
        <is>
          <t>Empresa Eléctrica Carén S.A.</t>
        </is>
      </c>
      <c r="J453" t="inlineStr">
        <is>
          <t>SIC 2013/03_2_BS1B_BB_CHILQUINTA_Empresa Eléctrica Carén S.A.</t>
        </is>
      </c>
      <c r="K453" t="inlineStr">
        <is>
          <t>Quilpue 012</t>
        </is>
      </c>
      <c r="L453" t="inlineStr">
        <is>
          <t>-1</t>
        </is>
      </c>
      <c r="M453" t="n">
        <v>1191.662302995926</v>
      </c>
      <c r="N453" t="n">
        <v>0</v>
      </c>
      <c r="O453" t="inlineStr">
        <is>
          <t>3</t>
        </is>
      </c>
      <c r="P453" s="2" t="n">
        <v>44999.6862684375</v>
      </c>
      <c r="Q453" t="n">
        <v>11</v>
      </c>
      <c r="R453" t="inlineStr">
        <is>
          <t>QUILLOTA 220</t>
        </is>
      </c>
      <c r="S453" t="n">
        <v>746.3518888525235</v>
      </c>
      <c r="T453" t="n">
        <v>68153.96539114384</v>
      </c>
      <c r="U453" t="n">
        <v>0</v>
      </c>
      <c r="V453" t="n">
        <v>0</v>
      </c>
      <c r="W453" t="inlineStr">
        <is>
          <t>CHILQUINTA</t>
        </is>
      </c>
      <c r="X453" t="n">
        <v>97.14481812686</v>
      </c>
      <c r="Y453" t="n">
        <v>68.15396539114383</v>
      </c>
      <c r="Z453" t="n">
        <v>72504.21850121685</v>
      </c>
      <c r="AA453" t="n">
        <v>0</v>
      </c>
      <c r="AB453" t="n">
        <v>0</v>
      </c>
      <c r="AC453" t="n">
        <v>0</v>
      </c>
      <c r="AD453" s="2" t="n">
        <v>44593</v>
      </c>
    </row>
    <row r="454">
      <c r="A454" t="n">
        <v>-1</v>
      </c>
      <c r="B454" t="inlineStr">
        <is>
          <t>01-02-2022</t>
        </is>
      </c>
      <c r="C454" t="n">
        <v>2022</v>
      </c>
      <c r="D454" t="n">
        <v>2</v>
      </c>
      <c r="E454" t="inlineStr">
        <is>
          <t>Quintero 012</t>
        </is>
      </c>
      <c r="F454" t="inlineStr">
        <is>
          <t>Chilquinta</t>
        </is>
      </c>
      <c r="G454" t="inlineStr">
        <is>
          <t>Chilquinta</t>
        </is>
      </c>
      <c r="H454" t="inlineStr">
        <is>
          <t>Empresa Eléctrica Carén S.A.</t>
        </is>
      </c>
      <c r="I454" t="inlineStr">
        <is>
          <t>Empresa Eléctrica Carén S.A.</t>
        </is>
      </c>
      <c r="J454" t="inlineStr">
        <is>
          <t>SIC 2013/03_2_BS1B_BB_CHILQUINTA_Empresa Eléctrica Carén S.A.</t>
        </is>
      </c>
      <c r="K454" t="inlineStr">
        <is>
          <t>Quintero 012</t>
        </is>
      </c>
      <c r="L454" t="inlineStr">
        <is>
          <t>-1</t>
        </is>
      </c>
      <c r="M454" t="n">
        <v>378.479456319034</v>
      </c>
      <c r="N454" t="n">
        <v>0</v>
      </c>
      <c r="O454" t="inlineStr">
        <is>
          <t>3</t>
        </is>
      </c>
      <c r="P454" s="2" t="n">
        <v>44999.6862684375</v>
      </c>
      <c r="Q454" t="n">
        <v>31</v>
      </c>
      <c r="R454" t="inlineStr">
        <is>
          <t>LOS MAQUIS 220</t>
        </is>
      </c>
      <c r="S454" t="n">
        <v>33.7052425007162</v>
      </c>
      <c r="T454" t="n">
        <v>3051.25596022803</v>
      </c>
      <c r="U454" t="n">
        <v>0</v>
      </c>
      <c r="V454" t="n">
        <v>0</v>
      </c>
      <c r="W454" t="inlineStr">
        <is>
          <t>CHILQUINTA</t>
        </is>
      </c>
      <c r="X454" t="n">
        <v>96.30599687562001</v>
      </c>
      <c r="Y454" t="n">
        <v>3.05125596022803</v>
      </c>
      <c r="Z454" t="n">
        <v>3246.016978965989</v>
      </c>
      <c r="AA454" t="n">
        <v>0</v>
      </c>
      <c r="AB454" t="n">
        <v>0</v>
      </c>
      <c r="AC454" t="n">
        <v>0</v>
      </c>
      <c r="AD454" s="2" t="n">
        <v>44593</v>
      </c>
    </row>
    <row r="455">
      <c r="A455" t="n">
        <v>-1</v>
      </c>
      <c r="B455" t="inlineStr">
        <is>
          <t>01-02-2022</t>
        </is>
      </c>
      <c r="C455" t="n">
        <v>2022</v>
      </c>
      <c r="D455" t="n">
        <v>2</v>
      </c>
      <c r="E455" t="inlineStr">
        <is>
          <t>Quintero 012</t>
        </is>
      </c>
      <c r="F455" t="inlineStr">
        <is>
          <t>Chilquinta</t>
        </is>
      </c>
      <c r="G455" t="inlineStr">
        <is>
          <t>Chilquinta</t>
        </is>
      </c>
      <c r="H455" t="inlineStr">
        <is>
          <t>Empresa Eléctrica Carén S.A.</t>
        </is>
      </c>
      <c r="I455" t="inlineStr">
        <is>
          <t>Empresa Eléctrica Carén S.A.</t>
        </is>
      </c>
      <c r="J455" t="inlineStr">
        <is>
          <t>SIC 2013/03_2_BS1B_BB_CHILQUINTA_Empresa Eléctrica Carén S.A.</t>
        </is>
      </c>
      <c r="K455" t="inlineStr">
        <is>
          <t>Quintero 012</t>
        </is>
      </c>
      <c r="L455" t="inlineStr">
        <is>
          <t>-1</t>
        </is>
      </c>
      <c r="M455" t="n">
        <v>378.479456319034</v>
      </c>
      <c r="N455" t="n">
        <v>0</v>
      </c>
      <c r="O455" t="inlineStr">
        <is>
          <t>3</t>
        </is>
      </c>
      <c r="P455" s="2" t="n">
        <v>44999.6862684375</v>
      </c>
      <c r="Q455" t="n">
        <v>13</v>
      </c>
      <c r="R455" t="inlineStr">
        <is>
          <t>MELIPILLA 220</t>
        </is>
      </c>
      <c r="S455" t="n">
        <v>53.64267778061784</v>
      </c>
      <c r="T455" t="n">
        <v>4910.190799837796</v>
      </c>
      <c r="U455" t="n">
        <v>0</v>
      </c>
      <c r="V455" t="n">
        <v>0</v>
      </c>
      <c r="W455" t="inlineStr">
        <is>
          <t>CHILQUINTA</t>
        </is>
      </c>
      <c r="X455" t="n">
        <v>97.37782396384</v>
      </c>
      <c r="Y455" t="n">
        <v>4.910190799837796</v>
      </c>
      <c r="Z455" t="n">
        <v>5223.607233869996</v>
      </c>
      <c r="AA455" t="n">
        <v>0</v>
      </c>
      <c r="AB455" t="n">
        <v>0</v>
      </c>
      <c r="AC455" t="n">
        <v>0</v>
      </c>
      <c r="AD455" s="2" t="n">
        <v>44593</v>
      </c>
    </row>
    <row r="456">
      <c r="A456" t="n">
        <v>-1</v>
      </c>
      <c r="B456" t="inlineStr">
        <is>
          <t>01-02-2022</t>
        </is>
      </c>
      <c r="C456" t="n">
        <v>2022</v>
      </c>
      <c r="D456" t="n">
        <v>2</v>
      </c>
      <c r="E456" t="inlineStr">
        <is>
          <t>Quintero 012</t>
        </is>
      </c>
      <c r="F456" t="inlineStr">
        <is>
          <t>Chilquinta</t>
        </is>
      </c>
      <c r="G456" t="inlineStr">
        <is>
          <t>Chilquinta</t>
        </is>
      </c>
      <c r="H456" t="inlineStr">
        <is>
          <t>Empresa Eléctrica Carén S.A.</t>
        </is>
      </c>
      <c r="I456" t="inlineStr">
        <is>
          <t>Empresa Eléctrica Carén S.A.</t>
        </is>
      </c>
      <c r="J456" t="inlineStr">
        <is>
          <t>SIC 2013/03_2_BS1B_BB_CHILQUINTA_Empresa Eléctrica Carén S.A.</t>
        </is>
      </c>
      <c r="K456" t="inlineStr">
        <is>
          <t>Quintero 012</t>
        </is>
      </c>
      <c r="L456" t="inlineStr">
        <is>
          <t>-1</t>
        </is>
      </c>
      <c r="M456" t="n">
        <v>378.479456319034</v>
      </c>
      <c r="N456" t="n">
        <v>0</v>
      </c>
      <c r="O456" t="inlineStr">
        <is>
          <t>3</t>
        </is>
      </c>
      <c r="P456" s="2" t="n">
        <v>44999.6862684375</v>
      </c>
      <c r="Q456" t="n">
        <v>5</v>
      </c>
      <c r="R456" t="inlineStr">
        <is>
          <t>NOGALES 220</t>
        </is>
      </c>
      <c r="S456" t="n">
        <v>82.77032873717857</v>
      </c>
      <c r="T456" t="n">
        <v>7799.741847437543</v>
      </c>
      <c r="U456" t="n">
        <v>0</v>
      </c>
      <c r="V456" t="n">
        <v>0</v>
      </c>
      <c r="W456" t="inlineStr">
        <is>
          <t>CHILQUINTA</t>
        </is>
      </c>
      <c r="X456" t="n">
        <v>100.24845662251</v>
      </c>
      <c r="Y456" t="n">
        <v>7.799741847437542</v>
      </c>
      <c r="Z456" t="n">
        <v>8297.59771003994</v>
      </c>
      <c r="AA456" t="n">
        <v>0</v>
      </c>
      <c r="AB456" t="n">
        <v>0</v>
      </c>
      <c r="AC456" t="n">
        <v>0</v>
      </c>
      <c r="AD456" s="2" t="n">
        <v>44593</v>
      </c>
    </row>
    <row r="457">
      <c r="A457" t="n">
        <v>-1</v>
      </c>
      <c r="B457" t="inlineStr">
        <is>
          <t>01-02-2022</t>
        </is>
      </c>
      <c r="C457" t="n">
        <v>2022</v>
      </c>
      <c r="D457" t="n">
        <v>2</v>
      </c>
      <c r="E457" t="inlineStr">
        <is>
          <t>Quintero 012</t>
        </is>
      </c>
      <c r="F457" t="inlineStr">
        <is>
          <t>Chilquinta</t>
        </is>
      </c>
      <c r="G457" t="inlineStr">
        <is>
          <t>Chilquinta</t>
        </is>
      </c>
      <c r="H457" t="inlineStr">
        <is>
          <t>Empresa Eléctrica Carén S.A.</t>
        </is>
      </c>
      <c r="I457" t="inlineStr">
        <is>
          <t>Empresa Eléctrica Carén S.A.</t>
        </is>
      </c>
      <c r="J457" t="inlineStr">
        <is>
          <t>SIC 2013/03_2_BS1B_BB_CHILQUINTA_Empresa Eléctrica Carén S.A.</t>
        </is>
      </c>
      <c r="K457" t="inlineStr">
        <is>
          <t>Quintero 012</t>
        </is>
      </c>
      <c r="L457" t="inlineStr">
        <is>
          <t>-1</t>
        </is>
      </c>
      <c r="M457" t="n">
        <v>378.479456319034</v>
      </c>
      <c r="N457" t="n">
        <v>0</v>
      </c>
      <c r="O457" t="inlineStr">
        <is>
          <t>3</t>
        </is>
      </c>
      <c r="P457" s="2" t="n">
        <v>44999.6862684375</v>
      </c>
      <c r="Q457" t="n">
        <v>11</v>
      </c>
      <c r="R457" t="inlineStr">
        <is>
          <t>QUILLOTA 220</t>
        </is>
      </c>
      <c r="S457" t="n">
        <v>219.1327326273611</v>
      </c>
      <c r="T457" t="n">
        <v>20010.35288932322</v>
      </c>
      <c r="U457" t="n">
        <v>0</v>
      </c>
      <c r="V457" t="n">
        <v>0</v>
      </c>
      <c r="W457" t="inlineStr">
        <is>
          <t>CHILQUINTA</t>
        </is>
      </c>
      <c r="X457" t="n">
        <v>97.14481812686</v>
      </c>
      <c r="Y457" t="n">
        <v>20.01035288932322</v>
      </c>
      <c r="Z457" t="n">
        <v>21287.60945672683</v>
      </c>
      <c r="AA457" t="n">
        <v>0</v>
      </c>
      <c r="AB457" t="n">
        <v>0</v>
      </c>
      <c r="AC457" t="n">
        <v>0</v>
      </c>
      <c r="AD457" s="2" t="n">
        <v>44593</v>
      </c>
    </row>
    <row r="458">
      <c r="A458" t="n">
        <v>-1</v>
      </c>
      <c r="B458" t="inlineStr">
        <is>
          <t>01-02-2022</t>
        </is>
      </c>
      <c r="C458" t="n">
        <v>2022</v>
      </c>
      <c r="D458" t="n">
        <v>2</v>
      </c>
      <c r="E458" t="inlineStr">
        <is>
          <t>Reñaca 012</t>
        </is>
      </c>
      <c r="F458" t="inlineStr">
        <is>
          <t>Chilquinta</t>
        </is>
      </c>
      <c r="G458" t="inlineStr">
        <is>
          <t>Chilquinta</t>
        </is>
      </c>
      <c r="H458" t="inlineStr">
        <is>
          <t>Empresa Eléctrica Carén S.A.</t>
        </is>
      </c>
      <c r="I458" t="inlineStr">
        <is>
          <t>Empresa Eléctrica Carén S.A.</t>
        </is>
      </c>
      <c r="J458" t="inlineStr">
        <is>
          <t>SIC 2013/03_2_BS1B_BB_CHILQUINTA_Empresa Eléctrica Carén S.A.</t>
        </is>
      </c>
      <c r="K458" t="inlineStr">
        <is>
          <t>Reñaca 012</t>
        </is>
      </c>
      <c r="L458" t="inlineStr">
        <is>
          <t>-1</t>
        </is>
      </c>
      <c r="M458" t="n">
        <v>791.0267261889422</v>
      </c>
      <c r="N458" t="n">
        <v>0</v>
      </c>
      <c r="O458" t="inlineStr">
        <is>
          <t>3</t>
        </is>
      </c>
      <c r="P458" s="2" t="n">
        <v>44999.6862684375</v>
      </c>
      <c r="Q458" t="n">
        <v>31</v>
      </c>
      <c r="R458" t="inlineStr">
        <is>
          <t>LOS MAQUIS 220</t>
        </is>
      </c>
      <c r="S458" t="n">
        <v>77.42453963650532</v>
      </c>
      <c r="T458" t="n">
        <v>7009.060623989822</v>
      </c>
      <c r="U458" t="n">
        <v>0</v>
      </c>
      <c r="V458" t="n">
        <v>0</v>
      </c>
      <c r="W458" t="inlineStr">
        <is>
          <t>CHILQUINTA</t>
        </is>
      </c>
      <c r="X458" t="n">
        <v>96.30599687562</v>
      </c>
      <c r="Y458" t="n">
        <v>7.009060623989822</v>
      </c>
      <c r="Z458" t="n">
        <v>7456.447472329598</v>
      </c>
      <c r="AA458" t="n">
        <v>0</v>
      </c>
      <c r="AB458" t="n">
        <v>0</v>
      </c>
      <c r="AC458" t="n">
        <v>0</v>
      </c>
      <c r="AD458" s="2" t="n">
        <v>44593</v>
      </c>
    </row>
    <row r="459">
      <c r="A459" t="n">
        <v>-1</v>
      </c>
      <c r="B459" t="inlineStr">
        <is>
          <t>01-02-2022</t>
        </is>
      </c>
      <c r="C459" t="n">
        <v>2022</v>
      </c>
      <c r="D459" t="n">
        <v>2</v>
      </c>
      <c r="E459" t="inlineStr">
        <is>
          <t>Reñaca 012</t>
        </is>
      </c>
      <c r="F459" t="inlineStr">
        <is>
          <t>Chilquinta</t>
        </is>
      </c>
      <c r="G459" t="inlineStr">
        <is>
          <t>Chilquinta</t>
        </is>
      </c>
      <c r="H459" t="inlineStr">
        <is>
          <t>Empresa Eléctrica Carén S.A.</t>
        </is>
      </c>
      <c r="I459" t="inlineStr">
        <is>
          <t>Empresa Eléctrica Carén S.A.</t>
        </is>
      </c>
      <c r="J459" t="inlineStr">
        <is>
          <t>SIC 2013/03_2_BS1B_BB_CHILQUINTA_Empresa Eléctrica Carén S.A.</t>
        </is>
      </c>
      <c r="K459" t="inlineStr">
        <is>
          <t>Reñaca 012</t>
        </is>
      </c>
      <c r="L459" t="inlineStr">
        <is>
          <t>-1</t>
        </is>
      </c>
      <c r="M459" t="n">
        <v>791.0267261889422</v>
      </c>
      <c r="N459" t="n">
        <v>0</v>
      </c>
      <c r="O459" t="inlineStr">
        <is>
          <t>3</t>
        </is>
      </c>
      <c r="P459" s="2" t="n">
        <v>44999.6862684375</v>
      </c>
      <c r="Q459" t="n">
        <v>13</v>
      </c>
      <c r="R459" t="inlineStr">
        <is>
          <t>MELIPILLA 220</t>
        </is>
      </c>
      <c r="S459" t="n">
        <v>150.8139241128019</v>
      </c>
      <c r="T459" t="n">
        <v>13804.77584833921</v>
      </c>
      <c r="U459" t="n">
        <v>0</v>
      </c>
      <c r="V459" t="n">
        <v>0</v>
      </c>
      <c r="W459" t="inlineStr">
        <is>
          <t>CHILQUINTA</t>
        </is>
      </c>
      <c r="X459" t="n">
        <v>97.37782396384</v>
      </c>
      <c r="Y459" t="n">
        <v>13.80477584833921</v>
      </c>
      <c r="Z459" t="n">
        <v>14685.93175355235</v>
      </c>
      <c r="AA459" t="n">
        <v>0</v>
      </c>
      <c r="AB459" t="n">
        <v>0</v>
      </c>
      <c r="AC459" t="n">
        <v>0</v>
      </c>
      <c r="AD459" s="2" t="n">
        <v>44593</v>
      </c>
    </row>
    <row r="460">
      <c r="A460" t="n">
        <v>-1</v>
      </c>
      <c r="B460" t="inlineStr">
        <is>
          <t>01-02-2022</t>
        </is>
      </c>
      <c r="C460" t="n">
        <v>2022</v>
      </c>
      <c r="D460" t="n">
        <v>2</v>
      </c>
      <c r="E460" t="inlineStr">
        <is>
          <t>Reñaca 012</t>
        </is>
      </c>
      <c r="F460" t="inlineStr">
        <is>
          <t>Chilquinta</t>
        </is>
      </c>
      <c r="G460" t="inlineStr">
        <is>
          <t>Chilquinta</t>
        </is>
      </c>
      <c r="H460" t="inlineStr">
        <is>
          <t>Empresa Eléctrica Carén S.A.</t>
        </is>
      </c>
      <c r="I460" t="inlineStr">
        <is>
          <t>Empresa Eléctrica Carén S.A.</t>
        </is>
      </c>
      <c r="J460" t="inlineStr">
        <is>
          <t>SIC 2013/03_2_BS1B_BB_CHILQUINTA_Empresa Eléctrica Carén S.A.</t>
        </is>
      </c>
      <c r="K460" t="inlineStr">
        <is>
          <t>Reñaca 012</t>
        </is>
      </c>
      <c r="L460" t="inlineStr">
        <is>
          <t>-1</t>
        </is>
      </c>
      <c r="M460" t="n">
        <v>791.0267261889422</v>
      </c>
      <c r="N460" t="n">
        <v>0</v>
      </c>
      <c r="O460" t="inlineStr">
        <is>
          <t>3</t>
        </is>
      </c>
      <c r="P460" s="2" t="n">
        <v>44999.6862684375</v>
      </c>
      <c r="Q460" t="n">
        <v>5</v>
      </c>
      <c r="R460" t="inlineStr">
        <is>
          <t>NOGALES 220</t>
        </is>
      </c>
      <c r="S460" t="n">
        <v>141.9544806259726</v>
      </c>
      <c r="T460" t="n">
        <v>13376.87453779953</v>
      </c>
      <c r="U460" t="n">
        <v>0</v>
      </c>
      <c r="V460" t="n">
        <v>0</v>
      </c>
      <c r="W460" t="inlineStr">
        <is>
          <t>CHILQUINTA</t>
        </is>
      </c>
      <c r="X460" t="n">
        <v>100.24845662251</v>
      </c>
      <c r="Y460" t="n">
        <v>13.37687453779952</v>
      </c>
      <c r="Z460" t="n">
        <v>14230.71759340375</v>
      </c>
      <c r="AA460" t="n">
        <v>0</v>
      </c>
      <c r="AB460" t="n">
        <v>0</v>
      </c>
      <c r="AC460" t="n">
        <v>0</v>
      </c>
      <c r="AD460" s="2" t="n">
        <v>44593</v>
      </c>
    </row>
    <row r="461">
      <c r="A461" t="n">
        <v>-1</v>
      </c>
      <c r="B461" t="inlineStr">
        <is>
          <t>01-02-2022</t>
        </is>
      </c>
      <c r="C461" t="n">
        <v>2022</v>
      </c>
      <c r="D461" t="n">
        <v>2</v>
      </c>
      <c r="E461" t="inlineStr">
        <is>
          <t>Reñaca 012</t>
        </is>
      </c>
      <c r="F461" t="inlineStr">
        <is>
          <t>Chilquinta</t>
        </is>
      </c>
      <c r="G461" t="inlineStr">
        <is>
          <t>Chilquinta</t>
        </is>
      </c>
      <c r="H461" t="inlineStr">
        <is>
          <t>Empresa Eléctrica Carén S.A.</t>
        </is>
      </c>
      <c r="I461" t="inlineStr">
        <is>
          <t>Empresa Eléctrica Carén S.A.</t>
        </is>
      </c>
      <c r="J461" t="inlineStr">
        <is>
          <t>SIC 2013/03_2_BS1B_BB_CHILQUINTA_Empresa Eléctrica Carén S.A.</t>
        </is>
      </c>
      <c r="K461" t="inlineStr">
        <is>
          <t>Reñaca 012</t>
        </is>
      </c>
      <c r="L461" t="inlineStr">
        <is>
          <t>-1</t>
        </is>
      </c>
      <c r="M461" t="n">
        <v>791.0267261889422</v>
      </c>
      <c r="N461" t="n">
        <v>0</v>
      </c>
      <c r="O461" t="inlineStr">
        <is>
          <t>3</t>
        </is>
      </c>
      <c r="P461" s="2" t="n">
        <v>44999.6862684375</v>
      </c>
      <c r="Q461" t="n">
        <v>11</v>
      </c>
      <c r="R461" t="inlineStr">
        <is>
          <t>QUILLOTA 220</t>
        </is>
      </c>
      <c r="S461" t="n">
        <v>443.3464024409997</v>
      </c>
      <c r="T461" t="n">
        <v>40484.67729438887</v>
      </c>
      <c r="U461" t="n">
        <v>0</v>
      </c>
      <c r="V461" t="n">
        <v>0</v>
      </c>
      <c r="W461" t="inlineStr">
        <is>
          <t>CHILQUINTA</t>
        </is>
      </c>
      <c r="X461" t="n">
        <v>97.14481812686</v>
      </c>
      <c r="Y461" t="n">
        <v>40.48467729438887</v>
      </c>
      <c r="Z461" t="n">
        <v>43068.80563232859</v>
      </c>
      <c r="AA461" t="n">
        <v>0</v>
      </c>
      <c r="AB461" t="n">
        <v>0</v>
      </c>
      <c r="AC461" t="n">
        <v>0</v>
      </c>
      <c r="AD461" s="2" t="n">
        <v>44593</v>
      </c>
    </row>
    <row r="462">
      <c r="A462" t="n">
        <v>-1</v>
      </c>
      <c r="B462" t="inlineStr">
        <is>
          <t>01-02-2022</t>
        </is>
      </c>
      <c r="C462" t="n">
        <v>2022</v>
      </c>
      <c r="D462" t="n">
        <v>2</v>
      </c>
      <c r="E462" t="inlineStr">
        <is>
          <t>Rio Blanco 012</t>
        </is>
      </c>
      <c r="F462" t="inlineStr">
        <is>
          <t>Chilquinta</t>
        </is>
      </c>
      <c r="G462" t="inlineStr">
        <is>
          <t>Chilquinta</t>
        </is>
      </c>
      <c r="H462" t="inlineStr">
        <is>
          <t>Empresa Eléctrica Carén S.A.</t>
        </is>
      </c>
      <c r="I462" t="inlineStr">
        <is>
          <t>Empresa Eléctrica Carén S.A.</t>
        </is>
      </c>
      <c r="J462" t="inlineStr">
        <is>
          <t>SIC 2013/03_2_BS1B_BB_CHILQUINTA_Empresa Eléctrica Carén S.A.</t>
        </is>
      </c>
      <c r="K462" t="inlineStr">
        <is>
          <t>Rio Blanco 012</t>
        </is>
      </c>
      <c r="L462" t="inlineStr">
        <is>
          <t>-1</t>
        </is>
      </c>
      <c r="M462" t="n">
        <v>8.734471171414706</v>
      </c>
      <c r="N462" t="n">
        <v>0</v>
      </c>
      <c r="O462" t="inlineStr">
        <is>
          <t>3</t>
        </is>
      </c>
      <c r="P462" s="2" t="n">
        <v>44999.6862684375</v>
      </c>
      <c r="Q462" t="n">
        <v>31</v>
      </c>
      <c r="R462" t="inlineStr">
        <is>
          <t>LOS MAQUIS 220</t>
        </is>
      </c>
      <c r="S462" t="n">
        <v>5.677829250895659</v>
      </c>
      <c r="T462" t="n">
        <v>514.0004657312375</v>
      </c>
      <c r="U462" t="n">
        <v>0</v>
      </c>
      <c r="V462" t="n">
        <v>0</v>
      </c>
      <c r="W462" t="inlineStr">
        <is>
          <t>CHILQUINTA</t>
        </is>
      </c>
      <c r="X462" t="n">
        <v>96.30599687562</v>
      </c>
      <c r="Y462" t="n">
        <v>0.5140004657312374</v>
      </c>
      <c r="Z462" t="n">
        <v>546.8090060970611</v>
      </c>
      <c r="AA462" t="n">
        <v>0</v>
      </c>
      <c r="AB462" t="n">
        <v>0</v>
      </c>
      <c r="AC462" t="n">
        <v>0</v>
      </c>
      <c r="AD462" s="2" t="n">
        <v>44593</v>
      </c>
    </row>
    <row r="463">
      <c r="A463" t="n">
        <v>-1</v>
      </c>
      <c r="B463" t="inlineStr">
        <is>
          <t>01-02-2022</t>
        </is>
      </c>
      <c r="C463" t="n">
        <v>2022</v>
      </c>
      <c r="D463" t="n">
        <v>2</v>
      </c>
      <c r="E463" t="inlineStr">
        <is>
          <t>Rio Blanco 012</t>
        </is>
      </c>
      <c r="F463" t="inlineStr">
        <is>
          <t>Chilquinta</t>
        </is>
      </c>
      <c r="G463" t="inlineStr">
        <is>
          <t>Chilquinta</t>
        </is>
      </c>
      <c r="H463" t="inlineStr">
        <is>
          <t>Empresa Eléctrica Carén S.A.</t>
        </is>
      </c>
      <c r="I463" t="inlineStr">
        <is>
          <t>Empresa Eléctrica Carén S.A.</t>
        </is>
      </c>
      <c r="J463" t="inlineStr">
        <is>
          <t>SIC 2013/03_2_BS1B_BB_CHILQUINTA_Empresa Eléctrica Carén S.A.</t>
        </is>
      </c>
      <c r="K463" t="inlineStr">
        <is>
          <t>Rio Blanco 012</t>
        </is>
      </c>
      <c r="L463" t="inlineStr">
        <is>
          <t>-1</t>
        </is>
      </c>
      <c r="M463" t="n">
        <v>8.734471171414706</v>
      </c>
      <c r="N463" t="n">
        <v>0</v>
      </c>
      <c r="O463" t="inlineStr">
        <is>
          <t>3</t>
        </is>
      </c>
      <c r="P463" s="2" t="n">
        <v>44999.6862684375</v>
      </c>
      <c r="Q463" t="n">
        <v>5</v>
      </c>
      <c r="R463" t="inlineStr">
        <is>
          <t>NOGALES 220</t>
        </is>
      </c>
      <c r="S463" t="n">
        <v>0.5018832393246535</v>
      </c>
      <c r="T463" t="n">
        <v>47.2942389381822</v>
      </c>
      <c r="U463" t="n">
        <v>0</v>
      </c>
      <c r="V463" t="n">
        <v>0</v>
      </c>
      <c r="W463" t="inlineStr">
        <is>
          <t>CHILQUINTA</t>
        </is>
      </c>
      <c r="X463" t="n">
        <v>100.24845662251</v>
      </c>
      <c r="Y463" t="n">
        <v>0.0472942389381822</v>
      </c>
      <c r="Z463" t="n">
        <v>50.31302014700234</v>
      </c>
      <c r="AA463" t="n">
        <v>0</v>
      </c>
      <c r="AB463" t="n">
        <v>0</v>
      </c>
      <c r="AC463" t="n">
        <v>0</v>
      </c>
      <c r="AD463" s="2" t="n">
        <v>44593</v>
      </c>
    </row>
    <row r="464">
      <c r="A464" t="n">
        <v>-1</v>
      </c>
      <c r="B464" t="inlineStr">
        <is>
          <t>01-02-2022</t>
        </is>
      </c>
      <c r="C464" t="n">
        <v>2022</v>
      </c>
      <c r="D464" t="n">
        <v>2</v>
      </c>
      <c r="E464" t="inlineStr">
        <is>
          <t>Rio Blanco 012</t>
        </is>
      </c>
      <c r="F464" t="inlineStr">
        <is>
          <t>Chilquinta</t>
        </is>
      </c>
      <c r="G464" t="inlineStr">
        <is>
          <t>Chilquinta</t>
        </is>
      </c>
      <c r="H464" t="inlineStr">
        <is>
          <t>Empresa Eléctrica Carén S.A.</t>
        </is>
      </c>
      <c r="I464" t="inlineStr">
        <is>
          <t>Empresa Eléctrica Carén S.A.</t>
        </is>
      </c>
      <c r="J464" t="inlineStr">
        <is>
          <t>SIC 2013/03_2_BS1B_BB_CHILQUINTA_Empresa Eléctrica Carén S.A.</t>
        </is>
      </c>
      <c r="K464" t="inlineStr">
        <is>
          <t>Rio Blanco 012</t>
        </is>
      </c>
      <c r="L464" t="inlineStr">
        <is>
          <t>-1</t>
        </is>
      </c>
      <c r="M464" t="n">
        <v>8.734471171414706</v>
      </c>
      <c r="N464" t="n">
        <v>0</v>
      </c>
      <c r="O464" t="inlineStr">
        <is>
          <t>3</t>
        </is>
      </c>
      <c r="P464" s="2" t="n">
        <v>44999.6862684375</v>
      </c>
      <c r="Q464" t="n">
        <v>11</v>
      </c>
      <c r="R464" t="inlineStr">
        <is>
          <t>QUILLOTA 220</t>
        </is>
      </c>
      <c r="S464" t="n">
        <v>2.803341730732855</v>
      </c>
      <c r="T464" t="n">
        <v>255.9903152247114</v>
      </c>
      <c r="U464" t="n">
        <v>0</v>
      </c>
      <c r="V464" t="n">
        <v>0</v>
      </c>
      <c r="W464" t="inlineStr">
        <is>
          <t>CHILQUINTA</t>
        </is>
      </c>
      <c r="X464" t="n">
        <v>97.14481812686002</v>
      </c>
      <c r="Y464" t="n">
        <v>0.2559903152247114</v>
      </c>
      <c r="Z464" t="n">
        <v>272.3301225794802</v>
      </c>
      <c r="AA464" t="n">
        <v>0</v>
      </c>
      <c r="AB464" t="n">
        <v>0</v>
      </c>
      <c r="AC464" t="n">
        <v>0</v>
      </c>
      <c r="AD464" s="2" t="n">
        <v>44593</v>
      </c>
    </row>
    <row r="465">
      <c r="A465" t="n">
        <v>-1</v>
      </c>
      <c r="B465" t="inlineStr">
        <is>
          <t>01-02-2022</t>
        </is>
      </c>
      <c r="C465" t="n">
        <v>2022</v>
      </c>
      <c r="D465" t="n">
        <v>2</v>
      </c>
      <c r="E465" t="inlineStr">
        <is>
          <t>San Antonio 012</t>
        </is>
      </c>
      <c r="F465" t="inlineStr">
        <is>
          <t>Chilquinta</t>
        </is>
      </c>
      <c r="G465" t="inlineStr">
        <is>
          <t>Chilquinta</t>
        </is>
      </c>
      <c r="H465" t="inlineStr">
        <is>
          <t>Empresa Eléctrica Carén S.A.</t>
        </is>
      </c>
      <c r="I465" t="inlineStr">
        <is>
          <t>Empresa Eléctrica Carén S.A.</t>
        </is>
      </c>
      <c r="J465" t="inlineStr">
        <is>
          <t>SIC 2013/03_2_BS1B_BB_CHILQUINTA_Empresa Eléctrica Carén S.A.</t>
        </is>
      </c>
      <c r="K465" t="inlineStr">
        <is>
          <t>San Antonio 012</t>
        </is>
      </c>
      <c r="L465" t="inlineStr">
        <is>
          <t>-1</t>
        </is>
      </c>
      <c r="M465" t="n">
        <v>1055.094979967042</v>
      </c>
      <c r="N465" t="n">
        <v>0</v>
      </c>
      <c r="O465" t="inlineStr">
        <is>
          <t>3</t>
        </is>
      </c>
      <c r="P465" s="2" t="n">
        <v>44999.6862684375</v>
      </c>
      <c r="Q465" t="n">
        <v>31</v>
      </c>
      <c r="R465" t="inlineStr">
        <is>
          <t>LOS MAQUIS 220</t>
        </is>
      </c>
      <c r="S465" t="n">
        <v>0.05425614915484517</v>
      </c>
      <c r="T465" t="n">
        <v>4.911680979130311</v>
      </c>
      <c r="U465" t="n">
        <v>0</v>
      </c>
      <c r="V465" t="n">
        <v>0</v>
      </c>
      <c r="W465" t="inlineStr">
        <is>
          <t>CHILQUINTA</t>
        </is>
      </c>
      <c r="X465" t="n">
        <v>96.30599687562001</v>
      </c>
      <c r="Y465" t="n">
        <v>0.004911680979130311</v>
      </c>
      <c r="Z465" t="n">
        <v>5.225192530989692</v>
      </c>
      <c r="AA465" t="n">
        <v>0</v>
      </c>
      <c r="AB465" t="n">
        <v>0</v>
      </c>
      <c r="AC465" t="n">
        <v>0</v>
      </c>
      <c r="AD465" s="2" t="n">
        <v>44593</v>
      </c>
    </row>
    <row r="466">
      <c r="A466" t="n">
        <v>-1</v>
      </c>
      <c r="B466" t="inlineStr">
        <is>
          <t>01-02-2022</t>
        </is>
      </c>
      <c r="C466" t="n">
        <v>2022</v>
      </c>
      <c r="D466" t="n">
        <v>2</v>
      </c>
      <c r="E466" t="inlineStr">
        <is>
          <t>San Antonio 012</t>
        </is>
      </c>
      <c r="F466" t="inlineStr">
        <is>
          <t>Chilquinta</t>
        </is>
      </c>
      <c r="G466" t="inlineStr">
        <is>
          <t>Chilquinta</t>
        </is>
      </c>
      <c r="H466" t="inlineStr">
        <is>
          <t>Empresa Eléctrica Carén S.A.</t>
        </is>
      </c>
      <c r="I466" t="inlineStr">
        <is>
          <t>Empresa Eléctrica Carén S.A.</t>
        </is>
      </c>
      <c r="J466" t="inlineStr">
        <is>
          <t>SIC 2013/03_2_BS1B_BB_CHILQUINTA_Empresa Eléctrica Carén S.A.</t>
        </is>
      </c>
      <c r="K466" t="inlineStr">
        <is>
          <t>San Antonio 012</t>
        </is>
      </c>
      <c r="L466" t="inlineStr">
        <is>
          <t>-1</t>
        </is>
      </c>
      <c r="M466" t="n">
        <v>1055.094979967042</v>
      </c>
      <c r="N466" t="n">
        <v>0</v>
      </c>
      <c r="O466" t="inlineStr">
        <is>
          <t>3</t>
        </is>
      </c>
      <c r="P466" s="2" t="n">
        <v>44999.6862684375</v>
      </c>
      <c r="Q466" t="n">
        <v>13</v>
      </c>
      <c r="R466" t="inlineStr">
        <is>
          <t>MELIPILLA 220</t>
        </is>
      </c>
      <c r="S466" t="n">
        <v>1083.158910497498</v>
      </c>
      <c r="T466" t="n">
        <v>99147.11824861269</v>
      </c>
      <c r="U466" t="n">
        <v>0</v>
      </c>
      <c r="V466" t="n">
        <v>0</v>
      </c>
      <c r="W466" t="inlineStr">
        <is>
          <t>CHILQUINTA</t>
        </is>
      </c>
      <c r="X466" t="n">
        <v>97.37782396383999</v>
      </c>
      <c r="Y466" t="n">
        <v>99.14711824861268</v>
      </c>
      <c r="Z466" t="n">
        <v>105475.6577112901</v>
      </c>
      <c r="AA466" t="n">
        <v>0</v>
      </c>
      <c r="AB466" t="n">
        <v>0</v>
      </c>
      <c r="AC466" t="n">
        <v>0</v>
      </c>
      <c r="AD466" s="2" t="n">
        <v>44593</v>
      </c>
    </row>
    <row r="467">
      <c r="A467" t="n">
        <v>-1</v>
      </c>
      <c r="B467" t="inlineStr">
        <is>
          <t>01-02-2022</t>
        </is>
      </c>
      <c r="C467" t="n">
        <v>2022</v>
      </c>
      <c r="D467" t="n">
        <v>2</v>
      </c>
      <c r="E467" t="inlineStr">
        <is>
          <t>San Antonio 012</t>
        </is>
      </c>
      <c r="F467" t="inlineStr">
        <is>
          <t>Chilquinta</t>
        </is>
      </c>
      <c r="G467" t="inlineStr">
        <is>
          <t>Chilquinta</t>
        </is>
      </c>
      <c r="H467" t="inlineStr">
        <is>
          <t>Empresa Eléctrica Carén S.A.</t>
        </is>
      </c>
      <c r="I467" t="inlineStr">
        <is>
          <t>Empresa Eléctrica Carén S.A.</t>
        </is>
      </c>
      <c r="J467" t="inlineStr">
        <is>
          <t>SIC 2013/03_2_BS1B_BB_CHILQUINTA_Empresa Eléctrica Carén S.A.</t>
        </is>
      </c>
      <c r="K467" t="inlineStr">
        <is>
          <t>San Antonio 012</t>
        </is>
      </c>
      <c r="L467" t="inlineStr">
        <is>
          <t>-1</t>
        </is>
      </c>
      <c r="M467" t="n">
        <v>1055.094979967042</v>
      </c>
      <c r="N467" t="n">
        <v>0</v>
      </c>
      <c r="O467" t="inlineStr">
        <is>
          <t>3</t>
        </is>
      </c>
      <c r="P467" s="2" t="n">
        <v>44999.6862684375</v>
      </c>
      <c r="Q467" t="n">
        <v>5</v>
      </c>
      <c r="R467" t="inlineStr">
        <is>
          <t>NOGALES 220</t>
        </is>
      </c>
      <c r="S467" t="n">
        <v>0.3797930440839162</v>
      </c>
      <c r="T467" t="n">
        <v>35.78924651505486</v>
      </c>
      <c r="U467" t="n">
        <v>0</v>
      </c>
      <c r="V467" t="n">
        <v>0</v>
      </c>
      <c r="W467" t="inlineStr">
        <is>
          <t>CHILQUINTA</t>
        </is>
      </c>
      <c r="X467" t="n">
        <v>100.24845662251</v>
      </c>
      <c r="Y467" t="n">
        <v>0.03578924651505486</v>
      </c>
      <c r="Z467" t="n">
        <v>38.07366650537751</v>
      </c>
      <c r="AA467" t="n">
        <v>0</v>
      </c>
      <c r="AB467" t="n">
        <v>0</v>
      </c>
      <c r="AC467" t="n">
        <v>0</v>
      </c>
      <c r="AD467" s="2" t="n">
        <v>44593</v>
      </c>
    </row>
    <row r="468">
      <c r="A468" t="n">
        <v>-1</v>
      </c>
      <c r="B468" t="inlineStr">
        <is>
          <t>01-02-2022</t>
        </is>
      </c>
      <c r="C468" t="n">
        <v>2022</v>
      </c>
      <c r="D468" t="n">
        <v>2</v>
      </c>
      <c r="E468" t="inlineStr">
        <is>
          <t>San Antonio 012</t>
        </is>
      </c>
      <c r="F468" t="inlineStr">
        <is>
          <t>Chilquinta</t>
        </is>
      </c>
      <c r="G468" t="inlineStr">
        <is>
          <t>Chilquinta</t>
        </is>
      </c>
      <c r="H468" t="inlineStr">
        <is>
          <t>Empresa Eléctrica Carén S.A.</t>
        </is>
      </c>
      <c r="I468" t="inlineStr">
        <is>
          <t>Empresa Eléctrica Carén S.A.</t>
        </is>
      </c>
      <c r="J468" t="inlineStr">
        <is>
          <t>SIC 2013/03_2_BS1B_BB_CHILQUINTA_Empresa Eléctrica Carén S.A.</t>
        </is>
      </c>
      <c r="K468" t="inlineStr">
        <is>
          <t>San Antonio 012</t>
        </is>
      </c>
      <c r="L468" t="inlineStr">
        <is>
          <t>-1</t>
        </is>
      </c>
      <c r="M468" t="n">
        <v>1055.094979967042</v>
      </c>
      <c r="N468" t="n">
        <v>0</v>
      </c>
      <c r="O468" t="inlineStr">
        <is>
          <t>3</t>
        </is>
      </c>
      <c r="P468" s="2" t="n">
        <v>44999.6862684375</v>
      </c>
      <c r="Q468" t="n">
        <v>11</v>
      </c>
      <c r="R468" t="inlineStr">
        <is>
          <t>QUILLOTA 220</t>
        </is>
      </c>
      <c r="S468" t="n">
        <v>1.530023406166634</v>
      </c>
      <c r="T468" t="n">
        <v>139.7158147905827</v>
      </c>
      <c r="U468" t="n">
        <v>0</v>
      </c>
      <c r="V468" t="n">
        <v>0</v>
      </c>
      <c r="W468" t="inlineStr">
        <is>
          <t>CHILQUINTA</t>
        </is>
      </c>
      <c r="X468" t="n">
        <v>97.14481812686</v>
      </c>
      <c r="Y468" t="n">
        <v>0.1397158147905827</v>
      </c>
      <c r="Z468" t="n">
        <v>148.6338455218965</v>
      </c>
      <c r="AA468" t="n">
        <v>0</v>
      </c>
      <c r="AB468" t="n">
        <v>0</v>
      </c>
      <c r="AC468" t="n">
        <v>0</v>
      </c>
      <c r="AD468" s="2" t="n">
        <v>44593</v>
      </c>
    </row>
    <row r="469">
      <c r="A469" t="n">
        <v>-1</v>
      </c>
      <c r="B469" t="inlineStr">
        <is>
          <t>01-02-2022</t>
        </is>
      </c>
      <c r="C469" t="n">
        <v>2022</v>
      </c>
      <c r="D469" t="n">
        <v>2</v>
      </c>
      <c r="E469" t="inlineStr">
        <is>
          <t>San Felipe 012</t>
        </is>
      </c>
      <c r="F469" t="inlineStr">
        <is>
          <t>Chilquinta</t>
        </is>
      </c>
      <c r="G469" t="inlineStr">
        <is>
          <t>Chilquinta</t>
        </is>
      </c>
      <c r="H469" t="inlineStr">
        <is>
          <t>Empresa Eléctrica Carén S.A.</t>
        </is>
      </c>
      <c r="I469" t="inlineStr">
        <is>
          <t>Empresa Eléctrica Carén S.A.</t>
        </is>
      </c>
      <c r="J469" t="inlineStr">
        <is>
          <t>SIC 2013/03_2_BS1B_BB_CHILQUINTA_Empresa Eléctrica Carén S.A.</t>
        </is>
      </c>
      <c r="K469" t="inlineStr">
        <is>
          <t>San Felipe 012</t>
        </is>
      </c>
      <c r="L469" t="inlineStr">
        <is>
          <t>-1</t>
        </is>
      </c>
      <c r="M469" t="n">
        <v>934.4792875853148</v>
      </c>
      <c r="N469" t="n">
        <v>0</v>
      </c>
      <c r="O469" t="inlineStr">
        <is>
          <t>3</t>
        </is>
      </c>
      <c r="P469" s="2" t="n">
        <v>44999.6862684375</v>
      </c>
      <c r="Q469" t="n">
        <v>31</v>
      </c>
      <c r="R469" t="inlineStr">
        <is>
          <t>LOS MAQUIS 220</t>
        </is>
      </c>
      <c r="S469" t="n">
        <v>691.6373129403562</v>
      </c>
      <c r="T469" t="n">
        <v>62612.29164515038</v>
      </c>
      <c r="U469" t="n">
        <v>0</v>
      </c>
      <c r="V469" t="n">
        <v>0</v>
      </c>
      <c r="W469" t="inlineStr">
        <is>
          <t>CHILQUINTA</t>
        </is>
      </c>
      <c r="X469" t="n">
        <v>96.30599687562</v>
      </c>
      <c r="Y469" t="n">
        <v>62.61229164515039</v>
      </c>
      <c r="Z469" t="n">
        <v>66608.82089909616</v>
      </c>
      <c r="AA469" t="n">
        <v>0</v>
      </c>
      <c r="AB469" t="n">
        <v>0</v>
      </c>
      <c r="AC469" t="n">
        <v>0</v>
      </c>
      <c r="AD469" s="2" t="n">
        <v>44593</v>
      </c>
    </row>
    <row r="470">
      <c r="A470" t="n">
        <v>-1</v>
      </c>
      <c r="B470" t="inlineStr">
        <is>
          <t>01-02-2022</t>
        </is>
      </c>
      <c r="C470" t="n">
        <v>2022</v>
      </c>
      <c r="D470" t="n">
        <v>2</v>
      </c>
      <c r="E470" t="inlineStr">
        <is>
          <t>San Felipe 012</t>
        </is>
      </c>
      <c r="F470" t="inlineStr">
        <is>
          <t>Chilquinta</t>
        </is>
      </c>
      <c r="G470" t="inlineStr">
        <is>
          <t>Chilquinta</t>
        </is>
      </c>
      <c r="H470" t="inlineStr">
        <is>
          <t>Empresa Eléctrica Carén S.A.</t>
        </is>
      </c>
      <c r="I470" t="inlineStr">
        <is>
          <t>Empresa Eléctrica Carén S.A.</t>
        </is>
      </c>
      <c r="J470" t="inlineStr">
        <is>
          <t>SIC 2013/03_2_BS1B_BB_CHILQUINTA_Empresa Eléctrica Carén S.A.</t>
        </is>
      </c>
      <c r="K470" t="inlineStr">
        <is>
          <t>San Felipe 012</t>
        </is>
      </c>
      <c r="L470" t="inlineStr">
        <is>
          <t>-1</t>
        </is>
      </c>
      <c r="M470" t="n">
        <v>934.4792875853148</v>
      </c>
      <c r="N470" t="n">
        <v>0</v>
      </c>
      <c r="O470" t="inlineStr">
        <is>
          <t>3</t>
        </is>
      </c>
      <c r="P470" s="2" t="n">
        <v>44999.6862684375</v>
      </c>
      <c r="Q470" t="n">
        <v>13</v>
      </c>
      <c r="R470" t="inlineStr">
        <is>
          <t>MELIPILLA 220</t>
        </is>
      </c>
      <c r="S470" t="n">
        <v>22.77746726420683</v>
      </c>
      <c r="T470" t="n">
        <v>2084.938985740297</v>
      </c>
      <c r="U470" t="n">
        <v>0</v>
      </c>
      <c r="V470" t="n">
        <v>0</v>
      </c>
      <c r="W470" t="inlineStr">
        <is>
          <t>CHILQUINTA</t>
        </is>
      </c>
      <c r="X470" t="n">
        <v>97.37782396384</v>
      </c>
      <c r="Y470" t="n">
        <v>2.084938985740297</v>
      </c>
      <c r="Z470" t="n">
        <v>2218.02019759606</v>
      </c>
      <c r="AA470" t="n">
        <v>0</v>
      </c>
      <c r="AB470" t="n">
        <v>0</v>
      </c>
      <c r="AC470" t="n">
        <v>0</v>
      </c>
      <c r="AD470" s="2" t="n">
        <v>44593</v>
      </c>
    </row>
    <row r="471">
      <c r="A471" t="n">
        <v>-1</v>
      </c>
      <c r="B471" t="inlineStr">
        <is>
          <t>01-02-2022</t>
        </is>
      </c>
      <c r="C471" t="n">
        <v>2022</v>
      </c>
      <c r="D471" t="n">
        <v>2</v>
      </c>
      <c r="E471" t="inlineStr">
        <is>
          <t>San Felipe 012</t>
        </is>
      </c>
      <c r="F471" t="inlineStr">
        <is>
          <t>Chilquinta</t>
        </is>
      </c>
      <c r="G471" t="inlineStr">
        <is>
          <t>Chilquinta</t>
        </is>
      </c>
      <c r="H471" t="inlineStr">
        <is>
          <t>Empresa Eléctrica Carén S.A.</t>
        </is>
      </c>
      <c r="I471" t="inlineStr">
        <is>
          <t>Empresa Eléctrica Carén S.A.</t>
        </is>
      </c>
      <c r="J471" t="inlineStr">
        <is>
          <t>SIC 2013/03_2_BS1B_BB_CHILQUINTA_Empresa Eléctrica Carén S.A.</t>
        </is>
      </c>
      <c r="K471" t="inlineStr">
        <is>
          <t>San Felipe 012</t>
        </is>
      </c>
      <c r="L471" t="inlineStr">
        <is>
          <t>-1</t>
        </is>
      </c>
      <c r="M471" t="n">
        <v>934.4792875853148</v>
      </c>
      <c r="N471" t="n">
        <v>0</v>
      </c>
      <c r="O471" t="inlineStr">
        <is>
          <t>3</t>
        </is>
      </c>
      <c r="P471" s="2" t="n">
        <v>44999.6862684375</v>
      </c>
      <c r="Q471" t="n">
        <v>5</v>
      </c>
      <c r="R471" t="inlineStr">
        <is>
          <t>NOGALES 220</t>
        </is>
      </c>
      <c r="S471" t="n">
        <v>58.36605852131986</v>
      </c>
      <c r="T471" t="n">
        <v>5500.040848747329</v>
      </c>
      <c r="U471" t="n">
        <v>0</v>
      </c>
      <c r="V471" t="n">
        <v>0</v>
      </c>
      <c r="W471" t="inlineStr">
        <is>
          <t>CHILQUINTA</t>
        </is>
      </c>
      <c r="X471" t="n">
        <v>100.24845662251</v>
      </c>
      <c r="Y471" t="n">
        <v>5.500040848747329</v>
      </c>
      <c r="Z471" t="n">
        <v>5851.107285901414</v>
      </c>
      <c r="AA471" t="n">
        <v>0</v>
      </c>
      <c r="AB471" t="n">
        <v>0</v>
      </c>
      <c r="AC471" t="n">
        <v>0</v>
      </c>
      <c r="AD471" s="2" t="n">
        <v>44593</v>
      </c>
    </row>
    <row r="472">
      <c r="A472" t="n">
        <v>-1</v>
      </c>
      <c r="B472" t="inlineStr">
        <is>
          <t>01-02-2022</t>
        </is>
      </c>
      <c r="C472" t="n">
        <v>2022</v>
      </c>
      <c r="D472" t="n">
        <v>2</v>
      </c>
      <c r="E472" t="inlineStr">
        <is>
          <t>San Felipe 012</t>
        </is>
      </c>
      <c r="F472" t="inlineStr">
        <is>
          <t>Chilquinta</t>
        </is>
      </c>
      <c r="G472" t="inlineStr">
        <is>
          <t>Chilquinta</t>
        </is>
      </c>
      <c r="H472" t="inlineStr">
        <is>
          <t>Empresa Eléctrica Carén S.A.</t>
        </is>
      </c>
      <c r="I472" t="inlineStr">
        <is>
          <t>Empresa Eléctrica Carén S.A.</t>
        </is>
      </c>
      <c r="J472" t="inlineStr">
        <is>
          <t>SIC 2013/03_2_BS1B_BB_CHILQUINTA_Empresa Eléctrica Carén S.A.</t>
        </is>
      </c>
      <c r="K472" t="inlineStr">
        <is>
          <t>San Felipe 012</t>
        </is>
      </c>
      <c r="L472" t="inlineStr">
        <is>
          <t>-1</t>
        </is>
      </c>
      <c r="M472" t="n">
        <v>934.4792875853148</v>
      </c>
      <c r="N472" t="n">
        <v>0</v>
      </c>
      <c r="O472" t="inlineStr">
        <is>
          <t>3</t>
        </is>
      </c>
      <c r="P472" s="2" t="n">
        <v>44999.6862684375</v>
      </c>
      <c r="Q472" t="n">
        <v>11</v>
      </c>
      <c r="R472" t="inlineStr">
        <is>
          <t>QUILLOTA 220</t>
        </is>
      </c>
      <c r="S472" t="n">
        <v>188.2937293841098</v>
      </c>
      <c r="T472" t="n">
        <v>17194.25448972069</v>
      </c>
      <c r="U472" t="n">
        <v>0</v>
      </c>
      <c r="V472" t="n">
        <v>0</v>
      </c>
      <c r="W472" t="inlineStr">
        <is>
          <t>CHILQUINTA</t>
        </is>
      </c>
      <c r="X472" t="n">
        <v>97.14481812685999</v>
      </c>
      <c r="Y472" t="n">
        <v>17.19425448972069</v>
      </c>
      <c r="Z472" t="n">
        <v>18291.76009544754</v>
      </c>
      <c r="AA472" t="n">
        <v>0</v>
      </c>
      <c r="AB472" t="n">
        <v>0</v>
      </c>
      <c r="AC472" t="n">
        <v>0</v>
      </c>
      <c r="AD472" s="2" t="n">
        <v>44593</v>
      </c>
    </row>
    <row r="473">
      <c r="A473" t="n">
        <v>-1</v>
      </c>
      <c r="B473" t="inlineStr">
        <is>
          <t>01-02-2022</t>
        </is>
      </c>
      <c r="C473" t="n">
        <v>2022</v>
      </c>
      <c r="D473" t="n">
        <v>2</v>
      </c>
      <c r="E473" t="inlineStr">
        <is>
          <t>San Pedro 012</t>
        </is>
      </c>
      <c r="F473" t="inlineStr">
        <is>
          <t>Chilquinta</t>
        </is>
      </c>
      <c r="G473" t="inlineStr">
        <is>
          <t>Chilquinta</t>
        </is>
      </c>
      <c r="H473" t="inlineStr">
        <is>
          <t>Empresa Eléctrica Carén S.A.</t>
        </is>
      </c>
      <c r="I473" t="inlineStr">
        <is>
          <t>Empresa Eléctrica Carén S.A.</t>
        </is>
      </c>
      <c r="J473" t="inlineStr">
        <is>
          <t>SIC 2013/03_2_BS1B_BB_CHILQUINTA_Empresa Eléctrica Carén S.A.</t>
        </is>
      </c>
      <c r="K473" t="inlineStr">
        <is>
          <t>San Pedro 012</t>
        </is>
      </c>
      <c r="L473" t="inlineStr">
        <is>
          <t>-1</t>
        </is>
      </c>
      <c r="M473" t="n">
        <v>864.3507468648606</v>
      </c>
      <c r="N473" t="n">
        <v>0</v>
      </c>
      <c r="O473" t="inlineStr">
        <is>
          <t>3</t>
        </is>
      </c>
      <c r="P473" s="2" t="n">
        <v>44999.6862684375</v>
      </c>
      <c r="Q473" t="n">
        <v>31</v>
      </c>
      <c r="R473" t="inlineStr">
        <is>
          <t>LOS MAQUIS 220</t>
        </is>
      </c>
      <c r="S473" t="n">
        <v>85.93481284889174</v>
      </c>
      <c r="T473" t="n">
        <v>7779.475548668416</v>
      </c>
      <c r="U473" t="n">
        <v>0</v>
      </c>
      <c r="V473" t="n">
        <v>0</v>
      </c>
      <c r="W473" t="inlineStr">
        <is>
          <t>CHILQUINTA</t>
        </is>
      </c>
      <c r="X473" t="n">
        <v>96.30599687562001</v>
      </c>
      <c r="Y473" t="n">
        <v>7.779475548668417</v>
      </c>
      <c r="Z473" t="n">
        <v>8276.037817732358</v>
      </c>
      <c r="AA473" t="n">
        <v>0</v>
      </c>
      <c r="AB473" t="n">
        <v>0</v>
      </c>
      <c r="AC473" t="n">
        <v>0</v>
      </c>
      <c r="AD473" s="2" t="n">
        <v>44593</v>
      </c>
    </row>
    <row r="474">
      <c r="A474" t="n">
        <v>-1</v>
      </c>
      <c r="B474" t="inlineStr">
        <is>
          <t>01-02-2022</t>
        </is>
      </c>
      <c r="C474" t="n">
        <v>2022</v>
      </c>
      <c r="D474" t="n">
        <v>2</v>
      </c>
      <c r="E474" t="inlineStr">
        <is>
          <t>San Pedro 012</t>
        </is>
      </c>
      <c r="F474" t="inlineStr">
        <is>
          <t>Chilquinta</t>
        </is>
      </c>
      <c r="G474" t="inlineStr">
        <is>
          <t>Chilquinta</t>
        </is>
      </c>
      <c r="H474" t="inlineStr">
        <is>
          <t>Empresa Eléctrica Carén S.A.</t>
        </is>
      </c>
      <c r="I474" t="inlineStr">
        <is>
          <t>Empresa Eléctrica Carén S.A.</t>
        </is>
      </c>
      <c r="J474" t="inlineStr">
        <is>
          <t>SIC 2013/03_2_BS1B_BB_CHILQUINTA_Empresa Eléctrica Carén S.A.</t>
        </is>
      </c>
      <c r="K474" t="inlineStr">
        <is>
          <t>San Pedro 012</t>
        </is>
      </c>
      <c r="L474" t="inlineStr">
        <is>
          <t>-1</t>
        </is>
      </c>
      <c r="M474" t="n">
        <v>864.3507468648606</v>
      </c>
      <c r="N474" t="n">
        <v>0</v>
      </c>
      <c r="O474" t="inlineStr">
        <is>
          <t>3</t>
        </is>
      </c>
      <c r="P474" s="2" t="n">
        <v>44999.6862684375</v>
      </c>
      <c r="Q474" t="n">
        <v>13</v>
      </c>
      <c r="R474" t="inlineStr">
        <is>
          <t>MELIPILLA 220</t>
        </is>
      </c>
      <c r="S474" t="n">
        <v>77.08975866614142</v>
      </c>
      <c r="T474" t="n">
        <v>7056.422971878043</v>
      </c>
      <c r="U474" t="n">
        <v>0</v>
      </c>
      <c r="V474" t="n">
        <v>0</v>
      </c>
      <c r="W474" t="inlineStr">
        <is>
          <t>CHILQUINTA</t>
        </is>
      </c>
      <c r="X474" t="n">
        <v>97.37782396384002</v>
      </c>
      <c r="Y474" t="n">
        <v>7.056422971878043</v>
      </c>
      <c r="Z474" t="n">
        <v>7506.832948806429</v>
      </c>
      <c r="AA474" t="n">
        <v>0</v>
      </c>
      <c r="AB474" t="n">
        <v>0</v>
      </c>
      <c r="AC474" t="n">
        <v>0</v>
      </c>
      <c r="AD474" s="2" t="n">
        <v>44593</v>
      </c>
    </row>
    <row r="475">
      <c r="A475" t="n">
        <v>-1</v>
      </c>
      <c r="B475" t="inlineStr">
        <is>
          <t>01-02-2022</t>
        </is>
      </c>
      <c r="C475" t="n">
        <v>2022</v>
      </c>
      <c r="D475" t="n">
        <v>2</v>
      </c>
      <c r="E475" t="inlineStr">
        <is>
          <t>San Pedro 012</t>
        </is>
      </c>
      <c r="F475" t="inlineStr">
        <is>
          <t>Chilquinta</t>
        </is>
      </c>
      <c r="G475" t="inlineStr">
        <is>
          <t>Chilquinta</t>
        </is>
      </c>
      <c r="H475" t="inlineStr">
        <is>
          <t>Empresa Eléctrica Carén S.A.</t>
        </is>
      </c>
      <c r="I475" t="inlineStr">
        <is>
          <t>Empresa Eléctrica Carén S.A.</t>
        </is>
      </c>
      <c r="J475" t="inlineStr">
        <is>
          <t>SIC 2013/03_2_BS1B_BB_CHILQUINTA_Empresa Eléctrica Carén S.A.</t>
        </is>
      </c>
      <c r="K475" t="inlineStr">
        <is>
          <t>San Pedro 012</t>
        </is>
      </c>
      <c r="L475" t="inlineStr">
        <is>
          <t>-1</t>
        </is>
      </c>
      <c r="M475" t="n">
        <v>864.3507468648606</v>
      </c>
      <c r="N475" t="n">
        <v>0</v>
      </c>
      <c r="O475" t="inlineStr">
        <is>
          <t>3</t>
        </is>
      </c>
      <c r="P475" s="2" t="n">
        <v>44999.6862684375</v>
      </c>
      <c r="Q475" t="n">
        <v>5</v>
      </c>
      <c r="R475" t="inlineStr">
        <is>
          <t>NOGALES 220</t>
        </is>
      </c>
      <c r="S475" t="n">
        <v>112.914450481703</v>
      </c>
      <c r="T475" t="n">
        <v>10640.32942769938</v>
      </c>
      <c r="U475" t="n">
        <v>0</v>
      </c>
      <c r="V475" t="n">
        <v>0</v>
      </c>
      <c r="W475" t="inlineStr">
        <is>
          <t>CHILQUINTA</t>
        </is>
      </c>
      <c r="X475" t="n">
        <v>100.24845662251</v>
      </c>
      <c r="Y475" t="n">
        <v>10.64032942769938</v>
      </c>
      <c r="Z475" t="n">
        <v>11319.49939116955</v>
      </c>
      <c r="AA475" t="n">
        <v>0</v>
      </c>
      <c r="AB475" t="n">
        <v>0</v>
      </c>
      <c r="AC475" t="n">
        <v>0</v>
      </c>
      <c r="AD475" s="2" t="n">
        <v>44593</v>
      </c>
    </row>
    <row r="476">
      <c r="A476" t="n">
        <v>-1</v>
      </c>
      <c r="B476" t="inlineStr">
        <is>
          <t>01-02-2022</t>
        </is>
      </c>
      <c r="C476" t="n">
        <v>2022</v>
      </c>
      <c r="D476" t="n">
        <v>2</v>
      </c>
      <c r="E476" t="inlineStr">
        <is>
          <t>San Pedro 012</t>
        </is>
      </c>
      <c r="F476" t="inlineStr">
        <is>
          <t>Chilquinta</t>
        </is>
      </c>
      <c r="G476" t="inlineStr">
        <is>
          <t>Chilquinta</t>
        </is>
      </c>
      <c r="H476" t="inlineStr">
        <is>
          <t>Empresa Eléctrica Carén S.A.</t>
        </is>
      </c>
      <c r="I476" t="inlineStr">
        <is>
          <t>Empresa Eléctrica Carén S.A.</t>
        </is>
      </c>
      <c r="J476" t="inlineStr">
        <is>
          <t>SIC 2013/03_2_BS1B_BB_CHILQUINTA_Empresa Eléctrica Carén S.A.</t>
        </is>
      </c>
      <c r="K476" t="inlineStr">
        <is>
          <t>San Pedro 012</t>
        </is>
      </c>
      <c r="L476" t="inlineStr">
        <is>
          <t>-1</t>
        </is>
      </c>
      <c r="M476" t="n">
        <v>864.3507468648606</v>
      </c>
      <c r="N476" t="n">
        <v>0</v>
      </c>
      <c r="O476" t="inlineStr">
        <is>
          <t>3</t>
        </is>
      </c>
      <c r="P476" s="2" t="n">
        <v>44999.6862684375</v>
      </c>
      <c r="Q476" t="n">
        <v>11</v>
      </c>
      <c r="R476" t="inlineStr">
        <is>
          <t>QUILLOTA 220</t>
        </is>
      </c>
      <c r="S476" t="n">
        <v>613.0111471238985</v>
      </c>
      <c r="T476" t="n">
        <v>55977.80501326361</v>
      </c>
      <c r="U476" t="n">
        <v>0</v>
      </c>
      <c r="V476" t="n">
        <v>0</v>
      </c>
      <c r="W476" t="inlineStr">
        <is>
          <t>CHILQUINTA</t>
        </is>
      </c>
      <c r="X476" t="n">
        <v>97.14481812686002</v>
      </c>
      <c r="Y476" t="n">
        <v>55.97780501326361</v>
      </c>
      <c r="Z476" t="n">
        <v>59550.85639708894</v>
      </c>
      <c r="AA476" t="n">
        <v>0</v>
      </c>
      <c r="AB476" t="n">
        <v>0</v>
      </c>
      <c r="AC476" t="n">
        <v>0</v>
      </c>
      <c r="AD476" s="2" t="n">
        <v>44593</v>
      </c>
    </row>
    <row r="477">
      <c r="A477" t="n">
        <v>-1</v>
      </c>
      <c r="B477" t="inlineStr">
        <is>
          <t>01-02-2022</t>
        </is>
      </c>
      <c r="C477" t="n">
        <v>2022</v>
      </c>
      <c r="D477" t="n">
        <v>2</v>
      </c>
      <c r="E477" t="inlineStr">
        <is>
          <t>San Rafael 012</t>
        </is>
      </c>
      <c r="F477" t="inlineStr">
        <is>
          <t>Chilquinta</t>
        </is>
      </c>
      <c r="G477" t="inlineStr">
        <is>
          <t>Chilquinta</t>
        </is>
      </c>
      <c r="H477" t="inlineStr">
        <is>
          <t>Empresa Eléctrica Carén S.A.</t>
        </is>
      </c>
      <c r="I477" t="inlineStr">
        <is>
          <t>Empresa Eléctrica Carén S.A.</t>
        </is>
      </c>
      <c r="J477" t="inlineStr">
        <is>
          <t>SIC 2013/03_2_BS1B_BB_CHILQUINTA_Empresa Eléctrica Carén S.A.</t>
        </is>
      </c>
      <c r="K477" t="inlineStr">
        <is>
          <t>San Rafael 012</t>
        </is>
      </c>
      <c r="L477" t="inlineStr">
        <is>
          <t>-1</t>
        </is>
      </c>
      <c r="M477" t="n">
        <v>1352.640786967481</v>
      </c>
      <c r="N477" t="n">
        <v>0</v>
      </c>
      <c r="O477" t="inlineStr">
        <is>
          <t>3</t>
        </is>
      </c>
      <c r="P477" s="2" t="n">
        <v>44999.6862684375</v>
      </c>
      <c r="Q477" t="n">
        <v>31</v>
      </c>
      <c r="R477" t="inlineStr">
        <is>
          <t>LOS MAQUIS 220</t>
        </is>
      </c>
      <c r="S477" t="n">
        <v>827.1282926541036</v>
      </c>
      <c r="T477" t="n">
        <v>74877.96988199803</v>
      </c>
      <c r="U477" t="n">
        <v>0</v>
      </c>
      <c r="V477" t="n">
        <v>0</v>
      </c>
      <c r="W477" t="inlineStr">
        <is>
          <t>CHILQUINTA</t>
        </is>
      </c>
      <c r="X477" t="n">
        <v>96.30599687562</v>
      </c>
      <c r="Y477" t="n">
        <v>74.87796988199801</v>
      </c>
      <c r="Z477" t="n">
        <v>79657.41476808301</v>
      </c>
      <c r="AA477" t="n">
        <v>0</v>
      </c>
      <c r="AB477" t="n">
        <v>0</v>
      </c>
      <c r="AC477" t="n">
        <v>0</v>
      </c>
      <c r="AD477" s="2" t="n">
        <v>44593</v>
      </c>
    </row>
    <row r="478">
      <c r="A478" t="n">
        <v>-1</v>
      </c>
      <c r="B478" t="inlineStr">
        <is>
          <t>01-02-2022</t>
        </is>
      </c>
      <c r="C478" t="n">
        <v>2022</v>
      </c>
      <c r="D478" t="n">
        <v>2</v>
      </c>
      <c r="E478" t="inlineStr">
        <is>
          <t>San Rafael 012</t>
        </is>
      </c>
      <c r="F478" t="inlineStr">
        <is>
          <t>Chilquinta</t>
        </is>
      </c>
      <c r="G478" t="inlineStr">
        <is>
          <t>Chilquinta</t>
        </is>
      </c>
      <c r="H478" t="inlineStr">
        <is>
          <t>Empresa Eléctrica Carén S.A.</t>
        </is>
      </c>
      <c r="I478" t="inlineStr">
        <is>
          <t>Empresa Eléctrica Carén S.A.</t>
        </is>
      </c>
      <c r="J478" t="inlineStr">
        <is>
          <t>SIC 2013/03_2_BS1B_BB_CHILQUINTA_Empresa Eléctrica Carén S.A.</t>
        </is>
      </c>
      <c r="K478" t="inlineStr">
        <is>
          <t>San Rafael 012</t>
        </is>
      </c>
      <c r="L478" t="inlineStr">
        <is>
          <t>-1</t>
        </is>
      </c>
      <c r="M478" t="n">
        <v>1352.640786967481</v>
      </c>
      <c r="N478" t="n">
        <v>0</v>
      </c>
      <c r="O478" t="inlineStr">
        <is>
          <t>3</t>
        </is>
      </c>
      <c r="P478" s="2" t="n">
        <v>44999.6862684375</v>
      </c>
      <c r="Q478" t="n">
        <v>13</v>
      </c>
      <c r="R478" t="inlineStr">
        <is>
          <t>MELIPILLA 220</t>
        </is>
      </c>
      <c r="S478" t="n">
        <v>47.47950389068495</v>
      </c>
      <c r="T478" t="n">
        <v>4346.04372545212</v>
      </c>
      <c r="U478" t="n">
        <v>0</v>
      </c>
      <c r="V478" t="n">
        <v>0</v>
      </c>
      <c r="W478" t="inlineStr">
        <is>
          <t>CHILQUINTA</t>
        </is>
      </c>
      <c r="X478" t="n">
        <v>97.37782396384002</v>
      </c>
      <c r="Y478" t="n">
        <v>4.346043725452121</v>
      </c>
      <c r="Z478" t="n">
        <v>4623.450771757575</v>
      </c>
      <c r="AA478" t="n">
        <v>0</v>
      </c>
      <c r="AB478" t="n">
        <v>0</v>
      </c>
      <c r="AC478" t="n">
        <v>0</v>
      </c>
      <c r="AD478" s="2" t="n">
        <v>44593</v>
      </c>
    </row>
    <row r="479">
      <c r="A479" t="n">
        <v>-1</v>
      </c>
      <c r="B479" t="inlineStr">
        <is>
          <t>01-02-2022</t>
        </is>
      </c>
      <c r="C479" t="n">
        <v>2022</v>
      </c>
      <c r="D479" t="n">
        <v>2</v>
      </c>
      <c r="E479" t="inlineStr">
        <is>
          <t>San Rafael 012</t>
        </is>
      </c>
      <c r="F479" t="inlineStr">
        <is>
          <t>Chilquinta</t>
        </is>
      </c>
      <c r="G479" t="inlineStr">
        <is>
          <t>Chilquinta</t>
        </is>
      </c>
      <c r="H479" t="inlineStr">
        <is>
          <t>Empresa Eléctrica Carén S.A.</t>
        </is>
      </c>
      <c r="I479" t="inlineStr">
        <is>
          <t>Empresa Eléctrica Carén S.A.</t>
        </is>
      </c>
      <c r="J479" t="inlineStr">
        <is>
          <t>SIC 2013/03_2_BS1B_BB_CHILQUINTA_Empresa Eléctrica Carén S.A.</t>
        </is>
      </c>
      <c r="K479" t="inlineStr">
        <is>
          <t>San Rafael 012</t>
        </is>
      </c>
      <c r="L479" t="inlineStr">
        <is>
          <t>-1</t>
        </is>
      </c>
      <c r="M479" t="n">
        <v>1352.640786967481</v>
      </c>
      <c r="N479" t="n">
        <v>0</v>
      </c>
      <c r="O479" t="inlineStr">
        <is>
          <t>3</t>
        </is>
      </c>
      <c r="P479" s="2" t="n">
        <v>44999.6862684375</v>
      </c>
      <c r="Q479" t="n">
        <v>5</v>
      </c>
      <c r="R479" t="inlineStr">
        <is>
          <t>NOGALES 220</t>
        </is>
      </c>
      <c r="S479" t="n">
        <v>105.990723745423</v>
      </c>
      <c r="T479" t="n">
        <v>9987.882083474589</v>
      </c>
      <c r="U479" t="n">
        <v>0</v>
      </c>
      <c r="V479" t="n">
        <v>0</v>
      </c>
      <c r="W479" t="inlineStr">
        <is>
          <t>CHILQUINTA</t>
        </is>
      </c>
      <c r="X479" t="n">
        <v>100.24845662251</v>
      </c>
      <c r="Y479" t="n">
        <v>9.987882083474588</v>
      </c>
      <c r="Z479" t="n">
        <v>10625.40647178148</v>
      </c>
      <c r="AA479" t="n">
        <v>0</v>
      </c>
      <c r="AB479" t="n">
        <v>0</v>
      </c>
      <c r="AC479" t="n">
        <v>0</v>
      </c>
      <c r="AD479" s="2" t="n">
        <v>44593</v>
      </c>
    </row>
    <row r="480">
      <c r="A480" t="n">
        <v>-1</v>
      </c>
      <c r="B480" t="inlineStr">
        <is>
          <t>01-02-2022</t>
        </is>
      </c>
      <c r="C480" t="n">
        <v>2022</v>
      </c>
      <c r="D480" t="n">
        <v>2</v>
      </c>
      <c r="E480" t="inlineStr">
        <is>
          <t>San Rafael 012</t>
        </is>
      </c>
      <c r="F480" t="inlineStr">
        <is>
          <t>Chilquinta</t>
        </is>
      </c>
      <c r="G480" t="inlineStr">
        <is>
          <t>Chilquinta</t>
        </is>
      </c>
      <c r="H480" t="inlineStr">
        <is>
          <t>Empresa Eléctrica Carén S.A.</t>
        </is>
      </c>
      <c r="I480" t="inlineStr">
        <is>
          <t>Empresa Eléctrica Carén S.A.</t>
        </is>
      </c>
      <c r="J480" t="inlineStr">
        <is>
          <t>SIC 2013/03_2_BS1B_BB_CHILQUINTA_Empresa Eléctrica Carén S.A.</t>
        </is>
      </c>
      <c r="K480" t="inlineStr">
        <is>
          <t>San Rafael 012</t>
        </is>
      </c>
      <c r="L480" t="inlineStr">
        <is>
          <t>-1</t>
        </is>
      </c>
      <c r="M480" t="n">
        <v>1352.640786967481</v>
      </c>
      <c r="N480" t="n">
        <v>0</v>
      </c>
      <c r="O480" t="inlineStr">
        <is>
          <t>3</t>
        </is>
      </c>
      <c r="P480" s="2" t="n">
        <v>44999.6862684375</v>
      </c>
      <c r="Q480" t="n">
        <v>11</v>
      </c>
      <c r="R480" t="inlineStr">
        <is>
          <t>QUILLOTA 220</t>
        </is>
      </c>
      <c r="S480" t="n">
        <v>410.5384234743638</v>
      </c>
      <c r="T480" t="n">
        <v>37488.77965355461</v>
      </c>
      <c r="U480" t="n">
        <v>0</v>
      </c>
      <c r="V480" t="n">
        <v>0</v>
      </c>
      <c r="W480" t="inlineStr">
        <is>
          <t>CHILQUINTA</t>
        </is>
      </c>
      <c r="X480" t="n">
        <v>97.14481812686002</v>
      </c>
      <c r="Y480" t="n">
        <v>37.48877965355461</v>
      </c>
      <c r="Z480" t="n">
        <v>39881.6804825049</v>
      </c>
      <c r="AA480" t="n">
        <v>0</v>
      </c>
      <c r="AB480" t="n">
        <v>0</v>
      </c>
      <c r="AC480" t="n">
        <v>0</v>
      </c>
      <c r="AD480" s="2" t="n">
        <v>44593</v>
      </c>
    </row>
    <row r="481">
      <c r="A481" t="n">
        <v>-1</v>
      </c>
      <c r="B481" t="inlineStr">
        <is>
          <t>01-02-2022</t>
        </is>
      </c>
      <c r="C481" t="n">
        <v>2022</v>
      </c>
      <c r="D481" t="n">
        <v>2</v>
      </c>
      <c r="E481" t="inlineStr">
        <is>
          <t>San Sebastian 012</t>
        </is>
      </c>
      <c r="F481" t="inlineStr">
        <is>
          <t>Chilquinta</t>
        </is>
      </c>
      <c r="G481" t="inlineStr">
        <is>
          <t>Chilquinta</t>
        </is>
      </c>
      <c r="H481" t="inlineStr">
        <is>
          <t>Empresa Eléctrica Carén S.A.</t>
        </is>
      </c>
      <c r="I481" t="inlineStr">
        <is>
          <t>Empresa Eléctrica Carén S.A.</t>
        </is>
      </c>
      <c r="J481" t="inlineStr">
        <is>
          <t>SIC 2013/03_2_BS1B_BB_CHILQUINTA_Empresa Eléctrica Carén S.A.</t>
        </is>
      </c>
      <c r="K481" t="inlineStr">
        <is>
          <t>San Sebastian 012</t>
        </is>
      </c>
      <c r="L481" t="inlineStr">
        <is>
          <t>-1</t>
        </is>
      </c>
      <c r="M481" t="n">
        <v>111.4445561731668</v>
      </c>
      <c r="N481" t="n">
        <v>0</v>
      </c>
      <c r="O481" t="inlineStr">
        <is>
          <t>3</t>
        </is>
      </c>
      <c r="P481" s="2" t="n">
        <v>44999.6862684375</v>
      </c>
      <c r="Q481" t="n">
        <v>31</v>
      </c>
      <c r="R481" t="inlineStr">
        <is>
          <t>LOS MAQUIS 220</t>
        </is>
      </c>
      <c r="S481" t="n">
        <v>0.1501473113968302</v>
      </c>
      <c r="T481" t="n">
        <v>13.59248131212992</v>
      </c>
      <c r="U481" t="n">
        <v>0</v>
      </c>
      <c r="V481" t="n">
        <v>0</v>
      </c>
      <c r="W481" t="inlineStr">
        <is>
          <t>CHILQUINTA</t>
        </is>
      </c>
      <c r="X481" t="n">
        <v>96.30599687562</v>
      </c>
      <c r="Y481" t="n">
        <v>0.01359248131212992</v>
      </c>
      <c r="Z481" t="n">
        <v>14.46008650226588</v>
      </c>
      <c r="AA481" t="n">
        <v>0</v>
      </c>
      <c r="AB481" t="n">
        <v>0</v>
      </c>
      <c r="AC481" t="n">
        <v>0</v>
      </c>
      <c r="AD481" s="2" t="n">
        <v>44593</v>
      </c>
    </row>
    <row r="482">
      <c r="A482" t="n">
        <v>-1</v>
      </c>
      <c r="B482" t="inlineStr">
        <is>
          <t>01-02-2022</t>
        </is>
      </c>
      <c r="C482" t="n">
        <v>2022</v>
      </c>
      <c r="D482" t="n">
        <v>2</v>
      </c>
      <c r="E482" t="inlineStr">
        <is>
          <t>San Sebastian 012</t>
        </is>
      </c>
      <c r="F482" t="inlineStr">
        <is>
          <t>Chilquinta</t>
        </is>
      </c>
      <c r="G482" t="inlineStr">
        <is>
          <t>Chilquinta</t>
        </is>
      </c>
      <c r="H482" t="inlineStr">
        <is>
          <t>Empresa Eléctrica Carén S.A.</t>
        </is>
      </c>
      <c r="I482" t="inlineStr">
        <is>
          <t>Empresa Eléctrica Carén S.A.</t>
        </is>
      </c>
      <c r="J482" t="inlineStr">
        <is>
          <t>SIC 2013/03_2_BS1B_BB_CHILQUINTA_Empresa Eléctrica Carén S.A.</t>
        </is>
      </c>
      <c r="K482" t="inlineStr">
        <is>
          <t>San Sebastian 012</t>
        </is>
      </c>
      <c r="L482" t="inlineStr">
        <is>
          <t>-1</t>
        </is>
      </c>
      <c r="M482" t="n">
        <v>111.4445561731668</v>
      </c>
      <c r="N482" t="n">
        <v>0</v>
      </c>
      <c r="O482" t="inlineStr">
        <is>
          <t>3</t>
        </is>
      </c>
      <c r="P482" s="2" t="n">
        <v>44999.6862684375</v>
      </c>
      <c r="Q482" t="n">
        <v>13</v>
      </c>
      <c r="R482" t="inlineStr">
        <is>
          <t>MELIPILLA 220</t>
        </is>
      </c>
      <c r="S482" t="n">
        <v>113.2328498841759</v>
      </c>
      <c r="T482" t="n">
        <v>10364.78641156849</v>
      </c>
      <c r="U482" t="n">
        <v>0</v>
      </c>
      <c r="V482" t="n">
        <v>0</v>
      </c>
      <c r="W482" t="inlineStr">
        <is>
          <t>CHILQUINTA</t>
        </is>
      </c>
      <c r="X482" t="n">
        <v>97.37782396384</v>
      </c>
      <c r="Y482" t="n">
        <v>10.36478641156849</v>
      </c>
      <c r="Z482" t="n">
        <v>11026.36852294521</v>
      </c>
      <c r="AA482" t="n">
        <v>0</v>
      </c>
      <c r="AB482" t="n">
        <v>0</v>
      </c>
      <c r="AC482" t="n">
        <v>0</v>
      </c>
      <c r="AD482" s="2" t="n">
        <v>44593</v>
      </c>
    </row>
    <row r="483">
      <c r="A483" t="n">
        <v>-1</v>
      </c>
      <c r="B483" t="inlineStr">
        <is>
          <t>01-02-2022</t>
        </is>
      </c>
      <c r="C483" t="n">
        <v>2022</v>
      </c>
      <c r="D483" t="n">
        <v>2</v>
      </c>
      <c r="E483" t="inlineStr">
        <is>
          <t>San Sebastian 012</t>
        </is>
      </c>
      <c r="F483" t="inlineStr">
        <is>
          <t>Chilquinta</t>
        </is>
      </c>
      <c r="G483" t="inlineStr">
        <is>
          <t>Chilquinta</t>
        </is>
      </c>
      <c r="H483" t="inlineStr">
        <is>
          <t>Empresa Eléctrica Carén S.A.</t>
        </is>
      </c>
      <c r="I483" t="inlineStr">
        <is>
          <t>Empresa Eléctrica Carén S.A.</t>
        </is>
      </c>
      <c r="J483" t="inlineStr">
        <is>
          <t>SIC 2013/03_2_BS1B_BB_CHILQUINTA_Empresa Eléctrica Carén S.A.</t>
        </is>
      </c>
      <c r="K483" t="inlineStr">
        <is>
          <t>San Sebastian 012</t>
        </is>
      </c>
      <c r="L483" t="inlineStr">
        <is>
          <t>-1</t>
        </is>
      </c>
      <c r="M483" t="n">
        <v>111.4445561731668</v>
      </c>
      <c r="N483" t="n">
        <v>0</v>
      </c>
      <c r="O483" t="inlineStr">
        <is>
          <t>3</t>
        </is>
      </c>
      <c r="P483" s="2" t="n">
        <v>44999.6862684375</v>
      </c>
      <c r="Q483" t="n">
        <v>5</v>
      </c>
      <c r="R483" t="inlineStr">
        <is>
          <t>NOGALES 220</t>
        </is>
      </c>
      <c r="S483" t="n">
        <v>0.1971399813759908</v>
      </c>
      <c r="T483" t="n">
        <v>18.57720013924144</v>
      </c>
      <c r="U483" t="n">
        <v>0</v>
      </c>
      <c r="V483" t="n">
        <v>0</v>
      </c>
      <c r="W483" t="inlineStr">
        <is>
          <t>CHILQUINTA</t>
        </is>
      </c>
      <c r="X483" t="n">
        <v>100.24845662251</v>
      </c>
      <c r="Y483" t="n">
        <v>0.01857720013924144</v>
      </c>
      <c r="Z483" t="n">
        <v>19.76297887153345</v>
      </c>
      <c r="AA483" t="n">
        <v>0</v>
      </c>
      <c r="AB483" t="n">
        <v>0</v>
      </c>
      <c r="AC483" t="n">
        <v>0</v>
      </c>
      <c r="AD483" s="2" t="n">
        <v>44593</v>
      </c>
    </row>
    <row r="484">
      <c r="A484" t="n">
        <v>-1</v>
      </c>
      <c r="B484" t="inlineStr">
        <is>
          <t>01-02-2022</t>
        </is>
      </c>
      <c r="C484" t="n">
        <v>2022</v>
      </c>
      <c r="D484" t="n">
        <v>2</v>
      </c>
      <c r="E484" t="inlineStr">
        <is>
          <t>San Sebastian 012</t>
        </is>
      </c>
      <c r="F484" t="inlineStr">
        <is>
          <t>Chilquinta</t>
        </is>
      </c>
      <c r="G484" t="inlineStr">
        <is>
          <t>Chilquinta</t>
        </is>
      </c>
      <c r="H484" t="inlineStr">
        <is>
          <t>Empresa Eléctrica Carén S.A.</t>
        </is>
      </c>
      <c r="I484" t="inlineStr">
        <is>
          <t>Empresa Eléctrica Carén S.A.</t>
        </is>
      </c>
      <c r="J484" t="inlineStr">
        <is>
          <t>SIC 2013/03_2_BS1B_BB_CHILQUINTA_Empresa Eléctrica Carén S.A.</t>
        </is>
      </c>
      <c r="K484" t="inlineStr">
        <is>
          <t>San Sebastian 012</t>
        </is>
      </c>
      <c r="L484" t="inlineStr">
        <is>
          <t>-1</t>
        </is>
      </c>
      <c r="M484" t="n">
        <v>111.4445561731668</v>
      </c>
      <c r="N484" t="n">
        <v>0</v>
      </c>
      <c r="O484" t="inlineStr">
        <is>
          <t>3</t>
        </is>
      </c>
      <c r="P484" s="2" t="n">
        <v>44999.6862684375</v>
      </c>
      <c r="Q484" t="n">
        <v>11</v>
      </c>
      <c r="R484" t="inlineStr">
        <is>
          <t>QUILLOTA 220</t>
        </is>
      </c>
      <c r="S484" t="n">
        <v>1.036131064906371</v>
      </c>
      <c r="T484" t="n">
        <v>94.61547802456401</v>
      </c>
      <c r="U484" t="n">
        <v>0</v>
      </c>
      <c r="V484" t="n">
        <v>0</v>
      </c>
      <c r="W484" t="inlineStr">
        <is>
          <t>CHILQUINTA</t>
        </is>
      </c>
      <c r="X484" t="n">
        <v>97.14481812686</v>
      </c>
      <c r="Y484" t="n">
        <v>0.09461547802456401</v>
      </c>
      <c r="Z484" t="n">
        <v>100.6547638559192</v>
      </c>
      <c r="AA484" t="n">
        <v>0</v>
      </c>
      <c r="AB484" t="n">
        <v>0</v>
      </c>
      <c r="AC484" t="n">
        <v>0</v>
      </c>
      <c r="AD484" s="2" t="n">
        <v>44593</v>
      </c>
    </row>
    <row r="485">
      <c r="A485" t="n">
        <v>-1</v>
      </c>
      <c r="B485" t="inlineStr">
        <is>
          <t>01-02-2022</t>
        </is>
      </c>
      <c r="C485" t="n">
        <v>2022</v>
      </c>
      <c r="D485" t="n">
        <v>2</v>
      </c>
      <c r="E485" t="inlineStr">
        <is>
          <t>Valparaiso 012</t>
        </is>
      </c>
      <c r="F485" t="inlineStr">
        <is>
          <t>Chilquinta</t>
        </is>
      </c>
      <c r="G485" t="inlineStr">
        <is>
          <t>Chilquinta</t>
        </is>
      </c>
      <c r="H485" t="inlineStr">
        <is>
          <t>Empresa Eléctrica Carén S.A.</t>
        </is>
      </c>
      <c r="I485" t="inlineStr">
        <is>
          <t>Empresa Eléctrica Carén S.A.</t>
        </is>
      </c>
      <c r="J485" t="inlineStr">
        <is>
          <t>SIC 2013/03_2_BS1B_BB_CHILQUINTA_Empresa Eléctrica Carén S.A.</t>
        </is>
      </c>
      <c r="K485" t="inlineStr">
        <is>
          <t>Valparaiso 012</t>
        </is>
      </c>
      <c r="L485" t="inlineStr">
        <is>
          <t>-1</t>
        </is>
      </c>
      <c r="M485" t="n">
        <v>660.7747902121756</v>
      </c>
      <c r="N485" t="n">
        <v>0</v>
      </c>
      <c r="O485" t="inlineStr">
        <is>
          <t>3</t>
        </is>
      </c>
      <c r="P485" s="2" t="n">
        <v>44999.6862684375</v>
      </c>
      <c r="Q485" t="n">
        <v>31</v>
      </c>
      <c r="R485" t="inlineStr">
        <is>
          <t>LOS MAQUIS 220</t>
        </is>
      </c>
      <c r="S485" t="n">
        <v>9.153948536789541</v>
      </c>
      <c r="T485" t="n">
        <v>828.6853308326212</v>
      </c>
      <c r="U485" t="n">
        <v>0</v>
      </c>
      <c r="V485" t="n">
        <v>0</v>
      </c>
      <c r="W485" t="inlineStr">
        <is>
          <t>CHILQUINTA</t>
        </is>
      </c>
      <c r="X485" t="n">
        <v>96.30599687561998</v>
      </c>
      <c r="Y485" t="n">
        <v>0.8286853308326212</v>
      </c>
      <c r="Z485" t="n">
        <v>881.5801391836396</v>
      </c>
      <c r="AA485" t="n">
        <v>0</v>
      </c>
      <c r="AB485" t="n">
        <v>0</v>
      </c>
      <c r="AC485" t="n">
        <v>0</v>
      </c>
      <c r="AD485" s="2" t="n">
        <v>44593</v>
      </c>
    </row>
    <row r="486">
      <c r="A486" t="n">
        <v>-1</v>
      </c>
      <c r="B486" t="inlineStr">
        <is>
          <t>01-02-2022</t>
        </is>
      </c>
      <c r="C486" t="n">
        <v>2022</v>
      </c>
      <c r="D486" t="n">
        <v>2</v>
      </c>
      <c r="E486" t="inlineStr">
        <is>
          <t>Valparaiso 012</t>
        </is>
      </c>
      <c r="F486" t="inlineStr">
        <is>
          <t>Chilquinta</t>
        </is>
      </c>
      <c r="G486" t="inlineStr">
        <is>
          <t>Chilquinta</t>
        </is>
      </c>
      <c r="H486" t="inlineStr">
        <is>
          <t>Empresa Eléctrica Carén S.A.</t>
        </is>
      </c>
      <c r="I486" t="inlineStr">
        <is>
          <t>Empresa Eléctrica Carén S.A.</t>
        </is>
      </c>
      <c r="J486" t="inlineStr">
        <is>
          <t>SIC 2013/03_2_BS1B_BB_CHILQUINTA_Empresa Eléctrica Carén S.A.</t>
        </is>
      </c>
      <c r="K486" t="inlineStr">
        <is>
          <t>Valparaiso 012</t>
        </is>
      </c>
      <c r="L486" t="inlineStr">
        <is>
          <t>-1</t>
        </is>
      </c>
      <c r="M486" t="n">
        <v>660.7747902121756</v>
      </c>
      <c r="N486" t="n">
        <v>0</v>
      </c>
      <c r="O486" t="inlineStr">
        <is>
          <t>3</t>
        </is>
      </c>
      <c r="P486" s="2" t="n">
        <v>44999.6862684375</v>
      </c>
      <c r="Q486" t="n">
        <v>13</v>
      </c>
      <c r="R486" t="inlineStr">
        <is>
          <t>MELIPILLA 220</t>
        </is>
      </c>
      <c r="S486" t="n">
        <v>599.0841375357699</v>
      </c>
      <c r="T486" t="n">
        <v>54837.25910341788</v>
      </c>
      <c r="U486" t="n">
        <v>0</v>
      </c>
      <c r="V486" t="n">
        <v>0</v>
      </c>
      <c r="W486" t="inlineStr">
        <is>
          <t>CHILQUINTA</t>
        </is>
      </c>
      <c r="X486" t="n">
        <v>97.37782396384</v>
      </c>
      <c r="Y486" t="n">
        <v>54.83725910341788</v>
      </c>
      <c r="Z486" t="n">
        <v>58337.50968448712</v>
      </c>
      <c r="AA486" t="n">
        <v>0</v>
      </c>
      <c r="AB486" t="n">
        <v>0</v>
      </c>
      <c r="AC486" t="n">
        <v>0</v>
      </c>
      <c r="AD486" s="2" t="n">
        <v>44593</v>
      </c>
    </row>
    <row r="487">
      <c r="A487" t="n">
        <v>-1</v>
      </c>
      <c r="B487" t="inlineStr">
        <is>
          <t>01-02-2022</t>
        </is>
      </c>
      <c r="C487" t="n">
        <v>2022</v>
      </c>
      <c r="D487" t="n">
        <v>2</v>
      </c>
      <c r="E487" t="inlineStr">
        <is>
          <t>Valparaiso 012</t>
        </is>
      </c>
      <c r="F487" t="inlineStr">
        <is>
          <t>Chilquinta</t>
        </is>
      </c>
      <c r="G487" t="inlineStr">
        <is>
          <t>Chilquinta</t>
        </is>
      </c>
      <c r="H487" t="inlineStr">
        <is>
          <t>Empresa Eléctrica Carén S.A.</t>
        </is>
      </c>
      <c r="I487" t="inlineStr">
        <is>
          <t>Empresa Eléctrica Carén S.A.</t>
        </is>
      </c>
      <c r="J487" t="inlineStr">
        <is>
          <t>SIC 2013/03_2_BS1B_BB_CHILQUINTA_Empresa Eléctrica Carén S.A.</t>
        </is>
      </c>
      <c r="K487" t="inlineStr">
        <is>
          <t>Valparaiso 012</t>
        </is>
      </c>
      <c r="L487" t="inlineStr">
        <is>
          <t>-1</t>
        </is>
      </c>
      <c r="M487" t="n">
        <v>660.7747902121756</v>
      </c>
      <c r="N487" t="n">
        <v>0</v>
      </c>
      <c r="O487" t="inlineStr">
        <is>
          <t>3</t>
        </is>
      </c>
      <c r="P487" s="2" t="n">
        <v>44999.6862684375</v>
      </c>
      <c r="Q487" t="n">
        <v>5</v>
      </c>
      <c r="R487" t="inlineStr">
        <is>
          <t>NOGALES 220</t>
        </is>
      </c>
      <c r="S487" t="n">
        <v>15.29735572109373</v>
      </c>
      <c r="T487" t="n">
        <v>1441.52412335846</v>
      </c>
      <c r="U487" t="n">
        <v>0</v>
      </c>
      <c r="V487" t="n">
        <v>0</v>
      </c>
      <c r="W487" t="inlineStr">
        <is>
          <t>CHILQUINTA</t>
        </is>
      </c>
      <c r="X487" t="n">
        <v>100.24845662251</v>
      </c>
      <c r="Y487" t="n">
        <v>1.44152412335846</v>
      </c>
      <c r="Z487" t="n">
        <v>1533.53630144517</v>
      </c>
      <c r="AA487" t="n">
        <v>0</v>
      </c>
      <c r="AB487" t="n">
        <v>0</v>
      </c>
      <c r="AC487" t="n">
        <v>0</v>
      </c>
      <c r="AD487" s="2" t="n">
        <v>44593</v>
      </c>
    </row>
    <row r="488">
      <c r="A488" t="n">
        <v>-1</v>
      </c>
      <c r="B488" t="inlineStr">
        <is>
          <t>01-02-2022</t>
        </is>
      </c>
      <c r="C488" t="n">
        <v>2022</v>
      </c>
      <c r="D488" t="n">
        <v>2</v>
      </c>
      <c r="E488" t="inlineStr">
        <is>
          <t>Valparaiso 012</t>
        </is>
      </c>
      <c r="F488" t="inlineStr">
        <is>
          <t>Chilquinta</t>
        </is>
      </c>
      <c r="G488" t="inlineStr">
        <is>
          <t>Chilquinta</t>
        </is>
      </c>
      <c r="H488" t="inlineStr">
        <is>
          <t>Empresa Eléctrica Carén S.A.</t>
        </is>
      </c>
      <c r="I488" t="inlineStr">
        <is>
          <t>Empresa Eléctrica Carén S.A.</t>
        </is>
      </c>
      <c r="J488" t="inlineStr">
        <is>
          <t>SIC 2013/03_2_BS1B_BB_CHILQUINTA_Empresa Eléctrica Carén S.A.</t>
        </is>
      </c>
      <c r="K488" t="inlineStr">
        <is>
          <t>Valparaiso 012</t>
        </is>
      </c>
      <c r="L488" t="inlineStr">
        <is>
          <t>-1</t>
        </is>
      </c>
      <c r="M488" t="n">
        <v>660.7747902121756</v>
      </c>
      <c r="N488" t="n">
        <v>0</v>
      </c>
      <c r="O488" t="inlineStr">
        <is>
          <t>3</t>
        </is>
      </c>
      <c r="P488" s="2" t="n">
        <v>44999.6862684375</v>
      </c>
      <c r="Q488" t="n">
        <v>11</v>
      </c>
      <c r="R488" t="inlineStr">
        <is>
          <t>QUILLOTA 220</t>
        </is>
      </c>
      <c r="S488" t="n">
        <v>56.04499894796091</v>
      </c>
      <c r="T488" t="n">
        <v>5117.812355936539</v>
      </c>
      <c r="U488" t="n">
        <v>0</v>
      </c>
      <c r="V488" t="n">
        <v>0</v>
      </c>
      <c r="W488" t="inlineStr">
        <is>
          <t>CHILQUINTA</t>
        </is>
      </c>
      <c r="X488" t="n">
        <v>97.14481812686</v>
      </c>
      <c r="Y488" t="n">
        <v>5.11781235593654</v>
      </c>
      <c r="Z488" t="n">
        <v>5444.481229719722</v>
      </c>
      <c r="AA488" t="n">
        <v>0</v>
      </c>
      <c r="AB488" t="n">
        <v>0</v>
      </c>
      <c r="AC488" t="n">
        <v>0</v>
      </c>
      <c r="AD488" s="2" t="n">
        <v>44593</v>
      </c>
    </row>
    <row r="489">
      <c r="A489" t="n">
        <v>-1</v>
      </c>
      <c r="B489" t="inlineStr">
        <is>
          <t>01-03-2022</t>
        </is>
      </c>
      <c r="C489" t="n">
        <v>2022</v>
      </c>
      <c r="D489" t="n">
        <v>3</v>
      </c>
      <c r="E489" t="inlineStr">
        <is>
          <t>Bosquemar 012</t>
        </is>
      </c>
      <c r="F489" t="inlineStr">
        <is>
          <t>Chilquinta</t>
        </is>
      </c>
      <c r="G489" t="inlineStr">
        <is>
          <t>Chilquinta</t>
        </is>
      </c>
      <c r="H489" t="inlineStr">
        <is>
          <t>Empresa Eléctrica Carén S.A.</t>
        </is>
      </c>
      <c r="I489" t="inlineStr">
        <is>
          <t>Empresa Eléctrica Carén S.A.</t>
        </is>
      </c>
      <c r="J489" t="inlineStr">
        <is>
          <t>SIC 2013/03_2_BS1B_BB_CHILQUINTA_Empresa Eléctrica Carén S.A.</t>
        </is>
      </c>
      <c r="K489" t="inlineStr">
        <is>
          <t>Bosquemar 012</t>
        </is>
      </c>
      <c r="L489" t="inlineStr">
        <is>
          <t>-1</t>
        </is>
      </c>
      <c r="M489" t="n">
        <v>410.4687038343487</v>
      </c>
      <c r="N489" t="n">
        <v>0</v>
      </c>
      <c r="O489" t="inlineStr">
        <is>
          <t>3</t>
        </is>
      </c>
      <c r="P489" s="2" t="n">
        <v>44999.6862684375</v>
      </c>
      <c r="Q489" t="n">
        <v>31</v>
      </c>
      <c r="R489" t="inlineStr">
        <is>
          <t>LOS MAQUIS 220</t>
        </is>
      </c>
      <c r="S489" t="n">
        <v>44.38914012674661</v>
      </c>
      <c r="T489" t="n">
        <v>4018.443966936441</v>
      </c>
      <c r="U489" t="n">
        <v>0</v>
      </c>
      <c r="V489" t="n">
        <v>0</v>
      </c>
      <c r="W489" t="inlineStr">
        <is>
          <t>CHILQUINTA</t>
        </is>
      </c>
      <c r="X489" t="n">
        <v>96.30599687562001</v>
      </c>
      <c r="Y489" t="n">
        <v>4.018443966936442</v>
      </c>
      <c r="Z489" t="n">
        <v>4274.940390357917</v>
      </c>
      <c r="AA489" t="n">
        <v>0</v>
      </c>
      <c r="AB489" t="n">
        <v>0</v>
      </c>
      <c r="AC489" t="n">
        <v>0</v>
      </c>
      <c r="AD489" s="2" t="n">
        <v>44621</v>
      </c>
    </row>
    <row r="490">
      <c r="A490" t="n">
        <v>-1</v>
      </c>
      <c r="B490" t="inlineStr">
        <is>
          <t>01-03-2022</t>
        </is>
      </c>
      <c r="C490" t="n">
        <v>2022</v>
      </c>
      <c r="D490" t="n">
        <v>3</v>
      </c>
      <c r="E490" t="inlineStr">
        <is>
          <t>Bosquemar 012</t>
        </is>
      </c>
      <c r="F490" t="inlineStr">
        <is>
          <t>Chilquinta</t>
        </is>
      </c>
      <c r="G490" t="inlineStr">
        <is>
          <t>Chilquinta</t>
        </is>
      </c>
      <c r="H490" t="inlineStr">
        <is>
          <t>Empresa Eléctrica Carén S.A.</t>
        </is>
      </c>
      <c r="I490" t="inlineStr">
        <is>
          <t>Empresa Eléctrica Carén S.A.</t>
        </is>
      </c>
      <c r="J490" t="inlineStr">
        <is>
          <t>SIC 2013/03_2_BS1B_BB_CHILQUINTA_Empresa Eléctrica Carén S.A.</t>
        </is>
      </c>
      <c r="K490" t="inlineStr">
        <is>
          <t>Bosquemar 012</t>
        </is>
      </c>
      <c r="L490" t="inlineStr">
        <is>
          <t>-1</t>
        </is>
      </c>
      <c r="M490" t="n">
        <v>410.4687038343487</v>
      </c>
      <c r="N490" t="n">
        <v>0</v>
      </c>
      <c r="O490" t="inlineStr">
        <is>
          <t>3</t>
        </is>
      </c>
      <c r="P490" s="2" t="n">
        <v>44999.6862684375</v>
      </c>
      <c r="Q490" t="n">
        <v>13</v>
      </c>
      <c r="R490" t="inlineStr">
        <is>
          <t>MELIPILLA 220</t>
        </is>
      </c>
      <c r="S490" t="n">
        <v>68.86121290988974</v>
      </c>
      <c r="T490" t="n">
        <v>6303.221764555205</v>
      </c>
      <c r="U490" t="n">
        <v>0</v>
      </c>
      <c r="V490" t="n">
        <v>0</v>
      </c>
      <c r="W490" t="inlineStr">
        <is>
          <t>CHILQUINTA</t>
        </is>
      </c>
      <c r="X490" t="n">
        <v>97.37782396384002</v>
      </c>
      <c r="Y490" t="n">
        <v>6.303221764555206</v>
      </c>
      <c r="Z490" t="n">
        <v>6705.55506867575</v>
      </c>
      <c r="AA490" t="n">
        <v>0</v>
      </c>
      <c r="AB490" t="n">
        <v>0</v>
      </c>
      <c r="AC490" t="n">
        <v>0</v>
      </c>
      <c r="AD490" s="2" t="n">
        <v>44621</v>
      </c>
    </row>
    <row r="491">
      <c r="A491" t="n">
        <v>-1</v>
      </c>
      <c r="B491" t="inlineStr">
        <is>
          <t>01-03-2022</t>
        </is>
      </c>
      <c r="C491" t="n">
        <v>2022</v>
      </c>
      <c r="D491" t="n">
        <v>3</v>
      </c>
      <c r="E491" t="inlineStr">
        <is>
          <t>Bosquemar 012</t>
        </is>
      </c>
      <c r="F491" t="inlineStr">
        <is>
          <t>Chilquinta</t>
        </is>
      </c>
      <c r="G491" t="inlineStr">
        <is>
          <t>Chilquinta</t>
        </is>
      </c>
      <c r="H491" t="inlineStr">
        <is>
          <t>Empresa Eléctrica Carén S.A.</t>
        </is>
      </c>
      <c r="I491" t="inlineStr">
        <is>
          <t>Empresa Eléctrica Carén S.A.</t>
        </is>
      </c>
      <c r="J491" t="inlineStr">
        <is>
          <t>SIC 2013/03_2_BS1B_BB_CHILQUINTA_Empresa Eléctrica Carén S.A.</t>
        </is>
      </c>
      <c r="K491" t="inlineStr">
        <is>
          <t>Bosquemar 012</t>
        </is>
      </c>
      <c r="L491" t="inlineStr">
        <is>
          <t>-1</t>
        </is>
      </c>
      <c r="M491" t="n">
        <v>410.4687038343487</v>
      </c>
      <c r="N491" t="n">
        <v>0</v>
      </c>
      <c r="O491" t="inlineStr">
        <is>
          <t>3</t>
        </is>
      </c>
      <c r="P491" s="2" t="n">
        <v>44999.6862684375</v>
      </c>
      <c r="Q491" t="n">
        <v>5</v>
      </c>
      <c r="R491" t="inlineStr">
        <is>
          <t>NOGALES 220</t>
        </is>
      </c>
      <c r="S491" t="n">
        <v>75.43409842366479</v>
      </c>
      <c r="T491" t="n">
        <v>7108.422827061935</v>
      </c>
      <c r="U491" t="n">
        <v>0</v>
      </c>
      <c r="V491" t="n">
        <v>0</v>
      </c>
      <c r="W491" t="inlineStr">
        <is>
          <t>CHILQUINTA</t>
        </is>
      </c>
      <c r="X491" t="n">
        <v>100.24845662251</v>
      </c>
      <c r="Y491" t="n">
        <v>7.108422827061935</v>
      </c>
      <c r="Z491" t="n">
        <v>7562.15194368291</v>
      </c>
      <c r="AA491" t="n">
        <v>0</v>
      </c>
      <c r="AB491" t="n">
        <v>0</v>
      </c>
      <c r="AC491" t="n">
        <v>0</v>
      </c>
      <c r="AD491" s="2" t="n">
        <v>44621</v>
      </c>
    </row>
    <row r="492">
      <c r="A492" t="n">
        <v>-1</v>
      </c>
      <c r="B492" t="inlineStr">
        <is>
          <t>01-03-2022</t>
        </is>
      </c>
      <c r="C492" t="n">
        <v>2022</v>
      </c>
      <c r="D492" t="n">
        <v>3</v>
      </c>
      <c r="E492" t="inlineStr">
        <is>
          <t>Bosquemar 012</t>
        </is>
      </c>
      <c r="F492" t="inlineStr">
        <is>
          <t>Chilquinta</t>
        </is>
      </c>
      <c r="G492" t="inlineStr">
        <is>
          <t>Chilquinta</t>
        </is>
      </c>
      <c r="H492" t="inlineStr">
        <is>
          <t>Empresa Eléctrica Carén S.A.</t>
        </is>
      </c>
      <c r="I492" t="inlineStr">
        <is>
          <t>Empresa Eléctrica Carén S.A.</t>
        </is>
      </c>
      <c r="J492" t="inlineStr">
        <is>
          <t>SIC 2013/03_2_BS1B_BB_CHILQUINTA_Empresa Eléctrica Carén S.A.</t>
        </is>
      </c>
      <c r="K492" t="inlineStr">
        <is>
          <t>Bosquemar 012</t>
        </is>
      </c>
      <c r="L492" t="inlineStr">
        <is>
          <t>-1</t>
        </is>
      </c>
      <c r="M492" t="n">
        <v>410.4687038343487</v>
      </c>
      <c r="N492" t="n">
        <v>0</v>
      </c>
      <c r="O492" t="inlineStr">
        <is>
          <t>3</t>
        </is>
      </c>
      <c r="P492" s="2" t="n">
        <v>44999.6862684375</v>
      </c>
      <c r="Q492" t="n">
        <v>11</v>
      </c>
      <c r="R492" t="inlineStr">
        <is>
          <t>QUILLOTA 220</t>
        </is>
      </c>
      <c r="S492" t="n">
        <v>233.466191685173</v>
      </c>
      <c r="T492" t="n">
        <v>21319.22888622516</v>
      </c>
      <c r="U492" t="n">
        <v>0</v>
      </c>
      <c r="V492" t="n">
        <v>0</v>
      </c>
      <c r="W492" t="inlineStr">
        <is>
          <t>CHILQUINTA</t>
        </is>
      </c>
      <c r="X492" t="n">
        <v>97.14481812686</v>
      </c>
      <c r="Y492" t="n">
        <v>21.31922888622517</v>
      </c>
      <c r="Z492" t="n">
        <v>22680.03073002677</v>
      </c>
      <c r="AA492" t="n">
        <v>0</v>
      </c>
      <c r="AB492" t="n">
        <v>0</v>
      </c>
      <c r="AC492" t="n">
        <v>0</v>
      </c>
      <c r="AD492" s="2" t="n">
        <v>44621</v>
      </c>
    </row>
    <row r="493">
      <c r="A493" t="n">
        <v>-1</v>
      </c>
      <c r="B493" t="inlineStr">
        <is>
          <t>01-03-2022</t>
        </is>
      </c>
      <c r="C493" t="n">
        <v>2022</v>
      </c>
      <c r="D493" t="n">
        <v>3</v>
      </c>
      <c r="E493" t="inlineStr">
        <is>
          <t>Casablanca 012</t>
        </is>
      </c>
      <c r="F493" t="inlineStr">
        <is>
          <t>Chilquinta</t>
        </is>
      </c>
      <c r="G493" t="inlineStr">
        <is>
          <t>Chilquinta</t>
        </is>
      </c>
      <c r="H493" t="inlineStr">
        <is>
          <t>Empresa Eléctrica Carén S.A.</t>
        </is>
      </c>
      <c r="I493" t="inlineStr">
        <is>
          <t>Empresa Eléctrica Carén S.A.</t>
        </is>
      </c>
      <c r="J493" t="inlineStr">
        <is>
          <t>SIC 2013/03_2_BS1B_BB_CHILQUINTA_Empresa Eléctrica Carén S.A.</t>
        </is>
      </c>
      <c r="K493" t="inlineStr">
        <is>
          <t>Casablanca 012</t>
        </is>
      </c>
      <c r="L493" t="inlineStr">
        <is>
          <t>-1</t>
        </is>
      </c>
      <c r="M493" t="n">
        <v>4.264991407214682</v>
      </c>
      <c r="N493" t="n">
        <v>0</v>
      </c>
      <c r="O493" t="inlineStr">
        <is>
          <t>3</t>
        </is>
      </c>
      <c r="P493" s="2" t="n">
        <v>44999.6862684375</v>
      </c>
      <c r="Q493" t="n">
        <v>31</v>
      </c>
      <c r="R493" t="inlineStr">
        <is>
          <t>LOS MAQUIS 220</t>
        </is>
      </c>
      <c r="S493" t="n">
        <v>0.007325243014648899</v>
      </c>
      <c r="T493" t="n">
        <v>0.663136941029018</v>
      </c>
      <c r="U493" t="n">
        <v>0</v>
      </c>
      <c r="V493" t="n">
        <v>0</v>
      </c>
      <c r="W493" t="inlineStr">
        <is>
          <t>CHILQUINTA</t>
        </is>
      </c>
      <c r="X493" t="n">
        <v>96.30599687562001</v>
      </c>
      <c r="Y493" t="n">
        <v>0.0006631369410290181</v>
      </c>
      <c r="Z493" t="n">
        <v>0.705464830881934</v>
      </c>
      <c r="AA493" t="n">
        <v>0</v>
      </c>
      <c r="AB493" t="n">
        <v>0</v>
      </c>
      <c r="AC493" t="n">
        <v>0</v>
      </c>
      <c r="AD493" s="2" t="n">
        <v>44621</v>
      </c>
    </row>
    <row r="494">
      <c r="A494" t="n">
        <v>-1</v>
      </c>
      <c r="B494" t="inlineStr">
        <is>
          <t>01-03-2022</t>
        </is>
      </c>
      <c r="C494" t="n">
        <v>2022</v>
      </c>
      <c r="D494" t="n">
        <v>3</v>
      </c>
      <c r="E494" t="inlineStr">
        <is>
          <t>Casablanca 012</t>
        </is>
      </c>
      <c r="F494" t="inlineStr">
        <is>
          <t>Chilquinta</t>
        </is>
      </c>
      <c r="G494" t="inlineStr">
        <is>
          <t>Chilquinta</t>
        </is>
      </c>
      <c r="H494" t="inlineStr">
        <is>
          <t>Empresa Eléctrica Carén S.A.</t>
        </is>
      </c>
      <c r="I494" t="inlineStr">
        <is>
          <t>Empresa Eléctrica Carén S.A.</t>
        </is>
      </c>
      <c r="J494" t="inlineStr">
        <is>
          <t>SIC 2013/03_2_BS1B_BB_CHILQUINTA_Empresa Eléctrica Carén S.A.</t>
        </is>
      </c>
      <c r="K494" t="inlineStr">
        <is>
          <t>Casablanca 012</t>
        </is>
      </c>
      <c r="L494" t="inlineStr">
        <is>
          <t>-1</t>
        </is>
      </c>
      <c r="M494" t="n">
        <v>4.264991407214682</v>
      </c>
      <c r="N494" t="n">
        <v>0</v>
      </c>
      <c r="O494" t="inlineStr">
        <is>
          <t>3</t>
        </is>
      </c>
      <c r="P494" s="2" t="n">
        <v>44999.6862684375</v>
      </c>
      <c r="Q494" t="n">
        <v>13</v>
      </c>
      <c r="R494" t="inlineStr">
        <is>
          <t>MELIPILLA 220</t>
        </is>
      </c>
      <c r="S494" t="n">
        <v>4.307725393650446</v>
      </c>
      <c r="T494" t="n">
        <v>394.3083095634091</v>
      </c>
      <c r="U494" t="n">
        <v>0</v>
      </c>
      <c r="V494" t="n">
        <v>0</v>
      </c>
      <c r="W494" t="inlineStr">
        <is>
          <t>CHILQUINTA</t>
        </is>
      </c>
      <c r="X494" t="n">
        <v>97.37782396384</v>
      </c>
      <c r="Y494" t="n">
        <v>0.3943083095634091</v>
      </c>
      <c r="Z494" t="n">
        <v>419.4769250674565</v>
      </c>
      <c r="AA494" t="n">
        <v>0</v>
      </c>
      <c r="AB494" t="n">
        <v>0</v>
      </c>
      <c r="AC494" t="n">
        <v>0</v>
      </c>
      <c r="AD494" s="2" t="n">
        <v>44621</v>
      </c>
    </row>
    <row r="495">
      <c r="A495" t="n">
        <v>-1</v>
      </c>
      <c r="B495" t="inlineStr">
        <is>
          <t>01-03-2022</t>
        </is>
      </c>
      <c r="C495" t="n">
        <v>2022</v>
      </c>
      <c r="D495" t="n">
        <v>3</v>
      </c>
      <c r="E495" t="inlineStr">
        <is>
          <t>Casablanca 012</t>
        </is>
      </c>
      <c r="F495" t="inlineStr">
        <is>
          <t>Chilquinta</t>
        </is>
      </c>
      <c r="G495" t="inlineStr">
        <is>
          <t>Chilquinta</t>
        </is>
      </c>
      <c r="H495" t="inlineStr">
        <is>
          <t>Empresa Eléctrica Carén S.A.</t>
        </is>
      </c>
      <c r="I495" t="inlineStr">
        <is>
          <t>Empresa Eléctrica Carén S.A.</t>
        </is>
      </c>
      <c r="J495" t="inlineStr">
        <is>
          <t>SIC 2013/03_2_BS1B_BB_CHILQUINTA_Empresa Eléctrica Carén S.A.</t>
        </is>
      </c>
      <c r="K495" t="inlineStr">
        <is>
          <t>Casablanca 012</t>
        </is>
      </c>
      <c r="L495" t="inlineStr">
        <is>
          <t>-1</t>
        </is>
      </c>
      <c r="M495" t="n">
        <v>4.264991407214682</v>
      </c>
      <c r="N495" t="n">
        <v>0</v>
      </c>
      <c r="O495" t="inlineStr">
        <is>
          <t>3</t>
        </is>
      </c>
      <c r="P495" s="2" t="n">
        <v>44999.6862684375</v>
      </c>
      <c r="Q495" t="n">
        <v>5</v>
      </c>
      <c r="R495" t="inlineStr">
        <is>
          <t>NOGALES 220</t>
        </is>
      </c>
      <c r="S495" t="n">
        <v>0.01429957618428468</v>
      </c>
      <c r="T495" t="n">
        <v>1.347499816260707</v>
      </c>
      <c r="U495" t="n">
        <v>0</v>
      </c>
      <c r="V495" t="n">
        <v>0</v>
      </c>
      <c r="W495" t="inlineStr">
        <is>
          <t>CHILQUINTA</t>
        </is>
      </c>
      <c r="X495" t="n">
        <v>100.24845662251</v>
      </c>
      <c r="Y495" t="n">
        <v>0.001347499816260707</v>
      </c>
      <c r="Z495" t="n">
        <v>1.43351044283054</v>
      </c>
      <c r="AA495" t="n">
        <v>0</v>
      </c>
      <c r="AB495" t="n">
        <v>0</v>
      </c>
      <c r="AC495" t="n">
        <v>0</v>
      </c>
      <c r="AD495" s="2" t="n">
        <v>44621</v>
      </c>
    </row>
    <row r="496">
      <c r="A496" t="n">
        <v>-1</v>
      </c>
      <c r="B496" t="inlineStr">
        <is>
          <t>01-03-2022</t>
        </is>
      </c>
      <c r="C496" t="n">
        <v>2022</v>
      </c>
      <c r="D496" t="n">
        <v>3</v>
      </c>
      <c r="E496" t="inlineStr">
        <is>
          <t>Casablanca 012</t>
        </is>
      </c>
      <c r="F496" t="inlineStr">
        <is>
          <t>Chilquinta</t>
        </is>
      </c>
      <c r="G496" t="inlineStr">
        <is>
          <t>Chilquinta</t>
        </is>
      </c>
      <c r="H496" t="inlineStr">
        <is>
          <t>Empresa Eléctrica Carén S.A.</t>
        </is>
      </c>
      <c r="I496" t="inlineStr">
        <is>
          <t>Empresa Eléctrica Carén S.A.</t>
        </is>
      </c>
      <c r="J496" t="inlineStr">
        <is>
          <t>SIC 2013/03_2_BS1B_BB_CHILQUINTA_Empresa Eléctrica Carén S.A.</t>
        </is>
      </c>
      <c r="K496" t="inlineStr">
        <is>
          <t>Casablanca 012</t>
        </is>
      </c>
      <c r="L496" t="inlineStr">
        <is>
          <t>-1</t>
        </is>
      </c>
      <c r="M496" t="n">
        <v>4.264991407214682</v>
      </c>
      <c r="N496" t="n">
        <v>0</v>
      </c>
      <c r="O496" t="inlineStr">
        <is>
          <t>3</t>
        </is>
      </c>
      <c r="P496" s="2" t="n">
        <v>44999.6862684375</v>
      </c>
      <c r="Q496" t="n">
        <v>11</v>
      </c>
      <c r="R496" t="inlineStr">
        <is>
          <t>QUILLOTA 220</t>
        </is>
      </c>
      <c r="S496" t="n">
        <v>0.05702284981463214</v>
      </c>
      <c r="T496" t="n">
        <v>5.207105911858631</v>
      </c>
      <c r="U496" t="n">
        <v>0</v>
      </c>
      <c r="V496" t="n">
        <v>0</v>
      </c>
      <c r="W496" t="inlineStr">
        <is>
          <t>CHILQUINTA</t>
        </is>
      </c>
      <c r="X496" t="n">
        <v>97.14481812686</v>
      </c>
      <c r="Y496" t="n">
        <v>0.005207105911858629</v>
      </c>
      <c r="Z496" t="n">
        <v>5.539474374317693</v>
      </c>
      <c r="AA496" t="n">
        <v>0</v>
      </c>
      <c r="AB496" t="n">
        <v>0</v>
      </c>
      <c r="AC496" t="n">
        <v>0</v>
      </c>
      <c r="AD496" s="2" t="n">
        <v>44621</v>
      </c>
    </row>
    <row r="497">
      <c r="A497" t="n">
        <v>-1</v>
      </c>
      <c r="B497" t="inlineStr">
        <is>
          <t>01-03-2022</t>
        </is>
      </c>
      <c r="C497" t="n">
        <v>2022</v>
      </c>
      <c r="D497" t="n">
        <v>3</v>
      </c>
      <c r="E497" t="inlineStr">
        <is>
          <t>Catemu 012</t>
        </is>
      </c>
      <c r="F497" t="inlineStr">
        <is>
          <t>Chilquinta</t>
        </is>
      </c>
      <c r="G497" t="inlineStr">
        <is>
          <t>Chilquinta</t>
        </is>
      </c>
      <c r="H497" t="inlineStr">
        <is>
          <t>Empresa Eléctrica Carén S.A.</t>
        </is>
      </c>
      <c r="I497" t="inlineStr">
        <is>
          <t>Empresa Eléctrica Carén S.A.</t>
        </is>
      </c>
      <c r="J497" t="inlineStr">
        <is>
          <t>SIC 2013/03_2_BS1B_BB_CHILQUINTA_Empresa Eléctrica Carén S.A.</t>
        </is>
      </c>
      <c r="K497" t="inlineStr">
        <is>
          <t>Catemu 012</t>
        </is>
      </c>
      <c r="L497" t="inlineStr">
        <is>
          <t>-1</t>
        </is>
      </c>
      <c r="M497" t="n">
        <v>160.5284637114666</v>
      </c>
      <c r="N497" t="n">
        <v>0</v>
      </c>
      <c r="O497" t="inlineStr">
        <is>
          <t>3</t>
        </is>
      </c>
      <c r="P497" s="2" t="n">
        <v>44999.6862684375</v>
      </c>
      <c r="Q497" t="n">
        <v>31</v>
      </c>
      <c r="R497" t="inlineStr">
        <is>
          <t>LOS MAQUIS 220</t>
        </is>
      </c>
      <c r="S497" t="n">
        <v>68.33699320021663</v>
      </c>
      <c r="T497" t="n">
        <v>6186.386518411567</v>
      </c>
      <c r="U497" t="n">
        <v>0</v>
      </c>
      <c r="V497" t="n">
        <v>0</v>
      </c>
      <c r="W497" t="inlineStr">
        <is>
          <t>CHILQUINTA</t>
        </is>
      </c>
      <c r="X497" t="n">
        <v>96.30599687562</v>
      </c>
      <c r="Y497" t="n">
        <v>6.186386518411567</v>
      </c>
      <c r="Z497" t="n">
        <v>6581.262253629327</v>
      </c>
      <c r="AA497" t="n">
        <v>0</v>
      </c>
      <c r="AB497" t="n">
        <v>0</v>
      </c>
      <c r="AC497" t="n">
        <v>0</v>
      </c>
      <c r="AD497" s="2" t="n">
        <v>44621</v>
      </c>
    </row>
    <row r="498">
      <c r="A498" t="n">
        <v>-1</v>
      </c>
      <c r="B498" t="inlineStr">
        <is>
          <t>01-03-2022</t>
        </is>
      </c>
      <c r="C498" t="n">
        <v>2022</v>
      </c>
      <c r="D498" t="n">
        <v>3</v>
      </c>
      <c r="E498" t="inlineStr">
        <is>
          <t>Catemu 012</t>
        </is>
      </c>
      <c r="F498" t="inlineStr">
        <is>
          <t>Chilquinta</t>
        </is>
      </c>
      <c r="G498" t="inlineStr">
        <is>
          <t>Chilquinta</t>
        </is>
      </c>
      <c r="H498" t="inlineStr">
        <is>
          <t>Empresa Eléctrica Carén S.A.</t>
        </is>
      </c>
      <c r="I498" t="inlineStr">
        <is>
          <t>Empresa Eléctrica Carén S.A.</t>
        </is>
      </c>
      <c r="J498" t="inlineStr">
        <is>
          <t>SIC 2013/03_2_BS1B_BB_CHILQUINTA_Empresa Eléctrica Carén S.A.</t>
        </is>
      </c>
      <c r="K498" t="inlineStr">
        <is>
          <t>Catemu 012</t>
        </is>
      </c>
      <c r="L498" t="inlineStr">
        <is>
          <t>-1</t>
        </is>
      </c>
      <c r="M498" t="n">
        <v>160.5284637114666</v>
      </c>
      <c r="N498" t="n">
        <v>0</v>
      </c>
      <c r="O498" t="inlineStr">
        <is>
          <t>3</t>
        </is>
      </c>
      <c r="P498" s="2" t="n">
        <v>44999.6862684375</v>
      </c>
      <c r="Q498" t="n">
        <v>13</v>
      </c>
      <c r="R498" t="inlineStr">
        <is>
          <t>MELIPILLA 220</t>
        </is>
      </c>
      <c r="S498" t="n">
        <v>8.646135325413955</v>
      </c>
      <c r="T498" t="n">
        <v>791.4253330645566</v>
      </c>
      <c r="U498" t="n">
        <v>0</v>
      </c>
      <c r="V498" t="n">
        <v>0</v>
      </c>
      <c r="W498" t="inlineStr">
        <is>
          <t>CHILQUINTA</t>
        </is>
      </c>
      <c r="X498" t="n">
        <v>97.37782396384</v>
      </c>
      <c r="Y498" t="n">
        <v>0.7914253330645566</v>
      </c>
      <c r="Z498" t="n">
        <v>841.9418436856986</v>
      </c>
      <c r="AA498" t="n">
        <v>0</v>
      </c>
      <c r="AB498" t="n">
        <v>0</v>
      </c>
      <c r="AC498" t="n">
        <v>0</v>
      </c>
      <c r="AD498" s="2" t="n">
        <v>44621</v>
      </c>
    </row>
    <row r="499">
      <c r="A499" t="n">
        <v>-1</v>
      </c>
      <c r="B499" t="inlineStr">
        <is>
          <t>01-03-2022</t>
        </is>
      </c>
      <c r="C499" t="n">
        <v>2022</v>
      </c>
      <c r="D499" t="n">
        <v>3</v>
      </c>
      <c r="E499" t="inlineStr">
        <is>
          <t>Catemu 012</t>
        </is>
      </c>
      <c r="F499" t="inlineStr">
        <is>
          <t>Chilquinta</t>
        </is>
      </c>
      <c r="G499" t="inlineStr">
        <is>
          <t>Chilquinta</t>
        </is>
      </c>
      <c r="H499" t="inlineStr">
        <is>
          <t>Empresa Eléctrica Carén S.A.</t>
        </is>
      </c>
      <c r="I499" t="inlineStr">
        <is>
          <t>Empresa Eléctrica Carén S.A.</t>
        </is>
      </c>
      <c r="J499" t="inlineStr">
        <is>
          <t>SIC 2013/03_2_BS1B_BB_CHILQUINTA_Empresa Eléctrica Carén S.A.</t>
        </is>
      </c>
      <c r="K499" t="inlineStr">
        <is>
          <t>Catemu 012</t>
        </is>
      </c>
      <c r="L499" t="inlineStr">
        <is>
          <t>-1</t>
        </is>
      </c>
      <c r="M499" t="n">
        <v>160.5284637114666</v>
      </c>
      <c r="N499" t="n">
        <v>0</v>
      </c>
      <c r="O499" t="inlineStr">
        <is>
          <t>3</t>
        </is>
      </c>
      <c r="P499" s="2" t="n">
        <v>44999.6862684375</v>
      </c>
      <c r="Q499" t="n">
        <v>5</v>
      </c>
      <c r="R499" t="inlineStr">
        <is>
          <t>NOGALES 220</t>
        </is>
      </c>
      <c r="S499" t="n">
        <v>18.48592271122018</v>
      </c>
      <c r="T499" t="n">
        <v>1741.994107780258</v>
      </c>
      <c r="U499" t="n">
        <v>0</v>
      </c>
      <c r="V499" t="n">
        <v>0</v>
      </c>
      <c r="W499" t="inlineStr">
        <is>
          <t>CHILQUINTA</t>
        </is>
      </c>
      <c r="X499" t="n">
        <v>100.24845662251</v>
      </c>
      <c r="Y499" t="n">
        <v>1.741994107780259</v>
      </c>
      <c r="Z499" t="n">
        <v>1853.185221042828</v>
      </c>
      <c r="AA499" t="n">
        <v>0</v>
      </c>
      <c r="AB499" t="n">
        <v>0</v>
      </c>
      <c r="AC499" t="n">
        <v>0</v>
      </c>
      <c r="AD499" s="2" t="n">
        <v>44621</v>
      </c>
    </row>
    <row r="500">
      <c r="A500" t="n">
        <v>-1</v>
      </c>
      <c r="B500" t="inlineStr">
        <is>
          <t>01-03-2022</t>
        </is>
      </c>
      <c r="C500" t="n">
        <v>2022</v>
      </c>
      <c r="D500" t="n">
        <v>3</v>
      </c>
      <c r="E500" t="inlineStr">
        <is>
          <t>Catemu 012</t>
        </is>
      </c>
      <c r="F500" t="inlineStr">
        <is>
          <t>Chilquinta</t>
        </is>
      </c>
      <c r="G500" t="inlineStr">
        <is>
          <t>Chilquinta</t>
        </is>
      </c>
      <c r="H500" t="inlineStr">
        <is>
          <t>Empresa Eléctrica Carén S.A.</t>
        </is>
      </c>
      <c r="I500" t="inlineStr">
        <is>
          <t>Empresa Eléctrica Carén S.A.</t>
        </is>
      </c>
      <c r="J500" t="inlineStr">
        <is>
          <t>SIC 2013/03_2_BS1B_BB_CHILQUINTA_Empresa Eléctrica Carén S.A.</t>
        </is>
      </c>
      <c r="K500" t="inlineStr">
        <is>
          <t>Catemu 012</t>
        </is>
      </c>
      <c r="L500" t="inlineStr">
        <is>
          <t>-1</t>
        </is>
      </c>
      <c r="M500" t="n">
        <v>160.5284637114666</v>
      </c>
      <c r="N500" t="n">
        <v>0</v>
      </c>
      <c r="O500" t="inlineStr">
        <is>
          <t>3</t>
        </is>
      </c>
      <c r="P500" s="2" t="n">
        <v>44999.6862684375</v>
      </c>
      <c r="Q500" t="n">
        <v>11</v>
      </c>
      <c r="R500" t="inlineStr">
        <is>
          <t>QUILLOTA 220</t>
        </is>
      </c>
      <c r="S500" t="n">
        <v>69.62805255184421</v>
      </c>
      <c r="T500" t="n">
        <v>6358.164231575774</v>
      </c>
      <c r="U500" t="n">
        <v>0</v>
      </c>
      <c r="V500" t="n">
        <v>0</v>
      </c>
      <c r="W500" t="inlineStr">
        <is>
          <t>CHILQUINTA</t>
        </is>
      </c>
      <c r="X500" t="n">
        <v>97.14481812686</v>
      </c>
      <c r="Y500" t="n">
        <v>6.358164231575775</v>
      </c>
      <c r="Z500" t="n">
        <v>6764.004501676356</v>
      </c>
      <c r="AA500" t="n">
        <v>0</v>
      </c>
      <c r="AB500" t="n">
        <v>0</v>
      </c>
      <c r="AC500" t="n">
        <v>0</v>
      </c>
      <c r="AD500" s="2" t="n">
        <v>44621</v>
      </c>
    </row>
    <row r="501">
      <c r="A501" t="n">
        <v>-1</v>
      </c>
      <c r="B501" t="inlineStr">
        <is>
          <t>01-03-2022</t>
        </is>
      </c>
      <c r="C501" t="n">
        <v>2022</v>
      </c>
      <c r="D501" t="n">
        <v>3</v>
      </c>
      <c r="E501" t="inlineStr">
        <is>
          <t>Con Con 012</t>
        </is>
      </c>
      <c r="F501" t="inlineStr">
        <is>
          <t>Chilquinta</t>
        </is>
      </c>
      <c r="G501" t="inlineStr">
        <is>
          <t>Chilquinta</t>
        </is>
      </c>
      <c r="H501" t="inlineStr">
        <is>
          <t>Empresa Eléctrica Carén S.A.</t>
        </is>
      </c>
      <c r="I501" t="inlineStr">
        <is>
          <t>Empresa Eléctrica Carén S.A.</t>
        </is>
      </c>
      <c r="J501" t="inlineStr">
        <is>
          <t>SIC 2013/03_2_BS1B_BB_CHILQUINTA_Empresa Eléctrica Carén S.A.</t>
        </is>
      </c>
      <c r="K501" t="inlineStr">
        <is>
          <t>Con Con 012</t>
        </is>
      </c>
      <c r="L501" t="inlineStr">
        <is>
          <t>-1</t>
        </is>
      </c>
      <c r="M501" t="n">
        <v>279.8902453427204</v>
      </c>
      <c r="N501" t="n">
        <v>0</v>
      </c>
      <c r="O501" t="inlineStr">
        <is>
          <t>3</t>
        </is>
      </c>
      <c r="P501" s="2" t="n">
        <v>44999.6862684375</v>
      </c>
      <c r="Q501" t="n">
        <v>31</v>
      </c>
      <c r="R501" t="inlineStr">
        <is>
          <t>LOS MAQUIS 220</t>
        </is>
      </c>
      <c r="S501" t="n">
        <v>23.24148712009056</v>
      </c>
      <c r="T501" t="n">
        <v>2103.996910813872</v>
      </c>
      <c r="U501" t="n">
        <v>0</v>
      </c>
      <c r="V501" t="n">
        <v>0</v>
      </c>
      <c r="W501" t="inlineStr">
        <is>
          <t>CHILQUINTA</t>
        </is>
      </c>
      <c r="X501" t="n">
        <v>96.30599687562001</v>
      </c>
      <c r="Y501" t="n">
        <v>2.103996910813872</v>
      </c>
      <c r="Z501" t="n">
        <v>2238.294585972204</v>
      </c>
      <c r="AA501" t="n">
        <v>0</v>
      </c>
      <c r="AB501" t="n">
        <v>0</v>
      </c>
      <c r="AC501" t="n">
        <v>0</v>
      </c>
      <c r="AD501" s="2" t="n">
        <v>44621</v>
      </c>
    </row>
    <row r="502">
      <c r="A502" t="n">
        <v>-1</v>
      </c>
      <c r="B502" t="inlineStr">
        <is>
          <t>01-03-2022</t>
        </is>
      </c>
      <c r="C502" t="n">
        <v>2022</v>
      </c>
      <c r="D502" t="n">
        <v>3</v>
      </c>
      <c r="E502" t="inlineStr">
        <is>
          <t>Con Con 012</t>
        </is>
      </c>
      <c r="F502" t="inlineStr">
        <is>
          <t>Chilquinta</t>
        </is>
      </c>
      <c r="G502" t="inlineStr">
        <is>
          <t>Chilquinta</t>
        </is>
      </c>
      <c r="H502" t="inlineStr">
        <is>
          <t>Empresa Eléctrica Carén S.A.</t>
        </is>
      </c>
      <c r="I502" t="inlineStr">
        <is>
          <t>Empresa Eléctrica Carén S.A.</t>
        </is>
      </c>
      <c r="J502" t="inlineStr">
        <is>
          <t>SIC 2013/03_2_BS1B_BB_CHILQUINTA_Empresa Eléctrica Carén S.A.</t>
        </is>
      </c>
      <c r="K502" t="inlineStr">
        <is>
          <t>Con Con 012</t>
        </is>
      </c>
      <c r="L502" t="inlineStr">
        <is>
          <t>-1</t>
        </is>
      </c>
      <c r="M502" t="n">
        <v>279.8902453427204</v>
      </c>
      <c r="N502" t="n">
        <v>0</v>
      </c>
      <c r="O502" t="inlineStr">
        <is>
          <t>3</t>
        </is>
      </c>
      <c r="P502" s="2" t="n">
        <v>44999.6862684375</v>
      </c>
      <c r="Q502" t="n">
        <v>13</v>
      </c>
      <c r="R502" t="inlineStr">
        <is>
          <t>MELIPILLA 220</t>
        </is>
      </c>
      <c r="S502" t="n">
        <v>45.6021351197021</v>
      </c>
      <c r="T502" t="n">
        <v>4174.1984848979</v>
      </c>
      <c r="U502" t="n">
        <v>0</v>
      </c>
      <c r="V502" t="n">
        <v>0</v>
      </c>
      <c r="W502" t="inlineStr">
        <is>
          <t>CHILQUINTA</t>
        </is>
      </c>
      <c r="X502" t="n">
        <v>97.37782396384002</v>
      </c>
      <c r="Y502" t="n">
        <v>4.174198484897901</v>
      </c>
      <c r="Z502" t="n">
        <v>4440.636686061596</v>
      </c>
      <c r="AA502" t="n">
        <v>0</v>
      </c>
      <c r="AB502" t="n">
        <v>0</v>
      </c>
      <c r="AC502" t="n">
        <v>0</v>
      </c>
      <c r="AD502" s="2" t="n">
        <v>44621</v>
      </c>
    </row>
    <row r="503">
      <c r="A503" t="n">
        <v>-1</v>
      </c>
      <c r="B503" t="inlineStr">
        <is>
          <t>01-03-2022</t>
        </is>
      </c>
      <c r="C503" t="n">
        <v>2022</v>
      </c>
      <c r="D503" t="n">
        <v>3</v>
      </c>
      <c r="E503" t="inlineStr">
        <is>
          <t>Con Con 012</t>
        </is>
      </c>
      <c r="F503" t="inlineStr">
        <is>
          <t>Chilquinta</t>
        </is>
      </c>
      <c r="G503" t="inlineStr">
        <is>
          <t>Chilquinta</t>
        </is>
      </c>
      <c r="H503" t="inlineStr">
        <is>
          <t>Empresa Eléctrica Carén S.A.</t>
        </is>
      </c>
      <c r="I503" t="inlineStr">
        <is>
          <t>Empresa Eléctrica Carén S.A.</t>
        </is>
      </c>
      <c r="J503" t="inlineStr">
        <is>
          <t>SIC 2013/03_2_BS1B_BB_CHILQUINTA_Empresa Eléctrica Carén S.A.</t>
        </is>
      </c>
      <c r="K503" t="inlineStr">
        <is>
          <t>Con Con 012</t>
        </is>
      </c>
      <c r="L503" t="inlineStr">
        <is>
          <t>-1</t>
        </is>
      </c>
      <c r="M503" t="n">
        <v>279.8902453427204</v>
      </c>
      <c r="N503" t="n">
        <v>0</v>
      </c>
      <c r="O503" t="inlineStr">
        <is>
          <t>3</t>
        </is>
      </c>
      <c r="P503" s="2" t="n">
        <v>44999.6862684375</v>
      </c>
      <c r="Q503" t="n">
        <v>5</v>
      </c>
      <c r="R503" t="inlineStr">
        <is>
          <t>NOGALES 220</t>
        </is>
      </c>
      <c r="S503" t="n">
        <v>59.87691027805349</v>
      </c>
      <c r="T503" t="n">
        <v>5642.413772137405</v>
      </c>
      <c r="U503" t="n">
        <v>0</v>
      </c>
      <c r="V503" t="n">
        <v>0</v>
      </c>
      <c r="W503" t="inlineStr">
        <is>
          <t>CHILQUINTA</t>
        </is>
      </c>
      <c r="X503" t="n">
        <v>100.24845662251</v>
      </c>
      <c r="Y503" t="n">
        <v>5.642413772137406</v>
      </c>
      <c r="Z503" t="n">
        <v>6002.567842699368</v>
      </c>
      <c r="AA503" t="n">
        <v>0</v>
      </c>
      <c r="AB503" t="n">
        <v>0</v>
      </c>
      <c r="AC503" t="n">
        <v>0</v>
      </c>
      <c r="AD503" s="2" t="n">
        <v>44621</v>
      </c>
    </row>
    <row r="504">
      <c r="A504" t="n">
        <v>-1</v>
      </c>
      <c r="B504" t="inlineStr">
        <is>
          <t>01-03-2022</t>
        </is>
      </c>
      <c r="C504" t="n">
        <v>2022</v>
      </c>
      <c r="D504" t="n">
        <v>3</v>
      </c>
      <c r="E504" t="inlineStr">
        <is>
          <t>Con Con 012</t>
        </is>
      </c>
      <c r="F504" t="inlineStr">
        <is>
          <t>Chilquinta</t>
        </is>
      </c>
      <c r="G504" t="inlineStr">
        <is>
          <t>Chilquinta</t>
        </is>
      </c>
      <c r="H504" t="inlineStr">
        <is>
          <t>Empresa Eléctrica Carén S.A.</t>
        </is>
      </c>
      <c r="I504" t="inlineStr">
        <is>
          <t>Empresa Eléctrica Carén S.A.</t>
        </is>
      </c>
      <c r="J504" t="inlineStr">
        <is>
          <t>SIC 2013/03_2_BS1B_BB_CHILQUINTA_Empresa Eléctrica Carén S.A.</t>
        </is>
      </c>
      <c r="K504" t="inlineStr">
        <is>
          <t>Con Con 012</t>
        </is>
      </c>
      <c r="L504" t="inlineStr">
        <is>
          <t>-1</t>
        </is>
      </c>
      <c r="M504" t="n">
        <v>279.8902453427204</v>
      </c>
      <c r="N504" t="n">
        <v>0</v>
      </c>
      <c r="O504" t="inlineStr">
        <is>
          <t>3</t>
        </is>
      </c>
      <c r="P504" s="2" t="n">
        <v>44999.6862684375</v>
      </c>
      <c r="Q504" t="n">
        <v>11</v>
      </c>
      <c r="R504" t="inlineStr">
        <is>
          <t>QUILLOTA 220</t>
        </is>
      </c>
      <c r="S504" t="n">
        <v>159.1353892073281</v>
      </c>
      <c r="T504" t="n">
        <v>14531.62773556739</v>
      </c>
      <c r="U504" t="n">
        <v>0</v>
      </c>
      <c r="V504" t="n">
        <v>0</v>
      </c>
      <c r="W504" t="inlineStr">
        <is>
          <t>CHILQUINTA</t>
        </is>
      </c>
      <c r="X504" t="n">
        <v>97.14481812686002</v>
      </c>
      <c r="Y504" t="n">
        <v>14.53162773556739</v>
      </c>
      <c r="Z504" t="n">
        <v>15459.17844209297</v>
      </c>
      <c r="AA504" t="n">
        <v>0</v>
      </c>
      <c r="AB504" t="n">
        <v>0</v>
      </c>
      <c r="AC504" t="n">
        <v>0</v>
      </c>
      <c r="AD504" s="2" t="n">
        <v>44621</v>
      </c>
    </row>
    <row r="505">
      <c r="A505" t="n">
        <v>-1</v>
      </c>
      <c r="B505" t="inlineStr">
        <is>
          <t>01-03-2022</t>
        </is>
      </c>
      <c r="C505" t="n">
        <v>2022</v>
      </c>
      <c r="D505" t="n">
        <v>3</v>
      </c>
      <c r="E505" t="inlineStr">
        <is>
          <t>El Melon 012</t>
        </is>
      </c>
      <c r="F505" t="inlineStr">
        <is>
          <t>Chilquinta</t>
        </is>
      </c>
      <c r="G505" t="inlineStr">
        <is>
          <t>Chilquinta</t>
        </is>
      </c>
      <c r="H505" t="inlineStr">
        <is>
          <t>Empresa Eléctrica Carén S.A.</t>
        </is>
      </c>
      <c r="I505" t="inlineStr">
        <is>
          <t>Empresa Eléctrica Carén S.A.</t>
        </is>
      </c>
      <c r="J505" t="inlineStr">
        <is>
          <t>SIC 2013/03_2_BS1B_BB_CHILQUINTA_Empresa Eléctrica Carén S.A.</t>
        </is>
      </c>
      <c r="K505" t="inlineStr">
        <is>
          <t>El Melon 012</t>
        </is>
      </c>
      <c r="L505" t="inlineStr">
        <is>
          <t>-1</t>
        </is>
      </c>
      <c r="M505" t="n">
        <v>190.535757041072</v>
      </c>
      <c r="N505" t="n">
        <v>0</v>
      </c>
      <c r="O505" t="inlineStr">
        <is>
          <t>3</t>
        </is>
      </c>
      <c r="P505" s="2" t="n">
        <v>44999.6862684375</v>
      </c>
      <c r="Q505" t="n">
        <v>31</v>
      </c>
      <c r="R505" t="inlineStr">
        <is>
          <t>LOS MAQUIS 220</t>
        </is>
      </c>
      <c r="S505" t="n">
        <v>67.56841751993858</v>
      </c>
      <c r="T505" t="n">
        <v>6116.809178171845</v>
      </c>
      <c r="U505" t="n">
        <v>0</v>
      </c>
      <c r="V505" t="n">
        <v>0</v>
      </c>
      <c r="W505" t="inlineStr">
        <is>
          <t>CHILQUINTA</t>
        </is>
      </c>
      <c r="X505" t="n">
        <v>96.30599687561998</v>
      </c>
      <c r="Y505" t="n">
        <v>6.116809178171844</v>
      </c>
      <c r="Z505" t="n">
        <v>6507.243806565793</v>
      </c>
      <c r="AA505" t="n">
        <v>0</v>
      </c>
      <c r="AB505" t="n">
        <v>0</v>
      </c>
      <c r="AC505" t="n">
        <v>0</v>
      </c>
      <c r="AD505" s="2" t="n">
        <v>44621</v>
      </c>
    </row>
    <row r="506">
      <c r="A506" t="n">
        <v>-1</v>
      </c>
      <c r="B506" t="inlineStr">
        <is>
          <t>01-03-2022</t>
        </is>
      </c>
      <c r="C506" t="n">
        <v>2022</v>
      </c>
      <c r="D506" t="n">
        <v>3</v>
      </c>
      <c r="E506" t="inlineStr">
        <is>
          <t>El Melon 012</t>
        </is>
      </c>
      <c r="F506" t="inlineStr">
        <is>
          <t>Chilquinta</t>
        </is>
      </c>
      <c r="G506" t="inlineStr">
        <is>
          <t>Chilquinta</t>
        </is>
      </c>
      <c r="H506" t="inlineStr">
        <is>
          <t>Empresa Eléctrica Carén S.A.</t>
        </is>
      </c>
      <c r="I506" t="inlineStr">
        <is>
          <t>Empresa Eléctrica Carén S.A.</t>
        </is>
      </c>
      <c r="J506" t="inlineStr">
        <is>
          <t>SIC 2013/03_2_BS1B_BB_CHILQUINTA_Empresa Eléctrica Carén S.A.</t>
        </is>
      </c>
      <c r="K506" t="inlineStr">
        <is>
          <t>El Melon 012</t>
        </is>
      </c>
      <c r="L506" t="inlineStr">
        <is>
          <t>-1</t>
        </is>
      </c>
      <c r="M506" t="n">
        <v>190.535757041072</v>
      </c>
      <c r="N506" t="n">
        <v>0</v>
      </c>
      <c r="O506" t="inlineStr">
        <is>
          <t>3</t>
        </is>
      </c>
      <c r="P506" s="2" t="n">
        <v>44999.6862684375</v>
      </c>
      <c r="Q506" t="n">
        <v>13</v>
      </c>
      <c r="R506" t="inlineStr">
        <is>
          <t>MELIPILLA 220</t>
        </is>
      </c>
      <c r="S506" t="n">
        <v>11.361668303721</v>
      </c>
      <c r="T506" t="n">
        <v>1039.992063854367</v>
      </c>
      <c r="U506" t="n">
        <v>0</v>
      </c>
      <c r="V506" t="n">
        <v>0</v>
      </c>
      <c r="W506" t="inlineStr">
        <is>
          <t>CHILQUINTA</t>
        </is>
      </c>
      <c r="X506" t="n">
        <v>97.37782396384002</v>
      </c>
      <c r="Y506" t="n">
        <v>1.039992063854367</v>
      </c>
      <c r="Z506" t="n">
        <v>1106.374536015284</v>
      </c>
      <c r="AA506" t="n">
        <v>0</v>
      </c>
      <c r="AB506" t="n">
        <v>0</v>
      </c>
      <c r="AC506" t="n">
        <v>0</v>
      </c>
      <c r="AD506" s="2" t="n">
        <v>44621</v>
      </c>
    </row>
    <row r="507">
      <c r="A507" t="n">
        <v>-1</v>
      </c>
      <c r="B507" t="inlineStr">
        <is>
          <t>01-03-2022</t>
        </is>
      </c>
      <c r="C507" t="n">
        <v>2022</v>
      </c>
      <c r="D507" t="n">
        <v>3</v>
      </c>
      <c r="E507" t="inlineStr">
        <is>
          <t>El Melon 012</t>
        </is>
      </c>
      <c r="F507" t="inlineStr">
        <is>
          <t>Chilquinta</t>
        </is>
      </c>
      <c r="G507" t="inlineStr">
        <is>
          <t>Chilquinta</t>
        </is>
      </c>
      <c r="H507" t="inlineStr">
        <is>
          <t>Empresa Eléctrica Carén S.A.</t>
        </is>
      </c>
      <c r="I507" t="inlineStr">
        <is>
          <t>Empresa Eléctrica Carén S.A.</t>
        </is>
      </c>
      <c r="J507" t="inlineStr">
        <is>
          <t>SIC 2013/03_2_BS1B_BB_CHILQUINTA_Empresa Eléctrica Carén S.A.</t>
        </is>
      </c>
      <c r="K507" t="inlineStr">
        <is>
          <t>El Melon 012</t>
        </is>
      </c>
      <c r="L507" t="inlineStr">
        <is>
          <t>-1</t>
        </is>
      </c>
      <c r="M507" t="n">
        <v>190.535757041072</v>
      </c>
      <c r="N507" t="n">
        <v>0</v>
      </c>
      <c r="O507" t="inlineStr">
        <is>
          <t>3</t>
        </is>
      </c>
      <c r="P507" s="2" t="n">
        <v>44999.6862684375</v>
      </c>
      <c r="Q507" t="n">
        <v>5</v>
      </c>
      <c r="R507" t="inlineStr">
        <is>
          <t>NOGALES 220</t>
        </is>
      </c>
      <c r="S507" t="n">
        <v>24.47128557724523</v>
      </c>
      <c r="T507" t="n">
        <v>2306.016094046272</v>
      </c>
      <c r="U507" t="n">
        <v>0</v>
      </c>
      <c r="V507" t="n">
        <v>0</v>
      </c>
      <c r="W507" t="inlineStr">
        <is>
          <t>CHILQUINTA</t>
        </is>
      </c>
      <c r="X507" t="n">
        <v>100.24845662251</v>
      </c>
      <c r="Y507" t="n">
        <v>2.306016094046272</v>
      </c>
      <c r="Z507" t="n">
        <v>2453.208610687524</v>
      </c>
      <c r="AA507" t="n">
        <v>0</v>
      </c>
      <c r="AB507" t="n">
        <v>0</v>
      </c>
      <c r="AC507" t="n">
        <v>0</v>
      </c>
      <c r="AD507" s="2" t="n">
        <v>44621</v>
      </c>
    </row>
    <row r="508">
      <c r="A508" t="n">
        <v>-1</v>
      </c>
      <c r="B508" t="inlineStr">
        <is>
          <t>01-03-2022</t>
        </is>
      </c>
      <c r="C508" t="n">
        <v>2022</v>
      </c>
      <c r="D508" t="n">
        <v>3</v>
      </c>
      <c r="E508" t="inlineStr">
        <is>
          <t>El Melon 012</t>
        </is>
      </c>
      <c r="F508" t="inlineStr">
        <is>
          <t>Chilquinta</t>
        </is>
      </c>
      <c r="G508" t="inlineStr">
        <is>
          <t>Chilquinta</t>
        </is>
      </c>
      <c r="H508" t="inlineStr">
        <is>
          <t>Empresa Eléctrica Carén S.A.</t>
        </is>
      </c>
      <c r="I508" t="inlineStr">
        <is>
          <t>Empresa Eléctrica Carén S.A.</t>
        </is>
      </c>
      <c r="J508" t="inlineStr">
        <is>
          <t>SIC 2013/03_2_BS1B_BB_CHILQUINTA_Empresa Eléctrica Carén S.A.</t>
        </is>
      </c>
      <c r="K508" t="inlineStr">
        <is>
          <t>El Melon 012</t>
        </is>
      </c>
      <c r="L508" t="inlineStr">
        <is>
          <t>-1</t>
        </is>
      </c>
      <c r="M508" t="n">
        <v>190.535757041072</v>
      </c>
      <c r="N508" t="n">
        <v>0</v>
      </c>
      <c r="O508" t="inlineStr">
        <is>
          <t>3</t>
        </is>
      </c>
      <c r="P508" s="2" t="n">
        <v>44999.6862684375</v>
      </c>
      <c r="Q508" t="n">
        <v>11</v>
      </c>
      <c r="R508" t="inlineStr">
        <is>
          <t>QUILLOTA 220</t>
        </is>
      </c>
      <c r="S508" t="n">
        <v>92.55703328555607</v>
      </c>
      <c r="T508" t="n">
        <v>8451.949994993847</v>
      </c>
      <c r="U508" t="n">
        <v>0</v>
      </c>
      <c r="V508" t="n">
        <v>0</v>
      </c>
      <c r="W508" t="inlineStr">
        <is>
          <t>CHILQUINTA</t>
        </is>
      </c>
      <c r="X508" t="n">
        <v>97.14481812686</v>
      </c>
      <c r="Y508" t="n">
        <v>8.451949994993848</v>
      </c>
      <c r="Z508" t="n">
        <v>8991.436164887073</v>
      </c>
      <c r="AA508" t="n">
        <v>0</v>
      </c>
      <c r="AB508" t="n">
        <v>0</v>
      </c>
      <c r="AC508" t="n">
        <v>0</v>
      </c>
      <c r="AD508" s="2" t="n">
        <v>44621</v>
      </c>
    </row>
    <row r="509">
      <c r="A509" t="n">
        <v>-1</v>
      </c>
      <c r="B509" t="inlineStr">
        <is>
          <t>01-03-2022</t>
        </is>
      </c>
      <c r="C509" t="n">
        <v>2022</v>
      </c>
      <c r="D509" t="n">
        <v>3</v>
      </c>
      <c r="E509" t="inlineStr">
        <is>
          <t>Juncal 012</t>
        </is>
      </c>
      <c r="F509" t="inlineStr">
        <is>
          <t>Chilquinta</t>
        </is>
      </c>
      <c r="G509" t="inlineStr">
        <is>
          <t>Chilquinta</t>
        </is>
      </c>
      <c r="H509" t="inlineStr">
        <is>
          <t>Empresa Eléctrica Carén S.A.</t>
        </is>
      </c>
      <c r="I509" t="inlineStr">
        <is>
          <t>Empresa Eléctrica Carén S.A.</t>
        </is>
      </c>
      <c r="J509" t="inlineStr">
        <is>
          <t>SIC 2013/03_2_BS1B_BB_CHILQUINTA_Empresa Eléctrica Carén S.A.</t>
        </is>
      </c>
      <c r="K509" t="inlineStr">
        <is>
          <t>Juncal 012</t>
        </is>
      </c>
      <c r="L509" t="inlineStr">
        <is>
          <t>-1</t>
        </is>
      </c>
      <c r="M509" t="n">
        <v>12.83776695189958</v>
      </c>
      <c r="N509" t="n">
        <v>0</v>
      </c>
      <c r="O509" t="inlineStr">
        <is>
          <t>3</t>
        </is>
      </c>
      <c r="P509" s="2" t="n">
        <v>44999.6862684375</v>
      </c>
      <c r="Q509" t="n">
        <v>31</v>
      </c>
      <c r="R509" t="inlineStr">
        <is>
          <t>LOS MAQUIS 220</t>
        </is>
      </c>
      <c r="S509" t="n">
        <v>8.458189012060004</v>
      </c>
      <c r="T509" t="n">
        <v>765.6998650947228</v>
      </c>
      <c r="U509" t="n">
        <v>0</v>
      </c>
      <c r="V509" t="n">
        <v>0</v>
      </c>
      <c r="W509" t="inlineStr">
        <is>
          <t>CHILQUINTA</t>
        </is>
      </c>
      <c r="X509" t="n">
        <v>96.30599687562</v>
      </c>
      <c r="Y509" t="n">
        <v>0.7656998650947228</v>
      </c>
      <c r="Z509" t="n">
        <v>814.5743245688541</v>
      </c>
      <c r="AA509" t="n">
        <v>0</v>
      </c>
      <c r="AB509" t="n">
        <v>0</v>
      </c>
      <c r="AC509" t="n">
        <v>0</v>
      </c>
      <c r="AD509" s="2" t="n">
        <v>44621</v>
      </c>
    </row>
    <row r="510">
      <c r="A510" t="n">
        <v>-1</v>
      </c>
      <c r="B510" t="inlineStr">
        <is>
          <t>01-03-2022</t>
        </is>
      </c>
      <c r="C510" t="n">
        <v>2022</v>
      </c>
      <c r="D510" t="n">
        <v>3</v>
      </c>
      <c r="E510" t="inlineStr">
        <is>
          <t>Juncal 012</t>
        </is>
      </c>
      <c r="F510" t="inlineStr">
        <is>
          <t>Chilquinta</t>
        </is>
      </c>
      <c r="G510" t="inlineStr">
        <is>
          <t>Chilquinta</t>
        </is>
      </c>
      <c r="H510" t="inlineStr">
        <is>
          <t>Empresa Eléctrica Carén S.A.</t>
        </is>
      </c>
      <c r="I510" t="inlineStr">
        <is>
          <t>Empresa Eléctrica Carén S.A.</t>
        </is>
      </c>
      <c r="J510" t="inlineStr">
        <is>
          <t>SIC 2013/03_2_BS1B_BB_CHILQUINTA_Empresa Eléctrica Carén S.A.</t>
        </is>
      </c>
      <c r="K510" t="inlineStr">
        <is>
          <t>Juncal 012</t>
        </is>
      </c>
      <c r="L510" t="inlineStr">
        <is>
          <t>-1</t>
        </is>
      </c>
      <c r="M510" t="n">
        <v>12.83776695189958</v>
      </c>
      <c r="N510" t="n">
        <v>0</v>
      </c>
      <c r="O510" t="inlineStr">
        <is>
          <t>3</t>
        </is>
      </c>
      <c r="P510" s="2" t="n">
        <v>44999.6862684375</v>
      </c>
      <c r="Q510" t="n">
        <v>5</v>
      </c>
      <c r="R510" t="inlineStr">
        <is>
          <t>NOGALES 220</t>
        </is>
      </c>
      <c r="S510" t="n">
        <v>0.6939565022538696</v>
      </c>
      <c r="T510" t="n">
        <v>65.39398421525947</v>
      </c>
      <c r="U510" t="n">
        <v>0</v>
      </c>
      <c r="V510" t="n">
        <v>0</v>
      </c>
      <c r="W510" t="inlineStr">
        <is>
          <t>CHILQUINTA</t>
        </is>
      </c>
      <c r="X510" t="n">
        <v>100.24845662251</v>
      </c>
      <c r="Y510" t="n">
        <v>0.06539398421525947</v>
      </c>
      <c r="Z510" t="n">
        <v>69.56806831410582</v>
      </c>
      <c r="AA510" t="n">
        <v>0</v>
      </c>
      <c r="AB510" t="n">
        <v>0</v>
      </c>
      <c r="AC510" t="n">
        <v>0</v>
      </c>
      <c r="AD510" s="2" t="n">
        <v>44621</v>
      </c>
    </row>
    <row r="511">
      <c r="A511" t="n">
        <v>-1</v>
      </c>
      <c r="B511" t="inlineStr">
        <is>
          <t>01-03-2022</t>
        </is>
      </c>
      <c r="C511" t="n">
        <v>2022</v>
      </c>
      <c r="D511" t="n">
        <v>3</v>
      </c>
      <c r="E511" t="inlineStr">
        <is>
          <t>Juncal 012</t>
        </is>
      </c>
      <c r="F511" t="inlineStr">
        <is>
          <t>Chilquinta</t>
        </is>
      </c>
      <c r="G511" t="inlineStr">
        <is>
          <t>Chilquinta</t>
        </is>
      </c>
      <c r="H511" t="inlineStr">
        <is>
          <t>Empresa Eléctrica Carén S.A.</t>
        </is>
      </c>
      <c r="I511" t="inlineStr">
        <is>
          <t>Empresa Eléctrica Carén S.A.</t>
        </is>
      </c>
      <c r="J511" t="inlineStr">
        <is>
          <t>SIC 2013/03_2_BS1B_BB_CHILQUINTA_Empresa Eléctrica Carén S.A.</t>
        </is>
      </c>
      <c r="K511" t="inlineStr">
        <is>
          <t>Juncal 012</t>
        </is>
      </c>
      <c r="L511" t="inlineStr">
        <is>
          <t>-1</t>
        </is>
      </c>
      <c r="M511" t="n">
        <v>12.83776695189958</v>
      </c>
      <c r="N511" t="n">
        <v>0</v>
      </c>
      <c r="O511" t="inlineStr">
        <is>
          <t>3</t>
        </is>
      </c>
      <c r="P511" s="2" t="n">
        <v>44999.6862684375</v>
      </c>
      <c r="Q511" t="n">
        <v>11</v>
      </c>
      <c r="R511" t="inlineStr">
        <is>
          <t>QUILLOTA 220</t>
        </is>
      </c>
      <c r="S511" t="n">
        <v>4.050984285036762</v>
      </c>
      <c r="T511" t="n">
        <v>369.9202037083843</v>
      </c>
      <c r="U511" t="n">
        <v>0</v>
      </c>
      <c r="V511" t="n">
        <v>0</v>
      </c>
      <c r="W511" t="inlineStr">
        <is>
          <t>CHILQUINTA</t>
        </is>
      </c>
      <c r="X511" t="n">
        <v>97.14481812686</v>
      </c>
      <c r="Y511" t="n">
        <v>0.3699202037083844</v>
      </c>
      <c r="Z511" t="n">
        <v>393.5321316046642</v>
      </c>
      <c r="AA511" t="n">
        <v>0</v>
      </c>
      <c r="AB511" t="n">
        <v>0</v>
      </c>
      <c r="AC511" t="n">
        <v>0</v>
      </c>
      <c r="AD511" s="2" t="n">
        <v>44621</v>
      </c>
    </row>
    <row r="512">
      <c r="A512" t="n">
        <v>-1</v>
      </c>
      <c r="B512" t="inlineStr">
        <is>
          <t>01-03-2022</t>
        </is>
      </c>
      <c r="C512" t="n">
        <v>2022</v>
      </c>
      <c r="D512" t="n">
        <v>3</v>
      </c>
      <c r="E512" t="inlineStr">
        <is>
          <t>La Calera 012</t>
        </is>
      </c>
      <c r="F512" t="inlineStr">
        <is>
          <t>Chilquinta</t>
        </is>
      </c>
      <c r="G512" t="inlineStr">
        <is>
          <t>Chilquinta</t>
        </is>
      </c>
      <c r="H512" t="inlineStr">
        <is>
          <t>Empresa Eléctrica Carén S.A.</t>
        </is>
      </c>
      <c r="I512" t="inlineStr">
        <is>
          <t>Empresa Eléctrica Carén S.A.</t>
        </is>
      </c>
      <c r="J512" t="inlineStr">
        <is>
          <t>SIC 2013/03_2_BS1B_BB_CHILQUINTA_Empresa Eléctrica Carén S.A.</t>
        </is>
      </c>
      <c r="K512" t="inlineStr">
        <is>
          <t>La Calera 012</t>
        </is>
      </c>
      <c r="L512" t="inlineStr">
        <is>
          <t>-1</t>
        </is>
      </c>
      <c r="M512" t="n">
        <v>763.2771094984064</v>
      </c>
      <c r="N512" t="n">
        <v>0</v>
      </c>
      <c r="O512" t="inlineStr">
        <is>
          <t>3</t>
        </is>
      </c>
      <c r="P512" s="2" t="n">
        <v>44999.6862684375</v>
      </c>
      <c r="Q512" t="n">
        <v>31</v>
      </c>
      <c r="R512" t="inlineStr">
        <is>
          <t>LOS MAQUIS 220</t>
        </is>
      </c>
      <c r="S512" t="n">
        <v>182.3397944333473</v>
      </c>
      <c r="T512" t="n">
        <v>16506.79073261919</v>
      </c>
      <c r="U512" t="n">
        <v>0</v>
      </c>
      <c r="V512" t="n">
        <v>0</v>
      </c>
      <c r="W512" t="inlineStr">
        <is>
          <t>CHILQUINTA</t>
        </is>
      </c>
      <c r="X512" t="n">
        <v>96.30599687562</v>
      </c>
      <c r="Y512" t="n">
        <v>16.50679073261919</v>
      </c>
      <c r="Z512" t="n">
        <v>17560.41567299914</v>
      </c>
      <c r="AA512" t="n">
        <v>0</v>
      </c>
      <c r="AB512" t="n">
        <v>0</v>
      </c>
      <c r="AC512" t="n">
        <v>0</v>
      </c>
      <c r="AD512" s="2" t="n">
        <v>44621</v>
      </c>
    </row>
    <row r="513">
      <c r="A513" t="n">
        <v>-1</v>
      </c>
      <c r="B513" t="inlineStr">
        <is>
          <t>01-03-2022</t>
        </is>
      </c>
      <c r="C513" t="n">
        <v>2022</v>
      </c>
      <c r="D513" t="n">
        <v>3</v>
      </c>
      <c r="E513" t="inlineStr">
        <is>
          <t>La Calera 012</t>
        </is>
      </c>
      <c r="F513" t="inlineStr">
        <is>
          <t>Chilquinta</t>
        </is>
      </c>
      <c r="G513" t="inlineStr">
        <is>
          <t>Chilquinta</t>
        </is>
      </c>
      <c r="H513" t="inlineStr">
        <is>
          <t>Empresa Eléctrica Carén S.A.</t>
        </is>
      </c>
      <c r="I513" t="inlineStr">
        <is>
          <t>Empresa Eléctrica Carén S.A.</t>
        </is>
      </c>
      <c r="J513" t="inlineStr">
        <is>
          <t>SIC 2013/03_2_BS1B_BB_CHILQUINTA_Empresa Eléctrica Carén S.A.</t>
        </is>
      </c>
      <c r="K513" t="inlineStr">
        <is>
          <t>La Calera 012</t>
        </is>
      </c>
      <c r="L513" t="inlineStr">
        <is>
          <t>-1</t>
        </is>
      </c>
      <c r="M513" t="n">
        <v>763.2771094984064</v>
      </c>
      <c r="N513" t="n">
        <v>0</v>
      </c>
      <c r="O513" t="inlineStr">
        <is>
          <t>3</t>
        </is>
      </c>
      <c r="P513" s="2" t="n">
        <v>44999.6862684375</v>
      </c>
      <c r="Q513" t="n">
        <v>13</v>
      </c>
      <c r="R513" t="inlineStr">
        <is>
          <t>MELIPILLA 220</t>
        </is>
      </c>
      <c r="S513" t="n">
        <v>55.40529830853131</v>
      </c>
      <c r="T513" t="n">
        <v>5071.532542231072</v>
      </c>
      <c r="U513" t="n">
        <v>0</v>
      </c>
      <c r="V513" t="n">
        <v>0</v>
      </c>
      <c r="W513" t="inlineStr">
        <is>
          <t>CHILQUINTA</t>
        </is>
      </c>
      <c r="X513" t="n">
        <v>97.37782396384</v>
      </c>
      <c r="Y513" t="n">
        <v>5.071532542231071</v>
      </c>
      <c r="Z513" t="n">
        <v>5395.247385352204</v>
      </c>
      <c r="AA513" t="n">
        <v>0</v>
      </c>
      <c r="AB513" t="n">
        <v>0</v>
      </c>
      <c r="AC513" t="n">
        <v>0</v>
      </c>
      <c r="AD513" s="2" t="n">
        <v>44621</v>
      </c>
    </row>
    <row r="514">
      <c r="A514" t="n">
        <v>-1</v>
      </c>
      <c r="B514" t="inlineStr">
        <is>
          <t>01-03-2022</t>
        </is>
      </c>
      <c r="C514" t="n">
        <v>2022</v>
      </c>
      <c r="D514" t="n">
        <v>3</v>
      </c>
      <c r="E514" t="inlineStr">
        <is>
          <t>La Calera 012</t>
        </is>
      </c>
      <c r="F514" t="inlineStr">
        <is>
          <t>Chilquinta</t>
        </is>
      </c>
      <c r="G514" t="inlineStr">
        <is>
          <t>Chilquinta</t>
        </is>
      </c>
      <c r="H514" t="inlineStr">
        <is>
          <t>Empresa Eléctrica Carén S.A.</t>
        </is>
      </c>
      <c r="I514" t="inlineStr">
        <is>
          <t>Empresa Eléctrica Carén S.A.</t>
        </is>
      </c>
      <c r="J514" t="inlineStr">
        <is>
          <t>SIC 2013/03_2_BS1B_BB_CHILQUINTA_Empresa Eléctrica Carén S.A.</t>
        </is>
      </c>
      <c r="K514" t="inlineStr">
        <is>
          <t>La Calera 012</t>
        </is>
      </c>
      <c r="L514" t="inlineStr">
        <is>
          <t>-1</t>
        </is>
      </c>
      <c r="M514" t="n">
        <v>763.2771094984064</v>
      </c>
      <c r="N514" t="n">
        <v>0</v>
      </c>
      <c r="O514" t="inlineStr">
        <is>
          <t>3</t>
        </is>
      </c>
      <c r="P514" s="2" t="n">
        <v>44999.6862684375</v>
      </c>
      <c r="Q514" t="n">
        <v>5</v>
      </c>
      <c r="R514" t="inlineStr">
        <is>
          <t>NOGALES 220</t>
        </is>
      </c>
      <c r="S514" t="n">
        <v>101.0373469154302</v>
      </c>
      <c r="T514" t="n">
        <v>9521.107804134701</v>
      </c>
      <c r="U514" t="n">
        <v>0</v>
      </c>
      <c r="V514" t="n">
        <v>0</v>
      </c>
      <c r="W514" t="inlineStr">
        <is>
          <t>CHILQUINTA</t>
        </is>
      </c>
      <c r="X514" t="n">
        <v>100.24845662251</v>
      </c>
      <c r="Y514" t="n">
        <v>9.521107804134701</v>
      </c>
      <c r="Z514" t="n">
        <v>10128.838089505</v>
      </c>
      <c r="AA514" t="n">
        <v>0</v>
      </c>
      <c r="AB514" t="n">
        <v>0</v>
      </c>
      <c r="AC514" t="n">
        <v>0</v>
      </c>
      <c r="AD514" s="2" t="n">
        <v>44621</v>
      </c>
    </row>
    <row r="515">
      <c r="A515" t="n">
        <v>-1</v>
      </c>
      <c r="B515" t="inlineStr">
        <is>
          <t>01-03-2022</t>
        </is>
      </c>
      <c r="C515" t="n">
        <v>2022</v>
      </c>
      <c r="D515" t="n">
        <v>3</v>
      </c>
      <c r="E515" t="inlineStr">
        <is>
          <t>La Calera 012</t>
        </is>
      </c>
      <c r="F515" t="inlineStr">
        <is>
          <t>Chilquinta</t>
        </is>
      </c>
      <c r="G515" t="inlineStr">
        <is>
          <t>Chilquinta</t>
        </is>
      </c>
      <c r="H515" t="inlineStr">
        <is>
          <t>Empresa Eléctrica Carén S.A.</t>
        </is>
      </c>
      <c r="I515" t="inlineStr">
        <is>
          <t>Empresa Eléctrica Carén S.A.</t>
        </is>
      </c>
      <c r="J515" t="inlineStr">
        <is>
          <t>SIC 2013/03_2_BS1B_BB_CHILQUINTA_Empresa Eléctrica Carén S.A.</t>
        </is>
      </c>
      <c r="K515" t="inlineStr">
        <is>
          <t>La Calera 012</t>
        </is>
      </c>
      <c r="L515" t="inlineStr">
        <is>
          <t>-1</t>
        </is>
      </c>
      <c r="M515" t="n">
        <v>763.2771094984064</v>
      </c>
      <c r="N515" t="n">
        <v>0</v>
      </c>
      <c r="O515" t="inlineStr">
        <is>
          <t>3</t>
        </is>
      </c>
      <c r="P515" s="2" t="n">
        <v>44999.6862684375</v>
      </c>
      <c r="Q515" t="n">
        <v>11</v>
      </c>
      <c r="R515" t="inlineStr">
        <is>
          <t>QUILLOTA 220</t>
        </is>
      </c>
      <c r="S515" t="n">
        <v>446.2175363774221</v>
      </c>
      <c r="T515" t="n">
        <v>40746.85813141619</v>
      </c>
      <c r="U515" t="n">
        <v>0</v>
      </c>
      <c r="V515" t="n">
        <v>0</v>
      </c>
      <c r="W515" t="inlineStr">
        <is>
          <t>CHILQUINTA</t>
        </is>
      </c>
      <c r="X515" t="n">
        <v>97.14481812686</v>
      </c>
      <c r="Y515" t="n">
        <v>40.74685813141619</v>
      </c>
      <c r="Z515" t="n">
        <v>43347.72141640021</v>
      </c>
      <c r="AA515" t="n">
        <v>0</v>
      </c>
      <c r="AB515" t="n">
        <v>0</v>
      </c>
      <c r="AC515" t="n">
        <v>0</v>
      </c>
      <c r="AD515" s="2" t="n">
        <v>44621</v>
      </c>
    </row>
    <row r="516">
      <c r="A516" t="n">
        <v>-1</v>
      </c>
      <c r="B516" t="inlineStr">
        <is>
          <t>01-03-2022</t>
        </is>
      </c>
      <c r="C516" t="n">
        <v>2022</v>
      </c>
      <c r="D516" t="n">
        <v>3</v>
      </c>
      <c r="E516" t="inlineStr">
        <is>
          <t>Las Vegas 012</t>
        </is>
      </c>
      <c r="F516" t="inlineStr">
        <is>
          <t>Chilquinta</t>
        </is>
      </c>
      <c r="G516" t="inlineStr">
        <is>
          <t>Chilquinta</t>
        </is>
      </c>
      <c r="H516" t="inlineStr">
        <is>
          <t>Empresa Eléctrica Carén S.A.</t>
        </is>
      </c>
      <c r="I516" t="inlineStr">
        <is>
          <t>Empresa Eléctrica Carén S.A.</t>
        </is>
      </c>
      <c r="J516" t="inlineStr">
        <is>
          <t>SIC 2013/03_2_BS1B_BB_CHILQUINTA_Empresa Eléctrica Carén S.A.</t>
        </is>
      </c>
      <c r="K516" t="inlineStr">
        <is>
          <t>Las Vegas 012</t>
        </is>
      </c>
      <c r="L516" t="inlineStr">
        <is>
          <t>-1</t>
        </is>
      </c>
      <c r="M516" t="n">
        <v>462.6183298092838</v>
      </c>
      <c r="N516" t="n">
        <v>0</v>
      </c>
      <c r="O516" t="inlineStr">
        <is>
          <t>3</t>
        </is>
      </c>
      <c r="P516" s="2" t="n">
        <v>44999.6862684375</v>
      </c>
      <c r="Q516" t="n">
        <v>31</v>
      </c>
      <c r="R516" t="inlineStr">
        <is>
          <t>LOS MAQUIS 220</t>
        </is>
      </c>
      <c r="S516" t="n">
        <v>131.5543997270189</v>
      </c>
      <c r="T516" t="n">
        <v>11909.30895253928</v>
      </c>
      <c r="U516" t="n">
        <v>0</v>
      </c>
      <c r="V516" t="n">
        <v>0</v>
      </c>
      <c r="W516" t="inlineStr">
        <is>
          <t>CHILQUINTA</t>
        </is>
      </c>
      <c r="X516" t="n">
        <v>96.30599687562001</v>
      </c>
      <c r="Y516" t="n">
        <v>11.90930895253928</v>
      </c>
      <c r="Z516" t="n">
        <v>12669.47760908435</v>
      </c>
      <c r="AA516" t="n">
        <v>0</v>
      </c>
      <c r="AB516" t="n">
        <v>0</v>
      </c>
      <c r="AC516" t="n">
        <v>0</v>
      </c>
      <c r="AD516" s="2" t="n">
        <v>44621</v>
      </c>
    </row>
    <row r="517">
      <c r="A517" t="n">
        <v>-1</v>
      </c>
      <c r="B517" t="inlineStr">
        <is>
          <t>01-03-2022</t>
        </is>
      </c>
      <c r="C517" t="n">
        <v>2022</v>
      </c>
      <c r="D517" t="n">
        <v>3</v>
      </c>
      <c r="E517" t="inlineStr">
        <is>
          <t>Las Vegas 012</t>
        </is>
      </c>
      <c r="F517" t="inlineStr">
        <is>
          <t>Chilquinta</t>
        </is>
      </c>
      <c r="G517" t="inlineStr">
        <is>
          <t>Chilquinta</t>
        </is>
      </c>
      <c r="H517" t="inlineStr">
        <is>
          <t>Empresa Eléctrica Carén S.A.</t>
        </is>
      </c>
      <c r="I517" t="inlineStr">
        <is>
          <t>Empresa Eléctrica Carén S.A.</t>
        </is>
      </c>
      <c r="J517" t="inlineStr">
        <is>
          <t>SIC 2013/03_2_BS1B_BB_CHILQUINTA_Empresa Eléctrica Carén S.A.</t>
        </is>
      </c>
      <c r="K517" t="inlineStr">
        <is>
          <t>Las Vegas 012</t>
        </is>
      </c>
      <c r="L517" t="inlineStr">
        <is>
          <t>-1</t>
        </is>
      </c>
      <c r="M517" t="n">
        <v>462.6183298092838</v>
      </c>
      <c r="N517" t="n">
        <v>0</v>
      </c>
      <c r="O517" t="inlineStr">
        <is>
          <t>3</t>
        </is>
      </c>
      <c r="P517" s="2" t="n">
        <v>44999.6862684375</v>
      </c>
      <c r="Q517" t="n">
        <v>13</v>
      </c>
      <c r="R517" t="inlineStr">
        <is>
          <t>MELIPILLA 220</t>
        </is>
      </c>
      <c r="S517" t="n">
        <v>26.51546725781831</v>
      </c>
      <c r="T517" t="n">
        <v>2427.097392773747</v>
      </c>
      <c r="U517" t="n">
        <v>0</v>
      </c>
      <c r="V517" t="n">
        <v>0</v>
      </c>
      <c r="W517" t="inlineStr">
        <is>
          <t>CHILQUINTA</t>
        </is>
      </c>
      <c r="X517" t="n">
        <v>97.37782396383999</v>
      </c>
      <c r="Y517" t="n">
        <v>2.427097392773747</v>
      </c>
      <c r="Z517" t="n">
        <v>2582.018502950795</v>
      </c>
      <c r="AA517" t="n">
        <v>0</v>
      </c>
      <c r="AB517" t="n">
        <v>0</v>
      </c>
      <c r="AC517" t="n">
        <v>0</v>
      </c>
      <c r="AD517" s="2" t="n">
        <v>44621</v>
      </c>
    </row>
    <row r="518">
      <c r="A518" t="n">
        <v>-1</v>
      </c>
      <c r="B518" t="inlineStr">
        <is>
          <t>01-03-2022</t>
        </is>
      </c>
      <c r="C518" t="n">
        <v>2022</v>
      </c>
      <c r="D518" t="n">
        <v>3</v>
      </c>
      <c r="E518" t="inlineStr">
        <is>
          <t>Las Vegas 012</t>
        </is>
      </c>
      <c r="F518" t="inlineStr">
        <is>
          <t>Chilquinta</t>
        </is>
      </c>
      <c r="G518" t="inlineStr">
        <is>
          <t>Chilquinta</t>
        </is>
      </c>
      <c r="H518" t="inlineStr">
        <is>
          <t>Empresa Eléctrica Carén S.A.</t>
        </is>
      </c>
      <c r="I518" t="inlineStr">
        <is>
          <t>Empresa Eléctrica Carén S.A.</t>
        </is>
      </c>
      <c r="J518" t="inlineStr">
        <is>
          <t>SIC 2013/03_2_BS1B_BB_CHILQUINTA_Empresa Eléctrica Carén S.A.</t>
        </is>
      </c>
      <c r="K518" t="inlineStr">
        <is>
          <t>Las Vegas 012</t>
        </is>
      </c>
      <c r="L518" t="inlineStr">
        <is>
          <t>-1</t>
        </is>
      </c>
      <c r="M518" t="n">
        <v>462.6183298092838</v>
      </c>
      <c r="N518" t="n">
        <v>0</v>
      </c>
      <c r="O518" t="inlineStr">
        <is>
          <t>3</t>
        </is>
      </c>
      <c r="P518" s="2" t="n">
        <v>44999.6862684375</v>
      </c>
      <c r="Q518" t="n">
        <v>5</v>
      </c>
      <c r="R518" t="inlineStr">
        <is>
          <t>NOGALES 220</t>
        </is>
      </c>
      <c r="S518" t="n">
        <v>83.10526944057283</v>
      </c>
      <c r="T518" t="n">
        <v>7831.304498698355</v>
      </c>
      <c r="U518" t="n">
        <v>0</v>
      </c>
      <c r="V518" t="n">
        <v>0</v>
      </c>
      <c r="W518" t="inlineStr">
        <is>
          <t>CHILQUINTA</t>
        </is>
      </c>
      <c r="X518" t="n">
        <v>100.24845662251</v>
      </c>
      <c r="Y518" t="n">
        <v>7.831304498698355</v>
      </c>
      <c r="Z518" t="n">
        <v>8331.174998615272</v>
      </c>
      <c r="AA518" t="n">
        <v>0</v>
      </c>
      <c r="AB518" t="n">
        <v>0</v>
      </c>
      <c r="AC518" t="n">
        <v>0</v>
      </c>
      <c r="AD518" s="2" t="n">
        <v>44621</v>
      </c>
    </row>
    <row r="519">
      <c r="A519" t="n">
        <v>-1</v>
      </c>
      <c r="B519" t="inlineStr">
        <is>
          <t>01-03-2022</t>
        </is>
      </c>
      <c r="C519" t="n">
        <v>2022</v>
      </c>
      <c r="D519" t="n">
        <v>3</v>
      </c>
      <c r="E519" t="inlineStr">
        <is>
          <t>Las Vegas 012</t>
        </is>
      </c>
      <c r="F519" t="inlineStr">
        <is>
          <t>Chilquinta</t>
        </is>
      </c>
      <c r="G519" t="inlineStr">
        <is>
          <t>Chilquinta</t>
        </is>
      </c>
      <c r="H519" t="inlineStr">
        <is>
          <t>Empresa Eléctrica Carén S.A.</t>
        </is>
      </c>
      <c r="I519" t="inlineStr">
        <is>
          <t>Empresa Eléctrica Carén S.A.</t>
        </is>
      </c>
      <c r="J519" t="inlineStr">
        <is>
          <t>SIC 2013/03_2_BS1B_BB_CHILQUINTA_Empresa Eléctrica Carén S.A.</t>
        </is>
      </c>
      <c r="K519" t="inlineStr">
        <is>
          <t>Las Vegas 012</t>
        </is>
      </c>
      <c r="L519" t="inlineStr">
        <is>
          <t>-1</t>
        </is>
      </c>
      <c r="M519" t="n">
        <v>462.6183298092838</v>
      </c>
      <c r="N519" t="n">
        <v>0</v>
      </c>
      <c r="O519" t="inlineStr">
        <is>
          <t>3</t>
        </is>
      </c>
      <c r="P519" s="2" t="n">
        <v>44999.6862684375</v>
      </c>
      <c r="Q519" t="n">
        <v>11</v>
      </c>
      <c r="R519" t="inlineStr">
        <is>
          <t>QUILLOTA 220</t>
        </is>
      </c>
      <c r="S519" t="n">
        <v>234.609311050246</v>
      </c>
      <c r="T519" t="n">
        <v>21423.61412167342</v>
      </c>
      <c r="U519" t="n">
        <v>0</v>
      </c>
      <c r="V519" t="n">
        <v>0</v>
      </c>
      <c r="W519" t="inlineStr">
        <is>
          <t>CHILQUINTA</t>
        </is>
      </c>
      <c r="X519" t="n">
        <v>97.14481812686</v>
      </c>
      <c r="Y519" t="n">
        <v>21.42361412167343</v>
      </c>
      <c r="Z519" t="n">
        <v>22791.07885284407</v>
      </c>
      <c r="AA519" t="n">
        <v>0</v>
      </c>
      <c r="AB519" t="n">
        <v>0</v>
      </c>
      <c r="AC519" t="n">
        <v>0</v>
      </c>
      <c r="AD519" s="2" t="n">
        <v>44621</v>
      </c>
    </row>
    <row r="520">
      <c r="A520" t="n">
        <v>-1</v>
      </c>
      <c r="B520" t="inlineStr">
        <is>
          <t>01-03-2022</t>
        </is>
      </c>
      <c r="C520" t="n">
        <v>2022</v>
      </c>
      <c r="D520" t="n">
        <v>3</v>
      </c>
      <c r="E520" t="inlineStr">
        <is>
          <t>Mayaca 012</t>
        </is>
      </c>
      <c r="F520" t="inlineStr">
        <is>
          <t>Chilquinta</t>
        </is>
      </c>
      <c r="G520" t="inlineStr">
        <is>
          <t>Chilquinta</t>
        </is>
      </c>
      <c r="H520" t="inlineStr">
        <is>
          <t>Empresa Eléctrica Carén S.A.</t>
        </is>
      </c>
      <c r="I520" t="inlineStr">
        <is>
          <t>Empresa Eléctrica Carén S.A.</t>
        </is>
      </c>
      <c r="J520" t="inlineStr">
        <is>
          <t>SIC 2013/03_2_BS1B_BB_CHILQUINTA_Empresa Eléctrica Carén S.A.</t>
        </is>
      </c>
      <c r="K520" t="inlineStr">
        <is>
          <t>Mayaca 012</t>
        </is>
      </c>
      <c r="L520" t="inlineStr">
        <is>
          <t>-1</t>
        </is>
      </c>
      <c r="M520" t="n">
        <v>587.727540741707</v>
      </c>
      <c r="N520" t="n">
        <v>0</v>
      </c>
      <c r="O520" t="inlineStr">
        <is>
          <t>3</t>
        </is>
      </c>
      <c r="P520" s="2" t="n">
        <v>44999.6862684375</v>
      </c>
      <c r="Q520" t="n">
        <v>31</v>
      </c>
      <c r="R520" t="inlineStr">
        <is>
          <t>LOS MAQUIS 220</t>
        </is>
      </c>
      <c r="S520" t="n">
        <v>70.50354565053382</v>
      </c>
      <c r="T520" t="n">
        <v>6382.519392312016</v>
      </c>
      <c r="U520" t="n">
        <v>0</v>
      </c>
      <c r="V520" t="n">
        <v>0</v>
      </c>
      <c r="W520" t="inlineStr">
        <is>
          <t>CHILQUINTA</t>
        </is>
      </c>
      <c r="X520" t="n">
        <v>96.30599687562001</v>
      </c>
      <c r="Y520" t="n">
        <v>6.382519392312016</v>
      </c>
      <c r="Z520" t="n">
        <v>6789.914247140443</v>
      </c>
      <c r="AA520" t="n">
        <v>0</v>
      </c>
      <c r="AB520" t="n">
        <v>0</v>
      </c>
      <c r="AC520" t="n">
        <v>0</v>
      </c>
      <c r="AD520" s="2" t="n">
        <v>44621</v>
      </c>
    </row>
    <row r="521">
      <c r="A521" t="n">
        <v>-1</v>
      </c>
      <c r="B521" t="inlineStr">
        <is>
          <t>01-03-2022</t>
        </is>
      </c>
      <c r="C521" t="n">
        <v>2022</v>
      </c>
      <c r="D521" t="n">
        <v>3</v>
      </c>
      <c r="E521" t="inlineStr">
        <is>
          <t>Mayaca 012</t>
        </is>
      </c>
      <c r="F521" t="inlineStr">
        <is>
          <t>Chilquinta</t>
        </is>
      </c>
      <c r="G521" t="inlineStr">
        <is>
          <t>Chilquinta</t>
        </is>
      </c>
      <c r="H521" t="inlineStr">
        <is>
          <t>Empresa Eléctrica Carén S.A.</t>
        </is>
      </c>
      <c r="I521" t="inlineStr">
        <is>
          <t>Empresa Eléctrica Carén S.A.</t>
        </is>
      </c>
      <c r="J521" t="inlineStr">
        <is>
          <t>SIC 2013/03_2_BS1B_BB_CHILQUINTA_Empresa Eléctrica Carén S.A.</t>
        </is>
      </c>
      <c r="K521" t="inlineStr">
        <is>
          <t>Mayaca 012</t>
        </is>
      </c>
      <c r="L521" t="inlineStr">
        <is>
          <t>-1</t>
        </is>
      </c>
      <c r="M521" t="n">
        <v>587.727540741707</v>
      </c>
      <c r="N521" t="n">
        <v>0</v>
      </c>
      <c r="O521" t="inlineStr">
        <is>
          <t>3</t>
        </is>
      </c>
      <c r="P521" s="2" t="n">
        <v>44999.6862684375</v>
      </c>
      <c r="Q521" t="n">
        <v>13</v>
      </c>
      <c r="R521" t="inlineStr">
        <is>
          <t>MELIPILLA 220</t>
        </is>
      </c>
      <c r="S521" t="n">
        <v>49.14817641327937</v>
      </c>
      <c r="T521" t="n">
        <v>4498.785922661106</v>
      </c>
      <c r="U521" t="n">
        <v>0</v>
      </c>
      <c r="V521" t="n">
        <v>0</v>
      </c>
      <c r="W521" t="inlineStr">
        <is>
          <t>CHILQUINTA</t>
        </is>
      </c>
      <c r="X521" t="n">
        <v>97.37782396384</v>
      </c>
      <c r="Y521" t="n">
        <v>4.498785922661106</v>
      </c>
      <c r="Z521" t="n">
        <v>4785.942470916071</v>
      </c>
      <c r="AA521" t="n">
        <v>0</v>
      </c>
      <c r="AB521" t="n">
        <v>0</v>
      </c>
      <c r="AC521" t="n">
        <v>0</v>
      </c>
      <c r="AD521" s="2" t="n">
        <v>44621</v>
      </c>
    </row>
    <row r="522">
      <c r="A522" t="n">
        <v>-1</v>
      </c>
      <c r="B522" t="inlineStr">
        <is>
          <t>01-03-2022</t>
        </is>
      </c>
      <c r="C522" t="n">
        <v>2022</v>
      </c>
      <c r="D522" t="n">
        <v>3</v>
      </c>
      <c r="E522" t="inlineStr">
        <is>
          <t>Mayaca 012</t>
        </is>
      </c>
      <c r="F522" t="inlineStr">
        <is>
          <t>Chilquinta</t>
        </is>
      </c>
      <c r="G522" t="inlineStr">
        <is>
          <t>Chilquinta</t>
        </is>
      </c>
      <c r="H522" t="inlineStr">
        <is>
          <t>Empresa Eléctrica Carén S.A.</t>
        </is>
      </c>
      <c r="I522" t="inlineStr">
        <is>
          <t>Empresa Eléctrica Carén S.A.</t>
        </is>
      </c>
      <c r="J522" t="inlineStr">
        <is>
          <t>SIC 2013/03_2_BS1B_BB_CHILQUINTA_Empresa Eléctrica Carén S.A.</t>
        </is>
      </c>
      <c r="K522" t="inlineStr">
        <is>
          <t>Mayaca 012</t>
        </is>
      </c>
      <c r="L522" t="inlineStr">
        <is>
          <t>-1</t>
        </is>
      </c>
      <c r="M522" t="n">
        <v>587.727540741707</v>
      </c>
      <c r="N522" t="n">
        <v>0</v>
      </c>
      <c r="O522" t="inlineStr">
        <is>
          <t>3</t>
        </is>
      </c>
      <c r="P522" s="2" t="n">
        <v>44999.6862684375</v>
      </c>
      <c r="Q522" t="n">
        <v>5</v>
      </c>
      <c r="R522" t="inlineStr">
        <is>
          <t>NOGALES 220</t>
        </is>
      </c>
      <c r="S522" t="n">
        <v>77.86579861712764</v>
      </c>
      <c r="T522" t="n">
        <v>7337.570566943446</v>
      </c>
      <c r="U522" t="n">
        <v>0</v>
      </c>
      <c r="V522" t="n">
        <v>0</v>
      </c>
      <c r="W522" t="inlineStr">
        <is>
          <t>CHILQUINTA</t>
        </is>
      </c>
      <c r="X522" t="n">
        <v>100.24845662251</v>
      </c>
      <c r="Y522" t="n">
        <v>7.337570566943446</v>
      </c>
      <c r="Z522" t="n">
        <v>7805.92613504622</v>
      </c>
      <c r="AA522" t="n">
        <v>0</v>
      </c>
      <c r="AB522" t="n">
        <v>0</v>
      </c>
      <c r="AC522" t="n">
        <v>0</v>
      </c>
      <c r="AD522" s="2" t="n">
        <v>44621</v>
      </c>
    </row>
    <row r="523">
      <c r="A523" t="n">
        <v>-1</v>
      </c>
      <c r="B523" t="inlineStr">
        <is>
          <t>01-03-2022</t>
        </is>
      </c>
      <c r="C523" t="n">
        <v>2022</v>
      </c>
      <c r="D523" t="n">
        <v>3</v>
      </c>
      <c r="E523" t="inlineStr">
        <is>
          <t>Mayaca 012</t>
        </is>
      </c>
      <c r="F523" t="inlineStr">
        <is>
          <t>Chilquinta</t>
        </is>
      </c>
      <c r="G523" t="inlineStr">
        <is>
          <t>Chilquinta</t>
        </is>
      </c>
      <c r="H523" t="inlineStr">
        <is>
          <t>Empresa Eléctrica Carén S.A.</t>
        </is>
      </c>
      <c r="I523" t="inlineStr">
        <is>
          <t>Empresa Eléctrica Carén S.A.</t>
        </is>
      </c>
      <c r="J523" t="inlineStr">
        <is>
          <t>SIC 2013/03_2_BS1B_BB_CHILQUINTA_Empresa Eléctrica Carén S.A.</t>
        </is>
      </c>
      <c r="K523" t="inlineStr">
        <is>
          <t>Mayaca 012</t>
        </is>
      </c>
      <c r="L523" t="inlineStr">
        <is>
          <t>-1</t>
        </is>
      </c>
      <c r="M523" t="n">
        <v>587.727540741707</v>
      </c>
      <c r="N523" t="n">
        <v>0</v>
      </c>
      <c r="O523" t="inlineStr">
        <is>
          <t>3</t>
        </is>
      </c>
      <c r="P523" s="2" t="n">
        <v>44999.6862684375</v>
      </c>
      <c r="Q523" t="n">
        <v>11</v>
      </c>
      <c r="R523" t="inlineStr">
        <is>
          <t>QUILLOTA 220</t>
        </is>
      </c>
      <c r="S523" t="n">
        <v>406.9367458702751</v>
      </c>
      <c r="T523" t="n">
        <v>37159.88839670188</v>
      </c>
      <c r="U523" t="n">
        <v>0</v>
      </c>
      <c r="V523" t="n">
        <v>0</v>
      </c>
      <c r="W523" t="inlineStr">
        <is>
          <t>CHILQUINTA</t>
        </is>
      </c>
      <c r="X523" t="n">
        <v>97.14481812686</v>
      </c>
      <c r="Y523" t="n">
        <v>37.15988839670187</v>
      </c>
      <c r="Z523" t="n">
        <v>39531.79616670412</v>
      </c>
      <c r="AA523" t="n">
        <v>0</v>
      </c>
      <c r="AB523" t="n">
        <v>0</v>
      </c>
      <c r="AC523" t="n">
        <v>0</v>
      </c>
      <c r="AD523" s="2" t="n">
        <v>44621</v>
      </c>
    </row>
    <row r="524">
      <c r="A524" t="n">
        <v>-1</v>
      </c>
      <c r="B524" t="inlineStr">
        <is>
          <t>01-03-2022</t>
        </is>
      </c>
      <c r="C524" t="n">
        <v>2022</v>
      </c>
      <c r="D524" t="n">
        <v>3</v>
      </c>
      <c r="E524" t="inlineStr">
        <is>
          <t>Miraflores 012</t>
        </is>
      </c>
      <c r="F524" t="inlineStr">
        <is>
          <t>Chilquinta</t>
        </is>
      </c>
      <c r="G524" t="inlineStr">
        <is>
          <t>Chilquinta</t>
        </is>
      </c>
      <c r="H524" t="inlineStr">
        <is>
          <t>Empresa Eléctrica Carén S.A.</t>
        </is>
      </c>
      <c r="I524" t="inlineStr">
        <is>
          <t>Empresa Eléctrica Carén S.A.</t>
        </is>
      </c>
      <c r="J524" t="inlineStr">
        <is>
          <t>SIC 2013/03_2_BS1B_BB_CHILQUINTA_Empresa Eléctrica Carén S.A.</t>
        </is>
      </c>
      <c r="K524" t="inlineStr">
        <is>
          <t>Miraflores 012</t>
        </is>
      </c>
      <c r="L524" t="inlineStr">
        <is>
          <t>-1</t>
        </is>
      </c>
      <c r="M524" t="n">
        <v>508.6191787347747</v>
      </c>
      <c r="N524" t="n">
        <v>0</v>
      </c>
      <c r="O524" t="inlineStr">
        <is>
          <t>3</t>
        </is>
      </c>
      <c r="P524" s="2" t="n">
        <v>44999.6862684375</v>
      </c>
      <c r="Q524" t="n">
        <v>31</v>
      </c>
      <c r="R524" t="inlineStr">
        <is>
          <t>LOS MAQUIS 220</t>
        </is>
      </c>
      <c r="S524" t="n">
        <v>43.96086014639403</v>
      </c>
      <c r="T524" t="n">
        <v>3979.6727923137</v>
      </c>
      <c r="U524" t="n">
        <v>0</v>
      </c>
      <c r="V524" t="n">
        <v>0</v>
      </c>
      <c r="W524" t="inlineStr">
        <is>
          <t>CHILQUINTA</t>
        </is>
      </c>
      <c r="X524" t="n">
        <v>96.30599687562</v>
      </c>
      <c r="Y524" t="n">
        <v>3.9796727923137</v>
      </c>
      <c r="Z524" t="n">
        <v>4233.694459908192</v>
      </c>
      <c r="AA524" t="n">
        <v>0</v>
      </c>
      <c r="AB524" t="n">
        <v>0</v>
      </c>
      <c r="AC524" t="n">
        <v>0</v>
      </c>
      <c r="AD524" s="2" t="n">
        <v>44621</v>
      </c>
    </row>
    <row r="525">
      <c r="A525" t="n">
        <v>-1</v>
      </c>
      <c r="B525" t="inlineStr">
        <is>
          <t>01-03-2022</t>
        </is>
      </c>
      <c r="C525" t="n">
        <v>2022</v>
      </c>
      <c r="D525" t="n">
        <v>3</v>
      </c>
      <c r="E525" t="inlineStr">
        <is>
          <t>Miraflores 012</t>
        </is>
      </c>
      <c r="F525" t="inlineStr">
        <is>
          <t>Chilquinta</t>
        </is>
      </c>
      <c r="G525" t="inlineStr">
        <is>
          <t>Chilquinta</t>
        </is>
      </c>
      <c r="H525" t="inlineStr">
        <is>
          <t>Empresa Eléctrica Carén S.A.</t>
        </is>
      </c>
      <c r="I525" t="inlineStr">
        <is>
          <t>Empresa Eléctrica Carén S.A.</t>
        </is>
      </c>
      <c r="J525" t="inlineStr">
        <is>
          <t>SIC 2013/03_2_BS1B_BB_CHILQUINTA_Empresa Eléctrica Carén S.A.</t>
        </is>
      </c>
      <c r="K525" t="inlineStr">
        <is>
          <t>Miraflores 012</t>
        </is>
      </c>
      <c r="L525" t="inlineStr">
        <is>
          <t>-1</t>
        </is>
      </c>
      <c r="M525" t="n">
        <v>508.6191787347747</v>
      </c>
      <c r="N525" t="n">
        <v>0</v>
      </c>
      <c r="O525" t="inlineStr">
        <is>
          <t>3</t>
        </is>
      </c>
      <c r="P525" s="2" t="n">
        <v>44999.6862684375</v>
      </c>
      <c r="Q525" t="n">
        <v>13</v>
      </c>
      <c r="R525" t="inlineStr">
        <is>
          <t>MELIPILLA 220</t>
        </is>
      </c>
      <c r="S525" t="n">
        <v>117.3039372659312</v>
      </c>
      <c r="T525" t="n">
        <v>10737.43402414635</v>
      </c>
      <c r="U525" t="n">
        <v>0</v>
      </c>
      <c r="V525" t="n">
        <v>0</v>
      </c>
      <c r="W525" t="inlineStr">
        <is>
          <t>CHILQUINTA</t>
        </is>
      </c>
      <c r="X525" t="n">
        <v>97.37782396384</v>
      </c>
      <c r="Y525" t="n">
        <v>10.73743402414635</v>
      </c>
      <c r="Z525" t="n">
        <v>11422.80215334718</v>
      </c>
      <c r="AA525" t="n">
        <v>0</v>
      </c>
      <c r="AB525" t="n">
        <v>0</v>
      </c>
      <c r="AC525" t="n">
        <v>0</v>
      </c>
      <c r="AD525" s="2" t="n">
        <v>44621</v>
      </c>
    </row>
    <row r="526">
      <c r="A526" t="n">
        <v>-1</v>
      </c>
      <c r="B526" t="inlineStr">
        <is>
          <t>01-03-2022</t>
        </is>
      </c>
      <c r="C526" t="n">
        <v>2022</v>
      </c>
      <c r="D526" t="n">
        <v>3</v>
      </c>
      <c r="E526" t="inlineStr">
        <is>
          <t>Miraflores 012</t>
        </is>
      </c>
      <c r="F526" t="inlineStr">
        <is>
          <t>Chilquinta</t>
        </is>
      </c>
      <c r="G526" t="inlineStr">
        <is>
          <t>Chilquinta</t>
        </is>
      </c>
      <c r="H526" t="inlineStr">
        <is>
          <t>Empresa Eléctrica Carén S.A.</t>
        </is>
      </c>
      <c r="I526" t="inlineStr">
        <is>
          <t>Empresa Eléctrica Carén S.A.</t>
        </is>
      </c>
      <c r="J526" t="inlineStr">
        <is>
          <t>SIC 2013/03_2_BS1B_BB_CHILQUINTA_Empresa Eléctrica Carén S.A.</t>
        </is>
      </c>
      <c r="K526" t="inlineStr">
        <is>
          <t>Miraflores 012</t>
        </is>
      </c>
      <c r="L526" t="inlineStr">
        <is>
          <t>-1</t>
        </is>
      </c>
      <c r="M526" t="n">
        <v>508.6191787347747</v>
      </c>
      <c r="N526" t="n">
        <v>0</v>
      </c>
      <c r="O526" t="inlineStr">
        <is>
          <t>3</t>
        </is>
      </c>
      <c r="P526" s="2" t="n">
        <v>44999.6862684375</v>
      </c>
      <c r="Q526" t="n">
        <v>5</v>
      </c>
      <c r="R526" t="inlineStr">
        <is>
          <t>NOGALES 220</t>
        </is>
      </c>
      <c r="S526" t="n">
        <v>86.50936519527183</v>
      </c>
      <c r="T526" t="n">
        <v>8152.084523565939</v>
      </c>
      <c r="U526" t="n">
        <v>0</v>
      </c>
      <c r="V526" t="n">
        <v>0</v>
      </c>
      <c r="W526" t="inlineStr">
        <is>
          <t>CHILQUINTA</t>
        </is>
      </c>
      <c r="X526" t="n">
        <v>100.24845662251</v>
      </c>
      <c r="Y526" t="n">
        <v>8.152084523565941</v>
      </c>
      <c r="Z526" t="n">
        <v>8672.430344219085</v>
      </c>
      <c r="AA526" t="n">
        <v>0</v>
      </c>
      <c r="AB526" t="n">
        <v>0</v>
      </c>
      <c r="AC526" t="n">
        <v>0</v>
      </c>
      <c r="AD526" s="2" t="n">
        <v>44621</v>
      </c>
    </row>
    <row r="527">
      <c r="A527" t="n">
        <v>-1</v>
      </c>
      <c r="B527" t="inlineStr">
        <is>
          <t>01-03-2022</t>
        </is>
      </c>
      <c r="C527" t="n">
        <v>2022</v>
      </c>
      <c r="D527" t="n">
        <v>3</v>
      </c>
      <c r="E527" t="inlineStr">
        <is>
          <t>Miraflores 012</t>
        </is>
      </c>
      <c r="F527" t="inlineStr">
        <is>
          <t>Chilquinta</t>
        </is>
      </c>
      <c r="G527" t="inlineStr">
        <is>
          <t>Chilquinta</t>
        </is>
      </c>
      <c r="H527" t="inlineStr">
        <is>
          <t>Empresa Eléctrica Carén S.A.</t>
        </is>
      </c>
      <c r="I527" t="inlineStr">
        <is>
          <t>Empresa Eléctrica Carén S.A.</t>
        </is>
      </c>
      <c r="J527" t="inlineStr">
        <is>
          <t>SIC 2013/03_2_BS1B_BB_CHILQUINTA_Empresa Eléctrica Carén S.A.</t>
        </is>
      </c>
      <c r="K527" t="inlineStr">
        <is>
          <t>Miraflores 012</t>
        </is>
      </c>
      <c r="L527" t="inlineStr">
        <is>
          <t>-1</t>
        </is>
      </c>
      <c r="M527" t="n">
        <v>508.6191787347747</v>
      </c>
      <c r="N527" t="n">
        <v>0</v>
      </c>
      <c r="O527" t="inlineStr">
        <is>
          <t>3</t>
        </is>
      </c>
      <c r="P527" s="2" t="n">
        <v>44999.6862684375</v>
      </c>
      <c r="Q527" t="n">
        <v>11</v>
      </c>
      <c r="R527" t="inlineStr">
        <is>
          <t>QUILLOTA 220</t>
        </is>
      </c>
      <c r="S527" t="n">
        <v>275.3203179539692</v>
      </c>
      <c r="T527" t="n">
        <v>25141.18568141155</v>
      </c>
      <c r="U527" t="n">
        <v>0</v>
      </c>
      <c r="V527" t="n">
        <v>0</v>
      </c>
      <c r="W527" t="inlineStr">
        <is>
          <t>CHILQUINTA</t>
        </is>
      </c>
      <c r="X527" t="n">
        <v>97.14481812686002</v>
      </c>
      <c r="Y527" t="n">
        <v>25.14118568141155</v>
      </c>
      <c r="Z527" t="n">
        <v>26745.94221426761</v>
      </c>
      <c r="AA527" t="n">
        <v>0</v>
      </c>
      <c r="AB527" t="n">
        <v>0</v>
      </c>
      <c r="AC527" t="n">
        <v>0</v>
      </c>
      <c r="AD527" s="2" t="n">
        <v>44621</v>
      </c>
    </row>
    <row r="528">
      <c r="A528" t="n">
        <v>-1</v>
      </c>
      <c r="B528" t="inlineStr">
        <is>
          <t>01-03-2022</t>
        </is>
      </c>
      <c r="C528" t="n">
        <v>2022</v>
      </c>
      <c r="D528" t="n">
        <v>3</v>
      </c>
      <c r="E528" t="inlineStr">
        <is>
          <t>Nueva Panquehue 13.8</t>
        </is>
      </c>
      <c r="F528" t="inlineStr">
        <is>
          <t>Chilquinta</t>
        </is>
      </c>
      <c r="G528" t="inlineStr">
        <is>
          <t>Chilquinta</t>
        </is>
      </c>
      <c r="H528" t="inlineStr">
        <is>
          <t>Empresa Eléctrica Carén S.A.</t>
        </is>
      </c>
      <c r="I528" t="inlineStr">
        <is>
          <t>Empresa Eléctrica Carén S.A.</t>
        </is>
      </c>
      <c r="J528" t="inlineStr">
        <is>
          <t>SIC 2013/03_2_BS1B_BB_CHILQUINTA_Empresa Eléctrica Carén S.A.</t>
        </is>
      </c>
      <c r="K528" t="inlineStr">
        <is>
          <t>Nueva Panquehue 13.8</t>
        </is>
      </c>
      <c r="L528" t="inlineStr">
        <is>
          <t>-1</t>
        </is>
      </c>
      <c r="M528" t="n">
        <v>48.38763023080574</v>
      </c>
      <c r="N528" t="n">
        <v>0</v>
      </c>
      <c r="O528" t="inlineStr">
        <is>
          <t>3</t>
        </is>
      </c>
      <c r="P528" s="2" t="n">
        <v>44999.6862684375</v>
      </c>
      <c r="Q528" t="n">
        <v>31</v>
      </c>
      <c r="R528" t="inlineStr">
        <is>
          <t>LOS MAQUIS 220</t>
        </is>
      </c>
      <c r="S528" t="n">
        <v>27.79311086411507</v>
      </c>
      <c r="T528" t="n">
        <v>2516.044653160633</v>
      </c>
      <c r="U528" t="n">
        <v>0</v>
      </c>
      <c r="V528" t="n">
        <v>0</v>
      </c>
      <c r="W528" t="inlineStr">
        <is>
          <t>CHILQUINTA</t>
        </is>
      </c>
      <c r="X528" t="n">
        <v>96.30599687562</v>
      </c>
      <c r="Y528" t="n">
        <v>2.516044653160633</v>
      </c>
      <c r="Z528" t="n">
        <v>2676.643248043226</v>
      </c>
      <c r="AA528" t="n">
        <v>0</v>
      </c>
      <c r="AB528" t="n">
        <v>0</v>
      </c>
      <c r="AC528" t="n">
        <v>0</v>
      </c>
      <c r="AD528" s="2" t="n">
        <v>44621</v>
      </c>
    </row>
    <row r="529">
      <c r="A529" t="n">
        <v>-1</v>
      </c>
      <c r="B529" t="inlineStr">
        <is>
          <t>01-03-2022</t>
        </is>
      </c>
      <c r="C529" t="n">
        <v>2022</v>
      </c>
      <c r="D529" t="n">
        <v>3</v>
      </c>
      <c r="E529" t="inlineStr">
        <is>
          <t>Nueva Panquehue 13.8</t>
        </is>
      </c>
      <c r="F529" t="inlineStr">
        <is>
          <t>Chilquinta</t>
        </is>
      </c>
      <c r="G529" t="inlineStr">
        <is>
          <t>Chilquinta</t>
        </is>
      </c>
      <c r="H529" t="inlineStr">
        <is>
          <t>Empresa Eléctrica Carén S.A.</t>
        </is>
      </c>
      <c r="I529" t="inlineStr">
        <is>
          <t>Empresa Eléctrica Carén S.A.</t>
        </is>
      </c>
      <c r="J529" t="inlineStr">
        <is>
          <t>SIC 2013/03_2_BS1B_BB_CHILQUINTA_Empresa Eléctrica Carén S.A.</t>
        </is>
      </c>
      <c r="K529" t="inlineStr">
        <is>
          <t>Nueva Panquehue 13.8</t>
        </is>
      </c>
      <c r="L529" t="inlineStr">
        <is>
          <t>-1</t>
        </is>
      </c>
      <c r="M529" t="n">
        <v>48.38763023080574</v>
      </c>
      <c r="N529" t="n">
        <v>0</v>
      </c>
      <c r="O529" t="inlineStr">
        <is>
          <t>3</t>
        </is>
      </c>
      <c r="P529" s="2" t="n">
        <v>44999.6862684375</v>
      </c>
      <c r="Q529" t="n">
        <v>13</v>
      </c>
      <c r="R529" t="inlineStr">
        <is>
          <t>MELIPILLA 220</t>
        </is>
      </c>
      <c r="S529" t="n">
        <v>2.582790119514355</v>
      </c>
      <c r="T529" t="n">
        <v>236.4160926979973</v>
      </c>
      <c r="U529" t="n">
        <v>0</v>
      </c>
      <c r="V529" t="n">
        <v>0</v>
      </c>
      <c r="W529" t="inlineStr">
        <is>
          <t>CHILQUINTA</t>
        </is>
      </c>
      <c r="X529" t="n">
        <v>97.37782396384</v>
      </c>
      <c r="Y529" t="n">
        <v>0.2364160926979972</v>
      </c>
      <c r="Z529" t="n">
        <v>251.5064815936141</v>
      </c>
      <c r="AA529" t="n">
        <v>0</v>
      </c>
      <c r="AB529" t="n">
        <v>0</v>
      </c>
      <c r="AC529" t="n">
        <v>0</v>
      </c>
      <c r="AD529" s="2" t="n">
        <v>44621</v>
      </c>
    </row>
    <row r="530">
      <c r="A530" t="n">
        <v>-1</v>
      </c>
      <c r="B530" t="inlineStr">
        <is>
          <t>01-03-2022</t>
        </is>
      </c>
      <c r="C530" t="n">
        <v>2022</v>
      </c>
      <c r="D530" t="n">
        <v>3</v>
      </c>
      <c r="E530" t="inlineStr">
        <is>
          <t>Nueva Panquehue 13.8</t>
        </is>
      </c>
      <c r="F530" t="inlineStr">
        <is>
          <t>Chilquinta</t>
        </is>
      </c>
      <c r="G530" t="inlineStr">
        <is>
          <t>Chilquinta</t>
        </is>
      </c>
      <c r="H530" t="inlineStr">
        <is>
          <t>Empresa Eléctrica Carén S.A.</t>
        </is>
      </c>
      <c r="I530" t="inlineStr">
        <is>
          <t>Empresa Eléctrica Carén S.A.</t>
        </is>
      </c>
      <c r="J530" t="inlineStr">
        <is>
          <t>SIC 2013/03_2_BS1B_BB_CHILQUINTA_Empresa Eléctrica Carén S.A.</t>
        </is>
      </c>
      <c r="K530" t="inlineStr">
        <is>
          <t>Nueva Panquehue 13.8</t>
        </is>
      </c>
      <c r="L530" t="inlineStr">
        <is>
          <t>-1</t>
        </is>
      </c>
      <c r="M530" t="n">
        <v>48.38763023080574</v>
      </c>
      <c r="N530" t="n">
        <v>0</v>
      </c>
      <c r="O530" t="inlineStr">
        <is>
          <t>3</t>
        </is>
      </c>
      <c r="P530" s="2" t="n">
        <v>44999.6862684375</v>
      </c>
      <c r="Q530" t="n">
        <v>5</v>
      </c>
      <c r="R530" t="inlineStr">
        <is>
          <t>NOGALES 220</t>
        </is>
      </c>
      <c r="S530" t="n">
        <v>4.6321022027822</v>
      </c>
      <c r="T530" t="n">
        <v>436.4994309418457</v>
      </c>
      <c r="U530" t="n">
        <v>0</v>
      </c>
      <c r="V530" t="n">
        <v>0</v>
      </c>
      <c r="W530" t="inlineStr">
        <is>
          <t>CHILQUINTA</t>
        </is>
      </c>
      <c r="X530" t="n">
        <v>100.24845662251</v>
      </c>
      <c r="Y530" t="n">
        <v>0.4364994309418457</v>
      </c>
      <c r="Z530" t="n">
        <v>464.3610967466444</v>
      </c>
      <c r="AA530" t="n">
        <v>0</v>
      </c>
      <c r="AB530" t="n">
        <v>0</v>
      </c>
      <c r="AC530" t="n">
        <v>0</v>
      </c>
      <c r="AD530" s="2" t="n">
        <v>44621</v>
      </c>
    </row>
    <row r="531">
      <c r="A531" t="n">
        <v>-1</v>
      </c>
      <c r="B531" t="inlineStr">
        <is>
          <t>01-03-2022</t>
        </is>
      </c>
      <c r="C531" t="n">
        <v>2022</v>
      </c>
      <c r="D531" t="n">
        <v>3</v>
      </c>
      <c r="E531" t="inlineStr">
        <is>
          <t>Nueva Panquehue 13.8</t>
        </is>
      </c>
      <c r="F531" t="inlineStr">
        <is>
          <t>Chilquinta</t>
        </is>
      </c>
      <c r="G531" t="inlineStr">
        <is>
          <t>Chilquinta</t>
        </is>
      </c>
      <c r="H531" t="inlineStr">
        <is>
          <t>Empresa Eléctrica Carén S.A.</t>
        </is>
      </c>
      <c r="I531" t="inlineStr">
        <is>
          <t>Empresa Eléctrica Carén S.A.</t>
        </is>
      </c>
      <c r="J531" t="inlineStr">
        <is>
          <t>SIC 2013/03_2_BS1B_BB_CHILQUINTA_Empresa Eléctrica Carén S.A.</t>
        </is>
      </c>
      <c r="K531" t="inlineStr">
        <is>
          <t>Nueva Panquehue 13.8</t>
        </is>
      </c>
      <c r="L531" t="inlineStr">
        <is>
          <t>-1</t>
        </is>
      </c>
      <c r="M531" t="n">
        <v>48.38763023080574</v>
      </c>
      <c r="N531" t="n">
        <v>0</v>
      </c>
      <c r="O531" t="inlineStr">
        <is>
          <t>3</t>
        </is>
      </c>
      <c r="P531" s="2" t="n">
        <v>44999.6862684375</v>
      </c>
      <c r="Q531" t="n">
        <v>11</v>
      </c>
      <c r="R531" t="inlineStr">
        <is>
          <t>QUILLOTA 220</t>
        </is>
      </c>
      <c r="S531" t="n">
        <v>14.75673900076285</v>
      </c>
      <c r="T531" t="n">
        <v>1347.52828279217</v>
      </c>
      <c r="U531" t="n">
        <v>0</v>
      </c>
      <c r="V531" t="n">
        <v>0</v>
      </c>
      <c r="W531" t="inlineStr">
        <is>
          <t>CHILQUINTA</t>
        </is>
      </c>
      <c r="X531" t="n">
        <v>97.14481812686</v>
      </c>
      <c r="Y531" t="n">
        <v>1.347528282792169</v>
      </c>
      <c r="Z531" t="n">
        <v>1433.540726374649</v>
      </c>
      <c r="AA531" t="n">
        <v>0</v>
      </c>
      <c r="AB531" t="n">
        <v>0</v>
      </c>
      <c r="AC531" t="n">
        <v>0</v>
      </c>
      <c r="AD531" s="2" t="n">
        <v>44621</v>
      </c>
    </row>
    <row r="532">
      <c r="A532" t="n">
        <v>-1</v>
      </c>
      <c r="B532" t="inlineStr">
        <is>
          <t>01-03-2022</t>
        </is>
      </c>
      <c r="C532" t="n">
        <v>2022</v>
      </c>
      <c r="D532" t="n">
        <v>3</v>
      </c>
      <c r="E532" t="inlineStr">
        <is>
          <t>Panquehue 012</t>
        </is>
      </c>
      <c r="F532" t="inlineStr">
        <is>
          <t>Chilquinta</t>
        </is>
      </c>
      <c r="G532" t="inlineStr">
        <is>
          <t>Chilquinta</t>
        </is>
      </c>
      <c r="H532" t="inlineStr">
        <is>
          <t>Empresa Eléctrica Carén S.A.</t>
        </is>
      </c>
      <c r="I532" t="inlineStr">
        <is>
          <t>Empresa Eléctrica Carén S.A.</t>
        </is>
      </c>
      <c r="J532" t="inlineStr">
        <is>
          <t>SIC 2013/03_2_BS1B_BB_CHILQUINTA_Empresa Eléctrica Carén S.A.</t>
        </is>
      </c>
      <c r="K532" t="inlineStr">
        <is>
          <t>Panquehue 012</t>
        </is>
      </c>
      <c r="L532" t="inlineStr">
        <is>
          <t>-1</t>
        </is>
      </c>
      <c r="M532" t="n">
        <v>147.4773885630671</v>
      </c>
      <c r="N532" t="n">
        <v>0</v>
      </c>
      <c r="O532" t="inlineStr">
        <is>
          <t>3</t>
        </is>
      </c>
      <c r="P532" s="2" t="n">
        <v>44999.6862684375</v>
      </c>
      <c r="Q532" t="n">
        <v>31</v>
      </c>
      <c r="R532" t="inlineStr">
        <is>
          <t>LOS MAQUIS 220</t>
        </is>
      </c>
      <c r="S532" t="n">
        <v>54.93502157810696</v>
      </c>
      <c r="T532" t="n">
        <v>4973.13769547549</v>
      </c>
      <c r="U532" t="n">
        <v>0</v>
      </c>
      <c r="V532" t="n">
        <v>0</v>
      </c>
      <c r="W532" t="inlineStr">
        <is>
          <t>CHILQUINTA</t>
        </is>
      </c>
      <c r="X532" t="n">
        <v>96.30599687562</v>
      </c>
      <c r="Y532" t="n">
        <v>4.973137695475488</v>
      </c>
      <c r="Z532" t="n">
        <v>5290.572016463287</v>
      </c>
      <c r="AA532" t="n">
        <v>0</v>
      </c>
      <c r="AB532" t="n">
        <v>0</v>
      </c>
      <c r="AC532" t="n">
        <v>0</v>
      </c>
      <c r="AD532" s="2" t="n">
        <v>44621</v>
      </c>
    </row>
    <row r="533">
      <c r="A533" t="n">
        <v>-1</v>
      </c>
      <c r="B533" t="inlineStr">
        <is>
          <t>01-03-2022</t>
        </is>
      </c>
      <c r="C533" t="n">
        <v>2022</v>
      </c>
      <c r="D533" t="n">
        <v>3</v>
      </c>
      <c r="E533" t="inlineStr">
        <is>
          <t>Panquehue 012</t>
        </is>
      </c>
      <c r="F533" t="inlineStr">
        <is>
          <t>Chilquinta</t>
        </is>
      </c>
      <c r="G533" t="inlineStr">
        <is>
          <t>Chilquinta</t>
        </is>
      </c>
      <c r="H533" t="inlineStr">
        <is>
          <t>Empresa Eléctrica Carén S.A.</t>
        </is>
      </c>
      <c r="I533" t="inlineStr">
        <is>
          <t>Empresa Eléctrica Carén S.A.</t>
        </is>
      </c>
      <c r="J533" t="inlineStr">
        <is>
          <t>SIC 2013/03_2_BS1B_BB_CHILQUINTA_Empresa Eléctrica Carén S.A.</t>
        </is>
      </c>
      <c r="K533" t="inlineStr">
        <is>
          <t>Panquehue 012</t>
        </is>
      </c>
      <c r="L533" t="inlineStr">
        <is>
          <t>-1</t>
        </is>
      </c>
      <c r="M533" t="n">
        <v>147.4773885630671</v>
      </c>
      <c r="N533" t="n">
        <v>0</v>
      </c>
      <c r="O533" t="inlineStr">
        <is>
          <t>3</t>
        </is>
      </c>
      <c r="P533" s="2" t="n">
        <v>44999.6862684375</v>
      </c>
      <c r="Q533" t="n">
        <v>13</v>
      </c>
      <c r="R533" t="inlineStr">
        <is>
          <t>MELIPILLA 220</t>
        </is>
      </c>
      <c r="S533" t="n">
        <v>7.339533654061669</v>
      </c>
      <c r="T533" t="n">
        <v>671.8253471733826</v>
      </c>
      <c r="U533" t="n">
        <v>0</v>
      </c>
      <c r="V533" t="n">
        <v>0</v>
      </c>
      <c r="W533" t="inlineStr">
        <is>
          <t>CHILQUINTA</t>
        </is>
      </c>
      <c r="X533" t="n">
        <v>97.37782396384</v>
      </c>
      <c r="Y533" t="n">
        <v>0.6718253471733827</v>
      </c>
      <c r="Z533" t="n">
        <v>714.7078161418965</v>
      </c>
      <c r="AA533" t="n">
        <v>0</v>
      </c>
      <c r="AB533" t="n">
        <v>0</v>
      </c>
      <c r="AC533" t="n">
        <v>0</v>
      </c>
      <c r="AD533" s="2" t="n">
        <v>44621</v>
      </c>
    </row>
    <row r="534">
      <c r="A534" t="n">
        <v>-1</v>
      </c>
      <c r="B534" t="inlineStr">
        <is>
          <t>01-03-2022</t>
        </is>
      </c>
      <c r="C534" t="n">
        <v>2022</v>
      </c>
      <c r="D534" t="n">
        <v>3</v>
      </c>
      <c r="E534" t="inlineStr">
        <is>
          <t>Panquehue 012</t>
        </is>
      </c>
      <c r="F534" t="inlineStr">
        <is>
          <t>Chilquinta</t>
        </is>
      </c>
      <c r="G534" t="inlineStr">
        <is>
          <t>Chilquinta</t>
        </is>
      </c>
      <c r="H534" t="inlineStr">
        <is>
          <t>Empresa Eléctrica Carén S.A.</t>
        </is>
      </c>
      <c r="I534" t="inlineStr">
        <is>
          <t>Empresa Eléctrica Carén S.A.</t>
        </is>
      </c>
      <c r="J534" t="inlineStr">
        <is>
          <t>SIC 2013/03_2_BS1B_BB_CHILQUINTA_Empresa Eléctrica Carén S.A.</t>
        </is>
      </c>
      <c r="K534" t="inlineStr">
        <is>
          <t>Panquehue 012</t>
        </is>
      </c>
      <c r="L534" t="inlineStr">
        <is>
          <t>-1</t>
        </is>
      </c>
      <c r="M534" t="n">
        <v>147.4773885630671</v>
      </c>
      <c r="N534" t="n">
        <v>0</v>
      </c>
      <c r="O534" t="inlineStr">
        <is>
          <t>3</t>
        </is>
      </c>
      <c r="P534" s="2" t="n">
        <v>44999.6862684375</v>
      </c>
      <c r="Q534" t="n">
        <v>5</v>
      </c>
      <c r="R534" t="inlineStr">
        <is>
          <t>NOGALES 220</t>
        </is>
      </c>
      <c r="S534" t="n">
        <v>22.70872036962416</v>
      </c>
      <c r="T534" t="n">
        <v>2139.923318791358</v>
      </c>
      <c r="U534" t="n">
        <v>0</v>
      </c>
      <c r="V534" t="n">
        <v>0</v>
      </c>
      <c r="W534" t="inlineStr">
        <is>
          <t>CHILQUINTA</t>
        </is>
      </c>
      <c r="X534" t="n">
        <v>100.24845662251</v>
      </c>
      <c r="Y534" t="n">
        <v>2.139923318791358</v>
      </c>
      <c r="Z534" t="n">
        <v>2276.514168926977</v>
      </c>
      <c r="AA534" t="n">
        <v>0</v>
      </c>
      <c r="AB534" t="n">
        <v>0</v>
      </c>
      <c r="AC534" t="n">
        <v>0</v>
      </c>
      <c r="AD534" s="2" t="n">
        <v>44621</v>
      </c>
    </row>
    <row r="535">
      <c r="A535" t="n">
        <v>-1</v>
      </c>
      <c r="B535" t="inlineStr">
        <is>
          <t>01-03-2022</t>
        </is>
      </c>
      <c r="C535" t="n">
        <v>2022</v>
      </c>
      <c r="D535" t="n">
        <v>3</v>
      </c>
      <c r="E535" t="inlineStr">
        <is>
          <t>Panquehue 012</t>
        </is>
      </c>
      <c r="F535" t="inlineStr">
        <is>
          <t>Chilquinta</t>
        </is>
      </c>
      <c r="G535" t="inlineStr">
        <is>
          <t>Chilquinta</t>
        </is>
      </c>
      <c r="H535" t="inlineStr">
        <is>
          <t>Empresa Eléctrica Carén S.A.</t>
        </is>
      </c>
      <c r="I535" t="inlineStr">
        <is>
          <t>Empresa Eléctrica Carén S.A.</t>
        </is>
      </c>
      <c r="J535" t="inlineStr">
        <is>
          <t>SIC 2013/03_2_BS1B_BB_CHILQUINTA_Empresa Eléctrica Carén S.A.</t>
        </is>
      </c>
      <c r="K535" t="inlineStr">
        <is>
          <t>Panquehue 012</t>
        </is>
      </c>
      <c r="L535" t="inlineStr">
        <is>
          <t>-1</t>
        </is>
      </c>
      <c r="M535" t="n">
        <v>147.4773885630671</v>
      </c>
      <c r="N535" t="n">
        <v>0</v>
      </c>
      <c r="O535" t="inlineStr">
        <is>
          <t>3</t>
        </is>
      </c>
      <c r="P535" s="2" t="n">
        <v>44999.6862684375</v>
      </c>
      <c r="Q535" t="n">
        <v>11</v>
      </c>
      <c r="R535" t="inlineStr">
        <is>
          <t>QUILLOTA 220</t>
        </is>
      </c>
      <c r="S535" t="n">
        <v>66.69131943977919</v>
      </c>
      <c r="T535" t="n">
        <v>6089.993131760613</v>
      </c>
      <c r="U535" t="n">
        <v>0</v>
      </c>
      <c r="V535" t="n">
        <v>0</v>
      </c>
      <c r="W535" t="inlineStr">
        <is>
          <t>CHILQUINTA</t>
        </is>
      </c>
      <c r="X535" t="n">
        <v>97.14481812686002</v>
      </c>
      <c r="Y535" t="n">
        <v>6.089993131760613</v>
      </c>
      <c r="Z535" t="n">
        <v>6478.716097617674</v>
      </c>
      <c r="AA535" t="n">
        <v>0</v>
      </c>
      <c r="AB535" t="n">
        <v>0</v>
      </c>
      <c r="AC535" t="n">
        <v>0</v>
      </c>
      <c r="AD535" s="2" t="n">
        <v>44621</v>
      </c>
    </row>
    <row r="536">
      <c r="A536" t="n">
        <v>-1</v>
      </c>
      <c r="B536" t="inlineStr">
        <is>
          <t>01-03-2022</t>
        </is>
      </c>
      <c r="C536" t="n">
        <v>2022</v>
      </c>
      <c r="D536" t="n">
        <v>3</v>
      </c>
      <c r="E536" t="inlineStr">
        <is>
          <t>Peñablanca 012</t>
        </is>
      </c>
      <c r="F536" t="inlineStr">
        <is>
          <t>Chilquinta</t>
        </is>
      </c>
      <c r="G536" t="inlineStr">
        <is>
          <t>Chilquinta</t>
        </is>
      </c>
      <c r="H536" t="inlineStr">
        <is>
          <t>Empresa Eléctrica Carén S.A.</t>
        </is>
      </c>
      <c r="I536" t="inlineStr">
        <is>
          <t>Empresa Eléctrica Carén S.A.</t>
        </is>
      </c>
      <c r="J536" t="inlineStr">
        <is>
          <t>SIC 2013/03_2_BS1B_BB_CHILQUINTA_Empresa Eléctrica Carén S.A.</t>
        </is>
      </c>
      <c r="K536" t="inlineStr">
        <is>
          <t>Peñablanca 012</t>
        </is>
      </c>
      <c r="L536" t="inlineStr">
        <is>
          <t>-1</t>
        </is>
      </c>
      <c r="M536" t="n">
        <v>682.101498326448</v>
      </c>
      <c r="N536" t="n">
        <v>0</v>
      </c>
      <c r="O536" t="inlineStr">
        <is>
          <t>3</t>
        </is>
      </c>
      <c r="P536" s="2" t="n">
        <v>44999.6862684375</v>
      </c>
      <c r="Q536" t="n">
        <v>31</v>
      </c>
      <c r="R536" t="inlineStr">
        <is>
          <t>LOS MAQUIS 220</t>
        </is>
      </c>
      <c r="S536" t="n">
        <v>100.7023500553739</v>
      </c>
      <c r="T536" t="n">
        <v>9116.345797212407</v>
      </c>
      <c r="U536" t="n">
        <v>0</v>
      </c>
      <c r="V536" t="n">
        <v>0</v>
      </c>
      <c r="W536" t="inlineStr">
        <is>
          <t>CHILQUINTA</t>
        </is>
      </c>
      <c r="X536" t="n">
        <v>96.30599687562</v>
      </c>
      <c r="Y536" t="n">
        <v>9.116345797212407</v>
      </c>
      <c r="Z536" t="n">
        <v>9698.240209800433</v>
      </c>
      <c r="AA536" t="n">
        <v>0</v>
      </c>
      <c r="AB536" t="n">
        <v>0</v>
      </c>
      <c r="AC536" t="n">
        <v>0</v>
      </c>
      <c r="AD536" s="2" t="n">
        <v>44621</v>
      </c>
    </row>
    <row r="537">
      <c r="A537" t="n">
        <v>-1</v>
      </c>
      <c r="B537" t="inlineStr">
        <is>
          <t>01-03-2022</t>
        </is>
      </c>
      <c r="C537" t="n">
        <v>2022</v>
      </c>
      <c r="D537" t="n">
        <v>3</v>
      </c>
      <c r="E537" t="inlineStr">
        <is>
          <t>Peñablanca 012</t>
        </is>
      </c>
      <c r="F537" t="inlineStr">
        <is>
          <t>Chilquinta</t>
        </is>
      </c>
      <c r="G537" t="inlineStr">
        <is>
          <t>Chilquinta</t>
        </is>
      </c>
      <c r="H537" t="inlineStr">
        <is>
          <t>Empresa Eléctrica Carén S.A.</t>
        </is>
      </c>
      <c r="I537" t="inlineStr">
        <is>
          <t>Empresa Eléctrica Carén S.A.</t>
        </is>
      </c>
      <c r="J537" t="inlineStr">
        <is>
          <t>SIC 2013/03_2_BS1B_BB_CHILQUINTA_Empresa Eléctrica Carén S.A.</t>
        </is>
      </c>
      <c r="K537" t="inlineStr">
        <is>
          <t>Peñablanca 012</t>
        </is>
      </c>
      <c r="L537" t="inlineStr">
        <is>
          <t>-1</t>
        </is>
      </c>
      <c r="M537" t="n">
        <v>682.101498326448</v>
      </c>
      <c r="N537" t="n">
        <v>0</v>
      </c>
      <c r="O537" t="inlineStr">
        <is>
          <t>3</t>
        </is>
      </c>
      <c r="P537" s="2" t="n">
        <v>44999.6862684375</v>
      </c>
      <c r="Q537" t="n">
        <v>13</v>
      </c>
      <c r="R537" t="inlineStr">
        <is>
          <t>MELIPILLA 220</t>
        </is>
      </c>
      <c r="S537" t="n">
        <v>79.31318493389463</v>
      </c>
      <c r="T537" t="n">
        <v>7259.944638874021</v>
      </c>
      <c r="U537" t="n">
        <v>0</v>
      </c>
      <c r="V537" t="n">
        <v>0</v>
      </c>
      <c r="W537" t="inlineStr">
        <is>
          <t>CHILQUINTA</t>
        </is>
      </c>
      <c r="X537" t="n">
        <v>97.37782396383999</v>
      </c>
      <c r="Y537" t="n">
        <v>7.259944638874021</v>
      </c>
      <c r="Z537" t="n">
        <v>7723.345360504278</v>
      </c>
      <c r="AA537" t="n">
        <v>0</v>
      </c>
      <c r="AB537" t="n">
        <v>0</v>
      </c>
      <c r="AC537" t="n">
        <v>0</v>
      </c>
      <c r="AD537" s="2" t="n">
        <v>44621</v>
      </c>
    </row>
    <row r="538">
      <c r="A538" t="n">
        <v>-1</v>
      </c>
      <c r="B538" t="inlineStr">
        <is>
          <t>01-03-2022</t>
        </is>
      </c>
      <c r="C538" t="n">
        <v>2022</v>
      </c>
      <c r="D538" t="n">
        <v>3</v>
      </c>
      <c r="E538" t="inlineStr">
        <is>
          <t>Peñablanca 012</t>
        </is>
      </c>
      <c r="F538" t="inlineStr">
        <is>
          <t>Chilquinta</t>
        </is>
      </c>
      <c r="G538" t="inlineStr">
        <is>
          <t>Chilquinta</t>
        </is>
      </c>
      <c r="H538" t="inlineStr">
        <is>
          <t>Empresa Eléctrica Carén S.A.</t>
        </is>
      </c>
      <c r="I538" t="inlineStr">
        <is>
          <t>Empresa Eléctrica Carén S.A.</t>
        </is>
      </c>
      <c r="J538" t="inlineStr">
        <is>
          <t>SIC 2013/03_2_BS1B_BB_CHILQUINTA_Empresa Eléctrica Carén S.A.</t>
        </is>
      </c>
      <c r="K538" t="inlineStr">
        <is>
          <t>Peñablanca 012</t>
        </is>
      </c>
      <c r="L538" t="inlineStr">
        <is>
          <t>-1</t>
        </is>
      </c>
      <c r="M538" t="n">
        <v>682.101498326448</v>
      </c>
      <c r="N538" t="n">
        <v>0</v>
      </c>
      <c r="O538" t="inlineStr">
        <is>
          <t>3</t>
        </is>
      </c>
      <c r="P538" s="2" t="n">
        <v>44999.6862684375</v>
      </c>
      <c r="Q538" t="n">
        <v>5</v>
      </c>
      <c r="R538" t="inlineStr">
        <is>
          <t>NOGALES 220</t>
        </is>
      </c>
      <c r="S538" t="n">
        <v>78.17673208060516</v>
      </c>
      <c r="T538" t="n">
        <v>7366.870930779804</v>
      </c>
      <c r="U538" t="n">
        <v>0</v>
      </c>
      <c r="V538" t="n">
        <v>0</v>
      </c>
      <c r="W538" t="inlineStr">
        <is>
          <t>CHILQUINTA</t>
        </is>
      </c>
      <c r="X538" t="n">
        <v>100.24845662251</v>
      </c>
      <c r="Y538" t="n">
        <v>7.366870930779805</v>
      </c>
      <c r="Z538" t="n">
        <v>7837.096734872132</v>
      </c>
      <c r="AA538" t="n">
        <v>0</v>
      </c>
      <c r="AB538" t="n">
        <v>0</v>
      </c>
      <c r="AC538" t="n">
        <v>0</v>
      </c>
      <c r="AD538" s="2" t="n">
        <v>44621</v>
      </c>
    </row>
    <row r="539">
      <c r="A539" t="n">
        <v>-1</v>
      </c>
      <c r="B539" t="inlineStr">
        <is>
          <t>01-03-2022</t>
        </is>
      </c>
      <c r="C539" t="n">
        <v>2022</v>
      </c>
      <c r="D539" t="n">
        <v>3</v>
      </c>
      <c r="E539" t="inlineStr">
        <is>
          <t>Peñablanca 012</t>
        </is>
      </c>
      <c r="F539" t="inlineStr">
        <is>
          <t>Chilquinta</t>
        </is>
      </c>
      <c r="G539" t="inlineStr">
        <is>
          <t>Chilquinta</t>
        </is>
      </c>
      <c r="H539" t="inlineStr">
        <is>
          <t>Empresa Eléctrica Carén S.A.</t>
        </is>
      </c>
      <c r="I539" t="inlineStr">
        <is>
          <t>Empresa Eléctrica Carén S.A.</t>
        </is>
      </c>
      <c r="J539" t="inlineStr">
        <is>
          <t>SIC 2013/03_2_BS1B_BB_CHILQUINTA_Empresa Eléctrica Carén S.A.</t>
        </is>
      </c>
      <c r="K539" t="inlineStr">
        <is>
          <t>Peñablanca 012</t>
        </is>
      </c>
      <c r="L539" t="inlineStr">
        <is>
          <t>-1</t>
        </is>
      </c>
      <c r="M539" t="n">
        <v>682.101498326448</v>
      </c>
      <c r="N539" t="n">
        <v>0</v>
      </c>
      <c r="O539" t="inlineStr">
        <is>
          <t>3</t>
        </is>
      </c>
      <c r="P539" s="2" t="n">
        <v>44999.6862684375</v>
      </c>
      <c r="Q539" t="n">
        <v>11</v>
      </c>
      <c r="R539" t="inlineStr">
        <is>
          <t>QUILLOTA 220</t>
        </is>
      </c>
      <c r="S539" t="n">
        <v>443.321839898945</v>
      </c>
      <c r="T539" t="n">
        <v>40482.43433812909</v>
      </c>
      <c r="U539" t="n">
        <v>0</v>
      </c>
      <c r="V539" t="n">
        <v>0</v>
      </c>
      <c r="W539" t="inlineStr">
        <is>
          <t>CHILQUINTA</t>
        </is>
      </c>
      <c r="X539" t="n">
        <v>97.14481812686</v>
      </c>
      <c r="Y539" t="n">
        <v>40.48243433812908</v>
      </c>
      <c r="Z539" t="n">
        <v>43066.41950864797</v>
      </c>
      <c r="AA539" t="n">
        <v>0</v>
      </c>
      <c r="AB539" t="n">
        <v>0</v>
      </c>
      <c r="AC539" t="n">
        <v>0</v>
      </c>
      <c r="AD539" s="2" t="n">
        <v>44621</v>
      </c>
    </row>
    <row r="540">
      <c r="A540" t="n">
        <v>-1</v>
      </c>
      <c r="B540" t="inlineStr">
        <is>
          <t>01-03-2022</t>
        </is>
      </c>
      <c r="C540" t="n">
        <v>2022</v>
      </c>
      <c r="D540" t="n">
        <v>3</v>
      </c>
      <c r="E540" t="inlineStr">
        <is>
          <t>Placeres 012</t>
        </is>
      </c>
      <c r="F540" t="inlineStr">
        <is>
          <t>Chilquinta</t>
        </is>
      </c>
      <c r="G540" t="inlineStr">
        <is>
          <t>Chilquinta</t>
        </is>
      </c>
      <c r="H540" t="inlineStr">
        <is>
          <t>Empresa Eléctrica Carén S.A.</t>
        </is>
      </c>
      <c r="I540" t="inlineStr">
        <is>
          <t>Empresa Eléctrica Carén S.A.</t>
        </is>
      </c>
      <c r="J540" t="inlineStr">
        <is>
          <t>SIC 2013/03_2_BS1B_BB_CHILQUINTA_Empresa Eléctrica Carén S.A.</t>
        </is>
      </c>
      <c r="K540" t="inlineStr">
        <is>
          <t>Placeres 012</t>
        </is>
      </c>
      <c r="L540" t="inlineStr">
        <is>
          <t>-1</t>
        </is>
      </c>
      <c r="M540" t="n">
        <v>700.0043915570973</v>
      </c>
      <c r="N540" t="n">
        <v>0</v>
      </c>
      <c r="O540" t="inlineStr">
        <is>
          <t>3</t>
        </is>
      </c>
      <c r="P540" s="2" t="n">
        <v>44999.6862684375</v>
      </c>
      <c r="Q540" t="n">
        <v>31</v>
      </c>
      <c r="R540" t="inlineStr">
        <is>
          <t>LOS MAQUIS 220</t>
        </is>
      </c>
      <c r="S540" t="n">
        <v>55.48473662980039</v>
      </c>
      <c r="T540" t="n">
        <v>5022.902100163306</v>
      </c>
      <c r="U540" t="n">
        <v>0</v>
      </c>
      <c r="V540" t="n">
        <v>0</v>
      </c>
      <c r="W540" t="inlineStr">
        <is>
          <t>CHILQUINTA</t>
        </is>
      </c>
      <c r="X540" t="n">
        <v>96.30599687562</v>
      </c>
      <c r="Y540" t="n">
        <v>5.022902100163305</v>
      </c>
      <c r="Z540" t="n">
        <v>5343.512872514156</v>
      </c>
      <c r="AA540" t="n">
        <v>0</v>
      </c>
      <c r="AB540" t="n">
        <v>0</v>
      </c>
      <c r="AC540" t="n">
        <v>0</v>
      </c>
      <c r="AD540" s="2" t="n">
        <v>44621</v>
      </c>
    </row>
    <row r="541">
      <c r="A541" t="n">
        <v>-1</v>
      </c>
      <c r="B541" t="inlineStr">
        <is>
          <t>01-03-2022</t>
        </is>
      </c>
      <c r="C541" t="n">
        <v>2022</v>
      </c>
      <c r="D541" t="n">
        <v>3</v>
      </c>
      <c r="E541" t="inlineStr">
        <is>
          <t>Placeres 012</t>
        </is>
      </c>
      <c r="F541" t="inlineStr">
        <is>
          <t>Chilquinta</t>
        </is>
      </c>
      <c r="G541" t="inlineStr">
        <is>
          <t>Chilquinta</t>
        </is>
      </c>
      <c r="H541" t="inlineStr">
        <is>
          <t>Empresa Eléctrica Carén S.A.</t>
        </is>
      </c>
      <c r="I541" t="inlineStr">
        <is>
          <t>Empresa Eléctrica Carén S.A.</t>
        </is>
      </c>
      <c r="J541" t="inlineStr">
        <is>
          <t>SIC 2013/03_2_BS1B_BB_CHILQUINTA_Empresa Eléctrica Carén S.A.</t>
        </is>
      </c>
      <c r="K541" t="inlineStr">
        <is>
          <t>Placeres 012</t>
        </is>
      </c>
      <c r="L541" t="inlineStr">
        <is>
          <t>-1</t>
        </is>
      </c>
      <c r="M541" t="n">
        <v>700.0043915570973</v>
      </c>
      <c r="N541" t="n">
        <v>0</v>
      </c>
      <c r="O541" t="inlineStr">
        <is>
          <t>3</t>
        </is>
      </c>
      <c r="P541" s="2" t="n">
        <v>44999.6862684375</v>
      </c>
      <c r="Q541" t="n">
        <v>13</v>
      </c>
      <c r="R541" t="inlineStr">
        <is>
          <t>MELIPILLA 220</t>
        </is>
      </c>
      <c r="S541" t="n">
        <v>284.6805424357333</v>
      </c>
      <c r="T541" t="n">
        <v>26058.27744240309</v>
      </c>
      <c r="U541" t="n">
        <v>0</v>
      </c>
      <c r="V541" t="n">
        <v>0</v>
      </c>
      <c r="W541" t="inlineStr">
        <is>
          <t>CHILQUINTA</t>
        </is>
      </c>
      <c r="X541" t="n">
        <v>97.37782396384</v>
      </c>
      <c r="Y541" t="n">
        <v>26.05827744240309</v>
      </c>
      <c r="Z541" t="n">
        <v>27721.57174723733</v>
      </c>
      <c r="AA541" t="n">
        <v>0</v>
      </c>
      <c r="AB541" t="n">
        <v>0</v>
      </c>
      <c r="AC541" t="n">
        <v>0</v>
      </c>
      <c r="AD541" s="2" t="n">
        <v>44621</v>
      </c>
    </row>
    <row r="542">
      <c r="A542" t="n">
        <v>-1</v>
      </c>
      <c r="B542" t="inlineStr">
        <is>
          <t>01-03-2022</t>
        </is>
      </c>
      <c r="C542" t="n">
        <v>2022</v>
      </c>
      <c r="D542" t="n">
        <v>3</v>
      </c>
      <c r="E542" t="inlineStr">
        <is>
          <t>Placeres 012</t>
        </is>
      </c>
      <c r="F542" t="inlineStr">
        <is>
          <t>Chilquinta</t>
        </is>
      </c>
      <c r="G542" t="inlineStr">
        <is>
          <t>Chilquinta</t>
        </is>
      </c>
      <c r="H542" t="inlineStr">
        <is>
          <t>Empresa Eléctrica Carén S.A.</t>
        </is>
      </c>
      <c r="I542" t="inlineStr">
        <is>
          <t>Empresa Eléctrica Carén S.A.</t>
        </is>
      </c>
      <c r="J542" t="inlineStr">
        <is>
          <t>SIC 2013/03_2_BS1B_BB_CHILQUINTA_Empresa Eléctrica Carén S.A.</t>
        </is>
      </c>
      <c r="K542" t="inlineStr">
        <is>
          <t>Placeres 012</t>
        </is>
      </c>
      <c r="L542" t="inlineStr">
        <is>
          <t>-1</t>
        </is>
      </c>
      <c r="M542" t="n">
        <v>700.0043915570973</v>
      </c>
      <c r="N542" t="n">
        <v>0</v>
      </c>
      <c r="O542" t="inlineStr">
        <is>
          <t>3</t>
        </is>
      </c>
      <c r="P542" s="2" t="n">
        <v>44999.6862684375</v>
      </c>
      <c r="Q542" t="n">
        <v>5</v>
      </c>
      <c r="R542" t="inlineStr">
        <is>
          <t>NOGALES 220</t>
        </is>
      </c>
      <c r="S542" t="n">
        <v>78.80315650055731</v>
      </c>
      <c r="T542" t="n">
        <v>7425.901127193208</v>
      </c>
      <c r="U542" t="n">
        <v>0</v>
      </c>
      <c r="V542" t="n">
        <v>0</v>
      </c>
      <c r="W542" t="inlineStr">
        <is>
          <t>CHILQUINTA</t>
        </is>
      </c>
      <c r="X542" t="n">
        <v>100.24845662251</v>
      </c>
      <c r="Y542" t="n">
        <v>7.425901127193207</v>
      </c>
      <c r="Z542" t="n">
        <v>7899.894816162987</v>
      </c>
      <c r="AA542" t="n">
        <v>0</v>
      </c>
      <c r="AB542" t="n">
        <v>0</v>
      </c>
      <c r="AC542" t="n">
        <v>0</v>
      </c>
      <c r="AD542" s="2" t="n">
        <v>44621</v>
      </c>
    </row>
    <row r="543">
      <c r="A543" t="n">
        <v>-1</v>
      </c>
      <c r="B543" t="inlineStr">
        <is>
          <t>01-03-2022</t>
        </is>
      </c>
      <c r="C543" t="n">
        <v>2022</v>
      </c>
      <c r="D543" t="n">
        <v>3</v>
      </c>
      <c r="E543" t="inlineStr">
        <is>
          <t>Placeres 012</t>
        </is>
      </c>
      <c r="F543" t="inlineStr">
        <is>
          <t>Chilquinta</t>
        </is>
      </c>
      <c r="G543" t="inlineStr">
        <is>
          <t>Chilquinta</t>
        </is>
      </c>
      <c r="H543" t="inlineStr">
        <is>
          <t>Empresa Eléctrica Carén S.A.</t>
        </is>
      </c>
      <c r="I543" t="inlineStr">
        <is>
          <t>Empresa Eléctrica Carén S.A.</t>
        </is>
      </c>
      <c r="J543" t="inlineStr">
        <is>
          <t>SIC 2013/03_2_BS1B_BB_CHILQUINTA_Empresa Eléctrica Carén S.A.</t>
        </is>
      </c>
      <c r="K543" t="inlineStr">
        <is>
          <t>Placeres 012</t>
        </is>
      </c>
      <c r="L543" t="inlineStr">
        <is>
          <t>-1</t>
        </is>
      </c>
      <c r="M543" t="n">
        <v>700.0043915570973</v>
      </c>
      <c r="N543" t="n">
        <v>0</v>
      </c>
      <c r="O543" t="inlineStr">
        <is>
          <t>3</t>
        </is>
      </c>
      <c r="P543" s="2" t="n">
        <v>44999.6862684375</v>
      </c>
      <c r="Q543" t="n">
        <v>11</v>
      </c>
      <c r="R543" t="inlineStr">
        <is>
          <t>QUILLOTA 220</t>
        </is>
      </c>
      <c r="S543" t="n">
        <v>300.9580809747212</v>
      </c>
      <c r="T543" t="n">
        <v>27482.3269576922</v>
      </c>
      <c r="U543" t="n">
        <v>0</v>
      </c>
      <c r="V543" t="n">
        <v>0</v>
      </c>
      <c r="W543" t="inlineStr">
        <is>
          <t>CHILQUINTA</t>
        </is>
      </c>
      <c r="X543" t="n">
        <v>97.14481812686</v>
      </c>
      <c r="Y543" t="n">
        <v>27.48232695769221</v>
      </c>
      <c r="Z543" t="n">
        <v>29236.51804009809</v>
      </c>
      <c r="AA543" t="n">
        <v>0</v>
      </c>
      <c r="AB543" t="n">
        <v>0</v>
      </c>
      <c r="AC543" t="n">
        <v>0</v>
      </c>
      <c r="AD543" s="2" t="n">
        <v>44621</v>
      </c>
    </row>
    <row r="544">
      <c r="A544" t="n">
        <v>-1</v>
      </c>
      <c r="B544" t="inlineStr">
        <is>
          <t>01-03-2022</t>
        </is>
      </c>
      <c r="C544" t="n">
        <v>2022</v>
      </c>
      <c r="D544" t="n">
        <v>3</v>
      </c>
      <c r="E544" t="inlineStr">
        <is>
          <t>Placilla SIC2 012</t>
        </is>
      </c>
      <c r="F544" t="inlineStr">
        <is>
          <t>Chilquinta</t>
        </is>
      </c>
      <c r="G544" t="inlineStr">
        <is>
          <t>Chilquinta</t>
        </is>
      </c>
      <c r="H544" t="inlineStr">
        <is>
          <t>Empresa Eléctrica Carén S.A.</t>
        </is>
      </c>
      <c r="I544" t="inlineStr">
        <is>
          <t>Empresa Eléctrica Carén S.A.</t>
        </is>
      </c>
      <c r="J544" t="inlineStr">
        <is>
          <t>SIC 2013/03_2_BS1B_BB_CHILQUINTA_Empresa Eléctrica Carén S.A.</t>
        </is>
      </c>
      <c r="K544" t="inlineStr">
        <is>
          <t>Placilla SIC2 012</t>
        </is>
      </c>
      <c r="L544" t="inlineStr">
        <is>
          <t>-1</t>
        </is>
      </c>
      <c r="M544" t="n">
        <v>368.4238000430987</v>
      </c>
      <c r="N544" t="n">
        <v>0</v>
      </c>
      <c r="O544" t="inlineStr">
        <is>
          <t>3</t>
        </is>
      </c>
      <c r="P544" s="2" t="n">
        <v>44999.6862684375</v>
      </c>
      <c r="Q544" t="n">
        <v>31</v>
      </c>
      <c r="R544" t="inlineStr">
        <is>
          <t>LOS MAQUIS 220</t>
        </is>
      </c>
      <c r="S544" t="n">
        <v>29.53975666294567</v>
      </c>
      <c r="T544" t="n">
        <v>2674.164370114928</v>
      </c>
      <c r="U544" t="n">
        <v>0</v>
      </c>
      <c r="V544" t="n">
        <v>0</v>
      </c>
      <c r="W544" t="inlineStr">
        <is>
          <t>CHILQUINTA</t>
        </is>
      </c>
      <c r="X544" t="n">
        <v>96.30599687562</v>
      </c>
      <c r="Y544" t="n">
        <v>2.674164370114928</v>
      </c>
      <c r="Z544" t="n">
        <v>2844.855712888221</v>
      </c>
      <c r="AA544" t="n">
        <v>0</v>
      </c>
      <c r="AB544" t="n">
        <v>0</v>
      </c>
      <c r="AC544" t="n">
        <v>0</v>
      </c>
      <c r="AD544" s="2" t="n">
        <v>44621</v>
      </c>
    </row>
    <row r="545">
      <c r="A545" t="n">
        <v>-1</v>
      </c>
      <c r="B545" t="inlineStr">
        <is>
          <t>01-03-2022</t>
        </is>
      </c>
      <c r="C545" t="n">
        <v>2022</v>
      </c>
      <c r="D545" t="n">
        <v>3</v>
      </c>
      <c r="E545" t="inlineStr">
        <is>
          <t>Placilla SIC2 012</t>
        </is>
      </c>
      <c r="F545" t="inlineStr">
        <is>
          <t>Chilquinta</t>
        </is>
      </c>
      <c r="G545" t="inlineStr">
        <is>
          <t>Chilquinta</t>
        </is>
      </c>
      <c r="H545" t="inlineStr">
        <is>
          <t>Empresa Eléctrica Carén S.A.</t>
        </is>
      </c>
      <c r="I545" t="inlineStr">
        <is>
          <t>Empresa Eléctrica Carén S.A.</t>
        </is>
      </c>
      <c r="J545" t="inlineStr">
        <is>
          <t>SIC 2013/03_2_BS1B_BB_CHILQUINTA_Empresa Eléctrica Carén S.A.</t>
        </is>
      </c>
      <c r="K545" t="inlineStr">
        <is>
          <t>Placilla SIC2 012</t>
        </is>
      </c>
      <c r="L545" t="inlineStr">
        <is>
          <t>-1</t>
        </is>
      </c>
      <c r="M545" t="n">
        <v>368.4238000430987</v>
      </c>
      <c r="N545" t="n">
        <v>0</v>
      </c>
      <c r="O545" t="inlineStr">
        <is>
          <t>3</t>
        </is>
      </c>
      <c r="P545" s="2" t="n">
        <v>44999.6862684375</v>
      </c>
      <c r="Q545" t="n">
        <v>13</v>
      </c>
      <c r="R545" t="inlineStr">
        <is>
          <t>MELIPILLA 220</t>
        </is>
      </c>
      <c r="S545" t="n">
        <v>135.6722071669359</v>
      </c>
      <c r="T545" t="n">
        <v>12418.77644791027</v>
      </c>
      <c r="U545" t="n">
        <v>0</v>
      </c>
      <c r="V545" t="n">
        <v>0</v>
      </c>
      <c r="W545" t="inlineStr">
        <is>
          <t>CHILQUINTA</t>
        </is>
      </c>
      <c r="X545" t="n">
        <v>97.37782396384</v>
      </c>
      <c r="Y545" t="n">
        <v>12.41877644791027</v>
      </c>
      <c r="Z545" t="n">
        <v>13211.46430628752</v>
      </c>
      <c r="AA545" t="n">
        <v>0</v>
      </c>
      <c r="AB545" t="n">
        <v>0</v>
      </c>
      <c r="AC545" t="n">
        <v>0</v>
      </c>
      <c r="AD545" s="2" t="n">
        <v>44621</v>
      </c>
    </row>
    <row r="546">
      <c r="A546" t="n">
        <v>-1</v>
      </c>
      <c r="B546" t="inlineStr">
        <is>
          <t>01-03-2022</t>
        </is>
      </c>
      <c r="C546" t="n">
        <v>2022</v>
      </c>
      <c r="D546" t="n">
        <v>3</v>
      </c>
      <c r="E546" t="inlineStr">
        <is>
          <t>Placilla SIC2 012</t>
        </is>
      </c>
      <c r="F546" t="inlineStr">
        <is>
          <t>Chilquinta</t>
        </is>
      </c>
      <c r="G546" t="inlineStr">
        <is>
          <t>Chilquinta</t>
        </is>
      </c>
      <c r="H546" t="inlineStr">
        <is>
          <t>Empresa Eléctrica Carén S.A.</t>
        </is>
      </c>
      <c r="I546" t="inlineStr">
        <is>
          <t>Empresa Eléctrica Carén S.A.</t>
        </is>
      </c>
      <c r="J546" t="inlineStr">
        <is>
          <t>SIC 2013/03_2_BS1B_BB_CHILQUINTA_Empresa Eléctrica Carén S.A.</t>
        </is>
      </c>
      <c r="K546" t="inlineStr">
        <is>
          <t>Placilla SIC2 012</t>
        </is>
      </c>
      <c r="L546" t="inlineStr">
        <is>
          <t>-1</t>
        </is>
      </c>
      <c r="M546" t="n">
        <v>368.4238000430987</v>
      </c>
      <c r="N546" t="n">
        <v>0</v>
      </c>
      <c r="O546" t="inlineStr">
        <is>
          <t>3</t>
        </is>
      </c>
      <c r="P546" s="2" t="n">
        <v>44999.6862684375</v>
      </c>
      <c r="Q546" t="n">
        <v>5</v>
      </c>
      <c r="R546" t="inlineStr">
        <is>
          <t>NOGALES 220</t>
        </is>
      </c>
      <c r="S546" t="n">
        <v>45.77980246302073</v>
      </c>
      <c r="T546" t="n">
        <v>4313.993268917137</v>
      </c>
      <c r="U546" t="n">
        <v>0</v>
      </c>
      <c r="V546" t="n">
        <v>0</v>
      </c>
      <c r="W546" t="inlineStr">
        <is>
          <t>CHILQUINTA</t>
        </is>
      </c>
      <c r="X546" t="n">
        <v>100.24845662251</v>
      </c>
      <c r="Y546" t="n">
        <v>4.313993268917137</v>
      </c>
      <c r="Z546" t="n">
        <v>4589.354541401211</v>
      </c>
      <c r="AA546" t="n">
        <v>0</v>
      </c>
      <c r="AB546" t="n">
        <v>0</v>
      </c>
      <c r="AC546" t="n">
        <v>0</v>
      </c>
      <c r="AD546" s="2" t="n">
        <v>44621</v>
      </c>
    </row>
    <row r="547">
      <c r="A547" t="n">
        <v>-1</v>
      </c>
      <c r="B547" t="inlineStr">
        <is>
          <t>01-03-2022</t>
        </is>
      </c>
      <c r="C547" t="n">
        <v>2022</v>
      </c>
      <c r="D547" t="n">
        <v>3</v>
      </c>
      <c r="E547" t="inlineStr">
        <is>
          <t>Placilla SIC2 012</t>
        </is>
      </c>
      <c r="F547" t="inlineStr">
        <is>
          <t>Chilquinta</t>
        </is>
      </c>
      <c r="G547" t="inlineStr">
        <is>
          <t>Chilquinta</t>
        </is>
      </c>
      <c r="H547" t="inlineStr">
        <is>
          <t>Empresa Eléctrica Carén S.A.</t>
        </is>
      </c>
      <c r="I547" t="inlineStr">
        <is>
          <t>Empresa Eléctrica Carén S.A.</t>
        </is>
      </c>
      <c r="J547" t="inlineStr">
        <is>
          <t>SIC 2013/03_2_BS1B_BB_CHILQUINTA_Empresa Eléctrica Carén S.A.</t>
        </is>
      </c>
      <c r="K547" t="inlineStr">
        <is>
          <t>Placilla SIC2 012</t>
        </is>
      </c>
      <c r="L547" t="inlineStr">
        <is>
          <t>-1</t>
        </is>
      </c>
      <c r="M547" t="n">
        <v>368.4238000430987</v>
      </c>
      <c r="N547" t="n">
        <v>0</v>
      </c>
      <c r="O547" t="inlineStr">
        <is>
          <t>3</t>
        </is>
      </c>
      <c r="P547" s="2" t="n">
        <v>44999.6862684375</v>
      </c>
      <c r="Q547" t="n">
        <v>11</v>
      </c>
      <c r="R547" t="inlineStr">
        <is>
          <t>QUILLOTA 220</t>
        </is>
      </c>
      <c r="S547" t="n">
        <v>167.9173750994229</v>
      </c>
      <c r="T547" t="n">
        <v>15333.56469251077</v>
      </c>
      <c r="U547" t="n">
        <v>0</v>
      </c>
      <c r="V547" t="n">
        <v>0</v>
      </c>
      <c r="W547" t="inlineStr">
        <is>
          <t>CHILQUINTA</t>
        </is>
      </c>
      <c r="X547" t="n">
        <v>97.14481812686</v>
      </c>
      <c r="Y547" t="n">
        <v>15.33356469251077</v>
      </c>
      <c r="Z547" t="n">
        <v>16312.30286437316</v>
      </c>
      <c r="AA547" t="n">
        <v>0</v>
      </c>
      <c r="AB547" t="n">
        <v>0</v>
      </c>
      <c r="AC547" t="n">
        <v>0</v>
      </c>
      <c r="AD547" s="2" t="n">
        <v>44621</v>
      </c>
    </row>
    <row r="548">
      <c r="A548" t="n">
        <v>-1</v>
      </c>
      <c r="B548" t="inlineStr">
        <is>
          <t>01-03-2022</t>
        </is>
      </c>
      <c r="C548" t="n">
        <v>2022</v>
      </c>
      <c r="D548" t="n">
        <v>3</v>
      </c>
      <c r="E548" t="inlineStr">
        <is>
          <t>Playa Ancha 13.8</t>
        </is>
      </c>
      <c r="F548" t="inlineStr">
        <is>
          <t>Chilquinta</t>
        </is>
      </c>
      <c r="G548" t="inlineStr">
        <is>
          <t>Chilquinta</t>
        </is>
      </c>
      <c r="H548" t="inlineStr">
        <is>
          <t>Empresa Eléctrica Carén S.A.</t>
        </is>
      </c>
      <c r="I548" t="inlineStr">
        <is>
          <t>Empresa Eléctrica Carén S.A.</t>
        </is>
      </c>
      <c r="J548" t="inlineStr">
        <is>
          <t>SIC 2013/03_2_BS1B_BB_CHILQUINTA_Empresa Eléctrica Carén S.A.</t>
        </is>
      </c>
      <c r="K548" t="inlineStr">
        <is>
          <t>Playa Ancha 13.8</t>
        </is>
      </c>
      <c r="L548" t="inlineStr">
        <is>
          <t>-1</t>
        </is>
      </c>
      <c r="M548" t="n">
        <v>484.1706788381699</v>
      </c>
      <c r="N548" t="n">
        <v>0</v>
      </c>
      <c r="O548" t="inlineStr">
        <is>
          <t>3</t>
        </is>
      </c>
      <c r="P548" s="2" t="n">
        <v>44999.6862684375</v>
      </c>
      <c r="Q548" t="n">
        <v>31</v>
      </c>
      <c r="R548" t="inlineStr">
        <is>
          <t>LOS MAQUIS 220</t>
        </is>
      </c>
      <c r="S548" t="n">
        <v>7.265093073061823</v>
      </c>
      <c r="T548" t="n">
        <v>657.6917089476576</v>
      </c>
      <c r="U548" t="n">
        <v>0</v>
      </c>
      <c r="V548" t="n">
        <v>0</v>
      </c>
      <c r="W548" t="inlineStr">
        <is>
          <t>CHILQUINTA</t>
        </is>
      </c>
      <c r="X548" t="n">
        <v>96.30599687562001</v>
      </c>
      <c r="Y548" t="n">
        <v>0.6576917089476576</v>
      </c>
      <c r="Z548" t="n">
        <v>699.6720307953805</v>
      </c>
      <c r="AA548" t="n">
        <v>0</v>
      </c>
      <c r="AB548" t="n">
        <v>0</v>
      </c>
      <c r="AC548" t="n">
        <v>0</v>
      </c>
      <c r="AD548" s="2" t="n">
        <v>44621</v>
      </c>
    </row>
    <row r="549">
      <c r="A549" t="n">
        <v>-1</v>
      </c>
      <c r="B549" t="inlineStr">
        <is>
          <t>01-03-2022</t>
        </is>
      </c>
      <c r="C549" t="n">
        <v>2022</v>
      </c>
      <c r="D549" t="n">
        <v>3</v>
      </c>
      <c r="E549" t="inlineStr">
        <is>
          <t>Playa Ancha 13.8</t>
        </is>
      </c>
      <c r="F549" t="inlineStr">
        <is>
          <t>Chilquinta</t>
        </is>
      </c>
      <c r="G549" t="inlineStr">
        <is>
          <t>Chilquinta</t>
        </is>
      </c>
      <c r="H549" t="inlineStr">
        <is>
          <t>Empresa Eléctrica Carén S.A.</t>
        </is>
      </c>
      <c r="I549" t="inlineStr">
        <is>
          <t>Empresa Eléctrica Carén S.A.</t>
        </is>
      </c>
      <c r="J549" t="inlineStr">
        <is>
          <t>SIC 2013/03_2_BS1B_BB_CHILQUINTA_Empresa Eléctrica Carén S.A.</t>
        </is>
      </c>
      <c r="K549" t="inlineStr">
        <is>
          <t>Playa Ancha 13.8</t>
        </is>
      </c>
      <c r="L549" t="inlineStr">
        <is>
          <t>-1</t>
        </is>
      </c>
      <c r="M549" t="n">
        <v>484.1706788381699</v>
      </c>
      <c r="N549" t="n">
        <v>0</v>
      </c>
      <c r="O549" t="inlineStr">
        <is>
          <t>3</t>
        </is>
      </c>
      <c r="P549" s="2" t="n">
        <v>44999.6862684375</v>
      </c>
      <c r="Q549" t="n">
        <v>13</v>
      </c>
      <c r="R549" t="inlineStr">
        <is>
          <t>MELIPILLA 220</t>
        </is>
      </c>
      <c r="S549" t="n">
        <v>439.197035049435</v>
      </c>
      <c r="T549" t="n">
        <v>40201.96847061528</v>
      </c>
      <c r="U549" t="n">
        <v>0</v>
      </c>
      <c r="V549" t="n">
        <v>0</v>
      </c>
      <c r="W549" t="inlineStr">
        <is>
          <t>CHILQUINTA</t>
        </is>
      </c>
      <c r="X549" t="n">
        <v>97.37782396384</v>
      </c>
      <c r="Y549" t="n">
        <v>40.20196847061529</v>
      </c>
      <c r="Z549" t="n">
        <v>42768.05156448435</v>
      </c>
      <c r="AA549" t="n">
        <v>0</v>
      </c>
      <c r="AB549" t="n">
        <v>0</v>
      </c>
      <c r="AC549" t="n">
        <v>0</v>
      </c>
      <c r="AD549" s="2" t="n">
        <v>44621</v>
      </c>
    </row>
    <row r="550">
      <c r="A550" t="n">
        <v>-1</v>
      </c>
      <c r="B550" t="inlineStr">
        <is>
          <t>01-03-2022</t>
        </is>
      </c>
      <c r="C550" t="n">
        <v>2022</v>
      </c>
      <c r="D550" t="n">
        <v>3</v>
      </c>
      <c r="E550" t="inlineStr">
        <is>
          <t>Playa Ancha 13.8</t>
        </is>
      </c>
      <c r="F550" t="inlineStr">
        <is>
          <t>Chilquinta</t>
        </is>
      </c>
      <c r="G550" t="inlineStr">
        <is>
          <t>Chilquinta</t>
        </is>
      </c>
      <c r="H550" t="inlineStr">
        <is>
          <t>Empresa Eléctrica Carén S.A.</t>
        </is>
      </c>
      <c r="I550" t="inlineStr">
        <is>
          <t>Empresa Eléctrica Carén S.A.</t>
        </is>
      </c>
      <c r="J550" t="inlineStr">
        <is>
          <t>SIC 2013/03_2_BS1B_BB_CHILQUINTA_Empresa Eléctrica Carén S.A.</t>
        </is>
      </c>
      <c r="K550" t="inlineStr">
        <is>
          <t>Playa Ancha 13.8</t>
        </is>
      </c>
      <c r="L550" t="inlineStr">
        <is>
          <t>-1</t>
        </is>
      </c>
      <c r="M550" t="n">
        <v>484.1706788381699</v>
      </c>
      <c r="N550" t="n">
        <v>0</v>
      </c>
      <c r="O550" t="inlineStr">
        <is>
          <t>3</t>
        </is>
      </c>
      <c r="P550" s="2" t="n">
        <v>44999.6862684375</v>
      </c>
      <c r="Q550" t="n">
        <v>5</v>
      </c>
      <c r="R550" t="inlineStr">
        <is>
          <t>NOGALES 220</t>
        </is>
      </c>
      <c r="S550" t="n">
        <v>10.67107227934989</v>
      </c>
      <c r="T550" t="n">
        <v>1005.573014921351</v>
      </c>
      <c r="U550" t="n">
        <v>0</v>
      </c>
      <c r="V550" t="n">
        <v>0</v>
      </c>
      <c r="W550" t="inlineStr">
        <is>
          <t>CHILQUINTA</t>
        </is>
      </c>
      <c r="X550" t="n">
        <v>100.24845662251</v>
      </c>
      <c r="Y550" t="n">
        <v>1.005573014921352</v>
      </c>
      <c r="Z550" t="n">
        <v>1069.758526512076</v>
      </c>
      <c r="AA550" t="n">
        <v>0</v>
      </c>
      <c r="AB550" t="n">
        <v>0</v>
      </c>
      <c r="AC550" t="n">
        <v>0</v>
      </c>
      <c r="AD550" s="2" t="n">
        <v>44621</v>
      </c>
    </row>
    <row r="551">
      <c r="A551" t="n">
        <v>-1</v>
      </c>
      <c r="B551" t="inlineStr">
        <is>
          <t>01-03-2022</t>
        </is>
      </c>
      <c r="C551" t="n">
        <v>2022</v>
      </c>
      <c r="D551" t="n">
        <v>3</v>
      </c>
      <c r="E551" t="inlineStr">
        <is>
          <t>Playa Ancha 13.8</t>
        </is>
      </c>
      <c r="F551" t="inlineStr">
        <is>
          <t>Chilquinta</t>
        </is>
      </c>
      <c r="G551" t="inlineStr">
        <is>
          <t>Chilquinta</t>
        </is>
      </c>
      <c r="H551" t="inlineStr">
        <is>
          <t>Empresa Eléctrica Carén S.A.</t>
        </is>
      </c>
      <c r="I551" t="inlineStr">
        <is>
          <t>Empresa Eléctrica Carén S.A.</t>
        </is>
      </c>
      <c r="J551" t="inlineStr">
        <is>
          <t>SIC 2013/03_2_BS1B_BB_CHILQUINTA_Empresa Eléctrica Carén S.A.</t>
        </is>
      </c>
      <c r="K551" t="inlineStr">
        <is>
          <t>Playa Ancha 13.8</t>
        </is>
      </c>
      <c r="L551" t="inlineStr">
        <is>
          <t>-1</t>
        </is>
      </c>
      <c r="M551" t="n">
        <v>484.1706788381699</v>
      </c>
      <c r="N551" t="n">
        <v>0</v>
      </c>
      <c r="O551" t="inlineStr">
        <is>
          <t>3</t>
        </is>
      </c>
      <c r="P551" s="2" t="n">
        <v>44999.6862684375</v>
      </c>
      <c r="Q551" t="n">
        <v>11</v>
      </c>
      <c r="R551" t="inlineStr">
        <is>
          <t>QUILLOTA 220</t>
        </is>
      </c>
      <c r="S551" t="n">
        <v>40.81697595605741</v>
      </c>
      <c r="T551" t="n">
        <v>3727.248243395237</v>
      </c>
      <c r="U551" t="n">
        <v>0</v>
      </c>
      <c r="V551" t="n">
        <v>0</v>
      </c>
      <c r="W551" t="inlineStr">
        <is>
          <t>CHILQUINTA</t>
        </is>
      </c>
      <c r="X551" t="n">
        <v>97.14481812686002</v>
      </c>
      <c r="Y551" t="n">
        <v>3.727248243395238</v>
      </c>
      <c r="Z551" t="n">
        <v>3965.157705739614</v>
      </c>
      <c r="AA551" t="n">
        <v>0</v>
      </c>
      <c r="AB551" t="n">
        <v>0</v>
      </c>
      <c r="AC551" t="n">
        <v>0</v>
      </c>
      <c r="AD551" s="2" t="n">
        <v>44621</v>
      </c>
    </row>
    <row r="552">
      <c r="A552" t="n">
        <v>-1</v>
      </c>
      <c r="B552" t="inlineStr">
        <is>
          <t>01-03-2022</t>
        </is>
      </c>
      <c r="C552" t="n">
        <v>2022</v>
      </c>
      <c r="D552" t="n">
        <v>3</v>
      </c>
      <c r="E552" t="inlineStr">
        <is>
          <t>Quilpue 012</t>
        </is>
      </c>
      <c r="F552" t="inlineStr">
        <is>
          <t>Chilquinta</t>
        </is>
      </c>
      <c r="G552" t="inlineStr">
        <is>
          <t>Chilquinta</t>
        </is>
      </c>
      <c r="H552" t="inlineStr">
        <is>
          <t>Empresa Eléctrica Carén S.A.</t>
        </is>
      </c>
      <c r="I552" t="inlineStr">
        <is>
          <t>Empresa Eléctrica Carén S.A.</t>
        </is>
      </c>
      <c r="J552" t="inlineStr">
        <is>
          <t>SIC 2013/03_2_BS1B_BB_CHILQUINTA_Empresa Eléctrica Carén S.A.</t>
        </is>
      </c>
      <c r="K552" t="inlineStr">
        <is>
          <t>Quilpue 012</t>
        </is>
      </c>
      <c r="L552" t="inlineStr">
        <is>
          <t>-1</t>
        </is>
      </c>
      <c r="M552" t="n">
        <v>1328.374855420174</v>
      </c>
      <c r="N552" t="n">
        <v>0</v>
      </c>
      <c r="O552" t="inlineStr">
        <is>
          <t>3</t>
        </is>
      </c>
      <c r="P552" s="2" t="n">
        <v>44999.6862684375</v>
      </c>
      <c r="Q552" t="n">
        <v>31</v>
      </c>
      <c r="R552" t="inlineStr">
        <is>
          <t>LOS MAQUIS 220</t>
        </is>
      </c>
      <c r="S552" t="n">
        <v>149.7060486489992</v>
      </c>
      <c r="T552" t="n">
        <v>13552.53483824482</v>
      </c>
      <c r="U552" t="n">
        <v>0</v>
      </c>
      <c r="V552" t="n">
        <v>0</v>
      </c>
      <c r="W552" t="inlineStr">
        <is>
          <t>CHILQUINTA</t>
        </is>
      </c>
      <c r="X552" t="n">
        <v>96.30599687562</v>
      </c>
      <c r="Y552" t="n">
        <v>13.55253483824482</v>
      </c>
      <c r="Z552" t="n">
        <v>14417.59025345194</v>
      </c>
      <c r="AA552" t="n">
        <v>0</v>
      </c>
      <c r="AB552" t="n">
        <v>0</v>
      </c>
      <c r="AC552" t="n">
        <v>0</v>
      </c>
      <c r="AD552" s="2" t="n">
        <v>44621</v>
      </c>
    </row>
    <row r="553">
      <c r="A553" t="n">
        <v>-1</v>
      </c>
      <c r="B553" t="inlineStr">
        <is>
          <t>01-03-2022</t>
        </is>
      </c>
      <c r="C553" t="n">
        <v>2022</v>
      </c>
      <c r="D553" t="n">
        <v>3</v>
      </c>
      <c r="E553" t="inlineStr">
        <is>
          <t>Quilpue 012</t>
        </is>
      </c>
      <c r="F553" t="inlineStr">
        <is>
          <t>Chilquinta</t>
        </is>
      </c>
      <c r="G553" t="inlineStr">
        <is>
          <t>Chilquinta</t>
        </is>
      </c>
      <c r="H553" t="inlineStr">
        <is>
          <t>Empresa Eléctrica Carén S.A.</t>
        </is>
      </c>
      <c r="I553" t="inlineStr">
        <is>
          <t>Empresa Eléctrica Carén S.A.</t>
        </is>
      </c>
      <c r="J553" t="inlineStr">
        <is>
          <t>SIC 2013/03_2_BS1B_BB_CHILQUINTA_Empresa Eléctrica Carén S.A.</t>
        </is>
      </c>
      <c r="K553" t="inlineStr">
        <is>
          <t>Quilpue 012</t>
        </is>
      </c>
      <c r="L553" t="inlineStr">
        <is>
          <t>-1</t>
        </is>
      </c>
      <c r="M553" t="n">
        <v>1328.374855420174</v>
      </c>
      <c r="N553" t="n">
        <v>0</v>
      </c>
      <c r="O553" t="inlineStr">
        <is>
          <t>3</t>
        </is>
      </c>
      <c r="P553" s="2" t="n">
        <v>44999.6862684375</v>
      </c>
      <c r="Q553" t="n">
        <v>13</v>
      </c>
      <c r="R553" t="inlineStr">
        <is>
          <t>MELIPILLA 220</t>
        </is>
      </c>
      <c r="S553" t="n">
        <v>202.3859650197367</v>
      </c>
      <c r="T553" t="n">
        <v>18525.43058197717</v>
      </c>
      <c r="U553" t="n">
        <v>0</v>
      </c>
      <c r="V553" t="n">
        <v>0</v>
      </c>
      <c r="W553" t="inlineStr">
        <is>
          <t>CHILQUINTA</t>
        </is>
      </c>
      <c r="X553" t="n">
        <v>97.37782396383999</v>
      </c>
      <c r="Y553" t="n">
        <v>18.52543058197717</v>
      </c>
      <c r="Z553" t="n">
        <v>19707.9048744438</v>
      </c>
      <c r="AA553" t="n">
        <v>0</v>
      </c>
      <c r="AB553" t="n">
        <v>0</v>
      </c>
      <c r="AC553" t="n">
        <v>0</v>
      </c>
      <c r="AD553" s="2" t="n">
        <v>44621</v>
      </c>
    </row>
    <row r="554">
      <c r="A554" t="n">
        <v>-1</v>
      </c>
      <c r="B554" t="inlineStr">
        <is>
          <t>01-03-2022</t>
        </is>
      </c>
      <c r="C554" t="n">
        <v>2022</v>
      </c>
      <c r="D554" t="n">
        <v>3</v>
      </c>
      <c r="E554" t="inlineStr">
        <is>
          <t>Quilpue 012</t>
        </is>
      </c>
      <c r="F554" t="inlineStr">
        <is>
          <t>Chilquinta</t>
        </is>
      </c>
      <c r="G554" t="inlineStr">
        <is>
          <t>Chilquinta</t>
        </is>
      </c>
      <c r="H554" t="inlineStr">
        <is>
          <t>Empresa Eléctrica Carén S.A.</t>
        </is>
      </c>
      <c r="I554" t="inlineStr">
        <is>
          <t>Empresa Eléctrica Carén S.A.</t>
        </is>
      </c>
      <c r="J554" t="inlineStr">
        <is>
          <t>SIC 2013/03_2_BS1B_BB_CHILQUINTA_Empresa Eléctrica Carén S.A.</t>
        </is>
      </c>
      <c r="K554" t="inlineStr">
        <is>
          <t>Quilpue 012</t>
        </is>
      </c>
      <c r="L554" t="inlineStr">
        <is>
          <t>-1</t>
        </is>
      </c>
      <c r="M554" t="n">
        <v>1328.374855420174</v>
      </c>
      <c r="N554" t="n">
        <v>0</v>
      </c>
      <c r="O554" t="inlineStr">
        <is>
          <t>3</t>
        </is>
      </c>
      <c r="P554" s="2" t="n">
        <v>44999.6862684375</v>
      </c>
      <c r="Q554" t="n">
        <v>5</v>
      </c>
      <c r="R554" t="inlineStr">
        <is>
          <t>NOGALES 220</t>
        </is>
      </c>
      <c r="S554" t="n">
        <v>182.1118478272641</v>
      </c>
      <c r="T554" t="n">
        <v>17161.04577671523</v>
      </c>
      <c r="U554" t="n">
        <v>0</v>
      </c>
      <c r="V554" t="n">
        <v>0</v>
      </c>
      <c r="W554" t="inlineStr">
        <is>
          <t>CHILQUINTA</t>
        </is>
      </c>
      <c r="X554" t="n">
        <v>100.24845662251</v>
      </c>
      <c r="Y554" t="n">
        <v>17.16104577671523</v>
      </c>
      <c r="Z554" t="n">
        <v>18256.43167735663</v>
      </c>
      <c r="AA554" t="n">
        <v>0</v>
      </c>
      <c r="AB554" t="n">
        <v>0</v>
      </c>
      <c r="AC554" t="n">
        <v>0</v>
      </c>
      <c r="AD554" s="2" t="n">
        <v>44621</v>
      </c>
    </row>
    <row r="555">
      <c r="A555" t="n">
        <v>-1</v>
      </c>
      <c r="B555" t="inlineStr">
        <is>
          <t>01-03-2022</t>
        </is>
      </c>
      <c r="C555" t="n">
        <v>2022</v>
      </c>
      <c r="D555" t="n">
        <v>3</v>
      </c>
      <c r="E555" t="inlineStr">
        <is>
          <t>Quilpue 012</t>
        </is>
      </c>
      <c r="F555" t="inlineStr">
        <is>
          <t>Chilquinta</t>
        </is>
      </c>
      <c r="G555" t="inlineStr">
        <is>
          <t>Chilquinta</t>
        </is>
      </c>
      <c r="H555" t="inlineStr">
        <is>
          <t>Empresa Eléctrica Carén S.A.</t>
        </is>
      </c>
      <c r="I555" t="inlineStr">
        <is>
          <t>Empresa Eléctrica Carén S.A.</t>
        </is>
      </c>
      <c r="J555" t="inlineStr">
        <is>
          <t>SIC 2013/03_2_BS1B_BB_CHILQUINTA_Empresa Eléctrica Carén S.A.</t>
        </is>
      </c>
      <c r="K555" t="inlineStr">
        <is>
          <t>Quilpue 012</t>
        </is>
      </c>
      <c r="L555" t="inlineStr">
        <is>
          <t>-1</t>
        </is>
      </c>
      <c r="M555" t="n">
        <v>1328.374855420174</v>
      </c>
      <c r="N555" t="n">
        <v>0</v>
      </c>
      <c r="O555" t="inlineStr">
        <is>
          <t>3</t>
        </is>
      </c>
      <c r="P555" s="2" t="n">
        <v>44999.6862684375</v>
      </c>
      <c r="Q555" t="n">
        <v>11</v>
      </c>
      <c r="R555" t="inlineStr">
        <is>
          <t>QUILLOTA 220</t>
        </is>
      </c>
      <c r="S555" t="n">
        <v>831.9765423094319</v>
      </c>
      <c r="T555" t="n">
        <v>75972.87729515581</v>
      </c>
      <c r="U555" t="n">
        <v>0</v>
      </c>
      <c r="V555" t="n">
        <v>0</v>
      </c>
      <c r="W555" t="inlineStr">
        <is>
          <t>CHILQUINTA</t>
        </is>
      </c>
      <c r="X555" t="n">
        <v>97.14481812686</v>
      </c>
      <c r="Y555" t="n">
        <v>75.97287729515578</v>
      </c>
      <c r="Z555" t="n">
        <v>80822.20988846362</v>
      </c>
      <c r="AA555" t="n">
        <v>0</v>
      </c>
      <c r="AB555" t="n">
        <v>0</v>
      </c>
      <c r="AC555" t="n">
        <v>0</v>
      </c>
      <c r="AD555" s="2" t="n">
        <v>44621</v>
      </c>
    </row>
    <row r="556">
      <c r="A556" t="n">
        <v>-1</v>
      </c>
      <c r="B556" t="inlineStr">
        <is>
          <t>01-03-2022</t>
        </is>
      </c>
      <c r="C556" t="n">
        <v>2022</v>
      </c>
      <c r="D556" t="n">
        <v>3</v>
      </c>
      <c r="E556" t="inlineStr">
        <is>
          <t>Quintero 012</t>
        </is>
      </c>
      <c r="F556" t="inlineStr">
        <is>
          <t>Chilquinta</t>
        </is>
      </c>
      <c r="G556" t="inlineStr">
        <is>
          <t>Chilquinta</t>
        </is>
      </c>
      <c r="H556" t="inlineStr">
        <is>
          <t>Empresa Eléctrica Carén S.A.</t>
        </is>
      </c>
      <c r="I556" t="inlineStr">
        <is>
          <t>Empresa Eléctrica Carén S.A.</t>
        </is>
      </c>
      <c r="J556" t="inlineStr">
        <is>
          <t>SIC 2013/03_2_BS1B_BB_CHILQUINTA_Empresa Eléctrica Carén S.A.</t>
        </is>
      </c>
      <c r="K556" t="inlineStr">
        <is>
          <t>Quintero 012</t>
        </is>
      </c>
      <c r="L556" t="inlineStr">
        <is>
          <t>-1</t>
        </is>
      </c>
      <c r="M556" t="n">
        <v>350.6057516487281</v>
      </c>
      <c r="N556" t="n">
        <v>0</v>
      </c>
      <c r="O556" t="inlineStr">
        <is>
          <t>3</t>
        </is>
      </c>
      <c r="P556" s="2" t="n">
        <v>44999.6862684375</v>
      </c>
      <c r="Q556" t="n">
        <v>31</v>
      </c>
      <c r="R556" t="inlineStr">
        <is>
          <t>LOS MAQUIS 220</t>
        </is>
      </c>
      <c r="S556" t="n">
        <v>31.22296781018696</v>
      </c>
      <c r="T556" t="n">
        <v>2826.541497952922</v>
      </c>
      <c r="U556" t="n">
        <v>0</v>
      </c>
      <c r="V556" t="n">
        <v>0</v>
      </c>
      <c r="W556" t="inlineStr">
        <is>
          <t>CHILQUINTA</t>
        </is>
      </c>
      <c r="X556" t="n">
        <v>96.30599687562001</v>
      </c>
      <c r="Y556" t="n">
        <v>2.826541497952923</v>
      </c>
      <c r="Z556" t="n">
        <v>3006.95904037545</v>
      </c>
      <c r="AA556" t="n">
        <v>0</v>
      </c>
      <c r="AB556" t="n">
        <v>0</v>
      </c>
      <c r="AC556" t="n">
        <v>0</v>
      </c>
      <c r="AD556" s="2" t="n">
        <v>44621</v>
      </c>
    </row>
    <row r="557">
      <c r="A557" t="n">
        <v>-1</v>
      </c>
      <c r="B557" t="inlineStr">
        <is>
          <t>01-03-2022</t>
        </is>
      </c>
      <c r="C557" t="n">
        <v>2022</v>
      </c>
      <c r="D557" t="n">
        <v>3</v>
      </c>
      <c r="E557" t="inlineStr">
        <is>
          <t>Quintero 012</t>
        </is>
      </c>
      <c r="F557" t="inlineStr">
        <is>
          <t>Chilquinta</t>
        </is>
      </c>
      <c r="G557" t="inlineStr">
        <is>
          <t>Chilquinta</t>
        </is>
      </c>
      <c r="H557" t="inlineStr">
        <is>
          <t>Empresa Eléctrica Carén S.A.</t>
        </is>
      </c>
      <c r="I557" t="inlineStr">
        <is>
          <t>Empresa Eléctrica Carén S.A.</t>
        </is>
      </c>
      <c r="J557" t="inlineStr">
        <is>
          <t>SIC 2013/03_2_BS1B_BB_CHILQUINTA_Empresa Eléctrica Carén S.A.</t>
        </is>
      </c>
      <c r="K557" t="inlineStr">
        <is>
          <t>Quintero 012</t>
        </is>
      </c>
      <c r="L557" t="inlineStr">
        <is>
          <t>-1</t>
        </is>
      </c>
      <c r="M557" t="n">
        <v>350.6057516487281</v>
      </c>
      <c r="N557" t="n">
        <v>0</v>
      </c>
      <c r="O557" t="inlineStr">
        <is>
          <t>3</t>
        </is>
      </c>
      <c r="P557" s="2" t="n">
        <v>44999.6862684375</v>
      </c>
      <c r="Q557" t="n">
        <v>13</v>
      </c>
      <c r="R557" t="inlineStr">
        <is>
          <t>MELIPILLA 220</t>
        </is>
      </c>
      <c r="S557" t="n">
        <v>49.6920798466551</v>
      </c>
      <c r="T557" t="n">
        <v>4548.572207482383</v>
      </c>
      <c r="U557" t="n">
        <v>0</v>
      </c>
      <c r="V557" t="n">
        <v>0</v>
      </c>
      <c r="W557" t="inlineStr">
        <is>
          <t>CHILQUINTA</t>
        </is>
      </c>
      <c r="X557" t="n">
        <v>97.37782396384</v>
      </c>
      <c r="Y557" t="n">
        <v>4.548572207482382</v>
      </c>
      <c r="Z557" t="n">
        <v>4838.906603704662</v>
      </c>
      <c r="AA557" t="n">
        <v>0</v>
      </c>
      <c r="AB557" t="n">
        <v>0</v>
      </c>
      <c r="AC557" t="n">
        <v>0</v>
      </c>
      <c r="AD557" s="2" t="n">
        <v>44621</v>
      </c>
    </row>
    <row r="558">
      <c r="A558" t="n">
        <v>-1</v>
      </c>
      <c r="B558" t="inlineStr">
        <is>
          <t>01-03-2022</t>
        </is>
      </c>
      <c r="C558" t="n">
        <v>2022</v>
      </c>
      <c r="D558" t="n">
        <v>3</v>
      </c>
      <c r="E558" t="inlineStr">
        <is>
          <t>Quintero 012</t>
        </is>
      </c>
      <c r="F558" t="inlineStr">
        <is>
          <t>Chilquinta</t>
        </is>
      </c>
      <c r="G558" t="inlineStr">
        <is>
          <t>Chilquinta</t>
        </is>
      </c>
      <c r="H558" t="inlineStr">
        <is>
          <t>Empresa Eléctrica Carén S.A.</t>
        </is>
      </c>
      <c r="I558" t="inlineStr">
        <is>
          <t>Empresa Eléctrica Carén S.A.</t>
        </is>
      </c>
      <c r="J558" t="inlineStr">
        <is>
          <t>SIC 2013/03_2_BS1B_BB_CHILQUINTA_Empresa Eléctrica Carén S.A.</t>
        </is>
      </c>
      <c r="K558" t="inlineStr">
        <is>
          <t>Quintero 012</t>
        </is>
      </c>
      <c r="L558" t="inlineStr">
        <is>
          <t>-1</t>
        </is>
      </c>
      <c r="M558" t="n">
        <v>350.6057516487281</v>
      </c>
      <c r="N558" t="n">
        <v>0</v>
      </c>
      <c r="O558" t="inlineStr">
        <is>
          <t>3</t>
        </is>
      </c>
      <c r="P558" s="2" t="n">
        <v>44999.6862684375</v>
      </c>
      <c r="Q558" t="n">
        <v>5</v>
      </c>
      <c r="R558" t="inlineStr">
        <is>
          <t>NOGALES 220</t>
        </is>
      </c>
      <c r="S558" t="n">
        <v>76.67457991867602</v>
      </c>
      <c r="T558" t="n">
        <v>7225.317801084975</v>
      </c>
      <c r="U558" t="n">
        <v>0</v>
      </c>
      <c r="V558" t="n">
        <v>0</v>
      </c>
      <c r="W558" t="inlineStr">
        <is>
          <t>CHILQUINTA</t>
        </is>
      </c>
      <c r="X558" t="n">
        <v>100.24845662251</v>
      </c>
      <c r="Y558" t="n">
        <v>7.225317801084975</v>
      </c>
      <c r="Z558" t="n">
        <v>7686.50829902657</v>
      </c>
      <c r="AA558" t="n">
        <v>0</v>
      </c>
      <c r="AB558" t="n">
        <v>0</v>
      </c>
      <c r="AC558" t="n">
        <v>0</v>
      </c>
      <c r="AD558" s="2" t="n">
        <v>44621</v>
      </c>
    </row>
    <row r="559">
      <c r="A559" t="n">
        <v>-1</v>
      </c>
      <c r="B559" t="inlineStr">
        <is>
          <t>01-03-2022</t>
        </is>
      </c>
      <c r="C559" t="n">
        <v>2022</v>
      </c>
      <c r="D559" t="n">
        <v>3</v>
      </c>
      <c r="E559" t="inlineStr">
        <is>
          <t>Quintero 012</t>
        </is>
      </c>
      <c r="F559" t="inlineStr">
        <is>
          <t>Chilquinta</t>
        </is>
      </c>
      <c r="G559" t="inlineStr">
        <is>
          <t>Chilquinta</t>
        </is>
      </c>
      <c r="H559" t="inlineStr">
        <is>
          <t>Empresa Eléctrica Carén S.A.</t>
        </is>
      </c>
      <c r="I559" t="inlineStr">
        <is>
          <t>Empresa Eléctrica Carén S.A.</t>
        </is>
      </c>
      <c r="J559" t="inlineStr">
        <is>
          <t>SIC 2013/03_2_BS1B_BB_CHILQUINTA_Empresa Eléctrica Carén S.A.</t>
        </is>
      </c>
      <c r="K559" t="inlineStr">
        <is>
          <t>Quintero 012</t>
        </is>
      </c>
      <c r="L559" t="inlineStr">
        <is>
          <t>-1</t>
        </is>
      </c>
      <c r="M559" t="n">
        <v>350.6057516487281</v>
      </c>
      <c r="N559" t="n">
        <v>0</v>
      </c>
      <c r="O559" t="inlineStr">
        <is>
          <t>3</t>
        </is>
      </c>
      <c r="P559" s="2" t="n">
        <v>44999.6862684375</v>
      </c>
      <c r="Q559" t="n">
        <v>11</v>
      </c>
      <c r="R559" t="inlineStr">
        <is>
          <t>QUILLOTA 220</t>
        </is>
      </c>
      <c r="S559" t="n">
        <v>202.9943637651328</v>
      </c>
      <c r="T559" t="n">
        <v>18536.659515817</v>
      </c>
      <c r="U559" t="n">
        <v>0</v>
      </c>
      <c r="V559" t="n">
        <v>0</v>
      </c>
      <c r="W559" t="inlineStr">
        <is>
          <t>CHILQUINTA</t>
        </is>
      </c>
      <c r="X559" t="n">
        <v>97.14481812686</v>
      </c>
      <c r="Y559" t="n">
        <v>18.536659515817</v>
      </c>
      <c r="Z559" t="n">
        <v>19719.85054874149</v>
      </c>
      <c r="AA559" t="n">
        <v>0</v>
      </c>
      <c r="AB559" t="n">
        <v>0</v>
      </c>
      <c r="AC559" t="n">
        <v>0</v>
      </c>
      <c r="AD559" s="2" t="n">
        <v>44621</v>
      </c>
    </row>
    <row r="560">
      <c r="A560" t="n">
        <v>-1</v>
      </c>
      <c r="B560" t="inlineStr">
        <is>
          <t>01-03-2022</t>
        </is>
      </c>
      <c r="C560" t="n">
        <v>2022</v>
      </c>
      <c r="D560" t="n">
        <v>3</v>
      </c>
      <c r="E560" t="inlineStr">
        <is>
          <t>Reñaca 012</t>
        </is>
      </c>
      <c r="F560" t="inlineStr">
        <is>
          <t>Chilquinta</t>
        </is>
      </c>
      <c r="G560" t="inlineStr">
        <is>
          <t>Chilquinta</t>
        </is>
      </c>
      <c r="H560" t="inlineStr">
        <is>
          <t>Empresa Eléctrica Carén S.A.</t>
        </is>
      </c>
      <c r="I560" t="inlineStr">
        <is>
          <t>Empresa Eléctrica Carén S.A.</t>
        </is>
      </c>
      <c r="J560" t="inlineStr">
        <is>
          <t>SIC 2013/03_2_BS1B_BB_CHILQUINTA_Empresa Eléctrica Carén S.A.</t>
        </is>
      </c>
      <c r="K560" t="inlineStr">
        <is>
          <t>Reñaca 012</t>
        </is>
      </c>
      <c r="L560" t="inlineStr">
        <is>
          <t>-1</t>
        </is>
      </c>
      <c r="M560" t="n">
        <v>868.4083060221059</v>
      </c>
      <c r="N560" t="n">
        <v>0</v>
      </c>
      <c r="O560" t="inlineStr">
        <is>
          <t>3</t>
        </is>
      </c>
      <c r="P560" s="2" t="n">
        <v>44999.6862684375</v>
      </c>
      <c r="Q560" t="n">
        <v>31</v>
      </c>
      <c r="R560" t="inlineStr">
        <is>
          <t>LOS MAQUIS 220</t>
        </is>
      </c>
      <c r="S560" t="n">
        <v>84.99853555418197</v>
      </c>
      <c r="T560" t="n">
        <v>7694.716577542525</v>
      </c>
      <c r="U560" t="n">
        <v>0</v>
      </c>
      <c r="V560" t="n">
        <v>0</v>
      </c>
      <c r="W560" t="inlineStr">
        <is>
          <t>CHILQUINTA</t>
        </is>
      </c>
      <c r="X560" t="n">
        <v>96.30599687562001</v>
      </c>
      <c r="Y560" t="n">
        <v>7.694716577542525</v>
      </c>
      <c r="Z560" t="n">
        <v>8185.868699513325</v>
      </c>
      <c r="AA560" t="n">
        <v>0</v>
      </c>
      <c r="AB560" t="n">
        <v>0</v>
      </c>
      <c r="AC560" t="n">
        <v>0</v>
      </c>
      <c r="AD560" s="2" t="n">
        <v>44621</v>
      </c>
    </row>
    <row r="561">
      <c r="A561" t="n">
        <v>-1</v>
      </c>
      <c r="B561" t="inlineStr">
        <is>
          <t>01-03-2022</t>
        </is>
      </c>
      <c r="C561" t="n">
        <v>2022</v>
      </c>
      <c r="D561" t="n">
        <v>3</v>
      </c>
      <c r="E561" t="inlineStr">
        <is>
          <t>Reñaca 012</t>
        </is>
      </c>
      <c r="F561" t="inlineStr">
        <is>
          <t>Chilquinta</t>
        </is>
      </c>
      <c r="G561" t="inlineStr">
        <is>
          <t>Chilquinta</t>
        </is>
      </c>
      <c r="H561" t="inlineStr">
        <is>
          <t>Empresa Eléctrica Carén S.A.</t>
        </is>
      </c>
      <c r="I561" t="inlineStr">
        <is>
          <t>Empresa Eléctrica Carén S.A.</t>
        </is>
      </c>
      <c r="J561" t="inlineStr">
        <is>
          <t>SIC 2013/03_2_BS1B_BB_CHILQUINTA_Empresa Eléctrica Carén S.A.</t>
        </is>
      </c>
      <c r="K561" t="inlineStr">
        <is>
          <t>Reñaca 012</t>
        </is>
      </c>
      <c r="L561" t="inlineStr">
        <is>
          <t>-1</t>
        </is>
      </c>
      <c r="M561" t="n">
        <v>868.4083060221059</v>
      </c>
      <c r="N561" t="n">
        <v>0</v>
      </c>
      <c r="O561" t="inlineStr">
        <is>
          <t>3</t>
        </is>
      </c>
      <c r="P561" s="2" t="n">
        <v>44999.6862684375</v>
      </c>
      <c r="Q561" t="n">
        <v>13</v>
      </c>
      <c r="R561" t="inlineStr">
        <is>
          <t>MELIPILLA 220</t>
        </is>
      </c>
      <c r="S561" t="n">
        <v>165.5671800045629</v>
      </c>
      <c r="T561" t="n">
        <v>15155.21740615331</v>
      </c>
      <c r="U561" t="n">
        <v>0</v>
      </c>
      <c r="V561" t="n">
        <v>0</v>
      </c>
      <c r="W561" t="inlineStr">
        <is>
          <t>CHILQUINTA</t>
        </is>
      </c>
      <c r="X561" t="n">
        <v>97.37782396384</v>
      </c>
      <c r="Y561" t="n">
        <v>15.15521740615331</v>
      </c>
      <c r="Z561" t="n">
        <v>16122.57170867374</v>
      </c>
      <c r="AA561" t="n">
        <v>0</v>
      </c>
      <c r="AB561" t="n">
        <v>0</v>
      </c>
      <c r="AC561" t="n">
        <v>0</v>
      </c>
      <c r="AD561" s="2" t="n">
        <v>44621</v>
      </c>
    </row>
    <row r="562">
      <c r="A562" t="n">
        <v>-1</v>
      </c>
      <c r="B562" t="inlineStr">
        <is>
          <t>01-03-2022</t>
        </is>
      </c>
      <c r="C562" t="n">
        <v>2022</v>
      </c>
      <c r="D562" t="n">
        <v>3</v>
      </c>
      <c r="E562" t="inlineStr">
        <is>
          <t>Reñaca 012</t>
        </is>
      </c>
      <c r="F562" t="inlineStr">
        <is>
          <t>Chilquinta</t>
        </is>
      </c>
      <c r="G562" t="inlineStr">
        <is>
          <t>Chilquinta</t>
        </is>
      </c>
      <c r="H562" t="inlineStr">
        <is>
          <t>Empresa Eléctrica Carén S.A.</t>
        </is>
      </c>
      <c r="I562" t="inlineStr">
        <is>
          <t>Empresa Eléctrica Carén S.A.</t>
        </is>
      </c>
      <c r="J562" t="inlineStr">
        <is>
          <t>SIC 2013/03_2_BS1B_BB_CHILQUINTA_Empresa Eléctrica Carén S.A.</t>
        </is>
      </c>
      <c r="K562" t="inlineStr">
        <is>
          <t>Reñaca 012</t>
        </is>
      </c>
      <c r="L562" t="inlineStr">
        <is>
          <t>-1</t>
        </is>
      </c>
      <c r="M562" t="n">
        <v>868.4083060221059</v>
      </c>
      <c r="N562" t="n">
        <v>0</v>
      </c>
      <c r="O562" t="inlineStr">
        <is>
          <t>3</t>
        </is>
      </c>
      <c r="P562" s="2" t="n">
        <v>44999.6862684375</v>
      </c>
      <c r="Q562" t="n">
        <v>5</v>
      </c>
      <c r="R562" t="inlineStr">
        <is>
          <t>NOGALES 220</t>
        </is>
      </c>
      <c r="S562" t="n">
        <v>155.8410682867418</v>
      </c>
      <c r="T562" t="n">
        <v>14685.45697970011</v>
      </c>
      <c r="U562" t="n">
        <v>0</v>
      </c>
      <c r="V562" t="n">
        <v>0</v>
      </c>
      <c r="W562" t="inlineStr">
        <is>
          <t>CHILQUINTA</t>
        </is>
      </c>
      <c r="X562" t="n">
        <v>100.24845662251</v>
      </c>
      <c r="Y562" t="n">
        <v>14.68545697970011</v>
      </c>
      <c r="Z562" t="n">
        <v>15622.82657414905</v>
      </c>
      <c r="AA562" t="n">
        <v>0</v>
      </c>
      <c r="AB562" t="n">
        <v>0</v>
      </c>
      <c r="AC562" t="n">
        <v>0</v>
      </c>
      <c r="AD562" s="2" t="n">
        <v>44621</v>
      </c>
    </row>
    <row r="563">
      <c r="A563" t="n">
        <v>-1</v>
      </c>
      <c r="B563" t="inlineStr">
        <is>
          <t>01-03-2022</t>
        </is>
      </c>
      <c r="C563" t="n">
        <v>2022</v>
      </c>
      <c r="D563" t="n">
        <v>3</v>
      </c>
      <c r="E563" t="inlineStr">
        <is>
          <t>Reñaca 012</t>
        </is>
      </c>
      <c r="F563" t="inlineStr">
        <is>
          <t>Chilquinta</t>
        </is>
      </c>
      <c r="G563" t="inlineStr">
        <is>
          <t>Chilquinta</t>
        </is>
      </c>
      <c r="H563" t="inlineStr">
        <is>
          <t>Empresa Eléctrica Carén S.A.</t>
        </is>
      </c>
      <c r="I563" t="inlineStr">
        <is>
          <t>Empresa Eléctrica Carén S.A.</t>
        </is>
      </c>
      <c r="J563" t="inlineStr">
        <is>
          <t>SIC 2013/03_2_BS1B_BB_CHILQUINTA_Empresa Eléctrica Carén S.A.</t>
        </is>
      </c>
      <c r="K563" t="inlineStr">
        <is>
          <t>Reñaca 012</t>
        </is>
      </c>
      <c r="L563" t="inlineStr">
        <is>
          <t>-1</t>
        </is>
      </c>
      <c r="M563" t="n">
        <v>868.4083060221059</v>
      </c>
      <c r="N563" t="n">
        <v>0</v>
      </c>
      <c r="O563" t="inlineStr">
        <is>
          <t>3</t>
        </is>
      </c>
      <c r="P563" s="2" t="n">
        <v>44999.6862684375</v>
      </c>
      <c r="Q563" t="n">
        <v>11</v>
      </c>
      <c r="R563" t="inlineStr">
        <is>
          <t>QUILLOTA 220</t>
        </is>
      </c>
      <c r="S563" t="n">
        <v>486.7164225660083</v>
      </c>
      <c r="T563" t="n">
        <v>44445.05964855897</v>
      </c>
      <c r="U563" t="n">
        <v>0</v>
      </c>
      <c r="V563" t="n">
        <v>0</v>
      </c>
      <c r="W563" t="inlineStr">
        <is>
          <t>CHILQUINTA</t>
        </is>
      </c>
      <c r="X563" t="n">
        <v>97.14481812686002</v>
      </c>
      <c r="Y563" t="n">
        <v>44.44505964855897</v>
      </c>
      <c r="Z563" t="n">
        <v>47281.97834953082</v>
      </c>
      <c r="AA563" t="n">
        <v>0</v>
      </c>
      <c r="AB563" t="n">
        <v>0</v>
      </c>
      <c r="AC563" t="n">
        <v>0</v>
      </c>
      <c r="AD563" s="2" t="n">
        <v>44621</v>
      </c>
    </row>
    <row r="564">
      <c r="A564" t="n">
        <v>-1</v>
      </c>
      <c r="B564" t="inlineStr">
        <is>
          <t>01-03-2022</t>
        </is>
      </c>
      <c r="C564" t="n">
        <v>2022</v>
      </c>
      <c r="D564" t="n">
        <v>3</v>
      </c>
      <c r="E564" t="inlineStr">
        <is>
          <t>Rio Blanco 012</t>
        </is>
      </c>
      <c r="F564" t="inlineStr">
        <is>
          <t>Chilquinta</t>
        </is>
      </c>
      <c r="G564" t="inlineStr">
        <is>
          <t>Chilquinta</t>
        </is>
      </c>
      <c r="H564" t="inlineStr">
        <is>
          <t>Empresa Eléctrica Carén S.A.</t>
        </is>
      </c>
      <c r="I564" t="inlineStr">
        <is>
          <t>Empresa Eléctrica Carén S.A.</t>
        </is>
      </c>
      <c r="J564" t="inlineStr">
        <is>
          <t>SIC 2013/03_2_BS1B_BB_CHILQUINTA_Empresa Eléctrica Carén S.A.</t>
        </is>
      </c>
      <c r="K564" t="inlineStr">
        <is>
          <t>Rio Blanco 012</t>
        </is>
      </c>
      <c r="L564" t="inlineStr">
        <is>
          <t>-1</t>
        </is>
      </c>
      <c r="M564" t="n">
        <v>10.31973962123901</v>
      </c>
      <c r="N564" t="n">
        <v>0</v>
      </c>
      <c r="O564" t="inlineStr">
        <is>
          <t>3</t>
        </is>
      </c>
      <c r="P564" s="2" t="n">
        <v>44999.6862684375</v>
      </c>
      <c r="Q564" t="n">
        <v>31</v>
      </c>
      <c r="R564" t="inlineStr">
        <is>
          <t>LOS MAQUIS 220</t>
        </is>
      </c>
      <c r="S564" t="n">
        <v>6.708330514027836</v>
      </c>
      <c r="T564" t="n">
        <v>607.2893100731155</v>
      </c>
      <c r="U564" t="n">
        <v>0</v>
      </c>
      <c r="V564" t="n">
        <v>0</v>
      </c>
      <c r="W564" t="inlineStr">
        <is>
          <t>CHILQUINTA</t>
        </is>
      </c>
      <c r="X564" t="n">
        <v>96.30599687562001</v>
      </c>
      <c r="Y564" t="n">
        <v>0.6072893100731156</v>
      </c>
      <c r="Z564" t="n">
        <v>646.052457524591</v>
      </c>
      <c r="AA564" t="n">
        <v>0</v>
      </c>
      <c r="AB564" t="n">
        <v>0</v>
      </c>
      <c r="AC564" t="n">
        <v>0</v>
      </c>
      <c r="AD564" s="2" t="n">
        <v>44621</v>
      </c>
    </row>
    <row r="565">
      <c r="A565" t="n">
        <v>-1</v>
      </c>
      <c r="B565" t="inlineStr">
        <is>
          <t>01-03-2022</t>
        </is>
      </c>
      <c r="C565" t="n">
        <v>2022</v>
      </c>
      <c r="D565" t="n">
        <v>3</v>
      </c>
      <c r="E565" t="inlineStr">
        <is>
          <t>Rio Blanco 012</t>
        </is>
      </c>
      <c r="F565" t="inlineStr">
        <is>
          <t>Chilquinta</t>
        </is>
      </c>
      <c r="G565" t="inlineStr">
        <is>
          <t>Chilquinta</t>
        </is>
      </c>
      <c r="H565" t="inlineStr">
        <is>
          <t>Empresa Eléctrica Carén S.A.</t>
        </is>
      </c>
      <c r="I565" t="inlineStr">
        <is>
          <t>Empresa Eléctrica Carén S.A.</t>
        </is>
      </c>
      <c r="J565" t="inlineStr">
        <is>
          <t>SIC 2013/03_2_BS1B_BB_CHILQUINTA_Empresa Eléctrica Carén S.A.</t>
        </is>
      </c>
      <c r="K565" t="inlineStr">
        <is>
          <t>Rio Blanco 012</t>
        </is>
      </c>
      <c r="L565" t="inlineStr">
        <is>
          <t>-1</t>
        </is>
      </c>
      <c r="M565" t="n">
        <v>10.31973962123901</v>
      </c>
      <c r="N565" t="n">
        <v>0</v>
      </c>
      <c r="O565" t="inlineStr">
        <is>
          <t>3</t>
        </is>
      </c>
      <c r="P565" s="2" t="n">
        <v>44999.6862684375</v>
      </c>
      <c r="Q565" t="n">
        <v>5</v>
      </c>
      <c r="R565" t="inlineStr">
        <is>
          <t>NOGALES 220</t>
        </is>
      </c>
      <c r="S565" t="n">
        <v>0.5929728598847185</v>
      </c>
      <c r="T565" t="n">
        <v>55.87793718113016</v>
      </c>
      <c r="U565" t="n">
        <v>0</v>
      </c>
      <c r="V565" t="n">
        <v>0</v>
      </c>
      <c r="W565" t="inlineStr">
        <is>
          <t>CHILQUINTA</t>
        </is>
      </c>
      <c r="X565" t="n">
        <v>100.24845662251</v>
      </c>
      <c r="Y565" t="n">
        <v>0.05587793718113016</v>
      </c>
      <c r="Z565" t="n">
        <v>59.4446140224789</v>
      </c>
      <c r="AA565" t="n">
        <v>0</v>
      </c>
      <c r="AB565" t="n">
        <v>0</v>
      </c>
      <c r="AC565" t="n">
        <v>0</v>
      </c>
      <c r="AD565" s="2" t="n">
        <v>44621</v>
      </c>
    </row>
    <row r="566">
      <c r="A566" t="n">
        <v>-1</v>
      </c>
      <c r="B566" t="inlineStr">
        <is>
          <t>01-03-2022</t>
        </is>
      </c>
      <c r="C566" t="n">
        <v>2022</v>
      </c>
      <c r="D566" t="n">
        <v>3</v>
      </c>
      <c r="E566" t="inlineStr">
        <is>
          <t>Rio Blanco 012</t>
        </is>
      </c>
      <c r="F566" t="inlineStr">
        <is>
          <t>Chilquinta</t>
        </is>
      </c>
      <c r="G566" t="inlineStr">
        <is>
          <t>Chilquinta</t>
        </is>
      </c>
      <c r="H566" t="inlineStr">
        <is>
          <t>Empresa Eléctrica Carén S.A.</t>
        </is>
      </c>
      <c r="I566" t="inlineStr">
        <is>
          <t>Empresa Eléctrica Carén S.A.</t>
        </is>
      </c>
      <c r="J566" t="inlineStr">
        <is>
          <t>SIC 2013/03_2_BS1B_BB_CHILQUINTA_Empresa Eléctrica Carén S.A.</t>
        </is>
      </c>
      <c r="K566" t="inlineStr">
        <is>
          <t>Rio Blanco 012</t>
        </is>
      </c>
      <c r="L566" t="inlineStr">
        <is>
          <t>-1</t>
        </is>
      </c>
      <c r="M566" t="n">
        <v>10.31973962123901</v>
      </c>
      <c r="N566" t="n">
        <v>0</v>
      </c>
      <c r="O566" t="inlineStr">
        <is>
          <t>3</t>
        </is>
      </c>
      <c r="P566" s="2" t="n">
        <v>44999.6862684375</v>
      </c>
      <c r="Q566" t="n">
        <v>11</v>
      </c>
      <c r="R566" t="inlineStr">
        <is>
          <t>QUILLOTA 220</t>
        </is>
      </c>
      <c r="S566" t="n">
        <v>3.312136036946915</v>
      </c>
      <c r="T566" t="n">
        <v>302.4514417453893</v>
      </c>
      <c r="U566" t="n">
        <v>0</v>
      </c>
      <c r="V566" t="n">
        <v>0</v>
      </c>
      <c r="W566" t="inlineStr">
        <is>
          <t>CHILQUINTA</t>
        </is>
      </c>
      <c r="X566" t="n">
        <v>97.14481812686</v>
      </c>
      <c r="Y566" t="n">
        <v>0.3024514417453892</v>
      </c>
      <c r="Z566" t="n">
        <v>321.756852920627</v>
      </c>
      <c r="AA566" t="n">
        <v>0</v>
      </c>
      <c r="AB566" t="n">
        <v>0</v>
      </c>
      <c r="AC566" t="n">
        <v>0</v>
      </c>
      <c r="AD566" s="2" t="n">
        <v>44621</v>
      </c>
    </row>
    <row r="567">
      <c r="A567" t="n">
        <v>-1</v>
      </c>
      <c r="B567" t="inlineStr">
        <is>
          <t>01-03-2022</t>
        </is>
      </c>
      <c r="C567" t="n">
        <v>2022</v>
      </c>
      <c r="D567" t="n">
        <v>3</v>
      </c>
      <c r="E567" t="inlineStr">
        <is>
          <t>San Antonio 012</t>
        </is>
      </c>
      <c r="F567" t="inlineStr">
        <is>
          <t>Chilquinta</t>
        </is>
      </c>
      <c r="G567" t="inlineStr">
        <is>
          <t>Chilquinta</t>
        </is>
      </c>
      <c r="H567" t="inlineStr">
        <is>
          <t>Empresa Eléctrica Carén S.A.</t>
        </is>
      </c>
      <c r="I567" t="inlineStr">
        <is>
          <t>Empresa Eléctrica Carén S.A.</t>
        </is>
      </c>
      <c r="J567" t="inlineStr">
        <is>
          <t>SIC 2013/03_2_BS1B_BB_CHILQUINTA_Empresa Eléctrica Carén S.A.</t>
        </is>
      </c>
      <c r="K567" t="inlineStr">
        <is>
          <t>San Antonio 012</t>
        </is>
      </c>
      <c r="L567" t="inlineStr">
        <is>
          <t>-1</t>
        </is>
      </c>
      <c r="M567" t="n">
        <v>1086.818950327324</v>
      </c>
      <c r="N567" t="n">
        <v>0</v>
      </c>
      <c r="O567" t="inlineStr">
        <is>
          <t>3</t>
        </is>
      </c>
      <c r="P567" s="2" t="n">
        <v>44999.6862684375</v>
      </c>
      <c r="Q567" t="n">
        <v>31</v>
      </c>
      <c r="R567" t="inlineStr">
        <is>
          <t>LOS MAQUIS 220</t>
        </is>
      </c>
      <c r="S567" t="n">
        <v>0.05588749088268199</v>
      </c>
      <c r="T567" t="n">
        <v>5.059362490993784</v>
      </c>
      <c r="U567" t="n">
        <v>0</v>
      </c>
      <c r="V567" t="n">
        <v>0</v>
      </c>
      <c r="W567" t="inlineStr">
        <is>
          <t>CHILQUINTA</t>
        </is>
      </c>
      <c r="X567" t="n">
        <v>96.30599687562</v>
      </c>
      <c r="Y567" t="n">
        <v>0.005059362490993785</v>
      </c>
      <c r="Z567" t="n">
        <v>5.382300522333813</v>
      </c>
      <c r="AA567" t="n">
        <v>0</v>
      </c>
      <c r="AB567" t="n">
        <v>0</v>
      </c>
      <c r="AC567" t="n">
        <v>0</v>
      </c>
      <c r="AD567" s="2" t="n">
        <v>44621</v>
      </c>
    </row>
    <row r="568">
      <c r="A568" t="n">
        <v>-1</v>
      </c>
      <c r="B568" t="inlineStr">
        <is>
          <t>01-03-2022</t>
        </is>
      </c>
      <c r="C568" t="n">
        <v>2022</v>
      </c>
      <c r="D568" t="n">
        <v>3</v>
      </c>
      <c r="E568" t="inlineStr">
        <is>
          <t>San Antonio 012</t>
        </is>
      </c>
      <c r="F568" t="inlineStr">
        <is>
          <t>Chilquinta</t>
        </is>
      </c>
      <c r="G568" t="inlineStr">
        <is>
          <t>Chilquinta</t>
        </is>
      </c>
      <c r="H568" t="inlineStr">
        <is>
          <t>Empresa Eléctrica Carén S.A.</t>
        </is>
      </c>
      <c r="I568" t="inlineStr">
        <is>
          <t>Empresa Eléctrica Carén S.A.</t>
        </is>
      </c>
      <c r="J568" t="inlineStr">
        <is>
          <t>SIC 2013/03_2_BS1B_BB_CHILQUINTA_Empresa Eléctrica Carén S.A.</t>
        </is>
      </c>
      <c r="K568" t="inlineStr">
        <is>
          <t>San Antonio 012</t>
        </is>
      </c>
      <c r="L568" t="inlineStr">
        <is>
          <t>-1</t>
        </is>
      </c>
      <c r="M568" t="n">
        <v>1086.818950327324</v>
      </c>
      <c r="N568" t="n">
        <v>0</v>
      </c>
      <c r="O568" t="inlineStr">
        <is>
          <t>3</t>
        </is>
      </c>
      <c r="P568" s="2" t="n">
        <v>44999.6862684375</v>
      </c>
      <c r="Q568" t="n">
        <v>13</v>
      </c>
      <c r="R568" t="inlineStr">
        <is>
          <t>MELIPILLA 220</t>
        </is>
      </c>
      <c r="S568" t="n">
        <v>1115.726690483687</v>
      </c>
      <c r="T568" t="n">
        <v>102128.2150222175</v>
      </c>
      <c r="U568" t="n">
        <v>0</v>
      </c>
      <c r="V568" t="n">
        <v>0</v>
      </c>
      <c r="W568" t="inlineStr">
        <is>
          <t>CHILQUINTA</t>
        </is>
      </c>
      <c r="X568" t="n">
        <v>97.37782396384</v>
      </c>
      <c r="Y568" t="n">
        <v>102.1282150222175</v>
      </c>
      <c r="Z568" t="n">
        <v>108647.0372576782</v>
      </c>
      <c r="AA568" t="n">
        <v>0</v>
      </c>
      <c r="AB568" t="n">
        <v>0</v>
      </c>
      <c r="AC568" t="n">
        <v>0</v>
      </c>
      <c r="AD568" s="2" t="n">
        <v>44621</v>
      </c>
    </row>
    <row r="569">
      <c r="A569" t="n">
        <v>-1</v>
      </c>
      <c r="B569" t="inlineStr">
        <is>
          <t>01-03-2022</t>
        </is>
      </c>
      <c r="C569" t="n">
        <v>2022</v>
      </c>
      <c r="D569" t="n">
        <v>3</v>
      </c>
      <c r="E569" t="inlineStr">
        <is>
          <t>San Antonio 012</t>
        </is>
      </c>
      <c r="F569" t="inlineStr">
        <is>
          <t>Chilquinta</t>
        </is>
      </c>
      <c r="G569" t="inlineStr">
        <is>
          <t>Chilquinta</t>
        </is>
      </c>
      <c r="H569" t="inlineStr">
        <is>
          <t>Empresa Eléctrica Carén S.A.</t>
        </is>
      </c>
      <c r="I569" t="inlineStr">
        <is>
          <t>Empresa Eléctrica Carén S.A.</t>
        </is>
      </c>
      <c r="J569" t="inlineStr">
        <is>
          <t>SIC 2013/03_2_BS1B_BB_CHILQUINTA_Empresa Eléctrica Carén S.A.</t>
        </is>
      </c>
      <c r="K569" t="inlineStr">
        <is>
          <t>San Antonio 012</t>
        </is>
      </c>
      <c r="L569" t="inlineStr">
        <is>
          <t>-1</t>
        </is>
      </c>
      <c r="M569" t="n">
        <v>1086.818950327324</v>
      </c>
      <c r="N569" t="n">
        <v>0</v>
      </c>
      <c r="O569" t="inlineStr">
        <is>
          <t>3</t>
        </is>
      </c>
      <c r="P569" s="2" t="n">
        <v>44999.6862684375</v>
      </c>
      <c r="Q569" t="n">
        <v>5</v>
      </c>
      <c r="R569" t="inlineStr">
        <is>
          <t>NOGALES 220</t>
        </is>
      </c>
      <c r="S569" t="n">
        <v>0.3912124361787739</v>
      </c>
      <c r="T569" t="n">
        <v>36.86533636214702</v>
      </c>
      <c r="U569" t="n">
        <v>0</v>
      </c>
      <c r="V569" t="n">
        <v>0</v>
      </c>
      <c r="W569" t="inlineStr">
        <is>
          <t>CHILQUINTA</t>
        </is>
      </c>
      <c r="X569" t="n">
        <v>100.24845662251</v>
      </c>
      <c r="Y569" t="n">
        <v>0.03686533636214702</v>
      </c>
      <c r="Z569" t="n">
        <v>39.21844293845428</v>
      </c>
      <c r="AA569" t="n">
        <v>0</v>
      </c>
      <c r="AB569" t="n">
        <v>0</v>
      </c>
      <c r="AC569" t="n">
        <v>0</v>
      </c>
      <c r="AD569" s="2" t="n">
        <v>44621</v>
      </c>
    </row>
    <row r="570">
      <c r="A570" t="n">
        <v>-1</v>
      </c>
      <c r="B570" t="inlineStr">
        <is>
          <t>01-03-2022</t>
        </is>
      </c>
      <c r="C570" t="n">
        <v>2022</v>
      </c>
      <c r="D570" t="n">
        <v>3</v>
      </c>
      <c r="E570" t="inlineStr">
        <is>
          <t>San Antonio 012</t>
        </is>
      </c>
      <c r="F570" t="inlineStr">
        <is>
          <t>Chilquinta</t>
        </is>
      </c>
      <c r="G570" t="inlineStr">
        <is>
          <t>Chilquinta</t>
        </is>
      </c>
      <c r="H570" t="inlineStr">
        <is>
          <t>Empresa Eléctrica Carén S.A.</t>
        </is>
      </c>
      <c r="I570" t="inlineStr">
        <is>
          <t>Empresa Eléctrica Carén S.A.</t>
        </is>
      </c>
      <c r="J570" t="inlineStr">
        <is>
          <t>SIC 2013/03_2_BS1B_BB_CHILQUINTA_Empresa Eléctrica Carén S.A.</t>
        </is>
      </c>
      <c r="K570" t="inlineStr">
        <is>
          <t>San Antonio 012</t>
        </is>
      </c>
      <c r="L570" t="inlineStr">
        <is>
          <t>-1</t>
        </is>
      </c>
      <c r="M570" t="n">
        <v>1086.818950327324</v>
      </c>
      <c r="N570" t="n">
        <v>0</v>
      </c>
      <c r="O570" t="inlineStr">
        <is>
          <t>3</t>
        </is>
      </c>
      <c r="P570" s="2" t="n">
        <v>44999.6862684375</v>
      </c>
      <c r="Q570" t="n">
        <v>11</v>
      </c>
      <c r="R570" t="inlineStr">
        <is>
          <t>QUILLOTA 220</t>
        </is>
      </c>
      <c r="S570" t="n">
        <v>1.576027242891632</v>
      </c>
      <c r="T570" t="n">
        <v>143.9167070812632</v>
      </c>
      <c r="U570" t="n">
        <v>0</v>
      </c>
      <c r="V570" t="n">
        <v>0</v>
      </c>
      <c r="W570" t="inlineStr">
        <is>
          <t>CHILQUINTA</t>
        </is>
      </c>
      <c r="X570" t="n">
        <v>97.14481812686</v>
      </c>
      <c r="Y570" t="n">
        <v>0.1439167070812632</v>
      </c>
      <c r="Z570" t="n">
        <v>153.1028798736842</v>
      </c>
      <c r="AA570" t="n">
        <v>0</v>
      </c>
      <c r="AB570" t="n">
        <v>0</v>
      </c>
      <c r="AC570" t="n">
        <v>0</v>
      </c>
      <c r="AD570" s="2" t="n">
        <v>44621</v>
      </c>
    </row>
    <row r="571">
      <c r="A571" t="n">
        <v>-1</v>
      </c>
      <c r="B571" t="inlineStr">
        <is>
          <t>01-03-2022</t>
        </is>
      </c>
      <c r="C571" t="n">
        <v>2022</v>
      </c>
      <c r="D571" t="n">
        <v>3</v>
      </c>
      <c r="E571" t="inlineStr">
        <is>
          <t>San Felipe 012</t>
        </is>
      </c>
      <c r="F571" t="inlineStr">
        <is>
          <t>Chilquinta</t>
        </is>
      </c>
      <c r="G571" t="inlineStr">
        <is>
          <t>Chilquinta</t>
        </is>
      </c>
      <c r="H571" t="inlineStr">
        <is>
          <t>Empresa Eléctrica Carén S.A.</t>
        </is>
      </c>
      <c r="I571" t="inlineStr">
        <is>
          <t>Empresa Eléctrica Carén S.A.</t>
        </is>
      </c>
      <c r="J571" t="inlineStr">
        <is>
          <t>SIC 2013/03_2_BS1B_BB_CHILQUINTA_Empresa Eléctrica Carén S.A.</t>
        </is>
      </c>
      <c r="K571" t="inlineStr">
        <is>
          <t>San Felipe 012</t>
        </is>
      </c>
      <c r="L571" t="inlineStr">
        <is>
          <t>-1</t>
        </is>
      </c>
      <c r="M571" t="n">
        <v>1020.982772142469</v>
      </c>
      <c r="N571" t="n">
        <v>0</v>
      </c>
      <c r="O571" t="inlineStr">
        <is>
          <t>3</t>
        </is>
      </c>
      <c r="P571" s="2" t="n">
        <v>44999.6862684375</v>
      </c>
      <c r="Q571" t="n">
        <v>31</v>
      </c>
      <c r="R571" t="inlineStr">
        <is>
          <t>LOS MAQUIS 220</t>
        </is>
      </c>
      <c r="S571" t="n">
        <v>755.6612441434603</v>
      </c>
      <c r="T571" t="n">
        <v>68408.22685245678</v>
      </c>
      <c r="U571" t="n">
        <v>0</v>
      </c>
      <c r="V571" t="n">
        <v>0</v>
      </c>
      <c r="W571" t="inlineStr">
        <is>
          <t>CHILQUINTA</t>
        </is>
      </c>
      <c r="X571" t="n">
        <v>96.30599687562001</v>
      </c>
      <c r="Y571" t="n">
        <v>68.40822685245678</v>
      </c>
      <c r="Z571" t="n">
        <v>72774.70941750721</v>
      </c>
      <c r="AA571" t="n">
        <v>0</v>
      </c>
      <c r="AB571" t="n">
        <v>0</v>
      </c>
      <c r="AC571" t="n">
        <v>0</v>
      </c>
      <c r="AD571" s="2" t="n">
        <v>44621</v>
      </c>
    </row>
    <row r="572">
      <c r="A572" t="n">
        <v>-1</v>
      </c>
      <c r="B572" t="inlineStr">
        <is>
          <t>01-03-2022</t>
        </is>
      </c>
      <c r="C572" t="n">
        <v>2022</v>
      </c>
      <c r="D572" t="n">
        <v>3</v>
      </c>
      <c r="E572" t="inlineStr">
        <is>
          <t>San Felipe 012</t>
        </is>
      </c>
      <c r="F572" t="inlineStr">
        <is>
          <t>Chilquinta</t>
        </is>
      </c>
      <c r="G572" t="inlineStr">
        <is>
          <t>Chilquinta</t>
        </is>
      </c>
      <c r="H572" t="inlineStr">
        <is>
          <t>Empresa Eléctrica Carén S.A.</t>
        </is>
      </c>
      <c r="I572" t="inlineStr">
        <is>
          <t>Empresa Eléctrica Carén S.A.</t>
        </is>
      </c>
      <c r="J572" t="inlineStr">
        <is>
          <t>SIC 2013/03_2_BS1B_BB_CHILQUINTA_Empresa Eléctrica Carén S.A.</t>
        </is>
      </c>
      <c r="K572" t="inlineStr">
        <is>
          <t>San Felipe 012</t>
        </is>
      </c>
      <c r="L572" t="inlineStr">
        <is>
          <t>-1</t>
        </is>
      </c>
      <c r="M572" t="n">
        <v>1020.982772142469</v>
      </c>
      <c r="N572" t="n">
        <v>0</v>
      </c>
      <c r="O572" t="inlineStr">
        <is>
          <t>3</t>
        </is>
      </c>
      <c r="P572" s="2" t="n">
        <v>44999.6862684375</v>
      </c>
      <c r="Q572" t="n">
        <v>13</v>
      </c>
      <c r="R572" t="inlineStr">
        <is>
          <t>MELIPILLA 220</t>
        </is>
      </c>
      <c r="S572" t="n">
        <v>24.88594662155215</v>
      </c>
      <c r="T572" t="n">
        <v>2277.938969529803</v>
      </c>
      <c r="U572" t="n">
        <v>0</v>
      </c>
      <c r="V572" t="n">
        <v>0</v>
      </c>
      <c r="W572" t="inlineStr">
        <is>
          <t>CHILQUINTA</t>
        </is>
      </c>
      <c r="X572" t="n">
        <v>97.37782396383999</v>
      </c>
      <c r="Y572" t="n">
        <v>2.277938969529802</v>
      </c>
      <c r="Z572" t="n">
        <v>2423.339329287024</v>
      </c>
      <c r="AA572" t="n">
        <v>0</v>
      </c>
      <c r="AB572" t="n">
        <v>0</v>
      </c>
      <c r="AC572" t="n">
        <v>0</v>
      </c>
      <c r="AD572" s="2" t="n">
        <v>44621</v>
      </c>
    </row>
    <row r="573">
      <c r="A573" t="n">
        <v>-1</v>
      </c>
      <c r="B573" t="inlineStr">
        <is>
          <t>01-03-2022</t>
        </is>
      </c>
      <c r="C573" t="n">
        <v>2022</v>
      </c>
      <c r="D573" t="n">
        <v>3</v>
      </c>
      <c r="E573" t="inlineStr">
        <is>
          <t>San Felipe 012</t>
        </is>
      </c>
      <c r="F573" t="inlineStr">
        <is>
          <t>Chilquinta</t>
        </is>
      </c>
      <c r="G573" t="inlineStr">
        <is>
          <t>Chilquinta</t>
        </is>
      </c>
      <c r="H573" t="inlineStr">
        <is>
          <t>Empresa Eléctrica Carén S.A.</t>
        </is>
      </c>
      <c r="I573" t="inlineStr">
        <is>
          <t>Empresa Eléctrica Carén S.A.</t>
        </is>
      </c>
      <c r="J573" t="inlineStr">
        <is>
          <t>SIC 2013/03_2_BS1B_BB_CHILQUINTA_Empresa Eléctrica Carén S.A.</t>
        </is>
      </c>
      <c r="K573" t="inlineStr">
        <is>
          <t>San Felipe 012</t>
        </is>
      </c>
      <c r="L573" t="inlineStr">
        <is>
          <t>-1</t>
        </is>
      </c>
      <c r="M573" t="n">
        <v>1020.982772142469</v>
      </c>
      <c r="N573" t="n">
        <v>0</v>
      </c>
      <c r="O573" t="inlineStr">
        <is>
          <t>3</t>
        </is>
      </c>
      <c r="P573" s="2" t="n">
        <v>44999.6862684375</v>
      </c>
      <c r="Q573" t="n">
        <v>5</v>
      </c>
      <c r="R573" t="inlineStr">
        <is>
          <t>NOGALES 220</t>
        </is>
      </c>
      <c r="S573" t="n">
        <v>63.76892566780009</v>
      </c>
      <c r="T573" t="n">
        <v>6009.172195952171</v>
      </c>
      <c r="U573" t="n">
        <v>0</v>
      </c>
      <c r="V573" t="n">
        <v>0</v>
      </c>
      <c r="W573" t="inlineStr">
        <is>
          <t>CHILQUINTA</t>
        </is>
      </c>
      <c r="X573" t="n">
        <v>100.24845662251</v>
      </c>
      <c r="Y573" t="n">
        <v>6.009172195952171</v>
      </c>
      <c r="Z573" t="n">
        <v>6392.736378672523</v>
      </c>
      <c r="AA573" t="n">
        <v>0</v>
      </c>
      <c r="AB573" t="n">
        <v>0</v>
      </c>
      <c r="AC573" t="n">
        <v>0</v>
      </c>
      <c r="AD573" s="2" t="n">
        <v>44621</v>
      </c>
    </row>
    <row r="574">
      <c r="A574" t="n">
        <v>-1</v>
      </c>
      <c r="B574" t="inlineStr">
        <is>
          <t>01-03-2022</t>
        </is>
      </c>
      <c r="C574" t="n">
        <v>2022</v>
      </c>
      <c r="D574" t="n">
        <v>3</v>
      </c>
      <c r="E574" t="inlineStr">
        <is>
          <t>San Felipe 012</t>
        </is>
      </c>
      <c r="F574" t="inlineStr">
        <is>
          <t>Chilquinta</t>
        </is>
      </c>
      <c r="G574" t="inlineStr">
        <is>
          <t>Chilquinta</t>
        </is>
      </c>
      <c r="H574" t="inlineStr">
        <is>
          <t>Empresa Eléctrica Carén S.A.</t>
        </is>
      </c>
      <c r="I574" t="inlineStr">
        <is>
          <t>Empresa Eléctrica Carén S.A.</t>
        </is>
      </c>
      <c r="J574" t="inlineStr">
        <is>
          <t>SIC 2013/03_2_BS1B_BB_CHILQUINTA_Empresa Eléctrica Carén S.A.</t>
        </is>
      </c>
      <c r="K574" t="inlineStr">
        <is>
          <t>San Felipe 012</t>
        </is>
      </c>
      <c r="L574" t="inlineStr">
        <is>
          <t>-1</t>
        </is>
      </c>
      <c r="M574" t="n">
        <v>1020.982772142469</v>
      </c>
      <c r="N574" t="n">
        <v>0</v>
      </c>
      <c r="O574" t="inlineStr">
        <is>
          <t>3</t>
        </is>
      </c>
      <c r="P574" s="2" t="n">
        <v>44999.6862684375</v>
      </c>
      <c r="Q574" t="n">
        <v>11</v>
      </c>
      <c r="R574" t="inlineStr">
        <is>
          <t>QUILLOTA 220</t>
        </is>
      </c>
      <c r="S574" t="n">
        <v>205.7238254048312</v>
      </c>
      <c r="T574" t="n">
        <v>18785.90338711537</v>
      </c>
      <c r="U574" t="n">
        <v>0</v>
      </c>
      <c r="V574" t="n">
        <v>0</v>
      </c>
      <c r="W574" t="inlineStr">
        <is>
          <t>CHILQUINTA</t>
        </is>
      </c>
      <c r="X574" t="n">
        <v>97.14481812686</v>
      </c>
      <c r="Y574" t="n">
        <v>18.78590338711537</v>
      </c>
      <c r="Z574" t="n">
        <v>19985.00360331422</v>
      </c>
      <c r="AA574" t="n">
        <v>0</v>
      </c>
      <c r="AB574" t="n">
        <v>0</v>
      </c>
      <c r="AC574" t="n">
        <v>0</v>
      </c>
      <c r="AD574" s="2" t="n">
        <v>44621</v>
      </c>
    </row>
    <row r="575">
      <c r="A575" t="n">
        <v>-1</v>
      </c>
      <c r="B575" t="inlineStr">
        <is>
          <t>01-03-2022</t>
        </is>
      </c>
      <c r="C575" t="n">
        <v>2022</v>
      </c>
      <c r="D575" t="n">
        <v>3</v>
      </c>
      <c r="E575" t="inlineStr">
        <is>
          <t>San Pedro 012</t>
        </is>
      </c>
      <c r="F575" t="inlineStr">
        <is>
          <t>Chilquinta</t>
        </is>
      </c>
      <c r="G575" t="inlineStr">
        <is>
          <t>Chilquinta</t>
        </is>
      </c>
      <c r="H575" t="inlineStr">
        <is>
          <t>Empresa Eléctrica Carén S.A.</t>
        </is>
      </c>
      <c r="I575" t="inlineStr">
        <is>
          <t>Empresa Eléctrica Carén S.A.</t>
        </is>
      </c>
      <c r="J575" t="inlineStr">
        <is>
          <t>SIC 2013/03_2_BS1B_BB_CHILQUINTA_Empresa Eléctrica Carén S.A.</t>
        </is>
      </c>
      <c r="K575" t="inlineStr">
        <is>
          <t>San Pedro 012</t>
        </is>
      </c>
      <c r="L575" t="inlineStr">
        <is>
          <t>-1</t>
        </is>
      </c>
      <c r="M575" t="n">
        <v>932.1727447582703</v>
      </c>
      <c r="N575" t="n">
        <v>0</v>
      </c>
      <c r="O575" t="inlineStr">
        <is>
          <t>3</t>
        </is>
      </c>
      <c r="P575" s="2" t="n">
        <v>44999.6862684375</v>
      </c>
      <c r="Q575" t="n">
        <v>31</v>
      </c>
      <c r="R575" t="inlineStr">
        <is>
          <t>LOS MAQUIS 220</t>
        </is>
      </c>
      <c r="S575" t="n">
        <v>92.67775917843234</v>
      </c>
      <c r="T575" t="n">
        <v>8389.898546724913</v>
      </c>
      <c r="U575" t="n">
        <v>0</v>
      </c>
      <c r="V575" t="n">
        <v>0</v>
      </c>
      <c r="W575" t="inlineStr">
        <is>
          <t>CHILQUINTA</t>
        </is>
      </c>
      <c r="X575" t="n">
        <v>96.30599687562001</v>
      </c>
      <c r="Y575" t="n">
        <v>8.389898546724913</v>
      </c>
      <c r="Z575" t="n">
        <v>8925.423985877567</v>
      </c>
      <c r="AA575" t="n">
        <v>0</v>
      </c>
      <c r="AB575" t="n">
        <v>0</v>
      </c>
      <c r="AC575" t="n">
        <v>0</v>
      </c>
      <c r="AD575" s="2" t="n">
        <v>44621</v>
      </c>
    </row>
    <row r="576">
      <c r="A576" t="n">
        <v>-1</v>
      </c>
      <c r="B576" t="inlineStr">
        <is>
          <t>01-03-2022</t>
        </is>
      </c>
      <c r="C576" t="n">
        <v>2022</v>
      </c>
      <c r="D576" t="n">
        <v>3</v>
      </c>
      <c r="E576" t="inlineStr">
        <is>
          <t>San Pedro 012</t>
        </is>
      </c>
      <c r="F576" t="inlineStr">
        <is>
          <t>Chilquinta</t>
        </is>
      </c>
      <c r="G576" t="inlineStr">
        <is>
          <t>Chilquinta</t>
        </is>
      </c>
      <c r="H576" t="inlineStr">
        <is>
          <t>Empresa Eléctrica Carén S.A.</t>
        </is>
      </c>
      <c r="I576" t="inlineStr">
        <is>
          <t>Empresa Eléctrica Carén S.A.</t>
        </is>
      </c>
      <c r="J576" t="inlineStr">
        <is>
          <t>SIC 2013/03_2_BS1B_BB_CHILQUINTA_Empresa Eléctrica Carén S.A.</t>
        </is>
      </c>
      <c r="K576" t="inlineStr">
        <is>
          <t>San Pedro 012</t>
        </is>
      </c>
      <c r="L576" t="inlineStr">
        <is>
          <t>-1</t>
        </is>
      </c>
      <c r="M576" t="n">
        <v>932.1727447582703</v>
      </c>
      <c r="N576" t="n">
        <v>0</v>
      </c>
      <c r="O576" t="inlineStr">
        <is>
          <t>3</t>
        </is>
      </c>
      <c r="P576" s="2" t="n">
        <v>44999.6862684375</v>
      </c>
      <c r="Q576" t="n">
        <v>13</v>
      </c>
      <c r="R576" t="inlineStr">
        <is>
          <t>MELIPILLA 220</t>
        </is>
      </c>
      <c r="S576" t="n">
        <v>83.13867048674514</v>
      </c>
      <c r="T576" t="n">
        <v>7610.111050091211</v>
      </c>
      <c r="U576" t="n">
        <v>0</v>
      </c>
      <c r="V576" t="n">
        <v>0</v>
      </c>
      <c r="W576" t="inlineStr">
        <is>
          <t>CHILQUINTA</t>
        </is>
      </c>
      <c r="X576" t="n">
        <v>97.37782396384002</v>
      </c>
      <c r="Y576" t="n">
        <v>7.610111050091211</v>
      </c>
      <c r="Z576" t="n">
        <v>8095.862819245969</v>
      </c>
      <c r="AA576" t="n">
        <v>0</v>
      </c>
      <c r="AB576" t="n">
        <v>0</v>
      </c>
      <c r="AC576" t="n">
        <v>0</v>
      </c>
      <c r="AD576" s="2" t="n">
        <v>44621</v>
      </c>
    </row>
    <row r="577">
      <c r="A577" t="n">
        <v>-1</v>
      </c>
      <c r="B577" t="inlineStr">
        <is>
          <t>01-03-2022</t>
        </is>
      </c>
      <c r="C577" t="n">
        <v>2022</v>
      </c>
      <c r="D577" t="n">
        <v>3</v>
      </c>
      <c r="E577" t="inlineStr">
        <is>
          <t>San Pedro 012</t>
        </is>
      </c>
      <c r="F577" t="inlineStr">
        <is>
          <t>Chilquinta</t>
        </is>
      </c>
      <c r="G577" t="inlineStr">
        <is>
          <t>Chilquinta</t>
        </is>
      </c>
      <c r="H577" t="inlineStr">
        <is>
          <t>Empresa Eléctrica Carén S.A.</t>
        </is>
      </c>
      <c r="I577" t="inlineStr">
        <is>
          <t>Empresa Eléctrica Carén S.A.</t>
        </is>
      </c>
      <c r="J577" t="inlineStr">
        <is>
          <t>SIC 2013/03_2_BS1B_BB_CHILQUINTA_Empresa Eléctrica Carén S.A.</t>
        </is>
      </c>
      <c r="K577" t="inlineStr">
        <is>
          <t>San Pedro 012</t>
        </is>
      </c>
      <c r="L577" t="inlineStr">
        <is>
          <t>-1</t>
        </is>
      </c>
      <c r="M577" t="n">
        <v>932.1727447582703</v>
      </c>
      <c r="N577" t="n">
        <v>0</v>
      </c>
      <c r="O577" t="inlineStr">
        <is>
          <t>3</t>
        </is>
      </c>
      <c r="P577" s="2" t="n">
        <v>44999.6862684375</v>
      </c>
      <c r="Q577" t="n">
        <v>5</v>
      </c>
      <c r="R577" t="inlineStr">
        <is>
          <t>NOGALES 220</t>
        </is>
      </c>
      <c r="S577" t="n">
        <v>121.774376444031</v>
      </c>
      <c r="T577" t="n">
        <v>11475.23169700169</v>
      </c>
      <c r="U577" t="n">
        <v>0</v>
      </c>
      <c r="V577" t="n">
        <v>0</v>
      </c>
      <c r="W577" t="inlineStr">
        <is>
          <t>CHILQUINTA</t>
        </is>
      </c>
      <c r="X577" t="n">
        <v>100.24845662251</v>
      </c>
      <c r="Y577" t="n">
        <v>11.47523169700169</v>
      </c>
      <c r="Z577" t="n">
        <v>12207.69329468265</v>
      </c>
      <c r="AA577" t="n">
        <v>0</v>
      </c>
      <c r="AB577" t="n">
        <v>0</v>
      </c>
      <c r="AC577" t="n">
        <v>0</v>
      </c>
      <c r="AD577" s="2" t="n">
        <v>44621</v>
      </c>
    </row>
    <row r="578">
      <c r="A578" t="n">
        <v>-1</v>
      </c>
      <c r="B578" t="inlineStr">
        <is>
          <t>01-03-2022</t>
        </is>
      </c>
      <c r="C578" t="n">
        <v>2022</v>
      </c>
      <c r="D578" t="n">
        <v>3</v>
      </c>
      <c r="E578" t="inlineStr">
        <is>
          <t>San Pedro 012</t>
        </is>
      </c>
      <c r="F578" t="inlineStr">
        <is>
          <t>Chilquinta</t>
        </is>
      </c>
      <c r="G578" t="inlineStr">
        <is>
          <t>Chilquinta</t>
        </is>
      </c>
      <c r="H578" t="inlineStr">
        <is>
          <t>Empresa Eléctrica Carén S.A.</t>
        </is>
      </c>
      <c r="I578" t="inlineStr">
        <is>
          <t>Empresa Eléctrica Carén S.A.</t>
        </is>
      </c>
      <c r="J578" t="inlineStr">
        <is>
          <t>SIC 2013/03_2_BS1B_BB_CHILQUINTA_Empresa Eléctrica Carén S.A.</t>
        </is>
      </c>
      <c r="K578" t="inlineStr">
        <is>
          <t>San Pedro 012</t>
        </is>
      </c>
      <c r="L578" t="inlineStr">
        <is>
          <t>-1</t>
        </is>
      </c>
      <c r="M578" t="n">
        <v>932.1727447582703</v>
      </c>
      <c r="N578" t="n">
        <v>0</v>
      </c>
      <c r="O578" t="inlineStr">
        <is>
          <t>3</t>
        </is>
      </c>
      <c r="P578" s="2" t="n">
        <v>44999.6862684375</v>
      </c>
      <c r="Q578" t="n">
        <v>11</v>
      </c>
      <c r="R578" t="inlineStr">
        <is>
          <t>QUILLOTA 220</t>
        </is>
      </c>
      <c r="S578" t="n">
        <v>661.1115749648822</v>
      </c>
      <c r="T578" t="n">
        <v>60370.14988883392</v>
      </c>
      <c r="U578" t="n">
        <v>0</v>
      </c>
      <c r="V578" t="n">
        <v>0</v>
      </c>
      <c r="W578" t="inlineStr">
        <is>
          <t>CHILQUINTA</t>
        </is>
      </c>
      <c r="X578" t="n">
        <v>97.14481812686</v>
      </c>
      <c r="Y578" t="n">
        <v>60.37014988883391</v>
      </c>
      <c r="Z578" t="n">
        <v>64223.56371152545</v>
      </c>
      <c r="AA578" t="n">
        <v>0</v>
      </c>
      <c r="AB578" t="n">
        <v>0</v>
      </c>
      <c r="AC578" t="n">
        <v>0</v>
      </c>
      <c r="AD578" s="2" t="n">
        <v>44621</v>
      </c>
    </row>
    <row r="579">
      <c r="A579" t="n">
        <v>-1</v>
      </c>
      <c r="B579" t="inlineStr">
        <is>
          <t>01-03-2022</t>
        </is>
      </c>
      <c r="C579" t="n">
        <v>2022</v>
      </c>
      <c r="D579" t="n">
        <v>3</v>
      </c>
      <c r="E579" t="inlineStr">
        <is>
          <t>San Rafael 012</t>
        </is>
      </c>
      <c r="F579" t="inlineStr">
        <is>
          <t>Chilquinta</t>
        </is>
      </c>
      <c r="G579" t="inlineStr">
        <is>
          <t>Chilquinta</t>
        </is>
      </c>
      <c r="H579" t="inlineStr">
        <is>
          <t>Empresa Eléctrica Carén S.A.</t>
        </is>
      </c>
      <c r="I579" t="inlineStr">
        <is>
          <t>Empresa Eléctrica Carén S.A.</t>
        </is>
      </c>
      <c r="J579" t="inlineStr">
        <is>
          <t>SIC 2013/03_2_BS1B_BB_CHILQUINTA_Empresa Eléctrica Carén S.A.</t>
        </is>
      </c>
      <c r="K579" t="inlineStr">
        <is>
          <t>San Rafael 012</t>
        </is>
      </c>
      <c r="L579" t="inlineStr">
        <is>
          <t>-1</t>
        </is>
      </c>
      <c r="M579" t="n">
        <v>1408.008908949728</v>
      </c>
      <c r="N579" t="n">
        <v>0</v>
      </c>
      <c r="O579" t="inlineStr">
        <is>
          <t>3</t>
        </is>
      </c>
      <c r="P579" s="2" t="n">
        <v>44999.6862684375</v>
      </c>
      <c r="Q579" t="n">
        <v>31</v>
      </c>
      <c r="R579" t="inlineStr">
        <is>
          <t>LOS MAQUIS 220</t>
        </is>
      </c>
      <c r="S579" t="n">
        <v>860.9854265242958</v>
      </c>
      <c r="T579" t="n">
        <v>77942.97620899499</v>
      </c>
      <c r="U579" t="n">
        <v>0</v>
      </c>
      <c r="V579" t="n">
        <v>0</v>
      </c>
      <c r="W579" t="inlineStr">
        <is>
          <t>CHILQUINTA</t>
        </is>
      </c>
      <c r="X579" t="n">
        <v>96.30599687562001</v>
      </c>
      <c r="Y579" t="n">
        <v>77.94297620899499</v>
      </c>
      <c r="Z579" t="n">
        <v>82918.05979680319</v>
      </c>
      <c r="AA579" t="n">
        <v>0</v>
      </c>
      <c r="AB579" t="n">
        <v>0</v>
      </c>
      <c r="AC579" t="n">
        <v>0</v>
      </c>
      <c r="AD579" s="2" t="n">
        <v>44621</v>
      </c>
    </row>
    <row r="580">
      <c r="A580" t="n">
        <v>-1</v>
      </c>
      <c r="B580" t="inlineStr">
        <is>
          <t>01-03-2022</t>
        </is>
      </c>
      <c r="C580" t="n">
        <v>2022</v>
      </c>
      <c r="D580" t="n">
        <v>3</v>
      </c>
      <c r="E580" t="inlineStr">
        <is>
          <t>San Rafael 012</t>
        </is>
      </c>
      <c r="F580" t="inlineStr">
        <is>
          <t>Chilquinta</t>
        </is>
      </c>
      <c r="G580" t="inlineStr">
        <is>
          <t>Chilquinta</t>
        </is>
      </c>
      <c r="H580" t="inlineStr">
        <is>
          <t>Empresa Eléctrica Carén S.A.</t>
        </is>
      </c>
      <c r="I580" t="inlineStr">
        <is>
          <t>Empresa Eléctrica Carén S.A.</t>
        </is>
      </c>
      <c r="J580" t="inlineStr">
        <is>
          <t>SIC 2013/03_2_BS1B_BB_CHILQUINTA_Empresa Eléctrica Carén S.A.</t>
        </is>
      </c>
      <c r="K580" t="inlineStr">
        <is>
          <t>San Rafael 012</t>
        </is>
      </c>
      <c r="L580" t="inlineStr">
        <is>
          <t>-1</t>
        </is>
      </c>
      <c r="M580" t="n">
        <v>1408.008908949728</v>
      </c>
      <c r="N580" t="n">
        <v>0</v>
      </c>
      <c r="O580" t="inlineStr">
        <is>
          <t>3</t>
        </is>
      </c>
      <c r="P580" s="2" t="n">
        <v>44999.6862684375</v>
      </c>
      <c r="Q580" t="n">
        <v>13</v>
      </c>
      <c r="R580" t="inlineStr">
        <is>
          <t>MELIPILLA 220</t>
        </is>
      </c>
      <c r="S580" t="n">
        <v>49.42299915447166</v>
      </c>
      <c r="T580" t="n">
        <v>4523.941864743406</v>
      </c>
      <c r="U580" t="n">
        <v>0</v>
      </c>
      <c r="V580" t="n">
        <v>0</v>
      </c>
      <c r="W580" t="inlineStr">
        <is>
          <t>CHILQUINTA</t>
        </is>
      </c>
      <c r="X580" t="n">
        <v>97.37782396383999</v>
      </c>
      <c r="Y580" t="n">
        <v>4.523941864743405</v>
      </c>
      <c r="Z580" t="n">
        <v>4812.704111429155</v>
      </c>
      <c r="AA580" t="n">
        <v>0</v>
      </c>
      <c r="AB580" t="n">
        <v>0</v>
      </c>
      <c r="AC580" t="n">
        <v>0</v>
      </c>
      <c r="AD580" s="2" t="n">
        <v>44621</v>
      </c>
    </row>
    <row r="581">
      <c r="A581" t="n">
        <v>-1</v>
      </c>
      <c r="B581" t="inlineStr">
        <is>
          <t>01-03-2022</t>
        </is>
      </c>
      <c r="C581" t="n">
        <v>2022</v>
      </c>
      <c r="D581" t="n">
        <v>3</v>
      </c>
      <c r="E581" t="inlineStr">
        <is>
          <t>San Rafael 012</t>
        </is>
      </c>
      <c r="F581" t="inlineStr">
        <is>
          <t>Chilquinta</t>
        </is>
      </c>
      <c r="G581" t="inlineStr">
        <is>
          <t>Chilquinta</t>
        </is>
      </c>
      <c r="H581" t="inlineStr">
        <is>
          <t>Empresa Eléctrica Carén S.A.</t>
        </is>
      </c>
      <c r="I581" t="inlineStr">
        <is>
          <t>Empresa Eléctrica Carén S.A.</t>
        </is>
      </c>
      <c r="J581" t="inlineStr">
        <is>
          <t>SIC 2013/03_2_BS1B_BB_CHILQUINTA_Empresa Eléctrica Carén S.A.</t>
        </is>
      </c>
      <c r="K581" t="inlineStr">
        <is>
          <t>San Rafael 012</t>
        </is>
      </c>
      <c r="L581" t="inlineStr">
        <is>
          <t>-1</t>
        </is>
      </c>
      <c r="M581" t="n">
        <v>1408.008908949728</v>
      </c>
      <c r="N581" t="n">
        <v>0</v>
      </c>
      <c r="O581" t="inlineStr">
        <is>
          <t>3</t>
        </is>
      </c>
      <c r="P581" s="2" t="n">
        <v>44999.6862684375</v>
      </c>
      <c r="Q581" t="n">
        <v>5</v>
      </c>
      <c r="R581" t="inlineStr">
        <is>
          <t>NOGALES 220</t>
        </is>
      </c>
      <c r="S581" t="n">
        <v>110.3292793899559</v>
      </c>
      <c r="T581" t="n">
        <v>10396.71958036978</v>
      </c>
      <c r="U581" t="n">
        <v>0</v>
      </c>
      <c r="V581" t="n">
        <v>0</v>
      </c>
      <c r="W581" t="inlineStr">
        <is>
          <t>CHILQUINTA</t>
        </is>
      </c>
      <c r="X581" t="n">
        <v>100.24845662251</v>
      </c>
      <c r="Y581" t="n">
        <v>10.39671958036978</v>
      </c>
      <c r="Z581" t="n">
        <v>11060.33997911678</v>
      </c>
      <c r="AA581" t="n">
        <v>0</v>
      </c>
      <c r="AB581" t="n">
        <v>0</v>
      </c>
      <c r="AC581" t="n">
        <v>0</v>
      </c>
      <c r="AD581" s="2" t="n">
        <v>44621</v>
      </c>
    </row>
    <row r="582">
      <c r="A582" t="n">
        <v>-1</v>
      </c>
      <c r="B582" t="inlineStr">
        <is>
          <t>01-03-2022</t>
        </is>
      </c>
      <c r="C582" t="n">
        <v>2022</v>
      </c>
      <c r="D582" t="n">
        <v>3</v>
      </c>
      <c r="E582" t="inlineStr">
        <is>
          <t>San Rafael 012</t>
        </is>
      </c>
      <c r="F582" t="inlineStr">
        <is>
          <t>Chilquinta</t>
        </is>
      </c>
      <c r="G582" t="inlineStr">
        <is>
          <t>Chilquinta</t>
        </is>
      </c>
      <c r="H582" t="inlineStr">
        <is>
          <t>Empresa Eléctrica Carén S.A.</t>
        </is>
      </c>
      <c r="I582" t="inlineStr">
        <is>
          <t>Empresa Eléctrica Carén S.A.</t>
        </is>
      </c>
      <c r="J582" t="inlineStr">
        <is>
          <t>SIC 2013/03_2_BS1B_BB_CHILQUINTA_Empresa Eléctrica Carén S.A.</t>
        </is>
      </c>
      <c r="K582" t="inlineStr">
        <is>
          <t>San Rafael 012</t>
        </is>
      </c>
      <c r="L582" t="inlineStr">
        <is>
          <t>-1</t>
        </is>
      </c>
      <c r="M582" t="n">
        <v>1408.008908949728</v>
      </c>
      <c r="N582" t="n">
        <v>0</v>
      </c>
      <c r="O582" t="inlineStr">
        <is>
          <t>3</t>
        </is>
      </c>
      <c r="P582" s="2" t="n">
        <v>44999.6862684375</v>
      </c>
      <c r="Q582" t="n">
        <v>11</v>
      </c>
      <c r="R582" t="inlineStr">
        <is>
          <t>QUILLOTA 220</t>
        </is>
      </c>
      <c r="S582" t="n">
        <v>427.3431374297137</v>
      </c>
      <c r="T582" t="n">
        <v>39023.321081569</v>
      </c>
      <c r="U582" t="n">
        <v>0</v>
      </c>
      <c r="V582" t="n">
        <v>0</v>
      </c>
      <c r="W582" t="inlineStr">
        <is>
          <t>CHILQUINTA</t>
        </is>
      </c>
      <c r="X582" t="n">
        <v>97.14481812686002</v>
      </c>
      <c r="Y582" t="n">
        <v>39.02332108156901</v>
      </c>
      <c r="Z582" t="n">
        <v>41514.17136337129</v>
      </c>
      <c r="AA582" t="n">
        <v>0</v>
      </c>
      <c r="AB582" t="n">
        <v>0</v>
      </c>
      <c r="AC582" t="n">
        <v>0</v>
      </c>
      <c r="AD582" s="2" t="n">
        <v>44621</v>
      </c>
    </row>
    <row r="583">
      <c r="A583" t="n">
        <v>-1</v>
      </c>
      <c r="B583" t="inlineStr">
        <is>
          <t>01-03-2022</t>
        </is>
      </c>
      <c r="C583" t="n">
        <v>2022</v>
      </c>
      <c r="D583" t="n">
        <v>3</v>
      </c>
      <c r="E583" t="inlineStr">
        <is>
          <t>San Sebastian 012</t>
        </is>
      </c>
      <c r="F583" t="inlineStr">
        <is>
          <t>Chilquinta</t>
        </is>
      </c>
      <c r="G583" t="inlineStr">
        <is>
          <t>Chilquinta</t>
        </is>
      </c>
      <c r="H583" t="inlineStr">
        <is>
          <t>Empresa Eléctrica Carén S.A.</t>
        </is>
      </c>
      <c r="I583" t="inlineStr">
        <is>
          <t>Empresa Eléctrica Carén S.A.</t>
        </is>
      </c>
      <c r="J583" t="inlineStr">
        <is>
          <t>SIC 2013/03_2_BS1B_BB_CHILQUINTA_Empresa Eléctrica Carén S.A.</t>
        </is>
      </c>
      <c r="K583" t="inlineStr">
        <is>
          <t>San Sebastian 012</t>
        </is>
      </c>
      <c r="L583" t="inlineStr">
        <is>
          <t>-1</t>
        </is>
      </c>
      <c r="M583" t="n">
        <v>131.0936945538036</v>
      </c>
      <c r="N583" t="n">
        <v>0</v>
      </c>
      <c r="O583" t="inlineStr">
        <is>
          <t>3</t>
        </is>
      </c>
      <c r="P583" s="2" t="n">
        <v>44999.6862684375</v>
      </c>
      <c r="Q583" t="n">
        <v>31</v>
      </c>
      <c r="R583" t="inlineStr">
        <is>
          <t>LOS MAQUIS 220</t>
        </is>
      </c>
      <c r="S583" t="n">
        <v>0.1766202536420544</v>
      </c>
      <c r="T583" t="n">
        <v>15.98901421969753</v>
      </c>
      <c r="U583" t="n">
        <v>0</v>
      </c>
      <c r="V583" t="n">
        <v>0</v>
      </c>
      <c r="W583" t="inlineStr">
        <is>
          <t>CHILQUINTA</t>
        </is>
      </c>
      <c r="X583" t="n">
        <v>96.30599687562</v>
      </c>
      <c r="Y583" t="n">
        <v>0.01598901421969753</v>
      </c>
      <c r="Z583" t="n">
        <v>17.0095895954229</v>
      </c>
      <c r="AA583" t="n">
        <v>0</v>
      </c>
      <c r="AB583" t="n">
        <v>0</v>
      </c>
      <c r="AC583" t="n">
        <v>0</v>
      </c>
      <c r="AD583" s="2" t="n">
        <v>44621</v>
      </c>
    </row>
    <row r="584">
      <c r="A584" t="n">
        <v>-1</v>
      </c>
      <c r="B584" t="inlineStr">
        <is>
          <t>01-03-2022</t>
        </is>
      </c>
      <c r="C584" t="n">
        <v>2022</v>
      </c>
      <c r="D584" t="n">
        <v>3</v>
      </c>
      <c r="E584" t="inlineStr">
        <is>
          <t>San Sebastian 012</t>
        </is>
      </c>
      <c r="F584" t="inlineStr">
        <is>
          <t>Chilquinta</t>
        </is>
      </c>
      <c r="G584" t="inlineStr">
        <is>
          <t>Chilquinta</t>
        </is>
      </c>
      <c r="H584" t="inlineStr">
        <is>
          <t>Empresa Eléctrica Carén S.A.</t>
        </is>
      </c>
      <c r="I584" t="inlineStr">
        <is>
          <t>Empresa Eléctrica Carén S.A.</t>
        </is>
      </c>
      <c r="J584" t="inlineStr">
        <is>
          <t>SIC 2013/03_2_BS1B_BB_CHILQUINTA_Empresa Eléctrica Carén S.A.</t>
        </is>
      </c>
      <c r="K584" t="inlineStr">
        <is>
          <t>San Sebastian 012</t>
        </is>
      </c>
      <c r="L584" t="inlineStr">
        <is>
          <t>-1</t>
        </is>
      </c>
      <c r="M584" t="n">
        <v>131.0936945538036</v>
      </c>
      <c r="N584" t="n">
        <v>0</v>
      </c>
      <c r="O584" t="inlineStr">
        <is>
          <t>3</t>
        </is>
      </c>
      <c r="P584" s="2" t="n">
        <v>44999.6862684375</v>
      </c>
      <c r="Q584" t="n">
        <v>13</v>
      </c>
      <c r="R584" t="inlineStr">
        <is>
          <t>MELIPILLA 220</t>
        </is>
      </c>
      <c r="S584" t="n">
        <v>133.1972879241182</v>
      </c>
      <c r="T584" t="n">
        <v>12192.23433257955</v>
      </c>
      <c r="U584" t="n">
        <v>0</v>
      </c>
      <c r="V584" t="n">
        <v>0</v>
      </c>
      <c r="W584" t="inlineStr">
        <is>
          <t>CHILQUINTA</t>
        </is>
      </c>
      <c r="X584" t="n">
        <v>97.37782396384</v>
      </c>
      <c r="Y584" t="n">
        <v>12.19223433257955</v>
      </c>
      <c r="Z584" t="n">
        <v>12970.46205593569</v>
      </c>
      <c r="AA584" t="n">
        <v>0</v>
      </c>
      <c r="AB584" t="n">
        <v>0</v>
      </c>
      <c r="AC584" t="n">
        <v>0</v>
      </c>
      <c r="AD584" s="2" t="n">
        <v>44621</v>
      </c>
    </row>
    <row r="585">
      <c r="A585" t="n">
        <v>-1</v>
      </c>
      <c r="B585" t="inlineStr">
        <is>
          <t>01-03-2022</t>
        </is>
      </c>
      <c r="C585" t="n">
        <v>2022</v>
      </c>
      <c r="D585" t="n">
        <v>3</v>
      </c>
      <c r="E585" t="inlineStr">
        <is>
          <t>San Sebastian 012</t>
        </is>
      </c>
      <c r="F585" t="inlineStr">
        <is>
          <t>Chilquinta</t>
        </is>
      </c>
      <c r="G585" t="inlineStr">
        <is>
          <t>Chilquinta</t>
        </is>
      </c>
      <c r="H585" t="inlineStr">
        <is>
          <t>Empresa Eléctrica Carén S.A.</t>
        </is>
      </c>
      <c r="I585" t="inlineStr">
        <is>
          <t>Empresa Eléctrica Carén S.A.</t>
        </is>
      </c>
      <c r="J585" t="inlineStr">
        <is>
          <t>SIC 2013/03_2_BS1B_BB_CHILQUINTA_Empresa Eléctrica Carén S.A.</t>
        </is>
      </c>
      <c r="K585" t="inlineStr">
        <is>
          <t>San Sebastian 012</t>
        </is>
      </c>
      <c r="L585" t="inlineStr">
        <is>
          <t>-1</t>
        </is>
      </c>
      <c r="M585" t="n">
        <v>131.0936945538036</v>
      </c>
      <c r="N585" t="n">
        <v>0</v>
      </c>
      <c r="O585" t="inlineStr">
        <is>
          <t>3</t>
        </is>
      </c>
      <c r="P585" s="2" t="n">
        <v>44999.6862684375</v>
      </c>
      <c r="Q585" t="n">
        <v>5</v>
      </c>
      <c r="R585" t="inlineStr">
        <is>
          <t>NOGALES 220</t>
        </is>
      </c>
      <c r="S585" t="n">
        <v>0.2318983482933844</v>
      </c>
      <c r="T585" t="n">
        <v>21.85260441913779</v>
      </c>
      <c r="U585" t="n">
        <v>0</v>
      </c>
      <c r="V585" t="n">
        <v>0</v>
      </c>
      <c r="W585" t="inlineStr">
        <is>
          <t>CHILQUINTA</t>
        </is>
      </c>
      <c r="X585" t="n">
        <v>100.24845662251</v>
      </c>
      <c r="Y585" t="n">
        <v>0.0218526044191378</v>
      </c>
      <c r="Z585" t="n">
        <v>23.24745150972106</v>
      </c>
      <c r="AA585" t="n">
        <v>0</v>
      </c>
      <c r="AB585" t="n">
        <v>0</v>
      </c>
      <c r="AC585" t="n">
        <v>0</v>
      </c>
      <c r="AD585" s="2" t="n">
        <v>44621</v>
      </c>
    </row>
    <row r="586">
      <c r="A586" t="n">
        <v>-1</v>
      </c>
      <c r="B586" t="inlineStr">
        <is>
          <t>01-03-2022</t>
        </is>
      </c>
      <c r="C586" t="n">
        <v>2022</v>
      </c>
      <c r="D586" t="n">
        <v>3</v>
      </c>
      <c r="E586" t="inlineStr">
        <is>
          <t>San Sebastian 012</t>
        </is>
      </c>
      <c r="F586" t="inlineStr">
        <is>
          <t>Chilquinta</t>
        </is>
      </c>
      <c r="G586" t="inlineStr">
        <is>
          <t>Chilquinta</t>
        </is>
      </c>
      <c r="H586" t="inlineStr">
        <is>
          <t>Empresa Eléctrica Carén S.A.</t>
        </is>
      </c>
      <c r="I586" t="inlineStr">
        <is>
          <t>Empresa Eléctrica Carén S.A.</t>
        </is>
      </c>
      <c r="J586" t="inlineStr">
        <is>
          <t>SIC 2013/03_2_BS1B_BB_CHILQUINTA_Empresa Eléctrica Carén S.A.</t>
        </is>
      </c>
      <c r="K586" t="inlineStr">
        <is>
          <t>San Sebastian 012</t>
        </is>
      </c>
      <c r="L586" t="inlineStr">
        <is>
          <t>-1</t>
        </is>
      </c>
      <c r="M586" t="n">
        <v>131.0936945538036</v>
      </c>
      <c r="N586" t="n">
        <v>0</v>
      </c>
      <c r="O586" t="inlineStr">
        <is>
          <t>3</t>
        </is>
      </c>
      <c r="P586" s="2" t="n">
        <v>44999.6862684375</v>
      </c>
      <c r="Q586" t="n">
        <v>11</v>
      </c>
      <c r="R586" t="inlineStr">
        <is>
          <t>QUILLOTA 220</t>
        </is>
      </c>
      <c r="S586" t="n">
        <v>1.218814574751276</v>
      </c>
      <c r="T586" t="n">
        <v>111.2974289829042</v>
      </c>
      <c r="U586" t="n">
        <v>0</v>
      </c>
      <c r="V586" t="n">
        <v>0</v>
      </c>
      <c r="W586" t="inlineStr">
        <is>
          <t>CHILQUINTA</t>
        </is>
      </c>
      <c r="X586" t="n">
        <v>97.14481812685999</v>
      </c>
      <c r="Y586" t="n">
        <v>0.1112974289829042</v>
      </c>
      <c r="Z586" t="n">
        <v>118.4015201945789</v>
      </c>
      <c r="AA586" t="n">
        <v>0</v>
      </c>
      <c r="AB586" t="n">
        <v>0</v>
      </c>
      <c r="AC586" t="n">
        <v>0</v>
      </c>
      <c r="AD586" s="2" t="n">
        <v>44621</v>
      </c>
    </row>
    <row r="587">
      <c r="A587" t="n">
        <v>-1</v>
      </c>
      <c r="B587" t="inlineStr">
        <is>
          <t>01-03-2022</t>
        </is>
      </c>
      <c r="C587" t="n">
        <v>2022</v>
      </c>
      <c r="D587" t="n">
        <v>3</v>
      </c>
      <c r="E587" t="inlineStr">
        <is>
          <t>Valparaiso 012</t>
        </is>
      </c>
      <c r="F587" t="inlineStr">
        <is>
          <t>Chilquinta</t>
        </is>
      </c>
      <c r="G587" t="inlineStr">
        <is>
          <t>Chilquinta</t>
        </is>
      </c>
      <c r="H587" t="inlineStr">
        <is>
          <t>Empresa Eléctrica Carén S.A.</t>
        </is>
      </c>
      <c r="I587" t="inlineStr">
        <is>
          <t>Empresa Eléctrica Carén S.A.</t>
        </is>
      </c>
      <c r="J587" t="inlineStr">
        <is>
          <t>SIC 2013/03_2_BS1B_BB_CHILQUINTA_Empresa Eléctrica Carén S.A.</t>
        </is>
      </c>
      <c r="K587" t="inlineStr">
        <is>
          <t>Valparaiso 012</t>
        </is>
      </c>
      <c r="L587" t="inlineStr">
        <is>
          <t>-1</t>
        </is>
      </c>
      <c r="M587" t="n">
        <v>786.1740643987303</v>
      </c>
      <c r="N587" t="n">
        <v>0</v>
      </c>
      <c r="O587" t="inlineStr">
        <is>
          <t>3</t>
        </is>
      </c>
      <c r="P587" s="2" t="n">
        <v>44999.6862684375</v>
      </c>
      <c r="Q587" t="n">
        <v>31</v>
      </c>
      <c r="R587" t="inlineStr">
        <is>
          <t>LOS MAQUIS 220</t>
        </is>
      </c>
      <c r="S587" t="n">
        <v>10.89114934931735</v>
      </c>
      <c r="T587" t="n">
        <v>985.9500154948313</v>
      </c>
      <c r="U587" t="n">
        <v>0</v>
      </c>
      <c r="V587" t="n">
        <v>0</v>
      </c>
      <c r="W587" t="inlineStr">
        <is>
          <t>CHILQUINTA</t>
        </is>
      </c>
      <c r="X587" t="n">
        <v>96.30599687562002</v>
      </c>
      <c r="Y587" t="n">
        <v>0.9859500154948313</v>
      </c>
      <c r="Z587" t="n">
        <v>1048.882995207267</v>
      </c>
      <c r="AA587" t="n">
        <v>0</v>
      </c>
      <c r="AB587" t="n">
        <v>0</v>
      </c>
      <c r="AC587" t="n">
        <v>0</v>
      </c>
      <c r="AD587" s="2" t="n">
        <v>44621</v>
      </c>
    </row>
    <row r="588">
      <c r="A588" t="n">
        <v>-1</v>
      </c>
      <c r="B588" t="inlineStr">
        <is>
          <t>01-03-2022</t>
        </is>
      </c>
      <c r="C588" t="n">
        <v>2022</v>
      </c>
      <c r="D588" t="n">
        <v>3</v>
      </c>
      <c r="E588" t="inlineStr">
        <is>
          <t>Valparaiso 012</t>
        </is>
      </c>
      <c r="F588" t="inlineStr">
        <is>
          <t>Chilquinta</t>
        </is>
      </c>
      <c r="G588" t="inlineStr">
        <is>
          <t>Chilquinta</t>
        </is>
      </c>
      <c r="H588" t="inlineStr">
        <is>
          <t>Empresa Eléctrica Carén S.A.</t>
        </is>
      </c>
      <c r="I588" t="inlineStr">
        <is>
          <t>Empresa Eléctrica Carén S.A.</t>
        </is>
      </c>
      <c r="J588" t="inlineStr">
        <is>
          <t>SIC 2013/03_2_BS1B_BB_CHILQUINTA_Empresa Eléctrica Carén S.A.</t>
        </is>
      </c>
      <c r="K588" t="inlineStr">
        <is>
          <t>Valparaiso 012</t>
        </is>
      </c>
      <c r="L588" t="inlineStr">
        <is>
          <t>-1</t>
        </is>
      </c>
      <c r="M588" t="n">
        <v>786.1740643987303</v>
      </c>
      <c r="N588" t="n">
        <v>0</v>
      </c>
      <c r="O588" t="inlineStr">
        <is>
          <t>3</t>
        </is>
      </c>
      <c r="P588" s="2" t="n">
        <v>44999.6862684375</v>
      </c>
      <c r="Q588" t="n">
        <v>13</v>
      </c>
      <c r="R588" t="inlineStr">
        <is>
          <t>MELIPILLA 220</t>
        </is>
      </c>
      <c r="S588" t="n">
        <v>712.7759991752567</v>
      </c>
      <c r="T588" t="n">
        <v>65244.06122693802</v>
      </c>
      <c r="U588" t="n">
        <v>0</v>
      </c>
      <c r="V588" t="n">
        <v>0</v>
      </c>
      <c r="W588" t="inlineStr">
        <is>
          <t>CHILQUINTA</t>
        </is>
      </c>
      <c r="X588" t="n">
        <v>97.37782396384</v>
      </c>
      <c r="Y588" t="n">
        <v>65.24406122693803</v>
      </c>
      <c r="Z588" t="n">
        <v>69408.57577333832</v>
      </c>
      <c r="AA588" t="n">
        <v>0</v>
      </c>
      <c r="AB588" t="n">
        <v>0</v>
      </c>
      <c r="AC588" t="n">
        <v>0</v>
      </c>
      <c r="AD588" s="2" t="n">
        <v>44621</v>
      </c>
    </row>
    <row r="589">
      <c r="A589" t="n">
        <v>-1</v>
      </c>
      <c r="B589" t="inlineStr">
        <is>
          <t>01-03-2022</t>
        </is>
      </c>
      <c r="C589" t="n">
        <v>2022</v>
      </c>
      <c r="D589" t="n">
        <v>3</v>
      </c>
      <c r="E589" t="inlineStr">
        <is>
          <t>Valparaiso 012</t>
        </is>
      </c>
      <c r="F589" t="inlineStr">
        <is>
          <t>Chilquinta</t>
        </is>
      </c>
      <c r="G589" t="inlineStr">
        <is>
          <t>Chilquinta</t>
        </is>
      </c>
      <c r="H589" t="inlineStr">
        <is>
          <t>Empresa Eléctrica Carén S.A.</t>
        </is>
      </c>
      <c r="I589" t="inlineStr">
        <is>
          <t>Empresa Eléctrica Carén S.A.</t>
        </is>
      </c>
      <c r="J589" t="inlineStr">
        <is>
          <t>SIC 2013/03_2_BS1B_BB_CHILQUINTA_Empresa Eléctrica Carén S.A.</t>
        </is>
      </c>
      <c r="K589" t="inlineStr">
        <is>
          <t>Valparaiso 012</t>
        </is>
      </c>
      <c r="L589" t="inlineStr">
        <is>
          <t>-1</t>
        </is>
      </c>
      <c r="M589" t="n">
        <v>786.1740643987303</v>
      </c>
      <c r="N589" t="n">
        <v>0</v>
      </c>
      <c r="O589" t="inlineStr">
        <is>
          <t>3</t>
        </is>
      </c>
      <c r="P589" s="2" t="n">
        <v>44999.6862684375</v>
      </c>
      <c r="Q589" t="n">
        <v>5</v>
      </c>
      <c r="R589" t="inlineStr">
        <is>
          <t>NOGALES 220</t>
        </is>
      </c>
      <c r="S589" t="n">
        <v>18.20042849689187</v>
      </c>
      <c r="T589" t="n">
        <v>1715.090974680855</v>
      </c>
      <c r="U589" t="n">
        <v>0</v>
      </c>
      <c r="V589" t="n">
        <v>0</v>
      </c>
      <c r="W589" t="inlineStr">
        <is>
          <t>CHILQUINTA</t>
        </is>
      </c>
      <c r="X589" t="n">
        <v>100.24845662251</v>
      </c>
      <c r="Y589" t="n">
        <v>1.715090974680855</v>
      </c>
      <c r="Z589" t="n">
        <v>1824.56486668176</v>
      </c>
      <c r="AA589" t="n">
        <v>0</v>
      </c>
      <c r="AB589" t="n">
        <v>0</v>
      </c>
      <c r="AC589" t="n">
        <v>0</v>
      </c>
      <c r="AD589" s="2" t="n">
        <v>44621</v>
      </c>
    </row>
    <row r="590">
      <c r="A590" t="n">
        <v>-1</v>
      </c>
      <c r="B590" t="inlineStr">
        <is>
          <t>01-03-2022</t>
        </is>
      </c>
      <c r="C590" t="n">
        <v>2022</v>
      </c>
      <c r="D590" t="n">
        <v>3</v>
      </c>
      <c r="E590" t="inlineStr">
        <is>
          <t>Valparaiso 012</t>
        </is>
      </c>
      <c r="F590" t="inlineStr">
        <is>
          <t>Chilquinta</t>
        </is>
      </c>
      <c r="G590" t="inlineStr">
        <is>
          <t>Chilquinta</t>
        </is>
      </c>
      <c r="H590" t="inlineStr">
        <is>
          <t>Empresa Eléctrica Carén S.A.</t>
        </is>
      </c>
      <c r="I590" t="inlineStr">
        <is>
          <t>Empresa Eléctrica Carén S.A.</t>
        </is>
      </c>
      <c r="J590" t="inlineStr">
        <is>
          <t>SIC 2013/03_2_BS1B_BB_CHILQUINTA_Empresa Eléctrica Carén S.A.</t>
        </is>
      </c>
      <c r="K590" t="inlineStr">
        <is>
          <t>Valparaiso 012</t>
        </is>
      </c>
      <c r="L590" t="inlineStr">
        <is>
          <t>-1</t>
        </is>
      </c>
      <c r="M590" t="n">
        <v>786.1740643987303</v>
      </c>
      <c r="N590" t="n">
        <v>0</v>
      </c>
      <c r="O590" t="inlineStr">
        <is>
          <t>3</t>
        </is>
      </c>
      <c r="P590" s="2" t="n">
        <v>44999.6862684375</v>
      </c>
      <c r="Q590" t="n">
        <v>11</v>
      </c>
      <c r="R590" t="inlineStr">
        <is>
          <t>QUILLOTA 220</t>
        </is>
      </c>
      <c r="S590" t="n">
        <v>66.68100125005209</v>
      </c>
      <c r="T590" t="n">
        <v>6089.050914616041</v>
      </c>
      <c r="U590" t="n">
        <v>0</v>
      </c>
      <c r="V590" t="n">
        <v>0</v>
      </c>
      <c r="W590" t="inlineStr">
        <is>
          <t>CHILQUINTA</t>
        </is>
      </c>
      <c r="X590" t="n">
        <v>97.14481812686002</v>
      </c>
      <c r="Y590" t="n">
        <v>6.089050914616041</v>
      </c>
      <c r="Z590" t="n">
        <v>6477.713738953235</v>
      </c>
      <c r="AA590" t="n">
        <v>0</v>
      </c>
      <c r="AB590" t="n">
        <v>0</v>
      </c>
      <c r="AC590" t="n">
        <v>0</v>
      </c>
      <c r="AD590" s="2" t="n">
        <v>44621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Fecha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AD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IdContrato</t>
        </is>
      </c>
      <c r="B1" s="1" t="inlineStr">
        <is>
          <t>MesDevengado</t>
        </is>
      </c>
      <c r="C1" s="1" t="inlineStr">
        <is>
          <t>Anho</t>
        </is>
      </c>
      <c r="D1" s="1" t="inlineStr">
        <is>
          <t>Mes</t>
        </is>
      </c>
      <c r="E1" s="1" t="inlineStr">
        <is>
          <t>Codigo</t>
        </is>
      </c>
      <c r="F1" s="1" t="inlineStr">
        <is>
          <t>DX</t>
        </is>
      </c>
      <c r="G1" s="1" t="inlineStr">
        <is>
          <t>NomEmpresaDistribuidora</t>
        </is>
      </c>
      <c r="H1" s="1" t="inlineStr">
        <is>
          <t>GX</t>
        </is>
      </c>
      <c r="I1" s="1" t="inlineStr">
        <is>
          <t>NomSuministrador</t>
        </is>
      </c>
      <c r="J1" s="1" t="inlineStr">
        <is>
          <t>CodigoContrato</t>
        </is>
      </c>
      <c r="K1" s="1" t="inlineStr">
        <is>
          <t>PuntoRetiro</t>
        </is>
      </c>
      <c r="L1" s="1" t="inlineStr">
        <is>
          <t>Contrato</t>
        </is>
      </c>
      <c r="M1" s="1" t="inlineStr">
        <is>
          <t>Energia_kWh</t>
        </is>
      </c>
      <c r="N1" s="1" t="inlineStr">
        <is>
          <t>Potencia_kW</t>
        </is>
      </c>
      <c r="O1" s="1" t="inlineStr">
        <is>
          <t>Sistema</t>
        </is>
      </c>
      <c r="P1" s="1" t="inlineStr">
        <is>
          <t>DataCreated</t>
        </is>
      </c>
      <c r="Q1" s="1" t="inlineStr">
        <is>
          <t>IdBarra</t>
        </is>
      </c>
      <c r="R1" s="1" t="inlineStr">
        <is>
          <t>NomBarra</t>
        </is>
      </c>
      <c r="S1" s="1" t="inlineStr">
        <is>
          <t>Energia</t>
        </is>
      </c>
      <c r="T1" s="1" t="inlineStr">
        <is>
          <t>PrecioEnergia</t>
        </is>
      </c>
      <c r="U1" s="1" t="inlineStr">
        <is>
          <t>PrecioEnergiaAjustado</t>
        </is>
      </c>
      <c r="V1" s="1" t="inlineStr">
        <is>
          <t>TotalEnergia</t>
        </is>
      </c>
      <c r="W1" s="1" t="inlineStr">
        <is>
          <t>TotalEnergiaAjustado</t>
        </is>
      </c>
      <c r="X1" s="1" t="inlineStr">
        <is>
          <t>Potencia</t>
        </is>
      </c>
      <c r="Y1" s="1" t="inlineStr">
        <is>
          <t>PrecioPotencia</t>
        </is>
      </c>
      <c r="Z1" s="1" t="inlineStr">
        <is>
          <t>PrecioPotenciaAjustado</t>
        </is>
      </c>
      <c r="AA1" s="1" t="inlineStr">
        <is>
          <t>TotalPotencia</t>
        </is>
      </c>
      <c r="AB1" s="1" t="inlineStr">
        <is>
          <t>TotalPotenciaAjustado</t>
        </is>
      </c>
      <c r="AC1" s="1" t="inlineStr">
        <is>
          <t>EmpresaDistribuidora</t>
        </is>
      </c>
      <c r="AD1" s="1" t="inlineStr">
        <is>
          <t>Fecha</t>
        </is>
      </c>
    </row>
    <row r="2">
      <c r="B2" s="2" t="n">
        <v>42370</v>
      </c>
    </row>
    <row r="3">
      <c r="B3" s="2" t="n">
        <v>42401</v>
      </c>
    </row>
    <row r="4">
      <c r="B4" s="2" t="n">
        <v>42430</v>
      </c>
    </row>
    <row r="5">
      <c r="B5" s="2" t="n">
        <v>42461</v>
      </c>
    </row>
    <row r="6">
      <c r="B6" s="2" t="n">
        <v>42491</v>
      </c>
    </row>
    <row r="7">
      <c r="B7" s="2" t="n">
        <v>42522</v>
      </c>
    </row>
    <row r="8">
      <c r="B8" s="2" t="n">
        <v>42552</v>
      </c>
    </row>
    <row r="9">
      <c r="B9" s="2" t="n">
        <v>42583</v>
      </c>
    </row>
    <row r="10">
      <c r="B10" s="2" t="n">
        <v>42614</v>
      </c>
    </row>
    <row r="11">
      <c r="B11" s="2" t="n">
        <v>42644</v>
      </c>
    </row>
    <row r="12">
      <c r="B12" s="2" t="n">
        <v>42675</v>
      </c>
    </row>
    <row r="13">
      <c r="B13" s="2" t="n">
        <v>42705</v>
      </c>
    </row>
    <row r="14">
      <c r="B14" s="2" t="n">
        <v>42736</v>
      </c>
    </row>
    <row r="15">
      <c r="B15" s="2" t="n">
        <v>42767</v>
      </c>
    </row>
    <row r="16">
      <c r="B16" s="2" t="n">
        <v>42795</v>
      </c>
    </row>
    <row r="17">
      <c r="B17" s="2" t="n">
        <v>42826</v>
      </c>
    </row>
    <row r="18">
      <c r="B18" s="2" t="n">
        <v>42856</v>
      </c>
    </row>
    <row r="19">
      <c r="B19" s="2" t="n">
        <v>42887</v>
      </c>
    </row>
    <row r="20">
      <c r="B20" s="2" t="n">
        <v>42917</v>
      </c>
    </row>
    <row r="21">
      <c r="B21" s="2" t="n">
        <v>42948</v>
      </c>
    </row>
    <row r="22">
      <c r="B22" s="2" t="n">
        <v>42979</v>
      </c>
    </row>
    <row r="23">
      <c r="B23" s="2" t="n">
        <v>43009</v>
      </c>
    </row>
    <row r="24">
      <c r="B24" s="2" t="n">
        <v>43040</v>
      </c>
    </row>
    <row r="25">
      <c r="B25" s="2" t="n">
        <v>43070</v>
      </c>
    </row>
    <row r="26">
      <c r="B26" s="2" t="n">
        <v>43101</v>
      </c>
    </row>
    <row r="27">
      <c r="B27" s="2" t="n">
        <v>43132</v>
      </c>
    </row>
    <row r="28">
      <c r="B28" s="2" t="n">
        <v>43160</v>
      </c>
    </row>
    <row r="29">
      <c r="B29" s="2" t="n">
        <v>43191</v>
      </c>
    </row>
    <row r="30">
      <c r="B30" s="2" t="n">
        <v>43221</v>
      </c>
    </row>
    <row r="31">
      <c r="B31" s="2" t="n">
        <v>43252</v>
      </c>
    </row>
    <row r="32">
      <c r="B32" s="2" t="n">
        <v>43282</v>
      </c>
    </row>
    <row r="33">
      <c r="B33" s="2" t="n">
        <v>43313</v>
      </c>
    </row>
    <row r="34">
      <c r="B34" s="2" t="n">
        <v>43344</v>
      </c>
    </row>
    <row r="35">
      <c r="B35" s="2" t="n">
        <v>43374</v>
      </c>
    </row>
    <row r="36">
      <c r="B36" s="2" t="n">
        <v>43405</v>
      </c>
    </row>
    <row r="37">
      <c r="B37" s="2" t="n">
        <v>43435</v>
      </c>
    </row>
    <row r="38">
      <c r="B38" s="2" t="n">
        <v>43466</v>
      </c>
    </row>
    <row r="39">
      <c r="B39" s="2" t="n">
        <v>43497</v>
      </c>
    </row>
    <row r="40">
      <c r="B40" s="2" t="n">
        <v>43525</v>
      </c>
    </row>
    <row r="41">
      <c r="B41" s="2" t="n">
        <v>43556</v>
      </c>
    </row>
    <row r="42">
      <c r="B42" s="2" t="n">
        <v>43586</v>
      </c>
    </row>
    <row r="43">
      <c r="B43" s="2" t="n">
        <v>43617</v>
      </c>
    </row>
    <row r="44">
      <c r="B44" s="2" t="n">
        <v>43647</v>
      </c>
    </row>
    <row r="45">
      <c r="B45" s="2" t="n">
        <v>43678</v>
      </c>
    </row>
    <row r="46">
      <c r="B46" s="2" t="n">
        <v>43709</v>
      </c>
    </row>
    <row r="47">
      <c r="B47" s="2" t="n">
        <v>43739</v>
      </c>
    </row>
    <row r="48">
      <c r="B48" s="2" t="n">
        <v>43770</v>
      </c>
    </row>
    <row r="49">
      <c r="B49" s="2" t="n">
        <v>43800</v>
      </c>
    </row>
    <row r="50">
      <c r="B50" s="2" t="n">
        <v>43831</v>
      </c>
    </row>
    <row r="51">
      <c r="B51" s="2" t="n">
        <v>43862</v>
      </c>
    </row>
    <row r="52">
      <c r="B52" s="2" t="n">
        <v>43891</v>
      </c>
    </row>
    <row r="53">
      <c r="B53" s="2" t="n">
        <v>43922</v>
      </c>
    </row>
    <row r="54">
      <c r="B54" s="2" t="n">
        <v>43952</v>
      </c>
    </row>
    <row r="55">
      <c r="B55" s="2" t="n">
        <v>43983</v>
      </c>
    </row>
    <row r="56">
      <c r="B56" s="2" t="n">
        <v>44013</v>
      </c>
    </row>
    <row r="57">
      <c r="B57" s="2" t="n">
        <v>44044</v>
      </c>
    </row>
    <row r="58">
      <c r="B58" s="2" t="n">
        <v>44075</v>
      </c>
    </row>
    <row r="59">
      <c r="B59" s="2" t="n">
        <v>44105</v>
      </c>
    </row>
    <row r="60">
      <c r="B60" s="2" t="n">
        <v>44136</v>
      </c>
    </row>
    <row r="61">
      <c r="B61" s="2" t="n">
        <v>44166</v>
      </c>
    </row>
    <row r="62">
      <c r="B62" s="2" t="n">
        <v>44197</v>
      </c>
    </row>
    <row r="63">
      <c r="B63" s="2" t="n">
        <v>44228</v>
      </c>
    </row>
    <row r="64">
      <c r="B64" s="2" t="n">
        <v>44256</v>
      </c>
    </row>
    <row r="65">
      <c r="B65" s="2" t="n">
        <v>44287</v>
      </c>
    </row>
    <row r="66">
      <c r="B66" s="2" t="n">
        <v>44317</v>
      </c>
    </row>
    <row r="67">
      <c r="B67" s="2" t="n">
        <v>44348</v>
      </c>
    </row>
    <row r="68">
      <c r="B68" s="2" t="n">
        <v>44378</v>
      </c>
    </row>
    <row r="69">
      <c r="B69" s="2" t="n">
        <v>44409</v>
      </c>
    </row>
    <row r="70">
      <c r="B70" s="2" t="n">
        <v>44440</v>
      </c>
    </row>
    <row r="71">
      <c r="B71" s="2" t="n">
        <v>44470</v>
      </c>
    </row>
    <row r="72">
      <c r="B72" s="2" t="n">
        <v>44501</v>
      </c>
    </row>
    <row r="73">
      <c r="B73" s="2" t="n">
        <v>44531</v>
      </c>
    </row>
    <row r="74">
      <c r="B74" s="2" t="n">
        <v>44562</v>
      </c>
    </row>
    <row r="75">
      <c r="B75" s="2" t="n">
        <v>44593</v>
      </c>
    </row>
    <row r="76">
      <c r="B76" s="2" t="n">
        <v>44621</v>
      </c>
    </row>
    <row r="77">
      <c r="B77" s="2" t="n">
        <v>44652</v>
      </c>
    </row>
    <row r="78">
      <c r="B78" s="2" t="n">
        <v>44682</v>
      </c>
    </row>
    <row r="79">
      <c r="B79" s="2" t="n">
        <v>44713</v>
      </c>
    </row>
    <row r="80">
      <c r="B80" s="2" t="n">
        <v>44743</v>
      </c>
    </row>
    <row r="81">
      <c r="B81" s="2" t="n">
        <v>44774</v>
      </c>
    </row>
    <row r="82">
      <c r="B82" s="2" t="n">
        <v>44805</v>
      </c>
    </row>
    <row r="83">
      <c r="B83" s="2" t="n">
        <v>44835</v>
      </c>
    </row>
    <row r="84">
      <c r="B84" s="2" t="n">
        <v>44866</v>
      </c>
    </row>
    <row r="85">
      <c r="B85" s="2" t="n">
        <v>44896</v>
      </c>
    </row>
    <row r="86">
      <c r="B86" s="2" t="n">
        <v>44927</v>
      </c>
    </row>
    <row r="87">
      <c r="B87" s="2" t="n">
        <v>44958</v>
      </c>
    </row>
    <row r="88">
      <c r="B88" s="2" t="n">
        <v>44986</v>
      </c>
    </row>
    <row r="89">
      <c r="B89" s="2" t="n">
        <v>45017</v>
      </c>
    </row>
    <row r="90">
      <c r="B90" s="2" t="n">
        <v>45047</v>
      </c>
    </row>
    <row r="91">
      <c r="B91" s="2" t="n">
        <v>45078</v>
      </c>
    </row>
    <row r="92">
      <c r="B92" s="2" t="n">
        <v>45108</v>
      </c>
    </row>
    <row r="93">
      <c r="B93" s="2" t="n">
        <v>45139</v>
      </c>
    </row>
    <row r="94">
      <c r="B94" s="2" t="n">
        <v>45170</v>
      </c>
    </row>
    <row r="95">
      <c r="B95" s="2" t="n">
        <v>45200</v>
      </c>
    </row>
    <row r="96">
      <c r="B96" s="2" t="n">
        <v>45231</v>
      </c>
    </row>
    <row r="97">
      <c r="B97" s="2" t="n">
        <v>45261</v>
      </c>
    </row>
    <row r="98">
      <c r="B98" s="2" t="n">
        <v>45292</v>
      </c>
    </row>
    <row r="99">
      <c r="B99" s="2" t="n">
        <v>45323</v>
      </c>
    </row>
    <row r="100">
      <c r="B100" s="2" t="n">
        <v>45352</v>
      </c>
    </row>
    <row r="101">
      <c r="B101" s="2" t="n">
        <v>45383</v>
      </c>
    </row>
    <row r="102">
      <c r="B102" s="2" t="n">
        <v>45413</v>
      </c>
    </row>
    <row r="103">
      <c r="B103" s="2" t="n">
        <v>45444</v>
      </c>
    </row>
    <row r="104">
      <c r="B104" s="2" t="n">
        <v>45474</v>
      </c>
    </row>
    <row r="105">
      <c r="B105" s="2" t="n">
        <v>45505</v>
      </c>
    </row>
    <row r="106">
      <c r="B106" s="2" t="n">
        <v>45536</v>
      </c>
    </row>
    <row r="107">
      <c r="B107" s="2" t="n">
        <v>45566</v>
      </c>
    </row>
    <row r="108">
      <c r="B108" s="2" t="n">
        <v>45597</v>
      </c>
    </row>
    <row r="109">
      <c r="B109" s="2" t="n">
        <v>45627</v>
      </c>
    </row>
    <row r="110">
      <c r="B110" s="2" t="n">
        <v>45658</v>
      </c>
    </row>
    <row r="111">
      <c r="B111" s="2" t="n">
        <v>45689</v>
      </c>
    </row>
    <row r="112">
      <c r="B112" s="2" t="n">
        <v>45717</v>
      </c>
    </row>
    <row r="113">
      <c r="B113" s="2" t="n">
        <v>45748</v>
      </c>
    </row>
    <row r="114">
      <c r="B114" s="2" t="n">
        <v>45778</v>
      </c>
    </row>
    <row r="115">
      <c r="B115" s="2" t="n">
        <v>45809</v>
      </c>
    </row>
    <row r="116">
      <c r="B116" s="2" t="n">
        <v>45839</v>
      </c>
    </row>
    <row r="117">
      <c r="B117" s="2" t="n">
        <v>45870</v>
      </c>
    </row>
    <row r="118">
      <c r="B118" s="2" t="n">
        <v>45901</v>
      </c>
    </row>
    <row r="119">
      <c r="B119" s="2" t="n">
        <v>45931</v>
      </c>
    </row>
    <row r="120">
      <c r="B120" s="2" t="n">
        <v>45962</v>
      </c>
    </row>
    <row r="121">
      <c r="B121" s="2" t="n">
        <v>45992</v>
      </c>
    </row>
    <row r="122">
      <c r="B122" s="2" t="n">
        <v>46023</v>
      </c>
    </row>
    <row r="123">
      <c r="B123" s="2" t="n">
        <v>46054</v>
      </c>
    </row>
    <row r="124">
      <c r="B124" s="2" t="n">
        <v>46082</v>
      </c>
    </row>
    <row r="125">
      <c r="B125" s="2" t="n">
        <v>46113</v>
      </c>
    </row>
    <row r="126">
      <c r="B126" s="2" t="n">
        <v>46143</v>
      </c>
    </row>
    <row r="127">
      <c r="B127" s="2" t="n">
        <v>46174</v>
      </c>
    </row>
    <row r="128">
      <c r="B128" s="2" t="n">
        <v>46204</v>
      </c>
    </row>
    <row r="129">
      <c r="B129" s="2" t="n">
        <v>46235</v>
      </c>
    </row>
    <row r="130">
      <c r="B130" s="2" t="n">
        <v>46266</v>
      </c>
    </row>
    <row r="131">
      <c r="B131" s="2" t="n">
        <v>46296</v>
      </c>
    </row>
    <row r="132">
      <c r="B132" s="2" t="n">
        <v>46327</v>
      </c>
    </row>
    <row r="133">
      <c r="B133" s="2" t="n">
        <v>46357</v>
      </c>
    </row>
    <row r="134">
      <c r="B134" s="2" t="n">
        <v>46388</v>
      </c>
    </row>
    <row r="135">
      <c r="B135" s="2" t="n">
        <v>46419</v>
      </c>
    </row>
    <row r="136">
      <c r="B136" s="2" t="n">
        <v>46447</v>
      </c>
    </row>
    <row r="137">
      <c r="B137" s="2" t="n">
        <v>46478</v>
      </c>
    </row>
    <row r="138">
      <c r="B138" s="2" t="n">
        <v>46508</v>
      </c>
    </row>
    <row r="139">
      <c r="B139" s="2" t="n">
        <v>46539</v>
      </c>
    </row>
    <row r="140">
      <c r="B140" s="2" t="n">
        <v>46569</v>
      </c>
    </row>
    <row r="141">
      <c r="B141" s="2" t="n">
        <v>46600</v>
      </c>
    </row>
    <row r="142">
      <c r="B142" s="2" t="n">
        <v>46631</v>
      </c>
    </row>
    <row r="143">
      <c r="B143" s="2" t="n">
        <v>46661</v>
      </c>
    </row>
    <row r="144">
      <c r="B144" s="2" t="n">
        <v>46692</v>
      </c>
    </row>
    <row r="145">
      <c r="B145" s="2" t="n">
        <v>46722</v>
      </c>
    </row>
    <row r="146">
      <c r="B146" s="2" t="n">
        <v>46753</v>
      </c>
    </row>
    <row r="147">
      <c r="B147" s="2" t="n">
        <v>46784</v>
      </c>
    </row>
    <row r="148">
      <c r="B148" s="2" t="n">
        <v>46813</v>
      </c>
    </row>
    <row r="149">
      <c r="B149" s="2" t="n">
        <v>46844</v>
      </c>
    </row>
    <row r="150">
      <c r="B150" s="2" t="n">
        <v>46874</v>
      </c>
    </row>
    <row r="151">
      <c r="B151" s="2" t="n">
        <v>46905</v>
      </c>
    </row>
    <row r="152">
      <c r="B152" s="2" t="n">
        <v>46935</v>
      </c>
    </row>
    <row r="153">
      <c r="B153" s="2" t="n">
        <v>46966</v>
      </c>
    </row>
    <row r="154">
      <c r="B154" s="2" t="n">
        <v>46997</v>
      </c>
    </row>
    <row r="155">
      <c r="B155" s="2" t="n">
        <v>47027</v>
      </c>
    </row>
    <row r="156">
      <c r="B156" s="2" t="n">
        <v>47058</v>
      </c>
    </row>
    <row r="157">
      <c r="B157" s="2" t="n">
        <v>47088</v>
      </c>
    </row>
    <row r="158">
      <c r="B158" s="2" t="n">
        <v>47119</v>
      </c>
    </row>
    <row r="159">
      <c r="B159" s="2" t="n">
        <v>47150</v>
      </c>
    </row>
    <row r="160">
      <c r="B160" s="2" t="n">
        <v>47178</v>
      </c>
    </row>
    <row r="161">
      <c r="B161" s="2" t="n">
        <v>47209</v>
      </c>
    </row>
    <row r="162">
      <c r="B162" s="2" t="n">
        <v>47239</v>
      </c>
    </row>
    <row r="163">
      <c r="B163" s="2" t="n">
        <v>47270</v>
      </c>
    </row>
    <row r="164">
      <c r="B164" s="2" t="n">
        <v>47300</v>
      </c>
    </row>
    <row r="165">
      <c r="B165" s="2" t="n">
        <v>47331</v>
      </c>
    </row>
    <row r="166">
      <c r="B166" s="2" t="n">
        <v>47362</v>
      </c>
    </row>
    <row r="167">
      <c r="B167" s="2" t="n">
        <v>47392</v>
      </c>
    </row>
    <row r="168">
      <c r="B168" s="2" t="n">
        <v>47423</v>
      </c>
    </row>
    <row r="169">
      <c r="B169" s="2" t="n">
        <v>47453</v>
      </c>
    </row>
    <row r="170">
      <c r="B170" s="2" t="n">
        <v>47484</v>
      </c>
    </row>
    <row r="171">
      <c r="B171" s="2" t="n">
        <v>47515</v>
      </c>
    </row>
    <row r="172">
      <c r="B172" s="2" t="n">
        <v>47543</v>
      </c>
    </row>
    <row r="173">
      <c r="B173" s="2" t="n">
        <v>47574</v>
      </c>
    </row>
    <row r="174">
      <c r="B174" s="2" t="n">
        <v>47604</v>
      </c>
    </row>
    <row r="175">
      <c r="B175" s="2" t="n">
        <v>47635</v>
      </c>
    </row>
    <row r="176">
      <c r="B176" s="2" t="n">
        <v>47665</v>
      </c>
    </row>
    <row r="177">
      <c r="B177" s="2" t="n">
        <v>47696</v>
      </c>
    </row>
    <row r="178">
      <c r="B178" s="2" t="n">
        <v>47727</v>
      </c>
    </row>
    <row r="179">
      <c r="B179" s="2" t="n">
        <v>47757</v>
      </c>
    </row>
    <row r="180">
      <c r="B180" s="2" t="n">
        <v>47788</v>
      </c>
    </row>
    <row r="181">
      <c r="B181" s="2" t="n">
        <v>47818</v>
      </c>
    </row>
    <row r="182">
      <c r="B182" s="2" t="n">
        <v>47849</v>
      </c>
    </row>
    <row r="183">
      <c r="B183" s="2" t="n">
        <v>47880</v>
      </c>
    </row>
    <row r="184">
      <c r="B184" s="2" t="n">
        <v>47908</v>
      </c>
    </row>
    <row r="185">
      <c r="B185" s="2" t="n">
        <v>47939</v>
      </c>
    </row>
    <row r="186">
      <c r="B186" s="2" t="n">
        <v>47969</v>
      </c>
    </row>
    <row r="187">
      <c r="B187" s="2" t="n">
        <v>48000</v>
      </c>
    </row>
    <row r="188">
      <c r="B188" s="2" t="n">
        <v>48030</v>
      </c>
    </row>
    <row r="189">
      <c r="B189" s="2" t="n">
        <v>48061</v>
      </c>
    </row>
    <row r="190">
      <c r="B190" s="2" t="n">
        <v>48092</v>
      </c>
    </row>
    <row r="191">
      <c r="B191" s="2" t="n">
        <v>48122</v>
      </c>
    </row>
    <row r="192">
      <c r="B192" s="2" t="n">
        <v>48153</v>
      </c>
    </row>
    <row r="193">
      <c r="B193" s="2" t="n">
        <v>48183</v>
      </c>
    </row>
    <row r="194">
      <c r="B194" s="2" t="n">
        <v>48214</v>
      </c>
    </row>
    <row r="195">
      <c r="B195" s="2" t="n">
        <v>48245</v>
      </c>
    </row>
    <row r="196">
      <c r="B196" s="2" t="n">
        <v>48274</v>
      </c>
    </row>
    <row r="197">
      <c r="B197" s="2" t="n">
        <v>48305</v>
      </c>
    </row>
    <row r="198">
      <c r="B198" s="2" t="n">
        <v>48335</v>
      </c>
    </row>
    <row r="199">
      <c r="B199" s="2" t="n">
        <v>48366</v>
      </c>
    </row>
    <row r="200">
      <c r="B200" s="2" t="n">
        <v>48396</v>
      </c>
    </row>
    <row r="201">
      <c r="B201" s="2" t="n">
        <v>48427</v>
      </c>
    </row>
    <row r="202">
      <c r="B202" s="2" t="n">
        <v>48458</v>
      </c>
    </row>
    <row r="203">
      <c r="B203" s="2" t="n">
        <v>48488</v>
      </c>
    </row>
    <row r="204">
      <c r="B204" s="2" t="n">
        <v>48519</v>
      </c>
    </row>
    <row r="205">
      <c r="B205" s="2" t="n">
        <v>48549</v>
      </c>
    </row>
    <row r="206">
      <c r="B206" s="2" t="n">
        <v>48580</v>
      </c>
    </row>
    <row r="207">
      <c r="B207" s="2" t="n">
        <v>48611</v>
      </c>
    </row>
    <row r="208">
      <c r="B208" s="2" t="n">
        <v>48639</v>
      </c>
    </row>
    <row r="209">
      <c r="B209" s="2" t="n">
        <v>48670</v>
      </c>
    </row>
    <row r="210">
      <c r="B210" s="2" t="n">
        <v>48700</v>
      </c>
    </row>
    <row r="211">
      <c r="B211" s="2" t="n">
        <v>48731</v>
      </c>
    </row>
    <row r="212">
      <c r="B212" s="2" t="n">
        <v>48761</v>
      </c>
    </row>
    <row r="213">
      <c r="B213" s="2" t="n">
        <v>48792</v>
      </c>
    </row>
    <row r="214">
      <c r="B214" s="2" t="n">
        <v>48823</v>
      </c>
    </row>
    <row r="215">
      <c r="B215" s="2" t="n">
        <v>48853</v>
      </c>
    </row>
    <row r="216">
      <c r="B216" s="2" t="n">
        <v>48884</v>
      </c>
    </row>
    <row r="217">
      <c r="B217" s="2" t="n">
        <v>48914</v>
      </c>
    </row>
    <row r="218">
      <c r="B218" s="2" t="n">
        <v>48945</v>
      </c>
    </row>
    <row r="219">
      <c r="B219" s="2" t="n">
        <v>48976</v>
      </c>
    </row>
    <row r="220">
      <c r="B220" s="2" t="n">
        <v>49004</v>
      </c>
    </row>
    <row r="221">
      <c r="B221" s="2" t="n">
        <v>49035</v>
      </c>
    </row>
    <row r="222">
      <c r="B222" s="2" t="n">
        <v>49065</v>
      </c>
    </row>
    <row r="223">
      <c r="B223" s="2" t="n">
        <v>49096</v>
      </c>
    </row>
    <row r="224">
      <c r="B224" s="2" t="n">
        <v>49126</v>
      </c>
    </row>
    <row r="225">
      <c r="B225" s="2" t="n">
        <v>49157</v>
      </c>
    </row>
    <row r="226">
      <c r="B226" s="2" t="n">
        <v>49188</v>
      </c>
    </row>
    <row r="227">
      <c r="B227" s="2" t="n">
        <v>49218</v>
      </c>
    </row>
    <row r="228">
      <c r="B228" s="2" t="n">
        <v>49249</v>
      </c>
    </row>
    <row r="229">
      <c r="B229" s="2" t="n">
        <v>49279</v>
      </c>
    </row>
    <row r="230">
      <c r="B230" s="2" t="n">
        <v>49310</v>
      </c>
    </row>
    <row r="231">
      <c r="B231" s="2" t="n">
        <v>49341</v>
      </c>
    </row>
    <row r="232">
      <c r="B232" s="2" t="n">
        <v>49369</v>
      </c>
    </row>
    <row r="233">
      <c r="B233" s="2" t="n">
        <v>49400</v>
      </c>
    </row>
    <row r="234">
      <c r="B234" s="2" t="n">
        <v>49430</v>
      </c>
    </row>
    <row r="235">
      <c r="B235" s="2" t="n">
        <v>49461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Decreto</t>
        </is>
      </c>
      <c r="B1" s="1" t="inlineStr">
        <is>
          <t>Fecha Publicación</t>
        </is>
      </c>
      <c r="C1" s="1" t="inlineStr">
        <is>
          <t>Interés vigente</t>
        </is>
      </c>
      <c r="D1" s="1" t="inlineStr">
        <is>
          <t>Desde</t>
        </is>
      </c>
      <c r="E1" s="1" t="inlineStr">
        <is>
          <t>Hasta</t>
        </is>
      </c>
      <c r="F1" s="1" t="inlineStr">
        <is>
          <t>Interés anual</t>
        </is>
      </c>
      <c r="G1" s="1" t="inlineStr">
        <is>
          <t>Link</t>
        </is>
      </c>
    </row>
    <row r="2">
      <c r="A2" t="inlineStr">
        <is>
          <t>PNP_8T_11-07-2016</t>
        </is>
      </c>
      <c r="B2" s="2" t="n">
        <v>42588</v>
      </c>
      <c r="C2" t="inlineStr">
        <is>
          <t>Certicado N°7/2016</t>
        </is>
      </c>
      <c r="D2" s="2" t="n">
        <v>42566</v>
      </c>
      <c r="E2" s="2" t="n">
        <v>42594</v>
      </c>
      <c r="F2" t="n">
        <v>0.0546</v>
      </c>
      <c r="G2" s="3" t="inlineStr">
        <is>
          <t>https://www.bcn.cl/leychile/navegar?idNorma=1092549</t>
        </is>
      </c>
    </row>
    <row r="3">
      <c r="A3" t="inlineStr">
        <is>
          <t>PNP_9T_25-07-2016</t>
        </is>
      </c>
      <c r="B3" s="2" t="n">
        <v>42614</v>
      </c>
      <c r="C3" t="inlineStr">
        <is>
          <t>Certificado N°8/2016</t>
        </is>
      </c>
      <c r="D3" s="2" t="n">
        <v>42595</v>
      </c>
      <c r="E3" s="2" t="n">
        <v>42627</v>
      </c>
      <c r="F3" t="n">
        <v>0.0542</v>
      </c>
      <c r="G3" s="3" t="inlineStr">
        <is>
          <t>https://www.bcn.cl/leychile/navegar?idNorma=1093605</t>
        </is>
      </c>
    </row>
    <row r="4">
      <c r="A4" t="inlineStr">
        <is>
          <t>PNP_12T_20-12-2016</t>
        </is>
      </c>
      <c r="B4" s="2" t="n">
        <v>43018</v>
      </c>
      <c r="C4" t="inlineStr">
        <is>
          <t>Certificado N°9/2017</t>
        </is>
      </c>
      <c r="D4" s="2" t="n">
        <v>42993</v>
      </c>
      <c r="E4" s="2" t="n">
        <v>43021</v>
      </c>
      <c r="F4" t="n">
        <v>0.0416</v>
      </c>
      <c r="G4" s="3" t="inlineStr">
        <is>
          <t>https://www.diariooficial.interior.gob.cl/publicaciones/2017/09/15/41861/01/1272697.pdf</t>
        </is>
      </c>
    </row>
    <row r="5">
      <c r="A5" t="inlineStr">
        <is>
          <t>PNP_3T_15-05-2017</t>
        </is>
      </c>
      <c r="B5" s="2" t="n">
        <v>43018</v>
      </c>
      <c r="C5" t="inlineStr">
        <is>
          <t>Certificado N°9/2017</t>
        </is>
      </c>
      <c r="D5" s="2" t="n">
        <v>42993</v>
      </c>
      <c r="E5" s="2" t="n">
        <v>43021</v>
      </c>
      <c r="F5" t="n">
        <v>0.0416</v>
      </c>
      <c r="G5" s="3" t="inlineStr">
        <is>
          <t>https://www.diariooficial.interior.gob.cl/publicaciones/2017/09/15/41861/01/1272697.pdf</t>
        </is>
      </c>
    </row>
    <row r="6">
      <c r="A6" t="inlineStr">
        <is>
          <t>PNP_12T_28-11-2017</t>
        </is>
      </c>
      <c r="B6" s="2" t="n">
        <v>43183</v>
      </c>
      <c r="C6" t="inlineStr">
        <is>
          <t>Certificado N°3/2018</t>
        </is>
      </c>
      <c r="D6" s="2" t="n">
        <v>43174</v>
      </c>
      <c r="E6" s="2" t="n">
        <v>43203</v>
      </c>
      <c r="F6" t="n">
        <v>0.042</v>
      </c>
      <c r="G6" s="3" t="inlineStr">
        <is>
          <t>https://www.diariooficial.interior.gob.cl/publicaciones/2018/03/15/42008/01/1366088.pdf</t>
        </is>
      </c>
    </row>
    <row r="7">
      <c r="A7" t="inlineStr">
        <is>
          <t>PNP_7T_18-05-2018</t>
        </is>
      </c>
      <c r="B7" s="2" t="n">
        <v>43371</v>
      </c>
      <c r="C7" t="inlineStr">
        <is>
          <t>Certificado N°9/2018</t>
        </is>
      </c>
      <c r="D7" s="2" t="n">
        <v>43358</v>
      </c>
      <c r="E7" s="2" t="n">
        <v>43385</v>
      </c>
      <c r="F7" t="n">
        <v>0.0438</v>
      </c>
      <c r="G7" s="3" t="inlineStr">
        <is>
          <t>https://www.diariooficial.interior.gob.cl/publicaciones/2018/09/15/42159/01/1465375.pdf</t>
        </is>
      </c>
    </row>
    <row r="8">
      <c r="A8" t="inlineStr">
        <is>
          <t>PNP_20T_13-12-2018</t>
        </is>
      </c>
      <c r="B8" s="2" t="n">
        <v>43591</v>
      </c>
      <c r="C8" t="inlineStr">
        <is>
          <t>Certificado N°4/2019</t>
        </is>
      </c>
      <c r="D8" s="2" t="n">
        <v>43570</v>
      </c>
      <c r="E8" s="2" t="n">
        <v>43599</v>
      </c>
      <c r="F8" t="n">
        <v>0.0446</v>
      </c>
      <c r="G8" s="3" t="inlineStr">
        <is>
          <t>https://www.diariooficial.interior.gob.cl/publicaciones/2019/04/15/42331/01/1576341.pdf</t>
        </is>
      </c>
    </row>
    <row r="9">
      <c r="A9" t="inlineStr">
        <is>
          <t>PNP_6T_08-05-2020</t>
        </is>
      </c>
      <c r="B9" s="2" t="n">
        <v>44137</v>
      </c>
      <c r="C9" t="inlineStr">
        <is>
          <t>Certificado N° 10/2020</t>
        </is>
      </c>
      <c r="D9" s="2" t="n">
        <v>44119</v>
      </c>
      <c r="E9" s="2" t="n">
        <v>44148</v>
      </c>
      <c r="F9" t="n">
        <v>0.0361</v>
      </c>
      <c r="G9" s="3" t="inlineStr">
        <is>
          <t>https://www.diariooficial.interior.gob.cl/publicaciones/2020/10/15/42780/01/1830437.pdf</t>
        </is>
      </c>
    </row>
    <row r="10">
      <c r="A10" t="inlineStr">
        <is>
          <t>PNP_16T_02-11-2020</t>
        </is>
      </c>
      <c r="B10" s="2" t="n">
        <v>44275</v>
      </c>
      <c r="C10" t="inlineStr">
        <is>
          <t>Certificado N° 3/2021</t>
        </is>
      </c>
      <c r="D10" s="2" t="n">
        <v>44270</v>
      </c>
      <c r="E10" s="2" t="n">
        <v>44300</v>
      </c>
      <c r="F10" t="n">
        <v>0.0391</v>
      </c>
      <c r="G10" s="3" t="inlineStr">
        <is>
          <t>https://www.diariooficial.interior.gob.cl/publicaciones/2021/03/15/42905/01/1910115.pdf</t>
        </is>
      </c>
    </row>
    <row r="11">
      <c r="A11" t="inlineStr">
        <is>
          <t>PNP_19T_30-12-2020</t>
        </is>
      </c>
      <c r="B11" s="2" t="n">
        <v>44336</v>
      </c>
      <c r="C11" t="inlineStr">
        <is>
          <t>Certificado N° 05/2021</t>
        </is>
      </c>
      <c r="D11" s="2" t="n">
        <v>44330</v>
      </c>
      <c r="F11" t="n">
        <v>0.0328</v>
      </c>
      <c r="G11" s="3" t="inlineStr">
        <is>
          <t>https://www.diariooficial.interior.gob.cl/publicaciones/2021/05/14/42954/01/1943780.pdf</t>
        </is>
      </c>
    </row>
    <row r="13">
      <c r="A13" t="inlineStr">
        <is>
          <t>Interés ResEx 703 (06-nov.2018), Artículo 13</t>
        </is>
      </c>
    </row>
    <row r="14">
      <c r="A14" t="inlineStr">
        <is>
          <t>Operaciones no reajustables en moneda nacional de menos de 90 días, superiores al equivalente de 5.000 unidades de fomento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2023-03-14T19:28:15Z</dcterms:created>
  <dcterms:modified xmlns:dcterms="http://purl.org/dc/terms/" xmlns:xsi="http://www.w3.org/2001/XMLSchema-instance" xsi:type="dcterms:W3CDTF">2023-03-14T19:28:15Z</dcterms:modified>
</cp:coreProperties>
</file>