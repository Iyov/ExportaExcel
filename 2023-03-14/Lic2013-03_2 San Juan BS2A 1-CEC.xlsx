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ReliquidacionEFACT" sheetId="2" state="visible" r:id="rId2"/>
    <sheet xmlns:r="http://schemas.openxmlformats.org/officeDocument/2006/relationships" name="ResumenRetiros" sheetId="3" state="visible" r:id="rId3"/>
    <sheet xmlns:r="http://schemas.openxmlformats.org/officeDocument/2006/relationships" name="FactRealE" sheetId="4" state="visible" r:id="rId4"/>
    <sheet xmlns:r="http://schemas.openxmlformats.org/officeDocument/2006/relationships" name="FactRealP" sheetId="5" state="visible" r:id="rId5"/>
    <sheet xmlns:r="http://schemas.openxmlformats.org/officeDocument/2006/relationships" name="FACT_EMITIDA" sheetId="6" state="visible" r:id="rId6"/>
    <sheet xmlns:r="http://schemas.openxmlformats.org/officeDocument/2006/relationships" name="SIGGE_E" sheetId="7" state="visible" r:id="rId7"/>
    <sheet xmlns:r="http://schemas.openxmlformats.org/officeDocument/2006/relationships" name="SIGGE_P" sheetId="8" state="visible" r:id="rId8"/>
    <sheet xmlns:r="http://schemas.openxmlformats.org/officeDocument/2006/relationships" name="EFACT_CNE" sheetId="9" state="visible" r:id="rId9"/>
    <sheet xmlns:r="http://schemas.openxmlformats.org/officeDocument/2006/relationships" name="EfactCNE_BT" sheetId="10" state="visible" r:id="rId10"/>
    <sheet xmlns:r="http://schemas.openxmlformats.org/officeDocument/2006/relationships" name="CEN_Energia" sheetId="11" state="visible" r:id="rId11"/>
    <sheet xmlns:r="http://schemas.openxmlformats.org/officeDocument/2006/relationships" name="CEN_Potencia" sheetId="12" state="visible" r:id="rId12"/>
    <sheet xmlns:r="http://schemas.openxmlformats.org/officeDocument/2006/relationships" name="CEN_EnergiaBT" sheetId="13" state="visible" r:id="rId13"/>
    <sheet xmlns:r="http://schemas.openxmlformats.org/officeDocument/2006/relationships" name="EFACT_EST_CEN" sheetId="14" state="visible" r:id="rId14"/>
    <sheet xmlns:r="http://schemas.openxmlformats.org/officeDocument/2006/relationships" name="SIN_DATA" sheetId="15" state="visible" r:id="rId15"/>
    <sheet xmlns:r="http://schemas.openxmlformats.org/officeDocument/2006/relationships" name="INTERESE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DD-MM-YYYY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0" borderId="0" pivotButton="0" quotePrefix="0" xfId="1"/>
    <xf numFmtId="165" fontId="0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6.xml.rels><Relationships xmlns="http://schemas.openxmlformats.org/package/2006/relationships"><Relationship Type="http://schemas.openxmlformats.org/officeDocument/2006/relationships/hyperlink" Target="https://www.bcn.cl/leychile/navegar?idNorma=1092549" TargetMode="External" Id="rId1"/><Relationship Type="http://schemas.openxmlformats.org/officeDocument/2006/relationships/hyperlink" Target="https://www.bcn.cl/leychile/navegar?idNorma=1093605" TargetMode="External" Id="rId2"/><Relationship Type="http://schemas.openxmlformats.org/officeDocument/2006/relationships/hyperlink" Target="https://www.diariooficial.interior.gob.cl/publicaciones/2017/09/15/41861/01/1272697.pdf" TargetMode="External" Id="rId3"/><Relationship Type="http://schemas.openxmlformats.org/officeDocument/2006/relationships/hyperlink" Target="https://www.diariooficial.interior.gob.cl/publicaciones/2017/09/15/41861/01/1272697.pdf" TargetMode="External" Id="rId4"/><Relationship Type="http://schemas.openxmlformats.org/officeDocument/2006/relationships/hyperlink" Target="https://www.diariooficial.interior.gob.cl/publicaciones/2018/03/15/42008/01/1366088.pdf" TargetMode="External" Id="rId5"/><Relationship Type="http://schemas.openxmlformats.org/officeDocument/2006/relationships/hyperlink" Target="https://www.diariooficial.interior.gob.cl/publicaciones/2018/09/15/42159/01/1465375.pdf" TargetMode="External" Id="rId6"/><Relationship Type="http://schemas.openxmlformats.org/officeDocument/2006/relationships/hyperlink" Target="https://www.diariooficial.interior.gob.cl/publicaciones/2019/04/15/42331/01/1576341.pdf" TargetMode="External" Id="rId7"/><Relationship Type="http://schemas.openxmlformats.org/officeDocument/2006/relationships/hyperlink" Target="https://www.diariooficial.interior.gob.cl/publicaciones/2020/10/15/42780/01/1830437.pdf" TargetMode="External" Id="rId8"/><Relationship Type="http://schemas.openxmlformats.org/officeDocument/2006/relationships/hyperlink" Target="https://www.diariooficial.interior.gob.cl/publicaciones/2021/03/15/42905/01/1910115.pdf" TargetMode="External" Id="rId9"/><Relationship Type="http://schemas.openxmlformats.org/officeDocument/2006/relationships/hyperlink" Target="https://www.diariooficial.interior.gob.cl/publicaciones/2021/05/14/42954/01/1943780.pdf" TargetMode="External" Id="rId1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Hoja</t>
        </is>
      </c>
      <c r="B1" s="1" t="inlineStr">
        <is>
          <t>Descripción</t>
        </is>
      </c>
    </row>
    <row r="2">
      <c r="A2" t="inlineStr">
        <is>
          <t>EFACT_CNE</t>
        </is>
      </c>
      <c r="B2" t="inlineStr">
        <is>
          <t>Información de facturación definitiva proveniente de los archivos EFACT publicados por la CNE en los Decretos de Precio de Nudo</t>
        </is>
      </c>
    </row>
    <row r="3">
      <c r="A3" t="inlineStr">
        <is>
          <t>FACT_EMITIDA</t>
        </is>
      </c>
      <c r="B3" t="inlineStr">
        <is>
          <t>Información de facturación real desde PDFs y sistema SIGGE (gestión facturación electrónica)</t>
        </is>
      </c>
    </row>
    <row r="4">
      <c r="A4" t="inlineStr">
        <is>
          <t>SIGGE_E</t>
        </is>
      </c>
      <c r="B4" t="inlineStr">
        <is>
          <t>Información de facturación real de Energía desde PDFs y sistema SIGGE (gestión facturación electrónica)</t>
        </is>
      </c>
    </row>
    <row r="5">
      <c r="A5" t="inlineStr">
        <is>
          <t>SIGGE_P</t>
        </is>
      </c>
      <c r="B5" t="inlineStr">
        <is>
          <t>Información de facturación real de Potencia desde PDFs y sistema SIGGE (gestión facturación electrónica)</t>
        </is>
      </c>
    </row>
    <row r="6">
      <c r="A6" t="inlineStr">
        <is>
          <t>FACT_EST_EFACT</t>
        </is>
      </c>
      <c r="B6" t="inlineStr">
        <is>
          <t>Estimación de facturación emitida en base a información de los EFACT Decretos Precios de Nudo</t>
        </is>
      </c>
    </row>
    <row r="7">
      <c r="A7" t="inlineStr">
        <is>
          <t>FACT_EST_CEN</t>
        </is>
      </c>
      <c r="B7" t="inlineStr">
        <is>
          <t>Estimación de la facturación emitida en base a los balances mensuales publicados por el Coordinador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8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</row>
    <row r="2">
      <c r="A2" t="inlineStr">
        <is>
          <t>Generador</t>
        </is>
      </c>
      <c r="B2" t="inlineStr">
        <is>
          <t>San Juan</t>
        </is>
      </c>
    </row>
    <row r="3">
      <c r="A3" t="inlineStr">
        <is>
          <t>Distribuidor</t>
        </is>
      </c>
      <c r="B3" t="inlineStr">
        <is>
          <t>CEC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BS2A</t>
        </is>
      </c>
    </row>
    <row r="7">
      <c r="C7" t="inlineStr">
        <is>
          <t>LO QUE SE FACTURÓ</t>
        </is>
      </c>
      <c r="L7" t="inlineStr">
        <is>
          <t>LO QUE SE DEBIÓ HABER FACTURADO</t>
        </is>
      </c>
      <c r="U7" t="inlineStr">
        <is>
          <t>RELQUIDACIÓN Y CÁLCULO INTERESES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(kWh)</t>
        </is>
      </c>
      <c r="E8" t="inlineStr">
        <is>
          <t>Monto Energía ($)</t>
        </is>
      </c>
      <c r="F8" t="inlineStr">
        <is>
          <t>$/kWh</t>
        </is>
      </c>
      <c r="G8" t="inlineStr">
        <is>
          <t>Potencia (kW)</t>
        </is>
      </c>
      <c r="H8" t="inlineStr">
        <is>
          <t>Monto Potencia ($)</t>
        </is>
      </c>
      <c r="I8" t="inlineStr">
        <is>
          <t>$/kW-mes</t>
        </is>
      </c>
      <c r="J8" t="inlineStr">
        <is>
          <t>Monto Total ($)</t>
        </is>
      </c>
      <c r="L8" t="inlineStr">
        <is>
          <t>ORIGEN DATA</t>
        </is>
      </c>
      <c r="M8" t="inlineStr">
        <is>
          <t>Energía (kWh)</t>
        </is>
      </c>
      <c r="N8" t="inlineStr">
        <is>
          <t>Monto Energía ($)</t>
        </is>
      </c>
      <c r="O8" t="inlineStr">
        <is>
          <t>$/kWh</t>
        </is>
      </c>
      <c r="P8" t="inlineStr">
        <is>
          <t>Potencia (kW)</t>
        </is>
      </c>
      <c r="Q8" t="inlineStr">
        <is>
          <t>Monto Potencia ($)</t>
        </is>
      </c>
      <c r="R8" t="inlineStr">
        <is>
          <t>$/kW-mes</t>
        </is>
      </c>
      <c r="S8" t="inlineStr">
        <is>
          <t>Monto Total ($)</t>
        </is>
      </c>
      <c r="U8" t="inlineStr">
        <is>
          <t>Mes</t>
        </is>
      </c>
      <c r="V8" t="inlineStr">
        <is>
          <t>Reliquidación mensual ($)</t>
        </is>
      </c>
      <c r="W8" t="inlineStr">
        <is>
          <t>Decreto PNP Reliquidación</t>
        </is>
      </c>
      <c r="X8" t="inlineStr">
        <is>
          <t>Fecha publicación Diario Oficial</t>
        </is>
      </c>
      <c r="Y8" t="inlineStr">
        <is>
          <t>Interés Anual</t>
        </is>
      </c>
      <c r="Z8" t="inlineStr">
        <is>
          <t>Fecha Facturación</t>
        </is>
      </c>
      <c r="AA8" t="inlineStr">
        <is>
          <t>Fecha Reliquidación</t>
        </is>
      </c>
      <c r="AB8" t="inlineStr">
        <is>
          <t>N° de días de intereses</t>
        </is>
      </c>
      <c r="AC8" t="inlineStr">
        <is>
          <t>Interés total según n° de días</t>
        </is>
      </c>
      <c r="AD8" t="inlineStr">
        <is>
          <t>Intereses ($)</t>
        </is>
      </c>
      <c r="AE8" t="inlineStr">
        <is>
          <t>Reliquidación Total ($)</t>
        </is>
      </c>
    </row>
    <row r="9">
      <c r="A9" t="n">
        <v>9</v>
      </c>
      <c r="B9" s="4" t="n">
        <v>44470</v>
      </c>
      <c r="C9" t="inlineStr">
        <is>
          <t>FACT_EMITIDA</t>
        </is>
      </c>
      <c r="D9">
        <f>SUMIF(SIGGE_E!B:B,ReliquidacionEFACT!B9,SIGGE_E!S:S)</f>
        <v/>
      </c>
      <c r="E9">
        <f>SUMIF(SIGGE_E!B:B,ReliquidacionEFACT!B9,SIGGE_E!T:T)</f>
        <v/>
      </c>
      <c r="F9">
        <f>IFERROR((E9/D9),0)</f>
        <v/>
      </c>
      <c r="G9">
        <f>SUMIF(SIGGE_P!B:B,ReliquidacionEFACT!B9,SIGGE_P!U:U)</f>
        <v/>
      </c>
      <c r="H9">
        <f>SUMIF(SIGGE_P!B:B,ReliquidacionEFACT!B9,SIGGE_P!V:V)</f>
        <v/>
      </c>
      <c r="I9">
        <f>IFERROR((H9/G9),0)</f>
        <v/>
      </c>
      <c r="J9">
        <f>(E9+H9)</f>
        <v/>
      </c>
      <c r="L9" t="inlineStr">
        <is>
          <t>EFACT_CNE</t>
        </is>
      </c>
      <c r="M9">
        <f>SUMIF(EFACT_CNE!B:B,ReliquidacionEFACT!B9,EFACT_CNE!S:S)</f>
        <v/>
      </c>
      <c r="N9">
        <f>SUMIF(EFACT_CNE!B:B,ReliquidacionEFACT!B9,EFACT_CNE!T:T)</f>
        <v/>
      </c>
      <c r="O9">
        <f>IFERROR((N9/M9),0)</f>
        <v/>
      </c>
      <c r="P9">
        <f>SUMIF(EFACT_CNE!B:B,ReliquidacionEFACT!B9,EFACT_CNE!U:U)</f>
        <v/>
      </c>
      <c r="Q9">
        <f>SUMIF(EFACT_CNE!B:B,ReliquidacionEFACT!B9,EFACT_CNE!V:V)</f>
        <v/>
      </c>
      <c r="R9">
        <f>IFERROR((Q9/P9),0)</f>
        <v/>
      </c>
      <c r="S9">
        <f>(N9+Q9)</f>
        <v/>
      </c>
      <c r="U9" s="2" t="n">
        <v>44470</v>
      </c>
      <c r="V9">
        <f>(S9-J9)</f>
        <v/>
      </c>
      <c r="W9" t="inlineStr">
        <is>
          <t>PNP_9T</t>
        </is>
      </c>
      <c r="X9" s="2" t="n">
        <v>44912</v>
      </c>
      <c r="Y9" t="n">
        <v>0.1046</v>
      </c>
      <c r="Z9" s="2" t="n">
        <v>44494</v>
      </c>
      <c r="AA9" s="2" t="n">
        <v>44926</v>
      </c>
      <c r="AB9">
        <f>(AA9-Z9)</f>
        <v/>
      </c>
      <c r="AC9">
        <f>(1+Y9)^(AB9/360)-1</f>
        <v/>
      </c>
      <c r="AD9">
        <f>(AC9*V9)</f>
        <v/>
      </c>
      <c r="AE9">
        <f>(V9+AD9)</f>
        <v/>
      </c>
    </row>
    <row r="10">
      <c r="A10" t="n">
        <v>10</v>
      </c>
      <c r="B10" s="4" t="n">
        <v>44501</v>
      </c>
      <c r="C10" t="inlineStr">
        <is>
          <t>FACT_EMITIDA</t>
        </is>
      </c>
      <c r="D10">
        <f>SUMIF(SIGGE_E!B:B,ReliquidacionEFACT!B10,SIGGE_E!S:S)</f>
        <v/>
      </c>
      <c r="E10">
        <f>SUMIF(SIGGE_E!B:B,ReliquidacionEFACT!B10,SIGGE_E!T:T)</f>
        <v/>
      </c>
      <c r="F10">
        <f>IFERROR((E10/D10),0)</f>
        <v/>
      </c>
      <c r="G10">
        <f>SUMIF(SIGGE_P!B:B,ReliquidacionEFACT!B10,SIGGE_P!U:U)</f>
        <v/>
      </c>
      <c r="H10">
        <f>SUMIF(SIGGE_P!B:B,ReliquidacionEFACT!B10,SIGGE_P!V:V)</f>
        <v/>
      </c>
      <c r="I10">
        <f>IFERROR((H10/G10),0)</f>
        <v/>
      </c>
      <c r="J10">
        <f>(E10+H10)</f>
        <v/>
      </c>
      <c r="L10" t="inlineStr">
        <is>
          <t>EFACT_CNE</t>
        </is>
      </c>
      <c r="M10">
        <f>SUMIF(EFACT_CNE!B:B,ReliquidacionEFACT!B10,EFACT_CNE!S:S)</f>
        <v/>
      </c>
      <c r="N10">
        <f>SUMIF(EFACT_CNE!B:B,ReliquidacionEFACT!B10,EFACT_CNE!T:T)</f>
        <v/>
      </c>
      <c r="O10">
        <f>IFERROR((N10/M10),0)</f>
        <v/>
      </c>
      <c r="P10">
        <f>SUMIF(EFACT_CNE!B:B,ReliquidacionEFACT!B10,EFACT_CNE!U:U)</f>
        <v/>
      </c>
      <c r="Q10">
        <f>SUMIF(EFACT_CNE!B:B,ReliquidacionEFACT!B10,EFACT_CNE!V:V)</f>
        <v/>
      </c>
      <c r="R10">
        <f>IFERROR((Q10/P10),0)</f>
        <v/>
      </c>
      <c r="S10">
        <f>(N10+Q10)</f>
        <v/>
      </c>
      <c r="U10" s="2" t="n">
        <v>44501</v>
      </c>
      <c r="V10">
        <f>(S10-J10)</f>
        <v/>
      </c>
      <c r="W10" t="inlineStr">
        <is>
          <t>PNP_9T</t>
        </is>
      </c>
      <c r="X10" s="2" t="n">
        <v>44912</v>
      </c>
      <c r="Y10" t="n">
        <v>0.1046</v>
      </c>
      <c r="Z10" s="2" t="n">
        <v>44525</v>
      </c>
      <c r="AA10" s="2" t="n">
        <v>44926</v>
      </c>
      <c r="AB10">
        <f>(AA10-Z10)</f>
        <v/>
      </c>
      <c r="AC10">
        <f>(1+Y10)^(AB10/360)-1</f>
        <v/>
      </c>
      <c r="AD10">
        <f>(AC10*V10)</f>
        <v/>
      </c>
      <c r="AE10">
        <f>(V10+AD10)</f>
        <v/>
      </c>
    </row>
    <row r="11">
      <c r="A11" t="n">
        <v>11</v>
      </c>
      <c r="B11" s="4" t="n">
        <v>44531</v>
      </c>
      <c r="C11" t="inlineStr">
        <is>
          <t>FACT_EMITIDA</t>
        </is>
      </c>
      <c r="D11">
        <f>SUMIF(SIGGE_E!B:B,ReliquidacionEFACT!B11,SIGGE_E!S:S)</f>
        <v/>
      </c>
      <c r="E11">
        <f>SUMIF(SIGGE_E!B:B,ReliquidacionEFACT!B11,SIGGE_E!T:T)</f>
        <v/>
      </c>
      <c r="F11">
        <f>IFERROR((E11/D11),0)</f>
        <v/>
      </c>
      <c r="G11">
        <f>SUMIF(SIGGE_P!B:B,ReliquidacionEFACT!B11,SIGGE_P!U:U)</f>
        <v/>
      </c>
      <c r="H11">
        <f>SUMIF(SIGGE_P!B:B,ReliquidacionEFACT!B11,SIGGE_P!V:V)</f>
        <v/>
      </c>
      <c r="I11">
        <f>IFERROR((H11/G11),0)</f>
        <v/>
      </c>
      <c r="J11">
        <f>(E11+H11)</f>
        <v/>
      </c>
      <c r="L11" t="inlineStr">
        <is>
          <t>EFACT_CNE</t>
        </is>
      </c>
      <c r="M11">
        <f>SUMIF(EFACT_CNE!B:B,ReliquidacionEFACT!B11,EFACT_CNE!S:S)</f>
        <v/>
      </c>
      <c r="N11">
        <f>SUMIF(EFACT_CNE!B:B,ReliquidacionEFACT!B11,EFACT_CNE!T:T)</f>
        <v/>
      </c>
      <c r="O11">
        <f>IFERROR((N11/M11),0)</f>
        <v/>
      </c>
      <c r="P11">
        <f>SUMIF(EFACT_CNE!B:B,ReliquidacionEFACT!B11,EFACT_CNE!U:U)</f>
        <v/>
      </c>
      <c r="Q11">
        <f>SUMIF(EFACT_CNE!B:B,ReliquidacionEFACT!B11,EFACT_CNE!V:V)</f>
        <v/>
      </c>
      <c r="R11">
        <f>IFERROR((Q11/P11),0)</f>
        <v/>
      </c>
      <c r="S11">
        <f>(N11+Q11)</f>
        <v/>
      </c>
      <c r="U11" s="2" t="n">
        <v>44531</v>
      </c>
      <c r="V11">
        <f>(S11-J11)</f>
        <v/>
      </c>
      <c r="W11" t="inlineStr">
        <is>
          <t>PNP_9T</t>
        </is>
      </c>
      <c r="X11" s="2" t="n">
        <v>44912</v>
      </c>
      <c r="Y11" t="n">
        <v>0.1046</v>
      </c>
      <c r="Z11" s="2" t="n">
        <v>44555</v>
      </c>
      <c r="AA11" s="2" t="n">
        <v>44926</v>
      </c>
      <c r="AB11">
        <f>(AA11-Z11)</f>
        <v/>
      </c>
      <c r="AC11">
        <f>(1+Y11)^(AB11/360)-1</f>
        <v/>
      </c>
      <c r="AD11">
        <f>(AC11*V11)</f>
        <v/>
      </c>
      <c r="AE11">
        <f>(V11+AD11)</f>
        <v/>
      </c>
    </row>
    <row r="12">
      <c r="A12" t="n">
        <v>12</v>
      </c>
      <c r="B12" s="4" t="n">
        <v>44562</v>
      </c>
      <c r="C12" t="inlineStr">
        <is>
          <t>FACT_EMITIDA</t>
        </is>
      </c>
      <c r="D12">
        <f>SUMIF(SIGGE_E!B:B,ReliquidacionEFACT!B12,SIGGE_E!S:S)</f>
        <v/>
      </c>
      <c r="E12">
        <f>SUMIF(SIGGE_E!B:B,ReliquidacionEFACT!B12,SIGGE_E!T:T)</f>
        <v/>
      </c>
      <c r="F12">
        <f>IFERROR((E12/D12),0)</f>
        <v/>
      </c>
      <c r="G12">
        <f>SUMIF(SIGGE_P!B:B,ReliquidacionEFACT!B12,SIGGE_P!U:U)</f>
        <v/>
      </c>
      <c r="H12">
        <f>SUMIF(SIGGE_P!B:B,ReliquidacionEFACT!B12,SIGGE_P!V:V)</f>
        <v/>
      </c>
      <c r="I12">
        <f>IFERROR((H12/G12),0)</f>
        <v/>
      </c>
      <c r="J12">
        <f>(E12+H12)</f>
        <v/>
      </c>
      <c r="L12" t="inlineStr">
        <is>
          <t>EFACT_CNE</t>
        </is>
      </c>
      <c r="M12">
        <f>SUMIF(EFACT_CNE!B:B,ReliquidacionEFACT!B12,EFACT_CNE!S:S)</f>
        <v/>
      </c>
      <c r="N12">
        <f>SUMIF(EFACT_CNE!B:B,ReliquidacionEFACT!B12,EFACT_CNE!T:T)</f>
        <v/>
      </c>
      <c r="O12">
        <f>IFERROR((N12/M12),0)</f>
        <v/>
      </c>
      <c r="P12">
        <f>SUMIF(EFACT_CNE!B:B,ReliquidacionEFACT!B12,EFACT_CNE!U:U)</f>
        <v/>
      </c>
      <c r="Q12">
        <f>SUMIF(EFACT_CNE!B:B,ReliquidacionEFACT!B12,EFACT_CNE!V:V)</f>
        <v/>
      </c>
      <c r="R12">
        <f>IFERROR((Q12/P12),0)</f>
        <v/>
      </c>
      <c r="S12">
        <f>(N12+Q12)</f>
        <v/>
      </c>
      <c r="U12" s="2" t="n">
        <v>44562</v>
      </c>
      <c r="V12">
        <f>(S12-J12)</f>
        <v/>
      </c>
      <c r="W12" t="inlineStr">
        <is>
          <t>PNP_9T</t>
        </is>
      </c>
      <c r="X12" s="2" t="n">
        <v>44912</v>
      </c>
      <c r="Y12" t="n">
        <v>0.1046</v>
      </c>
      <c r="Z12" s="2" t="n">
        <v>44586</v>
      </c>
      <c r="AA12" s="2" t="n">
        <v>44926</v>
      </c>
      <c r="AB12">
        <f>(AA12-Z12)</f>
        <v/>
      </c>
      <c r="AC12">
        <f>(1+Y12)^(AB12/360)-1</f>
        <v/>
      </c>
      <c r="AD12">
        <f>(AC12*V12)</f>
        <v/>
      </c>
      <c r="AE12">
        <f>(V12+AD12)</f>
        <v/>
      </c>
    </row>
    <row r="13">
      <c r="A13" t="n">
        <v>13</v>
      </c>
      <c r="B13" s="4" t="n">
        <v>44593</v>
      </c>
      <c r="C13" t="inlineStr">
        <is>
          <t>FACT_EMITIDA</t>
        </is>
      </c>
      <c r="D13">
        <f>SUMIF(SIGGE_E!B:B,ReliquidacionEFACT!B13,SIGGE_E!S:S)</f>
        <v/>
      </c>
      <c r="E13">
        <f>SUMIF(SIGGE_E!B:B,ReliquidacionEFACT!B13,SIGGE_E!T:T)</f>
        <v/>
      </c>
      <c r="F13">
        <f>IFERROR((E13/D13),0)</f>
        <v/>
      </c>
      <c r="G13">
        <f>SUMIF(SIGGE_P!B:B,ReliquidacionEFACT!B13,SIGGE_P!U:U)</f>
        <v/>
      </c>
      <c r="H13">
        <f>SUMIF(SIGGE_P!B:B,ReliquidacionEFACT!B13,SIGGE_P!V:V)</f>
        <v/>
      </c>
      <c r="I13">
        <f>IFERROR((H13/G13),0)</f>
        <v/>
      </c>
      <c r="J13">
        <f>(E13+H13)</f>
        <v/>
      </c>
      <c r="L13" t="inlineStr">
        <is>
          <t>EFACT_CNE</t>
        </is>
      </c>
      <c r="M13">
        <f>SUMIF(EFACT_CNE!B:B,ReliquidacionEFACT!B13,EFACT_CNE!S:S)</f>
        <v/>
      </c>
      <c r="N13">
        <f>SUMIF(EFACT_CNE!B:B,ReliquidacionEFACT!B13,EFACT_CNE!T:T)</f>
        <v/>
      </c>
      <c r="O13">
        <f>IFERROR((N13/M13),0)</f>
        <v/>
      </c>
      <c r="P13">
        <f>SUMIF(EFACT_CNE!B:B,ReliquidacionEFACT!B13,EFACT_CNE!U:U)</f>
        <v/>
      </c>
      <c r="Q13">
        <f>SUMIF(EFACT_CNE!B:B,ReliquidacionEFACT!B13,EFACT_CNE!V:V)</f>
        <v/>
      </c>
      <c r="R13">
        <f>IFERROR((Q13/P13),0)</f>
        <v/>
      </c>
      <c r="S13">
        <f>(N13+Q13)</f>
        <v/>
      </c>
      <c r="U13" s="2" t="n">
        <v>44593</v>
      </c>
      <c r="V13">
        <f>(S13-J13)</f>
        <v/>
      </c>
      <c r="W13" t="inlineStr">
        <is>
          <t>PNP_9T</t>
        </is>
      </c>
      <c r="X13" s="2" t="n">
        <v>44912</v>
      </c>
      <c r="Y13" t="n">
        <v>0.1046</v>
      </c>
      <c r="Z13" s="2" t="n">
        <v>44617</v>
      </c>
      <c r="AA13" s="2" t="n">
        <v>44926</v>
      </c>
      <c r="AB13">
        <f>(AA13-Z13)</f>
        <v/>
      </c>
      <c r="AC13">
        <f>(1+Y13)^(AB13/360)-1</f>
        <v/>
      </c>
      <c r="AD13">
        <f>(AC13*V13)</f>
        <v/>
      </c>
      <c r="AE13">
        <f>(V13+AD13)</f>
        <v/>
      </c>
    </row>
    <row r="14">
      <c r="A14" t="n">
        <v>14</v>
      </c>
      <c r="B14" s="4" t="n">
        <v>44621</v>
      </c>
      <c r="C14" t="inlineStr">
        <is>
          <t>FACT_EMITIDA</t>
        </is>
      </c>
      <c r="D14">
        <f>SUMIF(SIGGE_E!B:B,ReliquidacionEFACT!B14,SIGGE_E!S:S)</f>
        <v/>
      </c>
      <c r="E14">
        <f>SUMIF(SIGGE_E!B:B,ReliquidacionEFACT!B14,SIGGE_E!T:T)</f>
        <v/>
      </c>
      <c r="F14">
        <f>IFERROR((E14/D14),0)</f>
        <v/>
      </c>
      <c r="G14">
        <f>SUMIF(SIGGE_P!B:B,ReliquidacionEFACT!B14,SIGGE_P!U:U)</f>
        <v/>
      </c>
      <c r="H14">
        <f>SUMIF(SIGGE_P!B:B,ReliquidacionEFACT!B14,SIGGE_P!V:V)</f>
        <v/>
      </c>
      <c r="I14">
        <f>IFERROR((H14/G14),0)</f>
        <v/>
      </c>
      <c r="J14">
        <f>(E14+H14)</f>
        <v/>
      </c>
      <c r="L14" t="inlineStr">
        <is>
          <t>EFACT_CNE</t>
        </is>
      </c>
      <c r="M14">
        <f>SUMIF(EFACT_CNE!B:B,ReliquidacionEFACT!B14,EFACT_CNE!S:S)</f>
        <v/>
      </c>
      <c r="N14">
        <f>SUMIF(EFACT_CNE!B:B,ReliquidacionEFACT!B14,EFACT_CNE!T:T)</f>
        <v/>
      </c>
      <c r="O14">
        <f>IFERROR((N14/M14),0)</f>
        <v/>
      </c>
      <c r="P14">
        <f>SUMIF(EFACT_CNE!B:B,ReliquidacionEFACT!B14,EFACT_CNE!U:U)</f>
        <v/>
      </c>
      <c r="Q14">
        <f>SUMIF(EFACT_CNE!B:B,ReliquidacionEFACT!B14,EFACT_CNE!V:V)</f>
        <v/>
      </c>
      <c r="R14">
        <f>IFERROR((Q14/P14),0)</f>
        <v/>
      </c>
      <c r="S14">
        <f>(N14+Q14)</f>
        <v/>
      </c>
      <c r="U14" s="2" t="n">
        <v>44621</v>
      </c>
      <c r="V14">
        <f>(S14-J14)</f>
        <v/>
      </c>
      <c r="W14" t="inlineStr">
        <is>
          <t>PNP_9T</t>
        </is>
      </c>
      <c r="X14" s="2" t="n">
        <v>44912</v>
      </c>
      <c r="Y14" t="n">
        <v>0.1046</v>
      </c>
      <c r="Z14" s="2" t="n">
        <v>44645</v>
      </c>
      <c r="AA14" s="2" t="n">
        <v>44926</v>
      </c>
      <c r="AB14">
        <f>(AA14-Z14)</f>
        <v/>
      </c>
      <c r="AC14">
        <f>(1+Y14)^(AB14/360)-1</f>
        <v/>
      </c>
      <c r="AD14">
        <f>(AC14*V14)</f>
        <v/>
      </c>
      <c r="AE14">
        <f>(V14+AD14)</f>
        <v/>
      </c>
    </row>
    <row r="15">
      <c r="AD15" t="inlineStr">
        <is>
          <t>Reliquidación</t>
        </is>
      </c>
      <c r="AE15">
        <f>SUM(AE9:AE14)</f>
        <v/>
      </c>
    </row>
    <row r="17">
      <c r="AC17" t="inlineStr">
        <is>
          <t>Montos a favor</t>
        </is>
      </c>
      <c r="AD17" t="inlineStr">
        <is>
          <t>LAP emite factura</t>
        </is>
      </c>
    </row>
    <row r="18">
      <c r="AC18" t="inlineStr">
        <is>
          <t>Montos en contra</t>
        </is>
      </c>
      <c r="AD18" t="inlineStr">
        <is>
          <t>LAP emite nota de crédito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5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</row>
    <row r="2">
      <c r="A2" t="inlineStr">
        <is>
          <t>Generador</t>
        </is>
      </c>
      <c r="B2" t="inlineStr">
        <is>
          <t>San Juan</t>
        </is>
      </c>
    </row>
    <row r="3">
      <c r="A3" t="inlineStr">
        <is>
          <t>Distribuidor</t>
        </is>
      </c>
      <c r="B3" t="inlineStr">
        <is>
          <t>CEC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BS2A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SIGGE (kWh)</t>
        </is>
      </c>
      <c r="E8" t="inlineStr">
        <is>
          <t>Energía EFACT AT (kWh)</t>
        </is>
      </c>
      <c r="F8" t="inlineStr">
        <is>
          <t>Energía EFACT BT (kWh)</t>
        </is>
      </c>
      <c r="G8" t="inlineStr">
        <is>
          <t>Energía Coordinador AT (kWh)</t>
        </is>
      </c>
      <c r="H8" t="inlineStr">
        <is>
          <t>Energía Coordinador BT (kWh)</t>
        </is>
      </c>
    </row>
    <row r="9">
      <c r="A9" t="n">
        <v>9</v>
      </c>
      <c r="B9" s="4" t="n">
        <v>44470</v>
      </c>
      <c r="C9" t="inlineStr">
        <is>
          <t>FACT_EMITIDA</t>
        </is>
      </c>
      <c r="D9">
        <f>SUMIF(SIGGE_E!B:B,ResumenRetiros!B9,SIGGE_E!S:S)</f>
        <v/>
      </c>
      <c r="E9">
        <f>SUMIF(EFACT_CNE!B:B,ResumenRetiros!B9,EFACT_CNE!S:S)</f>
        <v/>
      </c>
      <c r="F9">
        <f>SUMIF(EfactCNE_BT!B:B,ResumenRetiros!B9,EfactCNE_BT!M:M)</f>
        <v/>
      </c>
      <c r="G9">
        <f>SUMIF(CEN_Energia!B:B,ResumenRetiros!B9,CEN_Energia!Z:Z)</f>
        <v/>
      </c>
      <c r="H9">
        <f>SUMIF(CEN_EnergiaBT!B:B,ResumenRetiros!B9,CEN_EnergiaBT!K:K)</f>
        <v/>
      </c>
    </row>
    <row r="10">
      <c r="A10" t="n">
        <v>10</v>
      </c>
      <c r="B10" s="4" t="n">
        <v>44501</v>
      </c>
      <c r="C10" t="inlineStr">
        <is>
          <t>FACT_EMITIDA</t>
        </is>
      </c>
      <c r="D10">
        <f>SUMIF(SIGGE_E!B:B,ResumenRetiros!B10,SIGGE_E!S:S)</f>
        <v/>
      </c>
      <c r="E10">
        <f>SUMIF(EFACT_CNE!B:B,ResumenRetiros!B10,EFACT_CNE!S:S)</f>
        <v/>
      </c>
      <c r="F10">
        <f>SUMIF(EfactCNE_BT!B:B,ResumenRetiros!B10,EfactCNE_BT!M:M)</f>
        <v/>
      </c>
      <c r="G10">
        <f>SUMIF(CEN_Energia!B:B,ResumenRetiros!B10,CEN_Energia!Z:Z)</f>
        <v/>
      </c>
      <c r="H10">
        <f>SUMIF(CEN_EnergiaBT!B:B,ResumenRetiros!B10,CEN_EnergiaBT!K:K)</f>
        <v/>
      </c>
    </row>
    <row r="11">
      <c r="A11" t="n">
        <v>11</v>
      </c>
      <c r="B11" s="4" t="n">
        <v>44531</v>
      </c>
      <c r="C11" t="inlineStr">
        <is>
          <t>FACT_EMITIDA</t>
        </is>
      </c>
      <c r="D11">
        <f>SUMIF(SIGGE_E!B:B,ResumenRetiros!B11,SIGGE_E!S:S)</f>
        <v/>
      </c>
      <c r="E11">
        <f>SUMIF(EFACT_CNE!B:B,ResumenRetiros!B11,EFACT_CNE!S:S)</f>
        <v/>
      </c>
      <c r="F11">
        <f>SUMIF(EfactCNE_BT!B:B,ResumenRetiros!B11,EfactCNE_BT!M:M)</f>
        <v/>
      </c>
      <c r="G11">
        <f>SUMIF(CEN_Energia!B:B,ResumenRetiros!B11,CEN_Energia!Z:Z)</f>
        <v/>
      </c>
      <c r="H11">
        <f>SUMIF(CEN_EnergiaBT!B:B,ResumenRetiros!B11,CEN_EnergiaBT!K:K)</f>
        <v/>
      </c>
    </row>
    <row r="12">
      <c r="A12" t="n">
        <v>12</v>
      </c>
      <c r="B12" s="4" t="n">
        <v>44562</v>
      </c>
      <c r="C12" t="inlineStr">
        <is>
          <t>FACT_EMITIDA</t>
        </is>
      </c>
      <c r="D12">
        <f>SUMIF(SIGGE_E!B:B,ResumenRetiros!B12,SIGGE_E!S:S)</f>
        <v/>
      </c>
      <c r="E12">
        <f>SUMIF(EFACT_CNE!B:B,ResumenRetiros!B12,EFACT_CNE!S:S)</f>
        <v/>
      </c>
      <c r="F12">
        <f>SUMIF(EfactCNE_BT!B:B,ResumenRetiros!B12,EfactCNE_BT!M:M)</f>
        <v/>
      </c>
      <c r="G12">
        <f>SUMIF(CEN_Energia!B:B,ResumenRetiros!B12,CEN_Energia!Z:Z)</f>
        <v/>
      </c>
      <c r="H12">
        <f>SUMIF(CEN_EnergiaBT!B:B,ResumenRetiros!B12,CEN_EnergiaBT!K:K)</f>
        <v/>
      </c>
    </row>
    <row r="13">
      <c r="A13" t="n">
        <v>13</v>
      </c>
      <c r="B13" s="4" t="n">
        <v>44593</v>
      </c>
      <c r="C13" t="inlineStr">
        <is>
          <t>FACT_EMITIDA</t>
        </is>
      </c>
      <c r="D13">
        <f>SUMIF(SIGGE_E!B:B,ResumenRetiros!B13,SIGGE_E!S:S)</f>
        <v/>
      </c>
      <c r="E13">
        <f>SUMIF(EFACT_CNE!B:B,ResumenRetiros!B13,EFACT_CNE!S:S)</f>
        <v/>
      </c>
      <c r="F13">
        <f>SUMIF(EfactCNE_BT!B:B,ResumenRetiros!B13,EfactCNE_BT!M:M)</f>
        <v/>
      </c>
      <c r="G13">
        <f>SUMIF(CEN_Energia!B:B,ResumenRetiros!B13,CEN_Energia!Z:Z)</f>
        <v/>
      </c>
      <c r="H13">
        <f>SUMIF(CEN_EnergiaBT!B:B,ResumenRetiros!B13,CEN_EnergiaBT!K:K)</f>
        <v/>
      </c>
    </row>
    <row r="14">
      <c r="A14" t="n">
        <v>14</v>
      </c>
      <c r="B14" s="4" t="n">
        <v>44621</v>
      </c>
      <c r="C14" t="inlineStr">
        <is>
          <t>FACT_EMITIDA</t>
        </is>
      </c>
      <c r="D14">
        <f>SUMIF(SIGGE_E!B:B,ResumenRetiros!B14,SIGGE_E!S:S)</f>
        <v/>
      </c>
      <c r="E14">
        <f>SUMIF(EFACT_CNE!B:B,ResumenRetiros!B14,EFACT_CNE!S:S)</f>
        <v/>
      </c>
      <c r="F14">
        <f>SUMIF(EfactCNE_BT!B:B,ResumenRetiros!B14,EfactCNE_BT!M:M)</f>
        <v/>
      </c>
      <c r="G14">
        <f>SUMIF(CEN_Energia!B:B,ResumenRetiros!B14,CEN_Energia!Z:Z)</f>
        <v/>
      </c>
      <c r="H14">
        <f>SUMIF(CEN_EnergiaBT!B:B,ResumenRetiros!B14,CEN_EnergiaBT!K:K)</f>
        <v/>
      </c>
    </row>
    <row r="15">
      <c r="D15">
        <f>SUM(D9:D14)</f>
        <v/>
      </c>
      <c r="E15">
        <f>SUM(E9:E14)</f>
        <v/>
      </c>
      <c r="F15">
        <f>SUM(F9:F14)</f>
        <v/>
      </c>
      <c r="G15">
        <f>SUM(G9:G14)</f>
        <v/>
      </c>
      <c r="H15">
        <f>SUM(H9:H14)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</row>
    <row r="2">
      <c r="A2" t="inlineStr">
        <is>
          <t>SAN_JUAN_LAP</t>
        </is>
      </c>
      <c r="B2" t="inlineStr">
        <is>
          <t>01-01-2022</t>
        </is>
      </c>
      <c r="C2" t="n">
        <v>1</v>
      </c>
      <c r="D2" t="inlineStr">
        <is>
          <t>CEC</t>
        </is>
      </c>
      <c r="E2" t="inlineStr">
        <is>
          <t>BS2A</t>
        </is>
      </c>
      <c r="F2" t="inlineStr">
        <is>
          <t>Licitación Eolica San Juan y Cec (SIC 2013/03-2) BS2A</t>
        </is>
      </c>
      <c r="G2" t="inlineStr">
        <is>
          <t>2022-02-10 12:43:56</t>
        </is>
      </c>
      <c r="H2" t="n">
        <v>33</v>
      </c>
      <c r="I2" t="n">
        <v>-1</v>
      </c>
      <c r="J2" t="inlineStr">
        <is>
          <t>VENTA PPA ENERGIA</t>
        </is>
      </c>
      <c r="K2" t="n">
        <v>24625</v>
      </c>
      <c r="L2" t="n">
        <v>3674779</v>
      </c>
    </row>
    <row r="3">
      <c r="A3" t="inlineStr">
        <is>
          <t>SAN_JUAN_LAP</t>
        </is>
      </c>
      <c r="B3" t="inlineStr">
        <is>
          <t>01-02-2022</t>
        </is>
      </c>
      <c r="C3" t="n">
        <v>1</v>
      </c>
      <c r="D3" t="inlineStr">
        <is>
          <t>CEC</t>
        </is>
      </c>
      <c r="E3" t="inlineStr">
        <is>
          <t>BS2A</t>
        </is>
      </c>
      <c r="F3" t="inlineStr">
        <is>
          <t>Licitación Eolica San Juan y Cec (SIC 2013/03-2) BS2A</t>
        </is>
      </c>
      <c r="G3" t="inlineStr">
        <is>
          <t>2022-03-09 12:29:44</t>
        </is>
      </c>
      <c r="H3" t="n">
        <v>33</v>
      </c>
      <c r="I3" t="n">
        <v>-1</v>
      </c>
      <c r="J3" t="inlineStr">
        <is>
          <t>VENTA PPA ENERGIA</t>
        </is>
      </c>
      <c r="K3" t="n">
        <v>25169</v>
      </c>
      <c r="L3" t="n">
        <v>3444126</v>
      </c>
    </row>
    <row r="4">
      <c r="A4" t="inlineStr">
        <is>
          <t>SAN_JUAN_LAP</t>
        </is>
      </c>
      <c r="B4" t="inlineStr">
        <is>
          <t>01-03-2022</t>
        </is>
      </c>
      <c r="C4" t="n">
        <v>1</v>
      </c>
      <c r="D4" t="inlineStr">
        <is>
          <t>CEC</t>
        </is>
      </c>
      <c r="E4" t="inlineStr">
        <is>
          <t>BS2A</t>
        </is>
      </c>
      <c r="F4" t="inlineStr">
        <is>
          <t>Licitación Eolica San Juan y Cec (SIC 2013/03-2) BS2A</t>
        </is>
      </c>
      <c r="G4" t="inlineStr">
        <is>
          <t>2022-04-08 10:23:34</t>
        </is>
      </c>
      <c r="H4" t="n">
        <v>33</v>
      </c>
      <c r="I4" t="n">
        <v>-1</v>
      </c>
      <c r="J4" t="inlineStr">
        <is>
          <t>VENTA PPA ENERGIA</t>
        </is>
      </c>
      <c r="K4" t="n">
        <v>26262</v>
      </c>
      <c r="L4" t="n">
        <v>3348035</v>
      </c>
    </row>
    <row r="5">
      <c r="A5" t="inlineStr">
        <is>
          <t>SAN_JUAN_LAP</t>
        </is>
      </c>
      <c r="B5" t="inlineStr">
        <is>
          <t>01-10-2021</t>
        </is>
      </c>
      <c r="C5" t="n">
        <v>1</v>
      </c>
      <c r="D5" t="inlineStr">
        <is>
          <t>CEC</t>
        </is>
      </c>
      <c r="E5" t="inlineStr">
        <is>
          <t>BS2A</t>
        </is>
      </c>
      <c r="F5" t="inlineStr">
        <is>
          <t>Licitación Eolica San Juan y Cec (SIC 2013/03-2) BS2A</t>
        </is>
      </c>
      <c r="G5" t="inlineStr">
        <is>
          <t>2021-11-05 20:33:36</t>
        </is>
      </c>
      <c r="H5" t="n">
        <v>33</v>
      </c>
      <c r="I5" t="n">
        <v>-1</v>
      </c>
      <c r="J5" t="inlineStr">
        <is>
          <t>VENTA PPA ENERGIA</t>
        </is>
      </c>
      <c r="K5" t="n">
        <v>23172</v>
      </c>
      <c r="L5" t="n">
        <v>2693940</v>
      </c>
    </row>
    <row r="6">
      <c r="A6" t="inlineStr">
        <is>
          <t>SAN_JUAN_LAP</t>
        </is>
      </c>
      <c r="B6" t="inlineStr">
        <is>
          <t>01-10-2021</t>
        </is>
      </c>
      <c r="C6" t="n">
        <v>1</v>
      </c>
      <c r="D6" t="inlineStr">
        <is>
          <t>CEC</t>
        </is>
      </c>
      <c r="E6" t="inlineStr">
        <is>
          <t>BS2A</t>
        </is>
      </c>
      <c r="F6" t="inlineStr">
        <is>
          <t>Licitación Eolica San Juan y Cec (SIC 2013/03-2) BS2A</t>
        </is>
      </c>
      <c r="G6" t="inlineStr">
        <is>
          <t>2021-12-17 16:03:24</t>
        </is>
      </c>
      <c r="H6" t="n">
        <v>61</v>
      </c>
      <c r="I6" t="n">
        <v>-1</v>
      </c>
      <c r="J6" t="inlineStr">
        <is>
          <t>VENTA PPA ENERGIA</t>
        </is>
      </c>
      <c r="L6" t="n">
        <v>-10343</v>
      </c>
    </row>
    <row r="7">
      <c r="A7" t="inlineStr">
        <is>
          <t>SAN_JUAN_LAP</t>
        </is>
      </c>
      <c r="B7" t="inlineStr">
        <is>
          <t>01-11-2021</t>
        </is>
      </c>
      <c r="C7" t="n">
        <v>1</v>
      </c>
      <c r="D7" t="inlineStr">
        <is>
          <t>CEC</t>
        </is>
      </c>
      <c r="E7" t="inlineStr">
        <is>
          <t>BS2A</t>
        </is>
      </c>
      <c r="F7" t="inlineStr">
        <is>
          <t>Licitación Eolica San Juan y Cec (SIC 2013/03-2) BS2A</t>
        </is>
      </c>
      <c r="G7" t="inlineStr">
        <is>
          <t>2021-12-07 19:09:33</t>
        </is>
      </c>
      <c r="H7" t="n">
        <v>33</v>
      </c>
      <c r="I7" t="n">
        <v>-1</v>
      </c>
      <c r="J7" t="inlineStr">
        <is>
          <t>VENTA PPA ENERGIA</t>
        </is>
      </c>
      <c r="K7" t="n">
        <v>23691</v>
      </c>
      <c r="L7" t="n">
        <v>3390820</v>
      </c>
    </row>
    <row r="8">
      <c r="A8" t="inlineStr">
        <is>
          <t>SAN_JUAN_LAP</t>
        </is>
      </c>
      <c r="B8" t="inlineStr">
        <is>
          <t>01-11-2021</t>
        </is>
      </c>
      <c r="C8" t="n">
        <v>1</v>
      </c>
      <c r="D8" t="inlineStr">
        <is>
          <t>CEC</t>
        </is>
      </c>
      <c r="E8" t="inlineStr">
        <is>
          <t>BS2A</t>
        </is>
      </c>
      <c r="F8" t="inlineStr">
        <is>
          <t>Licitación Eolica San Juan y Cec (SIC 2013/03-2) BS2A</t>
        </is>
      </c>
      <c r="G8" t="inlineStr">
        <is>
          <t>2022-01-11 10:53:40</t>
        </is>
      </c>
      <c r="H8" t="n">
        <v>61</v>
      </c>
      <c r="I8" t="n">
        <v>-1</v>
      </c>
      <c r="J8" t="inlineStr">
        <is>
          <t>VENTA PPA ENERGIA</t>
        </is>
      </c>
      <c r="L8" t="n">
        <v>-116813</v>
      </c>
    </row>
    <row r="9">
      <c r="A9" t="inlineStr">
        <is>
          <t>SAN_JUAN_LAP</t>
        </is>
      </c>
      <c r="B9" t="inlineStr">
        <is>
          <t>01-12-2021</t>
        </is>
      </c>
      <c r="C9" t="n">
        <v>1</v>
      </c>
      <c r="D9" t="inlineStr">
        <is>
          <t>CEC</t>
        </is>
      </c>
      <c r="E9" t="inlineStr">
        <is>
          <t>BS2A</t>
        </is>
      </c>
      <c r="F9" t="inlineStr">
        <is>
          <t>Licitación Eolica San Juan y Cec (SIC 2013/03-2) BS2A</t>
        </is>
      </c>
      <c r="G9" t="inlineStr">
        <is>
          <t>2022-01-10 15:51:06</t>
        </is>
      </c>
      <c r="H9" t="n">
        <v>33</v>
      </c>
      <c r="I9" t="n">
        <v>-1</v>
      </c>
      <c r="J9" t="inlineStr">
        <is>
          <t>VENTA PPA ENERGIA</t>
        </is>
      </c>
      <c r="K9" t="n">
        <v>24056</v>
      </c>
      <c r="L9" t="n">
        <v>4498846</v>
      </c>
    </row>
    <row r="10">
      <c r="A10" t="inlineStr">
        <is>
          <t>SAN_JUAN_LAP</t>
        </is>
      </c>
      <c r="B10" t="inlineStr">
        <is>
          <t>01-12-2021</t>
        </is>
      </c>
      <c r="C10" t="n">
        <v>1</v>
      </c>
      <c r="D10" t="inlineStr">
        <is>
          <t>CEC</t>
        </is>
      </c>
      <c r="E10" t="inlineStr">
        <is>
          <t>BS2A</t>
        </is>
      </c>
      <c r="F10" t="inlineStr">
        <is>
          <t>Licitación Eolica San Juan y Cec (SIC 2013/03-2) BS2A</t>
        </is>
      </c>
      <c r="G10" t="inlineStr">
        <is>
          <t>2022-02-18 18:17:43</t>
        </is>
      </c>
      <c r="H10" t="n">
        <v>33</v>
      </c>
      <c r="I10" t="n">
        <v>-1</v>
      </c>
      <c r="J10" t="inlineStr">
        <is>
          <t>VENTA PPA ENERGIA</t>
        </is>
      </c>
      <c r="K10" t="n">
        <v>27275</v>
      </c>
      <c r="L10" t="n">
        <v>82408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</row>
    <row r="2">
      <c r="A2" t="inlineStr">
        <is>
          <t>SAN_JUAN_LAP</t>
        </is>
      </c>
      <c r="B2" t="inlineStr">
        <is>
          <t>01-01-2022</t>
        </is>
      </c>
      <c r="C2" t="n">
        <v>1</v>
      </c>
      <c r="D2" t="inlineStr">
        <is>
          <t>CEC</t>
        </is>
      </c>
      <c r="E2" t="inlineStr">
        <is>
          <t>BS2A</t>
        </is>
      </c>
      <c r="F2" t="inlineStr">
        <is>
          <t>Licitación Eolica San Juan y Cec (SIC 2013/03-2) BS2A</t>
        </is>
      </c>
      <c r="G2" t="inlineStr">
        <is>
          <t>2022-02-10 12:43:56</t>
        </is>
      </c>
      <c r="H2" t="n">
        <v>33</v>
      </c>
      <c r="I2" t="n">
        <v>-1</v>
      </c>
      <c r="J2" t="inlineStr">
        <is>
          <t>VENTA PPA POTENCIA</t>
        </is>
      </c>
      <c r="K2" t="n">
        <v>24625</v>
      </c>
      <c r="L2" t="n">
        <v>0</v>
      </c>
    </row>
    <row r="3">
      <c r="A3" t="inlineStr">
        <is>
          <t>SAN_JUAN_LAP</t>
        </is>
      </c>
      <c r="B3" t="inlineStr">
        <is>
          <t>01-02-2022</t>
        </is>
      </c>
      <c r="C3" t="n">
        <v>1</v>
      </c>
      <c r="D3" t="inlineStr">
        <is>
          <t>CEC</t>
        </is>
      </c>
      <c r="E3" t="inlineStr">
        <is>
          <t>BS2A</t>
        </is>
      </c>
      <c r="F3" t="inlineStr">
        <is>
          <t>Licitación Eolica San Juan y Cec (SIC 2013/03-2) BS2A</t>
        </is>
      </c>
      <c r="G3" t="inlineStr">
        <is>
          <t>2022-03-09 12:29:44</t>
        </is>
      </c>
      <c r="H3" t="n">
        <v>33</v>
      </c>
      <c r="I3" t="n">
        <v>-1</v>
      </c>
      <c r="J3" t="inlineStr">
        <is>
          <t>VENTA PPA POTENCIA</t>
        </is>
      </c>
      <c r="K3" t="n">
        <v>25169</v>
      </c>
      <c r="L3" t="n">
        <v>0</v>
      </c>
    </row>
    <row r="4">
      <c r="A4" t="inlineStr">
        <is>
          <t>SAN_JUAN_LAP</t>
        </is>
      </c>
      <c r="B4" t="inlineStr">
        <is>
          <t>01-03-2022</t>
        </is>
      </c>
      <c r="C4" t="n">
        <v>1</v>
      </c>
      <c r="D4" t="inlineStr">
        <is>
          <t>CEC</t>
        </is>
      </c>
      <c r="E4" t="inlineStr">
        <is>
          <t>BS2A</t>
        </is>
      </c>
      <c r="F4" t="inlineStr">
        <is>
          <t>Licitación Eolica San Juan y Cec (SIC 2013/03-2) BS2A</t>
        </is>
      </c>
      <c r="G4" t="inlineStr">
        <is>
          <t>2022-04-08 10:23:34</t>
        </is>
      </c>
      <c r="H4" t="n">
        <v>33</v>
      </c>
      <c r="I4" t="n">
        <v>-1</v>
      </c>
      <c r="J4" t="inlineStr">
        <is>
          <t>VENTA PPA POTENCIA</t>
        </is>
      </c>
      <c r="K4" t="n">
        <v>26262</v>
      </c>
      <c r="L4" t="n">
        <v>0</v>
      </c>
    </row>
    <row r="5">
      <c r="A5" t="inlineStr">
        <is>
          <t>SAN_JUAN_LAP</t>
        </is>
      </c>
      <c r="B5" t="inlineStr">
        <is>
          <t>01-10-2021</t>
        </is>
      </c>
      <c r="C5" t="n">
        <v>1</v>
      </c>
      <c r="D5" t="inlineStr">
        <is>
          <t>CEC</t>
        </is>
      </c>
      <c r="E5" t="inlineStr">
        <is>
          <t>BS2A</t>
        </is>
      </c>
      <c r="F5" t="inlineStr">
        <is>
          <t>Licitación Eolica San Juan y Cec (SIC 2013/03-2) BS2A</t>
        </is>
      </c>
      <c r="G5" t="inlineStr">
        <is>
          <t>2021-11-05 20:33:36</t>
        </is>
      </c>
      <c r="H5" t="n">
        <v>33</v>
      </c>
      <c r="I5" t="n">
        <v>-1</v>
      </c>
      <c r="J5" t="inlineStr">
        <is>
          <t>VENTA PPA POTENCIA</t>
        </is>
      </c>
      <c r="K5" t="n">
        <v>23172</v>
      </c>
      <c r="L5" t="n">
        <v>0</v>
      </c>
    </row>
    <row r="6">
      <c r="A6" t="inlineStr">
        <is>
          <t>SAN_JUAN_LAP</t>
        </is>
      </c>
      <c r="B6" t="inlineStr">
        <is>
          <t>01-11-2021</t>
        </is>
      </c>
      <c r="C6" t="n">
        <v>1</v>
      </c>
      <c r="D6" t="inlineStr">
        <is>
          <t>CEC</t>
        </is>
      </c>
      <c r="E6" t="inlineStr">
        <is>
          <t>BS2A</t>
        </is>
      </c>
      <c r="F6" t="inlineStr">
        <is>
          <t>Licitación Eolica San Juan y Cec (SIC 2013/03-2) BS2A</t>
        </is>
      </c>
      <c r="G6" t="inlineStr">
        <is>
          <t>2021-12-07 19:09:33</t>
        </is>
      </c>
      <c r="H6" t="n">
        <v>33</v>
      </c>
      <c r="I6" t="n">
        <v>-1</v>
      </c>
      <c r="J6" t="inlineStr">
        <is>
          <t>VENTA PPA POTENCIA</t>
        </is>
      </c>
      <c r="K6" t="n">
        <v>23691</v>
      </c>
      <c r="L6" t="n">
        <v>0</v>
      </c>
    </row>
    <row r="7">
      <c r="A7" t="inlineStr">
        <is>
          <t>SAN_JUAN_LAP</t>
        </is>
      </c>
      <c r="B7" t="inlineStr">
        <is>
          <t>01-12-2021</t>
        </is>
      </c>
      <c r="C7" t="n">
        <v>1</v>
      </c>
      <c r="D7" t="inlineStr">
        <is>
          <t>CEC</t>
        </is>
      </c>
      <c r="E7" t="inlineStr">
        <is>
          <t>BS2A</t>
        </is>
      </c>
      <c r="F7" t="inlineStr">
        <is>
          <t>Licitación Eolica San Juan y Cec (SIC 2013/03-2) BS2A</t>
        </is>
      </c>
      <c r="G7" t="inlineStr">
        <is>
          <t>2022-01-10 15:51:06</t>
        </is>
      </c>
      <c r="H7" t="n">
        <v>33</v>
      </c>
      <c r="I7" t="n">
        <v>-1</v>
      </c>
      <c r="J7" t="inlineStr">
        <is>
          <t>VENTA PPA POTENCIA</t>
        </is>
      </c>
      <c r="K7" t="n">
        <v>24056</v>
      </c>
      <c r="L7" t="n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Eolica San Juan y Cec (SIC 2013/03-2) BS2A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BS2A: Potencia oct 2021</t>
        </is>
      </c>
      <c r="G2" t="inlineStr">
        <is>
          <t>2021-11-05 20:33:36</t>
        </is>
      </c>
      <c r="H2" t="n">
        <v>33</v>
      </c>
      <c r="I2" t="n">
        <v>23172</v>
      </c>
      <c r="J2" t="inlineStr">
        <is>
          <t>s</t>
        </is>
      </c>
      <c r="K2" t="inlineStr">
        <is>
          <t>s</t>
        </is>
      </c>
      <c r="L2" t="inlineStr">
        <is>
          <t>BS2A</t>
        </is>
      </c>
      <c r="M2" t="inlineStr">
        <is>
          <t>SAN_JUAN_LAP</t>
        </is>
      </c>
      <c r="N2" t="inlineStr">
        <is>
          <t>Cec</t>
        </is>
      </c>
      <c r="O2" t="inlineStr">
        <is>
          <t>2013/03-2</t>
        </is>
      </c>
      <c r="P2" t="inlineStr">
        <is>
          <t>CEC</t>
        </is>
      </c>
      <c r="Q2" t="n">
        <v>1</v>
      </c>
      <c r="R2" t="inlineStr">
        <is>
          <t>A.JAHUEL 220</t>
        </is>
      </c>
      <c r="U2" t="n">
        <v>0</v>
      </c>
      <c r="V2" t="n">
        <v>0</v>
      </c>
      <c r="W2" t="n">
        <v>6041.927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Eolica San Juan y Cec (SIC 2013/03-2) BS2A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BS2A: Energía oct 2021</t>
        </is>
      </c>
      <c r="G3" t="inlineStr">
        <is>
          <t>2021-11-05 20:33:36</t>
        </is>
      </c>
      <c r="H3" t="n">
        <v>33</v>
      </c>
      <c r="I3" t="n">
        <v>23172</v>
      </c>
      <c r="J3" t="inlineStr">
        <is>
          <t>s</t>
        </is>
      </c>
      <c r="K3" t="inlineStr">
        <is>
          <t>s</t>
        </is>
      </c>
      <c r="L3" t="inlineStr">
        <is>
          <t>BS2A</t>
        </is>
      </c>
      <c r="M3" t="inlineStr">
        <is>
          <t>SAN_JUAN_LAP</t>
        </is>
      </c>
      <c r="N3" t="inlineStr">
        <is>
          <t>Cec</t>
        </is>
      </c>
      <c r="O3" t="inlineStr">
        <is>
          <t>2013/03-2</t>
        </is>
      </c>
      <c r="P3" t="inlineStr">
        <is>
          <t>CEC</t>
        </is>
      </c>
      <c r="Q3" t="n">
        <v>1</v>
      </c>
      <c r="R3" t="inlineStr">
        <is>
          <t>A.JAHUEL 220</t>
        </is>
      </c>
      <c r="S3" t="n">
        <v>15620.441232</v>
      </c>
      <c r="T3" t="n">
        <v>1250416</v>
      </c>
      <c r="W3" t="n">
        <v>80.05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Eolica San Juan y Cec (SIC 2013/03-2) BS2A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BS2A: Potencia oct 2021</t>
        </is>
      </c>
      <c r="G4" t="inlineStr">
        <is>
          <t>2021-11-05 20:33:36</t>
        </is>
      </c>
      <c r="H4" t="n">
        <v>33</v>
      </c>
      <c r="I4" t="n">
        <v>23172</v>
      </c>
      <c r="J4" t="inlineStr">
        <is>
          <t>s</t>
        </is>
      </c>
      <c r="K4" t="inlineStr">
        <is>
          <t>s</t>
        </is>
      </c>
      <c r="L4" t="inlineStr">
        <is>
          <t>BS2A</t>
        </is>
      </c>
      <c r="M4" t="inlineStr">
        <is>
          <t>SAN_JUAN_LAP</t>
        </is>
      </c>
      <c r="N4" t="inlineStr">
        <is>
          <t>Cec</t>
        </is>
      </c>
      <c r="O4" t="inlineStr">
        <is>
          <t>2013/03-2</t>
        </is>
      </c>
      <c r="P4" t="inlineStr">
        <is>
          <t>CEC</t>
        </is>
      </c>
      <c r="Q4" t="n">
        <v>2</v>
      </c>
      <c r="R4" t="inlineStr">
        <is>
          <t>A.MELIP 220</t>
        </is>
      </c>
      <c r="U4" t="n">
        <v>0</v>
      </c>
      <c r="V4" t="n">
        <v>0</v>
      </c>
      <c r="W4" t="n">
        <v>6143.042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Eolica San Juan y Cec (SIC 2013/03-2) BS2A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BS2A: Energía oct 2021</t>
        </is>
      </c>
      <c r="G5" t="inlineStr">
        <is>
          <t>2021-11-05 20:33:36</t>
        </is>
      </c>
      <c r="H5" t="n">
        <v>33</v>
      </c>
      <c r="I5" t="n">
        <v>23172</v>
      </c>
      <c r="J5" t="inlineStr">
        <is>
          <t>s</t>
        </is>
      </c>
      <c r="K5" t="inlineStr">
        <is>
          <t>s</t>
        </is>
      </c>
      <c r="L5" t="inlineStr">
        <is>
          <t>BS2A</t>
        </is>
      </c>
      <c r="M5" t="inlineStr">
        <is>
          <t>SAN_JUAN_LAP</t>
        </is>
      </c>
      <c r="N5" t="inlineStr">
        <is>
          <t>Cec</t>
        </is>
      </c>
      <c r="O5" t="inlineStr">
        <is>
          <t>2013/03-2</t>
        </is>
      </c>
      <c r="P5" t="inlineStr">
        <is>
          <t>CEC</t>
        </is>
      </c>
      <c r="Q5" t="n">
        <v>2</v>
      </c>
      <c r="R5" t="inlineStr">
        <is>
          <t>A.MELIP 220</t>
        </is>
      </c>
      <c r="S5" t="n">
        <v>103.882679</v>
      </c>
      <c r="T5" t="n">
        <v>8414</v>
      </c>
      <c r="W5" t="n">
        <v>80.997</v>
      </c>
    </row>
    <row r="6">
      <c r="A6" t="inlineStr">
        <is>
          <t>2021-10-01</t>
        </is>
      </c>
      <c r="B6" t="inlineStr">
        <is>
          <t>01-10-2021</t>
        </is>
      </c>
      <c r="C6" t="inlineStr">
        <is>
          <t>Licitación Eolica San Juan y Cec (SIC 2013/03-2) BS2A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BS2A: Potencia oct 2021</t>
        </is>
      </c>
      <c r="G6" t="inlineStr">
        <is>
          <t>2021-11-05 20:33:36</t>
        </is>
      </c>
      <c r="H6" t="n">
        <v>33</v>
      </c>
      <c r="I6" t="n">
        <v>23172</v>
      </c>
      <c r="J6" t="inlineStr">
        <is>
          <t>s</t>
        </is>
      </c>
      <c r="K6" t="inlineStr">
        <is>
          <t>s</t>
        </is>
      </c>
      <c r="L6" t="inlineStr">
        <is>
          <t>BS2A</t>
        </is>
      </c>
      <c r="M6" t="inlineStr">
        <is>
          <t>SAN_JUAN_LAP</t>
        </is>
      </c>
      <c r="N6" t="inlineStr">
        <is>
          <t>Cec</t>
        </is>
      </c>
      <c r="O6" t="inlineStr">
        <is>
          <t>2013/03-2</t>
        </is>
      </c>
      <c r="P6" t="inlineStr">
        <is>
          <t>CEC</t>
        </is>
      </c>
      <c r="Q6" t="n">
        <v>3</v>
      </c>
      <c r="R6" t="inlineStr">
        <is>
          <t>CHARRUA 220</t>
        </is>
      </c>
      <c r="U6" t="n">
        <v>0</v>
      </c>
      <c r="V6" t="n">
        <v>0</v>
      </c>
      <c r="W6" t="n">
        <v>5310.366</v>
      </c>
    </row>
    <row r="7">
      <c r="A7" t="inlineStr">
        <is>
          <t>2021-10-01</t>
        </is>
      </c>
      <c r="B7" t="inlineStr">
        <is>
          <t>01-10-2021</t>
        </is>
      </c>
      <c r="C7" t="inlineStr">
        <is>
          <t>Licitación Eolica San Juan y Cec (SIC 2013/03-2) BS2A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BS2A: Energía oct 2021</t>
        </is>
      </c>
      <c r="G7" t="inlineStr">
        <is>
          <t>2021-11-05 20:33:36</t>
        </is>
      </c>
      <c r="H7" t="n">
        <v>33</v>
      </c>
      <c r="I7" t="n">
        <v>23172</v>
      </c>
      <c r="J7" t="inlineStr">
        <is>
          <t>s</t>
        </is>
      </c>
      <c r="K7" t="inlineStr">
        <is>
          <t>s</t>
        </is>
      </c>
      <c r="L7" t="inlineStr">
        <is>
          <t>BS2A</t>
        </is>
      </c>
      <c r="M7" t="inlineStr">
        <is>
          <t>SAN_JUAN_LAP</t>
        </is>
      </c>
      <c r="N7" t="inlineStr">
        <is>
          <t>Cec</t>
        </is>
      </c>
      <c r="O7" t="inlineStr">
        <is>
          <t>2013/03-2</t>
        </is>
      </c>
      <c r="P7" t="inlineStr">
        <is>
          <t>CEC</t>
        </is>
      </c>
      <c r="Q7" t="n">
        <v>3</v>
      </c>
      <c r="R7" t="inlineStr">
        <is>
          <t>CHARRUA 220</t>
        </is>
      </c>
      <c r="S7" t="n">
        <v>1567.926994</v>
      </c>
      <c r="T7" t="n">
        <v>114457</v>
      </c>
      <c r="W7" t="n">
        <v>72.999</v>
      </c>
    </row>
    <row r="8">
      <c r="A8" t="inlineStr">
        <is>
          <t>2021-10-01</t>
        </is>
      </c>
      <c r="B8" t="inlineStr">
        <is>
          <t>01-10-2021</t>
        </is>
      </c>
      <c r="C8" t="inlineStr">
        <is>
          <t>Licitación Eolica San Juan y Cec (SIC 2013/03-2) BS2A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BS2A: Potencia oct 2021</t>
        </is>
      </c>
      <c r="G8" t="inlineStr">
        <is>
          <t>2021-11-05 20:33:36</t>
        </is>
      </c>
      <c r="H8" t="n">
        <v>33</v>
      </c>
      <c r="I8" t="n">
        <v>23172</v>
      </c>
      <c r="J8" t="inlineStr">
        <is>
          <t>s</t>
        </is>
      </c>
      <c r="K8" t="inlineStr">
        <is>
          <t>s</t>
        </is>
      </c>
      <c r="L8" t="inlineStr">
        <is>
          <t>BS2A</t>
        </is>
      </c>
      <c r="M8" t="inlineStr">
        <is>
          <t>SAN_JUAN_LAP</t>
        </is>
      </c>
      <c r="N8" t="inlineStr">
        <is>
          <t>Cec</t>
        </is>
      </c>
      <c r="O8" t="inlineStr">
        <is>
          <t>2013/03-2</t>
        </is>
      </c>
      <c r="P8" t="inlineStr">
        <is>
          <t>CEC</t>
        </is>
      </c>
      <c r="Q8" t="n">
        <v>4</v>
      </c>
      <c r="R8" t="inlineStr">
        <is>
          <t>ITAHUE 220</t>
        </is>
      </c>
      <c r="U8" t="n">
        <v>0</v>
      </c>
      <c r="V8" t="n">
        <v>0</v>
      </c>
      <c r="W8" t="n">
        <v>5815.332</v>
      </c>
    </row>
    <row r="9">
      <c r="A9" t="inlineStr">
        <is>
          <t>2021-10-01</t>
        </is>
      </c>
      <c r="B9" t="inlineStr">
        <is>
          <t>01-10-2021</t>
        </is>
      </c>
      <c r="C9" t="inlineStr">
        <is>
          <t>Licitación Eolica San Juan y Cec (SIC 2013/03-2) BS2A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BS2A: Energía oct 2021</t>
        </is>
      </c>
      <c r="G9" t="inlineStr">
        <is>
          <t>2021-11-05 20:33:36</t>
        </is>
      </c>
      <c r="H9" t="n">
        <v>33</v>
      </c>
      <c r="I9" t="n">
        <v>23172</v>
      </c>
      <c r="J9" t="inlineStr">
        <is>
          <t>s</t>
        </is>
      </c>
      <c r="K9" t="inlineStr">
        <is>
          <t>s</t>
        </is>
      </c>
      <c r="L9" t="inlineStr">
        <is>
          <t>BS2A</t>
        </is>
      </c>
      <c r="M9" t="inlineStr">
        <is>
          <t>SAN_JUAN_LAP</t>
        </is>
      </c>
      <c r="N9" t="inlineStr">
        <is>
          <t>Cec</t>
        </is>
      </c>
      <c r="O9" t="inlineStr">
        <is>
          <t>2013/03-2</t>
        </is>
      </c>
      <c r="P9" t="inlineStr">
        <is>
          <t>CEC</t>
        </is>
      </c>
      <c r="Q9" t="n">
        <v>4</v>
      </c>
      <c r="R9" t="inlineStr">
        <is>
          <t>ITAHUE 220</t>
        </is>
      </c>
      <c r="S9" t="n">
        <v>16264.772102</v>
      </c>
      <c r="T9" t="n">
        <v>1305248</v>
      </c>
      <c r="W9" t="n">
        <v>80.25</v>
      </c>
    </row>
    <row r="10">
      <c r="A10" t="inlineStr">
        <is>
          <t>2021-10-01</t>
        </is>
      </c>
      <c r="B10" t="inlineStr">
        <is>
          <t>01-10-2021</t>
        </is>
      </c>
      <c r="C10" t="inlineStr">
        <is>
          <t>Licitación Eolica San Juan y Cec (SIC 2013/03-2) BS2A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BS2A: Potencia oct 2021</t>
        </is>
      </c>
      <c r="G10" t="inlineStr">
        <is>
          <t>2021-11-05 20:33:36</t>
        </is>
      </c>
      <c r="H10" t="n">
        <v>33</v>
      </c>
      <c r="I10" t="n">
        <v>23172</v>
      </c>
      <c r="J10" t="inlineStr">
        <is>
          <t>s</t>
        </is>
      </c>
      <c r="K10" t="inlineStr">
        <is>
          <t>s</t>
        </is>
      </c>
      <c r="L10" t="inlineStr">
        <is>
          <t>BS2A</t>
        </is>
      </c>
      <c r="M10" t="inlineStr">
        <is>
          <t>SAN_JUAN_LAP</t>
        </is>
      </c>
      <c r="N10" t="inlineStr">
        <is>
          <t>Cec</t>
        </is>
      </c>
      <c r="O10" t="inlineStr">
        <is>
          <t>2013/03-2</t>
        </is>
      </c>
      <c r="P10" t="inlineStr">
        <is>
          <t>CEC</t>
        </is>
      </c>
      <c r="Q10" t="n">
        <v>5</v>
      </c>
      <c r="R10" t="inlineStr">
        <is>
          <t>RAPEL 220</t>
        </is>
      </c>
      <c r="U10" t="n">
        <v>0</v>
      </c>
      <c r="V10" t="n">
        <v>0</v>
      </c>
      <c r="W10" t="n">
        <v>6091.875</v>
      </c>
    </row>
    <row r="11">
      <c r="A11" t="inlineStr">
        <is>
          <t>2021-10-01</t>
        </is>
      </c>
      <c r="B11" t="inlineStr">
        <is>
          <t>01-10-2021</t>
        </is>
      </c>
      <c r="C11" t="inlineStr">
        <is>
          <t>Licitación Eolica San Juan y Cec (SIC 2013/03-2) BS2A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BS2A: Energía oct 2021</t>
        </is>
      </c>
      <c r="G11" t="inlineStr">
        <is>
          <t>2021-11-05 20:33:36</t>
        </is>
      </c>
      <c r="H11" t="n">
        <v>33</v>
      </c>
      <c r="I11" t="n">
        <v>23172</v>
      </c>
      <c r="J11" t="inlineStr">
        <is>
          <t>s</t>
        </is>
      </c>
      <c r="K11" t="inlineStr">
        <is>
          <t>s</t>
        </is>
      </c>
      <c r="L11" t="inlineStr">
        <is>
          <t>BS2A</t>
        </is>
      </c>
      <c r="M11" t="inlineStr">
        <is>
          <t>SAN_JUAN_LAP</t>
        </is>
      </c>
      <c r="N11" t="inlineStr">
        <is>
          <t>Cec</t>
        </is>
      </c>
      <c r="O11" t="inlineStr">
        <is>
          <t>2013/03-2</t>
        </is>
      </c>
      <c r="P11" t="inlineStr">
        <is>
          <t>CEC</t>
        </is>
      </c>
      <c r="Q11" t="n">
        <v>5</v>
      </c>
      <c r="R11" t="inlineStr">
        <is>
          <t>RAPEL 220</t>
        </is>
      </c>
      <c r="S11" t="n">
        <v>190.085052</v>
      </c>
      <c r="T11" t="n">
        <v>15405</v>
      </c>
      <c r="W11" t="n">
        <v>81.04300000000001</v>
      </c>
    </row>
    <row r="12">
      <c r="A12" t="inlineStr">
        <is>
          <t>2021-11-01</t>
        </is>
      </c>
      <c r="B12" t="inlineStr">
        <is>
          <t>01-11-2021</t>
        </is>
      </c>
      <c r="C12" t="inlineStr">
        <is>
          <t>Licitación Eolica San Juan y Cec (SIC 2013/03-2) BS2A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BS2A: Potencia nov 2021</t>
        </is>
      </c>
      <c r="G12" t="inlineStr">
        <is>
          <t>2021-12-07 19:09:33</t>
        </is>
      </c>
      <c r="H12" t="n">
        <v>33</v>
      </c>
      <c r="I12" t="n">
        <v>23691</v>
      </c>
      <c r="J12" t="inlineStr">
        <is>
          <t>s</t>
        </is>
      </c>
      <c r="K12" t="inlineStr">
        <is>
          <t>s</t>
        </is>
      </c>
      <c r="L12" t="inlineStr">
        <is>
          <t>BS2A</t>
        </is>
      </c>
      <c r="M12" t="inlineStr">
        <is>
          <t>SAN_JUAN_LAP</t>
        </is>
      </c>
      <c r="N12" t="inlineStr">
        <is>
          <t>Cec</t>
        </is>
      </c>
      <c r="O12" t="inlineStr">
        <is>
          <t>2013/03-2</t>
        </is>
      </c>
      <c r="P12" t="inlineStr">
        <is>
          <t>CEC</t>
        </is>
      </c>
      <c r="Q12" t="n">
        <v>1</v>
      </c>
      <c r="R12" t="inlineStr">
        <is>
          <t>A.JAHUEL 220</t>
        </is>
      </c>
      <c r="U12" t="n">
        <v>0</v>
      </c>
      <c r="V12" t="n">
        <v>0</v>
      </c>
      <c r="W12" t="n">
        <v>6041.927</v>
      </c>
    </row>
    <row r="13">
      <c r="A13" t="inlineStr">
        <is>
          <t>2021-11-01</t>
        </is>
      </c>
      <c r="B13" t="inlineStr">
        <is>
          <t>01-11-2021</t>
        </is>
      </c>
      <c r="C13" t="inlineStr">
        <is>
          <t>Licitación Eolica San Juan y Cec (SIC 2013/03-2) BS2A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BS2A: Energía nov 2021</t>
        </is>
      </c>
      <c r="G13" t="inlineStr">
        <is>
          <t>2021-12-07 19:09:33</t>
        </is>
      </c>
      <c r="H13" t="n">
        <v>33</v>
      </c>
      <c r="I13" t="n">
        <v>23691</v>
      </c>
      <c r="J13" t="inlineStr">
        <is>
          <t>s</t>
        </is>
      </c>
      <c r="K13" t="inlineStr">
        <is>
          <t>s</t>
        </is>
      </c>
      <c r="L13" t="inlineStr">
        <is>
          <t>BS2A</t>
        </is>
      </c>
      <c r="M13" t="inlineStr">
        <is>
          <t>SAN_JUAN_LAP</t>
        </is>
      </c>
      <c r="N13" t="inlineStr">
        <is>
          <t>Cec</t>
        </is>
      </c>
      <c r="O13" t="inlineStr">
        <is>
          <t>2013/03-2</t>
        </is>
      </c>
      <c r="P13" t="inlineStr">
        <is>
          <t>CEC</t>
        </is>
      </c>
      <c r="Q13" t="n">
        <v>1</v>
      </c>
      <c r="R13" t="inlineStr">
        <is>
          <t>A.JAHUEL 220</t>
        </is>
      </c>
      <c r="S13" t="n">
        <v>19734.508123</v>
      </c>
      <c r="T13" t="n">
        <v>1579747</v>
      </c>
      <c r="W13" t="n">
        <v>80.05</v>
      </c>
    </row>
    <row r="14">
      <c r="A14" t="inlineStr">
        <is>
          <t>2021-11-01</t>
        </is>
      </c>
      <c r="B14" t="inlineStr">
        <is>
          <t>01-11-2021</t>
        </is>
      </c>
      <c r="C14" t="inlineStr">
        <is>
          <t>Licitación Eolica San Juan y Cec (SIC 2013/03-2) BS2A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BS2A: Potencia nov 2021</t>
        </is>
      </c>
      <c r="G14" t="inlineStr">
        <is>
          <t>2021-12-07 19:09:33</t>
        </is>
      </c>
      <c r="H14" t="n">
        <v>33</v>
      </c>
      <c r="I14" t="n">
        <v>23691</v>
      </c>
      <c r="J14" t="inlineStr">
        <is>
          <t>s</t>
        </is>
      </c>
      <c r="K14" t="inlineStr">
        <is>
          <t>s</t>
        </is>
      </c>
      <c r="L14" t="inlineStr">
        <is>
          <t>BS2A</t>
        </is>
      </c>
      <c r="M14" t="inlineStr">
        <is>
          <t>SAN_JUAN_LAP</t>
        </is>
      </c>
      <c r="N14" t="inlineStr">
        <is>
          <t>Cec</t>
        </is>
      </c>
      <c r="O14" t="inlineStr">
        <is>
          <t>2013/03-2</t>
        </is>
      </c>
      <c r="P14" t="inlineStr">
        <is>
          <t>CEC</t>
        </is>
      </c>
      <c r="Q14" t="n">
        <v>2</v>
      </c>
      <c r="R14" t="inlineStr">
        <is>
          <t>A.MELIP 220</t>
        </is>
      </c>
      <c r="U14" t="n">
        <v>0</v>
      </c>
      <c r="V14" t="n">
        <v>0</v>
      </c>
      <c r="W14" t="n">
        <v>6143.042</v>
      </c>
    </row>
    <row r="15">
      <c r="A15" t="inlineStr">
        <is>
          <t>2021-11-01</t>
        </is>
      </c>
      <c r="B15" t="inlineStr">
        <is>
          <t>01-11-2021</t>
        </is>
      </c>
      <c r="C15" t="inlineStr">
        <is>
          <t>Licitación Eolica San Juan y Cec (SIC 2013/03-2) BS2A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BS2A: Energía nov 2021</t>
        </is>
      </c>
      <c r="G15" t="inlineStr">
        <is>
          <t>2021-12-07 19:09:33</t>
        </is>
      </c>
      <c r="H15" t="n">
        <v>33</v>
      </c>
      <c r="I15" t="n">
        <v>23691</v>
      </c>
      <c r="J15" t="inlineStr">
        <is>
          <t>s</t>
        </is>
      </c>
      <c r="K15" t="inlineStr">
        <is>
          <t>s</t>
        </is>
      </c>
      <c r="L15" t="inlineStr">
        <is>
          <t>BS2A</t>
        </is>
      </c>
      <c r="M15" t="inlineStr">
        <is>
          <t>SAN_JUAN_LAP</t>
        </is>
      </c>
      <c r="N15" t="inlineStr">
        <is>
          <t>Cec</t>
        </is>
      </c>
      <c r="O15" t="inlineStr">
        <is>
          <t>2013/03-2</t>
        </is>
      </c>
      <c r="P15" t="inlineStr">
        <is>
          <t>CEC</t>
        </is>
      </c>
      <c r="Q15" t="n">
        <v>2</v>
      </c>
      <c r="R15" t="inlineStr">
        <is>
          <t>A.MELIP 220</t>
        </is>
      </c>
      <c r="S15" t="n">
        <v>128.107369</v>
      </c>
      <c r="T15" t="n">
        <v>10376</v>
      </c>
      <c r="W15" t="n">
        <v>80.997</v>
      </c>
    </row>
    <row r="16">
      <c r="A16" t="inlineStr">
        <is>
          <t>2021-11-01</t>
        </is>
      </c>
      <c r="B16" t="inlineStr">
        <is>
          <t>01-11-2021</t>
        </is>
      </c>
      <c r="C16" t="inlineStr">
        <is>
          <t>Licitación Eolica San Juan y Cec (SIC 2013/03-2) BS2A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BS2A: Potencia nov 2021</t>
        </is>
      </c>
      <c r="G16" t="inlineStr">
        <is>
          <t>2021-12-07 19:09:33</t>
        </is>
      </c>
      <c r="H16" t="n">
        <v>33</v>
      </c>
      <c r="I16" t="n">
        <v>23691</v>
      </c>
      <c r="J16" t="inlineStr">
        <is>
          <t>s</t>
        </is>
      </c>
      <c r="K16" t="inlineStr">
        <is>
          <t>s</t>
        </is>
      </c>
      <c r="L16" t="inlineStr">
        <is>
          <t>BS2A</t>
        </is>
      </c>
      <c r="M16" t="inlineStr">
        <is>
          <t>SAN_JUAN_LAP</t>
        </is>
      </c>
      <c r="N16" t="inlineStr">
        <is>
          <t>Cec</t>
        </is>
      </c>
      <c r="O16" t="inlineStr">
        <is>
          <t>2013/03-2</t>
        </is>
      </c>
      <c r="P16" t="inlineStr">
        <is>
          <t>CEC</t>
        </is>
      </c>
      <c r="Q16" t="n">
        <v>3</v>
      </c>
      <c r="R16" t="inlineStr">
        <is>
          <t>CHARRUA 220</t>
        </is>
      </c>
      <c r="U16" t="n">
        <v>0</v>
      </c>
      <c r="V16" t="n">
        <v>0</v>
      </c>
      <c r="W16" t="n">
        <v>5310.366</v>
      </c>
    </row>
    <row r="17">
      <c r="A17" t="inlineStr">
        <is>
          <t>2021-11-01</t>
        </is>
      </c>
      <c r="B17" t="inlineStr">
        <is>
          <t>01-11-2021</t>
        </is>
      </c>
      <c r="C17" t="inlineStr">
        <is>
          <t>Licitación Eolica San Juan y Cec (SIC 2013/03-2) BS2A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BS2A: Energía nov 2021</t>
        </is>
      </c>
      <c r="G17" t="inlineStr">
        <is>
          <t>2021-12-07 19:09:33</t>
        </is>
      </c>
      <c r="H17" t="n">
        <v>33</v>
      </c>
      <c r="I17" t="n">
        <v>23691</v>
      </c>
      <c r="J17" t="inlineStr">
        <is>
          <t>s</t>
        </is>
      </c>
      <c r="K17" t="inlineStr">
        <is>
          <t>s</t>
        </is>
      </c>
      <c r="L17" t="inlineStr">
        <is>
          <t>BS2A</t>
        </is>
      </c>
      <c r="M17" t="inlineStr">
        <is>
          <t>SAN_JUAN_LAP</t>
        </is>
      </c>
      <c r="N17" t="inlineStr">
        <is>
          <t>Cec</t>
        </is>
      </c>
      <c r="O17" t="inlineStr">
        <is>
          <t>2013/03-2</t>
        </is>
      </c>
      <c r="P17" t="inlineStr">
        <is>
          <t>CEC</t>
        </is>
      </c>
      <c r="Q17" t="n">
        <v>3</v>
      </c>
      <c r="R17" t="inlineStr">
        <is>
          <t>CHARRUA 220</t>
        </is>
      </c>
      <c r="S17" t="n">
        <v>1949.678704</v>
      </c>
      <c r="T17" t="n">
        <v>142325</v>
      </c>
      <c r="W17" t="n">
        <v>72.999</v>
      </c>
    </row>
    <row r="18">
      <c r="A18" t="inlineStr">
        <is>
          <t>2021-11-01</t>
        </is>
      </c>
      <c r="B18" t="inlineStr">
        <is>
          <t>01-11-2021</t>
        </is>
      </c>
      <c r="C18" t="inlineStr">
        <is>
          <t>Licitación Eolica San Juan y Cec (SIC 2013/03-2) BS2A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BS2A: Potencia nov 2021</t>
        </is>
      </c>
      <c r="G18" t="inlineStr">
        <is>
          <t>2021-12-07 19:09:33</t>
        </is>
      </c>
      <c r="H18" t="n">
        <v>33</v>
      </c>
      <c r="I18" t="n">
        <v>23691</v>
      </c>
      <c r="J18" t="inlineStr">
        <is>
          <t>s</t>
        </is>
      </c>
      <c r="K18" t="inlineStr">
        <is>
          <t>s</t>
        </is>
      </c>
      <c r="L18" t="inlineStr">
        <is>
          <t>BS2A</t>
        </is>
      </c>
      <c r="M18" t="inlineStr">
        <is>
          <t>SAN_JUAN_LAP</t>
        </is>
      </c>
      <c r="N18" t="inlineStr">
        <is>
          <t>Cec</t>
        </is>
      </c>
      <c r="O18" t="inlineStr">
        <is>
          <t>2013/03-2</t>
        </is>
      </c>
      <c r="P18" t="inlineStr">
        <is>
          <t>CEC</t>
        </is>
      </c>
      <c r="Q18" t="n">
        <v>4</v>
      </c>
      <c r="R18" t="inlineStr">
        <is>
          <t>ITAHUE 220</t>
        </is>
      </c>
      <c r="U18" t="n">
        <v>0</v>
      </c>
      <c r="V18" t="n">
        <v>0</v>
      </c>
      <c r="W18" t="n">
        <v>5815.332</v>
      </c>
    </row>
    <row r="19">
      <c r="A19" t="inlineStr">
        <is>
          <t>2021-11-01</t>
        </is>
      </c>
      <c r="B19" t="inlineStr">
        <is>
          <t>01-11-2021</t>
        </is>
      </c>
      <c r="C19" t="inlineStr">
        <is>
          <t>Licitación Eolica San Juan y Cec (SIC 2013/03-2) BS2A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BS2A: Energía nov 2021</t>
        </is>
      </c>
      <c r="G19" t="inlineStr">
        <is>
          <t>2021-12-07 19:09:33</t>
        </is>
      </c>
      <c r="H19" t="n">
        <v>33</v>
      </c>
      <c r="I19" t="n">
        <v>23691</v>
      </c>
      <c r="J19" t="inlineStr">
        <is>
          <t>s</t>
        </is>
      </c>
      <c r="K19" t="inlineStr">
        <is>
          <t>s</t>
        </is>
      </c>
      <c r="L19" t="inlineStr">
        <is>
          <t>BS2A</t>
        </is>
      </c>
      <c r="M19" t="inlineStr">
        <is>
          <t>SAN_JUAN_LAP</t>
        </is>
      </c>
      <c r="N19" t="inlineStr">
        <is>
          <t>Cec</t>
        </is>
      </c>
      <c r="O19" t="inlineStr">
        <is>
          <t>2013/03-2</t>
        </is>
      </c>
      <c r="P19" t="inlineStr">
        <is>
          <t>CEC</t>
        </is>
      </c>
      <c r="Q19" t="n">
        <v>4</v>
      </c>
      <c r="R19" t="inlineStr">
        <is>
          <t>ITAHUE 220</t>
        </is>
      </c>
      <c r="S19" t="n">
        <v>20423.259416</v>
      </c>
      <c r="T19" t="n">
        <v>1638967</v>
      </c>
      <c r="W19" t="n">
        <v>80.25</v>
      </c>
    </row>
    <row r="20">
      <c r="A20" t="inlineStr">
        <is>
          <t>2021-11-01</t>
        </is>
      </c>
      <c r="B20" t="inlineStr">
        <is>
          <t>01-11-2021</t>
        </is>
      </c>
      <c r="C20" t="inlineStr">
        <is>
          <t>Licitación Eolica San Juan y Cec (SIC 2013/03-2) BS2A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BS2A: Potencia nov 2021</t>
        </is>
      </c>
      <c r="G20" t="inlineStr">
        <is>
          <t>2021-12-07 19:09:33</t>
        </is>
      </c>
      <c r="H20" t="n">
        <v>33</v>
      </c>
      <c r="I20" t="n">
        <v>23691</v>
      </c>
      <c r="J20" t="inlineStr">
        <is>
          <t>s</t>
        </is>
      </c>
      <c r="K20" t="inlineStr">
        <is>
          <t>s</t>
        </is>
      </c>
      <c r="L20" t="inlineStr">
        <is>
          <t>BS2A</t>
        </is>
      </c>
      <c r="M20" t="inlineStr">
        <is>
          <t>SAN_JUAN_LAP</t>
        </is>
      </c>
      <c r="N20" t="inlineStr">
        <is>
          <t>Cec</t>
        </is>
      </c>
      <c r="O20" t="inlineStr">
        <is>
          <t>2013/03-2</t>
        </is>
      </c>
      <c r="P20" t="inlineStr">
        <is>
          <t>CEC</t>
        </is>
      </c>
      <c r="Q20" t="n">
        <v>5</v>
      </c>
      <c r="R20" t="inlineStr">
        <is>
          <t>RAPEL 220</t>
        </is>
      </c>
      <c r="U20" t="n">
        <v>0</v>
      </c>
      <c r="V20" t="n">
        <v>0</v>
      </c>
      <c r="W20" t="n">
        <v>6091.875</v>
      </c>
    </row>
    <row r="21">
      <c r="A21" t="inlineStr">
        <is>
          <t>2021-11-01</t>
        </is>
      </c>
      <c r="B21" t="inlineStr">
        <is>
          <t>01-11-2021</t>
        </is>
      </c>
      <c r="C21" t="inlineStr">
        <is>
          <t>Licitación Eolica San Juan y Cec (SIC 2013/03-2) BS2A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BS2A: Energía nov 2021</t>
        </is>
      </c>
      <c r="G21" t="inlineStr">
        <is>
          <t>2021-12-07 19:09:33</t>
        </is>
      </c>
      <c r="H21" t="n">
        <v>33</v>
      </c>
      <c r="I21" t="n">
        <v>23691</v>
      </c>
      <c r="J21" t="inlineStr">
        <is>
          <t>s</t>
        </is>
      </c>
      <c r="K21" t="inlineStr">
        <is>
          <t>s</t>
        </is>
      </c>
      <c r="L21" t="inlineStr">
        <is>
          <t>BS2A</t>
        </is>
      </c>
      <c r="M21" t="inlineStr">
        <is>
          <t>SAN_JUAN_LAP</t>
        </is>
      </c>
      <c r="N21" t="inlineStr">
        <is>
          <t>Cec</t>
        </is>
      </c>
      <c r="O21" t="inlineStr">
        <is>
          <t>2013/03-2</t>
        </is>
      </c>
      <c r="P21" t="inlineStr">
        <is>
          <t>CEC</t>
        </is>
      </c>
      <c r="Q21" t="n">
        <v>5</v>
      </c>
      <c r="R21" t="inlineStr">
        <is>
          <t>RAPEL 220</t>
        </is>
      </c>
      <c r="S21" t="n">
        <v>239.443097</v>
      </c>
      <c r="T21" t="n">
        <v>19405</v>
      </c>
      <c r="W21" t="n">
        <v>81.04300000000001</v>
      </c>
    </row>
    <row r="22">
      <c r="A22" t="inlineStr">
        <is>
          <t>2021-12-01</t>
        </is>
      </c>
      <c r="B22" t="inlineStr">
        <is>
          <t>01-12-2021</t>
        </is>
      </c>
      <c r="C22" t="inlineStr">
        <is>
          <t>Licitación Eolica San Juan y Cec (SIC 2013/03-2) BS2A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BS2A: Potencia dic 2021</t>
        </is>
      </c>
      <c r="G22" t="inlineStr">
        <is>
          <t>2022-01-10 15:51:06</t>
        </is>
      </c>
      <c r="H22" t="n">
        <v>33</v>
      </c>
      <c r="I22" t="n">
        <v>24056</v>
      </c>
      <c r="J22" t="inlineStr">
        <is>
          <t>s</t>
        </is>
      </c>
      <c r="K22" t="inlineStr">
        <is>
          <t>s</t>
        </is>
      </c>
      <c r="L22" t="inlineStr">
        <is>
          <t>BS2A</t>
        </is>
      </c>
      <c r="M22" t="inlineStr">
        <is>
          <t>SAN_JUAN_LAP</t>
        </is>
      </c>
      <c r="N22" t="inlineStr">
        <is>
          <t>Cec</t>
        </is>
      </c>
      <c r="O22" t="inlineStr">
        <is>
          <t>2013/03-2</t>
        </is>
      </c>
      <c r="P22" t="inlineStr">
        <is>
          <t>CEC</t>
        </is>
      </c>
      <c r="Q22" t="n">
        <v>1</v>
      </c>
      <c r="R22" t="inlineStr">
        <is>
          <t>A.JAHUEL 220</t>
        </is>
      </c>
      <c r="U22" t="n">
        <v>0</v>
      </c>
      <c r="V22" t="n">
        <v>0</v>
      </c>
      <c r="W22" t="n">
        <v>6041.927</v>
      </c>
    </row>
    <row r="23">
      <c r="A23" t="inlineStr">
        <is>
          <t>2021-12-01</t>
        </is>
      </c>
      <c r="B23" t="inlineStr">
        <is>
          <t>01-12-2021</t>
        </is>
      </c>
      <c r="C23" t="inlineStr">
        <is>
          <t>Licitación Eolica San Juan y Cec (SIC 2013/03-2) BS2A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BS2A: Energía dic 2021</t>
        </is>
      </c>
      <c r="G23" t="inlineStr">
        <is>
          <t>2022-01-10 15:51:06</t>
        </is>
      </c>
      <c r="H23" t="n">
        <v>33</v>
      </c>
      <c r="I23" t="n">
        <v>24056</v>
      </c>
      <c r="J23" t="inlineStr">
        <is>
          <t>s</t>
        </is>
      </c>
      <c r="K23" t="inlineStr">
        <is>
          <t>s</t>
        </is>
      </c>
      <c r="L23" t="inlineStr">
        <is>
          <t>BS2A</t>
        </is>
      </c>
      <c r="M23" t="inlineStr">
        <is>
          <t>SAN_JUAN_LAP</t>
        </is>
      </c>
      <c r="N23" t="inlineStr">
        <is>
          <t>Cec</t>
        </is>
      </c>
      <c r="O23" t="inlineStr">
        <is>
          <t>2013/03-2</t>
        </is>
      </c>
      <c r="P23" t="inlineStr">
        <is>
          <t>CEC</t>
        </is>
      </c>
      <c r="Q23" t="n">
        <v>1</v>
      </c>
      <c r="R23" t="inlineStr">
        <is>
          <t>A.JAHUEL 220</t>
        </is>
      </c>
      <c r="S23" t="n">
        <v>26301.457101</v>
      </c>
      <c r="T23" t="n">
        <v>2105432</v>
      </c>
      <c r="W23" t="n">
        <v>80.05</v>
      </c>
    </row>
    <row r="24">
      <c r="A24" t="inlineStr">
        <is>
          <t>2021-12-01</t>
        </is>
      </c>
      <c r="B24" t="inlineStr">
        <is>
          <t>01-12-2021</t>
        </is>
      </c>
      <c r="C24" t="inlineStr">
        <is>
          <t>Licitación Eolica San Juan y Cec (SIC 2013/03-2) BS2A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BS2A: Potencia dic 2021</t>
        </is>
      </c>
      <c r="G24" t="inlineStr">
        <is>
          <t>2022-01-10 15:51:06</t>
        </is>
      </c>
      <c r="H24" t="n">
        <v>33</v>
      </c>
      <c r="I24" t="n">
        <v>24056</v>
      </c>
      <c r="J24" t="inlineStr">
        <is>
          <t>s</t>
        </is>
      </c>
      <c r="K24" t="inlineStr">
        <is>
          <t>s</t>
        </is>
      </c>
      <c r="L24" t="inlineStr">
        <is>
          <t>BS2A</t>
        </is>
      </c>
      <c r="M24" t="inlineStr">
        <is>
          <t>SAN_JUAN_LAP</t>
        </is>
      </c>
      <c r="N24" t="inlineStr">
        <is>
          <t>Cec</t>
        </is>
      </c>
      <c r="O24" t="inlineStr">
        <is>
          <t>2013/03-2</t>
        </is>
      </c>
      <c r="P24" t="inlineStr">
        <is>
          <t>CEC</t>
        </is>
      </c>
      <c r="Q24" t="n">
        <v>2</v>
      </c>
      <c r="R24" t="inlineStr">
        <is>
          <t>A.MELIP 220</t>
        </is>
      </c>
      <c r="U24" t="n">
        <v>0</v>
      </c>
      <c r="V24" t="n">
        <v>0</v>
      </c>
      <c r="W24" t="n">
        <v>6143.042</v>
      </c>
    </row>
    <row r="25">
      <c r="A25" t="inlineStr">
        <is>
          <t>2021-12-01</t>
        </is>
      </c>
      <c r="B25" t="inlineStr">
        <is>
          <t>01-12-2021</t>
        </is>
      </c>
      <c r="C25" t="inlineStr">
        <is>
          <t>Licitación Eolica San Juan y Cec (SIC 2013/03-2) BS2A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BS2A: Energía dic 2021</t>
        </is>
      </c>
      <c r="G25" t="inlineStr">
        <is>
          <t>2022-01-10 15:51:06</t>
        </is>
      </c>
      <c r="H25" t="n">
        <v>33</v>
      </c>
      <c r="I25" t="n">
        <v>24056</v>
      </c>
      <c r="J25" t="inlineStr">
        <is>
          <t>s</t>
        </is>
      </c>
      <c r="K25" t="inlineStr">
        <is>
          <t>s</t>
        </is>
      </c>
      <c r="L25" t="inlineStr">
        <is>
          <t>BS2A</t>
        </is>
      </c>
      <c r="M25" t="inlineStr">
        <is>
          <t>SAN_JUAN_LAP</t>
        </is>
      </c>
      <c r="N25" t="inlineStr">
        <is>
          <t>Cec</t>
        </is>
      </c>
      <c r="O25" t="inlineStr">
        <is>
          <t>2013/03-2</t>
        </is>
      </c>
      <c r="P25" t="inlineStr">
        <is>
          <t>CEC</t>
        </is>
      </c>
      <c r="Q25" t="n">
        <v>2</v>
      </c>
      <c r="R25" t="inlineStr">
        <is>
          <t>A.MELIP 220</t>
        </is>
      </c>
      <c r="S25" t="n">
        <v>165.462618</v>
      </c>
      <c r="T25" t="n">
        <v>13402</v>
      </c>
      <c r="W25" t="n">
        <v>80.997</v>
      </c>
    </row>
    <row r="26">
      <c r="A26" t="inlineStr">
        <is>
          <t>2021-12-01</t>
        </is>
      </c>
      <c r="B26" t="inlineStr">
        <is>
          <t>01-12-2021</t>
        </is>
      </c>
      <c r="C26" t="inlineStr">
        <is>
          <t>Licitación Eolica San Juan y Cec (SIC 2013/03-2) BS2A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BS2A: Potencia dic 2021</t>
        </is>
      </c>
      <c r="G26" t="inlineStr">
        <is>
          <t>2022-01-10 15:51:06</t>
        </is>
      </c>
      <c r="H26" t="n">
        <v>33</v>
      </c>
      <c r="I26" t="n">
        <v>24056</v>
      </c>
      <c r="J26" t="inlineStr">
        <is>
          <t>s</t>
        </is>
      </c>
      <c r="K26" t="inlineStr">
        <is>
          <t>s</t>
        </is>
      </c>
      <c r="L26" t="inlineStr">
        <is>
          <t>BS2A</t>
        </is>
      </c>
      <c r="M26" t="inlineStr">
        <is>
          <t>SAN_JUAN_LAP</t>
        </is>
      </c>
      <c r="N26" t="inlineStr">
        <is>
          <t>Cec</t>
        </is>
      </c>
      <c r="O26" t="inlineStr">
        <is>
          <t>2013/03-2</t>
        </is>
      </c>
      <c r="P26" t="inlineStr">
        <is>
          <t>CEC</t>
        </is>
      </c>
      <c r="Q26" t="n">
        <v>3</v>
      </c>
      <c r="R26" t="inlineStr">
        <is>
          <t>CHARRUA 220</t>
        </is>
      </c>
      <c r="U26" t="n">
        <v>0</v>
      </c>
      <c r="V26" t="n">
        <v>0</v>
      </c>
      <c r="W26" t="n">
        <v>5310.366</v>
      </c>
    </row>
    <row r="27">
      <c r="A27" t="inlineStr">
        <is>
          <t>2021-12-01</t>
        </is>
      </c>
      <c r="B27" t="inlineStr">
        <is>
          <t>01-12-2021</t>
        </is>
      </c>
      <c r="C27" t="inlineStr">
        <is>
          <t>Licitación Eolica San Juan y Cec (SIC 2013/03-2) BS2A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BS2A: Energía dic 2021</t>
        </is>
      </c>
      <c r="G27" t="inlineStr">
        <is>
          <t>2022-01-10 15:51:06</t>
        </is>
      </c>
      <c r="H27" t="n">
        <v>33</v>
      </c>
      <c r="I27" t="n">
        <v>24056</v>
      </c>
      <c r="J27" t="inlineStr">
        <is>
          <t>s</t>
        </is>
      </c>
      <c r="K27" t="inlineStr">
        <is>
          <t>s</t>
        </is>
      </c>
      <c r="L27" t="inlineStr">
        <is>
          <t>BS2A</t>
        </is>
      </c>
      <c r="M27" t="inlineStr">
        <is>
          <t>SAN_JUAN_LAP</t>
        </is>
      </c>
      <c r="N27" t="inlineStr">
        <is>
          <t>Cec</t>
        </is>
      </c>
      <c r="O27" t="inlineStr">
        <is>
          <t>2013/03-2</t>
        </is>
      </c>
      <c r="P27" t="inlineStr">
        <is>
          <t>CEC</t>
        </is>
      </c>
      <c r="Q27" t="n">
        <v>3</v>
      </c>
      <c r="R27" t="inlineStr">
        <is>
          <t>CHARRUA 220</t>
        </is>
      </c>
      <c r="S27" t="n">
        <v>2552.418897</v>
      </c>
      <c r="T27" t="n">
        <v>186324</v>
      </c>
      <c r="W27" t="n">
        <v>72.999</v>
      </c>
    </row>
    <row r="28">
      <c r="A28" t="inlineStr">
        <is>
          <t>2021-12-01</t>
        </is>
      </c>
      <c r="B28" t="inlineStr">
        <is>
          <t>01-12-2021</t>
        </is>
      </c>
      <c r="C28" t="inlineStr">
        <is>
          <t>Licitación Eolica San Juan y Cec (SIC 2013/03-2) BS2A</t>
        </is>
      </c>
      <c r="D28" t="inlineStr">
        <is>
          <t>Potencia Licitaciones</t>
        </is>
      </c>
      <c r="E28" t="inlineStr">
        <is>
          <t>Potencia</t>
        </is>
      </c>
      <c r="F28" t="inlineStr">
        <is>
          <t>Lic. SIC 2013/03-2 bloques BS2A: Potencia dic 2021</t>
        </is>
      </c>
      <c r="G28" t="inlineStr">
        <is>
          <t>2022-01-10 15:51:06</t>
        </is>
      </c>
      <c r="H28" t="n">
        <v>33</v>
      </c>
      <c r="I28" t="n">
        <v>24056</v>
      </c>
      <c r="J28" t="inlineStr">
        <is>
          <t>s</t>
        </is>
      </c>
      <c r="K28" t="inlineStr">
        <is>
          <t>s</t>
        </is>
      </c>
      <c r="L28" t="inlineStr">
        <is>
          <t>BS2A</t>
        </is>
      </c>
      <c r="M28" t="inlineStr">
        <is>
          <t>SAN_JUAN_LAP</t>
        </is>
      </c>
      <c r="N28" t="inlineStr">
        <is>
          <t>Cec</t>
        </is>
      </c>
      <c r="O28" t="inlineStr">
        <is>
          <t>2013/03-2</t>
        </is>
      </c>
      <c r="P28" t="inlineStr">
        <is>
          <t>CEC</t>
        </is>
      </c>
      <c r="Q28" t="n">
        <v>4</v>
      </c>
      <c r="R28" t="inlineStr">
        <is>
          <t>ITAHUE 220</t>
        </is>
      </c>
      <c r="U28" t="n">
        <v>0</v>
      </c>
      <c r="V28" t="n">
        <v>0</v>
      </c>
      <c r="W28" t="n">
        <v>5815.332</v>
      </c>
    </row>
    <row r="29">
      <c r="A29" t="inlineStr">
        <is>
          <t>2021-12-01</t>
        </is>
      </c>
      <c r="B29" t="inlineStr">
        <is>
          <t>01-12-2021</t>
        </is>
      </c>
      <c r="C29" t="inlineStr">
        <is>
          <t>Licitación Eolica San Juan y Cec (SIC 2013/03-2) BS2A</t>
        </is>
      </c>
      <c r="D29" t="inlineStr">
        <is>
          <t>Energia Licitaciones</t>
        </is>
      </c>
      <c r="E29" t="inlineStr">
        <is>
          <t>Energía</t>
        </is>
      </c>
      <c r="F29" t="inlineStr">
        <is>
          <t>Lic. SIC 2013/03-2 bloques BS2A: Energía dic 2021</t>
        </is>
      </c>
      <c r="G29" t="inlineStr">
        <is>
          <t>2022-01-10 15:51:06</t>
        </is>
      </c>
      <c r="H29" t="n">
        <v>33</v>
      </c>
      <c r="I29" t="n">
        <v>24056</v>
      </c>
      <c r="J29" t="inlineStr">
        <is>
          <t>s</t>
        </is>
      </c>
      <c r="K29" t="inlineStr">
        <is>
          <t>s</t>
        </is>
      </c>
      <c r="L29" t="inlineStr">
        <is>
          <t>BS2A</t>
        </is>
      </c>
      <c r="M29" t="inlineStr">
        <is>
          <t>SAN_JUAN_LAP</t>
        </is>
      </c>
      <c r="N29" t="inlineStr">
        <is>
          <t>Cec</t>
        </is>
      </c>
      <c r="O29" t="inlineStr">
        <is>
          <t>2013/03-2</t>
        </is>
      </c>
      <c r="P29" t="inlineStr">
        <is>
          <t>CEC</t>
        </is>
      </c>
      <c r="Q29" t="n">
        <v>4</v>
      </c>
      <c r="R29" t="inlineStr">
        <is>
          <t>ITAHUE 220</t>
        </is>
      </c>
      <c r="S29" t="n">
        <v>27014.574892</v>
      </c>
      <c r="T29" t="n">
        <v>2167920</v>
      </c>
      <c r="W29" t="n">
        <v>80.25</v>
      </c>
    </row>
    <row r="30">
      <c r="A30" t="inlineStr">
        <is>
          <t>2021-12-01</t>
        </is>
      </c>
      <c r="B30" t="inlineStr">
        <is>
          <t>01-12-2021</t>
        </is>
      </c>
      <c r="C30" t="inlineStr">
        <is>
          <t>Licitación Eolica San Juan y Cec (SIC 2013/03-2) BS2A</t>
        </is>
      </c>
      <c r="D30" t="inlineStr">
        <is>
          <t>Potencia Licitaciones</t>
        </is>
      </c>
      <c r="E30" t="inlineStr">
        <is>
          <t>Potencia</t>
        </is>
      </c>
      <c r="F30" t="inlineStr">
        <is>
          <t>Lic. SIC 2013/03-2 bloques BS2A: Potencia dic 2021</t>
        </is>
      </c>
      <c r="G30" t="inlineStr">
        <is>
          <t>2022-01-10 15:51:06</t>
        </is>
      </c>
      <c r="H30" t="n">
        <v>33</v>
      </c>
      <c r="I30" t="n">
        <v>24056</v>
      </c>
      <c r="J30" t="inlineStr">
        <is>
          <t>s</t>
        </is>
      </c>
      <c r="K30" t="inlineStr">
        <is>
          <t>s</t>
        </is>
      </c>
      <c r="L30" t="inlineStr">
        <is>
          <t>BS2A</t>
        </is>
      </c>
      <c r="M30" t="inlineStr">
        <is>
          <t>SAN_JUAN_LAP</t>
        </is>
      </c>
      <c r="N30" t="inlineStr">
        <is>
          <t>Cec</t>
        </is>
      </c>
      <c r="O30" t="inlineStr">
        <is>
          <t>2013/03-2</t>
        </is>
      </c>
      <c r="P30" t="inlineStr">
        <is>
          <t>CEC</t>
        </is>
      </c>
      <c r="Q30" t="n">
        <v>5</v>
      </c>
      <c r="R30" t="inlineStr">
        <is>
          <t>RAPEL 220</t>
        </is>
      </c>
      <c r="U30" t="n">
        <v>0</v>
      </c>
      <c r="V30" t="n">
        <v>0</v>
      </c>
      <c r="W30" t="n">
        <v>6091.875</v>
      </c>
    </row>
    <row r="31">
      <c r="A31" t="inlineStr">
        <is>
          <t>2021-12-01</t>
        </is>
      </c>
      <c r="B31" t="inlineStr">
        <is>
          <t>01-12-2021</t>
        </is>
      </c>
      <c r="C31" t="inlineStr">
        <is>
          <t>Licitación Eolica San Juan y Cec (SIC 2013/03-2) BS2A</t>
        </is>
      </c>
      <c r="D31" t="inlineStr">
        <is>
          <t>Energia Licitaciones</t>
        </is>
      </c>
      <c r="E31" t="inlineStr">
        <is>
          <t>Energía</t>
        </is>
      </c>
      <c r="F31" t="inlineStr">
        <is>
          <t>Lic. SIC 2013/03-2 bloques BS2A: Energía dic 2021</t>
        </is>
      </c>
      <c r="G31" t="inlineStr">
        <is>
          <t>2022-01-10 15:51:06</t>
        </is>
      </c>
      <c r="H31" t="n">
        <v>33</v>
      </c>
      <c r="I31" t="n">
        <v>24056</v>
      </c>
      <c r="J31" t="inlineStr">
        <is>
          <t>s</t>
        </is>
      </c>
      <c r="K31" t="inlineStr">
        <is>
          <t>s</t>
        </is>
      </c>
      <c r="L31" t="inlineStr">
        <is>
          <t>BS2A</t>
        </is>
      </c>
      <c r="M31" t="inlineStr">
        <is>
          <t>SAN_JUAN_LAP</t>
        </is>
      </c>
      <c r="N31" t="inlineStr">
        <is>
          <t>Cec</t>
        </is>
      </c>
      <c r="O31" t="inlineStr">
        <is>
          <t>2013/03-2</t>
        </is>
      </c>
      <c r="P31" t="inlineStr">
        <is>
          <t>CEC</t>
        </is>
      </c>
      <c r="Q31" t="n">
        <v>5</v>
      </c>
      <c r="R31" t="inlineStr">
        <is>
          <t>RAPEL 220</t>
        </is>
      </c>
      <c r="S31" t="n">
        <v>317.948696</v>
      </c>
      <c r="T31" t="n">
        <v>25768</v>
      </c>
      <c r="W31" t="n">
        <v>81.04300000000001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Eolica San Juan y Cec (SIC 2013/03-2) BS2A</t>
        </is>
      </c>
      <c r="D2" t="inlineStr">
        <is>
          <t>Energia Licitaciones</t>
        </is>
      </c>
      <c r="E2" t="inlineStr">
        <is>
          <t>Energía</t>
        </is>
      </c>
      <c r="F2" t="inlineStr">
        <is>
          <t>Lic. SIC 2013/03-2 bloques BS2A: Energía oct 2021</t>
        </is>
      </c>
      <c r="G2" t="inlineStr">
        <is>
          <t>2021-11-05 20:33:36</t>
        </is>
      </c>
      <c r="H2" t="n">
        <v>33</v>
      </c>
      <c r="I2" t="n">
        <v>23172</v>
      </c>
      <c r="J2" t="inlineStr">
        <is>
          <t>s</t>
        </is>
      </c>
      <c r="K2" t="inlineStr">
        <is>
          <t>s</t>
        </is>
      </c>
      <c r="L2" t="inlineStr">
        <is>
          <t>BS2A</t>
        </is>
      </c>
      <c r="M2" t="inlineStr">
        <is>
          <t>SAN_JUAN_LAP</t>
        </is>
      </c>
      <c r="N2" t="inlineStr">
        <is>
          <t>Cec</t>
        </is>
      </c>
      <c r="O2" t="inlineStr">
        <is>
          <t>2013/03-2</t>
        </is>
      </c>
      <c r="P2" t="inlineStr">
        <is>
          <t>CEC</t>
        </is>
      </c>
      <c r="Q2" t="n">
        <v>1</v>
      </c>
      <c r="R2" t="inlineStr">
        <is>
          <t>A.JAHUEL 220</t>
        </is>
      </c>
      <c r="S2" t="n">
        <v>15620.441232</v>
      </c>
      <c r="T2" t="n">
        <v>1250416</v>
      </c>
      <c r="W2" t="n">
        <v>80.05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Eolica San Juan y Cec (SIC 2013/03-2) BS2A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BS2A: Energía oct 2021</t>
        </is>
      </c>
      <c r="G3" t="inlineStr">
        <is>
          <t>2021-11-05 20:33:36</t>
        </is>
      </c>
      <c r="H3" t="n">
        <v>33</v>
      </c>
      <c r="I3" t="n">
        <v>23172</v>
      </c>
      <c r="J3" t="inlineStr">
        <is>
          <t>s</t>
        </is>
      </c>
      <c r="K3" t="inlineStr">
        <is>
          <t>s</t>
        </is>
      </c>
      <c r="L3" t="inlineStr">
        <is>
          <t>BS2A</t>
        </is>
      </c>
      <c r="M3" t="inlineStr">
        <is>
          <t>SAN_JUAN_LAP</t>
        </is>
      </c>
      <c r="N3" t="inlineStr">
        <is>
          <t>Cec</t>
        </is>
      </c>
      <c r="O3" t="inlineStr">
        <is>
          <t>2013/03-2</t>
        </is>
      </c>
      <c r="P3" t="inlineStr">
        <is>
          <t>CEC</t>
        </is>
      </c>
      <c r="Q3" t="n">
        <v>2</v>
      </c>
      <c r="R3" t="inlineStr">
        <is>
          <t>A.MELIP 220</t>
        </is>
      </c>
      <c r="S3" t="n">
        <v>103.882679</v>
      </c>
      <c r="T3" t="n">
        <v>8414</v>
      </c>
      <c r="W3" t="n">
        <v>80.997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Eolica San Juan y Cec (SIC 2013/03-2) BS2A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BS2A: Energía oct 2021</t>
        </is>
      </c>
      <c r="G4" t="inlineStr">
        <is>
          <t>2021-11-05 20:33:36</t>
        </is>
      </c>
      <c r="H4" t="n">
        <v>33</v>
      </c>
      <c r="I4" t="n">
        <v>23172</v>
      </c>
      <c r="J4" t="inlineStr">
        <is>
          <t>s</t>
        </is>
      </c>
      <c r="K4" t="inlineStr">
        <is>
          <t>s</t>
        </is>
      </c>
      <c r="L4" t="inlineStr">
        <is>
          <t>BS2A</t>
        </is>
      </c>
      <c r="M4" t="inlineStr">
        <is>
          <t>SAN_JUAN_LAP</t>
        </is>
      </c>
      <c r="N4" t="inlineStr">
        <is>
          <t>Cec</t>
        </is>
      </c>
      <c r="O4" t="inlineStr">
        <is>
          <t>2013/03-2</t>
        </is>
      </c>
      <c r="P4" t="inlineStr">
        <is>
          <t>CEC</t>
        </is>
      </c>
      <c r="Q4" t="n">
        <v>3</v>
      </c>
      <c r="R4" t="inlineStr">
        <is>
          <t>CHARRUA 220</t>
        </is>
      </c>
      <c r="S4" t="n">
        <v>1567.926994</v>
      </c>
      <c r="T4" t="n">
        <v>114457</v>
      </c>
      <c r="W4" t="n">
        <v>72.999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Eolica San Juan y Cec (SIC 2013/03-2) BS2A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BS2A: Energía oct 2021</t>
        </is>
      </c>
      <c r="G5" t="inlineStr">
        <is>
          <t>2021-11-05 20:33:36</t>
        </is>
      </c>
      <c r="H5" t="n">
        <v>33</v>
      </c>
      <c r="I5" t="n">
        <v>23172</v>
      </c>
      <c r="J5" t="inlineStr">
        <is>
          <t>s</t>
        </is>
      </c>
      <c r="K5" t="inlineStr">
        <is>
          <t>s</t>
        </is>
      </c>
      <c r="L5" t="inlineStr">
        <is>
          <t>BS2A</t>
        </is>
      </c>
      <c r="M5" t="inlineStr">
        <is>
          <t>SAN_JUAN_LAP</t>
        </is>
      </c>
      <c r="N5" t="inlineStr">
        <is>
          <t>Cec</t>
        </is>
      </c>
      <c r="O5" t="inlineStr">
        <is>
          <t>2013/03-2</t>
        </is>
      </c>
      <c r="P5" t="inlineStr">
        <is>
          <t>CEC</t>
        </is>
      </c>
      <c r="Q5" t="n">
        <v>4</v>
      </c>
      <c r="R5" t="inlineStr">
        <is>
          <t>ITAHUE 220</t>
        </is>
      </c>
      <c r="S5" t="n">
        <v>16264.772102</v>
      </c>
      <c r="T5" t="n">
        <v>1305248</v>
      </c>
      <c r="W5" t="n">
        <v>80.25</v>
      </c>
    </row>
    <row r="6">
      <c r="A6" t="inlineStr">
        <is>
          <t>2021-10-01</t>
        </is>
      </c>
      <c r="B6" t="inlineStr">
        <is>
          <t>01-10-2021</t>
        </is>
      </c>
      <c r="C6" t="inlineStr">
        <is>
          <t>Licitación Eolica San Juan y Cec (SIC 2013/03-2) BS2A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BS2A: Energía oct 2021</t>
        </is>
      </c>
      <c r="G6" t="inlineStr">
        <is>
          <t>2021-11-05 20:33:36</t>
        </is>
      </c>
      <c r="H6" t="n">
        <v>33</v>
      </c>
      <c r="I6" t="n">
        <v>23172</v>
      </c>
      <c r="J6" t="inlineStr">
        <is>
          <t>s</t>
        </is>
      </c>
      <c r="K6" t="inlineStr">
        <is>
          <t>s</t>
        </is>
      </c>
      <c r="L6" t="inlineStr">
        <is>
          <t>BS2A</t>
        </is>
      </c>
      <c r="M6" t="inlineStr">
        <is>
          <t>SAN_JUAN_LAP</t>
        </is>
      </c>
      <c r="N6" t="inlineStr">
        <is>
          <t>Cec</t>
        </is>
      </c>
      <c r="O6" t="inlineStr">
        <is>
          <t>2013/03-2</t>
        </is>
      </c>
      <c r="P6" t="inlineStr">
        <is>
          <t>CEC</t>
        </is>
      </c>
      <c r="Q6" t="n">
        <v>5</v>
      </c>
      <c r="R6" t="inlineStr">
        <is>
          <t>RAPEL 220</t>
        </is>
      </c>
      <c r="S6" t="n">
        <v>190.085052</v>
      </c>
      <c r="T6" t="n">
        <v>15405</v>
      </c>
      <c r="W6" t="n">
        <v>81.04300000000001</v>
      </c>
    </row>
    <row r="7">
      <c r="A7" t="inlineStr">
        <is>
          <t>2021-11-01</t>
        </is>
      </c>
      <c r="B7" t="inlineStr">
        <is>
          <t>01-11-2021</t>
        </is>
      </c>
      <c r="C7" t="inlineStr">
        <is>
          <t>Licitación Eolica San Juan y Cec (SIC 2013/03-2) BS2A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BS2A: Energía nov 2021</t>
        </is>
      </c>
      <c r="G7" t="inlineStr">
        <is>
          <t>2021-12-07 19:09:33</t>
        </is>
      </c>
      <c r="H7" t="n">
        <v>33</v>
      </c>
      <c r="I7" t="n">
        <v>23691</v>
      </c>
      <c r="J7" t="inlineStr">
        <is>
          <t>s</t>
        </is>
      </c>
      <c r="K7" t="inlineStr">
        <is>
          <t>s</t>
        </is>
      </c>
      <c r="L7" t="inlineStr">
        <is>
          <t>BS2A</t>
        </is>
      </c>
      <c r="M7" t="inlineStr">
        <is>
          <t>SAN_JUAN_LAP</t>
        </is>
      </c>
      <c r="N7" t="inlineStr">
        <is>
          <t>Cec</t>
        </is>
      </c>
      <c r="O7" t="inlineStr">
        <is>
          <t>2013/03-2</t>
        </is>
      </c>
      <c r="P7" t="inlineStr">
        <is>
          <t>CEC</t>
        </is>
      </c>
      <c r="Q7" t="n">
        <v>1</v>
      </c>
      <c r="R7" t="inlineStr">
        <is>
          <t>A.JAHUEL 220</t>
        </is>
      </c>
      <c r="S7" t="n">
        <v>19734.508123</v>
      </c>
      <c r="T7" t="n">
        <v>1579747</v>
      </c>
      <c r="W7" t="n">
        <v>80.05</v>
      </c>
    </row>
    <row r="8">
      <c r="A8" t="inlineStr">
        <is>
          <t>2021-11-01</t>
        </is>
      </c>
      <c r="B8" t="inlineStr">
        <is>
          <t>01-11-2021</t>
        </is>
      </c>
      <c r="C8" t="inlineStr">
        <is>
          <t>Licitación Eolica San Juan y Cec (SIC 2013/03-2) BS2A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BS2A: Energía nov 2021</t>
        </is>
      </c>
      <c r="G8" t="inlineStr">
        <is>
          <t>2021-12-07 19:09:33</t>
        </is>
      </c>
      <c r="H8" t="n">
        <v>33</v>
      </c>
      <c r="I8" t="n">
        <v>23691</v>
      </c>
      <c r="J8" t="inlineStr">
        <is>
          <t>s</t>
        </is>
      </c>
      <c r="K8" t="inlineStr">
        <is>
          <t>s</t>
        </is>
      </c>
      <c r="L8" t="inlineStr">
        <is>
          <t>BS2A</t>
        </is>
      </c>
      <c r="M8" t="inlineStr">
        <is>
          <t>SAN_JUAN_LAP</t>
        </is>
      </c>
      <c r="N8" t="inlineStr">
        <is>
          <t>Cec</t>
        </is>
      </c>
      <c r="O8" t="inlineStr">
        <is>
          <t>2013/03-2</t>
        </is>
      </c>
      <c r="P8" t="inlineStr">
        <is>
          <t>CEC</t>
        </is>
      </c>
      <c r="Q8" t="n">
        <v>2</v>
      </c>
      <c r="R8" t="inlineStr">
        <is>
          <t>A.MELIP 220</t>
        </is>
      </c>
      <c r="S8" t="n">
        <v>128.107369</v>
      </c>
      <c r="T8" t="n">
        <v>10376</v>
      </c>
      <c r="W8" t="n">
        <v>80.997</v>
      </c>
    </row>
    <row r="9">
      <c r="A9" t="inlineStr">
        <is>
          <t>2021-11-01</t>
        </is>
      </c>
      <c r="B9" t="inlineStr">
        <is>
          <t>01-11-2021</t>
        </is>
      </c>
      <c r="C9" t="inlineStr">
        <is>
          <t>Licitación Eolica San Juan y Cec (SIC 2013/03-2) BS2A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BS2A: Energía nov 2021</t>
        </is>
      </c>
      <c r="G9" t="inlineStr">
        <is>
          <t>2021-12-07 19:09:33</t>
        </is>
      </c>
      <c r="H9" t="n">
        <v>33</v>
      </c>
      <c r="I9" t="n">
        <v>23691</v>
      </c>
      <c r="J9" t="inlineStr">
        <is>
          <t>s</t>
        </is>
      </c>
      <c r="K9" t="inlineStr">
        <is>
          <t>s</t>
        </is>
      </c>
      <c r="L9" t="inlineStr">
        <is>
          <t>BS2A</t>
        </is>
      </c>
      <c r="M9" t="inlineStr">
        <is>
          <t>SAN_JUAN_LAP</t>
        </is>
      </c>
      <c r="N9" t="inlineStr">
        <is>
          <t>Cec</t>
        </is>
      </c>
      <c r="O9" t="inlineStr">
        <is>
          <t>2013/03-2</t>
        </is>
      </c>
      <c r="P9" t="inlineStr">
        <is>
          <t>CEC</t>
        </is>
      </c>
      <c r="Q9" t="n">
        <v>3</v>
      </c>
      <c r="R9" t="inlineStr">
        <is>
          <t>CHARRUA 220</t>
        </is>
      </c>
      <c r="S9" t="n">
        <v>1949.678704</v>
      </c>
      <c r="T9" t="n">
        <v>142325</v>
      </c>
      <c r="W9" t="n">
        <v>72.999</v>
      </c>
    </row>
    <row r="10">
      <c r="A10" t="inlineStr">
        <is>
          <t>2021-11-01</t>
        </is>
      </c>
      <c r="B10" t="inlineStr">
        <is>
          <t>01-11-2021</t>
        </is>
      </c>
      <c r="C10" t="inlineStr">
        <is>
          <t>Licitación Eolica San Juan y Cec (SIC 2013/03-2) BS2A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BS2A: Energía nov 2021</t>
        </is>
      </c>
      <c r="G10" t="inlineStr">
        <is>
          <t>2021-12-07 19:09:33</t>
        </is>
      </c>
      <c r="H10" t="n">
        <v>33</v>
      </c>
      <c r="I10" t="n">
        <v>23691</v>
      </c>
      <c r="J10" t="inlineStr">
        <is>
          <t>s</t>
        </is>
      </c>
      <c r="K10" t="inlineStr">
        <is>
          <t>s</t>
        </is>
      </c>
      <c r="L10" t="inlineStr">
        <is>
          <t>BS2A</t>
        </is>
      </c>
      <c r="M10" t="inlineStr">
        <is>
          <t>SAN_JUAN_LAP</t>
        </is>
      </c>
      <c r="N10" t="inlineStr">
        <is>
          <t>Cec</t>
        </is>
      </c>
      <c r="O10" t="inlineStr">
        <is>
          <t>2013/03-2</t>
        </is>
      </c>
      <c r="P10" t="inlineStr">
        <is>
          <t>CEC</t>
        </is>
      </c>
      <c r="Q10" t="n">
        <v>4</v>
      </c>
      <c r="R10" t="inlineStr">
        <is>
          <t>ITAHUE 220</t>
        </is>
      </c>
      <c r="S10" t="n">
        <v>20423.259416</v>
      </c>
      <c r="T10" t="n">
        <v>1638967</v>
      </c>
      <c r="W10" t="n">
        <v>80.25</v>
      </c>
    </row>
    <row r="11">
      <c r="A11" t="inlineStr">
        <is>
          <t>2021-11-01</t>
        </is>
      </c>
      <c r="B11" t="inlineStr">
        <is>
          <t>01-11-2021</t>
        </is>
      </c>
      <c r="C11" t="inlineStr">
        <is>
          <t>Licitación Eolica San Juan y Cec (SIC 2013/03-2) BS2A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BS2A: Energía nov 2021</t>
        </is>
      </c>
      <c r="G11" t="inlineStr">
        <is>
          <t>2021-12-07 19:09:33</t>
        </is>
      </c>
      <c r="H11" t="n">
        <v>33</v>
      </c>
      <c r="I11" t="n">
        <v>23691</v>
      </c>
      <c r="J11" t="inlineStr">
        <is>
          <t>s</t>
        </is>
      </c>
      <c r="K11" t="inlineStr">
        <is>
          <t>s</t>
        </is>
      </c>
      <c r="L11" t="inlineStr">
        <is>
          <t>BS2A</t>
        </is>
      </c>
      <c r="M11" t="inlineStr">
        <is>
          <t>SAN_JUAN_LAP</t>
        </is>
      </c>
      <c r="N11" t="inlineStr">
        <is>
          <t>Cec</t>
        </is>
      </c>
      <c r="O11" t="inlineStr">
        <is>
          <t>2013/03-2</t>
        </is>
      </c>
      <c r="P11" t="inlineStr">
        <is>
          <t>CEC</t>
        </is>
      </c>
      <c r="Q11" t="n">
        <v>5</v>
      </c>
      <c r="R11" t="inlineStr">
        <is>
          <t>RAPEL 220</t>
        </is>
      </c>
      <c r="S11" t="n">
        <v>239.443097</v>
      </c>
      <c r="T11" t="n">
        <v>19405</v>
      </c>
      <c r="W11" t="n">
        <v>81.04300000000001</v>
      </c>
    </row>
    <row r="12">
      <c r="A12" t="inlineStr">
        <is>
          <t>2021-12-01</t>
        </is>
      </c>
      <c r="B12" t="inlineStr">
        <is>
          <t>01-12-2021</t>
        </is>
      </c>
      <c r="C12" t="inlineStr">
        <is>
          <t>Licitación Eolica San Juan y Cec (SIC 2013/03-2) BS2A</t>
        </is>
      </c>
      <c r="D12" t="inlineStr">
        <is>
          <t>Energia Licitaciones</t>
        </is>
      </c>
      <c r="E12" t="inlineStr">
        <is>
          <t>Energía</t>
        </is>
      </c>
      <c r="F12" t="inlineStr">
        <is>
          <t>Lic. SIC 2013/03-2 bloques BS2A: Energía dic 2021</t>
        </is>
      </c>
      <c r="G12" t="inlineStr">
        <is>
          <t>2022-01-10 15:51:06</t>
        </is>
      </c>
      <c r="H12" t="n">
        <v>33</v>
      </c>
      <c r="I12" t="n">
        <v>24056</v>
      </c>
      <c r="J12" t="inlineStr">
        <is>
          <t>s</t>
        </is>
      </c>
      <c r="K12" t="inlineStr">
        <is>
          <t>s</t>
        </is>
      </c>
      <c r="L12" t="inlineStr">
        <is>
          <t>BS2A</t>
        </is>
      </c>
      <c r="M12" t="inlineStr">
        <is>
          <t>SAN_JUAN_LAP</t>
        </is>
      </c>
      <c r="N12" t="inlineStr">
        <is>
          <t>Cec</t>
        </is>
      </c>
      <c r="O12" t="inlineStr">
        <is>
          <t>2013/03-2</t>
        </is>
      </c>
      <c r="P12" t="inlineStr">
        <is>
          <t>CEC</t>
        </is>
      </c>
      <c r="Q12" t="n">
        <v>1</v>
      </c>
      <c r="R12" t="inlineStr">
        <is>
          <t>A.JAHUEL 220</t>
        </is>
      </c>
      <c r="S12" t="n">
        <v>26301.457101</v>
      </c>
      <c r="T12" t="n">
        <v>2105432</v>
      </c>
      <c r="W12" t="n">
        <v>80.05</v>
      </c>
    </row>
    <row r="13">
      <c r="A13" t="inlineStr">
        <is>
          <t>2021-12-01</t>
        </is>
      </c>
      <c r="B13" t="inlineStr">
        <is>
          <t>01-12-2021</t>
        </is>
      </c>
      <c r="C13" t="inlineStr">
        <is>
          <t>Licitación Eolica San Juan y Cec (SIC 2013/03-2) BS2A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BS2A: Energía dic 2021</t>
        </is>
      </c>
      <c r="G13" t="inlineStr">
        <is>
          <t>2022-01-10 15:51:06</t>
        </is>
      </c>
      <c r="H13" t="n">
        <v>33</v>
      </c>
      <c r="I13" t="n">
        <v>24056</v>
      </c>
      <c r="J13" t="inlineStr">
        <is>
          <t>s</t>
        </is>
      </c>
      <c r="K13" t="inlineStr">
        <is>
          <t>s</t>
        </is>
      </c>
      <c r="L13" t="inlineStr">
        <is>
          <t>BS2A</t>
        </is>
      </c>
      <c r="M13" t="inlineStr">
        <is>
          <t>SAN_JUAN_LAP</t>
        </is>
      </c>
      <c r="N13" t="inlineStr">
        <is>
          <t>Cec</t>
        </is>
      </c>
      <c r="O13" t="inlineStr">
        <is>
          <t>2013/03-2</t>
        </is>
      </c>
      <c r="P13" t="inlineStr">
        <is>
          <t>CEC</t>
        </is>
      </c>
      <c r="Q13" t="n">
        <v>2</v>
      </c>
      <c r="R13" t="inlineStr">
        <is>
          <t>A.MELIP 220</t>
        </is>
      </c>
      <c r="S13" t="n">
        <v>165.462618</v>
      </c>
      <c r="T13" t="n">
        <v>13402</v>
      </c>
      <c r="W13" t="n">
        <v>80.997</v>
      </c>
    </row>
    <row r="14">
      <c r="A14" t="inlineStr">
        <is>
          <t>2021-12-01</t>
        </is>
      </c>
      <c r="B14" t="inlineStr">
        <is>
          <t>01-12-2021</t>
        </is>
      </c>
      <c r="C14" t="inlineStr">
        <is>
          <t>Licitación Eolica San Juan y Cec (SIC 2013/03-2) BS2A</t>
        </is>
      </c>
      <c r="D14" t="inlineStr">
        <is>
          <t>Energia Licitaciones</t>
        </is>
      </c>
      <c r="E14" t="inlineStr">
        <is>
          <t>Energía</t>
        </is>
      </c>
      <c r="F14" t="inlineStr">
        <is>
          <t>Lic. SIC 2013/03-2 bloques BS2A: Energía dic 2021</t>
        </is>
      </c>
      <c r="G14" t="inlineStr">
        <is>
          <t>2022-01-10 15:51:06</t>
        </is>
      </c>
      <c r="H14" t="n">
        <v>33</v>
      </c>
      <c r="I14" t="n">
        <v>24056</v>
      </c>
      <c r="J14" t="inlineStr">
        <is>
          <t>s</t>
        </is>
      </c>
      <c r="K14" t="inlineStr">
        <is>
          <t>s</t>
        </is>
      </c>
      <c r="L14" t="inlineStr">
        <is>
          <t>BS2A</t>
        </is>
      </c>
      <c r="M14" t="inlineStr">
        <is>
          <t>SAN_JUAN_LAP</t>
        </is>
      </c>
      <c r="N14" t="inlineStr">
        <is>
          <t>Cec</t>
        </is>
      </c>
      <c r="O14" t="inlineStr">
        <is>
          <t>2013/03-2</t>
        </is>
      </c>
      <c r="P14" t="inlineStr">
        <is>
          <t>CEC</t>
        </is>
      </c>
      <c r="Q14" t="n">
        <v>3</v>
      </c>
      <c r="R14" t="inlineStr">
        <is>
          <t>CHARRUA 220</t>
        </is>
      </c>
      <c r="S14" t="n">
        <v>2552.418897</v>
      </c>
      <c r="T14" t="n">
        <v>186324</v>
      </c>
      <c r="W14" t="n">
        <v>72.999</v>
      </c>
    </row>
    <row r="15">
      <c r="A15" t="inlineStr">
        <is>
          <t>2021-12-01</t>
        </is>
      </c>
      <c r="B15" t="inlineStr">
        <is>
          <t>01-12-2021</t>
        </is>
      </c>
      <c r="C15" t="inlineStr">
        <is>
          <t>Licitación Eolica San Juan y Cec (SIC 2013/03-2) BS2A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BS2A: Energía dic 2021</t>
        </is>
      </c>
      <c r="G15" t="inlineStr">
        <is>
          <t>2022-01-10 15:51:06</t>
        </is>
      </c>
      <c r="H15" t="n">
        <v>33</v>
      </c>
      <c r="I15" t="n">
        <v>24056</v>
      </c>
      <c r="J15" t="inlineStr">
        <is>
          <t>s</t>
        </is>
      </c>
      <c r="K15" t="inlineStr">
        <is>
          <t>s</t>
        </is>
      </c>
      <c r="L15" t="inlineStr">
        <is>
          <t>BS2A</t>
        </is>
      </c>
      <c r="M15" t="inlineStr">
        <is>
          <t>SAN_JUAN_LAP</t>
        </is>
      </c>
      <c r="N15" t="inlineStr">
        <is>
          <t>Cec</t>
        </is>
      </c>
      <c r="O15" t="inlineStr">
        <is>
          <t>2013/03-2</t>
        </is>
      </c>
      <c r="P15" t="inlineStr">
        <is>
          <t>CEC</t>
        </is>
      </c>
      <c r="Q15" t="n">
        <v>4</v>
      </c>
      <c r="R15" t="inlineStr">
        <is>
          <t>ITAHUE 220</t>
        </is>
      </c>
      <c r="S15" t="n">
        <v>27014.574892</v>
      </c>
      <c r="T15" t="n">
        <v>2167920</v>
      </c>
      <c r="W15" t="n">
        <v>80.25</v>
      </c>
    </row>
    <row r="16">
      <c r="A16" t="inlineStr">
        <is>
          <t>2021-12-01</t>
        </is>
      </c>
      <c r="B16" t="inlineStr">
        <is>
          <t>01-12-2021</t>
        </is>
      </c>
      <c r="C16" t="inlineStr">
        <is>
          <t>Licitación Eolica San Juan y Cec (SIC 2013/03-2) BS2A</t>
        </is>
      </c>
      <c r="D16" t="inlineStr">
        <is>
          <t>Energia Licitaciones</t>
        </is>
      </c>
      <c r="E16" t="inlineStr">
        <is>
          <t>Energía</t>
        </is>
      </c>
      <c r="F16" t="inlineStr">
        <is>
          <t>Lic. SIC 2013/03-2 bloques BS2A: Energía dic 2021</t>
        </is>
      </c>
      <c r="G16" t="inlineStr">
        <is>
          <t>2022-01-10 15:51:06</t>
        </is>
      </c>
      <c r="H16" t="n">
        <v>33</v>
      </c>
      <c r="I16" t="n">
        <v>24056</v>
      </c>
      <c r="J16" t="inlineStr">
        <is>
          <t>s</t>
        </is>
      </c>
      <c r="K16" t="inlineStr">
        <is>
          <t>s</t>
        </is>
      </c>
      <c r="L16" t="inlineStr">
        <is>
          <t>BS2A</t>
        </is>
      </c>
      <c r="M16" t="inlineStr">
        <is>
          <t>SAN_JUAN_LAP</t>
        </is>
      </c>
      <c r="N16" t="inlineStr">
        <is>
          <t>Cec</t>
        </is>
      </c>
      <c r="O16" t="inlineStr">
        <is>
          <t>2013/03-2</t>
        </is>
      </c>
      <c r="P16" t="inlineStr">
        <is>
          <t>CEC</t>
        </is>
      </c>
      <c r="Q16" t="n">
        <v>5</v>
      </c>
      <c r="R16" t="inlineStr">
        <is>
          <t>RAPEL 220</t>
        </is>
      </c>
      <c r="S16" t="n">
        <v>317.948696</v>
      </c>
      <c r="T16" t="n">
        <v>25768</v>
      </c>
      <c r="W16" t="n">
        <v>81.04300000000001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Eolica San Juan y Cec (SIC 2013/03-2) BS2A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BS2A: Potencia oct 2021</t>
        </is>
      </c>
      <c r="G2" t="inlineStr">
        <is>
          <t>2021-11-05 20:33:36</t>
        </is>
      </c>
      <c r="H2" t="n">
        <v>33</v>
      </c>
      <c r="I2" t="n">
        <v>23172</v>
      </c>
      <c r="J2" t="inlineStr">
        <is>
          <t>s</t>
        </is>
      </c>
      <c r="K2" t="inlineStr">
        <is>
          <t>s</t>
        </is>
      </c>
      <c r="L2" t="inlineStr">
        <is>
          <t>BS2A</t>
        </is>
      </c>
      <c r="M2" t="inlineStr">
        <is>
          <t>SAN_JUAN_LAP</t>
        </is>
      </c>
      <c r="N2" t="inlineStr">
        <is>
          <t>Cec</t>
        </is>
      </c>
      <c r="O2" t="inlineStr">
        <is>
          <t>2013/03-2</t>
        </is>
      </c>
      <c r="P2" t="inlineStr">
        <is>
          <t>CEC</t>
        </is>
      </c>
      <c r="Q2" t="n">
        <v>1</v>
      </c>
      <c r="R2" t="inlineStr">
        <is>
          <t>A.JAHUEL 220</t>
        </is>
      </c>
      <c r="U2" t="n">
        <v>0</v>
      </c>
      <c r="V2" t="n">
        <v>0</v>
      </c>
      <c r="W2" t="n">
        <v>6041.927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Eolica San Juan y Cec (SIC 2013/03-2) BS2A</t>
        </is>
      </c>
      <c r="D3" t="inlineStr">
        <is>
          <t>Potencia Licitaciones</t>
        </is>
      </c>
      <c r="E3" t="inlineStr">
        <is>
          <t>Potencia</t>
        </is>
      </c>
      <c r="F3" t="inlineStr">
        <is>
          <t>Lic. SIC 2013/03-2 bloques BS2A: Potencia oct 2021</t>
        </is>
      </c>
      <c r="G3" t="inlineStr">
        <is>
          <t>2021-11-05 20:33:36</t>
        </is>
      </c>
      <c r="H3" t="n">
        <v>33</v>
      </c>
      <c r="I3" t="n">
        <v>23172</v>
      </c>
      <c r="J3" t="inlineStr">
        <is>
          <t>s</t>
        </is>
      </c>
      <c r="K3" t="inlineStr">
        <is>
          <t>s</t>
        </is>
      </c>
      <c r="L3" t="inlineStr">
        <is>
          <t>BS2A</t>
        </is>
      </c>
      <c r="M3" t="inlineStr">
        <is>
          <t>SAN_JUAN_LAP</t>
        </is>
      </c>
      <c r="N3" t="inlineStr">
        <is>
          <t>Cec</t>
        </is>
      </c>
      <c r="O3" t="inlineStr">
        <is>
          <t>2013/03-2</t>
        </is>
      </c>
      <c r="P3" t="inlineStr">
        <is>
          <t>CEC</t>
        </is>
      </c>
      <c r="Q3" t="n">
        <v>2</v>
      </c>
      <c r="R3" t="inlineStr">
        <is>
          <t>A.MELIP 220</t>
        </is>
      </c>
      <c r="U3" t="n">
        <v>0</v>
      </c>
      <c r="V3" t="n">
        <v>0</v>
      </c>
      <c r="W3" t="n">
        <v>6143.042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Eolica San Juan y Cec (SIC 2013/03-2) BS2A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BS2A: Potencia oct 2021</t>
        </is>
      </c>
      <c r="G4" t="inlineStr">
        <is>
          <t>2021-11-05 20:33:36</t>
        </is>
      </c>
      <c r="H4" t="n">
        <v>33</v>
      </c>
      <c r="I4" t="n">
        <v>23172</v>
      </c>
      <c r="J4" t="inlineStr">
        <is>
          <t>s</t>
        </is>
      </c>
      <c r="K4" t="inlineStr">
        <is>
          <t>s</t>
        </is>
      </c>
      <c r="L4" t="inlineStr">
        <is>
          <t>BS2A</t>
        </is>
      </c>
      <c r="M4" t="inlineStr">
        <is>
          <t>SAN_JUAN_LAP</t>
        </is>
      </c>
      <c r="N4" t="inlineStr">
        <is>
          <t>Cec</t>
        </is>
      </c>
      <c r="O4" t="inlineStr">
        <is>
          <t>2013/03-2</t>
        </is>
      </c>
      <c r="P4" t="inlineStr">
        <is>
          <t>CEC</t>
        </is>
      </c>
      <c r="Q4" t="n">
        <v>3</v>
      </c>
      <c r="R4" t="inlineStr">
        <is>
          <t>CHARRUA 220</t>
        </is>
      </c>
      <c r="U4" t="n">
        <v>0</v>
      </c>
      <c r="V4" t="n">
        <v>0</v>
      </c>
      <c r="W4" t="n">
        <v>5310.366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Eolica San Juan y Cec (SIC 2013/03-2) BS2A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BS2A: Potencia oct 2021</t>
        </is>
      </c>
      <c r="G5" t="inlineStr">
        <is>
          <t>2021-11-05 20:33:36</t>
        </is>
      </c>
      <c r="H5" t="n">
        <v>33</v>
      </c>
      <c r="I5" t="n">
        <v>23172</v>
      </c>
      <c r="J5" t="inlineStr">
        <is>
          <t>s</t>
        </is>
      </c>
      <c r="K5" t="inlineStr">
        <is>
          <t>s</t>
        </is>
      </c>
      <c r="L5" t="inlineStr">
        <is>
          <t>BS2A</t>
        </is>
      </c>
      <c r="M5" t="inlineStr">
        <is>
          <t>SAN_JUAN_LAP</t>
        </is>
      </c>
      <c r="N5" t="inlineStr">
        <is>
          <t>Cec</t>
        </is>
      </c>
      <c r="O5" t="inlineStr">
        <is>
          <t>2013/03-2</t>
        </is>
      </c>
      <c r="P5" t="inlineStr">
        <is>
          <t>CEC</t>
        </is>
      </c>
      <c r="Q5" t="n">
        <v>4</v>
      </c>
      <c r="R5" t="inlineStr">
        <is>
          <t>ITAHUE 220</t>
        </is>
      </c>
      <c r="U5" t="n">
        <v>0</v>
      </c>
      <c r="V5" t="n">
        <v>0</v>
      </c>
      <c r="W5" t="n">
        <v>5815.332</v>
      </c>
    </row>
    <row r="6">
      <c r="A6" t="inlineStr">
        <is>
          <t>2021-10-01</t>
        </is>
      </c>
      <c r="B6" t="inlineStr">
        <is>
          <t>01-10-2021</t>
        </is>
      </c>
      <c r="C6" t="inlineStr">
        <is>
          <t>Licitación Eolica San Juan y Cec (SIC 2013/03-2) BS2A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BS2A: Potencia oct 2021</t>
        </is>
      </c>
      <c r="G6" t="inlineStr">
        <is>
          <t>2021-11-05 20:33:36</t>
        </is>
      </c>
      <c r="H6" t="n">
        <v>33</v>
      </c>
      <c r="I6" t="n">
        <v>23172</v>
      </c>
      <c r="J6" t="inlineStr">
        <is>
          <t>s</t>
        </is>
      </c>
      <c r="K6" t="inlineStr">
        <is>
          <t>s</t>
        </is>
      </c>
      <c r="L6" t="inlineStr">
        <is>
          <t>BS2A</t>
        </is>
      </c>
      <c r="M6" t="inlineStr">
        <is>
          <t>SAN_JUAN_LAP</t>
        </is>
      </c>
      <c r="N6" t="inlineStr">
        <is>
          <t>Cec</t>
        </is>
      </c>
      <c r="O6" t="inlineStr">
        <is>
          <t>2013/03-2</t>
        </is>
      </c>
      <c r="P6" t="inlineStr">
        <is>
          <t>CEC</t>
        </is>
      </c>
      <c r="Q6" t="n">
        <v>5</v>
      </c>
      <c r="R6" t="inlineStr">
        <is>
          <t>RAPEL 220</t>
        </is>
      </c>
      <c r="U6" t="n">
        <v>0</v>
      </c>
      <c r="V6" t="n">
        <v>0</v>
      </c>
      <c r="W6" t="n">
        <v>6091.875</v>
      </c>
    </row>
    <row r="7">
      <c r="A7" t="inlineStr">
        <is>
          <t>2021-11-01</t>
        </is>
      </c>
      <c r="B7" t="inlineStr">
        <is>
          <t>01-11-2021</t>
        </is>
      </c>
      <c r="C7" t="inlineStr">
        <is>
          <t>Licitación Eolica San Juan y Cec (SIC 2013/03-2) BS2A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BS2A: Potencia nov 2021</t>
        </is>
      </c>
      <c r="G7" t="inlineStr">
        <is>
          <t>2021-12-07 19:09:33</t>
        </is>
      </c>
      <c r="H7" t="n">
        <v>33</v>
      </c>
      <c r="I7" t="n">
        <v>23691</v>
      </c>
      <c r="J7" t="inlineStr">
        <is>
          <t>s</t>
        </is>
      </c>
      <c r="K7" t="inlineStr">
        <is>
          <t>s</t>
        </is>
      </c>
      <c r="L7" t="inlineStr">
        <is>
          <t>BS2A</t>
        </is>
      </c>
      <c r="M7" t="inlineStr">
        <is>
          <t>SAN_JUAN_LAP</t>
        </is>
      </c>
      <c r="N7" t="inlineStr">
        <is>
          <t>Cec</t>
        </is>
      </c>
      <c r="O7" t="inlineStr">
        <is>
          <t>2013/03-2</t>
        </is>
      </c>
      <c r="P7" t="inlineStr">
        <is>
          <t>CEC</t>
        </is>
      </c>
      <c r="Q7" t="n">
        <v>1</v>
      </c>
      <c r="R7" t="inlineStr">
        <is>
          <t>A.JAHUEL 220</t>
        </is>
      </c>
      <c r="U7" t="n">
        <v>0</v>
      </c>
      <c r="V7" t="n">
        <v>0</v>
      </c>
      <c r="W7" t="n">
        <v>6041.927</v>
      </c>
    </row>
    <row r="8">
      <c r="A8" t="inlineStr">
        <is>
          <t>2021-11-01</t>
        </is>
      </c>
      <c r="B8" t="inlineStr">
        <is>
          <t>01-11-2021</t>
        </is>
      </c>
      <c r="C8" t="inlineStr">
        <is>
          <t>Licitación Eolica San Juan y Cec (SIC 2013/03-2) BS2A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BS2A: Potencia nov 2021</t>
        </is>
      </c>
      <c r="G8" t="inlineStr">
        <is>
          <t>2021-12-07 19:09:33</t>
        </is>
      </c>
      <c r="H8" t="n">
        <v>33</v>
      </c>
      <c r="I8" t="n">
        <v>23691</v>
      </c>
      <c r="J8" t="inlineStr">
        <is>
          <t>s</t>
        </is>
      </c>
      <c r="K8" t="inlineStr">
        <is>
          <t>s</t>
        </is>
      </c>
      <c r="L8" t="inlineStr">
        <is>
          <t>BS2A</t>
        </is>
      </c>
      <c r="M8" t="inlineStr">
        <is>
          <t>SAN_JUAN_LAP</t>
        </is>
      </c>
      <c r="N8" t="inlineStr">
        <is>
          <t>Cec</t>
        </is>
      </c>
      <c r="O8" t="inlineStr">
        <is>
          <t>2013/03-2</t>
        </is>
      </c>
      <c r="P8" t="inlineStr">
        <is>
          <t>CEC</t>
        </is>
      </c>
      <c r="Q8" t="n">
        <v>2</v>
      </c>
      <c r="R8" t="inlineStr">
        <is>
          <t>A.MELIP 220</t>
        </is>
      </c>
      <c r="U8" t="n">
        <v>0</v>
      </c>
      <c r="V8" t="n">
        <v>0</v>
      </c>
      <c r="W8" t="n">
        <v>6143.042</v>
      </c>
    </row>
    <row r="9">
      <c r="A9" t="inlineStr">
        <is>
          <t>2021-11-01</t>
        </is>
      </c>
      <c r="B9" t="inlineStr">
        <is>
          <t>01-11-2021</t>
        </is>
      </c>
      <c r="C9" t="inlineStr">
        <is>
          <t>Licitación Eolica San Juan y Cec (SIC 2013/03-2) BS2A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BS2A: Potencia nov 2021</t>
        </is>
      </c>
      <c r="G9" t="inlineStr">
        <is>
          <t>2021-12-07 19:09:33</t>
        </is>
      </c>
      <c r="H9" t="n">
        <v>33</v>
      </c>
      <c r="I9" t="n">
        <v>23691</v>
      </c>
      <c r="J9" t="inlineStr">
        <is>
          <t>s</t>
        </is>
      </c>
      <c r="K9" t="inlineStr">
        <is>
          <t>s</t>
        </is>
      </c>
      <c r="L9" t="inlineStr">
        <is>
          <t>BS2A</t>
        </is>
      </c>
      <c r="M9" t="inlineStr">
        <is>
          <t>SAN_JUAN_LAP</t>
        </is>
      </c>
      <c r="N9" t="inlineStr">
        <is>
          <t>Cec</t>
        </is>
      </c>
      <c r="O9" t="inlineStr">
        <is>
          <t>2013/03-2</t>
        </is>
      </c>
      <c r="P9" t="inlineStr">
        <is>
          <t>CEC</t>
        </is>
      </c>
      <c r="Q9" t="n">
        <v>3</v>
      </c>
      <c r="R9" t="inlineStr">
        <is>
          <t>CHARRUA 220</t>
        </is>
      </c>
      <c r="U9" t="n">
        <v>0</v>
      </c>
      <c r="V9" t="n">
        <v>0</v>
      </c>
      <c r="W9" t="n">
        <v>5310.366</v>
      </c>
    </row>
    <row r="10">
      <c r="A10" t="inlineStr">
        <is>
          <t>2021-11-01</t>
        </is>
      </c>
      <c r="B10" t="inlineStr">
        <is>
          <t>01-11-2021</t>
        </is>
      </c>
      <c r="C10" t="inlineStr">
        <is>
          <t>Licitación Eolica San Juan y Cec (SIC 2013/03-2) BS2A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BS2A: Potencia nov 2021</t>
        </is>
      </c>
      <c r="G10" t="inlineStr">
        <is>
          <t>2021-12-07 19:09:33</t>
        </is>
      </c>
      <c r="H10" t="n">
        <v>33</v>
      </c>
      <c r="I10" t="n">
        <v>23691</v>
      </c>
      <c r="J10" t="inlineStr">
        <is>
          <t>s</t>
        </is>
      </c>
      <c r="K10" t="inlineStr">
        <is>
          <t>s</t>
        </is>
      </c>
      <c r="L10" t="inlineStr">
        <is>
          <t>BS2A</t>
        </is>
      </c>
      <c r="M10" t="inlineStr">
        <is>
          <t>SAN_JUAN_LAP</t>
        </is>
      </c>
      <c r="N10" t="inlineStr">
        <is>
          <t>Cec</t>
        </is>
      </c>
      <c r="O10" t="inlineStr">
        <is>
          <t>2013/03-2</t>
        </is>
      </c>
      <c r="P10" t="inlineStr">
        <is>
          <t>CEC</t>
        </is>
      </c>
      <c r="Q10" t="n">
        <v>4</v>
      </c>
      <c r="R10" t="inlineStr">
        <is>
          <t>ITAHUE 220</t>
        </is>
      </c>
      <c r="U10" t="n">
        <v>0</v>
      </c>
      <c r="V10" t="n">
        <v>0</v>
      </c>
      <c r="W10" t="n">
        <v>5815.332</v>
      </c>
    </row>
    <row r="11">
      <c r="A11" t="inlineStr">
        <is>
          <t>2021-11-01</t>
        </is>
      </c>
      <c r="B11" t="inlineStr">
        <is>
          <t>01-11-2021</t>
        </is>
      </c>
      <c r="C11" t="inlineStr">
        <is>
          <t>Licitación Eolica San Juan y Cec (SIC 2013/03-2) BS2A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BS2A: Potencia nov 2021</t>
        </is>
      </c>
      <c r="G11" t="inlineStr">
        <is>
          <t>2021-12-07 19:09:33</t>
        </is>
      </c>
      <c r="H11" t="n">
        <v>33</v>
      </c>
      <c r="I11" t="n">
        <v>23691</v>
      </c>
      <c r="J11" t="inlineStr">
        <is>
          <t>s</t>
        </is>
      </c>
      <c r="K11" t="inlineStr">
        <is>
          <t>s</t>
        </is>
      </c>
      <c r="L11" t="inlineStr">
        <is>
          <t>BS2A</t>
        </is>
      </c>
      <c r="M11" t="inlineStr">
        <is>
          <t>SAN_JUAN_LAP</t>
        </is>
      </c>
      <c r="N11" t="inlineStr">
        <is>
          <t>Cec</t>
        </is>
      </c>
      <c r="O11" t="inlineStr">
        <is>
          <t>2013/03-2</t>
        </is>
      </c>
      <c r="P11" t="inlineStr">
        <is>
          <t>CEC</t>
        </is>
      </c>
      <c r="Q11" t="n">
        <v>5</v>
      </c>
      <c r="R11" t="inlineStr">
        <is>
          <t>RAPEL 220</t>
        </is>
      </c>
      <c r="U11" t="n">
        <v>0</v>
      </c>
      <c r="V11" t="n">
        <v>0</v>
      </c>
      <c r="W11" t="n">
        <v>6091.875</v>
      </c>
    </row>
    <row r="12">
      <c r="A12" t="inlineStr">
        <is>
          <t>2021-12-01</t>
        </is>
      </c>
      <c r="B12" t="inlineStr">
        <is>
          <t>01-12-2021</t>
        </is>
      </c>
      <c r="C12" t="inlineStr">
        <is>
          <t>Licitación Eolica San Juan y Cec (SIC 2013/03-2) BS2A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BS2A: Potencia dic 2021</t>
        </is>
      </c>
      <c r="G12" t="inlineStr">
        <is>
          <t>2022-01-10 15:51:06</t>
        </is>
      </c>
      <c r="H12" t="n">
        <v>33</v>
      </c>
      <c r="I12" t="n">
        <v>24056</v>
      </c>
      <c r="J12" t="inlineStr">
        <is>
          <t>s</t>
        </is>
      </c>
      <c r="K12" t="inlineStr">
        <is>
          <t>s</t>
        </is>
      </c>
      <c r="L12" t="inlineStr">
        <is>
          <t>BS2A</t>
        </is>
      </c>
      <c r="M12" t="inlineStr">
        <is>
          <t>SAN_JUAN_LAP</t>
        </is>
      </c>
      <c r="N12" t="inlineStr">
        <is>
          <t>Cec</t>
        </is>
      </c>
      <c r="O12" t="inlineStr">
        <is>
          <t>2013/03-2</t>
        </is>
      </c>
      <c r="P12" t="inlineStr">
        <is>
          <t>CEC</t>
        </is>
      </c>
      <c r="Q12" t="n">
        <v>1</v>
      </c>
      <c r="R12" t="inlineStr">
        <is>
          <t>A.JAHUEL 220</t>
        </is>
      </c>
      <c r="U12" t="n">
        <v>0</v>
      </c>
      <c r="V12" t="n">
        <v>0</v>
      </c>
      <c r="W12" t="n">
        <v>6041.927</v>
      </c>
    </row>
    <row r="13">
      <c r="A13" t="inlineStr">
        <is>
          <t>2021-12-01</t>
        </is>
      </c>
      <c r="B13" t="inlineStr">
        <is>
          <t>01-12-2021</t>
        </is>
      </c>
      <c r="C13" t="inlineStr">
        <is>
          <t>Licitación Eolica San Juan y Cec (SIC 2013/03-2) BS2A</t>
        </is>
      </c>
      <c r="D13" t="inlineStr">
        <is>
          <t>Potencia Licitaciones</t>
        </is>
      </c>
      <c r="E13" t="inlineStr">
        <is>
          <t>Potencia</t>
        </is>
      </c>
      <c r="F13" t="inlineStr">
        <is>
          <t>Lic. SIC 2013/03-2 bloques BS2A: Potencia dic 2021</t>
        </is>
      </c>
      <c r="G13" t="inlineStr">
        <is>
          <t>2022-01-10 15:51:06</t>
        </is>
      </c>
      <c r="H13" t="n">
        <v>33</v>
      </c>
      <c r="I13" t="n">
        <v>24056</v>
      </c>
      <c r="J13" t="inlineStr">
        <is>
          <t>s</t>
        </is>
      </c>
      <c r="K13" t="inlineStr">
        <is>
          <t>s</t>
        </is>
      </c>
      <c r="L13" t="inlineStr">
        <is>
          <t>BS2A</t>
        </is>
      </c>
      <c r="M13" t="inlineStr">
        <is>
          <t>SAN_JUAN_LAP</t>
        </is>
      </c>
      <c r="N13" t="inlineStr">
        <is>
          <t>Cec</t>
        </is>
      </c>
      <c r="O13" t="inlineStr">
        <is>
          <t>2013/03-2</t>
        </is>
      </c>
      <c r="P13" t="inlineStr">
        <is>
          <t>CEC</t>
        </is>
      </c>
      <c r="Q13" t="n">
        <v>2</v>
      </c>
      <c r="R13" t="inlineStr">
        <is>
          <t>A.MELIP 220</t>
        </is>
      </c>
      <c r="U13" t="n">
        <v>0</v>
      </c>
      <c r="V13" t="n">
        <v>0</v>
      </c>
      <c r="W13" t="n">
        <v>6143.042</v>
      </c>
    </row>
    <row r="14">
      <c r="A14" t="inlineStr">
        <is>
          <t>2021-12-01</t>
        </is>
      </c>
      <c r="B14" t="inlineStr">
        <is>
          <t>01-12-2021</t>
        </is>
      </c>
      <c r="C14" t="inlineStr">
        <is>
          <t>Licitación Eolica San Juan y Cec (SIC 2013/03-2) BS2A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BS2A: Potencia dic 2021</t>
        </is>
      </c>
      <c r="G14" t="inlineStr">
        <is>
          <t>2022-01-10 15:51:06</t>
        </is>
      </c>
      <c r="H14" t="n">
        <v>33</v>
      </c>
      <c r="I14" t="n">
        <v>24056</v>
      </c>
      <c r="J14" t="inlineStr">
        <is>
          <t>s</t>
        </is>
      </c>
      <c r="K14" t="inlineStr">
        <is>
          <t>s</t>
        </is>
      </c>
      <c r="L14" t="inlineStr">
        <is>
          <t>BS2A</t>
        </is>
      </c>
      <c r="M14" t="inlineStr">
        <is>
          <t>SAN_JUAN_LAP</t>
        </is>
      </c>
      <c r="N14" t="inlineStr">
        <is>
          <t>Cec</t>
        </is>
      </c>
      <c r="O14" t="inlineStr">
        <is>
          <t>2013/03-2</t>
        </is>
      </c>
      <c r="P14" t="inlineStr">
        <is>
          <t>CEC</t>
        </is>
      </c>
      <c r="Q14" t="n">
        <v>3</v>
      </c>
      <c r="R14" t="inlineStr">
        <is>
          <t>CHARRUA 220</t>
        </is>
      </c>
      <c r="U14" t="n">
        <v>0</v>
      </c>
      <c r="V14" t="n">
        <v>0</v>
      </c>
      <c r="W14" t="n">
        <v>5310.366</v>
      </c>
    </row>
    <row r="15">
      <c r="A15" t="inlineStr">
        <is>
          <t>2021-12-01</t>
        </is>
      </c>
      <c r="B15" t="inlineStr">
        <is>
          <t>01-12-2021</t>
        </is>
      </c>
      <c r="C15" t="inlineStr">
        <is>
          <t>Licitación Eolica San Juan y Cec (SIC 2013/03-2) BS2A</t>
        </is>
      </c>
      <c r="D15" t="inlineStr">
        <is>
          <t>Potencia Licitaciones</t>
        </is>
      </c>
      <c r="E15" t="inlineStr">
        <is>
          <t>Potencia</t>
        </is>
      </c>
      <c r="F15" t="inlineStr">
        <is>
          <t>Lic. SIC 2013/03-2 bloques BS2A: Potencia dic 2021</t>
        </is>
      </c>
      <c r="G15" t="inlineStr">
        <is>
          <t>2022-01-10 15:51:06</t>
        </is>
      </c>
      <c r="H15" t="n">
        <v>33</v>
      </c>
      <c r="I15" t="n">
        <v>24056</v>
      </c>
      <c r="J15" t="inlineStr">
        <is>
          <t>s</t>
        </is>
      </c>
      <c r="K15" t="inlineStr">
        <is>
          <t>s</t>
        </is>
      </c>
      <c r="L15" t="inlineStr">
        <is>
          <t>BS2A</t>
        </is>
      </c>
      <c r="M15" t="inlineStr">
        <is>
          <t>SAN_JUAN_LAP</t>
        </is>
      </c>
      <c r="N15" t="inlineStr">
        <is>
          <t>Cec</t>
        </is>
      </c>
      <c r="O15" t="inlineStr">
        <is>
          <t>2013/03-2</t>
        </is>
      </c>
      <c r="P15" t="inlineStr">
        <is>
          <t>CEC</t>
        </is>
      </c>
      <c r="Q15" t="n">
        <v>4</v>
      </c>
      <c r="R15" t="inlineStr">
        <is>
          <t>ITAHUE 220</t>
        </is>
      </c>
      <c r="U15" t="n">
        <v>0</v>
      </c>
      <c r="V15" t="n">
        <v>0</v>
      </c>
      <c r="W15" t="n">
        <v>5815.332</v>
      </c>
    </row>
    <row r="16">
      <c r="A16" t="inlineStr">
        <is>
          <t>2021-12-01</t>
        </is>
      </c>
      <c r="B16" t="inlineStr">
        <is>
          <t>01-12-2021</t>
        </is>
      </c>
      <c r="C16" t="inlineStr">
        <is>
          <t>Licitación Eolica San Juan y Cec (SIC 2013/03-2) BS2A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BS2A: Potencia dic 2021</t>
        </is>
      </c>
      <c r="G16" t="inlineStr">
        <is>
          <t>2022-01-10 15:51:06</t>
        </is>
      </c>
      <c r="H16" t="n">
        <v>33</v>
      </c>
      <c r="I16" t="n">
        <v>24056</v>
      </c>
      <c r="J16" t="inlineStr">
        <is>
          <t>s</t>
        </is>
      </c>
      <c r="K16" t="inlineStr">
        <is>
          <t>s</t>
        </is>
      </c>
      <c r="L16" t="inlineStr">
        <is>
          <t>BS2A</t>
        </is>
      </c>
      <c r="M16" t="inlineStr">
        <is>
          <t>SAN_JUAN_LAP</t>
        </is>
      </c>
      <c r="N16" t="inlineStr">
        <is>
          <t>Cec</t>
        </is>
      </c>
      <c r="O16" t="inlineStr">
        <is>
          <t>2013/03-2</t>
        </is>
      </c>
      <c r="P16" t="inlineStr">
        <is>
          <t>CEC</t>
        </is>
      </c>
      <c r="Q16" t="n">
        <v>5</v>
      </c>
      <c r="R16" t="inlineStr">
        <is>
          <t>RAPEL 220</t>
        </is>
      </c>
      <c r="U16" t="n">
        <v>0</v>
      </c>
      <c r="V16" t="n">
        <v>0</v>
      </c>
      <c r="W16" t="n">
        <v>6091.875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TotalEnergiaAjustado</t>
        </is>
      </c>
      <c r="U1" s="1" t="inlineStr">
        <is>
          <t>Potencia</t>
        </is>
      </c>
      <c r="V1" s="1" t="inlineStr">
        <is>
          <t>TotalPotenciaAjustado</t>
        </is>
      </c>
      <c r="W1" s="1" t="inlineStr">
        <is>
          <t>EmpresaDistribuidora</t>
        </is>
      </c>
      <c r="X1" s="1" t="inlineStr">
        <is>
          <t>PrecioEnergia</t>
        </is>
      </c>
      <c r="Y1" s="1" t="inlineStr">
        <is>
          <t>PrecioEnergiaAjustado</t>
        </is>
      </c>
      <c r="Z1" s="1" t="inlineStr">
        <is>
          <t>TotalEnergia</t>
        </is>
      </c>
      <c r="AA1" s="1" t="inlineStr">
        <is>
          <t>PrecioPotencia</t>
        </is>
      </c>
      <c r="AB1" s="1" t="inlineStr">
        <is>
          <t>PrecioPotenciaAjustado</t>
        </is>
      </c>
      <c r="AC1" s="1" t="inlineStr">
        <is>
          <t>TotalPotencia</t>
        </is>
      </c>
      <c r="AD1" s="1" t="inlineStr">
        <is>
          <t>Fecha</t>
        </is>
      </c>
    </row>
    <row r="2">
      <c r="A2" t="n">
        <v>-1</v>
      </c>
      <c r="B2" t="inlineStr">
        <is>
          <t>01-10-2021</t>
        </is>
      </c>
      <c r="C2" t="n">
        <v>2021</v>
      </c>
      <c r="D2" t="n">
        <v>10</v>
      </c>
      <c r="E2" t="inlineStr">
        <is>
          <t>Curico 13.2</t>
        </is>
      </c>
      <c r="F2" t="inlineStr">
        <is>
          <t>CEC</t>
        </is>
      </c>
      <c r="G2" t="inlineStr">
        <is>
          <t>CEC</t>
        </is>
      </c>
      <c r="H2" t="inlineStr">
        <is>
          <t>San Juan SpA.</t>
        </is>
      </c>
      <c r="I2" t="inlineStr">
        <is>
          <t>San Juan SpA.</t>
        </is>
      </c>
      <c r="J2" t="inlineStr">
        <is>
          <t>SIC 2013/03_2_BS2A_BB_CEC_San Juan SpA.</t>
        </is>
      </c>
      <c r="K2" t="inlineStr">
        <is>
          <t>Curico 13.2</t>
        </is>
      </c>
      <c r="L2" t="inlineStr">
        <is>
          <t>-1</t>
        </is>
      </c>
      <c r="M2" t="n">
        <v>20826.02406705228</v>
      </c>
      <c r="N2" t="n">
        <v>0</v>
      </c>
      <c r="O2" t="inlineStr">
        <is>
          <t>5</t>
        </is>
      </c>
      <c r="P2" s="2" t="n">
        <v>44999.68429938657</v>
      </c>
      <c r="Q2" t="n">
        <v>8</v>
      </c>
      <c r="R2" t="inlineStr">
        <is>
          <t>ALTO JAHUEL 220</t>
        </is>
      </c>
      <c r="S2" t="n">
        <v>8967.829823231608</v>
      </c>
      <c r="T2" t="n">
        <v>717904.7661086917</v>
      </c>
      <c r="U2" t="n">
        <v>0</v>
      </c>
      <c r="V2" t="n">
        <v>0</v>
      </c>
      <c r="W2" t="inlineStr">
        <is>
          <t>CEC</t>
        </is>
      </c>
      <c r="X2" t="n">
        <v>85.16313195476101</v>
      </c>
      <c r="Y2" t="n">
        <v>717.9047661086917</v>
      </c>
      <c r="Z2" t="n">
        <v>763728.4745837146</v>
      </c>
      <c r="AA2" t="n">
        <v>0</v>
      </c>
      <c r="AB2" t="n">
        <v>0</v>
      </c>
      <c r="AC2" t="n">
        <v>0</v>
      </c>
      <c r="AD2" s="2" t="n">
        <v>44470</v>
      </c>
    </row>
    <row r="3">
      <c r="A3" t="n">
        <v>-1</v>
      </c>
      <c r="B3" t="inlineStr">
        <is>
          <t>01-10-2021</t>
        </is>
      </c>
      <c r="C3" t="n">
        <v>2021</v>
      </c>
      <c r="D3" t="n">
        <v>10</v>
      </c>
      <c r="E3" t="inlineStr">
        <is>
          <t>Curico 13.2</t>
        </is>
      </c>
      <c r="F3" t="inlineStr">
        <is>
          <t>CEC</t>
        </is>
      </c>
      <c r="G3" t="inlineStr">
        <is>
          <t>CEC</t>
        </is>
      </c>
      <c r="H3" t="inlineStr">
        <is>
          <t>San Juan SpA.</t>
        </is>
      </c>
      <c r="I3" t="inlineStr">
        <is>
          <t>San Juan SpA.</t>
        </is>
      </c>
      <c r="J3" t="inlineStr">
        <is>
          <t>SIC 2013/03_2_BS2A_BB_CEC_San Juan SpA.</t>
        </is>
      </c>
      <c r="K3" t="inlineStr">
        <is>
          <t>Curico 13.2</t>
        </is>
      </c>
      <c r="L3" t="inlineStr">
        <is>
          <t>-1</t>
        </is>
      </c>
      <c r="M3" t="n">
        <v>20826.02406705228</v>
      </c>
      <c r="N3" t="n">
        <v>0</v>
      </c>
      <c r="O3" t="inlineStr">
        <is>
          <t>5</t>
        </is>
      </c>
      <c r="P3" s="2" t="n">
        <v>44999.68429938657</v>
      </c>
      <c r="Q3" t="n">
        <v>34</v>
      </c>
      <c r="R3" t="inlineStr">
        <is>
          <t>CHARRUA 220</t>
        </is>
      </c>
      <c r="S3" t="n">
        <v>1075.502721506651</v>
      </c>
      <c r="T3" t="n">
        <v>78513.6493849082</v>
      </c>
      <c r="U3" t="n">
        <v>0</v>
      </c>
      <c r="V3" t="n">
        <v>0</v>
      </c>
      <c r="W3" t="inlineStr">
        <is>
          <t>CEC</t>
        </is>
      </c>
      <c r="X3" t="n">
        <v>77.66150401098599</v>
      </c>
      <c r="Y3" t="n">
        <v>78.51364938490821</v>
      </c>
      <c r="Z3" t="n">
        <v>83525.15892011512</v>
      </c>
      <c r="AA3" t="n">
        <v>0</v>
      </c>
      <c r="AB3" t="n">
        <v>0</v>
      </c>
      <c r="AC3" t="n">
        <v>0</v>
      </c>
      <c r="AD3" s="2" t="n">
        <v>44470</v>
      </c>
    </row>
    <row r="4">
      <c r="A4" t="n">
        <v>-1</v>
      </c>
      <c r="B4" t="inlineStr">
        <is>
          <t>01-10-2021</t>
        </is>
      </c>
      <c r="C4" t="n">
        <v>2021</v>
      </c>
      <c r="D4" t="n">
        <v>10</v>
      </c>
      <c r="E4" t="inlineStr">
        <is>
          <t>Curico 13.2</t>
        </is>
      </c>
      <c r="F4" t="inlineStr">
        <is>
          <t>CEC</t>
        </is>
      </c>
      <c r="G4" t="inlineStr">
        <is>
          <t>CEC</t>
        </is>
      </c>
      <c r="H4" t="inlineStr">
        <is>
          <t>San Juan SpA.</t>
        </is>
      </c>
      <c r="I4" t="inlineStr">
        <is>
          <t>San Juan SpA.</t>
        </is>
      </c>
      <c r="J4" t="inlineStr">
        <is>
          <t>SIC 2013/03_2_BS2A_BB_CEC_San Juan SpA.</t>
        </is>
      </c>
      <c r="K4" t="inlineStr">
        <is>
          <t>Curico 13.2</t>
        </is>
      </c>
      <c r="L4" t="inlineStr">
        <is>
          <t>-1</t>
        </is>
      </c>
      <c r="M4" t="n">
        <v>20826.02406705228</v>
      </c>
      <c r="N4" t="n">
        <v>0</v>
      </c>
      <c r="O4" t="inlineStr">
        <is>
          <t>5</t>
        </is>
      </c>
      <c r="P4" s="2" t="n">
        <v>44999.68429938657</v>
      </c>
      <c r="Q4" t="n">
        <v>23</v>
      </c>
      <c r="R4" t="inlineStr">
        <is>
          <t>ITAHUE 220</t>
        </is>
      </c>
      <c r="S4" t="n">
        <v>11282.28750974257</v>
      </c>
      <c r="T4" t="n">
        <v>905443.0229589285</v>
      </c>
      <c r="U4" t="n">
        <v>0</v>
      </c>
      <c r="V4" t="n">
        <v>0</v>
      </c>
      <c r="W4" t="inlineStr">
        <is>
          <t>CEC</t>
        </is>
      </c>
      <c r="X4" t="n">
        <v>85.376060274582</v>
      </c>
      <c r="Y4" t="n">
        <v>905.4430229589285</v>
      </c>
      <c r="Z4" t="n">
        <v>963237.2584669453</v>
      </c>
      <c r="AA4" t="n">
        <v>0</v>
      </c>
      <c r="AB4" t="n">
        <v>0</v>
      </c>
      <c r="AC4" t="n">
        <v>0</v>
      </c>
      <c r="AD4" s="2" t="n">
        <v>44470</v>
      </c>
    </row>
    <row r="5">
      <c r="A5" t="n">
        <v>-1</v>
      </c>
      <c r="B5" t="inlineStr">
        <is>
          <t>01-10-2021</t>
        </is>
      </c>
      <c r="C5" t="n">
        <v>2021</v>
      </c>
      <c r="D5" t="n">
        <v>10</v>
      </c>
      <c r="E5" t="inlineStr">
        <is>
          <t>Curico 13.2</t>
        </is>
      </c>
      <c r="F5" t="inlineStr">
        <is>
          <t>CEC</t>
        </is>
      </c>
      <c r="G5" t="inlineStr">
        <is>
          <t>CEC</t>
        </is>
      </c>
      <c r="H5" t="inlineStr">
        <is>
          <t>San Juan SpA.</t>
        </is>
      </c>
      <c r="I5" t="inlineStr">
        <is>
          <t>San Juan SpA.</t>
        </is>
      </c>
      <c r="J5" t="inlineStr">
        <is>
          <t>SIC 2013/03_2_BS2A_BB_CEC_San Juan SpA.</t>
        </is>
      </c>
      <c r="K5" t="inlineStr">
        <is>
          <t>Curico 13.2</t>
        </is>
      </c>
      <c r="L5" t="inlineStr">
        <is>
          <t>-1</t>
        </is>
      </c>
      <c r="M5" t="n">
        <v>20826.02406705228</v>
      </c>
      <c r="N5" t="n">
        <v>0</v>
      </c>
      <c r="O5" t="inlineStr">
        <is>
          <t>5</t>
        </is>
      </c>
      <c r="P5" s="2" t="n">
        <v>44999.68429938657</v>
      </c>
      <c r="Q5" t="n">
        <v>13</v>
      </c>
      <c r="R5" t="inlineStr">
        <is>
          <t>MELIPILLA 220</t>
        </is>
      </c>
      <c r="S5" t="n">
        <v>33.30895467978606</v>
      </c>
      <c r="T5" t="n">
        <v>2698.032651351687</v>
      </c>
      <c r="U5" t="n">
        <v>0</v>
      </c>
      <c r="V5" t="n">
        <v>0</v>
      </c>
      <c r="W5" t="inlineStr">
        <is>
          <t>CEC</t>
        </is>
      </c>
      <c r="X5" t="n">
        <v>86.170446627069</v>
      </c>
      <c r="Y5" t="n">
        <v>2.698032651351687</v>
      </c>
      <c r="Z5" t="n">
        <v>2870.247501437965</v>
      </c>
      <c r="AA5" t="n">
        <v>0</v>
      </c>
      <c r="AB5" t="n">
        <v>0</v>
      </c>
      <c r="AC5" t="n">
        <v>0</v>
      </c>
      <c r="AD5" s="2" t="n">
        <v>44470</v>
      </c>
    </row>
    <row r="6">
      <c r="A6" t="n">
        <v>-1</v>
      </c>
      <c r="B6" t="inlineStr">
        <is>
          <t>01-10-2021</t>
        </is>
      </c>
      <c r="C6" t="n">
        <v>2021</v>
      </c>
      <c r="D6" t="n">
        <v>10</v>
      </c>
      <c r="E6" t="inlineStr">
        <is>
          <t>Curico 13.2</t>
        </is>
      </c>
      <c r="F6" t="inlineStr">
        <is>
          <t>CEC</t>
        </is>
      </c>
      <c r="G6" t="inlineStr">
        <is>
          <t>CEC</t>
        </is>
      </c>
      <c r="H6" t="inlineStr">
        <is>
          <t>San Juan SpA.</t>
        </is>
      </c>
      <c r="I6" t="inlineStr">
        <is>
          <t>San Juan SpA.</t>
        </is>
      </c>
      <c r="J6" t="inlineStr">
        <is>
          <t>SIC 2013/03_2_BS2A_BB_CEC_San Juan SpA.</t>
        </is>
      </c>
      <c r="K6" t="inlineStr">
        <is>
          <t>Curico 13.2</t>
        </is>
      </c>
      <c r="L6" t="inlineStr">
        <is>
          <t>-1</t>
        </is>
      </c>
      <c r="M6" t="n">
        <v>20826.02406705228</v>
      </c>
      <c r="N6" t="n">
        <v>0</v>
      </c>
      <c r="O6" t="inlineStr">
        <is>
          <t>5</t>
        </is>
      </c>
      <c r="P6" s="2" t="n">
        <v>44999.68429938657</v>
      </c>
      <c r="Q6" t="n">
        <v>22</v>
      </c>
      <c r="R6" t="inlineStr">
        <is>
          <t>RAPEL 220</t>
        </is>
      </c>
      <c r="S6" t="n">
        <v>102.5830286788958</v>
      </c>
      <c r="T6" t="n">
        <v>8313.98609193252</v>
      </c>
      <c r="U6" t="n">
        <v>0</v>
      </c>
      <c r="V6" t="n">
        <v>0</v>
      </c>
      <c r="W6" t="inlineStr">
        <is>
          <t>CEC</t>
        </is>
      </c>
      <c r="X6" t="n">
        <v>86.21958397166101</v>
      </c>
      <c r="Y6" t="n">
        <v>8.31398609193252</v>
      </c>
      <c r="Z6" t="n">
        <v>8844.666055247362</v>
      </c>
      <c r="AA6" t="n">
        <v>0</v>
      </c>
      <c r="AB6" t="n">
        <v>0</v>
      </c>
      <c r="AC6" t="n">
        <v>0</v>
      </c>
      <c r="AD6" s="2" t="n">
        <v>44470</v>
      </c>
    </row>
    <row r="7">
      <c r="A7" t="n">
        <v>-1</v>
      </c>
      <c r="B7" t="inlineStr">
        <is>
          <t>01-10-2021</t>
        </is>
      </c>
      <c r="C7" t="n">
        <v>2021</v>
      </c>
      <c r="D7" t="n">
        <v>10</v>
      </c>
      <c r="E7" t="inlineStr">
        <is>
          <t>Quinta 13.8</t>
        </is>
      </c>
      <c r="F7" t="inlineStr">
        <is>
          <t>CEC</t>
        </is>
      </c>
      <c r="G7" t="inlineStr">
        <is>
          <t>CEC</t>
        </is>
      </c>
      <c r="H7" t="inlineStr">
        <is>
          <t>San Juan SpA.</t>
        </is>
      </c>
      <c r="I7" t="inlineStr">
        <is>
          <t>San Juan SpA.</t>
        </is>
      </c>
      <c r="J7" t="inlineStr">
        <is>
          <t>SIC 2013/03_2_BS2A_BB_CEC_San Juan SpA.</t>
        </is>
      </c>
      <c r="K7" t="inlineStr">
        <is>
          <t>Quinta 13.8</t>
        </is>
      </c>
      <c r="L7" t="inlineStr">
        <is>
          <t>-1</t>
        </is>
      </c>
      <c r="M7" t="n">
        <v>4033.479806024642</v>
      </c>
      <c r="N7" t="n">
        <v>0</v>
      </c>
      <c r="O7" t="inlineStr">
        <is>
          <t>5</t>
        </is>
      </c>
      <c r="P7" s="2" t="n">
        <v>44999.68429938657</v>
      </c>
      <c r="Q7" t="n">
        <v>8</v>
      </c>
      <c r="R7" t="inlineStr">
        <is>
          <t>ALTO JAHUEL 220</t>
        </is>
      </c>
      <c r="S7" t="n">
        <v>2090.537148112348</v>
      </c>
      <c r="T7" t="n">
        <v>167354.4895409604</v>
      </c>
      <c r="U7" t="n">
        <v>0</v>
      </c>
      <c r="V7" t="n">
        <v>0</v>
      </c>
      <c r="W7" t="inlineStr">
        <is>
          <t>CEC</t>
        </is>
      </c>
      <c r="X7" t="n">
        <v>85.163131954761</v>
      </c>
      <c r="Y7" t="n">
        <v>167.3544895409603</v>
      </c>
      <c r="Z7" t="n">
        <v>178036.6910010217</v>
      </c>
      <c r="AA7" t="n">
        <v>0</v>
      </c>
      <c r="AB7" t="n">
        <v>0</v>
      </c>
      <c r="AC7" t="n">
        <v>0</v>
      </c>
      <c r="AD7" s="2" t="n">
        <v>44470</v>
      </c>
    </row>
    <row r="8">
      <c r="A8" t="n">
        <v>-1</v>
      </c>
      <c r="B8" t="inlineStr">
        <is>
          <t>01-10-2021</t>
        </is>
      </c>
      <c r="C8" t="n">
        <v>2021</v>
      </c>
      <c r="D8" t="n">
        <v>10</v>
      </c>
      <c r="E8" t="inlineStr">
        <is>
          <t>Quinta 13.8</t>
        </is>
      </c>
      <c r="F8" t="inlineStr">
        <is>
          <t>CEC</t>
        </is>
      </c>
      <c r="G8" t="inlineStr">
        <is>
          <t>CEC</t>
        </is>
      </c>
      <c r="H8" t="inlineStr">
        <is>
          <t>San Juan SpA.</t>
        </is>
      </c>
      <c r="I8" t="inlineStr">
        <is>
          <t>San Juan SpA.</t>
        </is>
      </c>
      <c r="J8" t="inlineStr">
        <is>
          <t>SIC 2013/03_2_BS2A_BB_CEC_San Juan SpA.</t>
        </is>
      </c>
      <c r="K8" t="inlineStr">
        <is>
          <t>Quinta 13.8</t>
        </is>
      </c>
      <c r="L8" t="inlineStr">
        <is>
          <t>-1</t>
        </is>
      </c>
      <c r="M8" t="n">
        <v>4033.479806024642</v>
      </c>
      <c r="N8" t="n">
        <v>0</v>
      </c>
      <c r="O8" t="inlineStr">
        <is>
          <t>5</t>
        </is>
      </c>
      <c r="P8" s="2" t="n">
        <v>44999.68429938657</v>
      </c>
      <c r="Q8" t="n">
        <v>34</v>
      </c>
      <c r="R8" t="inlineStr">
        <is>
          <t>CHARRUA 220</t>
        </is>
      </c>
      <c r="S8" t="n">
        <v>115.0835372051969</v>
      </c>
      <c r="T8" t="n">
        <v>8401.306951084263</v>
      </c>
      <c r="U8" t="n">
        <v>0</v>
      </c>
      <c r="V8" t="n">
        <v>0</v>
      </c>
      <c r="W8" t="inlineStr">
        <is>
          <t>CEC</t>
        </is>
      </c>
      <c r="X8" t="n">
        <v>77.66150401098601</v>
      </c>
      <c r="Y8" t="n">
        <v>8.401306951084262</v>
      </c>
      <c r="Z8" t="n">
        <v>8937.560586259855</v>
      </c>
      <c r="AA8" t="n">
        <v>0</v>
      </c>
      <c r="AB8" t="n">
        <v>0</v>
      </c>
      <c r="AC8" t="n">
        <v>0</v>
      </c>
      <c r="AD8" s="2" t="n">
        <v>44470</v>
      </c>
    </row>
    <row r="9">
      <c r="A9" t="n">
        <v>-1</v>
      </c>
      <c r="B9" t="inlineStr">
        <is>
          <t>01-10-2021</t>
        </is>
      </c>
      <c r="C9" t="n">
        <v>2021</v>
      </c>
      <c r="D9" t="n">
        <v>10</v>
      </c>
      <c r="E9" t="inlineStr">
        <is>
          <t>Quinta 13.8</t>
        </is>
      </c>
      <c r="F9" t="inlineStr">
        <is>
          <t>CEC</t>
        </is>
      </c>
      <c r="G9" t="inlineStr">
        <is>
          <t>CEC</t>
        </is>
      </c>
      <c r="H9" t="inlineStr">
        <is>
          <t>San Juan SpA.</t>
        </is>
      </c>
      <c r="I9" t="inlineStr">
        <is>
          <t>San Juan SpA.</t>
        </is>
      </c>
      <c r="J9" t="inlineStr">
        <is>
          <t>SIC 2013/03_2_BS2A_BB_CEC_San Juan SpA.</t>
        </is>
      </c>
      <c r="K9" t="inlineStr">
        <is>
          <t>Quinta 13.8</t>
        </is>
      </c>
      <c r="L9" t="inlineStr">
        <is>
          <t>-1</t>
        </is>
      </c>
      <c r="M9" t="n">
        <v>4033.479806024642</v>
      </c>
      <c r="N9" t="n">
        <v>0</v>
      </c>
      <c r="O9" t="inlineStr">
        <is>
          <t>5</t>
        </is>
      </c>
      <c r="P9" s="2" t="n">
        <v>44999.68429938657</v>
      </c>
      <c r="Q9" t="n">
        <v>23</v>
      </c>
      <c r="R9" t="inlineStr">
        <is>
          <t>ITAHUE 220</t>
        </is>
      </c>
      <c r="S9" t="n">
        <v>1929.916291524466</v>
      </c>
      <c r="T9" t="n">
        <v>154882.5306522851</v>
      </c>
      <c r="U9" t="n">
        <v>0</v>
      </c>
      <c r="V9" t="n">
        <v>0</v>
      </c>
      <c r="W9" t="inlineStr">
        <is>
          <t>CEC</t>
        </is>
      </c>
      <c r="X9" t="n">
        <v>85.376060274582</v>
      </c>
      <c r="Y9" t="n">
        <v>154.8825306522852</v>
      </c>
      <c r="Z9" t="n">
        <v>164768.6496300906</v>
      </c>
      <c r="AA9" t="n">
        <v>0</v>
      </c>
      <c r="AB9" t="n">
        <v>0</v>
      </c>
      <c r="AC9" t="n">
        <v>0</v>
      </c>
      <c r="AD9" s="2" t="n">
        <v>44470</v>
      </c>
    </row>
    <row r="10">
      <c r="A10" t="n">
        <v>-1</v>
      </c>
      <c r="B10" t="inlineStr">
        <is>
          <t>01-10-2021</t>
        </is>
      </c>
      <c r="C10" t="n">
        <v>2021</v>
      </c>
      <c r="D10" t="n">
        <v>10</v>
      </c>
      <c r="E10" t="inlineStr">
        <is>
          <t>Quinta 13.8</t>
        </is>
      </c>
      <c r="F10" t="inlineStr">
        <is>
          <t>CEC</t>
        </is>
      </c>
      <c r="G10" t="inlineStr">
        <is>
          <t>CEC</t>
        </is>
      </c>
      <c r="H10" t="inlineStr">
        <is>
          <t>San Juan SpA.</t>
        </is>
      </c>
      <c r="I10" t="inlineStr">
        <is>
          <t>San Juan SpA.</t>
        </is>
      </c>
      <c r="J10" t="inlineStr">
        <is>
          <t>SIC 2013/03_2_BS2A_BB_CEC_San Juan SpA.</t>
        </is>
      </c>
      <c r="K10" t="inlineStr">
        <is>
          <t>Quinta 13.8</t>
        </is>
      </c>
      <c r="L10" t="inlineStr">
        <is>
          <t>-1</t>
        </is>
      </c>
      <c r="M10" t="n">
        <v>4033.479806024642</v>
      </c>
      <c r="N10" t="n">
        <v>0</v>
      </c>
      <c r="O10" t="inlineStr">
        <is>
          <t>5</t>
        </is>
      </c>
      <c r="P10" s="2" t="n">
        <v>44999.68429938657</v>
      </c>
      <c r="Q10" t="n">
        <v>22</v>
      </c>
      <c r="R10" t="inlineStr">
        <is>
          <t>RAPEL 220</t>
        </is>
      </c>
      <c r="S10" t="n">
        <v>21.02094956169157</v>
      </c>
      <c r="T10" t="n">
        <v>1703.672474344417</v>
      </c>
      <c r="U10" t="n">
        <v>0</v>
      </c>
      <c r="V10" t="n">
        <v>0</v>
      </c>
      <c r="W10" t="inlineStr">
        <is>
          <t>CEC</t>
        </is>
      </c>
      <c r="X10" t="n">
        <v>86.219583971661</v>
      </c>
      <c r="Y10" t="n">
        <v>1.703672474344417</v>
      </c>
      <c r="Z10" t="n">
        <v>1812.417525898316</v>
      </c>
      <c r="AA10" t="n">
        <v>0</v>
      </c>
      <c r="AB10" t="n">
        <v>0</v>
      </c>
      <c r="AC10" t="n">
        <v>0</v>
      </c>
      <c r="AD10" s="2" t="n">
        <v>44470</v>
      </c>
    </row>
    <row r="11">
      <c r="A11" t="n">
        <v>-1</v>
      </c>
      <c r="B11" t="inlineStr">
        <is>
          <t>01-10-2021</t>
        </is>
      </c>
      <c r="C11" t="n">
        <v>2021</v>
      </c>
      <c r="D11" t="n">
        <v>10</v>
      </c>
      <c r="E11" t="inlineStr">
        <is>
          <t>Teno 13.2</t>
        </is>
      </c>
      <c r="F11" t="inlineStr">
        <is>
          <t>CEC</t>
        </is>
      </c>
      <c r="G11" t="inlineStr">
        <is>
          <t>CEC</t>
        </is>
      </c>
      <c r="H11" t="inlineStr">
        <is>
          <t>San Juan SpA.</t>
        </is>
      </c>
      <c r="I11" t="inlineStr">
        <is>
          <t>San Juan SpA.</t>
        </is>
      </c>
      <c r="J11" t="inlineStr">
        <is>
          <t>SIC 2013/03_2_BS2A_BB_CEC_San Juan SpA.</t>
        </is>
      </c>
      <c r="K11" t="inlineStr">
        <is>
          <t>Teno 13.2</t>
        </is>
      </c>
      <c r="L11" t="inlineStr">
        <is>
          <t>-1</t>
        </is>
      </c>
      <c r="M11" t="n">
        <v>7293.07540949486</v>
      </c>
      <c r="N11" t="n">
        <v>0</v>
      </c>
      <c r="O11" t="inlineStr">
        <is>
          <t>5</t>
        </is>
      </c>
      <c r="P11" s="2" t="n">
        <v>44999.68429938657</v>
      </c>
      <c r="Q11" t="n">
        <v>8</v>
      </c>
      <c r="R11" t="inlineStr">
        <is>
          <t>ALTO JAHUEL 220</t>
        </is>
      </c>
      <c r="S11" t="n">
        <v>3314.616966288193</v>
      </c>
      <c r="T11" t="n">
        <v>265346.1723547215</v>
      </c>
      <c r="U11" t="n">
        <v>0</v>
      </c>
      <c r="V11" t="n">
        <v>0</v>
      </c>
      <c r="W11" t="inlineStr">
        <is>
          <t>CEC</t>
        </is>
      </c>
      <c r="X11" t="n">
        <v>85.163131954761</v>
      </c>
      <c r="Y11" t="n">
        <v>265.3461723547215</v>
      </c>
      <c r="Z11" t="n">
        <v>282283.162079491</v>
      </c>
      <c r="AA11" t="n">
        <v>0</v>
      </c>
      <c r="AB11" t="n">
        <v>0</v>
      </c>
      <c r="AC11" t="n">
        <v>0</v>
      </c>
      <c r="AD11" s="2" t="n">
        <v>44470</v>
      </c>
    </row>
    <row r="12">
      <c r="A12" t="n">
        <v>-1</v>
      </c>
      <c r="B12" t="inlineStr">
        <is>
          <t>01-10-2021</t>
        </is>
      </c>
      <c r="C12" t="n">
        <v>2021</v>
      </c>
      <c r="D12" t="n">
        <v>10</v>
      </c>
      <c r="E12" t="inlineStr">
        <is>
          <t>Teno 13.2</t>
        </is>
      </c>
      <c r="F12" t="inlineStr">
        <is>
          <t>CEC</t>
        </is>
      </c>
      <c r="G12" t="inlineStr">
        <is>
          <t>CEC</t>
        </is>
      </c>
      <c r="H12" t="inlineStr">
        <is>
          <t>San Juan SpA.</t>
        </is>
      </c>
      <c r="I12" t="inlineStr">
        <is>
          <t>San Juan SpA.</t>
        </is>
      </c>
      <c r="J12" t="inlineStr">
        <is>
          <t>SIC 2013/03_2_BS2A_BB_CEC_San Juan SpA.</t>
        </is>
      </c>
      <c r="K12" t="inlineStr">
        <is>
          <t>Teno 13.2</t>
        </is>
      </c>
      <c r="L12" t="inlineStr">
        <is>
          <t>-1</t>
        </is>
      </c>
      <c r="M12" t="n">
        <v>7293.07540949486</v>
      </c>
      <c r="N12" t="n">
        <v>0</v>
      </c>
      <c r="O12" t="inlineStr">
        <is>
          <t>5</t>
        </is>
      </c>
      <c r="P12" s="2" t="n">
        <v>44999.68429938657</v>
      </c>
      <c r="Q12" t="n">
        <v>34</v>
      </c>
      <c r="R12" t="inlineStr">
        <is>
          <t>CHARRUA 220</t>
        </is>
      </c>
      <c r="S12" t="n">
        <v>128.1436878191485</v>
      </c>
      <c r="T12" t="n">
        <v>9354.72163401638</v>
      </c>
      <c r="U12" t="n">
        <v>0</v>
      </c>
      <c r="V12" t="n">
        <v>0</v>
      </c>
      <c r="W12" t="inlineStr">
        <is>
          <t>CEC</t>
        </is>
      </c>
      <c r="X12" t="n">
        <v>77.66150401098601</v>
      </c>
      <c r="Y12" t="n">
        <v>9.354721634016377</v>
      </c>
      <c r="Z12" t="n">
        <v>9951.83152554934</v>
      </c>
      <c r="AA12" t="n">
        <v>0</v>
      </c>
      <c r="AB12" t="n">
        <v>0</v>
      </c>
      <c r="AC12" t="n">
        <v>0</v>
      </c>
      <c r="AD12" s="2" t="n">
        <v>44470</v>
      </c>
    </row>
    <row r="13">
      <c r="A13" t="n">
        <v>-1</v>
      </c>
      <c r="B13" t="inlineStr">
        <is>
          <t>01-10-2021</t>
        </is>
      </c>
      <c r="C13" t="n">
        <v>2021</v>
      </c>
      <c r="D13" t="n">
        <v>10</v>
      </c>
      <c r="E13" t="inlineStr">
        <is>
          <t>Teno 13.2</t>
        </is>
      </c>
      <c r="F13" t="inlineStr">
        <is>
          <t>CEC</t>
        </is>
      </c>
      <c r="G13" t="inlineStr">
        <is>
          <t>CEC</t>
        </is>
      </c>
      <c r="H13" t="inlineStr">
        <is>
          <t>San Juan SpA.</t>
        </is>
      </c>
      <c r="I13" t="inlineStr">
        <is>
          <t>San Juan SpA.</t>
        </is>
      </c>
      <c r="J13" t="inlineStr">
        <is>
          <t>SIC 2013/03_2_BS2A_BB_CEC_San Juan SpA.</t>
        </is>
      </c>
      <c r="K13" t="inlineStr">
        <is>
          <t>Teno 13.2</t>
        </is>
      </c>
      <c r="L13" t="inlineStr">
        <is>
          <t>-1</t>
        </is>
      </c>
      <c r="M13" t="n">
        <v>7293.07540949486</v>
      </c>
      <c r="N13" t="n">
        <v>0</v>
      </c>
      <c r="O13" t="inlineStr">
        <is>
          <t>5</t>
        </is>
      </c>
      <c r="P13" s="2" t="n">
        <v>44999.68429938657</v>
      </c>
      <c r="Q13" t="n">
        <v>23</v>
      </c>
      <c r="R13" t="inlineStr">
        <is>
          <t>ITAHUE 220</t>
        </is>
      </c>
      <c r="S13" t="n">
        <v>4013.512993174441</v>
      </c>
      <c r="T13" t="n">
        <v>322098.4515849943</v>
      </c>
      <c r="U13" t="n">
        <v>0</v>
      </c>
      <c r="V13" t="n">
        <v>0</v>
      </c>
      <c r="W13" t="inlineStr">
        <is>
          <t>CEC</t>
        </is>
      </c>
      <c r="X13" t="n">
        <v>85.376060274582</v>
      </c>
      <c r="Y13" t="n">
        <v>322.0984515849943</v>
      </c>
      <c r="Z13" t="n">
        <v>342657.9272180791</v>
      </c>
      <c r="AA13" t="n">
        <v>0</v>
      </c>
      <c r="AB13" t="n">
        <v>0</v>
      </c>
      <c r="AC13" t="n">
        <v>0</v>
      </c>
      <c r="AD13" s="2" t="n">
        <v>44470</v>
      </c>
    </row>
    <row r="14">
      <c r="A14" t="n">
        <v>-1</v>
      </c>
      <c r="B14" t="inlineStr">
        <is>
          <t>01-10-2021</t>
        </is>
      </c>
      <c r="C14" t="n">
        <v>2021</v>
      </c>
      <c r="D14" t="n">
        <v>10</v>
      </c>
      <c r="E14" t="inlineStr">
        <is>
          <t>Teno 13.2</t>
        </is>
      </c>
      <c r="F14" t="inlineStr">
        <is>
          <t>CEC</t>
        </is>
      </c>
      <c r="G14" t="inlineStr">
        <is>
          <t>CEC</t>
        </is>
      </c>
      <c r="H14" t="inlineStr">
        <is>
          <t>San Juan SpA.</t>
        </is>
      </c>
      <c r="I14" t="inlineStr">
        <is>
          <t>San Juan SpA.</t>
        </is>
      </c>
      <c r="J14" t="inlineStr">
        <is>
          <t>SIC 2013/03_2_BS2A_BB_CEC_San Juan SpA.</t>
        </is>
      </c>
      <c r="K14" t="inlineStr">
        <is>
          <t>Teno 13.2</t>
        </is>
      </c>
      <c r="L14" t="inlineStr">
        <is>
          <t>-1</t>
        </is>
      </c>
      <c r="M14" t="n">
        <v>7293.07540949486</v>
      </c>
      <c r="N14" t="n">
        <v>0</v>
      </c>
      <c r="O14" t="inlineStr">
        <is>
          <t>5</t>
        </is>
      </c>
      <c r="P14" s="2" t="n">
        <v>44999.68429938657</v>
      </c>
      <c r="Q14" t="n">
        <v>13</v>
      </c>
      <c r="R14" t="inlineStr">
        <is>
          <t>MELIPILLA 220</t>
        </is>
      </c>
      <c r="S14" t="n">
        <v>21.03785546448085</v>
      </c>
      <c r="T14" t="n">
        <v>1704.070917363036</v>
      </c>
      <c r="U14" t="n">
        <v>0</v>
      </c>
      <c r="V14" t="n">
        <v>0</v>
      </c>
      <c r="W14" t="inlineStr">
        <is>
          <t>CEC</t>
        </is>
      </c>
      <c r="X14" t="n">
        <v>86.17044662706898</v>
      </c>
      <c r="Y14" t="n">
        <v>1.704070917363036</v>
      </c>
      <c r="Z14" t="n">
        <v>1812.841401450038</v>
      </c>
      <c r="AA14" t="n">
        <v>0</v>
      </c>
      <c r="AB14" t="n">
        <v>0</v>
      </c>
      <c r="AC14" t="n">
        <v>0</v>
      </c>
      <c r="AD14" s="2" t="n">
        <v>44470</v>
      </c>
    </row>
    <row r="15">
      <c r="A15" t="n">
        <v>-1</v>
      </c>
      <c r="B15" t="inlineStr">
        <is>
          <t>01-10-2021</t>
        </is>
      </c>
      <c r="C15" t="n">
        <v>2021</v>
      </c>
      <c r="D15" t="n">
        <v>10</v>
      </c>
      <c r="E15" t="inlineStr">
        <is>
          <t>Teno 13.2</t>
        </is>
      </c>
      <c r="F15" t="inlineStr">
        <is>
          <t>CEC</t>
        </is>
      </c>
      <c r="G15" t="inlineStr">
        <is>
          <t>CEC</t>
        </is>
      </c>
      <c r="H15" t="inlineStr">
        <is>
          <t>San Juan SpA.</t>
        </is>
      </c>
      <c r="I15" t="inlineStr">
        <is>
          <t>San Juan SpA.</t>
        </is>
      </c>
      <c r="J15" t="inlineStr">
        <is>
          <t>SIC 2013/03_2_BS2A_BB_CEC_San Juan SpA.</t>
        </is>
      </c>
      <c r="K15" t="inlineStr">
        <is>
          <t>Teno 13.2</t>
        </is>
      </c>
      <c r="L15" t="inlineStr">
        <is>
          <t>-1</t>
        </is>
      </c>
      <c r="M15" t="n">
        <v>7293.07540949486</v>
      </c>
      <c r="N15" t="n">
        <v>0</v>
      </c>
      <c r="O15" t="inlineStr">
        <is>
          <t>5</t>
        </is>
      </c>
      <c r="P15" s="2" t="n">
        <v>44999.68429938657</v>
      </c>
      <c r="Q15" t="n">
        <v>22</v>
      </c>
      <c r="R15" t="inlineStr">
        <is>
          <t>RAPEL 220</t>
        </is>
      </c>
      <c r="S15" t="n">
        <v>38.30574564478554</v>
      </c>
      <c r="T15" t="n">
        <v>3104.543126024614</v>
      </c>
      <c r="U15" t="n">
        <v>0</v>
      </c>
      <c r="V15" t="n">
        <v>0</v>
      </c>
      <c r="W15" t="inlineStr">
        <is>
          <t>CEC</t>
        </is>
      </c>
      <c r="X15" t="n">
        <v>86.21958397166102</v>
      </c>
      <c r="Y15" t="n">
        <v>3.104543126024615</v>
      </c>
      <c r="Z15" t="n">
        <v>3302.705453217675</v>
      </c>
      <c r="AA15" t="n">
        <v>0</v>
      </c>
      <c r="AB15" t="n">
        <v>0</v>
      </c>
      <c r="AC15" t="n">
        <v>0</v>
      </c>
      <c r="AD15" s="2" t="n">
        <v>44470</v>
      </c>
    </row>
    <row r="16">
      <c r="A16" t="n">
        <v>-1</v>
      </c>
      <c r="B16" t="inlineStr">
        <is>
          <t>01-11-2021</t>
        </is>
      </c>
      <c r="C16" t="n">
        <v>2021</v>
      </c>
      <c r="D16" t="n">
        <v>11</v>
      </c>
      <c r="E16" t="inlineStr">
        <is>
          <t>Curico 13.2</t>
        </is>
      </c>
      <c r="F16" t="inlineStr">
        <is>
          <t>CEC</t>
        </is>
      </c>
      <c r="G16" t="inlineStr">
        <is>
          <t>CEC</t>
        </is>
      </c>
      <c r="H16" t="inlineStr">
        <is>
          <t>San Juan SpA.</t>
        </is>
      </c>
      <c r="I16" t="inlineStr">
        <is>
          <t>San Juan SpA.</t>
        </is>
      </c>
      <c r="J16" t="inlineStr">
        <is>
          <t>SIC 2013/03_2_BS2A_BB_CEC_San Juan SpA.</t>
        </is>
      </c>
      <c r="K16" t="inlineStr">
        <is>
          <t>Curico 13.2</t>
        </is>
      </c>
      <c r="L16" t="inlineStr">
        <is>
          <t>-1</t>
        </is>
      </c>
      <c r="M16" t="n">
        <v>25492.33402990639</v>
      </c>
      <c r="N16" t="n">
        <v>0</v>
      </c>
      <c r="O16" t="inlineStr">
        <is>
          <t>5</t>
        </is>
      </c>
      <c r="P16" s="2" t="n">
        <v>44999.68429938657</v>
      </c>
      <c r="Q16" t="n">
        <v>8</v>
      </c>
      <c r="R16" t="inlineStr">
        <is>
          <t>ALTO JAHUEL 220</t>
        </is>
      </c>
      <c r="S16" t="n">
        <v>10977.17512671319</v>
      </c>
      <c r="T16" t="n">
        <v>878759.5769783877</v>
      </c>
      <c r="U16" t="n">
        <v>0</v>
      </c>
      <c r="V16" t="n">
        <v>0</v>
      </c>
      <c r="W16" t="inlineStr">
        <is>
          <t>CEC</t>
        </is>
      </c>
      <c r="X16" t="n">
        <v>85.163131954761</v>
      </c>
      <c r="Y16" t="n">
        <v>878.7595769783877</v>
      </c>
      <c r="Z16" t="n">
        <v>934850.6138067954</v>
      </c>
      <c r="AA16" t="n">
        <v>0</v>
      </c>
      <c r="AB16" t="n">
        <v>0</v>
      </c>
      <c r="AC16" t="n">
        <v>0</v>
      </c>
      <c r="AD16" s="2" t="n">
        <v>44501</v>
      </c>
    </row>
    <row r="17">
      <c r="A17" t="n">
        <v>-1</v>
      </c>
      <c r="B17" t="inlineStr">
        <is>
          <t>01-11-2021</t>
        </is>
      </c>
      <c r="C17" t="n">
        <v>2021</v>
      </c>
      <c r="D17" t="n">
        <v>11</v>
      </c>
      <c r="E17" t="inlineStr">
        <is>
          <t>Curico 13.2</t>
        </is>
      </c>
      <c r="F17" t="inlineStr">
        <is>
          <t>CEC</t>
        </is>
      </c>
      <c r="G17" t="inlineStr">
        <is>
          <t>CEC</t>
        </is>
      </c>
      <c r="H17" t="inlineStr">
        <is>
          <t>San Juan SpA.</t>
        </is>
      </c>
      <c r="I17" t="inlineStr">
        <is>
          <t>San Juan SpA.</t>
        </is>
      </c>
      <c r="J17" t="inlineStr">
        <is>
          <t>SIC 2013/03_2_BS2A_BB_CEC_San Juan SpA.</t>
        </is>
      </c>
      <c r="K17" t="inlineStr">
        <is>
          <t>Curico 13.2</t>
        </is>
      </c>
      <c r="L17" t="inlineStr">
        <is>
          <t>-1</t>
        </is>
      </c>
      <c r="M17" t="n">
        <v>25492.33402990639</v>
      </c>
      <c r="N17" t="n">
        <v>0</v>
      </c>
      <c r="O17" t="inlineStr">
        <is>
          <t>5</t>
        </is>
      </c>
      <c r="P17" s="2" t="n">
        <v>44999.68429938657</v>
      </c>
      <c r="Q17" t="n">
        <v>34</v>
      </c>
      <c r="R17" t="inlineStr">
        <is>
          <t>CHARRUA 220</t>
        </is>
      </c>
      <c r="S17" t="n">
        <v>1316.481462733734</v>
      </c>
      <c r="T17" t="n">
        <v>96105.53457457552</v>
      </c>
      <c r="U17" t="n">
        <v>0</v>
      </c>
      <c r="V17" t="n">
        <v>0</v>
      </c>
      <c r="W17" t="inlineStr">
        <is>
          <t>CEC</t>
        </is>
      </c>
      <c r="X17" t="n">
        <v>77.66150401098601</v>
      </c>
      <c r="Y17" t="n">
        <v>96.10553457457551</v>
      </c>
      <c r="Z17" t="n">
        <v>102239.9303984846</v>
      </c>
      <c r="AA17" t="n">
        <v>0</v>
      </c>
      <c r="AB17" t="n">
        <v>0</v>
      </c>
      <c r="AC17" t="n">
        <v>0</v>
      </c>
      <c r="AD17" s="2" t="n">
        <v>44501</v>
      </c>
    </row>
    <row r="18">
      <c r="A18" t="n">
        <v>-1</v>
      </c>
      <c r="B18" t="inlineStr">
        <is>
          <t>01-11-2021</t>
        </is>
      </c>
      <c r="C18" t="n">
        <v>2021</v>
      </c>
      <c r="D18" t="n">
        <v>11</v>
      </c>
      <c r="E18" t="inlineStr">
        <is>
          <t>Curico 13.2</t>
        </is>
      </c>
      <c r="F18" t="inlineStr">
        <is>
          <t>CEC</t>
        </is>
      </c>
      <c r="G18" t="inlineStr">
        <is>
          <t>CEC</t>
        </is>
      </c>
      <c r="H18" t="inlineStr">
        <is>
          <t>San Juan SpA.</t>
        </is>
      </c>
      <c r="I18" t="inlineStr">
        <is>
          <t>San Juan SpA.</t>
        </is>
      </c>
      <c r="J18" t="inlineStr">
        <is>
          <t>SIC 2013/03_2_BS2A_BB_CEC_San Juan SpA.</t>
        </is>
      </c>
      <c r="K18" t="inlineStr">
        <is>
          <t>Curico 13.2</t>
        </is>
      </c>
      <c r="L18" t="inlineStr">
        <is>
          <t>-1</t>
        </is>
      </c>
      <c r="M18" t="n">
        <v>25492.33402990639</v>
      </c>
      <c r="N18" t="n">
        <v>0</v>
      </c>
      <c r="O18" t="inlineStr">
        <is>
          <t>5</t>
        </is>
      </c>
      <c r="P18" s="2" t="n">
        <v>44999.68429938657</v>
      </c>
      <c r="Q18" t="n">
        <v>23</v>
      </c>
      <c r="R18" t="inlineStr">
        <is>
          <t>ITAHUE 220</t>
        </is>
      </c>
      <c r="S18" t="n">
        <v>13810.21364874025</v>
      </c>
      <c r="T18" t="n">
        <v>1108317.93490692</v>
      </c>
      <c r="U18" t="n">
        <v>0</v>
      </c>
      <c r="V18" t="n">
        <v>0</v>
      </c>
      <c r="W18" t="inlineStr">
        <is>
          <t>CEC</t>
        </is>
      </c>
      <c r="X18" t="n">
        <v>85.376060274582</v>
      </c>
      <c r="Y18" t="n">
        <v>1108.31793490692</v>
      </c>
      <c r="Z18" t="n">
        <v>1179061.632879703</v>
      </c>
      <c r="AA18" t="n">
        <v>0</v>
      </c>
      <c r="AB18" t="n">
        <v>0</v>
      </c>
      <c r="AC18" t="n">
        <v>0</v>
      </c>
      <c r="AD18" s="2" t="n">
        <v>44501</v>
      </c>
    </row>
    <row r="19">
      <c r="A19" t="n">
        <v>-1</v>
      </c>
      <c r="B19" t="inlineStr">
        <is>
          <t>01-11-2021</t>
        </is>
      </c>
      <c r="C19" t="n">
        <v>2021</v>
      </c>
      <c r="D19" t="n">
        <v>11</v>
      </c>
      <c r="E19" t="inlineStr">
        <is>
          <t>Curico 13.2</t>
        </is>
      </c>
      <c r="F19" t="inlineStr">
        <is>
          <t>CEC</t>
        </is>
      </c>
      <c r="G19" t="inlineStr">
        <is>
          <t>CEC</t>
        </is>
      </c>
      <c r="H19" t="inlineStr">
        <is>
          <t>San Juan SpA.</t>
        </is>
      </c>
      <c r="I19" t="inlineStr">
        <is>
          <t>San Juan SpA.</t>
        </is>
      </c>
      <c r="J19" t="inlineStr">
        <is>
          <t>SIC 2013/03_2_BS2A_BB_CEC_San Juan SpA.</t>
        </is>
      </c>
      <c r="K19" t="inlineStr">
        <is>
          <t>Curico 13.2</t>
        </is>
      </c>
      <c r="L19" t="inlineStr">
        <is>
          <t>-1</t>
        </is>
      </c>
      <c r="M19" t="n">
        <v>25492.33402990639</v>
      </c>
      <c r="N19" t="n">
        <v>0</v>
      </c>
      <c r="O19" t="inlineStr">
        <is>
          <t>5</t>
        </is>
      </c>
      <c r="P19" s="2" t="n">
        <v>44999.68429938657</v>
      </c>
      <c r="Q19" t="n">
        <v>13</v>
      </c>
      <c r="R19" t="inlineStr">
        <is>
          <t>MELIPILLA 220</t>
        </is>
      </c>
      <c r="S19" t="n">
        <v>40.77220866307704</v>
      </c>
      <c r="T19" t="n">
        <v>3302.557864641235</v>
      </c>
      <c r="U19" t="n">
        <v>0</v>
      </c>
      <c r="V19" t="n">
        <v>0</v>
      </c>
      <c r="W19" t="inlineStr">
        <is>
          <t>CEC</t>
        </is>
      </c>
      <c r="X19" t="n">
        <v>86.170446627069</v>
      </c>
      <c r="Y19" t="n">
        <v>3.302557864641236</v>
      </c>
      <c r="Z19" t="n">
        <v>3513.3594304694</v>
      </c>
      <c r="AA19" t="n">
        <v>0</v>
      </c>
      <c r="AB19" t="n">
        <v>0</v>
      </c>
      <c r="AC19" t="n">
        <v>0</v>
      </c>
      <c r="AD19" s="2" t="n">
        <v>44501</v>
      </c>
    </row>
    <row r="20">
      <c r="A20" t="n">
        <v>-1</v>
      </c>
      <c r="B20" t="inlineStr">
        <is>
          <t>01-11-2021</t>
        </is>
      </c>
      <c r="C20" t="n">
        <v>2021</v>
      </c>
      <c r="D20" t="n">
        <v>11</v>
      </c>
      <c r="E20" t="inlineStr">
        <is>
          <t>Curico 13.2</t>
        </is>
      </c>
      <c r="F20" t="inlineStr">
        <is>
          <t>CEC</t>
        </is>
      </c>
      <c r="G20" t="inlineStr">
        <is>
          <t>CEC</t>
        </is>
      </c>
      <c r="H20" t="inlineStr">
        <is>
          <t>San Juan SpA.</t>
        </is>
      </c>
      <c r="I20" t="inlineStr">
        <is>
          <t>San Juan SpA.</t>
        </is>
      </c>
      <c r="J20" t="inlineStr">
        <is>
          <t>SIC 2013/03_2_BS2A_BB_CEC_San Juan SpA.</t>
        </is>
      </c>
      <c r="K20" t="inlineStr">
        <is>
          <t>Curico 13.2</t>
        </is>
      </c>
      <c r="L20" t="inlineStr">
        <is>
          <t>-1</t>
        </is>
      </c>
      <c r="M20" t="n">
        <v>25492.33402990639</v>
      </c>
      <c r="N20" t="n">
        <v>0</v>
      </c>
      <c r="O20" t="inlineStr">
        <is>
          <t>5</t>
        </is>
      </c>
      <c r="P20" s="2" t="n">
        <v>44999.68429938657</v>
      </c>
      <c r="Q20" t="n">
        <v>22</v>
      </c>
      <c r="R20" t="inlineStr">
        <is>
          <t>RAPEL 220</t>
        </is>
      </c>
      <c r="S20" t="n">
        <v>125.5679348329888</v>
      </c>
      <c r="T20" t="n">
        <v>10176.83019539208</v>
      </c>
      <c r="U20" t="n">
        <v>0</v>
      </c>
      <c r="V20" t="n">
        <v>0</v>
      </c>
      <c r="W20" t="inlineStr">
        <is>
          <t>CEC</t>
        </is>
      </c>
      <c r="X20" t="n">
        <v>86.219583971661</v>
      </c>
      <c r="Y20" t="n">
        <v>10.17683019539208</v>
      </c>
      <c r="Z20" t="n">
        <v>10826.41510148094</v>
      </c>
      <c r="AA20" t="n">
        <v>0</v>
      </c>
      <c r="AB20" t="n">
        <v>0</v>
      </c>
      <c r="AC20" t="n">
        <v>0</v>
      </c>
      <c r="AD20" s="2" t="n">
        <v>44501</v>
      </c>
    </row>
    <row r="21">
      <c r="A21" t="n">
        <v>-1</v>
      </c>
      <c r="B21" t="inlineStr">
        <is>
          <t>01-11-2021</t>
        </is>
      </c>
      <c r="C21" t="n">
        <v>2021</v>
      </c>
      <c r="D21" t="n">
        <v>11</v>
      </c>
      <c r="E21" t="inlineStr">
        <is>
          <t>Quinta 13.8</t>
        </is>
      </c>
      <c r="F21" t="inlineStr">
        <is>
          <t>CEC</t>
        </is>
      </c>
      <c r="G21" t="inlineStr">
        <is>
          <t>CEC</t>
        </is>
      </c>
      <c r="H21" t="inlineStr">
        <is>
          <t>San Juan SpA.</t>
        </is>
      </c>
      <c r="I21" t="inlineStr">
        <is>
          <t>San Juan SpA.</t>
        </is>
      </c>
      <c r="J21" t="inlineStr">
        <is>
          <t>SIC 2013/03_2_BS2A_BB_CEC_San Juan SpA.</t>
        </is>
      </c>
      <c r="K21" t="inlineStr">
        <is>
          <t>Quinta 13.8</t>
        </is>
      </c>
      <c r="L21" t="inlineStr">
        <is>
          <t>-1</t>
        </is>
      </c>
      <c r="M21" t="n">
        <v>5867.700825620574</v>
      </c>
      <c r="N21" t="n">
        <v>0</v>
      </c>
      <c r="O21" t="inlineStr">
        <is>
          <t>5</t>
        </is>
      </c>
      <c r="P21" s="2" t="n">
        <v>44999.68429938657</v>
      </c>
      <c r="Q21" t="n">
        <v>8</v>
      </c>
      <c r="R21" t="inlineStr">
        <is>
          <t>ALTO JAHUEL 220</t>
        </is>
      </c>
      <c r="S21" t="n">
        <v>3041.206883358415</v>
      </c>
      <c r="T21" t="n">
        <v>243458.7809226294</v>
      </c>
      <c r="U21" t="n">
        <v>0</v>
      </c>
      <c r="V21" t="n">
        <v>0</v>
      </c>
      <c r="W21" t="inlineStr">
        <is>
          <t>CEC</t>
        </is>
      </c>
      <c r="X21" t="n">
        <v>85.16313195476101</v>
      </c>
      <c r="Y21" t="n">
        <v>243.4587809226294</v>
      </c>
      <c r="Z21" t="n">
        <v>258998.7031091802</v>
      </c>
      <c r="AA21" t="n">
        <v>0</v>
      </c>
      <c r="AB21" t="n">
        <v>0</v>
      </c>
      <c r="AC21" t="n">
        <v>0</v>
      </c>
      <c r="AD21" s="2" t="n">
        <v>44501</v>
      </c>
    </row>
    <row r="22">
      <c r="A22" t="n">
        <v>-1</v>
      </c>
      <c r="B22" t="inlineStr">
        <is>
          <t>01-11-2021</t>
        </is>
      </c>
      <c r="C22" t="n">
        <v>2021</v>
      </c>
      <c r="D22" t="n">
        <v>11</v>
      </c>
      <c r="E22" t="inlineStr">
        <is>
          <t>Quinta 13.8</t>
        </is>
      </c>
      <c r="F22" t="inlineStr">
        <is>
          <t>CEC</t>
        </is>
      </c>
      <c r="G22" t="inlineStr">
        <is>
          <t>CEC</t>
        </is>
      </c>
      <c r="H22" t="inlineStr">
        <is>
          <t>San Juan SpA.</t>
        </is>
      </c>
      <c r="I22" t="inlineStr">
        <is>
          <t>San Juan SpA.</t>
        </is>
      </c>
      <c r="J22" t="inlineStr">
        <is>
          <t>SIC 2013/03_2_BS2A_BB_CEC_San Juan SpA.</t>
        </is>
      </c>
      <c r="K22" t="inlineStr">
        <is>
          <t>Quinta 13.8</t>
        </is>
      </c>
      <c r="L22" t="inlineStr">
        <is>
          <t>-1</t>
        </is>
      </c>
      <c r="M22" t="n">
        <v>5867.700825620574</v>
      </c>
      <c r="N22" t="n">
        <v>0</v>
      </c>
      <c r="O22" t="inlineStr">
        <is>
          <t>5</t>
        </is>
      </c>
      <c r="P22" s="2" t="n">
        <v>44999.68429938657</v>
      </c>
      <c r="Q22" t="n">
        <v>34</v>
      </c>
      <c r="R22" t="inlineStr">
        <is>
          <t>CHARRUA 220</t>
        </is>
      </c>
      <c r="S22" t="n">
        <v>167.4176638409441</v>
      </c>
      <c r="T22" t="n">
        <v>12221.79311757978</v>
      </c>
      <c r="U22" t="n">
        <v>0</v>
      </c>
      <c r="V22" t="n">
        <v>0</v>
      </c>
      <c r="W22" t="inlineStr">
        <is>
          <t>CEC</t>
        </is>
      </c>
      <c r="X22" t="n">
        <v>77.66150401098601</v>
      </c>
      <c r="Y22" t="n">
        <v>12.22179311757978</v>
      </c>
      <c r="Z22" t="n">
        <v>13001.90757189339</v>
      </c>
      <c r="AA22" t="n">
        <v>0</v>
      </c>
      <c r="AB22" t="n">
        <v>0</v>
      </c>
      <c r="AC22" t="n">
        <v>0</v>
      </c>
      <c r="AD22" s="2" t="n">
        <v>44501</v>
      </c>
    </row>
    <row r="23">
      <c r="A23" t="n">
        <v>-1</v>
      </c>
      <c r="B23" t="inlineStr">
        <is>
          <t>01-11-2021</t>
        </is>
      </c>
      <c r="C23" t="n">
        <v>2021</v>
      </c>
      <c r="D23" t="n">
        <v>11</v>
      </c>
      <c r="E23" t="inlineStr">
        <is>
          <t>Quinta 13.8</t>
        </is>
      </c>
      <c r="F23" t="inlineStr">
        <is>
          <t>CEC</t>
        </is>
      </c>
      <c r="G23" t="inlineStr">
        <is>
          <t>CEC</t>
        </is>
      </c>
      <c r="H23" t="inlineStr">
        <is>
          <t>San Juan SpA.</t>
        </is>
      </c>
      <c r="I23" t="inlineStr">
        <is>
          <t>San Juan SpA.</t>
        </is>
      </c>
      <c r="J23" t="inlineStr">
        <is>
          <t>SIC 2013/03_2_BS2A_BB_CEC_San Juan SpA.</t>
        </is>
      </c>
      <c r="K23" t="inlineStr">
        <is>
          <t>Quinta 13.8</t>
        </is>
      </c>
      <c r="L23" t="inlineStr">
        <is>
          <t>-1</t>
        </is>
      </c>
      <c r="M23" t="n">
        <v>5867.700825620574</v>
      </c>
      <c r="N23" t="n">
        <v>0</v>
      </c>
      <c r="O23" t="inlineStr">
        <is>
          <t>5</t>
        </is>
      </c>
      <c r="P23" s="2" t="n">
        <v>44999.68429938657</v>
      </c>
      <c r="Q23" t="n">
        <v>23</v>
      </c>
      <c r="R23" t="inlineStr">
        <is>
          <t>ITAHUE 220</t>
        </is>
      </c>
      <c r="S23" t="n">
        <v>2807.543848426428</v>
      </c>
      <c r="T23" t="n">
        <v>225315.2108571794</v>
      </c>
      <c r="U23" t="n">
        <v>0</v>
      </c>
      <c r="V23" t="n">
        <v>0</v>
      </c>
      <c r="W23" t="inlineStr">
        <is>
          <t>CEC</t>
        </is>
      </c>
      <c r="X23" t="n">
        <v>85.37606027458199</v>
      </c>
      <c r="Y23" t="n">
        <v>225.3152108571794</v>
      </c>
      <c r="Z23" t="n">
        <v>239697.0328267866</v>
      </c>
      <c r="AA23" t="n">
        <v>0</v>
      </c>
      <c r="AB23" t="n">
        <v>0</v>
      </c>
      <c r="AC23" t="n">
        <v>0</v>
      </c>
      <c r="AD23" s="2" t="n">
        <v>44501</v>
      </c>
    </row>
    <row r="24">
      <c r="A24" t="n">
        <v>-1</v>
      </c>
      <c r="B24" t="inlineStr">
        <is>
          <t>01-11-2021</t>
        </is>
      </c>
      <c r="C24" t="n">
        <v>2021</v>
      </c>
      <c r="D24" t="n">
        <v>11</v>
      </c>
      <c r="E24" t="inlineStr">
        <is>
          <t>Quinta 13.8</t>
        </is>
      </c>
      <c r="F24" t="inlineStr">
        <is>
          <t>CEC</t>
        </is>
      </c>
      <c r="G24" t="inlineStr">
        <is>
          <t>CEC</t>
        </is>
      </c>
      <c r="H24" t="inlineStr">
        <is>
          <t>San Juan SpA.</t>
        </is>
      </c>
      <c r="I24" t="inlineStr">
        <is>
          <t>San Juan SpA.</t>
        </is>
      </c>
      <c r="J24" t="inlineStr">
        <is>
          <t>SIC 2013/03_2_BS2A_BB_CEC_San Juan SpA.</t>
        </is>
      </c>
      <c r="K24" t="inlineStr">
        <is>
          <t>Quinta 13.8</t>
        </is>
      </c>
      <c r="L24" t="inlineStr">
        <is>
          <t>-1</t>
        </is>
      </c>
      <c r="M24" t="n">
        <v>5867.700825620574</v>
      </c>
      <c r="N24" t="n">
        <v>0</v>
      </c>
      <c r="O24" t="inlineStr">
        <is>
          <t>5</t>
        </is>
      </c>
      <c r="P24" s="2" t="n">
        <v>44999.68429938657</v>
      </c>
      <c r="Q24" t="n">
        <v>22</v>
      </c>
      <c r="R24" t="inlineStr">
        <is>
          <t>RAPEL 220</t>
        </is>
      </c>
      <c r="S24" t="n">
        <v>30.58020593390135</v>
      </c>
      <c r="T24" t="n">
        <v>2478.415875385372</v>
      </c>
      <c r="U24" t="n">
        <v>0</v>
      </c>
      <c r="V24" t="n">
        <v>0</v>
      </c>
      <c r="W24" t="inlineStr">
        <is>
          <t>CEC</t>
        </is>
      </c>
      <c r="X24" t="n">
        <v>86.21958397166101</v>
      </c>
      <c r="Y24" t="n">
        <v>2.478415875385373</v>
      </c>
      <c r="Z24" t="n">
        <v>2636.612633388694</v>
      </c>
      <c r="AA24" t="n">
        <v>0</v>
      </c>
      <c r="AB24" t="n">
        <v>0</v>
      </c>
      <c r="AC24" t="n">
        <v>0</v>
      </c>
      <c r="AD24" s="2" t="n">
        <v>44501</v>
      </c>
    </row>
    <row r="25">
      <c r="A25" t="n">
        <v>-1</v>
      </c>
      <c r="B25" t="inlineStr">
        <is>
          <t>01-11-2021</t>
        </is>
      </c>
      <c r="C25" t="n">
        <v>2021</v>
      </c>
      <c r="D25" t="n">
        <v>11</v>
      </c>
      <c r="E25" t="inlineStr">
        <is>
          <t>Teno 13.2</t>
        </is>
      </c>
      <c r="F25" t="inlineStr">
        <is>
          <t>CEC</t>
        </is>
      </c>
      <c r="G25" t="inlineStr">
        <is>
          <t>CEC</t>
        </is>
      </c>
      <c r="H25" t="inlineStr">
        <is>
          <t>San Juan SpA.</t>
        </is>
      </c>
      <c r="I25" t="inlineStr">
        <is>
          <t>San Juan SpA.</t>
        </is>
      </c>
      <c r="J25" t="inlineStr">
        <is>
          <t>SIC 2013/03_2_BS2A_BB_CEC_San Juan SpA.</t>
        </is>
      </c>
      <c r="K25" t="inlineStr">
        <is>
          <t>Teno 13.2</t>
        </is>
      </c>
      <c r="L25" t="inlineStr">
        <is>
          <t>-1</t>
        </is>
      </c>
      <c r="M25" t="n">
        <v>9264.028603171711</v>
      </c>
      <c r="N25" t="n">
        <v>0</v>
      </c>
      <c r="O25" t="inlineStr">
        <is>
          <t>5</t>
        </is>
      </c>
      <c r="P25" s="2" t="n">
        <v>44999.68429938657</v>
      </c>
      <c r="Q25" t="n">
        <v>8</v>
      </c>
      <c r="R25" t="inlineStr">
        <is>
          <t>ALTO JAHUEL 220</t>
        </is>
      </c>
      <c r="S25" t="n">
        <v>4210.392003389266</v>
      </c>
      <c r="T25" t="n">
        <v>337055.959579956</v>
      </c>
      <c r="U25" t="n">
        <v>0</v>
      </c>
      <c r="V25" t="n">
        <v>0</v>
      </c>
      <c r="W25" t="inlineStr">
        <is>
          <t>CEC</t>
        </is>
      </c>
      <c r="X25" t="n">
        <v>85.16313195476101</v>
      </c>
      <c r="Y25" t="n">
        <v>337.055959579956</v>
      </c>
      <c r="Z25" t="n">
        <v>358570.1697659106</v>
      </c>
      <c r="AA25" t="n">
        <v>0</v>
      </c>
      <c r="AB25" t="n">
        <v>0</v>
      </c>
      <c r="AC25" t="n">
        <v>0</v>
      </c>
      <c r="AD25" s="2" t="n">
        <v>44501</v>
      </c>
    </row>
    <row r="26">
      <c r="A26" t="n">
        <v>-1</v>
      </c>
      <c r="B26" t="inlineStr">
        <is>
          <t>01-11-2021</t>
        </is>
      </c>
      <c r="C26" t="n">
        <v>2021</v>
      </c>
      <c r="D26" t="n">
        <v>11</v>
      </c>
      <c r="E26" t="inlineStr">
        <is>
          <t>Teno 13.2</t>
        </is>
      </c>
      <c r="F26" t="inlineStr">
        <is>
          <t>CEC</t>
        </is>
      </c>
      <c r="G26" t="inlineStr">
        <is>
          <t>CEC</t>
        </is>
      </c>
      <c r="H26" t="inlineStr">
        <is>
          <t>San Juan SpA.</t>
        </is>
      </c>
      <c r="I26" t="inlineStr">
        <is>
          <t>San Juan SpA.</t>
        </is>
      </c>
      <c r="J26" t="inlineStr">
        <is>
          <t>SIC 2013/03_2_BS2A_BB_CEC_San Juan SpA.</t>
        </is>
      </c>
      <c r="K26" t="inlineStr">
        <is>
          <t>Teno 13.2</t>
        </is>
      </c>
      <c r="L26" t="inlineStr">
        <is>
          <t>-1</t>
        </is>
      </c>
      <c r="M26" t="n">
        <v>9264.028603171711</v>
      </c>
      <c r="N26" t="n">
        <v>0</v>
      </c>
      <c r="O26" t="inlineStr">
        <is>
          <t>5</t>
        </is>
      </c>
      <c r="P26" s="2" t="n">
        <v>44999.68429938657</v>
      </c>
      <c r="Q26" t="n">
        <v>34</v>
      </c>
      <c r="R26" t="inlineStr">
        <is>
          <t>CHARRUA 220</t>
        </is>
      </c>
      <c r="S26" t="n">
        <v>162.7745117960767</v>
      </c>
      <c r="T26" t="n">
        <v>11882.83459669306</v>
      </c>
      <c r="U26" t="n">
        <v>0</v>
      </c>
      <c r="V26" t="n">
        <v>0</v>
      </c>
      <c r="W26" t="inlineStr">
        <is>
          <t>CEC</t>
        </is>
      </c>
      <c r="X26" t="n">
        <v>77.66150401098599</v>
      </c>
      <c r="Y26" t="n">
        <v>11.88283459669306</v>
      </c>
      <c r="Z26" t="n">
        <v>12641.3134007373</v>
      </c>
      <c r="AA26" t="n">
        <v>0</v>
      </c>
      <c r="AB26" t="n">
        <v>0</v>
      </c>
      <c r="AC26" t="n">
        <v>0</v>
      </c>
      <c r="AD26" s="2" t="n">
        <v>44501</v>
      </c>
    </row>
    <row r="27">
      <c r="A27" t="n">
        <v>-1</v>
      </c>
      <c r="B27" t="inlineStr">
        <is>
          <t>01-11-2021</t>
        </is>
      </c>
      <c r="C27" t="n">
        <v>2021</v>
      </c>
      <c r="D27" t="n">
        <v>11</v>
      </c>
      <c r="E27" t="inlineStr">
        <is>
          <t>Teno 13.2</t>
        </is>
      </c>
      <c r="F27" t="inlineStr">
        <is>
          <t>CEC</t>
        </is>
      </c>
      <c r="G27" t="inlineStr">
        <is>
          <t>CEC</t>
        </is>
      </c>
      <c r="H27" t="inlineStr">
        <is>
          <t>San Juan SpA.</t>
        </is>
      </c>
      <c r="I27" t="inlineStr">
        <is>
          <t>San Juan SpA.</t>
        </is>
      </c>
      <c r="J27" t="inlineStr">
        <is>
          <t>SIC 2013/03_2_BS2A_BB_CEC_San Juan SpA.</t>
        </is>
      </c>
      <c r="K27" t="inlineStr">
        <is>
          <t>Teno 13.2</t>
        </is>
      </c>
      <c r="L27" t="inlineStr">
        <is>
          <t>-1</t>
        </is>
      </c>
      <c r="M27" t="n">
        <v>9264.028603171711</v>
      </c>
      <c r="N27" t="n">
        <v>0</v>
      </c>
      <c r="O27" t="inlineStr">
        <is>
          <t>5</t>
        </is>
      </c>
      <c r="P27" s="2" t="n">
        <v>44999.68429938657</v>
      </c>
      <c r="Q27" t="n">
        <v>23</v>
      </c>
      <c r="R27" t="inlineStr">
        <is>
          <t>ITAHUE 220</t>
        </is>
      </c>
      <c r="S27" t="n">
        <v>5098.164639784605</v>
      </c>
      <c r="T27" t="n">
        <v>409145.5388814334</v>
      </c>
      <c r="U27" t="n">
        <v>0</v>
      </c>
      <c r="V27" t="n">
        <v>0</v>
      </c>
      <c r="W27" t="inlineStr">
        <is>
          <t>CEC</t>
        </is>
      </c>
      <c r="X27" t="n">
        <v>85.376060274582</v>
      </c>
      <c r="Y27" t="n">
        <v>409.1455388814335</v>
      </c>
      <c r="Z27" t="n">
        <v>435261.211575993</v>
      </c>
      <c r="AA27" t="n">
        <v>0</v>
      </c>
      <c r="AB27" t="n">
        <v>0</v>
      </c>
      <c r="AC27" t="n">
        <v>0</v>
      </c>
      <c r="AD27" s="2" t="n">
        <v>44501</v>
      </c>
    </row>
    <row r="28">
      <c r="A28" t="n">
        <v>-1</v>
      </c>
      <c r="B28" t="inlineStr">
        <is>
          <t>01-11-2021</t>
        </is>
      </c>
      <c r="C28" t="n">
        <v>2021</v>
      </c>
      <c r="D28" t="n">
        <v>11</v>
      </c>
      <c r="E28" t="inlineStr">
        <is>
          <t>Teno 13.2</t>
        </is>
      </c>
      <c r="F28" t="inlineStr">
        <is>
          <t>CEC</t>
        </is>
      </c>
      <c r="G28" t="inlineStr">
        <is>
          <t>CEC</t>
        </is>
      </c>
      <c r="H28" t="inlineStr">
        <is>
          <t>San Juan SpA.</t>
        </is>
      </c>
      <c r="I28" t="inlineStr">
        <is>
          <t>San Juan SpA.</t>
        </is>
      </c>
      <c r="J28" t="inlineStr">
        <is>
          <t>SIC 2013/03_2_BS2A_BB_CEC_San Juan SpA.</t>
        </is>
      </c>
      <c r="K28" t="inlineStr">
        <is>
          <t>Teno 13.2</t>
        </is>
      </c>
      <c r="L28" t="inlineStr">
        <is>
          <t>-1</t>
        </is>
      </c>
      <c r="M28" t="n">
        <v>9264.028603171711</v>
      </c>
      <c r="N28" t="n">
        <v>0</v>
      </c>
      <c r="O28" t="inlineStr">
        <is>
          <t>5</t>
        </is>
      </c>
      <c r="P28" s="2" t="n">
        <v>44999.68429938657</v>
      </c>
      <c r="Q28" t="n">
        <v>13</v>
      </c>
      <c r="R28" t="inlineStr">
        <is>
          <t>MELIPILLA 220</t>
        </is>
      </c>
      <c r="S28" t="n">
        <v>26.72333464680874</v>
      </c>
      <c r="T28" t="n">
        <v>2164.595980967328</v>
      </c>
      <c r="U28" t="n">
        <v>0</v>
      </c>
      <c r="V28" t="n">
        <v>0</v>
      </c>
      <c r="W28" t="inlineStr">
        <is>
          <t>CEC</t>
        </is>
      </c>
      <c r="X28" t="n">
        <v>86.170446627069</v>
      </c>
      <c r="Y28" t="n">
        <v>2.164595980967329</v>
      </c>
      <c r="Z28" t="n">
        <v>2302.761681880137</v>
      </c>
      <c r="AA28" t="n">
        <v>0</v>
      </c>
      <c r="AB28" t="n">
        <v>0</v>
      </c>
      <c r="AC28" t="n">
        <v>0</v>
      </c>
      <c r="AD28" s="2" t="n">
        <v>44501</v>
      </c>
    </row>
    <row r="29">
      <c r="A29" t="n">
        <v>-1</v>
      </c>
      <c r="B29" t="inlineStr">
        <is>
          <t>01-11-2021</t>
        </is>
      </c>
      <c r="C29" t="n">
        <v>2021</v>
      </c>
      <c r="D29" t="n">
        <v>11</v>
      </c>
      <c r="E29" t="inlineStr">
        <is>
          <t>Teno 13.2</t>
        </is>
      </c>
      <c r="F29" t="inlineStr">
        <is>
          <t>CEC</t>
        </is>
      </c>
      <c r="G29" t="inlineStr">
        <is>
          <t>CEC</t>
        </is>
      </c>
      <c r="H29" t="inlineStr">
        <is>
          <t>San Juan SpA.</t>
        </is>
      </c>
      <c r="I29" t="inlineStr">
        <is>
          <t>San Juan SpA.</t>
        </is>
      </c>
      <c r="J29" t="inlineStr">
        <is>
          <t>SIC 2013/03_2_BS2A_BB_CEC_San Juan SpA.</t>
        </is>
      </c>
      <c r="K29" t="inlineStr">
        <is>
          <t>Teno 13.2</t>
        </is>
      </c>
      <c r="L29" t="inlineStr">
        <is>
          <t>-1</t>
        </is>
      </c>
      <c r="M29" t="n">
        <v>9264.028603171711</v>
      </c>
      <c r="N29" t="n">
        <v>0</v>
      </c>
      <c r="O29" t="inlineStr">
        <is>
          <t>5</t>
        </is>
      </c>
      <c r="P29" s="2" t="n">
        <v>44999.68429938657</v>
      </c>
      <c r="Q29" t="n">
        <v>22</v>
      </c>
      <c r="R29" t="inlineStr">
        <is>
          <t>RAPEL 220</t>
        </is>
      </c>
      <c r="S29" t="n">
        <v>48.65787111663672</v>
      </c>
      <c r="T29" t="n">
        <v>3943.545720345731</v>
      </c>
      <c r="U29" t="n">
        <v>0</v>
      </c>
      <c r="V29" t="n">
        <v>0</v>
      </c>
      <c r="W29" t="inlineStr">
        <is>
          <t>CEC</t>
        </is>
      </c>
      <c r="X29" t="n">
        <v>86.21958397166101</v>
      </c>
      <c r="Y29" t="n">
        <v>3.943545720345731</v>
      </c>
      <c r="Z29" t="n">
        <v>4195.261404623118</v>
      </c>
      <c r="AA29" t="n">
        <v>0</v>
      </c>
      <c r="AB29" t="n">
        <v>0</v>
      </c>
      <c r="AC29" t="n">
        <v>0</v>
      </c>
      <c r="AD29" s="2" t="n">
        <v>44501</v>
      </c>
    </row>
    <row r="30">
      <c r="A30" t="n">
        <v>-1</v>
      </c>
      <c r="B30" t="inlineStr">
        <is>
          <t>01-12-2021</t>
        </is>
      </c>
      <c r="C30" t="n">
        <v>2021</v>
      </c>
      <c r="D30" t="n">
        <v>12</v>
      </c>
      <c r="E30" t="inlineStr">
        <is>
          <t>Curico 13.2</t>
        </is>
      </c>
      <c r="F30" t="inlineStr">
        <is>
          <t>CEC</t>
        </is>
      </c>
      <c r="G30" t="inlineStr">
        <is>
          <t>CEC</t>
        </is>
      </c>
      <c r="H30" t="inlineStr">
        <is>
          <t>San Juan SpA.</t>
        </is>
      </c>
      <c r="I30" t="inlineStr">
        <is>
          <t>San Juan SpA.</t>
        </is>
      </c>
      <c r="J30" t="inlineStr">
        <is>
          <t>SIC 2013/03_2_BS2A_BB_CEC_San Juan SpA.</t>
        </is>
      </c>
      <c r="K30" t="inlineStr">
        <is>
          <t>Curico 13.2</t>
        </is>
      </c>
      <c r="L30" t="inlineStr">
        <is>
          <t>-1</t>
        </is>
      </c>
      <c r="M30" t="n">
        <v>33751.78028365631</v>
      </c>
      <c r="N30" t="n">
        <v>0</v>
      </c>
      <c r="O30" t="inlineStr">
        <is>
          <t>5</t>
        </is>
      </c>
      <c r="P30" s="2" t="n">
        <v>44999.68429938657</v>
      </c>
      <c r="Q30" t="n">
        <v>8</v>
      </c>
      <c r="R30" t="inlineStr">
        <is>
          <t>ALTO JAHUEL 220</t>
        </is>
      </c>
      <c r="S30" t="n">
        <v>14533.74973736766</v>
      </c>
      <c r="T30" t="n">
        <v>1163475.26788006</v>
      </c>
      <c r="U30" t="n">
        <v>0</v>
      </c>
      <c r="V30" t="n">
        <v>0</v>
      </c>
      <c r="W30" t="inlineStr">
        <is>
          <t>CEC</t>
        </is>
      </c>
      <c r="X30" t="n">
        <v>85.16313195476101</v>
      </c>
      <c r="Y30" t="n">
        <v>1163.47526788006</v>
      </c>
      <c r="Z30" t="n">
        <v>1237739.646680915</v>
      </c>
      <c r="AA30" t="n">
        <v>0</v>
      </c>
      <c r="AB30" t="n">
        <v>0</v>
      </c>
      <c r="AC30" t="n">
        <v>0</v>
      </c>
      <c r="AD30" s="2" t="n">
        <v>44531</v>
      </c>
    </row>
    <row r="31">
      <c r="A31" t="n">
        <v>-1</v>
      </c>
      <c r="B31" t="inlineStr">
        <is>
          <t>01-12-2021</t>
        </is>
      </c>
      <c r="C31" t="n">
        <v>2021</v>
      </c>
      <c r="D31" t="n">
        <v>12</v>
      </c>
      <c r="E31" t="inlineStr">
        <is>
          <t>Curico 13.2</t>
        </is>
      </c>
      <c r="F31" t="inlineStr">
        <is>
          <t>CEC</t>
        </is>
      </c>
      <c r="G31" t="inlineStr">
        <is>
          <t>CEC</t>
        </is>
      </c>
      <c r="H31" t="inlineStr">
        <is>
          <t>San Juan SpA.</t>
        </is>
      </c>
      <c r="I31" t="inlineStr">
        <is>
          <t>San Juan SpA.</t>
        </is>
      </c>
      <c r="J31" t="inlineStr">
        <is>
          <t>SIC 2013/03_2_BS2A_BB_CEC_San Juan SpA.</t>
        </is>
      </c>
      <c r="K31" t="inlineStr">
        <is>
          <t>Curico 13.2</t>
        </is>
      </c>
      <c r="L31" t="inlineStr">
        <is>
          <t>-1</t>
        </is>
      </c>
      <c r="M31" t="n">
        <v>33751.78028365631</v>
      </c>
      <c r="N31" t="n">
        <v>0</v>
      </c>
      <c r="O31" t="inlineStr">
        <is>
          <t>5</t>
        </is>
      </c>
      <c r="P31" s="2" t="n">
        <v>44999.68429938657</v>
      </c>
      <c r="Q31" t="n">
        <v>34</v>
      </c>
      <c r="R31" t="inlineStr">
        <is>
          <t>CHARRUA 220</t>
        </is>
      </c>
      <c r="S31" t="n">
        <v>1743.017843151125</v>
      </c>
      <c r="T31" t="n">
        <v>127243.4639840751</v>
      </c>
      <c r="U31" t="n">
        <v>0</v>
      </c>
      <c r="V31" t="n">
        <v>0</v>
      </c>
      <c r="W31" t="inlineStr">
        <is>
          <t>CEC</t>
        </is>
      </c>
      <c r="X31" t="n">
        <v>77.66150401098602</v>
      </c>
      <c r="Y31" t="n">
        <v>127.2434639840752</v>
      </c>
      <c r="Z31" t="n">
        <v>135365.3872171012</v>
      </c>
      <c r="AA31" t="n">
        <v>0</v>
      </c>
      <c r="AB31" t="n">
        <v>0</v>
      </c>
      <c r="AC31" t="n">
        <v>0</v>
      </c>
      <c r="AD31" s="2" t="n">
        <v>44531</v>
      </c>
    </row>
    <row r="32">
      <c r="A32" t="n">
        <v>-1</v>
      </c>
      <c r="B32" t="inlineStr">
        <is>
          <t>01-12-2021</t>
        </is>
      </c>
      <c r="C32" t="n">
        <v>2021</v>
      </c>
      <c r="D32" t="n">
        <v>12</v>
      </c>
      <c r="E32" t="inlineStr">
        <is>
          <t>Curico 13.2</t>
        </is>
      </c>
      <c r="F32" t="inlineStr">
        <is>
          <t>CEC</t>
        </is>
      </c>
      <c r="G32" t="inlineStr">
        <is>
          <t>CEC</t>
        </is>
      </c>
      <c r="H32" t="inlineStr">
        <is>
          <t>San Juan SpA.</t>
        </is>
      </c>
      <c r="I32" t="inlineStr">
        <is>
          <t>San Juan SpA.</t>
        </is>
      </c>
      <c r="J32" t="inlineStr">
        <is>
          <t>SIC 2013/03_2_BS2A_BB_CEC_San Juan SpA.</t>
        </is>
      </c>
      <c r="K32" t="inlineStr">
        <is>
          <t>Curico 13.2</t>
        </is>
      </c>
      <c r="L32" t="inlineStr">
        <is>
          <t>-1</t>
        </is>
      </c>
      <c r="M32" t="n">
        <v>33751.78028365631</v>
      </c>
      <c r="N32" t="n">
        <v>0</v>
      </c>
      <c r="O32" t="inlineStr">
        <is>
          <t>5</t>
        </is>
      </c>
      <c r="P32" s="2" t="n">
        <v>44999.68429938657</v>
      </c>
      <c r="Q32" t="n">
        <v>23</v>
      </c>
      <c r="R32" t="inlineStr">
        <is>
          <t>ITAHUE 220</t>
        </is>
      </c>
      <c r="S32" t="n">
        <v>18284.68496434275</v>
      </c>
      <c r="T32" t="n">
        <v>1467409.903680422</v>
      </c>
      <c r="U32" t="n">
        <v>0</v>
      </c>
      <c r="V32" t="n">
        <v>0</v>
      </c>
      <c r="W32" t="inlineStr">
        <is>
          <t>CEC</t>
        </is>
      </c>
      <c r="X32" t="n">
        <v>85.376060274582</v>
      </c>
      <c r="Y32" t="n">
        <v>1467.409903680421</v>
      </c>
      <c r="Z32" t="n">
        <v>1561074.36561747</v>
      </c>
      <c r="AA32" t="n">
        <v>0</v>
      </c>
      <c r="AB32" t="n">
        <v>0</v>
      </c>
      <c r="AC32" t="n">
        <v>0</v>
      </c>
      <c r="AD32" s="2" t="n">
        <v>44531</v>
      </c>
    </row>
    <row r="33">
      <c r="A33" t="n">
        <v>-1</v>
      </c>
      <c r="B33" t="inlineStr">
        <is>
          <t>01-12-2021</t>
        </is>
      </c>
      <c r="C33" t="n">
        <v>2021</v>
      </c>
      <c r="D33" t="n">
        <v>12</v>
      </c>
      <c r="E33" t="inlineStr">
        <is>
          <t>Curico 13.2</t>
        </is>
      </c>
      <c r="F33" t="inlineStr">
        <is>
          <t>CEC</t>
        </is>
      </c>
      <c r="G33" t="inlineStr">
        <is>
          <t>CEC</t>
        </is>
      </c>
      <c r="H33" t="inlineStr">
        <is>
          <t>San Juan SpA.</t>
        </is>
      </c>
      <c r="I33" t="inlineStr">
        <is>
          <t>San Juan SpA.</t>
        </is>
      </c>
      <c r="J33" t="inlineStr">
        <is>
          <t>SIC 2013/03_2_BS2A_BB_CEC_San Juan SpA.</t>
        </is>
      </c>
      <c r="K33" t="inlineStr">
        <is>
          <t>Curico 13.2</t>
        </is>
      </c>
      <c r="L33" t="inlineStr">
        <is>
          <t>-1</t>
        </is>
      </c>
      <c r="M33" t="n">
        <v>33751.78028365631</v>
      </c>
      <c r="N33" t="n">
        <v>0</v>
      </c>
      <c r="O33" t="inlineStr">
        <is>
          <t>5</t>
        </is>
      </c>
      <c r="P33" s="2" t="n">
        <v>44999.68429938657</v>
      </c>
      <c r="Q33" t="n">
        <v>13</v>
      </c>
      <c r="R33" t="inlineStr">
        <is>
          <t>MELIPILLA 220</t>
        </is>
      </c>
      <c r="S33" t="n">
        <v>53.98229235742593</v>
      </c>
      <c r="T33" t="n">
        <v>4372.577547848861</v>
      </c>
      <c r="U33" t="n">
        <v>0</v>
      </c>
      <c r="V33" t="n">
        <v>0</v>
      </c>
      <c r="W33" t="inlineStr">
        <is>
          <t>CEC</t>
        </is>
      </c>
      <c r="X33" t="n">
        <v>86.170446627069</v>
      </c>
      <c r="Y33" t="n">
        <v>4.372577547848861</v>
      </c>
      <c r="Z33" t="n">
        <v>4651.678242392406</v>
      </c>
      <c r="AA33" t="n">
        <v>0</v>
      </c>
      <c r="AB33" t="n">
        <v>0</v>
      </c>
      <c r="AC33" t="n">
        <v>0</v>
      </c>
      <c r="AD33" s="2" t="n">
        <v>44531</v>
      </c>
    </row>
    <row r="34">
      <c r="A34" t="n">
        <v>-1</v>
      </c>
      <c r="B34" t="inlineStr">
        <is>
          <t>01-12-2021</t>
        </is>
      </c>
      <c r="C34" t="n">
        <v>2021</v>
      </c>
      <c r="D34" t="n">
        <v>12</v>
      </c>
      <c r="E34" t="inlineStr">
        <is>
          <t>Curico 13.2</t>
        </is>
      </c>
      <c r="F34" t="inlineStr">
        <is>
          <t>CEC</t>
        </is>
      </c>
      <c r="G34" t="inlineStr">
        <is>
          <t>CEC</t>
        </is>
      </c>
      <c r="H34" t="inlineStr">
        <is>
          <t>San Juan SpA.</t>
        </is>
      </c>
      <c r="I34" t="inlineStr">
        <is>
          <t>San Juan SpA.</t>
        </is>
      </c>
      <c r="J34" t="inlineStr">
        <is>
          <t>SIC 2013/03_2_BS2A_BB_CEC_San Juan SpA.</t>
        </is>
      </c>
      <c r="K34" t="inlineStr">
        <is>
          <t>Curico 13.2</t>
        </is>
      </c>
      <c r="L34" t="inlineStr">
        <is>
          <t>-1</t>
        </is>
      </c>
      <c r="M34" t="n">
        <v>33751.78028365631</v>
      </c>
      <c r="N34" t="n">
        <v>0</v>
      </c>
      <c r="O34" t="inlineStr">
        <is>
          <t>5</t>
        </is>
      </c>
      <c r="P34" s="2" t="n">
        <v>44999.68429938657</v>
      </c>
      <c r="Q34" t="n">
        <v>22</v>
      </c>
      <c r="R34" t="inlineStr">
        <is>
          <t>RAPEL 220</t>
        </is>
      </c>
      <c r="S34" t="n">
        <v>166.2516010571463</v>
      </c>
      <c r="T34" t="n">
        <v>13474.09524510353</v>
      </c>
      <c r="U34" t="n">
        <v>0</v>
      </c>
      <c r="V34" t="n">
        <v>0</v>
      </c>
      <c r="W34" t="inlineStr">
        <is>
          <t>CEC</t>
        </is>
      </c>
      <c r="X34" t="n">
        <v>86.219583971661</v>
      </c>
      <c r="Y34" t="n">
        <v>13.47409524510353</v>
      </c>
      <c r="Z34" t="n">
        <v>14334.14387776971</v>
      </c>
      <c r="AA34" t="n">
        <v>0</v>
      </c>
      <c r="AB34" t="n">
        <v>0</v>
      </c>
      <c r="AC34" t="n">
        <v>0</v>
      </c>
      <c r="AD34" s="2" t="n">
        <v>44531</v>
      </c>
    </row>
    <row r="35">
      <c r="A35" t="n">
        <v>-1</v>
      </c>
      <c r="B35" t="inlineStr">
        <is>
          <t>01-12-2021</t>
        </is>
      </c>
      <c r="C35" t="n">
        <v>2021</v>
      </c>
      <c r="D35" t="n">
        <v>12</v>
      </c>
      <c r="E35" t="inlineStr">
        <is>
          <t>Quinta 13.8</t>
        </is>
      </c>
      <c r="F35" t="inlineStr">
        <is>
          <t>CEC</t>
        </is>
      </c>
      <c r="G35" t="inlineStr">
        <is>
          <t>CEC</t>
        </is>
      </c>
      <c r="H35" t="inlineStr">
        <is>
          <t>San Juan SpA.</t>
        </is>
      </c>
      <c r="I35" t="inlineStr">
        <is>
          <t>San Juan SpA.</t>
        </is>
      </c>
      <c r="J35" t="inlineStr">
        <is>
          <t>SIC 2013/03_2_BS2A_BB_CEC_San Juan SpA.</t>
        </is>
      </c>
      <c r="K35" t="inlineStr">
        <is>
          <t>Quinta 13.8</t>
        </is>
      </c>
      <c r="L35" t="inlineStr">
        <is>
          <t>-1</t>
        </is>
      </c>
      <c r="M35" t="n">
        <v>9391.02506136291</v>
      </c>
      <c r="N35" t="n">
        <v>0</v>
      </c>
      <c r="O35" t="inlineStr">
        <is>
          <t>5</t>
        </is>
      </c>
      <c r="P35" s="2" t="n">
        <v>44999.68429938657</v>
      </c>
      <c r="Q35" t="n">
        <v>8</v>
      </c>
      <c r="R35" t="inlineStr">
        <is>
          <t>ALTO JAHUEL 220</t>
        </is>
      </c>
      <c r="S35" t="n">
        <v>4867.332351660539</v>
      </c>
      <c r="T35" t="n">
        <v>389646.2312922151</v>
      </c>
      <c r="U35" t="n">
        <v>0</v>
      </c>
      <c r="V35" t="n">
        <v>0</v>
      </c>
      <c r="W35" t="inlineStr">
        <is>
          <t>CEC</t>
        </is>
      </c>
      <c r="X35" t="n">
        <v>85.163131954761</v>
      </c>
      <c r="Y35" t="n">
        <v>389.646231292215</v>
      </c>
      <c r="Z35" t="n">
        <v>414517.2673321437</v>
      </c>
      <c r="AA35" t="n">
        <v>0</v>
      </c>
      <c r="AB35" t="n">
        <v>0</v>
      </c>
      <c r="AC35" t="n">
        <v>0</v>
      </c>
      <c r="AD35" s="2" t="n">
        <v>44531</v>
      </c>
    </row>
    <row r="36">
      <c r="A36" t="n">
        <v>-1</v>
      </c>
      <c r="B36" t="inlineStr">
        <is>
          <t>01-12-2021</t>
        </is>
      </c>
      <c r="C36" t="n">
        <v>2021</v>
      </c>
      <c r="D36" t="n">
        <v>12</v>
      </c>
      <c r="E36" t="inlineStr">
        <is>
          <t>Quinta 13.8</t>
        </is>
      </c>
      <c r="F36" t="inlineStr">
        <is>
          <t>CEC</t>
        </is>
      </c>
      <c r="G36" t="inlineStr">
        <is>
          <t>CEC</t>
        </is>
      </c>
      <c r="H36" t="inlineStr">
        <is>
          <t>San Juan SpA.</t>
        </is>
      </c>
      <c r="I36" t="inlineStr">
        <is>
          <t>San Juan SpA.</t>
        </is>
      </c>
      <c r="J36" t="inlineStr">
        <is>
          <t>SIC 2013/03_2_BS2A_BB_CEC_San Juan SpA.</t>
        </is>
      </c>
      <c r="K36" t="inlineStr">
        <is>
          <t>Quinta 13.8</t>
        </is>
      </c>
      <c r="L36" t="inlineStr">
        <is>
          <t>-1</t>
        </is>
      </c>
      <c r="M36" t="n">
        <v>9391.02506136291</v>
      </c>
      <c r="N36" t="n">
        <v>0</v>
      </c>
      <c r="O36" t="inlineStr">
        <is>
          <t>5</t>
        </is>
      </c>
      <c r="P36" s="2" t="n">
        <v>44999.68429938657</v>
      </c>
      <c r="Q36" t="n">
        <v>34</v>
      </c>
      <c r="R36" t="inlineStr">
        <is>
          <t>CHARRUA 220</t>
        </is>
      </c>
      <c r="S36" t="n">
        <v>267.9454054610661</v>
      </c>
      <c r="T36" t="n">
        <v>19560.50059008346</v>
      </c>
      <c r="U36" t="n">
        <v>0</v>
      </c>
      <c r="V36" t="n">
        <v>0</v>
      </c>
      <c r="W36" t="inlineStr">
        <is>
          <t>CEC</t>
        </is>
      </c>
      <c r="X36" t="n">
        <v>77.66150401098599</v>
      </c>
      <c r="Y36" t="n">
        <v>19.56050059008346</v>
      </c>
      <c r="Z36" t="n">
        <v>20809.04318093985</v>
      </c>
      <c r="AA36" t="n">
        <v>0</v>
      </c>
      <c r="AB36" t="n">
        <v>0</v>
      </c>
      <c r="AC36" t="n">
        <v>0</v>
      </c>
      <c r="AD36" s="2" t="n">
        <v>44531</v>
      </c>
    </row>
    <row r="37">
      <c r="A37" t="n">
        <v>-1</v>
      </c>
      <c r="B37" t="inlineStr">
        <is>
          <t>01-12-2021</t>
        </is>
      </c>
      <c r="C37" t="n">
        <v>2021</v>
      </c>
      <c r="D37" t="n">
        <v>12</v>
      </c>
      <c r="E37" t="inlineStr">
        <is>
          <t>Quinta 13.8</t>
        </is>
      </c>
      <c r="F37" t="inlineStr">
        <is>
          <t>CEC</t>
        </is>
      </c>
      <c r="G37" t="inlineStr">
        <is>
          <t>CEC</t>
        </is>
      </c>
      <c r="H37" t="inlineStr">
        <is>
          <t>San Juan SpA.</t>
        </is>
      </c>
      <c r="I37" t="inlineStr">
        <is>
          <t>San Juan SpA.</t>
        </is>
      </c>
      <c r="J37" t="inlineStr">
        <is>
          <t>SIC 2013/03_2_BS2A_BB_CEC_San Juan SpA.</t>
        </is>
      </c>
      <c r="K37" t="inlineStr">
        <is>
          <t>Quinta 13.8</t>
        </is>
      </c>
      <c r="L37" t="inlineStr">
        <is>
          <t>-1</t>
        </is>
      </c>
      <c r="M37" t="n">
        <v>9391.02506136291</v>
      </c>
      <c r="N37" t="n">
        <v>0</v>
      </c>
      <c r="O37" t="inlineStr">
        <is>
          <t>5</t>
        </is>
      </c>
      <c r="P37" s="2" t="n">
        <v>44999.68429938657</v>
      </c>
      <c r="Q37" t="n">
        <v>23</v>
      </c>
      <c r="R37" t="inlineStr">
        <is>
          <t>ITAHUE 220</t>
        </is>
      </c>
      <c r="S37" t="n">
        <v>4493.363827672552</v>
      </c>
      <c r="T37" t="n">
        <v>360608.1589277784</v>
      </c>
      <c r="U37" t="n">
        <v>0</v>
      </c>
      <c r="V37" t="n">
        <v>0</v>
      </c>
      <c r="W37" t="inlineStr">
        <is>
          <t>CEC</t>
        </is>
      </c>
      <c r="X37" t="n">
        <v>85.376060274582</v>
      </c>
      <c r="Y37" t="n">
        <v>360.6081589277784</v>
      </c>
      <c r="Z37" t="n">
        <v>383625.7009869983</v>
      </c>
      <c r="AA37" t="n">
        <v>0</v>
      </c>
      <c r="AB37" t="n">
        <v>0</v>
      </c>
      <c r="AC37" t="n">
        <v>0</v>
      </c>
      <c r="AD37" s="2" t="n">
        <v>44531</v>
      </c>
    </row>
    <row r="38">
      <c r="A38" t="n">
        <v>-1</v>
      </c>
      <c r="B38" t="inlineStr">
        <is>
          <t>01-12-2021</t>
        </is>
      </c>
      <c r="C38" t="n">
        <v>2021</v>
      </c>
      <c r="D38" t="n">
        <v>12</v>
      </c>
      <c r="E38" t="inlineStr">
        <is>
          <t>Quinta 13.8</t>
        </is>
      </c>
      <c r="F38" t="inlineStr">
        <is>
          <t>CEC</t>
        </is>
      </c>
      <c r="G38" t="inlineStr">
        <is>
          <t>CEC</t>
        </is>
      </c>
      <c r="H38" t="inlineStr">
        <is>
          <t>San Juan SpA.</t>
        </is>
      </c>
      <c r="I38" t="inlineStr">
        <is>
          <t>San Juan SpA.</t>
        </is>
      </c>
      <c r="J38" t="inlineStr">
        <is>
          <t>SIC 2013/03_2_BS2A_BB_CEC_San Juan SpA.</t>
        </is>
      </c>
      <c r="K38" t="inlineStr">
        <is>
          <t>Quinta 13.8</t>
        </is>
      </c>
      <c r="L38" t="inlineStr">
        <is>
          <t>-1</t>
        </is>
      </c>
      <c r="M38" t="n">
        <v>9391.02506136291</v>
      </c>
      <c r="N38" t="n">
        <v>0</v>
      </c>
      <c r="O38" t="inlineStr">
        <is>
          <t>5</t>
        </is>
      </c>
      <c r="P38" s="2" t="n">
        <v>44999.68429938657</v>
      </c>
      <c r="Q38" t="n">
        <v>22</v>
      </c>
      <c r="R38" t="inlineStr">
        <is>
          <t>RAPEL 220</t>
        </is>
      </c>
      <c r="S38" t="n">
        <v>48.942420351933</v>
      </c>
      <c r="T38" t="n">
        <v>3966.607414031228</v>
      </c>
      <c r="U38" t="n">
        <v>0</v>
      </c>
      <c r="V38" t="n">
        <v>0</v>
      </c>
      <c r="W38" t="inlineStr">
        <is>
          <t>CEC</t>
        </is>
      </c>
      <c r="X38" t="n">
        <v>86.219583971661</v>
      </c>
      <c r="Y38" t="n">
        <v>3.966607414031228</v>
      </c>
      <c r="Z38" t="n">
        <v>4219.795121309817</v>
      </c>
      <c r="AA38" t="n">
        <v>0</v>
      </c>
      <c r="AB38" t="n">
        <v>0</v>
      </c>
      <c r="AC38" t="n">
        <v>0</v>
      </c>
      <c r="AD38" s="2" t="n">
        <v>44531</v>
      </c>
    </row>
    <row r="39">
      <c r="A39" t="n">
        <v>-1</v>
      </c>
      <c r="B39" t="inlineStr">
        <is>
          <t>01-12-2021</t>
        </is>
      </c>
      <c r="C39" t="n">
        <v>2021</v>
      </c>
      <c r="D39" t="n">
        <v>12</v>
      </c>
      <c r="E39" t="inlineStr">
        <is>
          <t>Teno 13.2</t>
        </is>
      </c>
      <c r="F39" t="inlineStr">
        <is>
          <t>CEC</t>
        </is>
      </c>
      <c r="G39" t="inlineStr">
        <is>
          <t>CEC</t>
        </is>
      </c>
      <c r="H39" t="inlineStr">
        <is>
          <t>San Juan SpA.</t>
        </is>
      </c>
      <c r="I39" t="inlineStr">
        <is>
          <t>San Juan SpA.</t>
        </is>
      </c>
      <c r="J39" t="inlineStr">
        <is>
          <t>SIC 2013/03_2_BS2A_BB_CEC_San Juan SpA.</t>
        </is>
      </c>
      <c r="K39" t="inlineStr">
        <is>
          <t>Teno 13.2</t>
        </is>
      </c>
      <c r="L39" t="inlineStr">
        <is>
          <t>-1</t>
        </is>
      </c>
      <c r="M39" t="n">
        <v>12676.38574049459</v>
      </c>
      <c r="N39" t="n">
        <v>0</v>
      </c>
      <c r="O39" t="inlineStr">
        <is>
          <t>5</t>
        </is>
      </c>
      <c r="P39" s="2" t="n">
        <v>44999.68429938657</v>
      </c>
      <c r="Q39" t="n">
        <v>8</v>
      </c>
      <c r="R39" t="inlineStr">
        <is>
          <t>ALTO JAHUEL 220</t>
        </is>
      </c>
      <c r="S39" t="n">
        <v>5761.268173911193</v>
      </c>
      <c r="T39" t="n">
        <v>461208.7832182701</v>
      </c>
      <c r="U39" t="n">
        <v>0</v>
      </c>
      <c r="V39" t="n">
        <v>0</v>
      </c>
      <c r="W39" t="inlineStr">
        <is>
          <t>CEC</t>
        </is>
      </c>
      <c r="X39" t="n">
        <v>85.163131954761</v>
      </c>
      <c r="Y39" t="n">
        <v>461.20878321827</v>
      </c>
      <c r="Z39" t="n">
        <v>490647.6417215639</v>
      </c>
      <c r="AA39" t="n">
        <v>0</v>
      </c>
      <c r="AB39" t="n">
        <v>0</v>
      </c>
      <c r="AC39" t="n">
        <v>0</v>
      </c>
      <c r="AD39" s="2" t="n">
        <v>44531</v>
      </c>
    </row>
    <row r="40">
      <c r="A40" t="n">
        <v>-1</v>
      </c>
      <c r="B40" t="inlineStr">
        <is>
          <t>01-12-2021</t>
        </is>
      </c>
      <c r="C40" t="n">
        <v>2021</v>
      </c>
      <c r="D40" t="n">
        <v>12</v>
      </c>
      <c r="E40" t="inlineStr">
        <is>
          <t>Teno 13.2</t>
        </is>
      </c>
      <c r="F40" t="inlineStr">
        <is>
          <t>CEC</t>
        </is>
      </c>
      <c r="G40" t="inlineStr">
        <is>
          <t>CEC</t>
        </is>
      </c>
      <c r="H40" t="inlineStr">
        <is>
          <t>San Juan SpA.</t>
        </is>
      </c>
      <c r="I40" t="inlineStr">
        <is>
          <t>San Juan SpA.</t>
        </is>
      </c>
      <c r="J40" t="inlineStr">
        <is>
          <t>SIC 2013/03_2_BS2A_BB_CEC_San Juan SpA.</t>
        </is>
      </c>
      <c r="K40" t="inlineStr">
        <is>
          <t>Teno 13.2</t>
        </is>
      </c>
      <c r="L40" t="inlineStr">
        <is>
          <t>-1</t>
        </is>
      </c>
      <c r="M40" t="n">
        <v>12676.38574049459</v>
      </c>
      <c r="N40" t="n">
        <v>0</v>
      </c>
      <c r="O40" t="inlineStr">
        <is>
          <t>5</t>
        </is>
      </c>
      <c r="P40" s="2" t="n">
        <v>44999.68429938657</v>
      </c>
      <c r="Q40" t="n">
        <v>34</v>
      </c>
      <c r="R40" t="inlineStr">
        <is>
          <t>CHARRUA 220</t>
        </is>
      </c>
      <c r="S40" t="n">
        <v>222.7316633652572</v>
      </c>
      <c r="T40" t="n">
        <v>16259.81540974564</v>
      </c>
      <c r="U40" t="n">
        <v>0</v>
      </c>
      <c r="V40" t="n">
        <v>0</v>
      </c>
      <c r="W40" t="inlineStr">
        <is>
          <t>CEC</t>
        </is>
      </c>
      <c r="X40" t="n">
        <v>77.66150401098599</v>
      </c>
      <c r="Y40" t="n">
        <v>16.25981540974563</v>
      </c>
      <c r="Z40" t="n">
        <v>17297.67596781451</v>
      </c>
      <c r="AA40" t="n">
        <v>0</v>
      </c>
      <c r="AB40" t="n">
        <v>0</v>
      </c>
      <c r="AC40" t="n">
        <v>0</v>
      </c>
      <c r="AD40" s="2" t="n">
        <v>44531</v>
      </c>
    </row>
    <row r="41">
      <c r="A41" t="n">
        <v>-1</v>
      </c>
      <c r="B41" t="inlineStr">
        <is>
          <t>01-12-2021</t>
        </is>
      </c>
      <c r="C41" t="n">
        <v>2021</v>
      </c>
      <c r="D41" t="n">
        <v>12</v>
      </c>
      <c r="E41" t="inlineStr">
        <is>
          <t>Teno 13.2</t>
        </is>
      </c>
      <c r="F41" t="inlineStr">
        <is>
          <t>CEC</t>
        </is>
      </c>
      <c r="G41" t="inlineStr">
        <is>
          <t>CEC</t>
        </is>
      </c>
      <c r="H41" t="inlineStr">
        <is>
          <t>San Juan SpA.</t>
        </is>
      </c>
      <c r="I41" t="inlineStr">
        <is>
          <t>San Juan SpA.</t>
        </is>
      </c>
      <c r="J41" t="inlineStr">
        <is>
          <t>SIC 2013/03_2_BS2A_BB_CEC_San Juan SpA.</t>
        </is>
      </c>
      <c r="K41" t="inlineStr">
        <is>
          <t>Teno 13.2</t>
        </is>
      </c>
      <c r="L41" t="inlineStr">
        <is>
          <t>-1</t>
        </is>
      </c>
      <c r="M41" t="n">
        <v>12676.38574049459</v>
      </c>
      <c r="N41" t="n">
        <v>0</v>
      </c>
      <c r="O41" t="inlineStr">
        <is>
          <t>5</t>
        </is>
      </c>
      <c r="P41" s="2" t="n">
        <v>44999.68429938657</v>
      </c>
      <c r="Q41" t="n">
        <v>23</v>
      </c>
      <c r="R41" t="inlineStr">
        <is>
          <t>ITAHUE 220</t>
        </is>
      </c>
      <c r="S41" t="n">
        <v>6976.047280373607</v>
      </c>
      <c r="T41" t="n">
        <v>559852.1871022603</v>
      </c>
      <c r="U41" t="n">
        <v>0</v>
      </c>
      <c r="V41" t="n">
        <v>0</v>
      </c>
      <c r="W41" t="inlineStr">
        <is>
          <t>CEC</t>
        </is>
      </c>
      <c r="X41" t="n">
        <v>85.376060274582</v>
      </c>
      <c r="Y41" t="n">
        <v>559.8521871022601</v>
      </c>
      <c r="Z41" t="n">
        <v>595587.433087511</v>
      </c>
      <c r="AA41" t="n">
        <v>0</v>
      </c>
      <c r="AB41" t="n">
        <v>0</v>
      </c>
      <c r="AC41" t="n">
        <v>0</v>
      </c>
      <c r="AD41" s="2" t="n">
        <v>44531</v>
      </c>
    </row>
    <row r="42">
      <c r="A42" t="n">
        <v>-1</v>
      </c>
      <c r="B42" t="inlineStr">
        <is>
          <t>01-12-2021</t>
        </is>
      </c>
      <c r="C42" t="n">
        <v>2021</v>
      </c>
      <c r="D42" t="n">
        <v>12</v>
      </c>
      <c r="E42" t="inlineStr">
        <is>
          <t>Teno 13.2</t>
        </is>
      </c>
      <c r="F42" t="inlineStr">
        <is>
          <t>CEC</t>
        </is>
      </c>
      <c r="G42" t="inlineStr">
        <is>
          <t>CEC</t>
        </is>
      </c>
      <c r="H42" t="inlineStr">
        <is>
          <t>San Juan SpA.</t>
        </is>
      </c>
      <c r="I42" t="inlineStr">
        <is>
          <t>San Juan SpA.</t>
        </is>
      </c>
      <c r="J42" t="inlineStr">
        <is>
          <t>SIC 2013/03_2_BS2A_BB_CEC_San Juan SpA.</t>
        </is>
      </c>
      <c r="K42" t="inlineStr">
        <is>
          <t>Teno 13.2</t>
        </is>
      </c>
      <c r="L42" t="inlineStr">
        <is>
          <t>-1</t>
        </is>
      </c>
      <c r="M42" t="n">
        <v>12676.38574049459</v>
      </c>
      <c r="N42" t="n">
        <v>0</v>
      </c>
      <c r="O42" t="inlineStr">
        <is>
          <t>5</t>
        </is>
      </c>
      <c r="P42" s="2" t="n">
        <v>44999.68429938657</v>
      </c>
      <c r="Q42" t="n">
        <v>13</v>
      </c>
      <c r="R42" t="inlineStr">
        <is>
          <t>MELIPILLA 220</t>
        </is>
      </c>
      <c r="S42" t="n">
        <v>36.56673708231992</v>
      </c>
      <c r="T42" t="n">
        <v>2961.913742113426</v>
      </c>
      <c r="U42" t="n">
        <v>0</v>
      </c>
      <c r="V42" t="n">
        <v>0</v>
      </c>
      <c r="W42" t="inlineStr">
        <is>
          <t>CEC</t>
        </is>
      </c>
      <c r="X42" t="n">
        <v>86.170446627069</v>
      </c>
      <c r="Y42" t="n">
        <v>2.961913742113426</v>
      </c>
      <c r="Z42" t="n">
        <v>3150.972066078114</v>
      </c>
      <c r="AA42" t="n">
        <v>0</v>
      </c>
      <c r="AB42" t="n">
        <v>0</v>
      </c>
      <c r="AC42" t="n">
        <v>0</v>
      </c>
      <c r="AD42" s="2" t="n">
        <v>44531</v>
      </c>
    </row>
    <row r="43">
      <c r="A43" t="n">
        <v>-1</v>
      </c>
      <c r="B43" t="inlineStr">
        <is>
          <t>01-12-2021</t>
        </is>
      </c>
      <c r="C43" t="n">
        <v>2021</v>
      </c>
      <c r="D43" t="n">
        <v>12</v>
      </c>
      <c r="E43" t="inlineStr">
        <is>
          <t>Teno 13.2</t>
        </is>
      </c>
      <c r="F43" t="inlineStr">
        <is>
          <t>CEC</t>
        </is>
      </c>
      <c r="G43" t="inlineStr">
        <is>
          <t>CEC</t>
        </is>
      </c>
      <c r="H43" t="inlineStr">
        <is>
          <t>San Juan SpA.</t>
        </is>
      </c>
      <c r="I43" t="inlineStr">
        <is>
          <t>San Juan SpA.</t>
        </is>
      </c>
      <c r="J43" t="inlineStr">
        <is>
          <t>SIC 2013/03_2_BS2A_BB_CEC_San Juan SpA.</t>
        </is>
      </c>
      <c r="K43" t="inlineStr">
        <is>
          <t>Teno 13.2</t>
        </is>
      </c>
      <c r="L43" t="inlineStr">
        <is>
          <t>-1</t>
        </is>
      </c>
      <c r="M43" t="n">
        <v>12676.38574049459</v>
      </c>
      <c r="N43" t="n">
        <v>0</v>
      </c>
      <c r="O43" t="inlineStr">
        <is>
          <t>5</t>
        </is>
      </c>
      <c r="P43" s="2" t="n">
        <v>44999.68429938657</v>
      </c>
      <c r="Q43" t="n">
        <v>22</v>
      </c>
      <c r="R43" t="inlineStr">
        <is>
          <t>RAPEL 220</t>
        </is>
      </c>
      <c r="S43" t="n">
        <v>66.58074688743754</v>
      </c>
      <c r="T43" t="n">
        <v>5396.130439327889</v>
      </c>
      <c r="U43" t="n">
        <v>0</v>
      </c>
      <c r="V43" t="n">
        <v>0</v>
      </c>
      <c r="W43" t="inlineStr">
        <is>
          <t>CEC</t>
        </is>
      </c>
      <c r="X43" t="n">
        <v>86.219583971661</v>
      </c>
      <c r="Y43" t="n">
        <v>5.396130439327888</v>
      </c>
      <c r="Z43" t="n">
        <v>5740.564297157329</v>
      </c>
      <c r="AA43" t="n">
        <v>0</v>
      </c>
      <c r="AB43" t="n">
        <v>0</v>
      </c>
      <c r="AC43" t="n">
        <v>0</v>
      </c>
      <c r="AD43" s="2" t="n">
        <v>44531</v>
      </c>
    </row>
    <row r="44">
      <c r="A44" t="n">
        <v>-1</v>
      </c>
      <c r="B44" t="inlineStr">
        <is>
          <t>01-01-2022</t>
        </is>
      </c>
      <c r="C44" t="n">
        <v>2022</v>
      </c>
      <c r="D44" t="n">
        <v>1</v>
      </c>
      <c r="E44" t="inlineStr">
        <is>
          <t>Curico 13.2</t>
        </is>
      </c>
      <c r="F44" t="inlineStr">
        <is>
          <t>CEC</t>
        </is>
      </c>
      <c r="G44" t="inlineStr">
        <is>
          <t>CEC</t>
        </is>
      </c>
      <c r="H44" t="inlineStr">
        <is>
          <t>San Juan SpA.</t>
        </is>
      </c>
      <c r="I44" t="inlineStr">
        <is>
          <t>San Juan SpA.</t>
        </is>
      </c>
      <c r="J44" t="inlineStr">
        <is>
          <t>SIC 2013/03_2_BS2A_BB_CEC_San Juan SpA.</t>
        </is>
      </c>
      <c r="K44" t="inlineStr">
        <is>
          <t>Curico 13.2</t>
        </is>
      </c>
      <c r="L44" t="inlineStr">
        <is>
          <t>-1</t>
        </is>
      </c>
      <c r="M44" t="n">
        <v>26684.6321040628</v>
      </c>
      <c r="N44" t="n">
        <v>0</v>
      </c>
      <c r="O44" t="inlineStr">
        <is>
          <t>5</t>
        </is>
      </c>
      <c r="P44" s="2" t="n">
        <v>44999.68429938657</v>
      </c>
      <c r="Q44" t="n">
        <v>8</v>
      </c>
      <c r="R44" t="inlineStr">
        <is>
          <t>ALTO JAHUEL 220</t>
        </is>
      </c>
      <c r="S44" t="n">
        <v>10527.44570764037</v>
      </c>
      <c r="T44" t="n">
        <v>896838.4096272063</v>
      </c>
      <c r="U44" t="n">
        <v>0</v>
      </c>
      <c r="V44" t="n">
        <v>0</v>
      </c>
      <c r="W44" t="inlineStr">
        <is>
          <t>CEC</t>
        </is>
      </c>
      <c r="X44" t="n">
        <v>90.62819614492</v>
      </c>
      <c r="Y44" t="n">
        <v>896.8384096272063</v>
      </c>
      <c r="Z44" t="n">
        <v>954083.414497028</v>
      </c>
      <c r="AA44" t="n">
        <v>0</v>
      </c>
      <c r="AB44" t="n">
        <v>0</v>
      </c>
      <c r="AC44" t="n">
        <v>0</v>
      </c>
      <c r="AD44" s="2" t="n">
        <v>44562</v>
      </c>
    </row>
    <row r="45">
      <c r="A45" t="n">
        <v>-1</v>
      </c>
      <c r="B45" t="inlineStr">
        <is>
          <t>01-01-2022</t>
        </is>
      </c>
      <c r="C45" t="n">
        <v>2022</v>
      </c>
      <c r="D45" t="n">
        <v>1</v>
      </c>
      <c r="E45" t="inlineStr">
        <is>
          <t>Curico 13.2</t>
        </is>
      </c>
      <c r="F45" t="inlineStr">
        <is>
          <t>CEC</t>
        </is>
      </c>
      <c r="G45" t="inlineStr">
        <is>
          <t>CEC</t>
        </is>
      </c>
      <c r="H45" t="inlineStr">
        <is>
          <t>San Juan SpA.</t>
        </is>
      </c>
      <c r="I45" t="inlineStr">
        <is>
          <t>San Juan SpA.</t>
        </is>
      </c>
      <c r="J45" t="inlineStr">
        <is>
          <t>SIC 2013/03_2_BS2A_BB_CEC_San Juan SpA.</t>
        </is>
      </c>
      <c r="K45" t="inlineStr">
        <is>
          <t>Curico 13.2</t>
        </is>
      </c>
      <c r="L45" t="inlineStr">
        <is>
          <t>-1</t>
        </is>
      </c>
      <c r="M45" t="n">
        <v>26684.6321040628</v>
      </c>
      <c r="N45" t="n">
        <v>0</v>
      </c>
      <c r="O45" t="inlineStr">
        <is>
          <t>5</t>
        </is>
      </c>
      <c r="P45" s="2" t="n">
        <v>44999.68429938657</v>
      </c>
      <c r="Q45" t="n">
        <v>34</v>
      </c>
      <c r="R45" t="inlineStr">
        <is>
          <t>CHARRUA 220</t>
        </is>
      </c>
      <c r="S45" t="n">
        <v>1990.183539726832</v>
      </c>
      <c r="T45" t="n">
        <v>146727.1788972318</v>
      </c>
      <c r="U45" t="n">
        <v>0</v>
      </c>
      <c r="V45" t="n">
        <v>0</v>
      </c>
      <c r="W45" t="inlineStr">
        <is>
          <t>CEC</t>
        </is>
      </c>
      <c r="X45" t="n">
        <v>78.43133077521001</v>
      </c>
      <c r="Y45" t="n">
        <v>146.7271788972319</v>
      </c>
      <c r="Z45" t="n">
        <v>156092.7435076935</v>
      </c>
      <c r="AA45" t="n">
        <v>0</v>
      </c>
      <c r="AB45" t="n">
        <v>0</v>
      </c>
      <c r="AC45" t="n">
        <v>0</v>
      </c>
      <c r="AD45" s="2" t="n">
        <v>44562</v>
      </c>
    </row>
    <row r="46">
      <c r="A46" t="n">
        <v>-1</v>
      </c>
      <c r="B46" t="inlineStr">
        <is>
          <t>01-01-2022</t>
        </is>
      </c>
      <c r="C46" t="n">
        <v>2022</v>
      </c>
      <c r="D46" t="n">
        <v>1</v>
      </c>
      <c r="E46" t="inlineStr">
        <is>
          <t>Curico 13.2</t>
        </is>
      </c>
      <c r="F46" t="inlineStr">
        <is>
          <t>CEC</t>
        </is>
      </c>
      <c r="G46" t="inlineStr">
        <is>
          <t>CEC</t>
        </is>
      </c>
      <c r="H46" t="inlineStr">
        <is>
          <t>San Juan SpA.</t>
        </is>
      </c>
      <c r="I46" t="inlineStr">
        <is>
          <t>San Juan SpA.</t>
        </is>
      </c>
      <c r="J46" t="inlineStr">
        <is>
          <t>SIC 2013/03_2_BS2A_BB_CEC_San Juan SpA.</t>
        </is>
      </c>
      <c r="K46" t="inlineStr">
        <is>
          <t>Curico 13.2</t>
        </is>
      </c>
      <c r="L46" t="inlineStr">
        <is>
          <t>-1</t>
        </is>
      </c>
      <c r="M46" t="n">
        <v>26684.6321040628</v>
      </c>
      <c r="N46" t="n">
        <v>0</v>
      </c>
      <c r="O46" t="inlineStr">
        <is>
          <t>5</t>
        </is>
      </c>
      <c r="P46" s="2" t="n">
        <v>44999.68429938657</v>
      </c>
      <c r="Q46" t="n">
        <v>23</v>
      </c>
      <c r="R46" t="inlineStr">
        <is>
          <t>ITAHUE 220</t>
        </is>
      </c>
      <c r="S46" t="n">
        <v>14954.04103974616</v>
      </c>
      <c r="T46" t="n">
        <v>1213074.980485385</v>
      </c>
      <c r="U46" t="n">
        <v>0</v>
      </c>
      <c r="V46" t="n">
        <v>0</v>
      </c>
      <c r="W46" t="inlineStr">
        <is>
          <t>CEC</t>
        </is>
      </c>
      <c r="X46" t="n">
        <v>86.29809794949001</v>
      </c>
      <c r="Y46" t="n">
        <v>1213.074980485385</v>
      </c>
      <c r="Z46" t="n">
        <v>1290505.298388708</v>
      </c>
      <c r="AA46" t="n">
        <v>0</v>
      </c>
      <c r="AB46" t="n">
        <v>0</v>
      </c>
      <c r="AC46" t="n">
        <v>0</v>
      </c>
      <c r="AD46" s="2" t="n">
        <v>44562</v>
      </c>
    </row>
    <row r="47">
      <c r="A47" t="n">
        <v>-1</v>
      </c>
      <c r="B47" t="inlineStr">
        <is>
          <t>01-01-2022</t>
        </is>
      </c>
      <c r="C47" t="n">
        <v>2022</v>
      </c>
      <c r="D47" t="n">
        <v>1</v>
      </c>
      <c r="E47" t="inlineStr">
        <is>
          <t>Curico 13.2</t>
        </is>
      </c>
      <c r="F47" t="inlineStr">
        <is>
          <t>CEC</t>
        </is>
      </c>
      <c r="G47" t="inlineStr">
        <is>
          <t>CEC</t>
        </is>
      </c>
      <c r="H47" t="inlineStr">
        <is>
          <t>San Juan SpA.</t>
        </is>
      </c>
      <c r="I47" t="inlineStr">
        <is>
          <t>San Juan SpA.</t>
        </is>
      </c>
      <c r="J47" t="inlineStr">
        <is>
          <t>SIC 2013/03_2_BS2A_BB_CEC_San Juan SpA.</t>
        </is>
      </c>
      <c r="K47" t="inlineStr">
        <is>
          <t>Curico 13.2</t>
        </is>
      </c>
      <c r="L47" t="inlineStr">
        <is>
          <t>-1</t>
        </is>
      </c>
      <c r="M47" t="n">
        <v>26684.6321040628</v>
      </c>
      <c r="N47" t="n">
        <v>0</v>
      </c>
      <c r="O47" t="inlineStr">
        <is>
          <t>5</t>
        </is>
      </c>
      <c r="P47" s="2" t="n">
        <v>44999.68429938657</v>
      </c>
      <c r="Q47" t="n">
        <v>13</v>
      </c>
      <c r="R47" t="inlineStr">
        <is>
          <t>MELIPILLA 220</t>
        </is>
      </c>
      <c r="S47" t="n">
        <v>43.98654195392915</v>
      </c>
      <c r="T47" t="n">
        <v>3646.374084541787</v>
      </c>
      <c r="U47" t="n">
        <v>0</v>
      </c>
      <c r="V47" t="n">
        <v>0</v>
      </c>
      <c r="W47" t="inlineStr">
        <is>
          <t>CEC</t>
        </is>
      </c>
      <c r="X47" t="n">
        <v>88.18882308585999</v>
      </c>
      <c r="Y47" t="n">
        <v>3.646374084541787</v>
      </c>
      <c r="Z47" t="n">
        <v>3879.121366533816</v>
      </c>
      <c r="AA47" t="n">
        <v>0</v>
      </c>
      <c r="AB47" t="n">
        <v>0</v>
      </c>
      <c r="AC47" t="n">
        <v>0</v>
      </c>
      <c r="AD47" s="2" t="n">
        <v>44562</v>
      </c>
    </row>
    <row r="48">
      <c r="A48" t="n">
        <v>-1</v>
      </c>
      <c r="B48" t="inlineStr">
        <is>
          <t>01-01-2022</t>
        </is>
      </c>
      <c r="C48" t="n">
        <v>2022</v>
      </c>
      <c r="D48" t="n">
        <v>1</v>
      </c>
      <c r="E48" t="inlineStr">
        <is>
          <t>Curico 13.2</t>
        </is>
      </c>
      <c r="F48" t="inlineStr">
        <is>
          <t>CEC</t>
        </is>
      </c>
      <c r="G48" t="inlineStr">
        <is>
          <t>CEC</t>
        </is>
      </c>
      <c r="H48" t="inlineStr">
        <is>
          <t>San Juan SpA.</t>
        </is>
      </c>
      <c r="I48" t="inlineStr">
        <is>
          <t>San Juan SpA.</t>
        </is>
      </c>
      <c r="J48" t="inlineStr">
        <is>
          <t>SIC 2013/03_2_BS2A_BB_CEC_San Juan SpA.</t>
        </is>
      </c>
      <c r="K48" t="inlineStr">
        <is>
          <t>Curico 13.2</t>
        </is>
      </c>
      <c r="L48" t="inlineStr">
        <is>
          <t>-1</t>
        </is>
      </c>
      <c r="M48" t="n">
        <v>26684.6321040628</v>
      </c>
      <c r="N48" t="n">
        <v>0</v>
      </c>
      <c r="O48" t="inlineStr">
        <is>
          <t>5</t>
        </is>
      </c>
      <c r="P48" s="2" t="n">
        <v>44999.68429938657</v>
      </c>
      <c r="Q48" t="n">
        <v>22</v>
      </c>
      <c r="R48" t="inlineStr">
        <is>
          <t>RAPEL 220</t>
        </is>
      </c>
      <c r="S48" t="n">
        <v>148.8349658566911</v>
      </c>
      <c r="T48" t="n">
        <v>12356.94004443573</v>
      </c>
      <c r="U48" t="n">
        <v>0</v>
      </c>
      <c r="V48" t="n">
        <v>0</v>
      </c>
      <c r="W48" t="inlineStr">
        <is>
          <t>CEC</t>
        </is>
      </c>
      <c r="X48" t="n">
        <v>88.32387485474</v>
      </c>
      <c r="Y48" t="n">
        <v>12.35694004443573</v>
      </c>
      <c r="Z48" t="n">
        <v>13145.68089833589</v>
      </c>
      <c r="AA48" t="n">
        <v>0</v>
      </c>
      <c r="AB48" t="n">
        <v>0</v>
      </c>
      <c r="AC48" t="n">
        <v>0</v>
      </c>
      <c r="AD48" s="2" t="n">
        <v>44562</v>
      </c>
    </row>
    <row r="49">
      <c r="A49" t="n">
        <v>-1</v>
      </c>
      <c r="B49" t="inlineStr">
        <is>
          <t>01-01-2022</t>
        </is>
      </c>
      <c r="C49" t="n">
        <v>2022</v>
      </c>
      <c r="D49" t="n">
        <v>1</v>
      </c>
      <c r="E49" t="inlineStr">
        <is>
          <t>Quinta 13.8</t>
        </is>
      </c>
      <c r="F49" t="inlineStr">
        <is>
          <t>CEC</t>
        </is>
      </c>
      <c r="G49" t="inlineStr">
        <is>
          <t>CEC</t>
        </is>
      </c>
      <c r="H49" t="inlineStr">
        <is>
          <t>San Juan SpA.</t>
        </is>
      </c>
      <c r="I49" t="inlineStr">
        <is>
          <t>San Juan SpA.</t>
        </is>
      </c>
      <c r="J49" t="inlineStr">
        <is>
          <t>SIC 2013/03_2_BS2A_BB_CEC_San Juan SpA.</t>
        </is>
      </c>
      <c r="K49" t="inlineStr">
        <is>
          <t>Quinta 13.8</t>
        </is>
      </c>
      <c r="L49" t="inlineStr">
        <is>
          <t>-1</t>
        </is>
      </c>
      <c r="M49" t="n">
        <v>7659.044154013834</v>
      </c>
      <c r="N49" t="n">
        <v>0</v>
      </c>
      <c r="O49" t="inlineStr">
        <is>
          <t>5</t>
        </is>
      </c>
      <c r="P49" s="2" t="n">
        <v>44999.68429938657</v>
      </c>
      <c r="Q49" t="n">
        <v>8</v>
      </c>
      <c r="R49" t="inlineStr">
        <is>
          <t>ALTO JAHUEL 220</t>
        </is>
      </c>
      <c r="S49" t="n">
        <v>3730.821960218385</v>
      </c>
      <c r="T49" t="n">
        <v>317830.6045288999</v>
      </c>
      <c r="U49" t="n">
        <v>0</v>
      </c>
      <c r="V49" t="n">
        <v>0</v>
      </c>
      <c r="W49" t="inlineStr">
        <is>
          <t>CEC</t>
        </is>
      </c>
      <c r="X49" t="n">
        <v>90.62819614492</v>
      </c>
      <c r="Y49" t="n">
        <v>317.8306045288999</v>
      </c>
      <c r="Z49" t="n">
        <v>338117.6643924467</v>
      </c>
      <c r="AA49" t="n">
        <v>0</v>
      </c>
      <c r="AB49" t="n">
        <v>0</v>
      </c>
      <c r="AC49" t="n">
        <v>0</v>
      </c>
      <c r="AD49" s="2" t="n">
        <v>44562</v>
      </c>
    </row>
    <row r="50">
      <c r="A50" t="n">
        <v>-1</v>
      </c>
      <c r="B50" t="inlineStr">
        <is>
          <t>01-01-2022</t>
        </is>
      </c>
      <c r="C50" t="n">
        <v>2022</v>
      </c>
      <c r="D50" t="n">
        <v>1</v>
      </c>
      <c r="E50" t="inlineStr">
        <is>
          <t>Quinta 13.8</t>
        </is>
      </c>
      <c r="F50" t="inlineStr">
        <is>
          <t>CEC</t>
        </is>
      </c>
      <c r="G50" t="inlineStr">
        <is>
          <t>CEC</t>
        </is>
      </c>
      <c r="H50" t="inlineStr">
        <is>
          <t>San Juan SpA.</t>
        </is>
      </c>
      <c r="I50" t="inlineStr">
        <is>
          <t>San Juan SpA.</t>
        </is>
      </c>
      <c r="J50" t="inlineStr">
        <is>
          <t>SIC 2013/03_2_BS2A_BB_CEC_San Juan SpA.</t>
        </is>
      </c>
      <c r="K50" t="inlineStr">
        <is>
          <t>Quinta 13.8</t>
        </is>
      </c>
      <c r="L50" t="inlineStr">
        <is>
          <t>-1</t>
        </is>
      </c>
      <c r="M50" t="n">
        <v>7659.044154013834</v>
      </c>
      <c r="N50" t="n">
        <v>0</v>
      </c>
      <c r="O50" t="inlineStr">
        <is>
          <t>5</t>
        </is>
      </c>
      <c r="P50" s="2" t="n">
        <v>44999.68429938657</v>
      </c>
      <c r="Q50" t="n">
        <v>34</v>
      </c>
      <c r="R50" t="inlineStr">
        <is>
          <t>CHARRUA 220</t>
        </is>
      </c>
      <c r="S50" t="n">
        <v>335.6358154736116</v>
      </c>
      <c r="T50" t="n">
        <v>24744.90184361309</v>
      </c>
      <c r="U50" t="n">
        <v>0</v>
      </c>
      <c r="V50" t="n">
        <v>0</v>
      </c>
      <c r="W50" t="inlineStr">
        <is>
          <t>CEC</t>
        </is>
      </c>
      <c r="X50" t="n">
        <v>78.43133077521001</v>
      </c>
      <c r="Y50" t="n">
        <v>24.74490184361309</v>
      </c>
      <c r="Z50" t="n">
        <v>26324.36366341818</v>
      </c>
      <c r="AA50" t="n">
        <v>0</v>
      </c>
      <c r="AB50" t="n">
        <v>0</v>
      </c>
      <c r="AC50" t="n">
        <v>0</v>
      </c>
      <c r="AD50" s="2" t="n">
        <v>44562</v>
      </c>
    </row>
    <row r="51">
      <c r="A51" t="n">
        <v>-1</v>
      </c>
      <c r="B51" t="inlineStr">
        <is>
          <t>01-01-2022</t>
        </is>
      </c>
      <c r="C51" t="n">
        <v>2022</v>
      </c>
      <c r="D51" t="n">
        <v>1</v>
      </c>
      <c r="E51" t="inlineStr">
        <is>
          <t>Quinta 13.8</t>
        </is>
      </c>
      <c r="F51" t="inlineStr">
        <is>
          <t>CEC</t>
        </is>
      </c>
      <c r="G51" t="inlineStr">
        <is>
          <t>CEC</t>
        </is>
      </c>
      <c r="H51" t="inlineStr">
        <is>
          <t>San Juan SpA.</t>
        </is>
      </c>
      <c r="I51" t="inlineStr">
        <is>
          <t>San Juan SpA.</t>
        </is>
      </c>
      <c r="J51" t="inlineStr">
        <is>
          <t>SIC 2013/03_2_BS2A_BB_CEC_San Juan SpA.</t>
        </is>
      </c>
      <c r="K51" t="inlineStr">
        <is>
          <t>Quinta 13.8</t>
        </is>
      </c>
      <c r="L51" t="inlineStr">
        <is>
          <t>-1</t>
        </is>
      </c>
      <c r="M51" t="n">
        <v>7659.044154013834</v>
      </c>
      <c r="N51" t="n">
        <v>0</v>
      </c>
      <c r="O51" t="inlineStr">
        <is>
          <t>5</t>
        </is>
      </c>
      <c r="P51" s="2" t="n">
        <v>44999.68429938657</v>
      </c>
      <c r="Q51" t="n">
        <v>23</v>
      </c>
      <c r="R51" t="inlineStr">
        <is>
          <t>ITAHUE 220</t>
        </is>
      </c>
      <c r="S51" t="n">
        <v>3819.435532508083</v>
      </c>
      <c r="T51" t="n">
        <v>309833.4203943763</v>
      </c>
      <c r="U51" t="n">
        <v>0</v>
      </c>
      <c r="V51" t="n">
        <v>0</v>
      </c>
      <c r="W51" t="inlineStr">
        <is>
          <t>CEC</t>
        </is>
      </c>
      <c r="X51" t="n">
        <v>86.29809794949001</v>
      </c>
      <c r="Y51" t="n">
        <v>309.8334203943763</v>
      </c>
      <c r="Z51" t="n">
        <v>329610.0216961451</v>
      </c>
      <c r="AA51" t="n">
        <v>0</v>
      </c>
      <c r="AB51" t="n">
        <v>0</v>
      </c>
      <c r="AC51" t="n">
        <v>0</v>
      </c>
      <c r="AD51" s="2" t="n">
        <v>44562</v>
      </c>
    </row>
    <row r="52">
      <c r="A52" t="n">
        <v>-1</v>
      </c>
      <c r="B52" t="inlineStr">
        <is>
          <t>01-01-2022</t>
        </is>
      </c>
      <c r="C52" t="n">
        <v>2022</v>
      </c>
      <c r="D52" t="n">
        <v>1</v>
      </c>
      <c r="E52" t="inlineStr">
        <is>
          <t>Quinta 13.8</t>
        </is>
      </c>
      <c r="F52" t="inlineStr">
        <is>
          <t>CEC</t>
        </is>
      </c>
      <c r="G52" t="inlineStr">
        <is>
          <t>CEC</t>
        </is>
      </c>
      <c r="H52" t="inlineStr">
        <is>
          <t>San Juan SpA.</t>
        </is>
      </c>
      <c r="I52" t="inlineStr">
        <is>
          <t>San Juan SpA.</t>
        </is>
      </c>
      <c r="J52" t="inlineStr">
        <is>
          <t>SIC 2013/03_2_BS2A_BB_CEC_San Juan SpA.</t>
        </is>
      </c>
      <c r="K52" t="inlineStr">
        <is>
          <t>Quinta 13.8</t>
        </is>
      </c>
      <c r="L52" t="inlineStr">
        <is>
          <t>-1</t>
        </is>
      </c>
      <c r="M52" t="n">
        <v>7659.044154013834</v>
      </c>
      <c r="N52" t="n">
        <v>0</v>
      </c>
      <c r="O52" t="inlineStr">
        <is>
          <t>5</t>
        </is>
      </c>
      <c r="P52" s="2" t="n">
        <v>44999.68429938657</v>
      </c>
      <c r="Q52" t="n">
        <v>22</v>
      </c>
      <c r="R52" t="inlineStr">
        <is>
          <t>RAPEL 220</t>
        </is>
      </c>
      <c r="S52" t="n">
        <v>54.39094714914218</v>
      </c>
      <c r="T52" t="n">
        <v>4515.778056677714</v>
      </c>
      <c r="U52" t="n">
        <v>0</v>
      </c>
      <c r="V52" t="n">
        <v>0</v>
      </c>
      <c r="W52" t="inlineStr">
        <is>
          <t>CEC</t>
        </is>
      </c>
      <c r="X52" t="n">
        <v>88.32387485474</v>
      </c>
      <c r="Y52" t="n">
        <v>4.515778056677714</v>
      </c>
      <c r="Z52" t="n">
        <v>4804.019209231611</v>
      </c>
      <c r="AA52" t="n">
        <v>0</v>
      </c>
      <c r="AB52" t="n">
        <v>0</v>
      </c>
      <c r="AC52" t="n">
        <v>0</v>
      </c>
      <c r="AD52" s="2" t="n">
        <v>44562</v>
      </c>
    </row>
    <row r="53">
      <c r="A53" t="n">
        <v>-1</v>
      </c>
      <c r="B53" t="inlineStr">
        <is>
          <t>01-01-2022</t>
        </is>
      </c>
      <c r="C53" t="n">
        <v>2022</v>
      </c>
      <c r="D53" t="n">
        <v>1</v>
      </c>
      <c r="E53" t="inlineStr">
        <is>
          <t>Teno 13.2</t>
        </is>
      </c>
      <c r="F53" t="inlineStr">
        <is>
          <t>CEC</t>
        </is>
      </c>
      <c r="G53" t="inlineStr">
        <is>
          <t>CEC</t>
        </is>
      </c>
      <c r="H53" t="inlineStr">
        <is>
          <t>San Juan SpA.</t>
        </is>
      </c>
      <c r="I53" t="inlineStr">
        <is>
          <t>San Juan SpA.</t>
        </is>
      </c>
      <c r="J53" t="inlineStr">
        <is>
          <t>SIC 2013/03_2_BS2A_BB_CEC_San Juan SpA.</t>
        </is>
      </c>
      <c r="K53" t="inlineStr">
        <is>
          <t>Teno 13.2</t>
        </is>
      </c>
      <c r="L53" t="inlineStr">
        <is>
          <t>-1</t>
        </is>
      </c>
      <c r="M53" t="n">
        <v>10097.55664250317</v>
      </c>
      <c r="N53" t="n">
        <v>0</v>
      </c>
      <c r="O53" t="inlineStr">
        <is>
          <t>5</t>
        </is>
      </c>
      <c r="P53" s="2" t="n">
        <v>44999.68429938657</v>
      </c>
      <c r="Q53" t="n">
        <v>8</v>
      </c>
      <c r="R53" t="inlineStr">
        <is>
          <t>ALTO JAHUEL 220</t>
        </is>
      </c>
      <c r="S53" t="n">
        <v>4344.360652802595</v>
      </c>
      <c r="T53" t="n">
        <v>370098.2752044783</v>
      </c>
      <c r="U53" t="n">
        <v>0</v>
      </c>
      <c r="V53" t="n">
        <v>0</v>
      </c>
      <c r="W53" t="inlineStr">
        <is>
          <t>CEC</t>
        </is>
      </c>
      <c r="X53" t="n">
        <v>90.62819614492001</v>
      </c>
      <c r="Y53" t="n">
        <v>370.0982752044783</v>
      </c>
      <c r="Z53" t="n">
        <v>393721.5693664663</v>
      </c>
      <c r="AA53" t="n">
        <v>0</v>
      </c>
      <c r="AB53" t="n">
        <v>0</v>
      </c>
      <c r="AC53" t="n">
        <v>0</v>
      </c>
      <c r="AD53" s="2" t="n">
        <v>44562</v>
      </c>
    </row>
    <row r="54">
      <c r="A54" t="n">
        <v>-1</v>
      </c>
      <c r="B54" t="inlineStr">
        <is>
          <t>01-01-2022</t>
        </is>
      </c>
      <c r="C54" t="n">
        <v>2022</v>
      </c>
      <c r="D54" t="n">
        <v>1</v>
      </c>
      <c r="E54" t="inlineStr">
        <is>
          <t>Teno 13.2</t>
        </is>
      </c>
      <c r="F54" t="inlineStr">
        <is>
          <t>CEC</t>
        </is>
      </c>
      <c r="G54" t="inlineStr">
        <is>
          <t>CEC</t>
        </is>
      </c>
      <c r="H54" t="inlineStr">
        <is>
          <t>San Juan SpA.</t>
        </is>
      </c>
      <c r="I54" t="inlineStr">
        <is>
          <t>San Juan SpA.</t>
        </is>
      </c>
      <c r="J54" t="inlineStr">
        <is>
          <t>SIC 2013/03_2_BS2A_BB_CEC_San Juan SpA.</t>
        </is>
      </c>
      <c r="K54" t="inlineStr">
        <is>
          <t>Teno 13.2</t>
        </is>
      </c>
      <c r="L54" t="inlineStr">
        <is>
          <t>-1</t>
        </is>
      </c>
      <c r="M54" t="n">
        <v>10097.55664250317</v>
      </c>
      <c r="N54" t="n">
        <v>0</v>
      </c>
      <c r="O54" t="inlineStr">
        <is>
          <t>5</t>
        </is>
      </c>
      <c r="P54" s="2" t="n">
        <v>44999.68429938657</v>
      </c>
      <c r="Q54" t="n">
        <v>34</v>
      </c>
      <c r="R54" t="inlineStr">
        <is>
          <t>CHARRUA 220</t>
        </is>
      </c>
      <c r="S54" t="n">
        <v>312.5846002233385</v>
      </c>
      <c r="T54" t="n">
        <v>23045.44060483224</v>
      </c>
      <c r="U54" t="n">
        <v>0</v>
      </c>
      <c r="V54" t="n">
        <v>0</v>
      </c>
      <c r="W54" t="inlineStr">
        <is>
          <t>CEC</t>
        </is>
      </c>
      <c r="X54" t="n">
        <v>78.43133077520999</v>
      </c>
      <c r="Y54" t="n">
        <v>23.04544060483223</v>
      </c>
      <c r="Z54" t="n">
        <v>24516.42617535344</v>
      </c>
      <c r="AA54" t="n">
        <v>0</v>
      </c>
      <c r="AB54" t="n">
        <v>0</v>
      </c>
      <c r="AC54" t="n">
        <v>0</v>
      </c>
      <c r="AD54" s="2" t="n">
        <v>44562</v>
      </c>
    </row>
    <row r="55">
      <c r="A55" t="n">
        <v>-1</v>
      </c>
      <c r="B55" t="inlineStr">
        <is>
          <t>01-01-2022</t>
        </is>
      </c>
      <c r="C55" t="n">
        <v>2022</v>
      </c>
      <c r="D55" t="n">
        <v>1</v>
      </c>
      <c r="E55" t="inlineStr">
        <is>
          <t>Teno 13.2</t>
        </is>
      </c>
      <c r="F55" t="inlineStr">
        <is>
          <t>CEC</t>
        </is>
      </c>
      <c r="G55" t="inlineStr">
        <is>
          <t>CEC</t>
        </is>
      </c>
      <c r="H55" t="inlineStr">
        <is>
          <t>San Juan SpA.</t>
        </is>
      </c>
      <c r="I55" t="inlineStr">
        <is>
          <t>San Juan SpA.</t>
        </is>
      </c>
      <c r="J55" t="inlineStr">
        <is>
          <t>SIC 2013/03_2_BS2A_BB_CEC_San Juan SpA.</t>
        </is>
      </c>
      <c r="K55" t="inlineStr">
        <is>
          <t>Teno 13.2</t>
        </is>
      </c>
      <c r="L55" t="inlineStr">
        <is>
          <t>-1</t>
        </is>
      </c>
      <c r="M55" t="n">
        <v>10097.55664250317</v>
      </c>
      <c r="N55" t="n">
        <v>0</v>
      </c>
      <c r="O55" t="inlineStr">
        <is>
          <t>5</t>
        </is>
      </c>
      <c r="P55" s="2" t="n">
        <v>44999.68429938657</v>
      </c>
      <c r="Q55" t="n">
        <v>23</v>
      </c>
      <c r="R55" t="inlineStr">
        <is>
          <t>ITAHUE 220</t>
        </is>
      </c>
      <c r="S55" t="n">
        <v>5722.203421770974</v>
      </c>
      <c r="T55" t="n">
        <v>464186.3550961645</v>
      </c>
      <c r="U55" t="n">
        <v>0</v>
      </c>
      <c r="V55" t="n">
        <v>0</v>
      </c>
      <c r="W55" t="inlineStr">
        <is>
          <t>CEC</t>
        </is>
      </c>
      <c r="X55" t="n">
        <v>86.29809794949</v>
      </c>
      <c r="Y55" t="n">
        <v>464.1863550961644</v>
      </c>
      <c r="Z55" t="n">
        <v>493815.2713788985</v>
      </c>
      <c r="AA55" t="n">
        <v>0</v>
      </c>
      <c r="AB55" t="n">
        <v>0</v>
      </c>
      <c r="AC55" t="n">
        <v>0</v>
      </c>
      <c r="AD55" s="2" t="n">
        <v>44562</v>
      </c>
    </row>
    <row r="56">
      <c r="A56" t="n">
        <v>-1</v>
      </c>
      <c r="B56" t="inlineStr">
        <is>
          <t>01-01-2022</t>
        </is>
      </c>
      <c r="C56" t="n">
        <v>2022</v>
      </c>
      <c r="D56" t="n">
        <v>1</v>
      </c>
      <c r="E56" t="inlineStr">
        <is>
          <t>Teno 13.2</t>
        </is>
      </c>
      <c r="F56" t="inlineStr">
        <is>
          <t>CEC</t>
        </is>
      </c>
      <c r="G56" t="inlineStr">
        <is>
          <t>CEC</t>
        </is>
      </c>
      <c r="H56" t="inlineStr">
        <is>
          <t>San Juan SpA.</t>
        </is>
      </c>
      <c r="I56" t="inlineStr">
        <is>
          <t>San Juan SpA.</t>
        </is>
      </c>
      <c r="J56" t="inlineStr">
        <is>
          <t>SIC 2013/03_2_BS2A_BB_CEC_San Juan SpA.</t>
        </is>
      </c>
      <c r="K56" t="inlineStr">
        <is>
          <t>Teno 13.2</t>
        </is>
      </c>
      <c r="L56" t="inlineStr">
        <is>
          <t>-1</t>
        </is>
      </c>
      <c r="M56" t="n">
        <v>10097.55664250317</v>
      </c>
      <c r="N56" t="n">
        <v>0</v>
      </c>
      <c r="O56" t="inlineStr">
        <is>
          <t>5</t>
        </is>
      </c>
      <c r="P56" s="2" t="n">
        <v>44999.68429938657</v>
      </c>
      <c r="Q56" t="n">
        <v>13</v>
      </c>
      <c r="R56" t="inlineStr">
        <is>
          <t>MELIPILLA 220</t>
        </is>
      </c>
      <c r="S56" t="n">
        <v>30.14881609655777</v>
      </c>
      <c r="T56" t="n">
        <v>2499.261292448214</v>
      </c>
      <c r="U56" t="n">
        <v>0</v>
      </c>
      <c r="V56" t="n">
        <v>0</v>
      </c>
      <c r="W56" t="inlineStr">
        <is>
          <t>CEC</t>
        </is>
      </c>
      <c r="X56" t="n">
        <v>88.18882308585999</v>
      </c>
      <c r="Y56" t="n">
        <v>2.499261292448213</v>
      </c>
      <c r="Z56" t="n">
        <v>2658.788608987461</v>
      </c>
      <c r="AA56" t="n">
        <v>0</v>
      </c>
      <c r="AB56" t="n">
        <v>0</v>
      </c>
      <c r="AC56" t="n">
        <v>0</v>
      </c>
      <c r="AD56" s="2" t="n">
        <v>44562</v>
      </c>
    </row>
    <row r="57">
      <c r="A57" t="n">
        <v>-1</v>
      </c>
      <c r="B57" t="inlineStr">
        <is>
          <t>01-01-2022</t>
        </is>
      </c>
      <c r="C57" t="n">
        <v>2022</v>
      </c>
      <c r="D57" t="n">
        <v>1</v>
      </c>
      <c r="E57" t="inlineStr">
        <is>
          <t>Teno 13.2</t>
        </is>
      </c>
      <c r="F57" t="inlineStr">
        <is>
          <t>CEC</t>
        </is>
      </c>
      <c r="G57" t="inlineStr">
        <is>
          <t>CEC</t>
        </is>
      </c>
      <c r="H57" t="inlineStr">
        <is>
          <t>San Juan SpA.</t>
        </is>
      </c>
      <c r="I57" t="inlineStr">
        <is>
          <t>San Juan SpA.</t>
        </is>
      </c>
      <c r="J57" t="inlineStr">
        <is>
          <t>SIC 2013/03_2_BS2A_BB_CEC_San Juan SpA.</t>
        </is>
      </c>
      <c r="K57" t="inlineStr">
        <is>
          <t>Teno 13.2</t>
        </is>
      </c>
      <c r="L57" t="inlineStr">
        <is>
          <t>-1</t>
        </is>
      </c>
      <c r="M57" t="n">
        <v>10097.55664250317</v>
      </c>
      <c r="N57" t="n">
        <v>0</v>
      </c>
      <c r="O57" t="inlineStr">
        <is>
          <t>5</t>
        </is>
      </c>
      <c r="P57" s="2" t="n">
        <v>44999.68429938657</v>
      </c>
      <c r="Q57" t="n">
        <v>22</v>
      </c>
      <c r="R57" t="inlineStr">
        <is>
          <t>RAPEL 220</t>
        </is>
      </c>
      <c r="S57" t="n">
        <v>59.04143152242563</v>
      </c>
      <c r="T57" t="n">
        <v>4901.881928489537</v>
      </c>
      <c r="U57" t="n">
        <v>0</v>
      </c>
      <c r="V57" t="n">
        <v>0</v>
      </c>
      <c r="W57" t="inlineStr">
        <is>
          <t>CEC</t>
        </is>
      </c>
      <c r="X57" t="n">
        <v>88.32387485474</v>
      </c>
      <c r="Y57" t="n">
        <v>4.901881928489536</v>
      </c>
      <c r="Z57" t="n">
        <v>5214.768009031422</v>
      </c>
      <c r="AA57" t="n">
        <v>0</v>
      </c>
      <c r="AB57" t="n">
        <v>0</v>
      </c>
      <c r="AC57" t="n">
        <v>0</v>
      </c>
      <c r="AD57" s="2" t="n">
        <v>44562</v>
      </c>
    </row>
    <row r="58">
      <c r="A58" t="n">
        <v>-1</v>
      </c>
      <c r="B58" t="inlineStr">
        <is>
          <t>01-02-2022</t>
        </is>
      </c>
      <c r="C58" t="n">
        <v>2022</v>
      </c>
      <c r="D58" t="n">
        <v>2</v>
      </c>
      <c r="E58" t="inlineStr">
        <is>
          <t>Curico 13.2</t>
        </is>
      </c>
      <c r="F58" t="inlineStr">
        <is>
          <t>CEC</t>
        </is>
      </c>
      <c r="G58" t="inlineStr">
        <is>
          <t>CEC</t>
        </is>
      </c>
      <c r="H58" t="inlineStr">
        <is>
          <t>San Juan SpA.</t>
        </is>
      </c>
      <c r="I58" t="inlineStr">
        <is>
          <t>San Juan SpA.</t>
        </is>
      </c>
      <c r="J58" t="inlineStr">
        <is>
          <t>SIC 2013/03_2_BS2A_BB_CEC_San Juan SpA.</t>
        </is>
      </c>
      <c r="K58" t="inlineStr">
        <is>
          <t>Curico 13.2</t>
        </is>
      </c>
      <c r="L58" t="inlineStr">
        <is>
          <t>-1</t>
        </is>
      </c>
      <c r="M58" t="n">
        <v>24493.43764852088</v>
      </c>
      <c r="N58" t="n">
        <v>0</v>
      </c>
      <c r="O58" t="inlineStr">
        <is>
          <t>5</t>
        </is>
      </c>
      <c r="P58" s="2" t="n">
        <v>44999.68429938657</v>
      </c>
      <c r="Q58" t="n">
        <v>8</v>
      </c>
      <c r="R58" t="inlineStr">
        <is>
          <t>ALTO JAHUEL 220</t>
        </is>
      </c>
      <c r="S58" t="n">
        <v>9662.990069816984</v>
      </c>
      <c r="T58" t="n">
        <v>823194.9978301607</v>
      </c>
      <c r="U58" t="n">
        <v>0</v>
      </c>
      <c r="V58" t="n">
        <v>0</v>
      </c>
      <c r="W58" t="inlineStr">
        <is>
          <t>CEC</t>
        </is>
      </c>
      <c r="X58" t="n">
        <v>90.62819614492001</v>
      </c>
      <c r="Y58" t="n">
        <v>823.1949978301606</v>
      </c>
      <c r="Z58" t="n">
        <v>875739.359393788</v>
      </c>
      <c r="AA58" t="n">
        <v>0</v>
      </c>
      <c r="AB58" t="n">
        <v>0</v>
      </c>
      <c r="AC58" t="n">
        <v>0</v>
      </c>
      <c r="AD58" s="2" t="n">
        <v>44593</v>
      </c>
    </row>
    <row r="59">
      <c r="A59" t="n">
        <v>-1</v>
      </c>
      <c r="B59" t="inlineStr">
        <is>
          <t>01-02-2022</t>
        </is>
      </c>
      <c r="C59" t="n">
        <v>2022</v>
      </c>
      <c r="D59" t="n">
        <v>2</v>
      </c>
      <c r="E59" t="inlineStr">
        <is>
          <t>Curico 13.2</t>
        </is>
      </c>
      <c r="F59" t="inlineStr">
        <is>
          <t>CEC</t>
        </is>
      </c>
      <c r="G59" t="inlineStr">
        <is>
          <t>CEC</t>
        </is>
      </c>
      <c r="H59" t="inlineStr">
        <is>
          <t>San Juan SpA.</t>
        </is>
      </c>
      <c r="I59" t="inlineStr">
        <is>
          <t>San Juan SpA.</t>
        </is>
      </c>
      <c r="J59" t="inlineStr">
        <is>
          <t>SIC 2013/03_2_BS2A_BB_CEC_San Juan SpA.</t>
        </is>
      </c>
      <c r="K59" t="inlineStr">
        <is>
          <t>Curico 13.2</t>
        </is>
      </c>
      <c r="L59" t="inlineStr">
        <is>
          <t>-1</t>
        </is>
      </c>
      <c r="M59" t="n">
        <v>24493.43764852088</v>
      </c>
      <c r="N59" t="n">
        <v>0</v>
      </c>
      <c r="O59" t="inlineStr">
        <is>
          <t>5</t>
        </is>
      </c>
      <c r="P59" s="2" t="n">
        <v>44999.68429938657</v>
      </c>
      <c r="Q59" t="n">
        <v>34</v>
      </c>
      <c r="R59" t="inlineStr">
        <is>
          <t>CHARRUA 220</t>
        </is>
      </c>
      <c r="S59" t="n">
        <v>1826.760670685431</v>
      </c>
      <c r="T59" t="n">
        <v>134678.7541850931</v>
      </c>
      <c r="U59" t="n">
        <v>0</v>
      </c>
      <c r="V59" t="n">
        <v>0</v>
      </c>
      <c r="W59" t="inlineStr">
        <is>
          <t>CEC</t>
        </is>
      </c>
      <c r="X59" t="n">
        <v>78.43133077521</v>
      </c>
      <c r="Y59" t="n">
        <v>134.6787541850931</v>
      </c>
      <c r="Z59" t="n">
        <v>143275.2704096735</v>
      </c>
      <c r="AA59" t="n">
        <v>0</v>
      </c>
      <c r="AB59" t="n">
        <v>0</v>
      </c>
      <c r="AC59" t="n">
        <v>0</v>
      </c>
      <c r="AD59" s="2" t="n">
        <v>44593</v>
      </c>
    </row>
    <row r="60">
      <c r="A60" t="n">
        <v>-1</v>
      </c>
      <c r="B60" t="inlineStr">
        <is>
          <t>01-02-2022</t>
        </is>
      </c>
      <c r="C60" t="n">
        <v>2022</v>
      </c>
      <c r="D60" t="n">
        <v>2</v>
      </c>
      <c r="E60" t="inlineStr">
        <is>
          <t>Curico 13.2</t>
        </is>
      </c>
      <c r="F60" t="inlineStr">
        <is>
          <t>CEC</t>
        </is>
      </c>
      <c r="G60" t="inlineStr">
        <is>
          <t>CEC</t>
        </is>
      </c>
      <c r="H60" t="inlineStr">
        <is>
          <t>San Juan SpA.</t>
        </is>
      </c>
      <c r="I60" t="inlineStr">
        <is>
          <t>San Juan SpA.</t>
        </is>
      </c>
      <c r="J60" t="inlineStr">
        <is>
          <t>SIC 2013/03_2_BS2A_BB_CEC_San Juan SpA.</t>
        </is>
      </c>
      <c r="K60" t="inlineStr">
        <is>
          <t>Curico 13.2</t>
        </is>
      </c>
      <c r="L60" t="inlineStr">
        <is>
          <t>-1</t>
        </is>
      </c>
      <c r="M60" t="n">
        <v>24493.43764852088</v>
      </c>
      <c r="N60" t="n">
        <v>0</v>
      </c>
      <c r="O60" t="inlineStr">
        <is>
          <t>5</t>
        </is>
      </c>
      <c r="P60" s="2" t="n">
        <v>44999.68429938657</v>
      </c>
      <c r="Q60" t="n">
        <v>23</v>
      </c>
      <c r="R60" t="inlineStr">
        <is>
          <t>ITAHUE 220</t>
        </is>
      </c>
      <c r="S60" t="n">
        <v>13726.09786681971</v>
      </c>
      <c r="T60" t="n">
        <v>1113463.969884587</v>
      </c>
      <c r="U60" t="n">
        <v>0</v>
      </c>
      <c r="V60" t="n">
        <v>0</v>
      </c>
      <c r="W60" t="inlineStr">
        <is>
          <t>CEC</t>
        </is>
      </c>
      <c r="X60" t="n">
        <v>86.29809794949</v>
      </c>
      <c r="Y60" t="n">
        <v>1113.463969884587</v>
      </c>
      <c r="Z60" t="n">
        <v>1184536.138175093</v>
      </c>
      <c r="AA60" t="n">
        <v>0</v>
      </c>
      <c r="AB60" t="n">
        <v>0</v>
      </c>
      <c r="AC60" t="n">
        <v>0</v>
      </c>
      <c r="AD60" s="2" t="n">
        <v>44593</v>
      </c>
    </row>
    <row r="61">
      <c r="A61" t="n">
        <v>-1</v>
      </c>
      <c r="B61" t="inlineStr">
        <is>
          <t>01-02-2022</t>
        </is>
      </c>
      <c r="C61" t="n">
        <v>2022</v>
      </c>
      <c r="D61" t="n">
        <v>2</v>
      </c>
      <c r="E61" t="inlineStr">
        <is>
          <t>Curico 13.2</t>
        </is>
      </c>
      <c r="F61" t="inlineStr">
        <is>
          <t>CEC</t>
        </is>
      </c>
      <c r="G61" t="inlineStr">
        <is>
          <t>CEC</t>
        </is>
      </c>
      <c r="H61" t="inlineStr">
        <is>
          <t>San Juan SpA.</t>
        </is>
      </c>
      <c r="I61" t="inlineStr">
        <is>
          <t>San Juan SpA.</t>
        </is>
      </c>
      <c r="J61" t="inlineStr">
        <is>
          <t>SIC 2013/03_2_BS2A_BB_CEC_San Juan SpA.</t>
        </is>
      </c>
      <c r="K61" t="inlineStr">
        <is>
          <t>Curico 13.2</t>
        </is>
      </c>
      <c r="L61" t="inlineStr">
        <is>
          <t>-1</t>
        </is>
      </c>
      <c r="M61" t="n">
        <v>24493.43764852088</v>
      </c>
      <c r="N61" t="n">
        <v>0</v>
      </c>
      <c r="O61" t="inlineStr">
        <is>
          <t>5</t>
        </is>
      </c>
      <c r="P61" s="2" t="n">
        <v>44999.68429938657</v>
      </c>
      <c r="Q61" t="n">
        <v>13</v>
      </c>
      <c r="R61" t="inlineStr">
        <is>
          <t>MELIPILLA 220</t>
        </is>
      </c>
      <c r="S61" t="n">
        <v>40.37461031956957</v>
      </c>
      <c r="T61" t="n">
        <v>3346.954004635074</v>
      </c>
      <c r="U61" t="n">
        <v>0</v>
      </c>
      <c r="V61" t="n">
        <v>0</v>
      </c>
      <c r="W61" t="inlineStr">
        <is>
          <t>CEC</t>
        </is>
      </c>
      <c r="X61" t="n">
        <v>88.18882308585999</v>
      </c>
      <c r="Y61" t="n">
        <v>3.346954004635074</v>
      </c>
      <c r="Z61" t="n">
        <v>3560.589366633058</v>
      </c>
      <c r="AA61" t="n">
        <v>0</v>
      </c>
      <c r="AB61" t="n">
        <v>0</v>
      </c>
      <c r="AC61" t="n">
        <v>0</v>
      </c>
      <c r="AD61" s="2" t="n">
        <v>44593</v>
      </c>
    </row>
    <row r="62">
      <c r="A62" t="n">
        <v>-1</v>
      </c>
      <c r="B62" t="inlineStr">
        <is>
          <t>01-02-2022</t>
        </is>
      </c>
      <c r="C62" t="n">
        <v>2022</v>
      </c>
      <c r="D62" t="n">
        <v>2</v>
      </c>
      <c r="E62" t="inlineStr">
        <is>
          <t>Curico 13.2</t>
        </is>
      </c>
      <c r="F62" t="inlineStr">
        <is>
          <t>CEC</t>
        </is>
      </c>
      <c r="G62" t="inlineStr">
        <is>
          <t>CEC</t>
        </is>
      </c>
      <c r="H62" t="inlineStr">
        <is>
          <t>San Juan SpA.</t>
        </is>
      </c>
      <c r="I62" t="inlineStr">
        <is>
          <t>San Juan SpA.</t>
        </is>
      </c>
      <c r="J62" t="inlineStr">
        <is>
          <t>SIC 2013/03_2_BS2A_BB_CEC_San Juan SpA.</t>
        </is>
      </c>
      <c r="K62" t="inlineStr">
        <is>
          <t>Curico 13.2</t>
        </is>
      </c>
      <c r="L62" t="inlineStr">
        <is>
          <t>-1</t>
        </is>
      </c>
      <c r="M62" t="n">
        <v>24493.43764852088</v>
      </c>
      <c r="N62" t="n">
        <v>0</v>
      </c>
      <c r="O62" t="inlineStr">
        <is>
          <t>5</t>
        </is>
      </c>
      <c r="P62" s="2" t="n">
        <v>44999.68429938657</v>
      </c>
      <c r="Q62" t="n">
        <v>22</v>
      </c>
      <c r="R62" t="inlineStr">
        <is>
          <t>RAPEL 220</t>
        </is>
      </c>
      <c r="S62" t="n">
        <v>136.6134613328832</v>
      </c>
      <c r="T62" t="n">
        <v>11342.25644650413</v>
      </c>
      <c r="U62" t="n">
        <v>0</v>
      </c>
      <c r="V62" t="n">
        <v>0</v>
      </c>
      <c r="W62" t="inlineStr">
        <is>
          <t>CEC</t>
        </is>
      </c>
      <c r="X62" t="n">
        <v>88.32387485474</v>
      </c>
      <c r="Y62" t="n">
        <v>11.34225644650413</v>
      </c>
      <c r="Z62" t="n">
        <v>12066.23026223844</v>
      </c>
      <c r="AA62" t="n">
        <v>0</v>
      </c>
      <c r="AB62" t="n">
        <v>0</v>
      </c>
      <c r="AC62" t="n">
        <v>0</v>
      </c>
      <c r="AD62" s="2" t="n">
        <v>44593</v>
      </c>
    </row>
    <row r="63">
      <c r="A63" t="n">
        <v>-1</v>
      </c>
      <c r="B63" t="inlineStr">
        <is>
          <t>01-02-2022</t>
        </is>
      </c>
      <c r="C63" t="n">
        <v>2022</v>
      </c>
      <c r="D63" t="n">
        <v>2</v>
      </c>
      <c r="E63" t="inlineStr">
        <is>
          <t>Quinta 13.8</t>
        </is>
      </c>
      <c r="F63" t="inlineStr">
        <is>
          <t>CEC</t>
        </is>
      </c>
      <c r="G63" t="inlineStr">
        <is>
          <t>CEC</t>
        </is>
      </c>
      <c r="H63" t="inlineStr">
        <is>
          <t>San Juan SpA.</t>
        </is>
      </c>
      <c r="I63" t="inlineStr">
        <is>
          <t>San Juan SpA.</t>
        </is>
      </c>
      <c r="J63" t="inlineStr">
        <is>
          <t>SIC 2013/03_2_BS2A_BB_CEC_San Juan SpA.</t>
        </is>
      </c>
      <c r="K63" t="inlineStr">
        <is>
          <t>Quinta 13.8</t>
        </is>
      </c>
      <c r="L63" t="inlineStr">
        <is>
          <t>-1</t>
        </is>
      </c>
      <c r="M63" t="n">
        <v>7229.8144764882</v>
      </c>
      <c r="N63" t="n">
        <v>0</v>
      </c>
      <c r="O63" t="inlineStr">
        <is>
          <t>5</t>
        </is>
      </c>
      <c r="P63" s="2" t="n">
        <v>44999.68429938657</v>
      </c>
      <c r="Q63" t="n">
        <v>8</v>
      </c>
      <c r="R63" t="inlineStr">
        <is>
          <t>ALTO JAHUEL 220</t>
        </is>
      </c>
      <c r="S63" t="n">
        <v>3521.738493053509</v>
      </c>
      <c r="T63" t="n">
        <v>300018.6785043943</v>
      </c>
      <c r="U63" t="n">
        <v>0</v>
      </c>
      <c r="V63" t="n">
        <v>0</v>
      </c>
      <c r="W63" t="inlineStr">
        <is>
          <t>CEC</t>
        </is>
      </c>
      <c r="X63" t="n">
        <v>90.62819614492001</v>
      </c>
      <c r="Y63" t="n">
        <v>300.0186785043943</v>
      </c>
      <c r="Z63" t="n">
        <v>319168.8069195684</v>
      </c>
      <c r="AA63" t="n">
        <v>0</v>
      </c>
      <c r="AB63" t="n">
        <v>0</v>
      </c>
      <c r="AC63" t="n">
        <v>0</v>
      </c>
      <c r="AD63" s="2" t="n">
        <v>44593</v>
      </c>
    </row>
    <row r="64">
      <c r="A64" t="n">
        <v>-1</v>
      </c>
      <c r="B64" t="inlineStr">
        <is>
          <t>01-02-2022</t>
        </is>
      </c>
      <c r="C64" t="n">
        <v>2022</v>
      </c>
      <c r="D64" t="n">
        <v>2</v>
      </c>
      <c r="E64" t="inlineStr">
        <is>
          <t>Quinta 13.8</t>
        </is>
      </c>
      <c r="F64" t="inlineStr">
        <is>
          <t>CEC</t>
        </is>
      </c>
      <c r="G64" t="inlineStr">
        <is>
          <t>CEC</t>
        </is>
      </c>
      <c r="H64" t="inlineStr">
        <is>
          <t>San Juan SpA.</t>
        </is>
      </c>
      <c r="I64" t="inlineStr">
        <is>
          <t>San Juan SpA.</t>
        </is>
      </c>
      <c r="J64" t="inlineStr">
        <is>
          <t>SIC 2013/03_2_BS2A_BB_CEC_San Juan SpA.</t>
        </is>
      </c>
      <c r="K64" t="inlineStr">
        <is>
          <t>Quinta 13.8</t>
        </is>
      </c>
      <c r="L64" t="inlineStr">
        <is>
          <t>-1</t>
        </is>
      </c>
      <c r="M64" t="n">
        <v>7229.8144764882</v>
      </c>
      <c r="N64" t="n">
        <v>0</v>
      </c>
      <c r="O64" t="inlineStr">
        <is>
          <t>5</t>
        </is>
      </c>
      <c r="P64" s="2" t="n">
        <v>44999.68429938657</v>
      </c>
      <c r="Q64" t="n">
        <v>34</v>
      </c>
      <c r="R64" t="inlineStr">
        <is>
          <t>CHARRUA 220</t>
        </is>
      </c>
      <c r="S64" t="n">
        <v>316.8260462720211</v>
      </c>
      <c r="T64" t="n">
        <v>23358.1431273611</v>
      </c>
      <c r="U64" t="n">
        <v>0</v>
      </c>
      <c r="V64" t="n">
        <v>0</v>
      </c>
      <c r="W64" t="inlineStr">
        <is>
          <t>CEC</t>
        </is>
      </c>
      <c r="X64" t="n">
        <v>78.43133077521</v>
      </c>
      <c r="Y64" t="n">
        <v>23.3581431273611</v>
      </c>
      <c r="Z64" t="n">
        <v>24849.08843336287</v>
      </c>
      <c r="AA64" t="n">
        <v>0</v>
      </c>
      <c r="AB64" t="n">
        <v>0</v>
      </c>
      <c r="AC64" t="n">
        <v>0</v>
      </c>
      <c r="AD64" s="2" t="n">
        <v>44593</v>
      </c>
    </row>
    <row r="65">
      <c r="A65" t="n">
        <v>-1</v>
      </c>
      <c r="B65" t="inlineStr">
        <is>
          <t>01-02-2022</t>
        </is>
      </c>
      <c r="C65" t="n">
        <v>2022</v>
      </c>
      <c r="D65" t="n">
        <v>2</v>
      </c>
      <c r="E65" t="inlineStr">
        <is>
          <t>Quinta 13.8</t>
        </is>
      </c>
      <c r="F65" t="inlineStr">
        <is>
          <t>CEC</t>
        </is>
      </c>
      <c r="G65" t="inlineStr">
        <is>
          <t>CEC</t>
        </is>
      </c>
      <c r="H65" t="inlineStr">
        <is>
          <t>San Juan SpA.</t>
        </is>
      </c>
      <c r="I65" t="inlineStr">
        <is>
          <t>San Juan SpA.</t>
        </is>
      </c>
      <c r="J65" t="inlineStr">
        <is>
          <t>SIC 2013/03_2_BS2A_BB_CEC_San Juan SpA.</t>
        </is>
      </c>
      <c r="K65" t="inlineStr">
        <is>
          <t>Quinta 13.8</t>
        </is>
      </c>
      <c r="L65" t="inlineStr">
        <is>
          <t>-1</t>
        </is>
      </c>
      <c r="M65" t="n">
        <v>7229.8144764882</v>
      </c>
      <c r="N65" t="n">
        <v>0</v>
      </c>
      <c r="O65" t="inlineStr">
        <is>
          <t>5</t>
        </is>
      </c>
      <c r="P65" s="2" t="n">
        <v>44999.68429938657</v>
      </c>
      <c r="Q65" t="n">
        <v>23</v>
      </c>
      <c r="R65" t="inlineStr">
        <is>
          <t>ITAHUE 220</t>
        </is>
      </c>
      <c r="S65" t="n">
        <v>3605.385965880473</v>
      </c>
      <c r="T65" t="n">
        <v>292469.6741555135</v>
      </c>
      <c r="U65" t="n">
        <v>0</v>
      </c>
      <c r="V65" t="n">
        <v>0</v>
      </c>
      <c r="W65" t="inlineStr">
        <is>
          <t>CEC</t>
        </is>
      </c>
      <c r="X65" t="n">
        <v>86.29809794949</v>
      </c>
      <c r="Y65" t="n">
        <v>292.4696741555134</v>
      </c>
      <c r="Z65" t="n">
        <v>311137.9512292697</v>
      </c>
      <c r="AA65" t="n">
        <v>0</v>
      </c>
      <c r="AB65" t="n">
        <v>0</v>
      </c>
      <c r="AC65" t="n">
        <v>0</v>
      </c>
      <c r="AD65" s="2" t="n">
        <v>44593</v>
      </c>
    </row>
    <row r="66">
      <c r="A66" t="n">
        <v>-1</v>
      </c>
      <c r="B66" t="inlineStr">
        <is>
          <t>01-02-2022</t>
        </is>
      </c>
      <c r="C66" t="n">
        <v>2022</v>
      </c>
      <c r="D66" t="n">
        <v>2</v>
      </c>
      <c r="E66" t="inlineStr">
        <is>
          <t>Quinta 13.8</t>
        </is>
      </c>
      <c r="F66" t="inlineStr">
        <is>
          <t>CEC</t>
        </is>
      </c>
      <c r="G66" t="inlineStr">
        <is>
          <t>CEC</t>
        </is>
      </c>
      <c r="H66" t="inlineStr">
        <is>
          <t>San Juan SpA.</t>
        </is>
      </c>
      <c r="I66" t="inlineStr">
        <is>
          <t>San Juan SpA.</t>
        </is>
      </c>
      <c r="J66" t="inlineStr">
        <is>
          <t>SIC 2013/03_2_BS2A_BB_CEC_San Juan SpA.</t>
        </is>
      </c>
      <c r="K66" t="inlineStr">
        <is>
          <t>Quinta 13.8</t>
        </is>
      </c>
      <c r="L66" t="inlineStr">
        <is>
          <t>-1</t>
        </is>
      </c>
      <c r="M66" t="n">
        <v>7229.8144764882</v>
      </c>
      <c r="N66" t="n">
        <v>0</v>
      </c>
      <c r="O66" t="inlineStr">
        <is>
          <t>5</t>
        </is>
      </c>
      <c r="P66" s="2" t="n">
        <v>44999.68429938657</v>
      </c>
      <c r="Q66" t="n">
        <v>22</v>
      </c>
      <c r="R66" t="inlineStr">
        <is>
          <t>RAPEL 220</t>
        </is>
      </c>
      <c r="S66" t="n">
        <v>51.34275885884421</v>
      </c>
      <c r="T66" t="n">
        <v>4262.70392365691</v>
      </c>
      <c r="U66" t="n">
        <v>0</v>
      </c>
      <c r="V66" t="n">
        <v>0</v>
      </c>
      <c r="W66" t="inlineStr">
        <is>
          <t>CEC</t>
        </is>
      </c>
      <c r="X66" t="n">
        <v>88.32387485474</v>
      </c>
      <c r="Y66" t="n">
        <v>4.26270392365691</v>
      </c>
      <c r="Z66" t="n">
        <v>4534.791408145649</v>
      </c>
      <c r="AA66" t="n">
        <v>0</v>
      </c>
      <c r="AB66" t="n">
        <v>0</v>
      </c>
      <c r="AC66" t="n">
        <v>0</v>
      </c>
      <c r="AD66" s="2" t="n">
        <v>44593</v>
      </c>
    </row>
    <row r="67">
      <c r="A67" t="n">
        <v>-1</v>
      </c>
      <c r="B67" t="inlineStr">
        <is>
          <t>01-02-2022</t>
        </is>
      </c>
      <c r="C67" t="n">
        <v>2022</v>
      </c>
      <c r="D67" t="n">
        <v>2</v>
      </c>
      <c r="E67" t="inlineStr">
        <is>
          <t>Teno 13.2</t>
        </is>
      </c>
      <c r="F67" t="inlineStr">
        <is>
          <t>CEC</t>
        </is>
      </c>
      <c r="G67" t="inlineStr">
        <is>
          <t>CEC</t>
        </is>
      </c>
      <c r="H67" t="inlineStr">
        <is>
          <t>San Juan SpA.</t>
        </is>
      </c>
      <c r="I67" t="inlineStr">
        <is>
          <t>San Juan SpA.</t>
        </is>
      </c>
      <c r="J67" t="inlineStr">
        <is>
          <t>SIC 2013/03_2_BS2A_BB_CEC_San Juan SpA.</t>
        </is>
      </c>
      <c r="K67" t="inlineStr">
        <is>
          <t>Teno 13.2</t>
        </is>
      </c>
      <c r="L67" t="inlineStr">
        <is>
          <t>-1</t>
        </is>
      </c>
      <c r="M67" t="n">
        <v>9926.678873362043</v>
      </c>
      <c r="N67" t="n">
        <v>0</v>
      </c>
      <c r="O67" t="inlineStr">
        <is>
          <t>5</t>
        </is>
      </c>
      <c r="P67" s="2" t="n">
        <v>44999.68429938657</v>
      </c>
      <c r="Q67" t="n">
        <v>8</v>
      </c>
      <c r="R67" t="inlineStr">
        <is>
          <t>ALTO JAHUEL 220</t>
        </is>
      </c>
      <c r="S67" t="n">
        <v>4270.842406460638</v>
      </c>
      <c r="T67" t="n">
        <v>363835.2187177515</v>
      </c>
      <c r="U67" t="n">
        <v>0</v>
      </c>
      <c r="V67" t="n">
        <v>0</v>
      </c>
      <c r="W67" t="inlineStr">
        <is>
          <t>CEC</t>
        </is>
      </c>
      <c r="X67" t="n">
        <v>90.62819614492001</v>
      </c>
      <c r="Y67" t="n">
        <v>363.8352187177515</v>
      </c>
      <c r="Z67" t="n">
        <v>387058.7433167569</v>
      </c>
      <c r="AA67" t="n">
        <v>0</v>
      </c>
      <c r="AB67" t="n">
        <v>0</v>
      </c>
      <c r="AC67" t="n">
        <v>0</v>
      </c>
      <c r="AD67" s="2" t="n">
        <v>44593</v>
      </c>
    </row>
    <row r="68">
      <c r="A68" t="n">
        <v>-1</v>
      </c>
      <c r="B68" t="inlineStr">
        <is>
          <t>01-02-2022</t>
        </is>
      </c>
      <c r="C68" t="n">
        <v>2022</v>
      </c>
      <c r="D68" t="n">
        <v>2</v>
      </c>
      <c r="E68" t="inlineStr">
        <is>
          <t>Teno 13.2</t>
        </is>
      </c>
      <c r="F68" t="inlineStr">
        <is>
          <t>CEC</t>
        </is>
      </c>
      <c r="G68" t="inlineStr">
        <is>
          <t>CEC</t>
        </is>
      </c>
      <c r="H68" t="inlineStr">
        <is>
          <t>San Juan SpA.</t>
        </is>
      </c>
      <c r="I68" t="inlineStr">
        <is>
          <t>San Juan SpA.</t>
        </is>
      </c>
      <c r="J68" t="inlineStr">
        <is>
          <t>SIC 2013/03_2_BS2A_BB_CEC_San Juan SpA.</t>
        </is>
      </c>
      <c r="K68" t="inlineStr">
        <is>
          <t>Teno 13.2</t>
        </is>
      </c>
      <c r="L68" t="inlineStr">
        <is>
          <t>-1</t>
        </is>
      </c>
      <c r="M68" t="n">
        <v>9926.678873362043</v>
      </c>
      <c r="N68" t="n">
        <v>0</v>
      </c>
      <c r="O68" t="inlineStr">
        <is>
          <t>5</t>
        </is>
      </c>
      <c r="P68" s="2" t="n">
        <v>44999.68429938657</v>
      </c>
      <c r="Q68" t="n">
        <v>34</v>
      </c>
      <c r="R68" t="inlineStr">
        <is>
          <t>CHARRUA 220</t>
        </is>
      </c>
      <c r="S68" t="n">
        <v>307.294829534734</v>
      </c>
      <c r="T68" t="n">
        <v>22655.44987550547</v>
      </c>
      <c r="U68" t="n">
        <v>0</v>
      </c>
      <c r="V68" t="n">
        <v>0</v>
      </c>
      <c r="W68" t="inlineStr">
        <is>
          <t>CEC</t>
        </is>
      </c>
      <c r="X68" t="n">
        <v>78.43133077521</v>
      </c>
      <c r="Y68" t="n">
        <v>22.65544987550547</v>
      </c>
      <c r="Z68" t="n">
        <v>24101.5424207505</v>
      </c>
      <c r="AA68" t="n">
        <v>0</v>
      </c>
      <c r="AB68" t="n">
        <v>0</v>
      </c>
      <c r="AC68" t="n">
        <v>0</v>
      </c>
      <c r="AD68" s="2" t="n">
        <v>44593</v>
      </c>
    </row>
    <row r="69">
      <c r="A69" t="n">
        <v>-1</v>
      </c>
      <c r="B69" t="inlineStr">
        <is>
          <t>01-02-2022</t>
        </is>
      </c>
      <c r="C69" t="n">
        <v>2022</v>
      </c>
      <c r="D69" t="n">
        <v>2</v>
      </c>
      <c r="E69" t="inlineStr">
        <is>
          <t>Teno 13.2</t>
        </is>
      </c>
      <c r="F69" t="inlineStr">
        <is>
          <t>CEC</t>
        </is>
      </c>
      <c r="G69" t="inlineStr">
        <is>
          <t>CEC</t>
        </is>
      </c>
      <c r="H69" t="inlineStr">
        <is>
          <t>San Juan SpA.</t>
        </is>
      </c>
      <c r="I69" t="inlineStr">
        <is>
          <t>San Juan SpA.</t>
        </is>
      </c>
      <c r="J69" t="inlineStr">
        <is>
          <t>SIC 2013/03_2_BS2A_BB_CEC_San Juan SpA.</t>
        </is>
      </c>
      <c r="K69" t="inlineStr">
        <is>
          <t>Teno 13.2</t>
        </is>
      </c>
      <c r="L69" t="inlineStr">
        <is>
          <t>-1</t>
        </is>
      </c>
      <c r="M69" t="n">
        <v>9926.678873362043</v>
      </c>
      <c r="N69" t="n">
        <v>0</v>
      </c>
      <c r="O69" t="inlineStr">
        <is>
          <t>5</t>
        </is>
      </c>
      <c r="P69" s="2" t="n">
        <v>44999.68429938657</v>
      </c>
      <c r="Q69" t="n">
        <v>23</v>
      </c>
      <c r="R69" t="inlineStr">
        <is>
          <t>ITAHUE 220</t>
        </is>
      </c>
      <c r="S69" t="n">
        <v>5625.368376432563</v>
      </c>
      <c r="T69" t="n">
        <v>456331.0756822604</v>
      </c>
      <c r="U69" t="n">
        <v>0</v>
      </c>
      <c r="V69" t="n">
        <v>0</v>
      </c>
      <c r="W69" t="inlineStr">
        <is>
          <t>CEC</t>
        </is>
      </c>
      <c r="X69" t="n">
        <v>86.29809794949</v>
      </c>
      <c r="Y69" t="n">
        <v>456.3310756822603</v>
      </c>
      <c r="Z69" t="n">
        <v>485458.5911513409</v>
      </c>
      <c r="AA69" t="n">
        <v>0</v>
      </c>
      <c r="AB69" t="n">
        <v>0</v>
      </c>
      <c r="AC69" t="n">
        <v>0</v>
      </c>
      <c r="AD69" s="2" t="n">
        <v>44593</v>
      </c>
    </row>
    <row r="70">
      <c r="A70" t="n">
        <v>-1</v>
      </c>
      <c r="B70" t="inlineStr">
        <is>
          <t>01-02-2022</t>
        </is>
      </c>
      <c r="C70" t="n">
        <v>2022</v>
      </c>
      <c r="D70" t="n">
        <v>2</v>
      </c>
      <c r="E70" t="inlineStr">
        <is>
          <t>Teno 13.2</t>
        </is>
      </c>
      <c r="F70" t="inlineStr">
        <is>
          <t>CEC</t>
        </is>
      </c>
      <c r="G70" t="inlineStr">
        <is>
          <t>CEC</t>
        </is>
      </c>
      <c r="H70" t="inlineStr">
        <is>
          <t>San Juan SpA.</t>
        </is>
      </c>
      <c r="I70" t="inlineStr">
        <is>
          <t>San Juan SpA.</t>
        </is>
      </c>
      <c r="J70" t="inlineStr">
        <is>
          <t>SIC 2013/03_2_BS2A_BB_CEC_San Juan SpA.</t>
        </is>
      </c>
      <c r="K70" t="inlineStr">
        <is>
          <t>Teno 13.2</t>
        </is>
      </c>
      <c r="L70" t="inlineStr">
        <is>
          <t>-1</t>
        </is>
      </c>
      <c r="M70" t="n">
        <v>9926.678873362043</v>
      </c>
      <c r="N70" t="n">
        <v>0</v>
      </c>
      <c r="O70" t="inlineStr">
        <is>
          <t>5</t>
        </is>
      </c>
      <c r="P70" s="2" t="n">
        <v>44999.68429938657</v>
      </c>
      <c r="Q70" t="n">
        <v>13</v>
      </c>
      <c r="R70" t="inlineStr">
        <is>
          <t>MELIPILLA 220</t>
        </is>
      </c>
      <c r="S70" t="n">
        <v>29.63861718218467</v>
      </c>
      <c r="T70" t="n">
        <v>2456.967081157861</v>
      </c>
      <c r="U70" t="n">
        <v>0</v>
      </c>
      <c r="V70" t="n">
        <v>0</v>
      </c>
      <c r="W70" t="inlineStr">
        <is>
          <t>CEC</t>
        </is>
      </c>
      <c r="X70" t="n">
        <v>88.18882308586001</v>
      </c>
      <c r="Y70" t="n">
        <v>2.456967081157862</v>
      </c>
      <c r="Z70" t="n">
        <v>2613.794767189214</v>
      </c>
      <c r="AA70" t="n">
        <v>0</v>
      </c>
      <c r="AB70" t="n">
        <v>0</v>
      </c>
      <c r="AC70" t="n">
        <v>0</v>
      </c>
      <c r="AD70" s="2" t="n">
        <v>44593</v>
      </c>
    </row>
    <row r="71">
      <c r="A71" t="n">
        <v>-1</v>
      </c>
      <c r="B71" t="inlineStr">
        <is>
          <t>01-02-2022</t>
        </is>
      </c>
      <c r="C71" t="n">
        <v>2022</v>
      </c>
      <c r="D71" t="n">
        <v>2</v>
      </c>
      <c r="E71" t="inlineStr">
        <is>
          <t>Teno 13.2</t>
        </is>
      </c>
      <c r="F71" t="inlineStr">
        <is>
          <t>CEC</t>
        </is>
      </c>
      <c r="G71" t="inlineStr">
        <is>
          <t>CEC</t>
        </is>
      </c>
      <c r="H71" t="inlineStr">
        <is>
          <t>San Juan SpA.</t>
        </is>
      </c>
      <c r="I71" t="inlineStr">
        <is>
          <t>San Juan SpA.</t>
        </is>
      </c>
      <c r="J71" t="inlineStr">
        <is>
          <t>SIC 2013/03_2_BS2A_BB_CEC_San Juan SpA.</t>
        </is>
      </c>
      <c r="K71" t="inlineStr">
        <is>
          <t>Teno 13.2</t>
        </is>
      </c>
      <c r="L71" t="inlineStr">
        <is>
          <t>-1</t>
        </is>
      </c>
      <c r="M71" t="n">
        <v>9926.678873362043</v>
      </c>
      <c r="N71" t="n">
        <v>0</v>
      </c>
      <c r="O71" t="inlineStr">
        <is>
          <t>5</t>
        </is>
      </c>
      <c r="P71" s="2" t="n">
        <v>44999.68429938657</v>
      </c>
      <c r="Q71" t="n">
        <v>22</v>
      </c>
      <c r="R71" t="inlineStr">
        <is>
          <t>RAPEL 220</t>
        </is>
      </c>
      <c r="S71" t="n">
        <v>58.04229198177831</v>
      </c>
      <c r="T71" t="n">
        <v>4818.928925284014</v>
      </c>
      <c r="U71" t="n">
        <v>0</v>
      </c>
      <c r="V71" t="n">
        <v>0</v>
      </c>
      <c r="W71" t="inlineStr">
        <is>
          <t>CEC</t>
        </is>
      </c>
      <c r="X71" t="n">
        <v>88.32387485474001</v>
      </c>
      <c r="Y71" t="n">
        <v>4.818928925284015</v>
      </c>
      <c r="Z71" t="n">
        <v>5126.520133280867</v>
      </c>
      <c r="AA71" t="n">
        <v>0</v>
      </c>
      <c r="AB71" t="n">
        <v>0</v>
      </c>
      <c r="AC71" t="n">
        <v>0</v>
      </c>
      <c r="AD71" s="2" t="n">
        <v>44593</v>
      </c>
    </row>
    <row r="72">
      <c r="A72" t="n">
        <v>-1</v>
      </c>
      <c r="B72" t="inlineStr">
        <is>
          <t>01-03-2022</t>
        </is>
      </c>
      <c r="C72" t="n">
        <v>2022</v>
      </c>
      <c r="D72" t="n">
        <v>3</v>
      </c>
      <c r="E72" t="inlineStr">
        <is>
          <t>Curico 13.2</t>
        </is>
      </c>
      <c r="F72" t="inlineStr">
        <is>
          <t>CEC</t>
        </is>
      </c>
      <c r="G72" t="inlineStr">
        <is>
          <t>CEC</t>
        </is>
      </c>
      <c r="H72" t="inlineStr">
        <is>
          <t>San Juan SpA.</t>
        </is>
      </c>
      <c r="I72" t="inlineStr">
        <is>
          <t>San Juan SpA.</t>
        </is>
      </c>
      <c r="J72" t="inlineStr">
        <is>
          <t>SIC 2013/03_2_BS2A_BB_CEC_San Juan SpA.</t>
        </is>
      </c>
      <c r="K72" t="inlineStr">
        <is>
          <t>Curico 13.2</t>
        </is>
      </c>
      <c r="L72" t="inlineStr">
        <is>
          <t>-1</t>
        </is>
      </c>
      <c r="M72" t="n">
        <v>24088.91517326302</v>
      </c>
      <c r="N72" t="n">
        <v>0</v>
      </c>
      <c r="O72" t="inlineStr">
        <is>
          <t>5</t>
        </is>
      </c>
      <c r="P72" s="2" t="n">
        <v>44999.68429938657</v>
      </c>
      <c r="Q72" t="n">
        <v>8</v>
      </c>
      <c r="R72" t="inlineStr">
        <is>
          <t>ALTO JAHUEL 220</t>
        </is>
      </c>
      <c r="S72" t="n">
        <v>9503.400521076341</v>
      </c>
      <c r="T72" t="n">
        <v>809599.483679771</v>
      </c>
      <c r="U72" t="n">
        <v>0</v>
      </c>
      <c r="V72" t="n">
        <v>0</v>
      </c>
      <c r="W72" t="inlineStr">
        <is>
          <t>CEC</t>
        </is>
      </c>
      <c r="X72" t="n">
        <v>90.62819614492</v>
      </c>
      <c r="Y72" t="n">
        <v>809.599483679771</v>
      </c>
      <c r="Z72" t="n">
        <v>861276.0464678415</v>
      </c>
      <c r="AA72" t="n">
        <v>0</v>
      </c>
      <c r="AB72" t="n">
        <v>0</v>
      </c>
      <c r="AC72" t="n">
        <v>0</v>
      </c>
      <c r="AD72" s="2" t="n">
        <v>44621</v>
      </c>
    </row>
    <row r="73">
      <c r="A73" t="n">
        <v>-1</v>
      </c>
      <c r="B73" t="inlineStr">
        <is>
          <t>01-03-2022</t>
        </is>
      </c>
      <c r="C73" t="n">
        <v>2022</v>
      </c>
      <c r="D73" t="n">
        <v>3</v>
      </c>
      <c r="E73" t="inlineStr">
        <is>
          <t>Curico 13.2</t>
        </is>
      </c>
      <c r="F73" t="inlineStr">
        <is>
          <t>CEC</t>
        </is>
      </c>
      <c r="G73" t="inlineStr">
        <is>
          <t>CEC</t>
        </is>
      </c>
      <c r="H73" t="inlineStr">
        <is>
          <t>San Juan SpA.</t>
        </is>
      </c>
      <c r="I73" t="inlineStr">
        <is>
          <t>San Juan SpA.</t>
        </is>
      </c>
      <c r="J73" t="inlineStr">
        <is>
          <t>SIC 2013/03_2_BS2A_BB_CEC_San Juan SpA.</t>
        </is>
      </c>
      <c r="K73" t="inlineStr">
        <is>
          <t>Curico 13.2</t>
        </is>
      </c>
      <c r="L73" t="inlineStr">
        <is>
          <t>-1</t>
        </is>
      </c>
      <c r="M73" t="n">
        <v>24088.91517326302</v>
      </c>
      <c r="N73" t="n">
        <v>0</v>
      </c>
      <c r="O73" t="inlineStr">
        <is>
          <t>5</t>
        </is>
      </c>
      <c r="P73" s="2" t="n">
        <v>44999.68429938657</v>
      </c>
      <c r="Q73" t="n">
        <v>34</v>
      </c>
      <c r="R73" t="inlineStr">
        <is>
          <t>CHARRUA 220</t>
        </is>
      </c>
      <c r="S73" t="n">
        <v>1796.590722358312</v>
      </c>
      <c r="T73" t="n">
        <v>132454.4611401808</v>
      </c>
      <c r="U73" t="n">
        <v>0</v>
      </c>
      <c r="V73" t="n">
        <v>0</v>
      </c>
      <c r="W73" t="inlineStr">
        <is>
          <t>CEC</t>
        </is>
      </c>
      <c r="X73" t="n">
        <v>78.43133077521001</v>
      </c>
      <c r="Y73" t="n">
        <v>132.4544611401808</v>
      </c>
      <c r="Z73" t="n">
        <v>140909.0012129583</v>
      </c>
      <c r="AA73" t="n">
        <v>0</v>
      </c>
      <c r="AB73" t="n">
        <v>0</v>
      </c>
      <c r="AC73" t="n">
        <v>0</v>
      </c>
      <c r="AD73" s="2" t="n">
        <v>44621</v>
      </c>
    </row>
    <row r="74">
      <c r="A74" t="n">
        <v>-1</v>
      </c>
      <c r="B74" t="inlineStr">
        <is>
          <t>01-03-2022</t>
        </is>
      </c>
      <c r="C74" t="n">
        <v>2022</v>
      </c>
      <c r="D74" t="n">
        <v>3</v>
      </c>
      <c r="E74" t="inlineStr">
        <is>
          <t>Curico 13.2</t>
        </is>
      </c>
      <c r="F74" t="inlineStr">
        <is>
          <t>CEC</t>
        </is>
      </c>
      <c r="G74" t="inlineStr">
        <is>
          <t>CEC</t>
        </is>
      </c>
      <c r="H74" t="inlineStr">
        <is>
          <t>San Juan SpA.</t>
        </is>
      </c>
      <c r="I74" t="inlineStr">
        <is>
          <t>San Juan SpA.</t>
        </is>
      </c>
      <c r="J74" t="inlineStr">
        <is>
          <t>SIC 2013/03_2_BS2A_BB_CEC_San Juan SpA.</t>
        </is>
      </c>
      <c r="K74" t="inlineStr">
        <is>
          <t>Curico 13.2</t>
        </is>
      </c>
      <c r="L74" t="inlineStr">
        <is>
          <t>-1</t>
        </is>
      </c>
      <c r="M74" t="n">
        <v>24088.91517326302</v>
      </c>
      <c r="N74" t="n">
        <v>0</v>
      </c>
      <c r="O74" t="inlineStr">
        <is>
          <t>5</t>
        </is>
      </c>
      <c r="P74" s="2" t="n">
        <v>44999.68429938657</v>
      </c>
      <c r="Q74" t="n">
        <v>23</v>
      </c>
      <c r="R74" t="inlineStr">
        <is>
          <t>ITAHUE 220</t>
        </is>
      </c>
      <c r="S74" t="n">
        <v>13499.40387782577</v>
      </c>
      <c r="T74" t="n">
        <v>1095074.505421833</v>
      </c>
      <c r="U74" t="n">
        <v>0</v>
      </c>
      <c r="V74" t="n">
        <v>0</v>
      </c>
      <c r="W74" t="inlineStr">
        <is>
          <t>CEC</t>
        </is>
      </c>
      <c r="X74" t="n">
        <v>86.29809794949</v>
      </c>
      <c r="Y74" t="n">
        <v>1095.074505421833</v>
      </c>
      <c r="Z74" t="n">
        <v>1164972.878108333</v>
      </c>
      <c r="AA74" t="n">
        <v>0</v>
      </c>
      <c r="AB74" t="n">
        <v>0</v>
      </c>
      <c r="AC74" t="n">
        <v>0</v>
      </c>
      <c r="AD74" s="2" t="n">
        <v>44621</v>
      </c>
    </row>
    <row r="75">
      <c r="A75" t="n">
        <v>-1</v>
      </c>
      <c r="B75" t="inlineStr">
        <is>
          <t>01-03-2022</t>
        </is>
      </c>
      <c r="C75" t="n">
        <v>2022</v>
      </c>
      <c r="D75" t="n">
        <v>3</v>
      </c>
      <c r="E75" t="inlineStr">
        <is>
          <t>Curico 13.2</t>
        </is>
      </c>
      <c r="F75" t="inlineStr">
        <is>
          <t>CEC</t>
        </is>
      </c>
      <c r="G75" t="inlineStr">
        <is>
          <t>CEC</t>
        </is>
      </c>
      <c r="H75" t="inlineStr">
        <is>
          <t>San Juan SpA.</t>
        </is>
      </c>
      <c r="I75" t="inlineStr">
        <is>
          <t>San Juan SpA.</t>
        </is>
      </c>
      <c r="J75" t="inlineStr">
        <is>
          <t>SIC 2013/03_2_BS2A_BB_CEC_San Juan SpA.</t>
        </is>
      </c>
      <c r="K75" t="inlineStr">
        <is>
          <t>Curico 13.2</t>
        </is>
      </c>
      <c r="L75" t="inlineStr">
        <is>
          <t>-1</t>
        </is>
      </c>
      <c r="M75" t="n">
        <v>24088.91517326302</v>
      </c>
      <c r="N75" t="n">
        <v>0</v>
      </c>
      <c r="O75" t="inlineStr">
        <is>
          <t>5</t>
        </is>
      </c>
      <c r="P75" s="2" t="n">
        <v>44999.68429938657</v>
      </c>
      <c r="Q75" t="n">
        <v>13</v>
      </c>
      <c r="R75" t="inlineStr">
        <is>
          <t>MELIPILLA 220</t>
        </is>
      </c>
      <c r="S75" t="n">
        <v>39.70780162009613</v>
      </c>
      <c r="T75" t="n">
        <v>3291.677234670898</v>
      </c>
      <c r="U75" t="n">
        <v>0</v>
      </c>
      <c r="V75" t="n">
        <v>0</v>
      </c>
      <c r="W75" t="inlineStr">
        <is>
          <t>CEC</t>
        </is>
      </c>
      <c r="X75" t="n">
        <v>88.18882308586001</v>
      </c>
      <c r="Y75" t="n">
        <v>3.291677234670898</v>
      </c>
      <c r="Z75" t="n">
        <v>3501.784292203083</v>
      </c>
      <c r="AA75" t="n">
        <v>0</v>
      </c>
      <c r="AB75" t="n">
        <v>0</v>
      </c>
      <c r="AC75" t="n">
        <v>0</v>
      </c>
      <c r="AD75" s="2" t="n">
        <v>44621</v>
      </c>
    </row>
    <row r="76">
      <c r="A76" t="n">
        <v>-1</v>
      </c>
      <c r="B76" t="inlineStr">
        <is>
          <t>01-03-2022</t>
        </is>
      </c>
      <c r="C76" t="n">
        <v>2022</v>
      </c>
      <c r="D76" t="n">
        <v>3</v>
      </c>
      <c r="E76" t="inlineStr">
        <is>
          <t>Curico 13.2</t>
        </is>
      </c>
      <c r="F76" t="inlineStr">
        <is>
          <t>CEC</t>
        </is>
      </c>
      <c r="G76" t="inlineStr">
        <is>
          <t>CEC</t>
        </is>
      </c>
      <c r="H76" t="inlineStr">
        <is>
          <t>San Juan SpA.</t>
        </is>
      </c>
      <c r="I76" t="inlineStr">
        <is>
          <t>San Juan SpA.</t>
        </is>
      </c>
      <c r="J76" t="inlineStr">
        <is>
          <t>SIC 2013/03_2_BS2A_BB_CEC_San Juan SpA.</t>
        </is>
      </c>
      <c r="K76" t="inlineStr">
        <is>
          <t>Curico 13.2</t>
        </is>
      </c>
      <c r="L76" t="inlineStr">
        <is>
          <t>-1</t>
        </is>
      </c>
      <c r="M76" t="n">
        <v>24088.91517326302</v>
      </c>
      <c r="N76" t="n">
        <v>0</v>
      </c>
      <c r="O76" t="inlineStr">
        <is>
          <t>5</t>
        </is>
      </c>
      <c r="P76" s="2" t="n">
        <v>44999.68429938657</v>
      </c>
      <c r="Q76" t="n">
        <v>22</v>
      </c>
      <c r="R76" t="inlineStr">
        <is>
          <t>RAPEL 220</t>
        </is>
      </c>
      <c r="S76" t="n">
        <v>134.3572155447278</v>
      </c>
      <c r="T76" t="n">
        <v>11154.93289810764</v>
      </c>
      <c r="U76" t="n">
        <v>0</v>
      </c>
      <c r="V76" t="n">
        <v>0</v>
      </c>
      <c r="W76" t="inlineStr">
        <is>
          <t>CEC</t>
        </is>
      </c>
      <c r="X76" t="n">
        <v>88.32387485474</v>
      </c>
      <c r="Y76" t="n">
        <v>11.15493289810763</v>
      </c>
      <c r="Z76" t="n">
        <v>11866.94989160387</v>
      </c>
      <c r="AA76" t="n">
        <v>0</v>
      </c>
      <c r="AB76" t="n">
        <v>0</v>
      </c>
      <c r="AC76" t="n">
        <v>0</v>
      </c>
      <c r="AD76" s="2" t="n">
        <v>44621</v>
      </c>
    </row>
    <row r="77">
      <c r="A77" t="n">
        <v>-1</v>
      </c>
      <c r="B77" t="inlineStr">
        <is>
          <t>01-03-2022</t>
        </is>
      </c>
      <c r="C77" t="n">
        <v>2022</v>
      </c>
      <c r="D77" t="n">
        <v>3</v>
      </c>
      <c r="E77" t="inlineStr">
        <is>
          <t>Quinta 13.8</t>
        </is>
      </c>
      <c r="F77" t="inlineStr">
        <is>
          <t>CEC</t>
        </is>
      </c>
      <c r="G77" t="inlineStr">
        <is>
          <t>CEC</t>
        </is>
      </c>
      <c r="H77" t="inlineStr">
        <is>
          <t>San Juan SpA.</t>
        </is>
      </c>
      <c r="I77" t="inlineStr">
        <is>
          <t>San Juan SpA.</t>
        </is>
      </c>
      <c r="J77" t="inlineStr">
        <is>
          <t>SIC 2013/03_2_BS2A_BB_CEC_San Juan SpA.</t>
        </is>
      </c>
      <c r="K77" t="inlineStr">
        <is>
          <t>Quinta 13.8</t>
        </is>
      </c>
      <c r="L77" t="inlineStr">
        <is>
          <t>-1</t>
        </is>
      </c>
      <c r="M77" t="n">
        <v>6672.729171553417</v>
      </c>
      <c r="N77" t="n">
        <v>0</v>
      </c>
      <c r="O77" t="inlineStr">
        <is>
          <t>5</t>
        </is>
      </c>
      <c r="P77" s="2" t="n">
        <v>44999.68429938657</v>
      </c>
      <c r="Q77" t="n">
        <v>8</v>
      </c>
      <c r="R77" t="inlineStr">
        <is>
          <t>ALTO JAHUEL 220</t>
        </is>
      </c>
      <c r="S77" t="n">
        <v>3250.374854514302</v>
      </c>
      <c r="T77" t="n">
        <v>276901.0732678716</v>
      </c>
      <c r="U77" t="n">
        <v>0</v>
      </c>
      <c r="V77" t="n">
        <v>0</v>
      </c>
      <c r="W77" t="inlineStr">
        <is>
          <t>CEC</t>
        </is>
      </c>
      <c r="X77" t="n">
        <v>90.62819614492001</v>
      </c>
      <c r="Y77" t="n">
        <v>276.9010732678717</v>
      </c>
      <c r="Z77" t="n">
        <v>294575.6098594379</v>
      </c>
      <c r="AA77" t="n">
        <v>0</v>
      </c>
      <c r="AB77" t="n">
        <v>0</v>
      </c>
      <c r="AC77" t="n">
        <v>0</v>
      </c>
      <c r="AD77" s="2" t="n">
        <v>44621</v>
      </c>
    </row>
    <row r="78">
      <c r="A78" t="n">
        <v>-1</v>
      </c>
      <c r="B78" t="inlineStr">
        <is>
          <t>01-03-2022</t>
        </is>
      </c>
      <c r="C78" t="n">
        <v>2022</v>
      </c>
      <c r="D78" t="n">
        <v>3</v>
      </c>
      <c r="E78" t="inlineStr">
        <is>
          <t>Quinta 13.8</t>
        </is>
      </c>
      <c r="F78" t="inlineStr">
        <is>
          <t>CEC</t>
        </is>
      </c>
      <c r="G78" t="inlineStr">
        <is>
          <t>CEC</t>
        </is>
      </c>
      <c r="H78" t="inlineStr">
        <is>
          <t>San Juan SpA.</t>
        </is>
      </c>
      <c r="I78" t="inlineStr">
        <is>
          <t>San Juan SpA.</t>
        </is>
      </c>
      <c r="J78" t="inlineStr">
        <is>
          <t>SIC 2013/03_2_BS2A_BB_CEC_San Juan SpA.</t>
        </is>
      </c>
      <c r="K78" t="inlineStr">
        <is>
          <t>Quinta 13.8</t>
        </is>
      </c>
      <c r="L78" t="inlineStr">
        <is>
          <t>-1</t>
        </is>
      </c>
      <c r="M78" t="n">
        <v>6672.729171553417</v>
      </c>
      <c r="N78" t="n">
        <v>0</v>
      </c>
      <c r="O78" t="inlineStr">
        <is>
          <t>5</t>
        </is>
      </c>
      <c r="P78" s="2" t="n">
        <v>44999.68429938657</v>
      </c>
      <c r="Q78" t="n">
        <v>34</v>
      </c>
      <c r="R78" t="inlineStr">
        <is>
          <t>CHARRUA 220</t>
        </is>
      </c>
      <c r="S78" t="n">
        <v>292.413368025198</v>
      </c>
      <c r="T78" t="n">
        <v>21558.30741523687</v>
      </c>
      <c r="U78" t="n">
        <v>0</v>
      </c>
      <c r="V78" t="n">
        <v>0</v>
      </c>
      <c r="W78" t="inlineStr">
        <is>
          <t>CEC</t>
        </is>
      </c>
      <c r="X78" t="n">
        <v>78.43133077521</v>
      </c>
      <c r="Y78" t="n">
        <v>21.55830741523687</v>
      </c>
      <c r="Z78" t="n">
        <v>22934.36959067752</v>
      </c>
      <c r="AA78" t="n">
        <v>0</v>
      </c>
      <c r="AB78" t="n">
        <v>0</v>
      </c>
      <c r="AC78" t="n">
        <v>0</v>
      </c>
      <c r="AD78" s="2" t="n">
        <v>44621</v>
      </c>
    </row>
    <row r="79">
      <c r="A79" t="n">
        <v>-1</v>
      </c>
      <c r="B79" t="inlineStr">
        <is>
          <t>01-03-2022</t>
        </is>
      </c>
      <c r="C79" t="n">
        <v>2022</v>
      </c>
      <c r="D79" t="n">
        <v>3</v>
      </c>
      <c r="E79" t="inlineStr">
        <is>
          <t>Quinta 13.8</t>
        </is>
      </c>
      <c r="F79" t="inlineStr">
        <is>
          <t>CEC</t>
        </is>
      </c>
      <c r="G79" t="inlineStr">
        <is>
          <t>CEC</t>
        </is>
      </c>
      <c r="H79" t="inlineStr">
        <is>
          <t>San Juan SpA.</t>
        </is>
      </c>
      <c r="I79" t="inlineStr">
        <is>
          <t>San Juan SpA.</t>
        </is>
      </c>
      <c r="J79" t="inlineStr">
        <is>
          <t>SIC 2013/03_2_BS2A_BB_CEC_San Juan SpA.</t>
        </is>
      </c>
      <c r="K79" t="inlineStr">
        <is>
          <t>Quinta 13.8</t>
        </is>
      </c>
      <c r="L79" t="inlineStr">
        <is>
          <t>-1</t>
        </is>
      </c>
      <c r="M79" t="n">
        <v>6672.729171553417</v>
      </c>
      <c r="N79" t="n">
        <v>0</v>
      </c>
      <c r="O79" t="inlineStr">
        <is>
          <t>5</t>
        </is>
      </c>
      <c r="P79" s="2" t="n">
        <v>44999.68429938657</v>
      </c>
      <c r="Q79" t="n">
        <v>23</v>
      </c>
      <c r="R79" t="inlineStr">
        <is>
          <t>ITAHUE 220</t>
        </is>
      </c>
      <c r="S79" t="n">
        <v>3327.57696445424</v>
      </c>
      <c r="T79" t="n">
        <v>269933.7490441623</v>
      </c>
      <c r="U79" t="n">
        <v>0</v>
      </c>
      <c r="V79" t="n">
        <v>0</v>
      </c>
      <c r="W79" t="inlineStr">
        <is>
          <t>CEC</t>
        </is>
      </c>
      <c r="X79" t="n">
        <v>86.29809794949001</v>
      </c>
      <c r="Y79" t="n">
        <v>269.9337490441623</v>
      </c>
      <c r="Z79" t="n">
        <v>287163.5628129386</v>
      </c>
      <c r="AA79" t="n">
        <v>0</v>
      </c>
      <c r="AB79" t="n">
        <v>0</v>
      </c>
      <c r="AC79" t="n">
        <v>0</v>
      </c>
      <c r="AD79" s="2" t="n">
        <v>44621</v>
      </c>
    </row>
    <row r="80">
      <c r="A80" t="n">
        <v>-1</v>
      </c>
      <c r="B80" t="inlineStr">
        <is>
          <t>01-03-2022</t>
        </is>
      </c>
      <c r="C80" t="n">
        <v>2022</v>
      </c>
      <c r="D80" t="n">
        <v>3</v>
      </c>
      <c r="E80" t="inlineStr">
        <is>
          <t>Quinta 13.8</t>
        </is>
      </c>
      <c r="F80" t="inlineStr">
        <is>
          <t>CEC</t>
        </is>
      </c>
      <c r="G80" t="inlineStr">
        <is>
          <t>CEC</t>
        </is>
      </c>
      <c r="H80" t="inlineStr">
        <is>
          <t>San Juan SpA.</t>
        </is>
      </c>
      <c r="I80" t="inlineStr">
        <is>
          <t>San Juan SpA.</t>
        </is>
      </c>
      <c r="J80" t="inlineStr">
        <is>
          <t>SIC 2013/03_2_BS2A_BB_CEC_San Juan SpA.</t>
        </is>
      </c>
      <c r="K80" t="inlineStr">
        <is>
          <t>Quinta 13.8</t>
        </is>
      </c>
      <c r="L80" t="inlineStr">
        <is>
          <t>-1</t>
        </is>
      </c>
      <c r="M80" t="n">
        <v>6672.729171553417</v>
      </c>
      <c r="N80" t="n">
        <v>0</v>
      </c>
      <c r="O80" t="inlineStr">
        <is>
          <t>5</t>
        </is>
      </c>
      <c r="P80" s="2" t="n">
        <v>44999.68429938657</v>
      </c>
      <c r="Q80" t="n">
        <v>22</v>
      </c>
      <c r="R80" t="inlineStr">
        <is>
          <t>RAPEL 220</t>
        </is>
      </c>
      <c r="S80" t="n">
        <v>47.38659973912009</v>
      </c>
      <c r="T80" t="n">
        <v>3934.246018840717</v>
      </c>
      <c r="U80" t="n">
        <v>0</v>
      </c>
      <c r="V80" t="n">
        <v>0</v>
      </c>
      <c r="W80" t="inlineStr">
        <is>
          <t>CEC</t>
        </is>
      </c>
      <c r="X80" t="n">
        <v>88.32387485474001</v>
      </c>
      <c r="Y80" t="n">
        <v>3.934246018840717</v>
      </c>
      <c r="Z80" t="n">
        <v>4185.368105149699</v>
      </c>
      <c r="AA80" t="n">
        <v>0</v>
      </c>
      <c r="AB80" t="n">
        <v>0</v>
      </c>
      <c r="AC80" t="n">
        <v>0</v>
      </c>
      <c r="AD80" s="2" t="n">
        <v>44621</v>
      </c>
    </row>
    <row r="81">
      <c r="A81" t="n">
        <v>-1</v>
      </c>
      <c r="B81" t="inlineStr">
        <is>
          <t>01-03-2022</t>
        </is>
      </c>
      <c r="C81" t="n">
        <v>2022</v>
      </c>
      <c r="D81" t="n">
        <v>3</v>
      </c>
      <c r="E81" t="inlineStr">
        <is>
          <t>Teno 13.2</t>
        </is>
      </c>
      <c r="F81" t="inlineStr">
        <is>
          <t>CEC</t>
        </is>
      </c>
      <c r="G81" t="inlineStr">
        <is>
          <t>CEC</t>
        </is>
      </c>
      <c r="H81" t="inlineStr">
        <is>
          <t>San Juan SpA.</t>
        </is>
      </c>
      <c r="I81" t="inlineStr">
        <is>
          <t>San Juan SpA.</t>
        </is>
      </c>
      <c r="J81" t="inlineStr">
        <is>
          <t>SIC 2013/03_2_BS2A_BB_CEC_San Juan SpA.</t>
        </is>
      </c>
      <c r="K81" t="inlineStr">
        <is>
          <t>Teno 13.2</t>
        </is>
      </c>
      <c r="L81" t="inlineStr">
        <is>
          <t>-1</t>
        </is>
      </c>
      <c r="M81" t="n">
        <v>9726.865231651753</v>
      </c>
      <c r="N81" t="n">
        <v>0</v>
      </c>
      <c r="O81" t="inlineStr">
        <is>
          <t>5</t>
        </is>
      </c>
      <c r="P81" s="2" t="n">
        <v>44999.68429938657</v>
      </c>
      <c r="Q81" t="n">
        <v>8</v>
      </c>
      <c r="R81" t="inlineStr">
        <is>
          <t>ALTO JAHUEL 220</t>
        </is>
      </c>
      <c r="S81" t="n">
        <v>4184.874825027572</v>
      </c>
      <c r="T81" t="n">
        <v>356511.5970954644</v>
      </c>
      <c r="U81" t="n">
        <v>0</v>
      </c>
      <c r="V81" t="n">
        <v>0</v>
      </c>
      <c r="W81" t="inlineStr">
        <is>
          <t>CEC</t>
        </is>
      </c>
      <c r="X81" t="n">
        <v>90.62819614492001</v>
      </c>
      <c r="Y81" t="n">
        <v>356.5115970954644</v>
      </c>
      <c r="Z81" t="n">
        <v>379267.6564845366</v>
      </c>
      <c r="AA81" t="n">
        <v>0</v>
      </c>
      <c r="AB81" t="n">
        <v>0</v>
      </c>
      <c r="AC81" t="n">
        <v>0</v>
      </c>
      <c r="AD81" s="2" t="n">
        <v>44621</v>
      </c>
    </row>
    <row r="82">
      <c r="A82" t="n">
        <v>-1</v>
      </c>
      <c r="B82" t="inlineStr">
        <is>
          <t>01-03-2022</t>
        </is>
      </c>
      <c r="C82" t="n">
        <v>2022</v>
      </c>
      <c r="D82" t="n">
        <v>3</v>
      </c>
      <c r="E82" t="inlineStr">
        <is>
          <t>Teno 13.2</t>
        </is>
      </c>
      <c r="F82" t="inlineStr">
        <is>
          <t>CEC</t>
        </is>
      </c>
      <c r="G82" t="inlineStr">
        <is>
          <t>CEC</t>
        </is>
      </c>
      <c r="H82" t="inlineStr">
        <is>
          <t>San Juan SpA.</t>
        </is>
      </c>
      <c r="I82" t="inlineStr">
        <is>
          <t>San Juan SpA.</t>
        </is>
      </c>
      <c r="J82" t="inlineStr">
        <is>
          <t>SIC 2013/03_2_BS2A_BB_CEC_San Juan SpA.</t>
        </is>
      </c>
      <c r="K82" t="inlineStr">
        <is>
          <t>Teno 13.2</t>
        </is>
      </c>
      <c r="L82" t="inlineStr">
        <is>
          <t>-1</t>
        </is>
      </c>
      <c r="M82" t="n">
        <v>9726.865231651753</v>
      </c>
      <c r="N82" t="n">
        <v>0</v>
      </c>
      <c r="O82" t="inlineStr">
        <is>
          <t>5</t>
        </is>
      </c>
      <c r="P82" s="2" t="n">
        <v>44999.68429938657</v>
      </c>
      <c r="Q82" t="n">
        <v>34</v>
      </c>
      <c r="R82" t="inlineStr">
        <is>
          <t>CHARRUA 220</t>
        </is>
      </c>
      <c r="S82" t="n">
        <v>301.109306687526</v>
      </c>
      <c r="T82" t="n">
        <v>22199.4194143653</v>
      </c>
      <c r="U82" t="n">
        <v>0</v>
      </c>
      <c r="V82" t="n">
        <v>0</v>
      </c>
      <c r="W82" t="inlineStr">
        <is>
          <t>CEC</t>
        </is>
      </c>
      <c r="X82" t="n">
        <v>78.43133077521001</v>
      </c>
      <c r="Y82" t="n">
        <v>22.1994194143653</v>
      </c>
      <c r="Z82" t="n">
        <v>23616.40363230351</v>
      </c>
      <c r="AA82" t="n">
        <v>0</v>
      </c>
      <c r="AB82" t="n">
        <v>0</v>
      </c>
      <c r="AC82" t="n">
        <v>0</v>
      </c>
      <c r="AD82" s="2" t="n">
        <v>44621</v>
      </c>
    </row>
    <row r="83">
      <c r="A83" t="n">
        <v>-1</v>
      </c>
      <c r="B83" t="inlineStr">
        <is>
          <t>01-03-2022</t>
        </is>
      </c>
      <c r="C83" t="n">
        <v>2022</v>
      </c>
      <c r="D83" t="n">
        <v>3</v>
      </c>
      <c r="E83" t="inlineStr">
        <is>
          <t>Teno 13.2</t>
        </is>
      </c>
      <c r="F83" t="inlineStr">
        <is>
          <t>CEC</t>
        </is>
      </c>
      <c r="G83" t="inlineStr">
        <is>
          <t>CEC</t>
        </is>
      </c>
      <c r="H83" t="inlineStr">
        <is>
          <t>San Juan SpA.</t>
        </is>
      </c>
      <c r="I83" t="inlineStr">
        <is>
          <t>San Juan SpA.</t>
        </is>
      </c>
      <c r="J83" t="inlineStr">
        <is>
          <t>SIC 2013/03_2_BS2A_BB_CEC_San Juan SpA.</t>
        </is>
      </c>
      <c r="K83" t="inlineStr">
        <is>
          <t>Teno 13.2</t>
        </is>
      </c>
      <c r="L83" t="inlineStr">
        <is>
          <t>-1</t>
        </is>
      </c>
      <c r="M83" t="n">
        <v>9726.865231651753</v>
      </c>
      <c r="N83" t="n">
        <v>0</v>
      </c>
      <c r="O83" t="inlineStr">
        <is>
          <t>5</t>
        </is>
      </c>
      <c r="P83" s="2" t="n">
        <v>44999.68429938657</v>
      </c>
      <c r="Q83" t="n">
        <v>23</v>
      </c>
      <c r="R83" t="inlineStr">
        <is>
          <t>ITAHUE 220</t>
        </is>
      </c>
      <c r="S83" t="n">
        <v>5512.135606883305</v>
      </c>
      <c r="T83" t="n">
        <v>447145.6094028657</v>
      </c>
      <c r="U83" t="n">
        <v>0</v>
      </c>
      <c r="V83" t="n">
        <v>0</v>
      </c>
      <c r="W83" t="inlineStr">
        <is>
          <t>CEC</t>
        </is>
      </c>
      <c r="X83" t="n">
        <v>86.29809794949</v>
      </c>
      <c r="Y83" t="n">
        <v>447.1456094028657</v>
      </c>
      <c r="Z83" t="n">
        <v>475686.8185136869</v>
      </c>
      <c r="AA83" t="n">
        <v>0</v>
      </c>
      <c r="AB83" t="n">
        <v>0</v>
      </c>
      <c r="AC83" t="n">
        <v>0</v>
      </c>
      <c r="AD83" s="2" t="n">
        <v>44621</v>
      </c>
    </row>
    <row r="84">
      <c r="A84" t="n">
        <v>-1</v>
      </c>
      <c r="B84" t="inlineStr">
        <is>
          <t>01-03-2022</t>
        </is>
      </c>
      <c r="C84" t="n">
        <v>2022</v>
      </c>
      <c r="D84" t="n">
        <v>3</v>
      </c>
      <c r="E84" t="inlineStr">
        <is>
          <t>Teno 13.2</t>
        </is>
      </c>
      <c r="F84" t="inlineStr">
        <is>
          <t>CEC</t>
        </is>
      </c>
      <c r="G84" t="inlineStr">
        <is>
          <t>CEC</t>
        </is>
      </c>
      <c r="H84" t="inlineStr">
        <is>
          <t>San Juan SpA.</t>
        </is>
      </c>
      <c r="I84" t="inlineStr">
        <is>
          <t>San Juan SpA.</t>
        </is>
      </c>
      <c r="J84" t="inlineStr">
        <is>
          <t>SIC 2013/03_2_BS2A_BB_CEC_San Juan SpA.</t>
        </is>
      </c>
      <c r="K84" t="inlineStr">
        <is>
          <t>Teno 13.2</t>
        </is>
      </c>
      <c r="L84" t="inlineStr">
        <is>
          <t>-1</t>
        </is>
      </c>
      <c r="M84" t="n">
        <v>9726.865231651753</v>
      </c>
      <c r="N84" t="n">
        <v>0</v>
      </c>
      <c r="O84" t="inlineStr">
        <is>
          <t>5</t>
        </is>
      </c>
      <c r="P84" s="2" t="n">
        <v>44999.68429938657</v>
      </c>
      <c r="Q84" t="n">
        <v>13</v>
      </c>
      <c r="R84" t="inlineStr">
        <is>
          <t>MELIPILLA 220</t>
        </is>
      </c>
      <c r="S84" t="n">
        <v>29.04202288211906</v>
      </c>
      <c r="T84" t="n">
        <v>2407.510908926294</v>
      </c>
      <c r="U84" t="n">
        <v>0</v>
      </c>
      <c r="V84" t="n">
        <v>0</v>
      </c>
      <c r="W84" t="inlineStr">
        <is>
          <t>CEC</t>
        </is>
      </c>
      <c r="X84" t="n">
        <v>88.18882308585999</v>
      </c>
      <c r="Y84" t="n">
        <v>2.407510908926294</v>
      </c>
      <c r="Z84" t="n">
        <v>2561.181818006696</v>
      </c>
      <c r="AA84" t="n">
        <v>0</v>
      </c>
      <c r="AB84" t="n">
        <v>0</v>
      </c>
      <c r="AC84" t="n">
        <v>0</v>
      </c>
      <c r="AD84" s="2" t="n">
        <v>44621</v>
      </c>
    </row>
    <row r="85">
      <c r="A85" t="n">
        <v>-1</v>
      </c>
      <c r="B85" t="inlineStr">
        <is>
          <t>01-03-2022</t>
        </is>
      </c>
      <c r="C85" t="n">
        <v>2022</v>
      </c>
      <c r="D85" t="n">
        <v>3</v>
      </c>
      <c r="E85" t="inlineStr">
        <is>
          <t>Teno 13.2</t>
        </is>
      </c>
      <c r="F85" t="inlineStr">
        <is>
          <t>CEC</t>
        </is>
      </c>
      <c r="G85" t="inlineStr">
        <is>
          <t>CEC</t>
        </is>
      </c>
      <c r="H85" t="inlineStr">
        <is>
          <t>San Juan SpA.</t>
        </is>
      </c>
      <c r="I85" t="inlineStr">
        <is>
          <t>San Juan SpA.</t>
        </is>
      </c>
      <c r="J85" t="inlineStr">
        <is>
          <t>SIC 2013/03_2_BS2A_BB_CEC_San Juan SpA.</t>
        </is>
      </c>
      <c r="K85" t="inlineStr">
        <is>
          <t>Teno 13.2</t>
        </is>
      </c>
      <c r="L85" t="inlineStr">
        <is>
          <t>-1</t>
        </is>
      </c>
      <c r="M85" t="n">
        <v>9726.865231651753</v>
      </c>
      <c r="N85" t="n">
        <v>0</v>
      </c>
      <c r="O85" t="inlineStr">
        <is>
          <t>5</t>
        </is>
      </c>
      <c r="P85" s="2" t="n">
        <v>44999.68429938657</v>
      </c>
      <c r="Q85" t="n">
        <v>22</v>
      </c>
      <c r="R85" t="inlineStr">
        <is>
          <t>RAPEL 220</t>
        </is>
      </c>
      <c r="S85" t="n">
        <v>56.87396147748316</v>
      </c>
      <c r="T85" t="n">
        <v>4721.928936668694</v>
      </c>
      <c r="U85" t="n">
        <v>0</v>
      </c>
      <c r="V85" t="n">
        <v>0</v>
      </c>
      <c r="W85" t="inlineStr">
        <is>
          <t>CEC</t>
        </is>
      </c>
      <c r="X85" t="n">
        <v>88.32387485474</v>
      </c>
      <c r="Y85" t="n">
        <v>4.721928936668695</v>
      </c>
      <c r="Z85" t="n">
        <v>5023.328656030526</v>
      </c>
      <c r="AA85" t="n">
        <v>0</v>
      </c>
      <c r="AB85" t="n">
        <v>0</v>
      </c>
      <c r="AC85" t="n">
        <v>0</v>
      </c>
      <c r="AD85" s="2" t="n">
        <v>44621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Fecha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Decreto</t>
        </is>
      </c>
      <c r="B1" s="1" t="inlineStr">
        <is>
          <t>Fecha Publicación</t>
        </is>
      </c>
      <c r="C1" s="1" t="inlineStr">
        <is>
          <t>Interés vigente</t>
        </is>
      </c>
      <c r="D1" s="1" t="inlineStr">
        <is>
          <t>Desde</t>
        </is>
      </c>
      <c r="E1" s="1" t="inlineStr">
        <is>
          <t>Hasta</t>
        </is>
      </c>
      <c r="F1" s="1" t="inlineStr">
        <is>
          <t>Interés anual</t>
        </is>
      </c>
      <c r="G1" s="1" t="inlineStr">
        <is>
          <t>Link</t>
        </is>
      </c>
    </row>
    <row r="2">
      <c r="A2" t="inlineStr">
        <is>
          <t>PNP_8T_11-07-2016</t>
        </is>
      </c>
      <c r="B2" s="2" t="n">
        <v>42588</v>
      </c>
      <c r="C2" t="inlineStr">
        <is>
          <t>Certicado N°7/2016</t>
        </is>
      </c>
      <c r="D2" s="2" t="n">
        <v>42566</v>
      </c>
      <c r="E2" s="2" t="n">
        <v>42594</v>
      </c>
      <c r="F2" t="n">
        <v>0.0546</v>
      </c>
      <c r="G2" s="3" t="inlineStr">
        <is>
          <t>https://www.bcn.cl/leychile/navegar?idNorma=1092549</t>
        </is>
      </c>
    </row>
    <row r="3">
      <c r="A3" t="inlineStr">
        <is>
          <t>PNP_9T_25-07-2016</t>
        </is>
      </c>
      <c r="B3" s="2" t="n">
        <v>42614</v>
      </c>
      <c r="C3" t="inlineStr">
        <is>
          <t>Certificado N°8/2016</t>
        </is>
      </c>
      <c r="D3" s="2" t="n">
        <v>42595</v>
      </c>
      <c r="E3" s="2" t="n">
        <v>42627</v>
      </c>
      <c r="F3" t="n">
        <v>0.0542</v>
      </c>
      <c r="G3" s="3" t="inlineStr">
        <is>
          <t>https://www.bcn.cl/leychile/navegar?idNorma=1093605</t>
        </is>
      </c>
    </row>
    <row r="4">
      <c r="A4" t="inlineStr">
        <is>
          <t>PNP_12T_20-12-2016</t>
        </is>
      </c>
      <c r="B4" s="2" t="n">
        <v>43018</v>
      </c>
      <c r="C4" t="inlineStr">
        <is>
          <t>Certificado N°9/2017</t>
        </is>
      </c>
      <c r="D4" s="2" t="n">
        <v>42993</v>
      </c>
      <c r="E4" s="2" t="n">
        <v>43021</v>
      </c>
      <c r="F4" t="n">
        <v>0.0416</v>
      </c>
      <c r="G4" s="3" t="inlineStr">
        <is>
          <t>https://www.diariooficial.interior.gob.cl/publicaciones/2017/09/15/41861/01/1272697.pdf</t>
        </is>
      </c>
    </row>
    <row r="5">
      <c r="A5" t="inlineStr">
        <is>
          <t>PNP_3T_15-05-2017</t>
        </is>
      </c>
      <c r="B5" s="2" t="n">
        <v>43018</v>
      </c>
      <c r="C5" t="inlineStr">
        <is>
          <t>Certificado N°9/2017</t>
        </is>
      </c>
      <c r="D5" s="2" t="n">
        <v>42993</v>
      </c>
      <c r="E5" s="2" t="n">
        <v>43021</v>
      </c>
      <c r="F5" t="n">
        <v>0.0416</v>
      </c>
      <c r="G5" s="3" t="inlineStr">
        <is>
          <t>https://www.diariooficial.interior.gob.cl/publicaciones/2017/09/15/41861/01/1272697.pdf</t>
        </is>
      </c>
    </row>
    <row r="6">
      <c r="A6" t="inlineStr">
        <is>
          <t>PNP_12T_28-11-2017</t>
        </is>
      </c>
      <c r="B6" s="2" t="n">
        <v>43183</v>
      </c>
      <c r="C6" t="inlineStr">
        <is>
          <t>Certificado N°3/2018</t>
        </is>
      </c>
      <c r="D6" s="2" t="n">
        <v>43174</v>
      </c>
      <c r="E6" s="2" t="n">
        <v>43203</v>
      </c>
      <c r="F6" t="n">
        <v>0.042</v>
      </c>
      <c r="G6" s="3" t="inlineStr">
        <is>
          <t>https://www.diariooficial.interior.gob.cl/publicaciones/2018/03/15/42008/01/1366088.pdf</t>
        </is>
      </c>
    </row>
    <row r="7">
      <c r="A7" t="inlineStr">
        <is>
          <t>PNP_7T_18-05-2018</t>
        </is>
      </c>
      <c r="B7" s="2" t="n">
        <v>43371</v>
      </c>
      <c r="C7" t="inlineStr">
        <is>
          <t>Certificado N°9/2018</t>
        </is>
      </c>
      <c r="D7" s="2" t="n">
        <v>43358</v>
      </c>
      <c r="E7" s="2" t="n">
        <v>43385</v>
      </c>
      <c r="F7" t="n">
        <v>0.0438</v>
      </c>
      <c r="G7" s="3" t="inlineStr">
        <is>
          <t>https://www.diariooficial.interior.gob.cl/publicaciones/2018/09/15/42159/01/1465375.pdf</t>
        </is>
      </c>
    </row>
    <row r="8">
      <c r="A8" t="inlineStr">
        <is>
          <t>PNP_20T_13-12-2018</t>
        </is>
      </c>
      <c r="B8" s="2" t="n">
        <v>43591</v>
      </c>
      <c r="C8" t="inlineStr">
        <is>
          <t>Certificado N°4/2019</t>
        </is>
      </c>
      <c r="D8" s="2" t="n">
        <v>43570</v>
      </c>
      <c r="E8" s="2" t="n">
        <v>43599</v>
      </c>
      <c r="F8" t="n">
        <v>0.0446</v>
      </c>
      <c r="G8" s="3" t="inlineStr">
        <is>
          <t>https://www.diariooficial.interior.gob.cl/publicaciones/2019/04/15/42331/01/1576341.pdf</t>
        </is>
      </c>
    </row>
    <row r="9">
      <c r="A9" t="inlineStr">
        <is>
          <t>PNP_6T_08-05-2020</t>
        </is>
      </c>
      <c r="B9" s="2" t="n">
        <v>44137</v>
      </c>
      <c r="C9" t="inlineStr">
        <is>
          <t>Certificado N° 10/2020</t>
        </is>
      </c>
      <c r="D9" s="2" t="n">
        <v>44119</v>
      </c>
      <c r="E9" s="2" t="n">
        <v>44148</v>
      </c>
      <c r="F9" t="n">
        <v>0.0361</v>
      </c>
      <c r="G9" s="3" t="inlineStr">
        <is>
          <t>https://www.diariooficial.interior.gob.cl/publicaciones/2020/10/15/42780/01/1830437.pdf</t>
        </is>
      </c>
    </row>
    <row r="10">
      <c r="A10" t="inlineStr">
        <is>
          <t>PNP_16T_02-11-2020</t>
        </is>
      </c>
      <c r="B10" s="2" t="n">
        <v>44275</v>
      </c>
      <c r="C10" t="inlineStr">
        <is>
          <t>Certificado N° 3/2021</t>
        </is>
      </c>
      <c r="D10" s="2" t="n">
        <v>44270</v>
      </c>
      <c r="E10" s="2" t="n">
        <v>44300</v>
      </c>
      <c r="F10" t="n">
        <v>0.0391</v>
      </c>
      <c r="G10" s="3" t="inlineStr">
        <is>
          <t>https://www.diariooficial.interior.gob.cl/publicaciones/2021/03/15/42905/01/1910115.pdf</t>
        </is>
      </c>
    </row>
    <row r="11">
      <c r="A11" t="inlineStr">
        <is>
          <t>PNP_19T_30-12-2020</t>
        </is>
      </c>
      <c r="B11" s="2" t="n">
        <v>44336</v>
      </c>
      <c r="C11" t="inlineStr">
        <is>
          <t>Certificado N° 05/2021</t>
        </is>
      </c>
      <c r="D11" s="2" t="n">
        <v>44330</v>
      </c>
      <c r="F11" t="n">
        <v>0.0328</v>
      </c>
      <c r="G11" s="3" t="inlineStr">
        <is>
          <t>https://www.diariooficial.interior.gob.cl/publicaciones/2021/05/14/42954/01/1943780.pdf</t>
        </is>
      </c>
    </row>
    <row r="13">
      <c r="A13" t="inlineStr">
        <is>
          <t>Interés ResEx 703 (06-nov.2018), Artículo 13</t>
        </is>
      </c>
    </row>
    <row r="14">
      <c r="A14" t="inlineStr">
        <is>
          <t>Operaciones no reajustables en moneda nacional de menos de 90 días, superiores al equivalente de 5.000 unidades de fomento</t>
        </is>
      </c>
    </row>
  </sheetData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2023-03-14T19:25:24Z</dcterms:created>
  <dcterms:modified xmlns:dcterms="http://purl.org/dc/terms/" xmlns:xsi="http://www.w3.org/2001/XMLSchema-instance" xsi:type="dcterms:W3CDTF">2023-03-14T19:25:24Z</dcterms:modified>
</cp:coreProperties>
</file>