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3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0" borderId="2" pivotButton="0" quotePrefix="0" xfId="2"/>
    <xf numFmtId="165" fontId="0" fillId="0" borderId="0" pivotButton="0" quotePrefix="0" xfId="0"/>
  </cellXfs>
  <cellStyles count="3">
    <cellStyle name="Normal" xfId="0" builtinId="0"/>
    <cellStyle name="Hyperlink" xfId="1" builtinId="8"/>
    <cellStyle name="highligh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4">
        <f>0 / 0</f>
        <v/>
      </c>
      <c r="B1" s="4">
        <f>0 / 1</f>
        <v/>
      </c>
      <c r="C1" s="4">
        <f>0 / 2</f>
        <v/>
      </c>
      <c r="D1" s="4">
        <f>0 / 3</f>
        <v/>
      </c>
      <c r="E1" s="4">
        <f>0 / 4</f>
        <v/>
      </c>
      <c r="F1" s="4">
        <f>0 / 5</f>
        <v/>
      </c>
      <c r="G1" s="4">
        <f>0 / 6</f>
        <v/>
      </c>
      <c r="H1" s="4">
        <f>0 / 7</f>
        <v/>
      </c>
      <c r="I1" s="4">
        <f>0 / 8</f>
        <v/>
      </c>
      <c r="J1" s="4">
        <f>0 / 9</f>
        <v/>
      </c>
      <c r="K1" s="4">
        <f>0 / 10</f>
        <v/>
      </c>
      <c r="L1" s="4">
        <f>0 / 11</f>
        <v/>
      </c>
      <c r="M1" s="4">
        <f>0 / 12</f>
        <v/>
      </c>
      <c r="N1" s="4">
        <f>0 / 13</f>
        <v/>
      </c>
      <c r="O1" s="4">
        <f>0 / 14</f>
        <v/>
      </c>
      <c r="P1" s="4">
        <f>0 / 15</f>
        <v/>
      </c>
      <c r="Q1" s="4">
        <f>0 / 16</f>
        <v/>
      </c>
      <c r="R1" s="4">
        <f>0 / 17</f>
        <v/>
      </c>
      <c r="S1" s="4">
        <f>0 / 18</f>
        <v/>
      </c>
      <c r="T1" s="4">
        <f>0 / 19</f>
        <v/>
      </c>
      <c r="U1" s="4">
        <f>0 / 20</f>
        <v/>
      </c>
      <c r="V1" s="4">
        <f>0 / 21</f>
        <v/>
      </c>
      <c r="W1" s="4">
        <f>0 / 22</f>
        <v/>
      </c>
      <c r="X1" s="4">
        <f>0 / 23</f>
        <v/>
      </c>
      <c r="Y1" s="4">
        <f>0 / 24</f>
        <v/>
      </c>
      <c r="Z1" s="4">
        <f>0 / 25</f>
        <v/>
      </c>
      <c r="AA1" s="4">
        <f>0 / 26</f>
        <v/>
      </c>
      <c r="AB1" s="4">
        <f>0 / 27</f>
        <v/>
      </c>
      <c r="AC1" s="4">
        <f>0 / 28</f>
        <v/>
      </c>
      <c r="AD1" s="4">
        <f>0 / 29</f>
        <v/>
      </c>
      <c r="AE1" s="4">
        <f>0 / 30</f>
        <v/>
      </c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2020-11-06 19:47:22</t>
        </is>
      </c>
      <c r="H2" t="n">
        <v>33</v>
      </c>
      <c r="I2" t="n">
        <v>15441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52.603478</v>
      </c>
      <c r="V2" t="n">
        <v>318738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2020-11-06 19:47:22</t>
        </is>
      </c>
      <c r="H3" t="n">
        <v>33</v>
      </c>
      <c r="I3" t="n">
        <v>15441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8418.779558</v>
      </c>
      <c r="T3" t="n">
        <v>612576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2020-11-06 19:47:22</t>
        </is>
      </c>
      <c r="H4" t="n">
        <v>33</v>
      </c>
      <c r="I4" t="n">
        <v>15441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0.228021</v>
      </c>
      <c r="V4" t="n">
        <v>1399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2020-11-06 19:47:22</t>
        </is>
      </c>
      <c r="H5" t="n">
        <v>33</v>
      </c>
      <c r="I5" t="n">
        <v>15441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36.493055</v>
      </c>
      <c r="T5" t="n">
        <v>2693</v>
      </c>
      <c r="W5" t="n">
        <v>73.8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2020-11-06 19:47:22</t>
        </is>
      </c>
      <c r="H6" t="n">
        <v>33</v>
      </c>
      <c r="I6" t="n">
        <v>15441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7.953816</v>
      </c>
      <c r="V6" t="n">
        <v>46590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2020-11-06 19:47:22</t>
        </is>
      </c>
      <c r="H7" t="n">
        <v>33</v>
      </c>
      <c r="I7" t="n">
        <v>15441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1272.946765</v>
      </c>
      <c r="T7" t="n">
        <v>88372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2020-11-06 19:47:22</t>
        </is>
      </c>
      <c r="H8" t="n">
        <v>33</v>
      </c>
      <c r="I8" t="n">
        <v>15441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66.59490099999999</v>
      </c>
      <c r="V8" t="n">
        <v>398530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2020-11-06 19:47:22</t>
        </is>
      </c>
      <c r="H9" t="n">
        <v>33</v>
      </c>
      <c r="I9" t="n">
        <v>15441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10657.998408</v>
      </c>
      <c r="T9" t="n">
        <v>741104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2020-11-06 19:47:22</t>
        </is>
      </c>
      <c r="H10" t="n">
        <v>33</v>
      </c>
      <c r="I10" t="n">
        <v>15441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0.275661</v>
      </c>
      <c r="V10" t="n">
        <v>1584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2020-11-06 19:47:22</t>
        </is>
      </c>
      <c r="H11" t="n">
        <v>33</v>
      </c>
      <c r="I11" t="n">
        <v>15441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44.117403</v>
      </c>
      <c r="T11" t="n">
        <v>3170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2020-12-04 16:23:19</t>
        </is>
      </c>
      <c r="H12" t="n">
        <v>33</v>
      </c>
      <c r="I12" t="n">
        <v>16396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52.696834</v>
      </c>
      <c r="V12" t="n">
        <v>319304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2020-12-04 16:23:19</t>
        </is>
      </c>
      <c r="H13" t="n">
        <v>33</v>
      </c>
      <c r="I13" t="n">
        <v>16396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9858.459999999999</v>
      </c>
      <c r="T13" t="n">
        <v>717331</v>
      </c>
      <c r="W13" t="n">
        <v>72.76300000000001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2020-12-04 16:23:19</t>
        </is>
      </c>
      <c r="H14" t="n">
        <v>33</v>
      </c>
      <c r="I14" t="n">
        <v>16396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0.22014</v>
      </c>
      <c r="V14" t="n">
        <v>1351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2020-12-04 16:23:19</t>
        </is>
      </c>
      <c r="H15" t="n">
        <v>33</v>
      </c>
      <c r="I15" t="n">
        <v>16396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41.183486</v>
      </c>
      <c r="T15" t="n">
        <v>3039</v>
      </c>
      <c r="W15" t="n">
        <v>73.8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2020-12-04 16:23:19</t>
        </is>
      </c>
      <c r="H16" t="n">
        <v>33</v>
      </c>
      <c r="I16" t="n">
        <v>16396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8.096772</v>
      </c>
      <c r="V16" t="n">
        <v>47428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2020-12-04 16:23:19</t>
        </is>
      </c>
      <c r="H17" t="n">
        <v>33</v>
      </c>
      <c r="I17" t="n">
        <v>16396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1514.733294</v>
      </c>
      <c r="T17" t="n">
        <v>105157</v>
      </c>
      <c r="W17" t="n">
        <v>69.423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2020-12-04 16:23:19</t>
        </is>
      </c>
      <c r="H18" t="n">
        <v>33</v>
      </c>
      <c r="I18" t="n">
        <v>16396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66.36885700000001</v>
      </c>
      <c r="V18" t="n">
        <v>397177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2020-12-04 16:23:19</t>
        </is>
      </c>
      <c r="H19" t="n">
        <v>33</v>
      </c>
      <c r="I19" t="n">
        <v>16396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12416.197233</v>
      </c>
      <c r="T19" t="n">
        <v>863360</v>
      </c>
      <c r="W19" t="n">
        <v>69.535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2020-12-04 16:23:19</t>
        </is>
      </c>
      <c r="H20" t="n">
        <v>33</v>
      </c>
      <c r="I20" t="n">
        <v>16396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0.273275</v>
      </c>
      <c r="V20" t="n">
        <v>1570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2020-12-04 16:23:19</t>
        </is>
      </c>
      <c r="H21" t="n">
        <v>33</v>
      </c>
      <c r="I21" t="n">
        <v>16396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51.123837</v>
      </c>
      <c r="T21" t="n">
        <v>3673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2021-01-07 17:06:43</t>
        </is>
      </c>
      <c r="H22" t="n">
        <v>33</v>
      </c>
      <c r="I22" t="n">
        <v>16764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52.836339</v>
      </c>
      <c r="V22" t="n">
        <v>320149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2021-01-07 17:06:43</t>
        </is>
      </c>
      <c r="H23" t="n">
        <v>33</v>
      </c>
      <c r="I23" t="n">
        <v>16764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12345.962275</v>
      </c>
      <c r="T23" t="n">
        <v>898329</v>
      </c>
      <c r="W23" t="n">
        <v>72.76300000000001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2021-01-07 17:06:43</t>
        </is>
      </c>
      <c r="H24" t="n">
        <v>33</v>
      </c>
      <c r="I24" t="n">
        <v>16764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0.214662</v>
      </c>
      <c r="V24" t="n">
        <v>1317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2021-01-07 17:06:43</t>
        </is>
      </c>
      <c r="H25" t="n">
        <v>33</v>
      </c>
      <c r="I25" t="n">
        <v>16764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50.158851</v>
      </c>
      <c r="T25" t="n">
        <v>3702</v>
      </c>
      <c r="W25" t="n">
        <v>73.8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2021-01-07 17:06:43</t>
        </is>
      </c>
      <c r="H26" t="n">
        <v>33</v>
      </c>
      <c r="I26" t="n">
        <v>16764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8.122095</v>
      </c>
      <c r="V26" t="n">
        <v>47576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2021-01-07 17:06:43</t>
        </is>
      </c>
      <c r="H27" t="n">
        <v>33</v>
      </c>
      <c r="I27" t="n">
        <v>16764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1897.843042</v>
      </c>
      <c r="T27" t="n">
        <v>131754</v>
      </c>
      <c r="W27" t="n">
        <v>69.423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2021-01-07 17:06:43</t>
        </is>
      </c>
      <c r="H28" t="n">
        <v>33</v>
      </c>
      <c r="I28" t="n">
        <v>16764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66.211747</v>
      </c>
      <c r="V28" t="n">
        <v>396237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2021-01-07 17:06:43</t>
        </is>
      </c>
      <c r="H29" t="n">
        <v>33</v>
      </c>
      <c r="I29" t="n">
        <v>16764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15471.316704</v>
      </c>
      <c r="T29" t="n">
        <v>1075798</v>
      </c>
      <c r="W29" t="n">
        <v>69.535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2021-01-07 17:06:43</t>
        </is>
      </c>
      <c r="H30" t="n">
        <v>33</v>
      </c>
      <c r="I30" t="n">
        <v>16764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0.271035</v>
      </c>
      <c r="V30" t="n">
        <v>1558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2021-01-07 17:06:43</t>
        </is>
      </c>
      <c r="H31" t="n">
        <v>33</v>
      </c>
      <c r="I31" t="n">
        <v>16764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63.33108</v>
      </c>
      <c r="T31" t="n">
        <v>4551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Cec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2021-02-09 11:19:45</t>
        </is>
      </c>
      <c r="H32" t="n">
        <v>33</v>
      </c>
      <c r="I32" t="n">
        <v>17144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46.64962</v>
      </c>
      <c r="V32" t="n">
        <v>275905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Cec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2021-02-09 11:19:45</t>
        </is>
      </c>
      <c r="H33" t="n">
        <v>33</v>
      </c>
      <c r="I33" t="n">
        <v>17144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10105.28</v>
      </c>
      <c r="T33" t="n">
        <v>779744</v>
      </c>
      <c r="W33" t="n">
        <v>77.16200000000001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Cec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2021-02-09 11:19:45</t>
        </is>
      </c>
      <c r="H34" t="n">
        <v>33</v>
      </c>
      <c r="I34" t="n">
        <v>17144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0.154376</v>
      </c>
      <c r="V34" t="n">
        <v>927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Cec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2021-02-09 11:19:45</t>
        </is>
      </c>
      <c r="H35" t="n">
        <v>33</v>
      </c>
      <c r="I35" t="n">
        <v>17144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33.441011</v>
      </c>
      <c r="T35" t="n">
        <v>2629</v>
      </c>
      <c r="W35" t="n">
        <v>78.626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Cec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2021-02-09 11:19:45</t>
        </is>
      </c>
      <c r="H36" t="n">
        <v>33</v>
      </c>
      <c r="I36" t="n">
        <v>17144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5.094403</v>
      </c>
      <c r="V36" t="n">
        <v>27013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Cec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2021-02-09 11:19:45</t>
        </is>
      </c>
      <c r="H37" t="n">
        <v>33</v>
      </c>
      <c r="I37" t="n">
        <v>17144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1103.552228</v>
      </c>
      <c r="T37" t="n">
        <v>78552</v>
      </c>
      <c r="W37" t="n">
        <v>71.181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Cec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2021-02-09 11:19:45</t>
        </is>
      </c>
      <c r="H38" t="n">
        <v>33</v>
      </c>
      <c r="I38" t="n">
        <v>17144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57.904556</v>
      </c>
      <c r="V38" t="n">
        <v>319217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Cec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2021-02-09 11:19:45</t>
        </is>
      </c>
      <c r="H39" t="n">
        <v>33</v>
      </c>
      <c r="I39" t="n">
        <v>17144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12543.315371</v>
      </c>
      <c r="T39" t="n">
        <v>911209</v>
      </c>
      <c r="W39" t="n">
        <v>72.645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Cec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2021-02-09 11:19:45</t>
        </is>
      </c>
      <c r="H40" t="n">
        <v>33</v>
      </c>
      <c r="I40" t="n">
        <v>17144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0.168537</v>
      </c>
      <c r="V40" t="n">
        <v>1005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Cec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2021-02-09 11:19:45</t>
        </is>
      </c>
      <c r="H41" t="n">
        <v>33</v>
      </c>
      <c r="I41" t="n">
        <v>17144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36.508594</v>
      </c>
      <c r="T41" t="n">
        <v>2864</v>
      </c>
      <c r="W41" t="n">
        <v>78.444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Cec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2021-03-04 19:55:16</t>
        </is>
      </c>
      <c r="H42" t="n">
        <v>33</v>
      </c>
      <c r="I42" t="n">
        <v>17677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46.534078</v>
      </c>
      <c r="V42" t="n">
        <v>275222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Cec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2021-03-04 19:55:16</t>
        </is>
      </c>
      <c r="H43" t="n">
        <v>33</v>
      </c>
      <c r="I43" t="n">
        <v>17677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7677.300908</v>
      </c>
      <c r="T43" t="n">
        <v>592396</v>
      </c>
      <c r="W43" t="n">
        <v>77.16200000000001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Cec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2021-03-04 19:55:16</t>
        </is>
      </c>
      <c r="H44" t="n">
        <v>33</v>
      </c>
      <c r="I44" t="n">
        <v>17677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0.158306</v>
      </c>
      <c r="V44" t="n">
        <v>951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Cec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2021-03-04 19:55:16</t>
        </is>
      </c>
      <c r="H45" t="n">
        <v>33</v>
      </c>
      <c r="I45" t="n">
        <v>17677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26.117737</v>
      </c>
      <c r="T45" t="n">
        <v>2054</v>
      </c>
      <c r="W45" t="n">
        <v>78.626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Cec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2021-03-04 19:55:16</t>
        </is>
      </c>
      <c r="H46" t="n">
        <v>33</v>
      </c>
      <c r="I46" t="n">
        <v>17677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5.087864</v>
      </c>
      <c r="V46" t="n">
        <v>26978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Cec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2021-03-04 19:55:16</t>
        </is>
      </c>
      <c r="H47" t="n">
        <v>33</v>
      </c>
      <c r="I47" t="n">
        <v>17677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839.407654</v>
      </c>
      <c r="T47" t="n">
        <v>59750</v>
      </c>
      <c r="W47" t="n">
        <v>71.181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Cec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2021-03-04 19:55:16</t>
        </is>
      </c>
      <c r="H48" t="n">
        <v>33</v>
      </c>
      <c r="I48" t="n">
        <v>17677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58.020641</v>
      </c>
      <c r="V48" t="n">
        <v>319857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Cec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2021-03-04 19:55:16</t>
        </is>
      </c>
      <c r="H49" t="n">
        <v>33</v>
      </c>
      <c r="I49" t="n">
        <v>17677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9572.380891000001</v>
      </c>
      <c r="T49" t="n">
        <v>695386</v>
      </c>
      <c r="W49" t="n">
        <v>72.645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Cec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2021-03-04 19:55:16</t>
        </is>
      </c>
      <c r="H50" t="n">
        <v>33</v>
      </c>
      <c r="I50" t="n">
        <v>17677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0.170603</v>
      </c>
      <c r="V50" t="n">
        <v>1017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Cec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2021-03-04 19:55:16</t>
        </is>
      </c>
      <c r="H51" t="n">
        <v>33</v>
      </c>
      <c r="I51" t="n">
        <v>17677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28.146435</v>
      </c>
      <c r="T51" t="n">
        <v>2208</v>
      </c>
      <c r="W51" t="n">
        <v>78.444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Cec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2021-04-08 11:52:16</t>
        </is>
      </c>
      <c r="H52" t="n">
        <v>33</v>
      </c>
      <c r="I52" t="n">
        <v>18246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46.446782</v>
      </c>
      <c r="V52" t="n">
        <v>274706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Cec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2021-04-08 11:52:16</t>
        </is>
      </c>
      <c r="H53" t="n">
        <v>33</v>
      </c>
      <c r="I53" t="n">
        <v>18246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8920.011785000001</v>
      </c>
      <c r="T53" t="n">
        <v>688286</v>
      </c>
      <c r="W53" t="n">
        <v>77.16200000000001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Cec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2021-04-08 11:52:16</t>
        </is>
      </c>
      <c r="H54" t="n">
        <v>33</v>
      </c>
      <c r="I54" t="n">
        <v>18246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0.159046</v>
      </c>
      <c r="V54" t="n">
        <v>955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Cec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2021-04-08 11:52:16</t>
        </is>
      </c>
      <c r="H55" t="n">
        <v>33</v>
      </c>
      <c r="I55" t="n">
        <v>18246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30.54442</v>
      </c>
      <c r="T55" t="n">
        <v>2402</v>
      </c>
      <c r="W55" t="n">
        <v>78.626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Cec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2021-04-08 11:52:16</t>
        </is>
      </c>
      <c r="H56" t="n">
        <v>33</v>
      </c>
      <c r="I56" t="n">
        <v>18246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5.142833</v>
      </c>
      <c r="V56" t="n">
        <v>27270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Cec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2021-04-08 11:52:16</t>
        </is>
      </c>
      <c r="H57" t="n">
        <v>33</v>
      </c>
      <c r="I57" t="n">
        <v>18246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987.670768</v>
      </c>
      <c r="T57" t="n">
        <v>70303</v>
      </c>
      <c r="W57" t="n">
        <v>71.181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Cec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2021-04-08 11:52:16</t>
        </is>
      </c>
      <c r="H58" t="n">
        <v>33</v>
      </c>
      <c r="I58" t="n">
        <v>18246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58.051757</v>
      </c>
      <c r="V58" t="n">
        <v>320029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Cec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2021-04-08 11:52:16</t>
        </is>
      </c>
      <c r="H59" t="n">
        <v>33</v>
      </c>
      <c r="I59" t="n">
        <v>18246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11148.724108</v>
      </c>
      <c r="T59" t="n">
        <v>809899</v>
      </c>
      <c r="W59" t="n">
        <v>72.645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Cec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2021-04-08 11:52:16</t>
        </is>
      </c>
      <c r="H60" t="n">
        <v>33</v>
      </c>
      <c r="I60" t="n">
        <v>18246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0.171074</v>
      </c>
      <c r="V60" t="n">
        <v>1020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Cec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2021-04-08 11:52:16</t>
        </is>
      </c>
      <c r="H61" t="n">
        <v>33</v>
      </c>
      <c r="I61" t="n">
        <v>18246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32.854382</v>
      </c>
      <c r="T61" t="n">
        <v>2577</v>
      </c>
      <c r="W61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2020-11-06 19:47:22</t>
        </is>
      </c>
      <c r="H2" t="n">
        <v>33</v>
      </c>
      <c r="I2" t="n">
        <v>15441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8418.779558</v>
      </c>
      <c r="T2" t="n">
        <v>612576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2020-11-06 19:47:22</t>
        </is>
      </c>
      <c r="H3" t="n">
        <v>33</v>
      </c>
      <c r="I3" t="n">
        <v>15441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36.493055</v>
      </c>
      <c r="T3" t="n">
        <v>2693</v>
      </c>
      <c r="W3" t="n">
        <v>73.8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2020-11-06 19:47:22</t>
        </is>
      </c>
      <c r="H4" t="n">
        <v>33</v>
      </c>
      <c r="I4" t="n">
        <v>15441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1272.946765</v>
      </c>
      <c r="T4" t="n">
        <v>88372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2020-11-06 19:47:22</t>
        </is>
      </c>
      <c r="H5" t="n">
        <v>33</v>
      </c>
      <c r="I5" t="n">
        <v>15441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10657.998408</v>
      </c>
      <c r="T5" t="n">
        <v>741104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2020-11-06 19:47:22</t>
        </is>
      </c>
      <c r="H6" t="n">
        <v>33</v>
      </c>
      <c r="I6" t="n">
        <v>15441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44.117403</v>
      </c>
      <c r="T6" t="n">
        <v>3170</v>
      </c>
      <c r="W6" t="n">
        <v>71.854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2020-12-04 16:23:19</t>
        </is>
      </c>
      <c r="H7" t="n">
        <v>33</v>
      </c>
      <c r="I7" t="n">
        <v>16396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9858.459999999999</v>
      </c>
      <c r="T7" t="n">
        <v>717331</v>
      </c>
      <c r="W7" t="n">
        <v>72.76300000000001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2020-12-04 16:23:19</t>
        </is>
      </c>
      <c r="H8" t="n">
        <v>33</v>
      </c>
      <c r="I8" t="n">
        <v>16396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41.183486</v>
      </c>
      <c r="T8" t="n">
        <v>3039</v>
      </c>
      <c r="W8" t="n">
        <v>73.8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2020-12-04 16:23:19</t>
        </is>
      </c>
      <c r="H9" t="n">
        <v>33</v>
      </c>
      <c r="I9" t="n">
        <v>16396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1514.733294</v>
      </c>
      <c r="T9" t="n">
        <v>105157</v>
      </c>
      <c r="W9" t="n">
        <v>69.423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2020-12-04 16:23:19</t>
        </is>
      </c>
      <c r="H10" t="n">
        <v>33</v>
      </c>
      <c r="I10" t="n">
        <v>16396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12416.197233</v>
      </c>
      <c r="T10" t="n">
        <v>863360</v>
      </c>
      <c r="W10" t="n">
        <v>69.535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2020-12-04 16:23:19</t>
        </is>
      </c>
      <c r="H11" t="n">
        <v>33</v>
      </c>
      <c r="I11" t="n">
        <v>16396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51.123837</v>
      </c>
      <c r="T11" t="n">
        <v>3673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2021-01-07 17:06:43</t>
        </is>
      </c>
      <c r="H12" t="n">
        <v>33</v>
      </c>
      <c r="I12" t="n">
        <v>16764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12345.962275</v>
      </c>
      <c r="T12" t="n">
        <v>898329</v>
      </c>
      <c r="W12" t="n">
        <v>72.76300000000001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2021-01-07 17:06:43</t>
        </is>
      </c>
      <c r="H13" t="n">
        <v>33</v>
      </c>
      <c r="I13" t="n">
        <v>16764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50.158851</v>
      </c>
      <c r="T13" t="n">
        <v>3702</v>
      </c>
      <c r="W13" t="n">
        <v>73.8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2021-01-07 17:06:43</t>
        </is>
      </c>
      <c r="H14" t="n">
        <v>33</v>
      </c>
      <c r="I14" t="n">
        <v>16764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1897.843042</v>
      </c>
      <c r="T14" t="n">
        <v>131754</v>
      </c>
      <c r="W14" t="n">
        <v>69.423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2021-01-07 17:06:43</t>
        </is>
      </c>
      <c r="H15" t="n">
        <v>33</v>
      </c>
      <c r="I15" t="n">
        <v>16764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15471.316704</v>
      </c>
      <c r="T15" t="n">
        <v>1075798</v>
      </c>
      <c r="W15" t="n">
        <v>69.535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2021-01-07 17:06:43</t>
        </is>
      </c>
      <c r="H16" t="n">
        <v>33</v>
      </c>
      <c r="I16" t="n">
        <v>16764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63.33108</v>
      </c>
      <c r="T16" t="n">
        <v>4551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2021-02-09 11:19:45</t>
        </is>
      </c>
      <c r="H17" t="n">
        <v>33</v>
      </c>
      <c r="I17" t="n">
        <v>17144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10105.28</v>
      </c>
      <c r="T17" t="n">
        <v>779744</v>
      </c>
      <c r="W17" t="n">
        <v>77.16200000000001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2021-02-09 11:19:45</t>
        </is>
      </c>
      <c r="H18" t="n">
        <v>33</v>
      </c>
      <c r="I18" t="n">
        <v>17144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33.441011</v>
      </c>
      <c r="T18" t="n">
        <v>2629</v>
      </c>
      <c r="W18" t="n">
        <v>78.626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2021-02-09 11:19:45</t>
        </is>
      </c>
      <c r="H19" t="n">
        <v>33</v>
      </c>
      <c r="I19" t="n">
        <v>17144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1103.552228</v>
      </c>
      <c r="T19" t="n">
        <v>78552</v>
      </c>
      <c r="W19" t="n">
        <v>71.181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2021-02-09 11:19:45</t>
        </is>
      </c>
      <c r="H20" t="n">
        <v>33</v>
      </c>
      <c r="I20" t="n">
        <v>17144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12543.315371</v>
      </c>
      <c r="T20" t="n">
        <v>911209</v>
      </c>
      <c r="W20" t="n">
        <v>72.645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2021-02-09 11:19:45</t>
        </is>
      </c>
      <c r="H21" t="n">
        <v>33</v>
      </c>
      <c r="I21" t="n">
        <v>17144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36.508594</v>
      </c>
      <c r="T21" t="n">
        <v>2864</v>
      </c>
      <c r="W21" t="n">
        <v>78.444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2021-03-04 19:55:16</t>
        </is>
      </c>
      <c r="H22" t="n">
        <v>33</v>
      </c>
      <c r="I22" t="n">
        <v>17677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7677.300908</v>
      </c>
      <c r="T22" t="n">
        <v>592396</v>
      </c>
      <c r="W22" t="n">
        <v>77.16200000000001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2021-03-04 19:55:16</t>
        </is>
      </c>
      <c r="H23" t="n">
        <v>33</v>
      </c>
      <c r="I23" t="n">
        <v>17677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26.117737</v>
      </c>
      <c r="T23" t="n">
        <v>2054</v>
      </c>
      <c r="W23" t="n">
        <v>78.626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2021-03-04 19:55:16</t>
        </is>
      </c>
      <c r="H24" t="n">
        <v>33</v>
      </c>
      <c r="I24" t="n">
        <v>17677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839.407654</v>
      </c>
      <c r="T24" t="n">
        <v>59750</v>
      </c>
      <c r="W24" t="n">
        <v>71.181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2021-03-04 19:55:16</t>
        </is>
      </c>
      <c r="H25" t="n">
        <v>33</v>
      </c>
      <c r="I25" t="n">
        <v>17677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9572.380891000001</v>
      </c>
      <c r="T25" t="n">
        <v>695386</v>
      </c>
      <c r="W25" t="n">
        <v>72.645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2021-03-04 19:55:16</t>
        </is>
      </c>
      <c r="H26" t="n">
        <v>33</v>
      </c>
      <c r="I26" t="n">
        <v>17677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28.146435</v>
      </c>
      <c r="T26" t="n">
        <v>2208</v>
      </c>
      <c r="W26" t="n">
        <v>78.444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2021-04-08 11:52:16</t>
        </is>
      </c>
      <c r="H27" t="n">
        <v>33</v>
      </c>
      <c r="I27" t="n">
        <v>18246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8920.011785000001</v>
      </c>
      <c r="T27" t="n">
        <v>688286</v>
      </c>
      <c r="W27" t="n">
        <v>77.16200000000001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2021-04-08 11:52:16</t>
        </is>
      </c>
      <c r="H28" t="n">
        <v>33</v>
      </c>
      <c r="I28" t="n">
        <v>18246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30.54442</v>
      </c>
      <c r="T28" t="n">
        <v>2402</v>
      </c>
      <c r="W28" t="n">
        <v>78.626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2021-04-08 11:52:16</t>
        </is>
      </c>
      <c r="H29" t="n">
        <v>33</v>
      </c>
      <c r="I29" t="n">
        <v>18246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987.670768</v>
      </c>
      <c r="T29" t="n">
        <v>70303</v>
      </c>
      <c r="W29" t="n">
        <v>71.181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2021-04-08 11:52:16</t>
        </is>
      </c>
      <c r="H30" t="n">
        <v>33</v>
      </c>
      <c r="I30" t="n">
        <v>18246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11148.724108</v>
      </c>
      <c r="T30" t="n">
        <v>809899</v>
      </c>
      <c r="W30" t="n">
        <v>72.645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2021-04-08 11:52:16</t>
        </is>
      </c>
      <c r="H31" t="n">
        <v>33</v>
      </c>
      <c r="I31" t="n">
        <v>18246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32.854382</v>
      </c>
      <c r="T31" t="n">
        <v>2577</v>
      </c>
      <c r="W31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2020-11-06 19:47:22</t>
        </is>
      </c>
      <c r="H2" t="n">
        <v>33</v>
      </c>
      <c r="I2" t="n">
        <v>15441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52.603478</v>
      </c>
      <c r="V2" t="n">
        <v>318738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2020-11-06 19:47:22</t>
        </is>
      </c>
      <c r="H3" t="n">
        <v>33</v>
      </c>
      <c r="I3" t="n">
        <v>15441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0.228021</v>
      </c>
      <c r="V3" t="n">
        <v>1399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2020-11-06 19:47:22</t>
        </is>
      </c>
      <c r="H4" t="n">
        <v>33</v>
      </c>
      <c r="I4" t="n">
        <v>15441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7.953816</v>
      </c>
      <c r="V4" t="n">
        <v>46590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2020-11-06 19:47:22</t>
        </is>
      </c>
      <c r="H5" t="n">
        <v>33</v>
      </c>
      <c r="I5" t="n">
        <v>15441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66.59490099999999</v>
      </c>
      <c r="V5" t="n">
        <v>398530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2020-11-06 19:47:22</t>
        </is>
      </c>
      <c r="H6" t="n">
        <v>33</v>
      </c>
      <c r="I6" t="n">
        <v>15441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0.275661</v>
      </c>
      <c r="V6" t="n">
        <v>1584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2020-12-04 16:23:19</t>
        </is>
      </c>
      <c r="H7" t="n">
        <v>33</v>
      </c>
      <c r="I7" t="n">
        <v>16396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52.696834</v>
      </c>
      <c r="V7" t="n">
        <v>319304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2020-12-04 16:23:19</t>
        </is>
      </c>
      <c r="H8" t="n">
        <v>33</v>
      </c>
      <c r="I8" t="n">
        <v>16396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0.22014</v>
      </c>
      <c r="V8" t="n">
        <v>1351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2020-12-04 16:23:19</t>
        </is>
      </c>
      <c r="H9" t="n">
        <v>33</v>
      </c>
      <c r="I9" t="n">
        <v>16396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8.096772</v>
      </c>
      <c r="V9" t="n">
        <v>47428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2020-12-04 16:23:19</t>
        </is>
      </c>
      <c r="H10" t="n">
        <v>33</v>
      </c>
      <c r="I10" t="n">
        <v>16396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66.36885700000001</v>
      </c>
      <c r="V10" t="n">
        <v>397177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2020-12-04 16:23:19</t>
        </is>
      </c>
      <c r="H11" t="n">
        <v>33</v>
      </c>
      <c r="I11" t="n">
        <v>16396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0.273275</v>
      </c>
      <c r="V11" t="n">
        <v>1570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2021-01-07 17:06:43</t>
        </is>
      </c>
      <c r="H12" t="n">
        <v>33</v>
      </c>
      <c r="I12" t="n">
        <v>16764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52.836339</v>
      </c>
      <c r="V12" t="n">
        <v>320149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2021-01-07 17:06:43</t>
        </is>
      </c>
      <c r="H13" t="n">
        <v>33</v>
      </c>
      <c r="I13" t="n">
        <v>16764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0.214662</v>
      </c>
      <c r="V13" t="n">
        <v>1317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2021-01-07 17:06:43</t>
        </is>
      </c>
      <c r="H14" t="n">
        <v>33</v>
      </c>
      <c r="I14" t="n">
        <v>16764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8.122095</v>
      </c>
      <c r="V14" t="n">
        <v>47576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2021-01-07 17:06:43</t>
        </is>
      </c>
      <c r="H15" t="n">
        <v>33</v>
      </c>
      <c r="I15" t="n">
        <v>16764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66.211747</v>
      </c>
      <c r="V15" t="n">
        <v>396237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2021-01-07 17:06:43</t>
        </is>
      </c>
      <c r="H16" t="n">
        <v>33</v>
      </c>
      <c r="I16" t="n">
        <v>16764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0.271035</v>
      </c>
      <c r="V16" t="n">
        <v>1558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2021-02-09 11:19:45</t>
        </is>
      </c>
      <c r="H17" t="n">
        <v>33</v>
      </c>
      <c r="I17" t="n">
        <v>17144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46.64962</v>
      </c>
      <c r="V17" t="n">
        <v>275905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2021-02-09 11:19:45</t>
        </is>
      </c>
      <c r="H18" t="n">
        <v>33</v>
      </c>
      <c r="I18" t="n">
        <v>17144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0.154376</v>
      </c>
      <c r="V18" t="n">
        <v>927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2021-02-09 11:19:45</t>
        </is>
      </c>
      <c r="H19" t="n">
        <v>33</v>
      </c>
      <c r="I19" t="n">
        <v>17144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5.094403</v>
      </c>
      <c r="V19" t="n">
        <v>27013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2021-02-09 11:19:45</t>
        </is>
      </c>
      <c r="H20" t="n">
        <v>33</v>
      </c>
      <c r="I20" t="n">
        <v>17144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57.904556</v>
      </c>
      <c r="V20" t="n">
        <v>319217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2021-02-09 11:19:45</t>
        </is>
      </c>
      <c r="H21" t="n">
        <v>33</v>
      </c>
      <c r="I21" t="n">
        <v>17144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0.168537</v>
      </c>
      <c r="V21" t="n">
        <v>1005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2021-03-04 19:55:16</t>
        </is>
      </c>
      <c r="H22" t="n">
        <v>33</v>
      </c>
      <c r="I22" t="n">
        <v>17677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46.534078</v>
      </c>
      <c r="V22" t="n">
        <v>275222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2021-03-04 19:55:16</t>
        </is>
      </c>
      <c r="H23" t="n">
        <v>33</v>
      </c>
      <c r="I23" t="n">
        <v>17677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0.158306</v>
      </c>
      <c r="V23" t="n">
        <v>951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2021-03-04 19:55:16</t>
        </is>
      </c>
      <c r="H24" t="n">
        <v>33</v>
      </c>
      <c r="I24" t="n">
        <v>17677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5.087864</v>
      </c>
      <c r="V24" t="n">
        <v>26978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2021-03-04 19:55:16</t>
        </is>
      </c>
      <c r="H25" t="n">
        <v>33</v>
      </c>
      <c r="I25" t="n">
        <v>17677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58.020641</v>
      </c>
      <c r="V25" t="n">
        <v>319857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2021-03-04 19:55:16</t>
        </is>
      </c>
      <c r="H26" t="n">
        <v>33</v>
      </c>
      <c r="I26" t="n">
        <v>17677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0.170603</v>
      </c>
      <c r="V26" t="n">
        <v>1017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2021-04-08 11:52:16</t>
        </is>
      </c>
      <c r="H27" t="n">
        <v>33</v>
      </c>
      <c r="I27" t="n">
        <v>18246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46.446782</v>
      </c>
      <c r="V27" t="n">
        <v>274706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2021-04-08 11:52:16</t>
        </is>
      </c>
      <c r="H28" t="n">
        <v>33</v>
      </c>
      <c r="I28" t="n">
        <v>18246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0.159046</v>
      </c>
      <c r="V28" t="n">
        <v>955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2021-04-08 11:52:16</t>
        </is>
      </c>
      <c r="H29" t="n">
        <v>33</v>
      </c>
      <c r="I29" t="n">
        <v>18246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5.142833</v>
      </c>
      <c r="V29" t="n">
        <v>27270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2021-04-08 11:52:16</t>
        </is>
      </c>
      <c r="H30" t="n">
        <v>33</v>
      </c>
      <c r="I30" t="n">
        <v>18246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58.051757</v>
      </c>
      <c r="V30" t="n">
        <v>320029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2021-04-08 11:52:16</t>
        </is>
      </c>
      <c r="H31" t="n">
        <v>33</v>
      </c>
      <c r="I31" t="n">
        <v>18246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0.171074</v>
      </c>
      <c r="V31" t="n">
        <v>1020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2013/03_2_BS2C_BB_CEC_San Juan SpA.</t>
        </is>
      </c>
      <c r="K2" t="inlineStr">
        <is>
          <t>Curico 13.2</t>
        </is>
      </c>
      <c r="L2" t="inlineStr">
        <is>
          <t>-1</t>
        </is>
      </c>
      <c r="M2" t="n">
        <v>11459.67455623709</v>
      </c>
      <c r="N2" t="n">
        <v>71</v>
      </c>
      <c r="O2" t="inlineStr">
        <is>
          <t>5</t>
        </is>
      </c>
      <c r="P2" s="2" t="n">
        <v>44676.57927461805</v>
      </c>
      <c r="Q2" t="n">
        <v>8</v>
      </c>
      <c r="R2" t="inlineStr">
        <is>
          <t>ALTO JAHUEL 220</t>
        </is>
      </c>
      <c r="S2" t="n">
        <v>4634.200380239055</v>
      </c>
      <c r="T2" t="n">
        <v>337034.3046244461</v>
      </c>
      <c r="U2" t="n">
        <v>28.64436021410052</v>
      </c>
      <c r="V2" t="n">
        <v>173607.2679991356</v>
      </c>
      <c r="W2" t="inlineStr">
        <is>
          <t>CEC</t>
        </is>
      </c>
      <c r="X2" t="n">
        <v>82.73902972910399</v>
      </c>
      <c r="Y2" t="n">
        <v>337.0343046244461</v>
      </c>
      <c r="Z2" t="n">
        <v>383429.2430312242</v>
      </c>
      <c r="AA2" t="n">
        <v>215929.4378098702</v>
      </c>
      <c r="AB2" t="n">
        <v>173607.2679991356</v>
      </c>
      <c r="AC2" t="n">
        <v>215929.4378098702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2013/03_2_BS2C_BB_CEC_San Juan SpA.</t>
        </is>
      </c>
      <c r="K3" t="inlineStr">
        <is>
          <t>Curico 13.2</t>
        </is>
      </c>
      <c r="L3" t="inlineStr">
        <is>
          <t>-1</t>
        </is>
      </c>
      <c r="M3" t="n">
        <v>11459.67455623709</v>
      </c>
      <c r="N3" t="n">
        <v>71</v>
      </c>
      <c r="O3" t="inlineStr">
        <is>
          <t>5</t>
        </is>
      </c>
      <c r="P3" s="2" t="n">
        <v>44676.57927461805</v>
      </c>
      <c r="Q3" t="n">
        <v>34</v>
      </c>
      <c r="R3" t="inlineStr">
        <is>
          <t>CHARRUA 220</t>
        </is>
      </c>
      <c r="S3" t="n">
        <v>936.1433815998282</v>
      </c>
      <c r="T3" t="n">
        <v>64958.32528883988</v>
      </c>
      <c r="U3" t="n">
        <v>5.786376512534051</v>
      </c>
      <c r="V3" t="n">
        <v>33902.84024440098</v>
      </c>
      <c r="W3" t="inlineStr">
        <is>
          <t>CEC</t>
        </is>
      </c>
      <c r="X3" t="n">
        <v>78.94117263853801</v>
      </c>
      <c r="Y3" t="n">
        <v>64.95832528883989</v>
      </c>
      <c r="Z3" t="n">
        <v>73900.25630129679</v>
      </c>
      <c r="AA3" t="n">
        <v>42167.71174676738</v>
      </c>
      <c r="AB3" t="n">
        <v>33902.84024440098</v>
      </c>
      <c r="AC3" t="n">
        <v>42167.71174676738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2013/03_2_BS2C_BB_CEC_San Juan SpA.</t>
        </is>
      </c>
      <c r="K4" t="inlineStr">
        <is>
          <t>Curico 13.2</t>
        </is>
      </c>
      <c r="L4" t="inlineStr">
        <is>
          <t>-1</t>
        </is>
      </c>
      <c r="M4" t="n">
        <v>11459.67455623709</v>
      </c>
      <c r="N4" t="n">
        <v>71</v>
      </c>
      <c r="O4" t="inlineStr">
        <is>
          <t>5</t>
        </is>
      </c>
      <c r="P4" s="2" t="n">
        <v>44676.57927461805</v>
      </c>
      <c r="Q4" t="n">
        <v>23</v>
      </c>
      <c r="R4" t="inlineStr">
        <is>
          <t>ITAHUE 220</t>
        </is>
      </c>
      <c r="S4" t="n">
        <v>6123.277149307974</v>
      </c>
      <c r="T4" t="n">
        <v>425574.2815930488</v>
      </c>
      <c r="U4" t="n">
        <v>37.84846186269147</v>
      </c>
      <c r="V4" t="n">
        <v>226557.0868631441</v>
      </c>
      <c r="W4" t="inlineStr">
        <is>
          <t>CEC</t>
        </is>
      </c>
      <c r="X4" t="n">
        <v>79.06833304089298</v>
      </c>
      <c r="Y4" t="n">
        <v>425.5742815930487</v>
      </c>
      <c r="Z4" t="n">
        <v>484157.3169431727</v>
      </c>
      <c r="AA4" t="n">
        <v>281787.4214715722</v>
      </c>
      <c r="AB4" t="n">
        <v>226557.0868631441</v>
      </c>
      <c r="AC4" t="n">
        <v>281787.4214715722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2013/03_2_BS2C_BB_CEC_San Juan SpA.</t>
        </is>
      </c>
      <c r="K5" t="inlineStr">
        <is>
          <t>Curico 13.2</t>
        </is>
      </c>
      <c r="L5" t="inlineStr">
        <is>
          <t>-1</t>
        </is>
      </c>
      <c r="M5" t="n">
        <v>11459.67455623709</v>
      </c>
      <c r="N5" t="n">
        <v>71</v>
      </c>
      <c r="O5" t="inlineStr">
        <is>
          <t>5</t>
        </is>
      </c>
      <c r="P5" s="2" t="n">
        <v>44676.57927461805</v>
      </c>
      <c r="Q5" t="n">
        <v>13</v>
      </c>
      <c r="R5" t="inlineStr">
        <is>
          <t>MELIPILLA 220</t>
        </is>
      </c>
      <c r="S5" t="n">
        <v>20.90464248994355</v>
      </c>
      <c r="T5" t="n">
        <v>1541.997074828477</v>
      </c>
      <c r="U5" t="n">
        <v>0.1292132537432585</v>
      </c>
      <c r="V5" t="n">
        <v>792.9656538576205</v>
      </c>
      <c r="W5" t="inlineStr">
        <is>
          <t>CEC</t>
        </is>
      </c>
      <c r="X5" t="n">
        <v>83.917382687019</v>
      </c>
      <c r="Y5" t="n">
        <v>1.541997074828477</v>
      </c>
      <c r="Z5" t="n">
        <v>1754.26288376391</v>
      </c>
      <c r="AA5" t="n">
        <v>986.2756888776374</v>
      </c>
      <c r="AB5" t="n">
        <v>792.9656538576205</v>
      </c>
      <c r="AC5" t="n">
        <v>986.2756888776374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2013/03_2_BS2C_BB_CEC_San Juan SpA.</t>
        </is>
      </c>
      <c r="K6" t="inlineStr">
        <is>
          <t>Curico 13.2</t>
        </is>
      </c>
      <c r="L6" t="inlineStr">
        <is>
          <t>-1</t>
        </is>
      </c>
      <c r="M6" t="n">
        <v>11459.67455623709</v>
      </c>
      <c r="N6" t="n">
        <v>71</v>
      </c>
      <c r="O6" t="inlineStr">
        <is>
          <t>5</t>
        </is>
      </c>
      <c r="P6" s="2" t="n">
        <v>44676.57927461805</v>
      </c>
      <c r="Q6" t="n">
        <v>22</v>
      </c>
      <c r="R6" t="inlineStr">
        <is>
          <t>RAPEL 220</t>
        </is>
      </c>
      <c r="S6" t="n">
        <v>26.93058501368756</v>
      </c>
      <c r="T6" t="n">
        <v>1934.114543754432</v>
      </c>
      <c r="U6" t="n">
        <v>0.1664600825630959</v>
      </c>
      <c r="V6" t="n">
        <v>956.8060875790054</v>
      </c>
      <c r="W6" t="inlineStr">
        <is>
          <t>CEC</t>
        </is>
      </c>
      <c r="X6" t="n">
        <v>81.70479184190401</v>
      </c>
      <c r="Y6" t="n">
        <v>1.934114543754433</v>
      </c>
      <c r="Z6" t="n">
        <v>2200.357842724041</v>
      </c>
      <c r="AA6" t="n">
        <v>1190.057322859459</v>
      </c>
      <c r="AB6" t="n">
        <v>956.8060875790054</v>
      </c>
      <c r="AC6" t="n">
        <v>1190.057322859459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2013/03_2_BS2C_BB_CEC_San Juan SpA.</t>
        </is>
      </c>
      <c r="K7" t="inlineStr">
        <is>
          <t>Quinta 13.8</t>
        </is>
      </c>
      <c r="L7" t="inlineStr">
        <is>
          <t>-1</t>
        </is>
      </c>
      <c r="M7" t="n">
        <v>2414.56082703054</v>
      </c>
      <c r="N7" t="n">
        <v>13</v>
      </c>
      <c r="O7" t="inlineStr">
        <is>
          <t>5</t>
        </is>
      </c>
      <c r="P7" s="2" t="n">
        <v>44676.57927461805</v>
      </c>
      <c r="Q7" t="n">
        <v>8</v>
      </c>
      <c r="R7" t="inlineStr">
        <is>
          <t>ALTO JAHUEL 220</t>
        </is>
      </c>
      <c r="S7" t="n">
        <v>1180.956541410555</v>
      </c>
      <c r="T7" t="n">
        <v>85888.14338353343</v>
      </c>
      <c r="U7" t="n">
        <v>6.354208888265022</v>
      </c>
      <c r="V7" t="n">
        <v>38511.48488366249</v>
      </c>
      <c r="W7" t="inlineStr">
        <is>
          <t>CEC</t>
        </is>
      </c>
      <c r="X7" t="n">
        <v>82.73902972910399</v>
      </c>
      <c r="Y7" t="n">
        <v>85.88814338353343</v>
      </c>
      <c r="Z7" t="n">
        <v>97711.19838854771</v>
      </c>
      <c r="AA7" t="n">
        <v>47899.85682047573</v>
      </c>
      <c r="AB7" t="n">
        <v>38511.48488366249</v>
      </c>
      <c r="AC7" t="n">
        <v>47899.85682047573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2013/03_2_BS2C_BB_CEC_San Juan SpA.</t>
        </is>
      </c>
      <c r="K8" t="inlineStr">
        <is>
          <t>Quinta 13.8</t>
        </is>
      </c>
      <c r="L8" t="inlineStr">
        <is>
          <t>-1</t>
        </is>
      </c>
      <c r="M8" t="n">
        <v>2414.56082703054</v>
      </c>
      <c r="N8" t="n">
        <v>13</v>
      </c>
      <c r="O8" t="inlineStr">
        <is>
          <t>5</t>
        </is>
      </c>
      <c r="P8" s="2" t="n">
        <v>44676.57927461805</v>
      </c>
      <c r="Q8" t="n">
        <v>34</v>
      </c>
      <c r="R8" t="inlineStr">
        <is>
          <t>CHARRUA 220</t>
        </is>
      </c>
      <c r="S8" t="n">
        <v>125.9753262620363</v>
      </c>
      <c r="T8" t="n">
        <v>8741.338541231205</v>
      </c>
      <c r="U8" t="n">
        <v>0.6778179465268197</v>
      </c>
      <c r="V8" t="n">
        <v>3971.389263403288</v>
      </c>
      <c r="W8" t="inlineStr">
        <is>
          <t>CEC</t>
        </is>
      </c>
      <c r="X8" t="n">
        <v>78.94117263853799</v>
      </c>
      <c r="Y8" t="n">
        <v>8.741338541231205</v>
      </c>
      <c r="Z8" t="n">
        <v>9944.639978647559</v>
      </c>
      <c r="AA8" t="n">
        <v>4939.53888482996</v>
      </c>
      <c r="AB8" t="n">
        <v>3971.389263403288</v>
      </c>
      <c r="AC8" t="n">
        <v>4939.53888482996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2013/03_2_BS2C_BB_CEC_San Juan SpA.</t>
        </is>
      </c>
      <c r="K9" t="inlineStr">
        <is>
          <t>Quinta 13.8</t>
        </is>
      </c>
      <c r="L9" t="inlineStr">
        <is>
          <t>-1</t>
        </is>
      </c>
      <c r="M9" t="n">
        <v>2414.56082703054</v>
      </c>
      <c r="N9" t="n">
        <v>13</v>
      </c>
      <c r="O9" t="inlineStr">
        <is>
          <t>5</t>
        </is>
      </c>
      <c r="P9" s="2" t="n">
        <v>44676.57927461805</v>
      </c>
      <c r="Q9" t="n">
        <v>23</v>
      </c>
      <c r="R9" t="inlineStr">
        <is>
          <t>ITAHUE 220</t>
        </is>
      </c>
      <c r="S9" t="n">
        <v>1163.846878212923</v>
      </c>
      <c r="T9" t="n">
        <v>80888.59723355071</v>
      </c>
      <c r="U9" t="n">
        <v>6.26214929914944</v>
      </c>
      <c r="V9" t="n">
        <v>37484.59601513878</v>
      </c>
      <c r="W9" t="inlineStr">
        <is>
          <t>CEC</t>
        </is>
      </c>
      <c r="X9" t="n">
        <v>79.06833304089299</v>
      </c>
      <c r="Y9" t="n">
        <v>80.88859723355071</v>
      </c>
      <c r="Z9" t="n">
        <v>92023.43257514302</v>
      </c>
      <c r="AA9" t="n">
        <v>46622.63185962535</v>
      </c>
      <c r="AB9" t="n">
        <v>37484.59601513878</v>
      </c>
      <c r="AC9" t="n">
        <v>46622.63185962535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2013/03_2_BS2C_BB_CEC_San Juan SpA.</t>
        </is>
      </c>
      <c r="K10" t="inlineStr">
        <is>
          <t>Quinta 13.8</t>
        </is>
      </c>
      <c r="L10" t="inlineStr">
        <is>
          <t>-1</t>
        </is>
      </c>
      <c r="M10" t="n">
        <v>2414.56082703054</v>
      </c>
      <c r="N10" t="n">
        <v>13</v>
      </c>
      <c r="O10" t="inlineStr">
        <is>
          <t>5</t>
        </is>
      </c>
      <c r="P10" s="2" t="n">
        <v>44676.57927461805</v>
      </c>
      <c r="Q10" t="n">
        <v>22</v>
      </c>
      <c r="R10" t="inlineStr">
        <is>
          <t>RAPEL 220</t>
        </is>
      </c>
      <c r="S10" t="n">
        <v>3.153642469494344</v>
      </c>
      <c r="T10" t="n">
        <v>226.4899096306508</v>
      </c>
      <c r="U10" t="n">
        <v>0.01696836615692581</v>
      </c>
      <c r="V10" t="n">
        <v>97.53350944700047</v>
      </c>
      <c r="W10" t="inlineStr">
        <is>
          <t>CEC</t>
        </is>
      </c>
      <c r="X10" t="n">
        <v>81.704791841904</v>
      </c>
      <c r="Y10" t="n">
        <v>0.2264899096306508</v>
      </c>
      <c r="Z10" t="n">
        <v>257.6677015138234</v>
      </c>
      <c r="AA10" t="n">
        <v>121.3103351330851</v>
      </c>
      <c r="AB10" t="n">
        <v>97.53350944700047</v>
      </c>
      <c r="AC10" t="n">
        <v>121.3103351330851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2013/03_2_BS2C_BB_CEC_San Juan SpA.</t>
        </is>
      </c>
      <c r="K11" t="inlineStr">
        <is>
          <t>Teno 13.2</t>
        </is>
      </c>
      <c r="L11" t="inlineStr">
        <is>
          <t>-1</t>
        </is>
      </c>
      <c r="M11" t="n">
        <v>5887.967042590938</v>
      </c>
      <c r="N11" t="n">
        <v>38</v>
      </c>
      <c r="O11" t="inlineStr">
        <is>
          <t>5</t>
        </is>
      </c>
      <c r="P11" s="2" t="n">
        <v>44676.57927461805</v>
      </c>
      <c r="Q11" t="n">
        <v>8</v>
      </c>
      <c r="R11" t="inlineStr">
        <is>
          <t>ALTO JAHUEL 220</t>
        </is>
      </c>
      <c r="S11" t="n">
        <v>2528.542785364084</v>
      </c>
      <c r="T11" t="n">
        <v>183894.8663101148</v>
      </c>
      <c r="U11" t="n">
        <v>16.44985253554445</v>
      </c>
      <c r="V11" t="n">
        <v>99698.9961143806</v>
      </c>
      <c r="W11" t="inlineStr">
        <is>
          <t>CEC</t>
        </is>
      </c>
      <c r="X11" t="n">
        <v>82.73902972910399</v>
      </c>
      <c r="Y11" t="n">
        <v>183.8948663101147</v>
      </c>
      <c r="Z11" t="n">
        <v>209209.1766895504</v>
      </c>
      <c r="AA11" t="n">
        <v>124003.7265104236</v>
      </c>
      <c r="AB11" t="n">
        <v>99698.9961143806</v>
      </c>
      <c r="AC11" t="n">
        <v>124003.7265104236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2013/03_2_BS2C_BB_CEC_San Juan SpA.</t>
        </is>
      </c>
      <c r="K12" t="inlineStr">
        <is>
          <t>Teno 13.2</t>
        </is>
      </c>
      <c r="L12" t="inlineStr">
        <is>
          <t>-1</t>
        </is>
      </c>
      <c r="M12" t="n">
        <v>5887.967042590938</v>
      </c>
      <c r="N12" t="n">
        <v>38</v>
      </c>
      <c r="O12" t="inlineStr">
        <is>
          <t>5</t>
        </is>
      </c>
      <c r="P12" s="2" t="n">
        <v>44676.57927461805</v>
      </c>
      <c r="Q12" t="n">
        <v>34</v>
      </c>
      <c r="R12" t="inlineStr">
        <is>
          <t>CHARRUA 220</t>
        </is>
      </c>
      <c r="S12" t="n">
        <v>199.4757400248024</v>
      </c>
      <c r="T12" t="n">
        <v>13841.48012200779</v>
      </c>
      <c r="U12" t="n">
        <v>1.297722358830531</v>
      </c>
      <c r="V12" t="n">
        <v>7603.458523260035</v>
      </c>
      <c r="W12" t="inlineStr">
        <is>
          <t>CEC</t>
        </is>
      </c>
      <c r="X12" t="n">
        <v>78.94117263853799</v>
      </c>
      <c r="Y12" t="n">
        <v>13.84148012200779</v>
      </c>
      <c r="Z12" t="n">
        <v>15746.84883049805</v>
      </c>
      <c r="AA12" t="n">
        <v>9457.037964253774</v>
      </c>
      <c r="AB12" t="n">
        <v>7603.458523260035</v>
      </c>
      <c r="AC12" t="n">
        <v>9457.037964253774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2013/03_2_BS2C_BB_CEC_San Juan SpA.</t>
        </is>
      </c>
      <c r="K13" t="inlineStr">
        <is>
          <t>Teno 13.2</t>
        </is>
      </c>
      <c r="L13" t="inlineStr">
        <is>
          <t>-1</t>
        </is>
      </c>
      <c r="M13" t="n">
        <v>5887.967042590938</v>
      </c>
      <c r="N13" t="n">
        <v>38</v>
      </c>
      <c r="O13" t="inlineStr">
        <is>
          <t>5</t>
        </is>
      </c>
      <c r="P13" s="2" t="n">
        <v>44676.57927461805</v>
      </c>
      <c r="Q13" t="n">
        <v>23</v>
      </c>
      <c r="R13" t="inlineStr">
        <is>
          <t>ITAHUE 220</t>
        </is>
      </c>
      <c r="S13" t="n">
        <v>3275.824863832063</v>
      </c>
      <c r="T13" t="n">
        <v>227673.315947741</v>
      </c>
      <c r="U13" t="n">
        <v>21.3114194682485</v>
      </c>
      <c r="V13" t="n">
        <v>127568.0139700539</v>
      </c>
      <c r="W13" t="inlineStr">
        <is>
          <t>CEC</t>
        </is>
      </c>
      <c r="X13" t="n">
        <v>79.06833304089299</v>
      </c>
      <c r="Y13" t="n">
        <v>227.673315947741</v>
      </c>
      <c r="Z13" t="n">
        <v>259014.0113171115</v>
      </c>
      <c r="AA13" t="n">
        <v>158666.6840423555</v>
      </c>
      <c r="AB13" t="n">
        <v>127568.0139700539</v>
      </c>
      <c r="AC13" t="n">
        <v>158666.6840423555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2013/03_2_BS2C_BB_CEC_San Juan SpA.</t>
        </is>
      </c>
      <c r="K14" t="inlineStr">
        <is>
          <t>Teno 13.2</t>
        </is>
      </c>
      <c r="L14" t="inlineStr">
        <is>
          <t>-1</t>
        </is>
      </c>
      <c r="M14" t="n">
        <v>5887.967042590938</v>
      </c>
      <c r="N14" t="n">
        <v>38</v>
      </c>
      <c r="O14" t="inlineStr">
        <is>
          <t>5</t>
        </is>
      </c>
      <c r="P14" s="2" t="n">
        <v>44676.57927461805</v>
      </c>
      <c r="Q14" t="n">
        <v>13</v>
      </c>
      <c r="R14" t="inlineStr">
        <is>
          <t>MELIPILLA 220</t>
        </is>
      </c>
      <c r="S14" t="n">
        <v>15.26296195068034</v>
      </c>
      <c r="T14" t="n">
        <v>1125.847652859381</v>
      </c>
      <c r="U14" t="n">
        <v>0.09929571878221767</v>
      </c>
      <c r="V14" t="n">
        <v>609.3654659130636</v>
      </c>
      <c r="W14" t="inlineStr">
        <is>
          <t>CEC</t>
        </is>
      </c>
      <c r="X14" t="n">
        <v>83.91738268701899</v>
      </c>
      <c r="Y14" t="n">
        <v>1.125847652859381</v>
      </c>
      <c r="Z14" t="n">
        <v>1280.827818952652</v>
      </c>
      <c r="AA14" t="n">
        <v>757.9172461605268</v>
      </c>
      <c r="AB14" t="n">
        <v>609.3654659130636</v>
      </c>
      <c r="AC14" t="n">
        <v>757.9172461605268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2013/03_2_BS2C_BB_CEC_San Juan SpA.</t>
        </is>
      </c>
      <c r="K15" t="inlineStr">
        <is>
          <t>Teno 13.2</t>
        </is>
      </c>
      <c r="L15" t="inlineStr">
        <is>
          <t>-1</t>
        </is>
      </c>
      <c r="M15" t="n">
        <v>5887.967042590938</v>
      </c>
      <c r="N15" t="n">
        <v>38</v>
      </c>
      <c r="O15" t="inlineStr">
        <is>
          <t>5</t>
        </is>
      </c>
      <c r="P15" s="2" t="n">
        <v>44676.57927461805</v>
      </c>
      <c r="Q15" t="n">
        <v>22</v>
      </c>
      <c r="R15" t="inlineStr">
        <is>
          <t>RAPEL 220</t>
        </is>
      </c>
      <c r="S15" t="n">
        <v>13.63973050259879</v>
      </c>
      <c r="T15" t="n">
        <v>979.5851491736681</v>
      </c>
      <c r="U15" t="n">
        <v>0.08873551861216006</v>
      </c>
      <c r="V15" t="n">
        <v>510.048313597423</v>
      </c>
      <c r="W15" t="inlineStr">
        <is>
          <t>CEC</t>
        </is>
      </c>
      <c r="X15" t="n">
        <v>81.704791841904</v>
      </c>
      <c r="Y15" t="n">
        <v>0.979585149173668</v>
      </c>
      <c r="Z15" t="n">
        <v>1114.431341494503</v>
      </c>
      <c r="AA15" t="n">
        <v>634.3884497480385</v>
      </c>
      <c r="AB15" t="n">
        <v>510.048313597423</v>
      </c>
      <c r="AC15" t="n">
        <v>634.3884497480385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2013/03_2_BS2C_BB_CEC_San Juan SpA.</t>
        </is>
      </c>
      <c r="K16" t="inlineStr">
        <is>
          <t>Curico 13.2</t>
        </is>
      </c>
      <c r="L16" t="inlineStr">
        <is>
          <t>-1</t>
        </is>
      </c>
      <c r="M16" t="n">
        <v>13817.91166780347</v>
      </c>
      <c r="N16" t="n">
        <v>71</v>
      </c>
      <c r="O16" t="inlineStr">
        <is>
          <t>5</t>
        </is>
      </c>
      <c r="P16" s="2" t="n">
        <v>44676.57927461805</v>
      </c>
      <c r="Q16" t="n">
        <v>8</v>
      </c>
      <c r="R16" t="inlineStr">
        <is>
          <t>ALTO JAHUEL 220</t>
        </is>
      </c>
      <c r="S16" t="n">
        <v>5587.852533752155</v>
      </c>
      <c r="T16" t="n">
        <v>406391.1437856204</v>
      </c>
      <c r="U16" t="n">
        <v>28.64436021410052</v>
      </c>
      <c r="V16" t="n">
        <v>173607.2679991356</v>
      </c>
      <c r="W16" t="inlineStr">
        <is>
          <t>CEC</t>
        </is>
      </c>
      <c r="X16" t="n">
        <v>82.73902972910398</v>
      </c>
      <c r="Y16" t="n">
        <v>406.3911437856204</v>
      </c>
      <c r="Z16" t="n">
        <v>462333.4969119686</v>
      </c>
      <c r="AA16" t="n">
        <v>215929.4378098701</v>
      </c>
      <c r="AB16" t="n">
        <v>173607.2679991356</v>
      </c>
      <c r="AC16" t="n">
        <v>215929.4378098701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2013/03_2_BS2C_BB_CEC_San Juan SpA.</t>
        </is>
      </c>
      <c r="K17" t="inlineStr">
        <is>
          <t>Curico 13.2</t>
        </is>
      </c>
      <c r="L17" t="inlineStr">
        <is>
          <t>-1</t>
        </is>
      </c>
      <c r="M17" t="n">
        <v>13817.91166780347</v>
      </c>
      <c r="N17" t="n">
        <v>71</v>
      </c>
      <c r="O17" t="inlineStr">
        <is>
          <t>5</t>
        </is>
      </c>
      <c r="P17" s="2" t="n">
        <v>44676.57927461805</v>
      </c>
      <c r="Q17" t="n">
        <v>34</v>
      </c>
      <c r="R17" t="inlineStr">
        <is>
          <t>CHARRUA 220</t>
        </is>
      </c>
      <c r="S17" t="n">
        <v>1128.788299516317</v>
      </c>
      <c r="T17" t="n">
        <v>78325.81950951727</v>
      </c>
      <c r="U17" t="n">
        <v>5.78637651253405</v>
      </c>
      <c r="V17" t="n">
        <v>33902.84024440098</v>
      </c>
      <c r="W17" t="inlineStr">
        <is>
          <t>CEC</t>
        </is>
      </c>
      <c r="X17" t="n">
        <v>78.94117263853799</v>
      </c>
      <c r="Y17" t="n">
        <v>78.32581950951729</v>
      </c>
      <c r="Z17" t="n">
        <v>89107.87202447926</v>
      </c>
      <c r="AA17" t="n">
        <v>42167.71174676738</v>
      </c>
      <c r="AB17" t="n">
        <v>33902.84024440098</v>
      </c>
      <c r="AC17" t="n">
        <v>42167.71174676738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2013/03_2_BS2C_BB_CEC_San Juan SpA.</t>
        </is>
      </c>
      <c r="K18" t="inlineStr">
        <is>
          <t>Curico 13.2</t>
        </is>
      </c>
      <c r="L18" t="inlineStr">
        <is>
          <t>-1</t>
        </is>
      </c>
      <c r="M18" t="n">
        <v>13817.91166780347</v>
      </c>
      <c r="N18" t="n">
        <v>71</v>
      </c>
      <c r="O18" t="inlineStr">
        <is>
          <t>5</t>
        </is>
      </c>
      <c r="P18" s="2" t="n">
        <v>44676.57927461805</v>
      </c>
      <c r="Q18" t="n">
        <v>23</v>
      </c>
      <c r="R18" t="inlineStr">
        <is>
          <t>ITAHUE 220</t>
        </is>
      </c>
      <c r="S18" t="n">
        <v>7383.360003061025</v>
      </c>
      <c r="T18" t="n">
        <v>513151.3815932145</v>
      </c>
      <c r="U18" t="n">
        <v>37.84846186269146</v>
      </c>
      <c r="V18" t="n">
        <v>226557.0868631441</v>
      </c>
      <c r="W18" t="inlineStr">
        <is>
          <t>CEC</t>
        </is>
      </c>
      <c r="X18" t="n">
        <v>79.06833304089299</v>
      </c>
      <c r="Y18" t="n">
        <v>513.1513815932145</v>
      </c>
      <c r="Z18" t="n">
        <v>583789.9676828379</v>
      </c>
      <c r="AA18" t="n">
        <v>281787.4214715722</v>
      </c>
      <c r="AB18" t="n">
        <v>226557.0868631441</v>
      </c>
      <c r="AC18" t="n">
        <v>281787.4214715722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2013/03_2_BS2C_BB_CEC_San Juan SpA.</t>
        </is>
      </c>
      <c r="K19" t="inlineStr">
        <is>
          <t>Curico 13.2</t>
        </is>
      </c>
      <c r="L19" t="inlineStr">
        <is>
          <t>-1</t>
        </is>
      </c>
      <c r="M19" t="n">
        <v>13817.91166780347</v>
      </c>
      <c r="N19" t="n">
        <v>71</v>
      </c>
      <c r="O19" t="inlineStr">
        <is>
          <t>5</t>
        </is>
      </c>
      <c r="P19" s="2" t="n">
        <v>44676.57927461805</v>
      </c>
      <c r="Q19" t="n">
        <v>13</v>
      </c>
      <c r="R19" t="inlineStr">
        <is>
          <t>MELIPILLA 220</t>
        </is>
      </c>
      <c r="S19" t="n">
        <v>25.20651890727873</v>
      </c>
      <c r="T19" t="n">
        <v>1859.318017054377</v>
      </c>
      <c r="U19" t="n">
        <v>0.1292132537432585</v>
      </c>
      <c r="V19" t="n">
        <v>792.9656538576205</v>
      </c>
      <c r="W19" t="inlineStr">
        <is>
          <t>CEC</t>
        </is>
      </c>
      <c r="X19" t="n">
        <v>83.917382687019</v>
      </c>
      <c r="Y19" t="n">
        <v>1.859318017054377</v>
      </c>
      <c r="Z19" t="n">
        <v>2115.265093349689</v>
      </c>
      <c r="AA19" t="n">
        <v>986.2756888776373</v>
      </c>
      <c r="AB19" t="n">
        <v>792.9656538576205</v>
      </c>
      <c r="AC19" t="n">
        <v>986.2756888776373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2013/03_2_BS2C_BB_CEC_San Juan SpA.</t>
        </is>
      </c>
      <c r="K20" t="inlineStr">
        <is>
          <t>Curico 13.2</t>
        </is>
      </c>
      <c r="L20" t="inlineStr">
        <is>
          <t>-1</t>
        </is>
      </c>
      <c r="M20" t="n">
        <v>13817.91166780347</v>
      </c>
      <c r="N20" t="n">
        <v>71</v>
      </c>
      <c r="O20" t="inlineStr">
        <is>
          <t>5</t>
        </is>
      </c>
      <c r="P20" s="2" t="n">
        <v>44676.57927461805</v>
      </c>
      <c r="Q20" t="n">
        <v>22</v>
      </c>
      <c r="R20" t="inlineStr">
        <is>
          <t>RAPEL 220</t>
        </is>
      </c>
      <c r="S20" t="n">
        <v>32.47251421104909</v>
      </c>
      <c r="T20" t="n">
        <v>2332.127652479194</v>
      </c>
      <c r="U20" t="n">
        <v>0.1664600825630959</v>
      </c>
      <c r="V20" t="n">
        <v>956.8060875790053</v>
      </c>
      <c r="W20" t="inlineStr">
        <is>
          <t>CEC</t>
        </is>
      </c>
      <c r="X20" t="n">
        <v>81.70479184190401</v>
      </c>
      <c r="Y20" t="n">
        <v>2.332127652479195</v>
      </c>
      <c r="Z20" t="n">
        <v>2653.160014197036</v>
      </c>
      <c r="AA20" t="n">
        <v>1190.057322859459</v>
      </c>
      <c r="AB20" t="n">
        <v>956.8060875790053</v>
      </c>
      <c r="AC20" t="n">
        <v>1190.057322859459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2013/03_2_BS2C_BB_CEC_San Juan SpA.</t>
        </is>
      </c>
      <c r="K21" t="inlineStr">
        <is>
          <t>Quinta 13.8</t>
        </is>
      </c>
      <c r="L21" t="inlineStr">
        <is>
          <t>-1</t>
        </is>
      </c>
      <c r="M21" t="n">
        <v>3282.594182206906</v>
      </c>
      <c r="N21" t="n">
        <v>13</v>
      </c>
      <c r="O21" t="inlineStr">
        <is>
          <t>5</t>
        </is>
      </c>
      <c r="P21" s="2" t="n">
        <v>44676.57927461805</v>
      </c>
      <c r="Q21" t="n">
        <v>8</v>
      </c>
      <c r="R21" t="inlineStr">
        <is>
          <t>ALTO JAHUEL 220</t>
        </is>
      </c>
      <c r="S21" t="n">
        <v>1605.509800737127</v>
      </c>
      <c r="T21" t="n">
        <v>116764.8860343966</v>
      </c>
      <c r="U21" t="n">
        <v>6.354208888265021</v>
      </c>
      <c r="V21" t="n">
        <v>38511.48488366248</v>
      </c>
      <c r="W21" t="inlineStr">
        <is>
          <t>CEC</t>
        </is>
      </c>
      <c r="X21" t="n">
        <v>82.73902972910399</v>
      </c>
      <c r="Y21" t="n">
        <v>116.7648860343966</v>
      </c>
      <c r="Z21" t="n">
        <v>132838.323133557</v>
      </c>
      <c r="AA21" t="n">
        <v>47899.85682047572</v>
      </c>
      <c r="AB21" t="n">
        <v>38511.48488366248</v>
      </c>
      <c r="AC21" t="n">
        <v>47899.85682047572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2013/03_2_BS2C_BB_CEC_San Juan SpA.</t>
        </is>
      </c>
      <c r="K22" t="inlineStr">
        <is>
          <t>Quinta 13.8</t>
        </is>
      </c>
      <c r="L22" t="inlineStr">
        <is>
          <t>-1</t>
        </is>
      </c>
      <c r="M22" t="n">
        <v>3282.594182206906</v>
      </c>
      <c r="N22" t="n">
        <v>13</v>
      </c>
      <c r="O22" t="inlineStr">
        <is>
          <t>5</t>
        </is>
      </c>
      <c r="P22" s="2" t="n">
        <v>44676.57927461805</v>
      </c>
      <c r="Q22" t="n">
        <v>34</v>
      </c>
      <c r="R22" t="inlineStr">
        <is>
          <t>CHARRUA 220</t>
        </is>
      </c>
      <c r="S22" t="n">
        <v>171.2633902033179</v>
      </c>
      <c r="T22" t="n">
        <v>11883.84517752454</v>
      </c>
      <c r="U22" t="n">
        <v>0.6778179465268196</v>
      </c>
      <c r="V22" t="n">
        <v>3971.389263403287</v>
      </c>
      <c r="W22" t="inlineStr">
        <is>
          <t>CEC</t>
        </is>
      </c>
      <c r="X22" t="n">
        <v>78.94117263853799</v>
      </c>
      <c r="Y22" t="n">
        <v>11.88384517752454</v>
      </c>
      <c r="Z22" t="n">
        <v>13519.73285270141</v>
      </c>
      <c r="AA22" t="n">
        <v>4939.538884829959</v>
      </c>
      <c r="AB22" t="n">
        <v>3971.389263403287</v>
      </c>
      <c r="AC22" t="n">
        <v>4939.538884829959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2013/03_2_BS2C_BB_CEC_San Juan SpA.</t>
        </is>
      </c>
      <c r="K23" t="inlineStr">
        <is>
          <t>Quinta 13.8</t>
        </is>
      </c>
      <c r="L23" t="inlineStr">
        <is>
          <t>-1</t>
        </is>
      </c>
      <c r="M23" t="n">
        <v>3282.594182206906</v>
      </c>
      <c r="N23" t="n">
        <v>13</v>
      </c>
      <c r="O23" t="inlineStr">
        <is>
          <t>5</t>
        </is>
      </c>
      <c r="P23" s="2" t="n">
        <v>44676.57927461805</v>
      </c>
      <c r="Q23" t="n">
        <v>23</v>
      </c>
      <c r="R23" t="inlineStr">
        <is>
          <t>ITAHUE 220</t>
        </is>
      </c>
      <c r="S23" t="n">
        <v>1582.249222563523</v>
      </c>
      <c r="T23" t="n">
        <v>109968.0056568617</v>
      </c>
      <c r="U23" t="n">
        <v>6.262149299149439</v>
      </c>
      <c r="V23" t="n">
        <v>37484.59601513878</v>
      </c>
      <c r="W23" t="inlineStr">
        <is>
          <t>CEC</t>
        </is>
      </c>
      <c r="X23" t="n">
        <v>79.06833304089299</v>
      </c>
      <c r="Y23" t="n">
        <v>109.9680056568617</v>
      </c>
      <c r="Z23" t="n">
        <v>125105.8084833467</v>
      </c>
      <c r="AA23" t="n">
        <v>46622.63185962534</v>
      </c>
      <c r="AB23" t="n">
        <v>37484.59601513878</v>
      </c>
      <c r="AC23" t="n">
        <v>46622.63185962534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2013/03_2_BS2C_BB_CEC_San Juan SpA.</t>
        </is>
      </c>
      <c r="K24" t="inlineStr">
        <is>
          <t>Quinta 13.8</t>
        </is>
      </c>
      <c r="L24" t="inlineStr">
        <is>
          <t>-1</t>
        </is>
      </c>
      <c r="M24" t="n">
        <v>3282.594182206906</v>
      </c>
      <c r="N24" t="n">
        <v>13</v>
      </c>
      <c r="O24" t="inlineStr">
        <is>
          <t>5</t>
        </is>
      </c>
      <c r="P24" s="2" t="n">
        <v>44676.57927461805</v>
      </c>
      <c r="Q24" t="n">
        <v>22</v>
      </c>
      <c r="R24" t="inlineStr">
        <is>
          <t>RAPEL 220</t>
        </is>
      </c>
      <c r="S24" t="n">
        <v>4.287375288803116</v>
      </c>
      <c r="T24" t="n">
        <v>307.912913751888</v>
      </c>
      <c r="U24" t="n">
        <v>0.01696836615692581</v>
      </c>
      <c r="V24" t="n">
        <v>97.53350944700044</v>
      </c>
      <c r="W24" t="inlineStr">
        <is>
          <t>CEC</t>
        </is>
      </c>
      <c r="X24" t="n">
        <v>81.704791841904</v>
      </c>
      <c r="Y24" t="n">
        <v>0.307912913751888</v>
      </c>
      <c r="Z24" t="n">
        <v>350.2991055197816</v>
      </c>
      <c r="AA24" t="n">
        <v>121.3103351330851</v>
      </c>
      <c r="AB24" t="n">
        <v>97.53350944700044</v>
      </c>
      <c r="AC24" t="n">
        <v>121.3103351330851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2013/03_2_BS2C_BB_CEC_San Juan SpA.</t>
        </is>
      </c>
      <c r="K25" t="inlineStr">
        <is>
          <t>Teno 13.2</t>
        </is>
      </c>
      <c r="L25" t="inlineStr">
        <is>
          <t>-1</t>
        </is>
      </c>
      <c r="M25" t="n">
        <v>6067.833814932236</v>
      </c>
      <c r="N25" t="n">
        <v>38</v>
      </c>
      <c r="O25" t="inlineStr">
        <is>
          <t>5</t>
        </is>
      </c>
      <c r="P25" s="2" t="n">
        <v>44676.57927461805</v>
      </c>
      <c r="Q25" t="n">
        <v>8</v>
      </c>
      <c r="R25" t="inlineStr">
        <is>
          <t>ALTO JAHUEL 220</t>
        </is>
      </c>
      <c r="S25" t="n">
        <v>2605.785206430725</v>
      </c>
      <c r="T25" t="n">
        <v>189512.5227633649</v>
      </c>
      <c r="U25" t="n">
        <v>16.44985253554445</v>
      </c>
      <c r="V25" t="n">
        <v>99698.9961143806</v>
      </c>
      <c r="W25" t="inlineStr">
        <is>
          <t>CEC</t>
        </is>
      </c>
      <c r="X25" t="n">
        <v>82.73902972910399</v>
      </c>
      <c r="Y25" t="n">
        <v>189.5125227633648</v>
      </c>
      <c r="Z25" t="n">
        <v>215600.1396625311</v>
      </c>
      <c r="AA25" t="n">
        <v>124003.7265104236</v>
      </c>
      <c r="AB25" t="n">
        <v>99698.9961143806</v>
      </c>
      <c r="AC25" t="n">
        <v>124003.7265104236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2013/03_2_BS2C_BB_CEC_San Juan SpA.</t>
        </is>
      </c>
      <c r="K26" t="inlineStr">
        <is>
          <t>Teno 13.2</t>
        </is>
      </c>
      <c r="L26" t="inlineStr">
        <is>
          <t>-1</t>
        </is>
      </c>
      <c r="M26" t="n">
        <v>6067.833814932236</v>
      </c>
      <c r="N26" t="n">
        <v>38</v>
      </c>
      <c r="O26" t="inlineStr">
        <is>
          <t>5</t>
        </is>
      </c>
      <c r="P26" s="2" t="n">
        <v>44676.57927461805</v>
      </c>
      <c r="Q26" t="n">
        <v>34</v>
      </c>
      <c r="R26" t="inlineStr">
        <is>
          <t>CHARRUA 220</t>
        </is>
      </c>
      <c r="S26" t="n">
        <v>205.569364065005</v>
      </c>
      <c r="T26" t="n">
        <v>14264.31237225018</v>
      </c>
      <c r="U26" t="n">
        <v>1.297722358830531</v>
      </c>
      <c r="V26" t="n">
        <v>7603.458523260035</v>
      </c>
      <c r="W26" t="inlineStr">
        <is>
          <t>CEC</t>
        </is>
      </c>
      <c r="X26" t="n">
        <v>78.94117263853799</v>
      </c>
      <c r="Y26" t="n">
        <v>14.26431237225018</v>
      </c>
      <c r="Z26" t="n">
        <v>16227.88665785003</v>
      </c>
      <c r="AA26" t="n">
        <v>9457.037964253774</v>
      </c>
      <c r="AB26" t="n">
        <v>7603.458523260035</v>
      </c>
      <c r="AC26" t="n">
        <v>9457.037964253774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2013/03_2_BS2C_BB_CEC_San Juan SpA.</t>
        </is>
      </c>
      <c r="K27" t="inlineStr">
        <is>
          <t>Teno 13.2</t>
        </is>
      </c>
      <c r="L27" t="inlineStr">
        <is>
          <t>-1</t>
        </is>
      </c>
      <c r="M27" t="n">
        <v>6067.833814932236</v>
      </c>
      <c r="N27" t="n">
        <v>38</v>
      </c>
      <c r="O27" t="inlineStr">
        <is>
          <t>5</t>
        </is>
      </c>
      <c r="P27" s="2" t="n">
        <v>44676.57927461805</v>
      </c>
      <c r="Q27" t="n">
        <v>23</v>
      </c>
      <c r="R27" t="inlineStr">
        <is>
          <t>ITAHUE 220</t>
        </is>
      </c>
      <c r="S27" t="n">
        <v>3375.895404436443</v>
      </c>
      <c r="T27" t="n">
        <v>234628.3250691475</v>
      </c>
      <c r="U27" t="n">
        <v>21.3114194682485</v>
      </c>
      <c r="V27" t="n">
        <v>127568.0139700539</v>
      </c>
      <c r="W27" t="inlineStr">
        <is>
          <t>CEC</t>
        </is>
      </c>
      <c r="X27" t="n">
        <v>79.06833304089301</v>
      </c>
      <c r="Y27" t="n">
        <v>234.6283250691475</v>
      </c>
      <c r="Z27" t="n">
        <v>266926.4221492008</v>
      </c>
      <c r="AA27" t="n">
        <v>158666.6840423555</v>
      </c>
      <c r="AB27" t="n">
        <v>127568.0139700539</v>
      </c>
      <c r="AC27" t="n">
        <v>158666.6840423555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2013/03_2_BS2C_BB_CEC_San Juan SpA.</t>
        </is>
      </c>
      <c r="K28" t="inlineStr">
        <is>
          <t>Teno 13.2</t>
        </is>
      </c>
      <c r="L28" t="inlineStr">
        <is>
          <t>-1</t>
        </is>
      </c>
      <c r="M28" t="n">
        <v>6067.833814932236</v>
      </c>
      <c r="N28" t="n">
        <v>38</v>
      </c>
      <c r="O28" t="inlineStr">
        <is>
          <t>5</t>
        </is>
      </c>
      <c r="P28" s="2" t="n">
        <v>44676.57927461805</v>
      </c>
      <c r="Q28" t="n">
        <v>13</v>
      </c>
      <c r="R28" t="inlineStr">
        <is>
          <t>MELIPILLA 220</t>
        </is>
      </c>
      <c r="S28" t="n">
        <v>15.72921790669685</v>
      </c>
      <c r="T28" t="n">
        <v>1160.240267832092</v>
      </c>
      <c r="U28" t="n">
        <v>0.09929571878221767</v>
      </c>
      <c r="V28" t="n">
        <v>609.3654659130636</v>
      </c>
      <c r="W28" t="inlineStr">
        <is>
          <t>CEC</t>
        </is>
      </c>
      <c r="X28" t="n">
        <v>83.91738268701899</v>
      </c>
      <c r="Y28" t="n">
        <v>1.160240267832092</v>
      </c>
      <c r="Z28" t="n">
        <v>1319.954798443791</v>
      </c>
      <c r="AA28" t="n">
        <v>757.9172461605268</v>
      </c>
      <c r="AB28" t="n">
        <v>609.3654659130636</v>
      </c>
      <c r="AC28" t="n">
        <v>757.9172461605268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2013/03_2_BS2C_BB_CEC_San Juan SpA.</t>
        </is>
      </c>
      <c r="K29" t="inlineStr">
        <is>
          <t>Teno 13.2</t>
        </is>
      </c>
      <c r="L29" t="inlineStr">
        <is>
          <t>-1</t>
        </is>
      </c>
      <c r="M29" t="n">
        <v>6067.833814932236</v>
      </c>
      <c r="N29" t="n">
        <v>38</v>
      </c>
      <c r="O29" t="inlineStr">
        <is>
          <t>5</t>
        </is>
      </c>
      <c r="P29" s="2" t="n">
        <v>44676.57927461805</v>
      </c>
      <c r="Q29" t="n">
        <v>22</v>
      </c>
      <c r="R29" t="inlineStr">
        <is>
          <t>RAPEL 220</t>
        </is>
      </c>
      <c r="S29" t="n">
        <v>14.05639966588746</v>
      </c>
      <c r="T29" t="n">
        <v>1009.509708489442</v>
      </c>
      <c r="U29" t="n">
        <v>0.08873551861216006</v>
      </c>
      <c r="V29" t="n">
        <v>510.048313597423</v>
      </c>
      <c r="W29" t="inlineStr">
        <is>
          <t>CEC</t>
        </is>
      </c>
      <c r="X29" t="n">
        <v>81.704791841904</v>
      </c>
      <c r="Y29" t="n">
        <v>1.009509708489442</v>
      </c>
      <c r="Z29" t="n">
        <v>1148.475208747943</v>
      </c>
      <c r="AA29" t="n">
        <v>634.3884497480385</v>
      </c>
      <c r="AB29" t="n">
        <v>510.048313597423</v>
      </c>
      <c r="AC29" t="n">
        <v>634.3884497480385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2013/03_2_BS2C_BB_CEC_San Juan SpA.</t>
        </is>
      </c>
      <c r="K30" t="inlineStr">
        <is>
          <t>Curico 13.2</t>
        </is>
      </c>
      <c r="L30" t="inlineStr">
        <is>
          <t>-1</t>
        </is>
      </c>
      <c r="M30" t="n">
        <v>17285.24152050862</v>
      </c>
      <c r="N30" t="n">
        <v>71</v>
      </c>
      <c r="O30" t="inlineStr">
        <is>
          <t>5</t>
        </is>
      </c>
      <c r="P30" s="2" t="n">
        <v>44676.57927461805</v>
      </c>
      <c r="Q30" t="n">
        <v>8</v>
      </c>
      <c r="R30" t="inlineStr">
        <is>
          <t>ALTO JAHUEL 220</t>
        </is>
      </c>
      <c r="S30" t="n">
        <v>6990.01288682039</v>
      </c>
      <c r="T30" t="n">
        <v>508366.9110794686</v>
      </c>
      <c r="U30" t="n">
        <v>28.64436021410053</v>
      </c>
      <c r="V30" t="n">
        <v>173607.2679991357</v>
      </c>
      <c r="W30" t="inlineStr">
        <is>
          <t>CEC</t>
        </is>
      </c>
      <c r="X30" t="n">
        <v>82.73902972910399</v>
      </c>
      <c r="Y30" t="n">
        <v>508.3669110794685</v>
      </c>
      <c r="Z30" t="n">
        <v>578346.8840494523</v>
      </c>
      <c r="AA30" t="n">
        <v>215929.4378098702</v>
      </c>
      <c r="AB30" t="n">
        <v>173607.2679991357</v>
      </c>
      <c r="AC30" t="n">
        <v>215929.4378098702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2013/03_2_BS2C_BB_CEC_San Juan SpA.</t>
        </is>
      </c>
      <c r="K31" t="inlineStr">
        <is>
          <t>Curico 13.2</t>
        </is>
      </c>
      <c r="L31" t="inlineStr">
        <is>
          <t>-1</t>
        </is>
      </c>
      <c r="M31" t="n">
        <v>17285.24152050862</v>
      </c>
      <c r="N31" t="n">
        <v>71</v>
      </c>
      <c r="O31" t="inlineStr">
        <is>
          <t>5</t>
        </is>
      </c>
      <c r="P31" s="2" t="n">
        <v>44676.57927461805</v>
      </c>
      <c r="Q31" t="n">
        <v>34</v>
      </c>
      <c r="R31" t="inlineStr">
        <is>
          <t>CHARRUA 220</t>
        </is>
      </c>
      <c r="S31" t="n">
        <v>1412.035251906147</v>
      </c>
      <c r="T31" t="n">
        <v>97980.12464274126</v>
      </c>
      <c r="U31" t="n">
        <v>5.786376512534053</v>
      </c>
      <c r="V31" t="n">
        <v>33902.84024440099</v>
      </c>
      <c r="W31" t="inlineStr">
        <is>
          <t>CEC</t>
        </is>
      </c>
      <c r="X31" t="n">
        <v>78.94117263853798</v>
      </c>
      <c r="Y31" t="n">
        <v>97.98012464274125</v>
      </c>
      <c r="Z31" t="n">
        <v>111467.7185924246</v>
      </c>
      <c r="AA31" t="n">
        <v>42167.7117467674</v>
      </c>
      <c r="AB31" t="n">
        <v>33902.84024440099</v>
      </c>
      <c r="AC31" t="n">
        <v>42167.7117467674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2013/03_2_BS2C_BB_CEC_San Juan SpA.</t>
        </is>
      </c>
      <c r="K32" t="inlineStr">
        <is>
          <t>Curico 13.2</t>
        </is>
      </c>
      <c r="L32" t="inlineStr">
        <is>
          <t>-1</t>
        </is>
      </c>
      <c r="M32" t="n">
        <v>17285.24152050862</v>
      </c>
      <c r="N32" t="n">
        <v>71</v>
      </c>
      <c r="O32" t="inlineStr">
        <is>
          <t>5</t>
        </is>
      </c>
      <c r="P32" s="2" t="n">
        <v>44676.57927461805</v>
      </c>
      <c r="Q32" t="n">
        <v>23</v>
      </c>
      <c r="R32" t="inlineStr">
        <is>
          <t>ITAHUE 220</t>
        </is>
      </c>
      <c r="S32" t="n">
        <v>9236.067211454423</v>
      </c>
      <c r="T32" t="n">
        <v>641916.5052334849</v>
      </c>
      <c r="U32" t="n">
        <v>37.84846186269147</v>
      </c>
      <c r="V32" t="n">
        <v>226557.0868631442</v>
      </c>
      <c r="W32" t="inlineStr">
        <is>
          <t>CEC</t>
        </is>
      </c>
      <c r="X32" t="n">
        <v>79.06833304089299</v>
      </c>
      <c r="Y32" t="n">
        <v>641.9165052334848</v>
      </c>
      <c r="Z32" t="n">
        <v>730280.4382633503</v>
      </c>
      <c r="AA32" t="n">
        <v>281787.4214715723</v>
      </c>
      <c r="AB32" t="n">
        <v>226557.0868631442</v>
      </c>
      <c r="AC32" t="n">
        <v>281787.4214715723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2013/03_2_BS2C_BB_CEC_San Juan SpA.</t>
        </is>
      </c>
      <c r="K33" t="inlineStr">
        <is>
          <t>Curico 13.2</t>
        </is>
      </c>
      <c r="L33" t="inlineStr">
        <is>
          <t>-1</t>
        </is>
      </c>
      <c r="M33" t="n">
        <v>17285.24152050862</v>
      </c>
      <c r="N33" t="n">
        <v>71</v>
      </c>
      <c r="O33" t="inlineStr">
        <is>
          <t>5</t>
        </is>
      </c>
      <c r="P33" s="2" t="n">
        <v>44676.57927461805</v>
      </c>
      <c r="Q33" t="n">
        <v>13</v>
      </c>
      <c r="R33" t="inlineStr">
        <is>
          <t>MELIPILLA 220</t>
        </is>
      </c>
      <c r="S33" t="n">
        <v>31.53159302782257</v>
      </c>
      <c r="T33" t="n">
        <v>2325.876859026624</v>
      </c>
      <c r="U33" t="n">
        <v>0.1292132537432586</v>
      </c>
      <c r="V33" t="n">
        <v>792.9656538576207</v>
      </c>
      <c r="W33" t="inlineStr">
        <is>
          <t>CEC</t>
        </is>
      </c>
      <c r="X33" t="n">
        <v>83.91738268701899</v>
      </c>
      <c r="Y33" t="n">
        <v>2.325876859026624</v>
      </c>
      <c r="Z33" t="n">
        <v>2646.048758847126</v>
      </c>
      <c r="AA33" t="n">
        <v>986.2756888776377</v>
      </c>
      <c r="AB33" t="n">
        <v>792.9656538576207</v>
      </c>
      <c r="AC33" t="n">
        <v>986.2756888776377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2013/03_2_BS2C_BB_CEC_San Juan SpA.</t>
        </is>
      </c>
      <c r="K34" t="inlineStr">
        <is>
          <t>Curico 13.2</t>
        </is>
      </c>
      <c r="L34" t="inlineStr">
        <is>
          <t>-1</t>
        </is>
      </c>
      <c r="M34" t="n">
        <v>17285.24152050862</v>
      </c>
      <c r="N34" t="n">
        <v>71</v>
      </c>
      <c r="O34" t="inlineStr">
        <is>
          <t>5</t>
        </is>
      </c>
      <c r="P34" s="2" t="n">
        <v>44676.57927461805</v>
      </c>
      <c r="Q34" t="n">
        <v>22</v>
      </c>
      <c r="R34" t="inlineStr">
        <is>
          <t>RAPEL 220</t>
        </is>
      </c>
      <c r="S34" t="n">
        <v>40.62084520513925</v>
      </c>
      <c r="T34" t="n">
        <v>2917.328659994806</v>
      </c>
      <c r="U34" t="n">
        <v>0.166460082563096</v>
      </c>
      <c r="V34" t="n">
        <v>956.8060875790057</v>
      </c>
      <c r="W34" t="inlineStr">
        <is>
          <t>CEC</t>
        </is>
      </c>
      <c r="X34" t="n">
        <v>81.704791841904</v>
      </c>
      <c r="Y34" t="n">
        <v>2.917328659994806</v>
      </c>
      <c r="Z34" t="n">
        <v>3318.917701928107</v>
      </c>
      <c r="AA34" t="n">
        <v>1190.05732285946</v>
      </c>
      <c r="AB34" t="n">
        <v>956.8060875790057</v>
      </c>
      <c r="AC34" t="n">
        <v>1190.05732285946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2013/03_2_BS2C_BB_CEC_San Juan SpA.</t>
        </is>
      </c>
      <c r="K35" t="inlineStr">
        <is>
          <t>Quinta 13.8</t>
        </is>
      </c>
      <c r="L35" t="inlineStr">
        <is>
          <t>-1</t>
        </is>
      </c>
      <c r="M35" t="n">
        <v>4639.177277142427</v>
      </c>
      <c r="N35" t="n">
        <v>13</v>
      </c>
      <c r="O35" t="inlineStr">
        <is>
          <t>5</t>
        </is>
      </c>
      <c r="P35" s="2" t="n">
        <v>44676.57927461805</v>
      </c>
      <c r="Q35" t="n">
        <v>8</v>
      </c>
      <c r="R35" t="inlineStr">
        <is>
          <t>ALTO JAHUEL 220</t>
        </is>
      </c>
      <c r="S35" t="n">
        <v>2269.011693916319</v>
      </c>
      <c r="T35" t="n">
        <v>165019.7910527931</v>
      </c>
      <c r="U35" t="n">
        <v>6.354208888265022</v>
      </c>
      <c r="V35" t="n">
        <v>38511.48488366249</v>
      </c>
      <c r="W35" t="inlineStr">
        <is>
          <t>CEC</t>
        </is>
      </c>
      <c r="X35" t="n">
        <v>82.73902972910399</v>
      </c>
      <c r="Y35" t="n">
        <v>165.0197910527931</v>
      </c>
      <c r="Z35" t="n">
        <v>187735.8259986269</v>
      </c>
      <c r="AA35" t="n">
        <v>47899.85682047573</v>
      </c>
      <c r="AB35" t="n">
        <v>38511.48488366249</v>
      </c>
      <c r="AC35" t="n">
        <v>47899.85682047573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2013/03_2_BS2C_BB_CEC_San Juan SpA.</t>
        </is>
      </c>
      <c r="K36" t="inlineStr">
        <is>
          <t>Quinta 13.8</t>
        </is>
      </c>
      <c r="L36" t="inlineStr">
        <is>
          <t>-1</t>
        </is>
      </c>
      <c r="M36" t="n">
        <v>4639.177277142427</v>
      </c>
      <c r="N36" t="n">
        <v>13</v>
      </c>
      <c r="O36" t="inlineStr">
        <is>
          <t>5</t>
        </is>
      </c>
      <c r="P36" s="2" t="n">
        <v>44676.57927461805</v>
      </c>
      <c r="Q36" t="n">
        <v>34</v>
      </c>
      <c r="R36" t="inlineStr">
        <is>
          <t>CHARRUA 220</t>
        </is>
      </c>
      <c r="S36" t="n">
        <v>242.0406496009349</v>
      </c>
      <c r="T36" t="n">
        <v>16795.02900830264</v>
      </c>
      <c r="U36" t="n">
        <v>0.6778179465268197</v>
      </c>
      <c r="V36" t="n">
        <v>3971.389263403288</v>
      </c>
      <c r="W36" t="inlineStr">
        <is>
          <t>CEC</t>
        </is>
      </c>
      <c r="X36" t="n">
        <v>78.94117263853798</v>
      </c>
      <c r="Y36" t="n">
        <v>16.79502900830263</v>
      </c>
      <c r="Z36" t="n">
        <v>19106.97270569128</v>
      </c>
      <c r="AA36" t="n">
        <v>4939.53888482996</v>
      </c>
      <c r="AB36" t="n">
        <v>3971.389263403288</v>
      </c>
      <c r="AC36" t="n">
        <v>4939.53888482996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2013/03_2_BS2C_BB_CEC_San Juan SpA.</t>
        </is>
      </c>
      <c r="K37" t="inlineStr">
        <is>
          <t>Quinta 13.8</t>
        </is>
      </c>
      <c r="L37" t="inlineStr">
        <is>
          <t>-1</t>
        </is>
      </c>
      <c r="M37" t="n">
        <v>4639.177277142427</v>
      </c>
      <c r="N37" t="n">
        <v>13</v>
      </c>
      <c r="O37" t="inlineStr">
        <is>
          <t>5</t>
        </is>
      </c>
      <c r="P37" s="2" t="n">
        <v>44676.57927461805</v>
      </c>
      <c r="Q37" t="n">
        <v>23</v>
      </c>
      <c r="R37" t="inlineStr">
        <is>
          <t>ITAHUE 220</t>
        </is>
      </c>
      <c r="S37" t="n">
        <v>2236.138320076477</v>
      </c>
      <c r="T37" t="n">
        <v>155413.9941578154</v>
      </c>
      <c r="U37" t="n">
        <v>6.26214929914944</v>
      </c>
      <c r="V37" t="n">
        <v>37484.59601513878</v>
      </c>
      <c r="W37" t="inlineStr">
        <is>
          <t>CEC</t>
        </is>
      </c>
      <c r="X37" t="n">
        <v>79.06833304089299</v>
      </c>
      <c r="Y37" t="n">
        <v>155.4139941578154</v>
      </c>
      <c r="Z37" t="n">
        <v>176807.7294173099</v>
      </c>
      <c r="AA37" t="n">
        <v>46622.63185962535</v>
      </c>
      <c r="AB37" t="n">
        <v>37484.59601513878</v>
      </c>
      <c r="AC37" t="n">
        <v>46622.63185962535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2013/03_2_BS2C_BB_CEC_San Juan SpA.</t>
        </is>
      </c>
      <c r="K38" t="inlineStr">
        <is>
          <t>Quinta 13.8</t>
        </is>
      </c>
      <c r="L38" t="inlineStr">
        <is>
          <t>-1</t>
        </is>
      </c>
      <c r="M38" t="n">
        <v>4639.177277142427</v>
      </c>
      <c r="N38" t="n">
        <v>13</v>
      </c>
      <c r="O38" t="inlineStr">
        <is>
          <t>5</t>
        </is>
      </c>
      <c r="P38" s="2" t="n">
        <v>44676.57927461805</v>
      </c>
      <c r="Q38" t="n">
        <v>22</v>
      </c>
      <c r="R38" t="inlineStr">
        <is>
          <t>RAPEL 220</t>
        </is>
      </c>
      <c r="S38" t="n">
        <v>6.059199801854667</v>
      </c>
      <c r="T38" t="n">
        <v>435.1627138558175</v>
      </c>
      <c r="U38" t="n">
        <v>0.01696836615692581</v>
      </c>
      <c r="V38" t="n">
        <v>97.53350944700047</v>
      </c>
      <c r="W38" t="inlineStr">
        <is>
          <t>CEC</t>
        </is>
      </c>
      <c r="X38" t="n">
        <v>81.704791841904</v>
      </c>
      <c r="Y38" t="n">
        <v>0.4351627138558175</v>
      </c>
      <c r="Z38" t="n">
        <v>495.0656585390415</v>
      </c>
      <c r="AA38" t="n">
        <v>121.3103351330851</v>
      </c>
      <c r="AB38" t="n">
        <v>97.53350944700047</v>
      </c>
      <c r="AC38" t="n">
        <v>121.3103351330851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2013/03_2_BS2C_BB_CEC_San Juan SpA.</t>
        </is>
      </c>
      <c r="K39" t="inlineStr">
        <is>
          <t>Teno 13.2</t>
        </is>
      </c>
      <c r="L39" t="inlineStr">
        <is>
          <t>-1</t>
        </is>
      </c>
      <c r="M39" t="n">
        <v>7180.782459163719</v>
      </c>
      <c r="N39" t="n">
        <v>38</v>
      </c>
      <c r="O39" t="inlineStr">
        <is>
          <t>5</t>
        </is>
      </c>
      <c r="P39" s="2" t="n">
        <v>44676.57927461805</v>
      </c>
      <c r="Q39" t="n">
        <v>8</v>
      </c>
      <c r="R39" t="inlineStr">
        <is>
          <t>ALTO JAHUEL 220</t>
        </is>
      </c>
      <c r="S39" t="n">
        <v>3083.732559820448</v>
      </c>
      <c r="T39" t="n">
        <v>224272.4901104156</v>
      </c>
      <c r="U39" t="n">
        <v>16.44985253554445</v>
      </c>
      <c r="V39" t="n">
        <v>99698.9961143806</v>
      </c>
      <c r="W39" t="inlineStr">
        <is>
          <t>CEC</t>
        </is>
      </c>
      <c r="X39" t="n">
        <v>82.73902972910399</v>
      </c>
      <c r="Y39" t="n">
        <v>224.2724901104156</v>
      </c>
      <c r="Z39" t="n">
        <v>255145.03994359</v>
      </c>
      <c r="AA39" t="n">
        <v>124003.7265104236</v>
      </c>
      <c r="AB39" t="n">
        <v>99698.9961143806</v>
      </c>
      <c r="AC39" t="n">
        <v>124003.7265104236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2013/03_2_BS2C_BB_CEC_San Juan SpA.</t>
        </is>
      </c>
      <c r="K40" t="inlineStr">
        <is>
          <t>Teno 13.2</t>
        </is>
      </c>
      <c r="L40" t="inlineStr">
        <is>
          <t>-1</t>
        </is>
      </c>
      <c r="M40" t="n">
        <v>7180.782459163719</v>
      </c>
      <c r="N40" t="n">
        <v>38</v>
      </c>
      <c r="O40" t="inlineStr">
        <is>
          <t>5</t>
        </is>
      </c>
      <c r="P40" s="2" t="n">
        <v>44676.57927461805</v>
      </c>
      <c r="Q40" t="n">
        <v>34</v>
      </c>
      <c r="R40" t="inlineStr">
        <is>
          <t>CHARRUA 220</t>
        </is>
      </c>
      <c r="S40" t="n">
        <v>243.2744416939695</v>
      </c>
      <c r="T40" t="n">
        <v>16880.64096657038</v>
      </c>
      <c r="U40" t="n">
        <v>1.297722358830531</v>
      </c>
      <c r="V40" t="n">
        <v>7603.458523260035</v>
      </c>
      <c r="W40" t="inlineStr">
        <is>
          <t>CEC</t>
        </is>
      </c>
      <c r="X40" t="n">
        <v>78.94117263853799</v>
      </c>
      <c r="Y40" t="n">
        <v>16.88064096657037</v>
      </c>
      <c r="Z40" t="n">
        <v>19204.36970030759</v>
      </c>
      <c r="AA40" t="n">
        <v>9457.037964253774</v>
      </c>
      <c r="AB40" t="n">
        <v>7603.458523260035</v>
      </c>
      <c r="AC40" t="n">
        <v>9457.037964253774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2013/03_2_BS2C_BB_CEC_San Juan SpA.</t>
        </is>
      </c>
      <c r="K41" t="inlineStr">
        <is>
          <t>Teno 13.2</t>
        </is>
      </c>
      <c r="L41" t="inlineStr">
        <is>
          <t>-1</t>
        </is>
      </c>
      <c r="M41" t="n">
        <v>7180.782459163719</v>
      </c>
      <c r="N41" t="n">
        <v>38</v>
      </c>
      <c r="O41" t="inlineStr">
        <is>
          <t>5</t>
        </is>
      </c>
      <c r="P41" s="2" t="n">
        <v>44676.57927461805</v>
      </c>
      <c r="Q41" t="n">
        <v>23</v>
      </c>
      <c r="R41" t="inlineStr">
        <is>
          <t>ITAHUE 220</t>
        </is>
      </c>
      <c r="S41" t="n">
        <v>3995.094665330636</v>
      </c>
      <c r="T41" t="n">
        <v>277663.3329893385</v>
      </c>
      <c r="U41" t="n">
        <v>21.3114194682485</v>
      </c>
      <c r="V41" t="n">
        <v>127568.0139700539</v>
      </c>
      <c r="W41" t="inlineStr">
        <is>
          <t>CEC</t>
        </is>
      </c>
      <c r="X41" t="n">
        <v>79.06833304089299</v>
      </c>
      <c r="Y41" t="n">
        <v>277.6633329893385</v>
      </c>
      <c r="Z41" t="n">
        <v>315885.4755282577</v>
      </c>
      <c r="AA41" t="n">
        <v>158666.6840423555</v>
      </c>
      <c r="AB41" t="n">
        <v>127568.0139700539</v>
      </c>
      <c r="AC41" t="n">
        <v>158666.6840423555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2013/03_2_BS2C_BB_CEC_San Juan SpA.</t>
        </is>
      </c>
      <c r="K42" t="inlineStr">
        <is>
          <t>Teno 13.2</t>
        </is>
      </c>
      <c r="L42" t="inlineStr">
        <is>
          <t>-1</t>
        </is>
      </c>
      <c r="M42" t="n">
        <v>7180.782459163719</v>
      </c>
      <c r="N42" t="n">
        <v>38</v>
      </c>
      <c r="O42" t="inlineStr">
        <is>
          <t>5</t>
        </is>
      </c>
      <c r="P42" s="2" t="n">
        <v>44676.57927461805</v>
      </c>
      <c r="Q42" t="n">
        <v>13</v>
      </c>
      <c r="R42" t="inlineStr">
        <is>
          <t>MELIPILLA 220</t>
        </is>
      </c>
      <c r="S42" t="n">
        <v>18.61423623086387</v>
      </c>
      <c r="T42" t="n">
        <v>1373.048969001328</v>
      </c>
      <c r="U42" t="n">
        <v>0.09929571878221767</v>
      </c>
      <c r="V42" t="n">
        <v>609.3654659130636</v>
      </c>
      <c r="W42" t="inlineStr">
        <is>
          <t>CEC</t>
        </is>
      </c>
      <c r="X42" t="n">
        <v>83.91738268701899</v>
      </c>
      <c r="Y42" t="n">
        <v>1.373048969001328</v>
      </c>
      <c r="Z42" t="n">
        <v>1562.057985211977</v>
      </c>
      <c r="AA42" t="n">
        <v>757.9172461605268</v>
      </c>
      <c r="AB42" t="n">
        <v>609.3654659130636</v>
      </c>
      <c r="AC42" t="n">
        <v>757.9172461605268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2013/03_2_BS2C_BB_CEC_San Juan SpA.</t>
        </is>
      </c>
      <c r="K43" t="inlineStr">
        <is>
          <t>Teno 13.2</t>
        </is>
      </c>
      <c r="L43" t="inlineStr">
        <is>
          <t>-1</t>
        </is>
      </c>
      <c r="M43" t="n">
        <v>7180.782459163719</v>
      </c>
      <c r="N43" t="n">
        <v>38</v>
      </c>
      <c r="O43" t="inlineStr">
        <is>
          <t>5</t>
        </is>
      </c>
      <c r="P43" s="2" t="n">
        <v>44676.57927461805</v>
      </c>
      <c r="Q43" t="n">
        <v>22</v>
      </c>
      <c r="R43" t="inlineStr">
        <is>
          <t>RAPEL 220</t>
        </is>
      </c>
      <c r="S43" t="n">
        <v>16.63459337192257</v>
      </c>
      <c r="T43" t="n">
        <v>1194.671744179504</v>
      </c>
      <c r="U43" t="n">
        <v>0.08873551861216006</v>
      </c>
      <c r="V43" t="n">
        <v>510.048313597423</v>
      </c>
      <c r="W43" t="inlineStr">
        <is>
          <t>CEC</t>
        </is>
      </c>
      <c r="X43" t="n">
        <v>81.704791841904</v>
      </c>
      <c r="Y43" t="n">
        <v>1.194671744179504</v>
      </c>
      <c r="Z43" t="n">
        <v>1359.125988827649</v>
      </c>
      <c r="AA43" t="n">
        <v>634.3884497480385</v>
      </c>
      <c r="AB43" t="n">
        <v>510.048313597423</v>
      </c>
      <c r="AC43" t="n">
        <v>634.3884497480385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2013/03_2_BS2C_BB_CEC_San Juan SpA.</t>
        </is>
      </c>
      <c r="K44" t="inlineStr">
        <is>
          <t>Curico 13.2</t>
        </is>
      </c>
      <c r="L44" t="inlineStr">
        <is>
          <t>-1</t>
        </is>
      </c>
      <c r="M44" t="n">
        <v>14309.19389089197</v>
      </c>
      <c r="N44" t="n">
        <v>61</v>
      </c>
      <c r="O44" t="inlineStr">
        <is>
          <t>5</t>
        </is>
      </c>
      <c r="P44" s="2" t="n">
        <v>44676.57927461805</v>
      </c>
      <c r="Q44" t="n">
        <v>8</v>
      </c>
      <c r="R44" t="inlineStr">
        <is>
          <t>ALTO JAHUEL 220</t>
        </is>
      </c>
      <c r="S44" t="n">
        <v>5976.483902766141</v>
      </c>
      <c r="T44" t="n">
        <v>461009.7102248595</v>
      </c>
      <c r="U44" t="n">
        <v>25.45787600211188</v>
      </c>
      <c r="V44" t="n">
        <v>150666.3083298027</v>
      </c>
      <c r="W44" t="inlineStr">
        <is>
          <t>CEC</t>
        </is>
      </c>
      <c r="X44" t="n">
        <v>85.23456316645158</v>
      </c>
      <c r="Y44" t="n">
        <v>461.0097102248595</v>
      </c>
      <c r="Z44" t="n">
        <v>509402.9947236017</v>
      </c>
      <c r="AA44" t="n">
        <v>195670.5302984451</v>
      </c>
      <c r="AB44" t="n">
        <v>150666.3083298027</v>
      </c>
      <c r="AC44" t="n">
        <v>195670.5302984451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2013/03_2_BS2C_BB_CEC_San Juan SpA.</t>
        </is>
      </c>
      <c r="K45" t="inlineStr">
        <is>
          <t>Curico 13.2</t>
        </is>
      </c>
      <c r="L45" t="inlineStr">
        <is>
          <t>-1</t>
        </is>
      </c>
      <c r="M45" t="n">
        <v>14309.19389089197</v>
      </c>
      <c r="N45" t="n">
        <v>61</v>
      </c>
      <c r="O45" t="inlineStr">
        <is>
          <t>5</t>
        </is>
      </c>
      <c r="P45" s="2" t="n">
        <v>44676.57927461805</v>
      </c>
      <c r="Q45" t="n">
        <v>34</v>
      </c>
      <c r="R45" t="inlineStr">
        <is>
          <t>CHARRUA 220</t>
        </is>
      </c>
      <c r="S45" t="n">
        <v>857.3401906110429</v>
      </c>
      <c r="T45" t="n">
        <v>61006.62481241969</v>
      </c>
      <c r="U45" t="n">
        <v>3.65199013655855</v>
      </c>
      <c r="V45" t="n">
        <v>19377.1772608713</v>
      </c>
      <c r="W45" t="inlineStr">
        <is>
          <t>CEC</t>
        </is>
      </c>
      <c r="X45" t="n">
        <v>78.62763916829805</v>
      </c>
      <c r="Y45" t="n">
        <v>61.00662481241969</v>
      </c>
      <c r="Z45" t="n">
        <v>67410.63515184497</v>
      </c>
      <c r="AA45" t="n">
        <v>25165.16527385883</v>
      </c>
      <c r="AB45" t="n">
        <v>19377.1772608713</v>
      </c>
      <c r="AC45" t="n">
        <v>25165.16527385883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2013/03_2_BS2C_BB_CEC_San Juan SpA.</t>
        </is>
      </c>
      <c r="K46" t="inlineStr">
        <is>
          <t>Curico 13.2</t>
        </is>
      </c>
      <c r="L46" t="inlineStr">
        <is>
          <t>-1</t>
        </is>
      </c>
      <c r="M46" t="n">
        <v>14309.19389089197</v>
      </c>
      <c r="N46" t="n">
        <v>61</v>
      </c>
      <c r="O46" t="inlineStr">
        <is>
          <t>5</t>
        </is>
      </c>
      <c r="P46" s="2" t="n">
        <v>44676.57927461805</v>
      </c>
      <c r="Q46" t="n">
        <v>23</v>
      </c>
      <c r="R46" t="inlineStr">
        <is>
          <t>ITAHUE 220</t>
        </is>
      </c>
      <c r="S46" t="n">
        <v>7804.607203160891</v>
      </c>
      <c r="T46" t="n">
        <v>566779.8912383162</v>
      </c>
      <c r="U46" t="n">
        <v>33.24508618375071</v>
      </c>
      <c r="V46" t="n">
        <v>183393.0176774938</v>
      </c>
      <c r="W46" t="inlineStr">
        <is>
          <t>CEC</t>
        </is>
      </c>
      <c r="X46" t="n">
        <v>80.24441289775899</v>
      </c>
      <c r="Y46" t="n">
        <v>566.7798912383163</v>
      </c>
      <c r="Z46" t="n">
        <v>626276.1229152665</v>
      </c>
      <c r="AA46" t="n">
        <v>238172.7502305114</v>
      </c>
      <c r="AB46" t="n">
        <v>183393.0176774938</v>
      </c>
      <c r="AC46" t="n">
        <v>238172.7502305114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2013/03_2_BS2C_BB_CEC_San Juan SpA.</t>
        </is>
      </c>
      <c r="K47" t="inlineStr">
        <is>
          <t>Curico 13.2</t>
        </is>
      </c>
      <c r="L47" t="inlineStr">
        <is>
          <t>-1</t>
        </is>
      </c>
      <c r="M47" t="n">
        <v>14309.19389089197</v>
      </c>
      <c r="N47" t="n">
        <v>61</v>
      </c>
      <c r="O47" t="inlineStr">
        <is>
          <t>5</t>
        </is>
      </c>
      <c r="P47" s="2" t="n">
        <v>44676.57927461805</v>
      </c>
      <c r="Q47" t="n">
        <v>13</v>
      </c>
      <c r="R47" t="inlineStr">
        <is>
          <t>MELIPILLA 220</t>
        </is>
      </c>
      <c r="S47" t="n">
        <v>22.07646683921439</v>
      </c>
      <c r="T47" t="n">
        <v>1735.220446326265</v>
      </c>
      <c r="U47" t="n">
        <v>0.09403856255637713</v>
      </c>
      <c r="V47" t="n">
        <v>565.2914080747196</v>
      </c>
      <c r="W47" t="inlineStr">
        <is>
          <t>CEC</t>
        </is>
      </c>
      <c r="X47" t="n">
        <v>86.85133689591251</v>
      </c>
      <c r="Y47" t="n">
        <v>1.735220446326265</v>
      </c>
      <c r="Z47" t="n">
        <v>1917.370658924049</v>
      </c>
      <c r="AA47" t="n">
        <v>734.1446858113241</v>
      </c>
      <c r="AB47" t="n">
        <v>565.2914080747196</v>
      </c>
      <c r="AC47" t="n">
        <v>734.1446858113241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2013/03_2_BS2C_BB_CEC_San Juan SpA.</t>
        </is>
      </c>
      <c r="K48" t="inlineStr">
        <is>
          <t>Curico 13.2</t>
        </is>
      </c>
      <c r="L48" t="inlineStr">
        <is>
          <t>-1</t>
        </is>
      </c>
      <c r="M48" t="n">
        <v>14309.19389089197</v>
      </c>
      <c r="N48" t="n">
        <v>61</v>
      </c>
      <c r="O48" t="inlineStr">
        <is>
          <t>5</t>
        </is>
      </c>
      <c r="P48" s="2" t="n">
        <v>44676.57927461805</v>
      </c>
      <c r="Q48" t="n">
        <v>22</v>
      </c>
      <c r="R48" t="inlineStr">
        <is>
          <t>RAPEL 220</t>
        </is>
      </c>
      <c r="S48" t="n">
        <v>23.53644886026323</v>
      </c>
      <c r="T48" t="n">
        <v>1845.69421527093</v>
      </c>
      <c r="U48" t="n">
        <v>0.1002576107228035</v>
      </c>
      <c r="V48" t="n">
        <v>598.2522721589371</v>
      </c>
      <c r="W48" t="inlineStr">
        <is>
          <t>CEC</t>
        </is>
      </c>
      <c r="X48" t="n">
        <v>86.65033259497082</v>
      </c>
      <c r="Y48" t="n">
        <v>1.84569421527093</v>
      </c>
      <c r="Z48" t="n">
        <v>2039.441121846331</v>
      </c>
      <c r="AA48" t="n">
        <v>776.9510028038144</v>
      </c>
      <c r="AB48" t="n">
        <v>598.2522721589371</v>
      </c>
      <c r="AC48" t="n">
        <v>776.9510028038144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2013/03_2_BS2C_BB_CEC_San Juan SpA.</t>
        </is>
      </c>
      <c r="K49" t="inlineStr">
        <is>
          <t>Quinta 13.8</t>
        </is>
      </c>
      <c r="L49" t="inlineStr">
        <is>
          <t>-1</t>
        </is>
      </c>
      <c r="M49" t="n">
        <v>3821.902304708473</v>
      </c>
      <c r="N49" t="n">
        <v>11</v>
      </c>
      <c r="O49" t="inlineStr">
        <is>
          <t>5</t>
        </is>
      </c>
      <c r="P49" s="2" t="n">
        <v>44676.57927461805</v>
      </c>
      <c r="Q49" t="n">
        <v>8</v>
      </c>
      <c r="R49" t="inlineStr">
        <is>
          <t>ALTO JAHUEL 220</t>
        </is>
      </c>
      <c r="S49" t="n">
        <v>1897.213784284664</v>
      </c>
      <c r="T49" t="n">
        <v>146345.9102638708</v>
      </c>
      <c r="U49" t="n">
        <v>5.549545174459561</v>
      </c>
      <c r="V49" t="n">
        <v>32843.64666855676</v>
      </c>
      <c r="W49" t="inlineStr">
        <is>
          <t>CEC</t>
        </is>
      </c>
      <c r="X49" t="n">
        <v>85.23456316645159</v>
      </c>
      <c r="Y49" t="n">
        <v>146.3459102638708</v>
      </c>
      <c r="Z49" t="n">
        <v>161708.1881368738</v>
      </c>
      <c r="AA49" t="n">
        <v>42654.08658254125</v>
      </c>
      <c r="AB49" t="n">
        <v>32843.64666855676</v>
      </c>
      <c r="AC49" t="n">
        <v>42654.08658254125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2013/03_2_BS2C_BB_CEC_San Juan SpA.</t>
        </is>
      </c>
      <c r="K50" t="inlineStr">
        <is>
          <t>Quinta 13.8</t>
        </is>
      </c>
      <c r="L50" t="inlineStr">
        <is>
          <t>-1</t>
        </is>
      </c>
      <c r="M50" t="n">
        <v>3821.902304708473</v>
      </c>
      <c r="N50" t="n">
        <v>11</v>
      </c>
      <c r="O50" t="inlineStr">
        <is>
          <t>5</t>
        </is>
      </c>
      <c r="P50" s="2" t="n">
        <v>44676.57927461805</v>
      </c>
      <c r="Q50" t="n">
        <v>34</v>
      </c>
      <c r="R50" t="inlineStr">
        <is>
          <t>CHARRUA 220</t>
        </is>
      </c>
      <c r="S50" t="n">
        <v>129.4269435232019</v>
      </c>
      <c r="T50" t="n">
        <v>9209.764187668199</v>
      </c>
      <c r="U50" t="n">
        <v>0.3785871027418516</v>
      </c>
      <c r="V50" t="n">
        <v>2008.753891493688</v>
      </c>
      <c r="W50" t="inlineStr">
        <is>
          <t>CEC</t>
        </is>
      </c>
      <c r="X50" t="n">
        <v>78.62763916829806</v>
      </c>
      <c r="Y50" t="n">
        <v>9.209764187668199</v>
      </c>
      <c r="Z50" t="n">
        <v>10176.53501399801</v>
      </c>
      <c r="AA50" t="n">
        <v>2608.77128765414</v>
      </c>
      <c r="AB50" t="n">
        <v>2008.753891493688</v>
      </c>
      <c r="AC50" t="n">
        <v>2608.77128765414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2013/03_2_BS2C_BB_CEC_San Juan SpA.</t>
        </is>
      </c>
      <c r="K51" t="inlineStr">
        <is>
          <t>Quinta 13.8</t>
        </is>
      </c>
      <c r="L51" t="inlineStr">
        <is>
          <t>-1</t>
        </is>
      </c>
      <c r="M51" t="n">
        <v>3821.902304708473</v>
      </c>
      <c r="N51" t="n">
        <v>11</v>
      </c>
      <c r="O51" t="inlineStr">
        <is>
          <t>5</t>
        </is>
      </c>
      <c r="P51" s="2" t="n">
        <v>44676.57927461805</v>
      </c>
      <c r="Q51" t="n">
        <v>23</v>
      </c>
      <c r="R51" t="inlineStr">
        <is>
          <t>ITAHUE 220</t>
        </is>
      </c>
      <c r="S51" t="n">
        <v>1892.35490024474</v>
      </c>
      <c r="T51" t="n">
        <v>137425.0717077245</v>
      </c>
      <c r="U51" t="n">
        <v>5.535332439605758</v>
      </c>
      <c r="V51" t="n">
        <v>30535.07860790558</v>
      </c>
      <c r="W51" t="inlineStr">
        <is>
          <t>CEC</t>
        </is>
      </c>
      <c r="X51" t="n">
        <v>80.24441289775898</v>
      </c>
      <c r="Y51" t="n">
        <v>137.4250717077245</v>
      </c>
      <c r="Z51" t="n">
        <v>151850.9079643364</v>
      </c>
      <c r="AA51" t="n">
        <v>39655.94624403321</v>
      </c>
      <c r="AB51" t="n">
        <v>30535.07860790558</v>
      </c>
      <c r="AC51" t="n">
        <v>39655.94624403321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2013/03_2_BS2C_BB_CEC_San Juan SpA.</t>
        </is>
      </c>
      <c r="K52" t="inlineStr">
        <is>
          <t>Quinta 13.8</t>
        </is>
      </c>
      <c r="L52" t="inlineStr">
        <is>
          <t>-1</t>
        </is>
      </c>
      <c r="M52" t="n">
        <v>3821.902304708473</v>
      </c>
      <c r="N52" t="n">
        <v>11</v>
      </c>
      <c r="O52" t="inlineStr">
        <is>
          <t>5</t>
        </is>
      </c>
      <c r="P52" s="2" t="n">
        <v>44676.57927461805</v>
      </c>
      <c r="Q52" t="n">
        <v>22</v>
      </c>
      <c r="R52" t="inlineStr">
        <is>
          <t>RAPEL 220</t>
        </is>
      </c>
      <c r="S52" t="n">
        <v>3.027013132913175</v>
      </c>
      <c r="T52" t="n">
        <v>237.3739837363255</v>
      </c>
      <c r="U52" t="n">
        <v>0.008854324306481807</v>
      </c>
      <c r="V52" t="n">
        <v>52.83508749705345</v>
      </c>
      <c r="W52" t="inlineStr">
        <is>
          <t>CEC</t>
        </is>
      </c>
      <c r="X52" t="n">
        <v>86.65033259497082</v>
      </c>
      <c r="Y52" t="n">
        <v>0.2373739837363255</v>
      </c>
      <c r="Z52" t="n">
        <v>262.2916947362713</v>
      </c>
      <c r="AA52" t="n">
        <v>68.61699674942007</v>
      </c>
      <c r="AB52" t="n">
        <v>52.83508749705345</v>
      </c>
      <c r="AC52" t="n">
        <v>68.61699674942007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2013/03_2_BS2C_BB_CEC_San Juan SpA.</t>
        </is>
      </c>
      <c r="K53" t="inlineStr">
        <is>
          <t>Teno 13.2</t>
        </is>
      </c>
      <c r="L53" t="inlineStr">
        <is>
          <t>-1</t>
        </is>
      </c>
      <c r="M53" t="n">
        <v>5043.653566554306</v>
      </c>
      <c r="N53" t="n">
        <v>33</v>
      </c>
      <c r="O53" t="inlineStr">
        <is>
          <t>5</t>
        </is>
      </c>
      <c r="P53" s="2" t="n">
        <v>44676.57927461805</v>
      </c>
      <c r="Q53" t="n">
        <v>8</v>
      </c>
      <c r="R53" t="inlineStr">
        <is>
          <t>ALTO JAHUEL 220</t>
        </is>
      </c>
      <c r="S53" t="n">
        <v>2214.499530247135</v>
      </c>
      <c r="T53" t="n">
        <v>170820.4695840988</v>
      </c>
      <c r="U53" t="n">
        <v>14.47246125787158</v>
      </c>
      <c r="V53" t="n">
        <v>85651.77668351898</v>
      </c>
      <c r="W53" t="inlineStr">
        <is>
          <t>CEC</t>
        </is>
      </c>
      <c r="X53" t="n">
        <v>85.23456316645158</v>
      </c>
      <c r="Y53" t="n">
        <v>170.8204695840988</v>
      </c>
      <c r="Z53" t="n">
        <v>188751.9000929268</v>
      </c>
      <c r="AA53" t="n">
        <v>111236.0736149597</v>
      </c>
      <c r="AB53" t="n">
        <v>85651.77668351898</v>
      </c>
      <c r="AC53" t="n">
        <v>111236.0736149597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2013/03_2_BS2C_BB_CEC_San Juan SpA.</t>
        </is>
      </c>
      <c r="K54" t="inlineStr">
        <is>
          <t>Teno 13.2</t>
        </is>
      </c>
      <c r="L54" t="inlineStr">
        <is>
          <t>-1</t>
        </is>
      </c>
      <c r="M54" t="n">
        <v>5043.653566554306</v>
      </c>
      <c r="N54" t="n">
        <v>33</v>
      </c>
      <c r="O54" t="inlineStr">
        <is>
          <t>5</t>
        </is>
      </c>
      <c r="P54" s="2" t="n">
        <v>44676.57927461805</v>
      </c>
      <c r="Q54" t="n">
        <v>34</v>
      </c>
      <c r="R54" t="inlineStr">
        <is>
          <t>CHARRUA 220</t>
        </is>
      </c>
      <c r="S54" t="n">
        <v>114.9211624602745</v>
      </c>
      <c r="T54" t="n">
        <v>8177.561623728681</v>
      </c>
      <c r="U54" t="n">
        <v>0.7510464774089515</v>
      </c>
      <c r="V54" t="n">
        <v>3984.994531672088</v>
      </c>
      <c r="W54" t="inlineStr">
        <is>
          <t>CEC</t>
        </is>
      </c>
      <c r="X54" t="n">
        <v>78.62763916829806</v>
      </c>
      <c r="Y54" t="n">
        <v>8.177561623728682</v>
      </c>
      <c r="Z54" t="n">
        <v>9035.979694727825</v>
      </c>
      <c r="AA54" t="n">
        <v>5175.317573600114</v>
      </c>
      <c r="AB54" t="n">
        <v>3984.994531672088</v>
      </c>
      <c r="AC54" t="n">
        <v>5175.317573600114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2013/03_2_BS2C_BB_CEC_San Juan SpA.</t>
        </is>
      </c>
      <c r="K55" t="inlineStr">
        <is>
          <t>Teno 13.2</t>
        </is>
      </c>
      <c r="L55" t="inlineStr">
        <is>
          <t>-1</t>
        </is>
      </c>
      <c r="M55" t="n">
        <v>5043.653566554306</v>
      </c>
      <c r="N55" t="n">
        <v>33</v>
      </c>
      <c r="O55" t="inlineStr">
        <is>
          <t>5</t>
        </is>
      </c>
      <c r="P55" s="2" t="n">
        <v>44676.57927461805</v>
      </c>
      <c r="Q55" t="n">
        <v>23</v>
      </c>
      <c r="R55" t="inlineStr">
        <is>
          <t>ITAHUE 220</t>
        </is>
      </c>
      <c r="S55" t="n">
        <v>2825.167247359907</v>
      </c>
      <c r="T55" t="n">
        <v>205167.0178276481</v>
      </c>
      <c r="U55" t="n">
        <v>18.46336970315862</v>
      </c>
      <c r="V55" t="n">
        <v>101851.2350258993</v>
      </c>
      <c r="W55" t="inlineStr">
        <is>
          <t>CEC</t>
        </is>
      </c>
      <c r="X55" t="n">
        <v>80.24441289775898</v>
      </c>
      <c r="Y55" t="n">
        <v>205.167017827648</v>
      </c>
      <c r="Z55" t="n">
        <v>226703.8871023735</v>
      </c>
      <c r="AA55" t="n">
        <v>132274.3312024666</v>
      </c>
      <c r="AB55" t="n">
        <v>101851.2350258993</v>
      </c>
      <c r="AC55" t="n">
        <v>132274.3312024666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2013/03_2_BS2C_BB_CEC_San Juan SpA.</t>
        </is>
      </c>
      <c r="K56" t="inlineStr">
        <is>
          <t>Teno 13.2</t>
        </is>
      </c>
      <c r="L56" t="inlineStr">
        <is>
          <t>-1</t>
        </is>
      </c>
      <c r="M56" t="n">
        <v>5043.653566554306</v>
      </c>
      <c r="N56" t="n">
        <v>33</v>
      </c>
      <c r="O56" t="inlineStr">
        <is>
          <t>5</t>
        </is>
      </c>
      <c r="P56" s="2" t="n">
        <v>44676.57927461805</v>
      </c>
      <c r="Q56" t="n">
        <v>13</v>
      </c>
      <c r="R56" t="inlineStr">
        <is>
          <t>MELIPILLA 220</t>
        </is>
      </c>
      <c r="S56" t="n">
        <v>11.30806110674463</v>
      </c>
      <c r="T56" t="n">
        <v>888.8188034634057</v>
      </c>
      <c r="U56" t="n">
        <v>0.07390178865865116</v>
      </c>
      <c r="V56" t="n">
        <v>444.2437765362913</v>
      </c>
      <c r="W56" t="inlineStr">
        <is>
          <t>CEC</t>
        </is>
      </c>
      <c r="X56" t="n">
        <v>86.85133689591251</v>
      </c>
      <c r="Y56" t="n">
        <v>0.8888188034634058</v>
      </c>
      <c r="Z56" t="n">
        <v>982.1202248214428</v>
      </c>
      <c r="AA56" t="n">
        <v>576.939969527651</v>
      </c>
      <c r="AB56" t="n">
        <v>444.2437765362913</v>
      </c>
      <c r="AC56" t="n">
        <v>576.939969527651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2013/03_2_BS2C_BB_CEC_San Juan SpA.</t>
        </is>
      </c>
      <c r="K57" t="inlineStr">
        <is>
          <t>Teno 13.2</t>
        </is>
      </c>
      <c r="L57" t="inlineStr">
        <is>
          <t>-1</t>
        </is>
      </c>
      <c r="M57" t="n">
        <v>5043.653566554306</v>
      </c>
      <c r="N57" t="n">
        <v>33</v>
      </c>
      <c r="O57" t="inlineStr">
        <is>
          <t>5</t>
        </is>
      </c>
      <c r="P57" s="2" t="n">
        <v>44676.57927461805</v>
      </c>
      <c r="Q57" t="n">
        <v>22</v>
      </c>
      <c r="R57" t="inlineStr">
        <is>
          <t>RAPEL 220</t>
        </is>
      </c>
      <c r="S57" t="n">
        <v>9.883468110657956</v>
      </c>
      <c r="T57" t="n">
        <v>775.0472480771714</v>
      </c>
      <c r="U57" t="n">
        <v>0.06459161872522214</v>
      </c>
      <c r="V57" t="n">
        <v>385.427922989579</v>
      </c>
      <c r="W57" t="inlineStr">
        <is>
          <t>CEC</t>
        </is>
      </c>
      <c r="X57" t="n">
        <v>86.65033259497082</v>
      </c>
      <c r="Y57" t="n">
        <v>0.7750472480771713</v>
      </c>
      <c r="Z57" t="n">
        <v>856.4057989802999</v>
      </c>
      <c r="AA57" t="n">
        <v>500.5557441423104</v>
      </c>
      <c r="AB57" t="n">
        <v>385.427922989579</v>
      </c>
      <c r="AC57" t="n">
        <v>500.5557441423104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2013/03_2_BS2C_BB_CEC_San Juan SpA.</t>
        </is>
      </c>
      <c r="K58" t="inlineStr">
        <is>
          <t>Curico 13.2</t>
        </is>
      </c>
      <c r="L58" t="inlineStr">
        <is>
          <t>-1</t>
        </is>
      </c>
      <c r="M58" t="n">
        <v>10975.56428083465</v>
      </c>
      <c r="N58" t="n">
        <v>61</v>
      </c>
      <c r="O58" t="inlineStr">
        <is>
          <t>5</t>
        </is>
      </c>
      <c r="P58" s="2" t="n">
        <v>44676.57927461805</v>
      </c>
      <c r="Q58" t="n">
        <v>8</v>
      </c>
      <c r="R58" t="inlineStr">
        <is>
          <t>ALTO JAHUEL 220</t>
        </is>
      </c>
      <c r="S58" t="n">
        <v>4584.135469010295</v>
      </c>
      <c r="T58" t="n">
        <v>353607.7396982209</v>
      </c>
      <c r="U58" t="n">
        <v>25.45787600211188</v>
      </c>
      <c r="V58" t="n">
        <v>150666.3083298027</v>
      </c>
      <c r="W58" t="inlineStr">
        <is>
          <t>CEC</t>
        </is>
      </c>
      <c r="X58" t="n">
        <v>85.23456316645158</v>
      </c>
      <c r="Y58" t="n">
        <v>353.6077396982209</v>
      </c>
      <c r="Z58" t="n">
        <v>390726.7841969291</v>
      </c>
      <c r="AA58" t="n">
        <v>195670.5302984451</v>
      </c>
      <c r="AB58" t="n">
        <v>150666.3083298027</v>
      </c>
      <c r="AC58" t="n">
        <v>195670.5302984451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2013/03_2_BS2C_BB_CEC_San Juan SpA.</t>
        </is>
      </c>
      <c r="K59" t="inlineStr">
        <is>
          <t>Curico 13.2</t>
        </is>
      </c>
      <c r="L59" t="inlineStr">
        <is>
          <t>-1</t>
        </is>
      </c>
      <c r="M59" t="n">
        <v>10975.56428083465</v>
      </c>
      <c r="N59" t="n">
        <v>61</v>
      </c>
      <c r="O59" t="inlineStr">
        <is>
          <t>5</t>
        </is>
      </c>
      <c r="P59" s="2" t="n">
        <v>44676.57927461805</v>
      </c>
      <c r="Q59" t="n">
        <v>34</v>
      </c>
      <c r="R59" t="inlineStr">
        <is>
          <t>CHARRUA 220</t>
        </is>
      </c>
      <c r="S59" t="n">
        <v>657.604645261255</v>
      </c>
      <c r="T59" t="n">
        <v>46793.84019051374</v>
      </c>
      <c r="U59" t="n">
        <v>3.651990136558549</v>
      </c>
      <c r="V59" t="n">
        <v>19377.1772608713</v>
      </c>
      <c r="W59" t="inlineStr">
        <is>
          <t>CEC</t>
        </is>
      </c>
      <c r="X59" t="n">
        <v>78.62763916829807</v>
      </c>
      <c r="Y59" t="n">
        <v>46.79384019051374</v>
      </c>
      <c r="Z59" t="n">
        <v>51705.9007629986</v>
      </c>
      <c r="AA59" t="n">
        <v>25165.16527385882</v>
      </c>
      <c r="AB59" t="n">
        <v>19377.1772608713</v>
      </c>
      <c r="AC59" t="n">
        <v>25165.16527385882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2013/03_2_BS2C_BB_CEC_San Juan SpA.</t>
        </is>
      </c>
      <c r="K60" t="inlineStr">
        <is>
          <t>Curico 13.2</t>
        </is>
      </c>
      <c r="L60" t="inlineStr">
        <is>
          <t>-1</t>
        </is>
      </c>
      <c r="M60" t="n">
        <v>10975.56428083465</v>
      </c>
      <c r="N60" t="n">
        <v>61</v>
      </c>
      <c r="O60" t="inlineStr">
        <is>
          <t>5</t>
        </is>
      </c>
      <c r="P60" s="2" t="n">
        <v>44676.57927461805</v>
      </c>
      <c r="Q60" t="n">
        <v>23</v>
      </c>
      <c r="R60" t="inlineStr">
        <is>
          <t>ITAHUE 220</t>
        </is>
      </c>
      <c r="S60" t="n">
        <v>5986.358749354946</v>
      </c>
      <c r="T60" t="n">
        <v>434736.518129802</v>
      </c>
      <c r="U60" t="n">
        <v>33.24508618375071</v>
      </c>
      <c r="V60" t="n">
        <v>183393.0176774937</v>
      </c>
      <c r="W60" t="inlineStr">
        <is>
          <t>CEC</t>
        </is>
      </c>
      <c r="X60" t="n">
        <v>80.24441289775898</v>
      </c>
      <c r="Y60" t="n">
        <v>434.736518129802</v>
      </c>
      <c r="Z60" t="n">
        <v>480371.8432373503</v>
      </c>
      <c r="AA60" t="n">
        <v>238172.7502305114</v>
      </c>
      <c r="AB60" t="n">
        <v>183393.0176774937</v>
      </c>
      <c r="AC60" t="n">
        <v>238172.7502305114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2013/03_2_BS2C_BB_CEC_San Juan SpA.</t>
        </is>
      </c>
      <c r="K61" t="inlineStr">
        <is>
          <t>Curico 13.2</t>
        </is>
      </c>
      <c r="L61" t="inlineStr">
        <is>
          <t>-1</t>
        </is>
      </c>
      <c r="M61" t="n">
        <v>10975.56428083465</v>
      </c>
      <c r="N61" t="n">
        <v>61</v>
      </c>
      <c r="O61" t="inlineStr">
        <is>
          <t>5</t>
        </is>
      </c>
      <c r="P61" s="2" t="n">
        <v>44676.57927461805</v>
      </c>
      <c r="Q61" t="n">
        <v>13</v>
      </c>
      <c r="R61" t="inlineStr">
        <is>
          <t>MELIPILLA 220</t>
        </is>
      </c>
      <c r="S61" t="n">
        <v>16.93328658029723</v>
      </c>
      <c r="T61" t="n">
        <v>1330.964112674088</v>
      </c>
      <c r="U61" t="n">
        <v>0.09403856255637712</v>
      </c>
      <c r="V61" t="n">
        <v>565.2914080747195</v>
      </c>
      <c r="W61" t="inlineStr">
        <is>
          <t>CEC</t>
        </is>
      </c>
      <c r="X61" t="n">
        <v>86.85133689591251</v>
      </c>
      <c r="Y61" t="n">
        <v>1.330964112674088</v>
      </c>
      <c r="Z61" t="n">
        <v>1470.678577540429</v>
      </c>
      <c r="AA61" t="n">
        <v>734.1446858113239</v>
      </c>
      <c r="AB61" t="n">
        <v>565.2914080747195</v>
      </c>
      <c r="AC61" t="n">
        <v>734.1446858113239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2013/03_2_BS2C_BB_CEC_San Juan SpA.</t>
        </is>
      </c>
      <c r="K62" t="inlineStr">
        <is>
          <t>Curico 13.2</t>
        </is>
      </c>
      <c r="L62" t="inlineStr">
        <is>
          <t>-1</t>
        </is>
      </c>
      <c r="M62" t="n">
        <v>10975.56428083465</v>
      </c>
      <c r="N62" t="n">
        <v>61</v>
      </c>
      <c r="O62" t="inlineStr">
        <is>
          <t>5</t>
        </is>
      </c>
      <c r="P62" s="2" t="n">
        <v>44676.57927461805</v>
      </c>
      <c r="Q62" t="n">
        <v>22</v>
      </c>
      <c r="R62" t="inlineStr">
        <is>
          <t>RAPEL 220</t>
        </is>
      </c>
      <c r="S62" t="n">
        <v>18.05313488503536</v>
      </c>
      <c r="T62" t="n">
        <v>1415.700678664017</v>
      </c>
      <c r="U62" t="n">
        <v>0.1002576107228035</v>
      </c>
      <c r="V62" t="n">
        <v>598.252272158937</v>
      </c>
      <c r="W62" t="inlineStr">
        <is>
          <t>CEC</t>
        </is>
      </c>
      <c r="X62" t="n">
        <v>86.65033259497083</v>
      </c>
      <c r="Y62" t="n">
        <v>1.415700678664016</v>
      </c>
      <c r="Z62" t="n">
        <v>1564.310142170184</v>
      </c>
      <c r="AA62" t="n">
        <v>776.9510028038143</v>
      </c>
      <c r="AB62" t="n">
        <v>598.252272158937</v>
      </c>
      <c r="AC62" t="n">
        <v>776.9510028038143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2013/03_2_BS2C_BB_CEC_San Juan SpA.</t>
        </is>
      </c>
      <c r="K63" t="inlineStr">
        <is>
          <t>Quinta 13.8</t>
        </is>
      </c>
      <c r="L63" t="inlineStr">
        <is>
          <t>-1</t>
        </is>
      </c>
      <c r="M63" t="n">
        <v>2605.87894242324</v>
      </c>
      <c r="N63" t="n">
        <v>11</v>
      </c>
      <c r="O63" t="inlineStr">
        <is>
          <t>5</t>
        </is>
      </c>
      <c r="P63" s="2" t="n">
        <v>44676.57927461805</v>
      </c>
      <c r="Q63" t="n">
        <v>8</v>
      </c>
      <c r="R63" t="inlineStr">
        <is>
          <t>ALTO JAHUEL 220</t>
        </is>
      </c>
      <c r="S63" t="n">
        <v>1293.572952833399</v>
      </c>
      <c r="T63" t="n">
        <v>99782.69863061594</v>
      </c>
      <c r="U63" t="n">
        <v>5.549545174459562</v>
      </c>
      <c r="V63" t="n">
        <v>32843.64666855677</v>
      </c>
      <c r="W63" t="inlineStr">
        <is>
          <t>CEC</t>
        </is>
      </c>
      <c r="X63" t="n">
        <v>85.23456316645159</v>
      </c>
      <c r="Y63" t="n">
        <v>99.78269863061594</v>
      </c>
      <c r="Z63" t="n">
        <v>110257.1255586916</v>
      </c>
      <c r="AA63" t="n">
        <v>42654.08658254126</v>
      </c>
      <c r="AB63" t="n">
        <v>32843.64666855677</v>
      </c>
      <c r="AC63" t="n">
        <v>42654.08658254126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2013/03_2_BS2C_BB_CEC_San Juan SpA.</t>
        </is>
      </c>
      <c r="K64" t="inlineStr">
        <is>
          <t>Quinta 13.8</t>
        </is>
      </c>
      <c r="L64" t="inlineStr">
        <is>
          <t>-1</t>
        </is>
      </c>
      <c r="M64" t="n">
        <v>2605.87894242324</v>
      </c>
      <c r="N64" t="n">
        <v>11</v>
      </c>
      <c r="O64" t="inlineStr">
        <is>
          <t>5</t>
        </is>
      </c>
      <c r="P64" s="2" t="n">
        <v>44676.57927461805</v>
      </c>
      <c r="Q64" t="n">
        <v>34</v>
      </c>
      <c r="R64" t="inlineStr">
        <is>
          <t>CHARRUA 220</t>
        </is>
      </c>
      <c r="S64" t="n">
        <v>88.24687807791571</v>
      </c>
      <c r="T64" t="n">
        <v>6279.47253695143</v>
      </c>
      <c r="U64" t="n">
        <v>0.3785871027418517</v>
      </c>
      <c r="V64" t="n">
        <v>2008.753891493689</v>
      </c>
      <c r="W64" t="inlineStr">
        <is>
          <t>CEC</t>
        </is>
      </c>
      <c r="X64" t="n">
        <v>78.62763916829805</v>
      </c>
      <c r="Y64" t="n">
        <v>6.279472536951429</v>
      </c>
      <c r="Z64" t="n">
        <v>6938.643687239149</v>
      </c>
      <c r="AA64" t="n">
        <v>2608.771287654141</v>
      </c>
      <c r="AB64" t="n">
        <v>2008.753891493689</v>
      </c>
      <c r="AC64" t="n">
        <v>2608.771287654141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2013/03_2_BS2C_BB_CEC_San Juan SpA.</t>
        </is>
      </c>
      <c r="K65" t="inlineStr">
        <is>
          <t>Quinta 13.8</t>
        </is>
      </c>
      <c r="L65" t="inlineStr">
        <is>
          <t>-1</t>
        </is>
      </c>
      <c r="M65" t="n">
        <v>2605.87894242324</v>
      </c>
      <c r="N65" t="n">
        <v>11</v>
      </c>
      <c r="O65" t="inlineStr">
        <is>
          <t>5</t>
        </is>
      </c>
      <c r="P65" s="2" t="n">
        <v>44676.57927461805</v>
      </c>
      <c r="Q65" t="n">
        <v>23</v>
      </c>
      <c r="R65" t="inlineStr">
        <is>
          <t>ITAHUE 220</t>
        </is>
      </c>
      <c r="S65" t="n">
        <v>1290.260030996618</v>
      </c>
      <c r="T65" t="n">
        <v>93700.22359885494</v>
      </c>
      <c r="U65" t="n">
        <v>5.535332439605759</v>
      </c>
      <c r="V65" t="n">
        <v>30535.07860790558</v>
      </c>
      <c r="W65" t="inlineStr">
        <is>
          <t>CEC</t>
        </is>
      </c>
      <c r="X65" t="n">
        <v>80.24441289775898</v>
      </c>
      <c r="Y65" t="n">
        <v>93.70022359885493</v>
      </c>
      <c r="Z65" t="n">
        <v>103536.1586727679</v>
      </c>
      <c r="AA65" t="n">
        <v>39655.94624403322</v>
      </c>
      <c r="AB65" t="n">
        <v>30535.07860790558</v>
      </c>
      <c r="AC65" t="n">
        <v>39655.94624403322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2013/03_2_BS2C_BB_CEC_San Juan SpA.</t>
        </is>
      </c>
      <c r="K66" t="inlineStr">
        <is>
          <t>Quinta 13.8</t>
        </is>
      </c>
      <c r="L66" t="inlineStr">
        <is>
          <t>-1</t>
        </is>
      </c>
      <c r="M66" t="n">
        <v>2605.87894242324</v>
      </c>
      <c r="N66" t="n">
        <v>11</v>
      </c>
      <c r="O66" t="inlineStr">
        <is>
          <t>5</t>
        </is>
      </c>
      <c r="P66" s="2" t="n">
        <v>44676.57927461805</v>
      </c>
      <c r="Q66" t="n">
        <v>22</v>
      </c>
      <c r="R66" t="inlineStr">
        <is>
          <t>RAPEL 220</t>
        </is>
      </c>
      <c r="S66" t="n">
        <v>2.06390146911375</v>
      </c>
      <c r="T66" t="n">
        <v>161.8481626114696</v>
      </c>
      <c r="U66" t="n">
        <v>0.008854324306481809</v>
      </c>
      <c r="V66" t="n">
        <v>52.83508749705346</v>
      </c>
      <c r="W66" t="inlineStr">
        <is>
          <t>CEC</t>
        </is>
      </c>
      <c r="X66" t="n">
        <v>86.65033259497082</v>
      </c>
      <c r="Y66" t="n">
        <v>0.1618481626114696</v>
      </c>
      <c r="Z66" t="n">
        <v>178.8377487419553</v>
      </c>
      <c r="AA66" t="n">
        <v>68.61699674942008</v>
      </c>
      <c r="AB66" t="n">
        <v>52.83508749705346</v>
      </c>
      <c r="AC66" t="n">
        <v>68.61699674942008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2013/03_2_BS2C_BB_CEC_San Juan SpA.</t>
        </is>
      </c>
      <c r="K67" t="inlineStr">
        <is>
          <t>Teno 13.2</t>
        </is>
      </c>
      <c r="L67" t="inlineStr">
        <is>
          <t>-1</t>
        </is>
      </c>
      <c r="M67" t="n">
        <v>4092.075909495689</v>
      </c>
      <c r="N67" t="n">
        <v>33</v>
      </c>
      <c r="O67" t="inlineStr">
        <is>
          <t>5</t>
        </is>
      </c>
      <c r="P67" s="2" t="n">
        <v>44676.57927461805</v>
      </c>
      <c r="Q67" t="n">
        <v>8</v>
      </c>
      <c r="R67" t="inlineStr">
        <is>
          <t>ALTO JAHUEL 220</t>
        </is>
      </c>
      <c r="S67" t="n">
        <v>1796.6936189681</v>
      </c>
      <c r="T67" t="n">
        <v>138592.0581598108</v>
      </c>
      <c r="U67" t="n">
        <v>14.47246125787158</v>
      </c>
      <c r="V67" t="n">
        <v>85651.77668351903</v>
      </c>
      <c r="W67" t="inlineStr">
        <is>
          <t>CEC</t>
        </is>
      </c>
      <c r="X67" t="n">
        <v>85.23456316645158</v>
      </c>
      <c r="Y67" t="n">
        <v>138.5920581598108</v>
      </c>
      <c r="Z67" t="n">
        <v>153140.395756697</v>
      </c>
      <c r="AA67" t="n">
        <v>111236.0736149598</v>
      </c>
      <c r="AB67" t="n">
        <v>85651.77668351903</v>
      </c>
      <c r="AC67" t="n">
        <v>111236.0736149598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2013/03_2_BS2C_BB_CEC_San Juan SpA.</t>
        </is>
      </c>
      <c r="K68" t="inlineStr">
        <is>
          <t>Teno 13.2</t>
        </is>
      </c>
      <c r="L68" t="inlineStr">
        <is>
          <t>-1</t>
        </is>
      </c>
      <c r="M68" t="n">
        <v>4092.075909495689</v>
      </c>
      <c r="N68" t="n">
        <v>33</v>
      </c>
      <c r="O68" t="inlineStr">
        <is>
          <t>5</t>
        </is>
      </c>
      <c r="P68" s="2" t="n">
        <v>44676.57927461805</v>
      </c>
      <c r="Q68" t="n">
        <v>34</v>
      </c>
      <c r="R68" t="inlineStr">
        <is>
          <t>CHARRUA 220</t>
        </is>
      </c>
      <c r="S68" t="n">
        <v>93.23917953314213</v>
      </c>
      <c r="T68" t="n">
        <v>6634.714791035457</v>
      </c>
      <c r="U68" t="n">
        <v>0.7510464774089517</v>
      </c>
      <c r="V68" t="n">
        <v>3984.994531672089</v>
      </c>
      <c r="W68" t="inlineStr">
        <is>
          <t>CEC</t>
        </is>
      </c>
      <c r="X68" t="n">
        <v>78.62763916829807</v>
      </c>
      <c r="Y68" t="n">
        <v>6.634714791035456</v>
      </c>
      <c r="Z68" t="n">
        <v>7331.176564680062</v>
      </c>
      <c r="AA68" t="n">
        <v>5175.317573600116</v>
      </c>
      <c r="AB68" t="n">
        <v>3984.994531672089</v>
      </c>
      <c r="AC68" t="n">
        <v>5175.317573600116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2013/03_2_BS2C_BB_CEC_San Juan SpA.</t>
        </is>
      </c>
      <c r="K69" t="inlineStr">
        <is>
          <t>Teno 13.2</t>
        </is>
      </c>
      <c r="L69" t="inlineStr">
        <is>
          <t>-1</t>
        </is>
      </c>
      <c r="M69" t="n">
        <v>4092.075909495689</v>
      </c>
      <c r="N69" t="n">
        <v>33</v>
      </c>
      <c r="O69" t="inlineStr">
        <is>
          <t>5</t>
        </is>
      </c>
      <c r="P69" s="2" t="n">
        <v>44676.57927461805</v>
      </c>
      <c r="Q69" t="n">
        <v>23</v>
      </c>
      <c r="R69" t="inlineStr">
        <is>
          <t>ITAHUE 220</t>
        </is>
      </c>
      <c r="S69" t="n">
        <v>2292.147682362681</v>
      </c>
      <c r="T69" t="n">
        <v>166458.5007667678</v>
      </c>
      <c r="U69" t="n">
        <v>18.46336970315862</v>
      </c>
      <c r="V69" t="n">
        <v>101851.2350258993</v>
      </c>
      <c r="W69" t="inlineStr">
        <is>
          <t>CEC</t>
        </is>
      </c>
      <c r="X69" t="n">
        <v>80.24441289775898</v>
      </c>
      <c r="Y69" t="n">
        <v>166.4585007667678</v>
      </c>
      <c r="Z69" t="n">
        <v>183932.0450461523</v>
      </c>
      <c r="AA69" t="n">
        <v>132274.3312024667</v>
      </c>
      <c r="AB69" t="n">
        <v>101851.2350258993</v>
      </c>
      <c r="AC69" t="n">
        <v>132274.3312024667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2013/03_2_BS2C_BB_CEC_San Juan SpA.</t>
        </is>
      </c>
      <c r="K70" t="inlineStr">
        <is>
          <t>Teno 13.2</t>
        </is>
      </c>
      <c r="L70" t="inlineStr">
        <is>
          <t>-1</t>
        </is>
      </c>
      <c r="M70" t="n">
        <v>4092.075909495689</v>
      </c>
      <c r="N70" t="n">
        <v>33</v>
      </c>
      <c r="O70" t="inlineStr">
        <is>
          <t>5</t>
        </is>
      </c>
      <c r="P70" s="2" t="n">
        <v>44676.57927461805</v>
      </c>
      <c r="Q70" t="n">
        <v>13</v>
      </c>
      <c r="R70" t="inlineStr">
        <is>
          <t>MELIPILLA 220</t>
        </is>
      </c>
      <c r="S70" t="n">
        <v>9.174588188384966</v>
      </c>
      <c r="T70" t="n">
        <v>721.1268509157675</v>
      </c>
      <c r="U70" t="n">
        <v>0.07390178865865117</v>
      </c>
      <c r="V70" t="n">
        <v>444.2437765362914</v>
      </c>
      <c r="W70" t="inlineStr">
        <is>
          <t>CEC</t>
        </is>
      </c>
      <c r="X70" t="n">
        <v>86.8513368959125</v>
      </c>
      <c r="Y70" t="n">
        <v>0.7211268509157674</v>
      </c>
      <c r="Z70" t="n">
        <v>796.8252496306823</v>
      </c>
      <c r="AA70" t="n">
        <v>576.9399695276511</v>
      </c>
      <c r="AB70" t="n">
        <v>444.2437765362914</v>
      </c>
      <c r="AC70" t="n">
        <v>576.9399695276511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2013/03_2_BS2C_BB_CEC_San Juan SpA.</t>
        </is>
      </c>
      <c r="K71" t="inlineStr">
        <is>
          <t>Teno 13.2</t>
        </is>
      </c>
      <c r="L71" t="inlineStr">
        <is>
          <t>-1</t>
        </is>
      </c>
      <c r="M71" t="n">
        <v>4092.075909495689</v>
      </c>
      <c r="N71" t="n">
        <v>33</v>
      </c>
      <c r="O71" t="inlineStr">
        <is>
          <t>5</t>
        </is>
      </c>
      <c r="P71" s="2" t="n">
        <v>44676.57927461805</v>
      </c>
      <c r="Q71" t="n">
        <v>22</v>
      </c>
      <c r="R71" t="inlineStr">
        <is>
          <t>RAPEL 220</t>
        </is>
      </c>
      <c r="S71" t="n">
        <v>8.018770762941697</v>
      </c>
      <c r="T71" t="n">
        <v>628.8203840186122</v>
      </c>
      <c r="U71" t="n">
        <v>0.06459161872522215</v>
      </c>
      <c r="V71" t="n">
        <v>385.4279229895791</v>
      </c>
      <c r="W71" t="inlineStr">
        <is>
          <t>CEC</t>
        </is>
      </c>
      <c r="X71" t="n">
        <v>86.65033259497083</v>
      </c>
      <c r="Y71" t="n">
        <v>0.6288203840186122</v>
      </c>
      <c r="Z71" t="n">
        <v>694.8291536117262</v>
      </c>
      <c r="AA71" t="n">
        <v>500.5557441423105</v>
      </c>
      <c r="AB71" t="n">
        <v>385.4279229895791</v>
      </c>
      <c r="AC71" t="n">
        <v>500.5557441423105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2013/03_2_BS2C_BB_CEC_San Juan SpA.</t>
        </is>
      </c>
      <c r="K72" t="inlineStr">
        <is>
          <t>Curico 13.2</t>
        </is>
      </c>
      <c r="L72" t="inlineStr">
        <is>
          <t>-1</t>
        </is>
      </c>
      <c r="M72" t="n">
        <v>13036.15837157875</v>
      </c>
      <c r="N72" t="n">
        <v>61</v>
      </c>
      <c r="O72" t="inlineStr">
        <is>
          <t>5</t>
        </is>
      </c>
      <c r="P72" s="2" t="n">
        <v>44676.57927461805</v>
      </c>
      <c r="Q72" t="n">
        <v>8</v>
      </c>
      <c r="R72" t="inlineStr">
        <is>
          <t>ALTO JAHUEL 220</t>
        </is>
      </c>
      <c r="S72" t="n">
        <v>5444.778458920857</v>
      </c>
      <c r="T72" t="n">
        <v>419995.3987032233</v>
      </c>
      <c r="U72" t="n">
        <v>25.45787600211188</v>
      </c>
      <c r="V72" t="n">
        <v>150666.3083298028</v>
      </c>
      <c r="W72" t="inlineStr">
        <is>
          <t>CEC</t>
        </is>
      </c>
      <c r="X72" t="n">
        <v>85.23456316645158</v>
      </c>
      <c r="Y72" t="n">
        <v>419.9953987032233</v>
      </c>
      <c r="Z72" t="n">
        <v>464083.3134842246</v>
      </c>
      <c r="AA72" t="n">
        <v>195670.5302984451</v>
      </c>
      <c r="AB72" t="n">
        <v>150666.3083298028</v>
      </c>
      <c r="AC72" t="n">
        <v>195670.5302984451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2013/03_2_BS2C_BB_CEC_San Juan SpA.</t>
        </is>
      </c>
      <c r="K73" t="inlineStr">
        <is>
          <t>Curico 13.2</t>
        </is>
      </c>
      <c r="L73" t="inlineStr">
        <is>
          <t>-1</t>
        </is>
      </c>
      <c r="M73" t="n">
        <v>13036.15837157875</v>
      </c>
      <c r="N73" t="n">
        <v>61</v>
      </c>
      <c r="O73" t="inlineStr">
        <is>
          <t>5</t>
        </is>
      </c>
      <c r="P73" s="2" t="n">
        <v>44676.57927461805</v>
      </c>
      <c r="Q73" t="n">
        <v>34</v>
      </c>
      <c r="R73" t="inlineStr">
        <is>
          <t>CHARRUA 220</t>
        </is>
      </c>
      <c r="S73" t="n">
        <v>781.0658369958244</v>
      </c>
      <c r="T73" t="n">
        <v>55579.09333218312</v>
      </c>
      <c r="U73" t="n">
        <v>3.65199013655855</v>
      </c>
      <c r="V73" t="n">
        <v>19377.1772608713</v>
      </c>
      <c r="W73" t="inlineStr">
        <is>
          <t>CEC</t>
        </is>
      </c>
      <c r="X73" t="n">
        <v>78.62763916829806</v>
      </c>
      <c r="Y73" t="n">
        <v>55.57909333218311</v>
      </c>
      <c r="Z73" t="n">
        <v>61413.36279799239</v>
      </c>
      <c r="AA73" t="n">
        <v>25165.16527385883</v>
      </c>
      <c r="AB73" t="n">
        <v>19377.1772608713</v>
      </c>
      <c r="AC73" t="n">
        <v>25165.16527385883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2013/03_2_BS2C_BB_CEC_San Juan SpA.</t>
        </is>
      </c>
      <c r="K74" t="inlineStr">
        <is>
          <t>Curico 13.2</t>
        </is>
      </c>
      <c r="L74" t="inlineStr">
        <is>
          <t>-1</t>
        </is>
      </c>
      <c r="M74" t="n">
        <v>13036.15837157875</v>
      </c>
      <c r="N74" t="n">
        <v>61</v>
      </c>
      <c r="O74" t="inlineStr">
        <is>
          <t>5</t>
        </is>
      </c>
      <c r="P74" s="2" t="n">
        <v>44676.57927461805</v>
      </c>
      <c r="Q74" t="n">
        <v>23</v>
      </c>
      <c r="R74" t="inlineStr">
        <is>
          <t>ITAHUE 220</t>
        </is>
      </c>
      <c r="S74" t="n">
        <v>7110.260459405066</v>
      </c>
      <c r="T74" t="n">
        <v>516355.6018841742</v>
      </c>
      <c r="U74" t="n">
        <v>33.24508618375071</v>
      </c>
      <c r="V74" t="n">
        <v>183393.0176774938</v>
      </c>
      <c r="W74" t="inlineStr">
        <is>
          <t>CEC</t>
        </is>
      </c>
      <c r="X74" t="n">
        <v>80.24441289775898</v>
      </c>
      <c r="Y74" t="n">
        <v>516.3556018841742</v>
      </c>
      <c r="Z74" t="n">
        <v>570558.6761151096</v>
      </c>
      <c r="AA74" t="n">
        <v>238172.7502305114</v>
      </c>
      <c r="AB74" t="n">
        <v>183393.0176774938</v>
      </c>
      <c r="AC74" t="n">
        <v>238172.7502305114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2013/03_2_BS2C_BB_CEC_San Juan SpA.</t>
        </is>
      </c>
      <c r="K75" t="inlineStr">
        <is>
          <t>Curico 13.2</t>
        </is>
      </c>
      <c r="L75" t="inlineStr">
        <is>
          <t>-1</t>
        </is>
      </c>
      <c r="M75" t="n">
        <v>13036.15837157875</v>
      </c>
      <c r="N75" t="n">
        <v>61</v>
      </c>
      <c r="O75" t="inlineStr">
        <is>
          <t>5</t>
        </is>
      </c>
      <c r="P75" s="2" t="n">
        <v>44676.57927461805</v>
      </c>
      <c r="Q75" t="n">
        <v>13</v>
      </c>
      <c r="R75" t="inlineStr">
        <is>
          <t>MELIPILLA 220</t>
        </is>
      </c>
      <c r="S75" t="n">
        <v>20.1124060653123</v>
      </c>
      <c r="T75" t="n">
        <v>1580.844366244079</v>
      </c>
      <c r="U75" t="n">
        <v>0.09403856255637714</v>
      </c>
      <c r="V75" t="n">
        <v>565.2914080747196</v>
      </c>
      <c r="W75" t="inlineStr">
        <is>
          <t>CEC</t>
        </is>
      </c>
      <c r="X75" t="n">
        <v>86.85133689591251</v>
      </c>
      <c r="Y75" t="n">
        <v>1.580844366244079</v>
      </c>
      <c r="Z75" t="n">
        <v>1746.789354965833</v>
      </c>
      <c r="AA75" t="n">
        <v>734.1446858113242</v>
      </c>
      <c r="AB75" t="n">
        <v>565.2914080747196</v>
      </c>
      <c r="AC75" t="n">
        <v>734.1446858113242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2013/03_2_BS2C_BB_CEC_San Juan SpA.</t>
        </is>
      </c>
      <c r="K76" t="inlineStr">
        <is>
          <t>Curico 13.2</t>
        </is>
      </c>
      <c r="L76" t="inlineStr">
        <is>
          <t>-1</t>
        </is>
      </c>
      <c r="M76" t="n">
        <v>13036.15837157875</v>
      </c>
      <c r="N76" t="n">
        <v>61</v>
      </c>
      <c r="O76" t="inlineStr">
        <is>
          <t>5</t>
        </is>
      </c>
      <c r="P76" s="2" t="n">
        <v>44676.57927461805</v>
      </c>
      <c r="Q76" t="n">
        <v>22</v>
      </c>
      <c r="R76" t="inlineStr">
        <is>
          <t>RAPEL 220</t>
        </is>
      </c>
      <c r="S76" t="n">
        <v>21.44249894064646</v>
      </c>
      <c r="T76" t="n">
        <v>1681.489696711265</v>
      </c>
      <c r="U76" t="n">
        <v>0.1002576107228035</v>
      </c>
      <c r="V76" t="n">
        <v>598.2522721589372</v>
      </c>
      <c r="W76" t="inlineStr">
        <is>
          <t>CEC</t>
        </is>
      </c>
      <c r="X76" t="n">
        <v>86.65033259497083</v>
      </c>
      <c r="Y76" t="n">
        <v>1.681489696711265</v>
      </c>
      <c r="Z76" t="n">
        <v>1857.999664874326</v>
      </c>
      <c r="AA76" t="n">
        <v>776.9510028038145</v>
      </c>
      <c r="AB76" t="n">
        <v>598.2522721589372</v>
      </c>
      <c r="AC76" t="n">
        <v>776.9510028038145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2013/03_2_BS2C_BB_CEC_San Juan SpA.</t>
        </is>
      </c>
      <c r="K77" t="inlineStr">
        <is>
          <t>Quinta 13.8</t>
        </is>
      </c>
      <c r="L77" t="inlineStr">
        <is>
          <t>-1</t>
        </is>
      </c>
      <c r="M77" t="n">
        <v>2849.61754248067</v>
      </c>
      <c r="N77" t="n">
        <v>11</v>
      </c>
      <c r="O77" t="inlineStr">
        <is>
          <t>5</t>
        </is>
      </c>
      <c r="P77" s="2" t="n">
        <v>44676.57927461805</v>
      </c>
      <c r="Q77" t="n">
        <v>8</v>
      </c>
      <c r="R77" t="inlineStr">
        <is>
          <t>ALTO JAHUEL 220</t>
        </is>
      </c>
      <c r="S77" t="n">
        <v>1414.566163785314</v>
      </c>
      <c r="T77" t="n">
        <v>109115.7857814574</v>
      </c>
      <c r="U77" t="n">
        <v>5.549545174459561</v>
      </c>
      <c r="V77" t="n">
        <v>32843.64666855676</v>
      </c>
      <c r="W77" t="inlineStr">
        <is>
          <t>CEC</t>
        </is>
      </c>
      <c r="X77" t="n">
        <v>85.23456316645158</v>
      </c>
      <c r="Y77" t="n">
        <v>109.1157857814574</v>
      </c>
      <c r="Z77" t="n">
        <v>120569.9290402844</v>
      </c>
      <c r="AA77" t="n">
        <v>42654.08658254125</v>
      </c>
      <c r="AB77" t="n">
        <v>32843.64666855676</v>
      </c>
      <c r="AC77" t="n">
        <v>42654.08658254125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2013/03_2_BS2C_BB_CEC_San Juan SpA.</t>
        </is>
      </c>
      <c r="K78" t="inlineStr">
        <is>
          <t>Quinta 13.8</t>
        </is>
      </c>
      <c r="L78" t="inlineStr">
        <is>
          <t>-1</t>
        </is>
      </c>
      <c r="M78" t="n">
        <v>2849.61754248067</v>
      </c>
      <c r="N78" t="n">
        <v>11</v>
      </c>
      <c r="O78" t="inlineStr">
        <is>
          <t>5</t>
        </is>
      </c>
      <c r="P78" s="2" t="n">
        <v>44676.57927461805</v>
      </c>
      <c r="Q78" t="n">
        <v>34</v>
      </c>
      <c r="R78" t="inlineStr">
        <is>
          <t>CHARRUA 220</t>
        </is>
      </c>
      <c r="S78" t="n">
        <v>96.50097237676607</v>
      </c>
      <c r="T78" t="n">
        <v>6866.817490064386</v>
      </c>
      <c r="U78" t="n">
        <v>0.3785871027418516</v>
      </c>
      <c r="V78" t="n">
        <v>2008.753891493688</v>
      </c>
      <c r="W78" t="inlineStr">
        <is>
          <t>CEC</t>
        </is>
      </c>
      <c r="X78" t="n">
        <v>78.62763916829806</v>
      </c>
      <c r="Y78" t="n">
        <v>6.866817490064386</v>
      </c>
      <c r="Z78" t="n">
        <v>7587.64363543026</v>
      </c>
      <c r="AA78" t="n">
        <v>2608.77128765414</v>
      </c>
      <c r="AB78" t="n">
        <v>2008.753891493688</v>
      </c>
      <c r="AC78" t="n">
        <v>2608.77128765414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2013/03_2_BS2C_BB_CEC_San Juan SpA.</t>
        </is>
      </c>
      <c r="K79" t="inlineStr">
        <is>
          <t>Quinta 13.8</t>
        </is>
      </c>
      <c r="L79" t="inlineStr">
        <is>
          <t>-1</t>
        </is>
      </c>
      <c r="M79" t="n">
        <v>2849.61754248067</v>
      </c>
      <c r="N79" t="n">
        <v>11</v>
      </c>
      <c r="O79" t="inlineStr">
        <is>
          <t>5</t>
        </is>
      </c>
      <c r="P79" s="2" t="n">
        <v>44676.57927461805</v>
      </c>
      <c r="Q79" t="n">
        <v>23</v>
      </c>
      <c r="R79" t="inlineStr">
        <is>
          <t>ITAHUE 220</t>
        </is>
      </c>
      <c r="S79" t="n">
        <v>1410.943370711826</v>
      </c>
      <c r="T79" t="n">
        <v>102464.3917853538</v>
      </c>
      <c r="U79" t="n">
        <v>5.535332439605758</v>
      </c>
      <c r="V79" t="n">
        <v>30535.07860790558</v>
      </c>
      <c r="W79" t="inlineStr">
        <is>
          <t>CEC</t>
        </is>
      </c>
      <c r="X79" t="n">
        <v>80.24441289775899</v>
      </c>
      <c r="Y79" t="n">
        <v>102.4643917853538</v>
      </c>
      <c r="Z79" t="n">
        <v>113220.3224147556</v>
      </c>
      <c r="AA79" t="n">
        <v>39655.94624403321</v>
      </c>
      <c r="AB79" t="n">
        <v>30535.07860790558</v>
      </c>
      <c r="AC79" t="n">
        <v>39655.94624403321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2013/03_2_BS2C_BB_CEC_San Juan SpA.</t>
        </is>
      </c>
      <c r="K80" t="inlineStr">
        <is>
          <t>Quinta 13.8</t>
        </is>
      </c>
      <c r="L80" t="inlineStr">
        <is>
          <t>-1</t>
        </is>
      </c>
      <c r="M80" t="n">
        <v>2849.61754248067</v>
      </c>
      <c r="N80" t="n">
        <v>11</v>
      </c>
      <c r="O80" t="inlineStr">
        <is>
          <t>5</t>
        </is>
      </c>
      <c r="P80" s="2" t="n">
        <v>44676.57927461805</v>
      </c>
      <c r="Q80" t="n">
        <v>22</v>
      </c>
      <c r="R80" t="inlineStr">
        <is>
          <t>RAPEL 220</t>
        </is>
      </c>
      <c r="S80" t="n">
        <v>2.256946681824384</v>
      </c>
      <c r="T80" t="n">
        <v>176.9864884694248</v>
      </c>
      <c r="U80" t="n">
        <v>0.008854324306481807</v>
      </c>
      <c r="V80" t="n">
        <v>52.83508749705345</v>
      </c>
      <c r="W80" t="inlineStr">
        <is>
          <t>CEC</t>
        </is>
      </c>
      <c r="X80" t="n">
        <v>86.65033259497083</v>
      </c>
      <c r="Y80" t="n">
        <v>0.1769864884694248</v>
      </c>
      <c r="Z80" t="n">
        <v>195.5651806291987</v>
      </c>
      <c r="AA80" t="n">
        <v>68.61699674942007</v>
      </c>
      <c r="AB80" t="n">
        <v>52.83508749705345</v>
      </c>
      <c r="AC80" t="n">
        <v>68.61699674942007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2013/03_2_BS2C_BB_CEC_San Juan SpA.</t>
        </is>
      </c>
      <c r="K81" t="inlineStr">
        <is>
          <t>Teno 13.2</t>
        </is>
      </c>
      <c r="L81" t="inlineStr">
        <is>
          <t>-1</t>
        </is>
      </c>
      <c r="M81" t="n">
        <v>4570.726416941269</v>
      </c>
      <c r="N81" t="n">
        <v>33</v>
      </c>
      <c r="O81" t="inlineStr">
        <is>
          <t>5</t>
        </is>
      </c>
      <c r="P81" s="2" t="n">
        <v>44676.57927461805</v>
      </c>
      <c r="Q81" t="n">
        <v>8</v>
      </c>
      <c r="R81" t="inlineStr">
        <is>
          <t>ALTO JAHUEL 220</t>
        </is>
      </c>
      <c r="S81" t="n">
        <v>2006.853042073549</v>
      </c>
      <c r="T81" t="n">
        <v>154803.184354265</v>
      </c>
      <c r="U81" t="n">
        <v>14.47246125787158</v>
      </c>
      <c r="V81" t="n">
        <v>85651.77668351898</v>
      </c>
      <c r="W81" t="inlineStr">
        <is>
          <t>CEC</t>
        </is>
      </c>
      <c r="X81" t="n">
        <v>85.23456316645158</v>
      </c>
      <c r="Y81" t="n">
        <v>154.8031843542651</v>
      </c>
      <c r="Z81" t="n">
        <v>171053.2423804034</v>
      </c>
      <c r="AA81" t="n">
        <v>111236.0736149597</v>
      </c>
      <c r="AB81" t="n">
        <v>85651.77668351898</v>
      </c>
      <c r="AC81" t="n">
        <v>111236.0736149597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2013/03_2_BS2C_BB_CEC_San Juan SpA.</t>
        </is>
      </c>
      <c r="K82" t="inlineStr">
        <is>
          <t>Teno 13.2</t>
        </is>
      </c>
      <c r="L82" t="inlineStr">
        <is>
          <t>-1</t>
        </is>
      </c>
      <c r="M82" t="n">
        <v>4570.726416941269</v>
      </c>
      <c r="N82" t="n">
        <v>33</v>
      </c>
      <c r="O82" t="inlineStr">
        <is>
          <t>5</t>
        </is>
      </c>
      <c r="P82" s="2" t="n">
        <v>44676.57927461805</v>
      </c>
      <c r="Q82" t="n">
        <v>34</v>
      </c>
      <c r="R82" t="inlineStr">
        <is>
          <t>CHARRUA 220</t>
        </is>
      </c>
      <c r="S82" t="n">
        <v>104.1453752109364</v>
      </c>
      <c r="T82" t="n">
        <v>7410.778009734934</v>
      </c>
      <c r="U82" t="n">
        <v>0.7510464774089513</v>
      </c>
      <c r="V82" t="n">
        <v>3984.994531672087</v>
      </c>
      <c r="W82" t="inlineStr">
        <is>
          <t>CEC</t>
        </is>
      </c>
      <c r="X82" t="n">
        <v>78.62763916829806</v>
      </c>
      <c r="Y82" t="n">
        <v>7.410778009734933</v>
      </c>
      <c r="Z82" t="n">
        <v>8188.704983132524</v>
      </c>
      <c r="AA82" t="n">
        <v>5175.317573600113</v>
      </c>
      <c r="AB82" t="n">
        <v>3984.994531672087</v>
      </c>
      <c r="AC82" t="n">
        <v>5175.317573600113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2013/03_2_BS2C_BB_CEC_San Juan SpA.</t>
        </is>
      </c>
      <c r="K83" t="inlineStr">
        <is>
          <t>Teno 13.2</t>
        </is>
      </c>
      <c r="L83" t="inlineStr">
        <is>
          <t>-1</t>
        </is>
      </c>
      <c r="M83" t="n">
        <v>4570.726416941269</v>
      </c>
      <c r="N83" t="n">
        <v>33</v>
      </c>
      <c r="O83" t="inlineStr">
        <is>
          <t>5</t>
        </is>
      </c>
      <c r="P83" s="2" t="n">
        <v>44676.57927461805</v>
      </c>
      <c r="Q83" t="n">
        <v>23</v>
      </c>
      <c r="R83" t="inlineStr">
        <is>
          <t>ITAHUE 220</t>
        </is>
      </c>
      <c r="S83" t="n">
        <v>2560.26041427882</v>
      </c>
      <c r="T83" t="n">
        <v>185929.1673973053</v>
      </c>
      <c r="U83" t="n">
        <v>18.46336970315862</v>
      </c>
      <c r="V83" t="n">
        <v>101851.2350258993</v>
      </c>
      <c r="W83" t="inlineStr">
        <is>
          <t>CEC</t>
        </is>
      </c>
      <c r="X83" t="n">
        <v>80.24441289775899</v>
      </c>
      <c r="Y83" t="n">
        <v>185.9291673973053</v>
      </c>
      <c r="Z83" t="n">
        <v>205446.5938091771</v>
      </c>
      <c r="AA83" t="n">
        <v>132274.3312024666</v>
      </c>
      <c r="AB83" t="n">
        <v>101851.2350258993</v>
      </c>
      <c r="AC83" t="n">
        <v>132274.3312024666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2013/03_2_BS2C_BB_CEC_San Juan SpA.</t>
        </is>
      </c>
      <c r="K84" t="inlineStr">
        <is>
          <t>Teno 13.2</t>
        </is>
      </c>
      <c r="L84" t="inlineStr">
        <is>
          <t>-1</t>
        </is>
      </c>
      <c r="M84" t="n">
        <v>4570.726416941269</v>
      </c>
      <c r="N84" t="n">
        <v>33</v>
      </c>
      <c r="O84" t="inlineStr">
        <is>
          <t>5</t>
        </is>
      </c>
      <c r="P84" s="2" t="n">
        <v>44676.57927461805</v>
      </c>
      <c r="Q84" t="n">
        <v>13</v>
      </c>
      <c r="R84" t="inlineStr">
        <is>
          <t>MELIPILLA 220</t>
        </is>
      </c>
      <c r="S84" t="n">
        <v>10.24774063939018</v>
      </c>
      <c r="T84" t="n">
        <v>805.4771270977174</v>
      </c>
      <c r="U84" t="n">
        <v>0.07390178865865113</v>
      </c>
      <c r="V84" t="n">
        <v>444.2437765362911</v>
      </c>
      <c r="W84" t="inlineStr">
        <is>
          <t>CEC</t>
        </is>
      </c>
      <c r="X84" t="n">
        <v>86.8513368959125</v>
      </c>
      <c r="Y84" t="n">
        <v>0.8054771270977172</v>
      </c>
      <c r="Z84" t="n">
        <v>890.0299746936103</v>
      </c>
      <c r="AA84" t="n">
        <v>576.9399695276508</v>
      </c>
      <c r="AB84" t="n">
        <v>444.2437765362911</v>
      </c>
      <c r="AC84" t="n">
        <v>576.9399695276508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2013/03_2_BS2C_BB_CEC_San Juan SpA.</t>
        </is>
      </c>
      <c r="K85" t="inlineStr">
        <is>
          <t>Teno 13.2</t>
        </is>
      </c>
      <c r="L85" t="inlineStr">
        <is>
          <t>-1</t>
        </is>
      </c>
      <c r="M85" t="n">
        <v>4570.726416941269</v>
      </c>
      <c r="N85" t="n">
        <v>33</v>
      </c>
      <c r="O85" t="inlineStr">
        <is>
          <t>5</t>
        </is>
      </c>
      <c r="P85" s="2" t="n">
        <v>44676.57927461805</v>
      </c>
      <c r="Q85" t="n">
        <v>22</v>
      </c>
      <c r="R85" t="inlineStr">
        <is>
          <t>RAPEL 220</t>
        </is>
      </c>
      <c r="S85" t="n">
        <v>8.95672714001312</v>
      </c>
      <c r="T85" t="n">
        <v>702.3735640083075</v>
      </c>
      <c r="U85" t="n">
        <v>0.06459161872522212</v>
      </c>
      <c r="V85" t="n">
        <v>385.427922989579</v>
      </c>
      <c r="W85" t="inlineStr">
        <is>
          <t>CEC</t>
        </is>
      </c>
      <c r="X85" t="n">
        <v>86.65033259497082</v>
      </c>
      <c r="Y85" t="n">
        <v>0.7023735640083075</v>
      </c>
      <c r="Z85" t="n">
        <v>776.1033856445387</v>
      </c>
      <c r="AA85" t="n">
        <v>500.5557441423103</v>
      </c>
      <c r="AB85" t="n">
        <v>385.427922989579</v>
      </c>
      <c r="AC85" t="n">
        <v>500.5557441423103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3241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K2" t="n">
        <v>-38157.85024292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9472.660029999999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3243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CCURCURIBLOQC</t>
        </is>
      </c>
      <c r="J3" t="inlineStr">
        <is>
          <t>CURICO</t>
        </is>
      </c>
      <c r="K3" t="n">
        <v>-38157.85024292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2958.761535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3245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CCURCURIBLOQC</t>
        </is>
      </c>
      <c r="J4" t="inlineStr">
        <is>
          <t>CURICO</t>
        </is>
      </c>
      <c r="K4" t="n">
        <v>-38157.85024292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28229.064624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3247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K5" t="n">
        <v>-38157.85024292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110.985067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1.0179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0.9938</v>
      </c>
      <c r="BE5" t="n">
        <v>78.59999999999999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3249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CCURCURIBLOQC</t>
        </is>
      </c>
      <c r="J6" t="inlineStr">
        <is>
          <t>CURICO</t>
        </is>
      </c>
      <c r="K6" t="n">
        <v>-38157.85024292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99.861746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0.9915</v>
      </c>
      <c r="BE6" t="n">
        <v>78.419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2593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CCURQUINBLOQC</t>
        </is>
      </c>
      <c r="J7" t="inlineStr">
        <is>
          <t>QUINTA</t>
        </is>
      </c>
      <c r="K7" t="n">
        <v>-10226.78932326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4655.624514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2595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CCURQUINBLOQC</t>
        </is>
      </c>
      <c r="J8" t="inlineStr">
        <is>
          <t>QUINTA</t>
        </is>
      </c>
      <c r="K8" t="n">
        <v>-10226.78932326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704.591181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2597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K9" t="n">
        <v>-10226.78932326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7259.682725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CCURQUINBLOQC</t>
        </is>
      </c>
      <c r="J10" t="inlineStr">
        <is>
          <t>QUINTA</t>
        </is>
      </c>
      <c r="K10" t="n">
        <v>-10226.78932326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15.305048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5416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CCURTENOBLOQC</t>
        </is>
      </c>
      <c r="J11" t="inlineStr">
        <is>
          <t>TENO</t>
        </is>
      </c>
      <c r="K11" t="n">
        <v>-9772.610939480001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2574.483978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5418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CCURTENOBLOQC</t>
        </is>
      </c>
      <c r="J12" t="inlineStr">
        <is>
          <t>TENO</t>
        </is>
      </c>
      <c r="K12" t="n">
        <v>-9772.610939480001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696.42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5420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-9772.610939480001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7303.930568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5422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CCURTENOBLOQC</t>
        </is>
      </c>
      <c r="J14" t="inlineStr">
        <is>
          <t>TENO</t>
        </is>
      </c>
      <c r="K14" t="n">
        <v>-9772.610939480001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30.106631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5424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CCURTENOBLOQC</t>
        </is>
      </c>
      <c r="J15" t="inlineStr">
        <is>
          <t>TENO</t>
        </is>
      </c>
      <c r="K15" t="n">
        <v>-9772.610939480001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24.784099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3311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CCURCURIBLOQC</t>
        </is>
      </c>
      <c r="J16" t="inlineStr">
        <is>
          <t>CURICO</t>
        </is>
      </c>
      <c r="K16" t="n">
        <v>-29268.17157222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7265.803426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3313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-29268.17157222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2269.455425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3315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CCURCURIBLOQC</t>
        </is>
      </c>
      <c r="J18" t="inlineStr">
        <is>
          <t>CURICO</t>
        </is>
      </c>
      <c r="K18" t="n">
        <v>-29268.17157222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21652.506666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3317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CCURCURIBLOQC</t>
        </is>
      </c>
      <c r="J19" t="inlineStr">
        <is>
          <t>CURICO</t>
        </is>
      </c>
      <c r="K19" t="n">
        <v>-29268.17157222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85.128747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0.9938</v>
      </c>
      <c r="BE19" t="n">
        <v>78.59999999999999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3319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SUM_CEC_C</t>
        </is>
      </c>
      <c r="G20" t="inlineStr">
        <is>
          <t>C</t>
        </is>
      </c>
      <c r="H20" t="inlineStr">
        <is>
          <t>CEC</t>
        </is>
      </c>
      <c r="I20" t="inlineStr">
        <is>
          <t>CCURCURIBLOQC</t>
        </is>
      </c>
      <c r="J20" t="inlineStr">
        <is>
          <t>CURICO</t>
        </is>
      </c>
      <c r="K20" t="n">
        <v>-29268.17157222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76.596839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2649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SUM_CEC_C</t>
        </is>
      </c>
      <c r="G21" t="inlineStr">
        <is>
          <t>C</t>
        </is>
      </c>
      <c r="H21" t="inlineStr">
        <is>
          <t>CEC</t>
        </is>
      </c>
      <c r="I21" t="inlineStr">
        <is>
          <t>CCURQUINBLOQC</t>
        </is>
      </c>
      <c r="J21" t="inlineStr">
        <is>
          <t>QUINTA</t>
        </is>
      </c>
      <c r="K21" t="n">
        <v>-6962.29826644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3169.503689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2651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SUM_CEC_C</t>
        </is>
      </c>
      <c r="G22" t="inlineStr">
        <is>
          <t>C</t>
        </is>
      </c>
      <c r="H22" t="inlineStr">
        <is>
          <t>CEC</t>
        </is>
      </c>
      <c r="I22" t="inlineStr">
        <is>
          <t>CCURQUINBLOQC</t>
        </is>
      </c>
      <c r="J22" t="inlineStr">
        <is>
          <t>QUINTA</t>
        </is>
      </c>
      <c r="K22" t="n">
        <v>-6962.29826644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479.678793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2653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SUM_CEC_C</t>
        </is>
      </c>
      <c r="G23" t="inlineStr">
        <is>
          <t>C</t>
        </is>
      </c>
      <c r="H23" t="inlineStr">
        <is>
          <t>CEC</t>
        </is>
      </c>
      <c r="I23" t="inlineStr">
        <is>
          <t>CCURQUINBLOQC</t>
        </is>
      </c>
      <c r="J23" t="inlineStr">
        <is>
          <t>QUINTA</t>
        </is>
      </c>
      <c r="K23" t="n">
        <v>-6962.29826644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4942.32108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2655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SUM_CEC_C</t>
        </is>
      </c>
      <c r="G24" t="inlineStr">
        <is>
          <t>C</t>
        </is>
      </c>
      <c r="H24" t="inlineStr">
        <is>
          <t>CEC</t>
        </is>
      </c>
      <c r="I24" t="inlineStr">
        <is>
          <t>CCURQUINBLOQC</t>
        </is>
      </c>
      <c r="J24" t="inlineStr">
        <is>
          <t>QUINTA</t>
        </is>
      </c>
      <c r="K24" t="n">
        <v>-6962.29826644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10.419527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5556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SUM_CEC_C</t>
        </is>
      </c>
      <c r="G25" t="inlineStr">
        <is>
          <t>C</t>
        </is>
      </c>
      <c r="H25" t="inlineStr">
        <is>
          <t>CEC</t>
        </is>
      </c>
      <c r="I25" t="inlineStr">
        <is>
          <t>CCURTENOBLOQC</t>
        </is>
      </c>
      <c r="J25" t="inlineStr">
        <is>
          <t>TENO</t>
        </is>
      </c>
      <c r="K25" t="n">
        <v>-7035.91305843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1853.53183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5558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CCURTENOBLOQC</t>
        </is>
      </c>
      <c r="J26" t="inlineStr">
        <is>
          <t>TENO</t>
        </is>
      </c>
      <c r="K26" t="n">
        <v>-7035.91305843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501.39626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5560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CCURTENOBLOQC</t>
        </is>
      </c>
      <c r="J27" t="inlineStr">
        <is>
          <t>TENO</t>
        </is>
      </c>
      <c r="K27" t="n">
        <v>-7035.91305843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5258.555854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0.9537</v>
      </c>
      <c r="AL27" t="n">
        <v>62.564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0.9182</v>
      </c>
      <c r="BE27" t="n">
        <v>72.621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5562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K28" t="n">
        <v>-7035.91305843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21.675644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5564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SUM_CEC_C</t>
        </is>
      </c>
      <c r="G29" t="inlineStr">
        <is>
          <t>C</t>
        </is>
      </c>
      <c r="H29" t="inlineStr">
        <is>
          <t>CEC</t>
        </is>
      </c>
      <c r="I29" t="inlineStr">
        <is>
          <t>CCURTENOBLOQC</t>
        </is>
      </c>
      <c r="J29" t="inlineStr">
        <is>
          <t>TENO</t>
        </is>
      </c>
      <c r="K29" t="n">
        <v>-7035.91305843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17.843621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0.9925</v>
      </c>
      <c r="AL29" t="n">
        <v>65.10899999999999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0.9915</v>
      </c>
      <c r="BE29" t="n">
        <v>78.419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3381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-34763.08923731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8629.91295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0.976</v>
      </c>
      <c r="AL30" t="n">
        <v>72.72799999999999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3383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-34763.08923731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2695.531604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3385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-34763.08923731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25717.630484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0.9327</v>
      </c>
      <c r="AL32" t="n">
        <v>69.501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3387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-34763.08923731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101.111141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0.9899</v>
      </c>
      <c r="AL33" t="n">
        <v>73.76300000000001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0.9938</v>
      </c>
      <c r="BE33" t="n">
        <v>78.59999999999999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3389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-34763.08923731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90.97742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0.9638</v>
      </c>
      <c r="AL34" t="n">
        <v>71.819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0.9915</v>
      </c>
      <c r="BE34" t="n">
        <v>78.419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2705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-7626.05770217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3471.672298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2707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-7626.05770217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525.409572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2709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-7626.05770217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5413.503458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2711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-7626.05770217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11.412886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0.9638</v>
      </c>
      <c r="AL38" t="n">
        <v>71.819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5696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-12188.60392466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3210.950043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0.976</v>
      </c>
      <c r="AL39" t="n">
        <v>72.72799999999999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5698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-12188.60392466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868.58953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5700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-12188.60392466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9109.614344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5702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-12188.60392466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37.549617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0.9899</v>
      </c>
      <c r="AL42" t="n">
        <v>73.76300000000001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0.9938</v>
      </c>
      <c r="BE42" t="n">
        <v>78.59999999999999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5704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-12188.60392466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30.911245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0.9638</v>
      </c>
      <c r="AL43" t="n">
        <v>71.819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0.9915</v>
      </c>
      <c r="BE43" t="n">
        <v>78.419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3031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-30559.13213857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7586.283497</v>
      </c>
      <c r="P44" t="inlineStr">
        <is>
          <t>BS2C</t>
        </is>
      </c>
      <c r="Q44" t="n">
        <v>2</v>
      </c>
      <c r="V44" t="n">
        <v>428300.593</v>
      </c>
      <c r="W44" t="n">
        <v>2</v>
      </c>
      <c r="X44" t="n">
        <v>2.69401e-07</v>
      </c>
      <c r="Y44" t="n">
        <v>0.230769</v>
      </c>
      <c r="Z44" t="n">
        <v>1750.679056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112859.276024096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0.976</v>
      </c>
      <c r="BE44" t="n">
        <v>72.72799999999999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127323.386384768</v>
      </c>
    </row>
    <row r="45">
      <c r="A45" t="n">
        <v>3033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CCURCURIBLOQC</t>
        </is>
      </c>
      <c r="J45" t="inlineStr">
        <is>
          <t>CURICO</t>
        </is>
      </c>
      <c r="K45" t="n">
        <v>-30559.13213857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2369.55657</v>
      </c>
      <c r="P45" t="inlineStr">
        <is>
          <t>BS2C</t>
        </is>
      </c>
      <c r="Q45" t="n">
        <v>2</v>
      </c>
      <c r="V45" t="n">
        <v>428300.593</v>
      </c>
      <c r="W45" t="n">
        <v>2</v>
      </c>
      <c r="X45" t="n">
        <v>2.69401e-07</v>
      </c>
      <c r="Y45" t="n">
        <v>0.230769</v>
      </c>
      <c r="Z45" t="n">
        <v>546.8202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33540.3106074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37943.30685779999</v>
      </c>
    </row>
    <row r="46">
      <c r="A46" t="n">
        <v>3035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CCURCURIBLOQC</t>
        </is>
      </c>
      <c r="J46" t="inlineStr">
        <is>
          <t>CURICO</t>
        </is>
      </c>
      <c r="K46" t="n">
        <v>-30559.13213857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22607.55547</v>
      </c>
      <c r="P46" t="inlineStr">
        <is>
          <t>BS2C</t>
        </is>
      </c>
      <c r="Q46" t="n">
        <v>2</v>
      </c>
      <c r="V46" t="n">
        <v>428300.593</v>
      </c>
      <c r="W46" t="n">
        <v>2</v>
      </c>
      <c r="X46" t="n">
        <v>2.69401e-07</v>
      </c>
      <c r="Y46" t="n">
        <v>0.230769</v>
      </c>
      <c r="Z46" t="n">
        <v>5217.122968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326404.081369952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362595.263398968</v>
      </c>
    </row>
    <row r="47">
      <c r="A47" t="n">
        <v>3037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SUM_CEC_C</t>
        </is>
      </c>
      <c r="G47" t="inlineStr">
        <is>
          <t>C</t>
        </is>
      </c>
      <c r="H47" t="inlineStr">
        <is>
          <t>CEC</t>
        </is>
      </c>
      <c r="I47" t="inlineStr">
        <is>
          <t>CCURCURIBLOQC</t>
        </is>
      </c>
      <c r="J47" t="inlineStr">
        <is>
          <t>CURICO</t>
        </is>
      </c>
      <c r="K47" t="n">
        <v>-30559.13213857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88.883606</v>
      </c>
      <c r="P47" t="inlineStr">
        <is>
          <t>BS2C</t>
        </is>
      </c>
      <c r="Q47" t="n">
        <v>2</v>
      </c>
      <c r="V47" t="n">
        <v>428300.593</v>
      </c>
      <c r="W47" t="n">
        <v>2</v>
      </c>
      <c r="X47" t="n">
        <v>2.69401e-07</v>
      </c>
      <c r="Y47" t="n">
        <v>0.230769</v>
      </c>
      <c r="Z47" t="n">
        <v>20.511581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1369.660821275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1512.995749303</v>
      </c>
    </row>
    <row r="48">
      <c r="A48" t="n">
        <v>3039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SUM_CEC_C</t>
        </is>
      </c>
      <c r="G48" t="inlineStr">
        <is>
          <t>C</t>
        </is>
      </c>
      <c r="H48" t="inlineStr">
        <is>
          <t>CEC</t>
        </is>
      </c>
      <c r="I48" t="inlineStr">
        <is>
          <t>CCURCURIBLOQC</t>
        </is>
      </c>
      <c r="J48" t="inlineStr">
        <is>
          <t>CURICO</t>
        </is>
      </c>
      <c r="K48" t="n">
        <v>-30559.13213857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79.97537199999999</v>
      </c>
      <c r="P48" t="inlineStr">
        <is>
          <t>BS2C</t>
        </is>
      </c>
      <c r="Q48" t="n">
        <v>2</v>
      </c>
      <c r="V48" t="n">
        <v>428300.593</v>
      </c>
      <c r="W48" t="n">
        <v>2</v>
      </c>
      <c r="X48" t="n">
        <v>2.69401e-07</v>
      </c>
      <c r="Y48" t="n">
        <v>0.230769</v>
      </c>
      <c r="Z48" t="n">
        <v>18.455837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1201.641091233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0.9638</v>
      </c>
      <c r="BE48" t="n">
        <v>71.819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1325.479757503</v>
      </c>
    </row>
    <row r="49">
      <c r="A49" t="n">
        <v>2425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SUM_CEC_C</t>
        </is>
      </c>
      <c r="G49" t="inlineStr">
        <is>
          <t>C</t>
        </is>
      </c>
      <c r="H49" t="inlineStr">
        <is>
          <t>CEC</t>
        </is>
      </c>
      <c r="I49" t="inlineStr">
        <is>
          <t>CCURQUINBLOQC</t>
        </is>
      </c>
      <c r="J49" t="inlineStr">
        <is>
          <t>QUINTA</t>
        </is>
      </c>
      <c r="K49" t="n">
        <v>-6439.48000874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2931.496879</v>
      </c>
      <c r="P49" t="inlineStr">
        <is>
          <t>BS2C</t>
        </is>
      </c>
      <c r="Q49" t="n">
        <v>2</v>
      </c>
      <c r="V49" t="n">
        <v>428300.593</v>
      </c>
      <c r="W49" t="n">
        <v>2</v>
      </c>
      <c r="X49" t="n">
        <v>2.69401e-07</v>
      </c>
      <c r="Y49" t="n">
        <v>0.230769</v>
      </c>
      <c r="Z49" t="n">
        <v>676.498603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43611.15894099799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0.976</v>
      </c>
      <c r="BE49" t="n">
        <v>72.72799999999999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49200.390398984</v>
      </c>
    </row>
    <row r="50">
      <c r="A50" t="n">
        <v>2427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SUM_CEC_C</t>
        </is>
      </c>
      <c r="G50" t="inlineStr">
        <is>
          <t>C</t>
        </is>
      </c>
      <c r="H50" t="inlineStr">
        <is>
          <t>CEC</t>
        </is>
      </c>
      <c r="I50" t="inlineStr">
        <is>
          <t>CCURQUINBLOQC</t>
        </is>
      </c>
      <c r="J50" t="inlineStr">
        <is>
          <t>QUINTA</t>
        </is>
      </c>
      <c r="K50" t="n">
        <v>-6439.48000874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443.658384</v>
      </c>
      <c r="P50" t="inlineStr">
        <is>
          <t>BS2C</t>
        </is>
      </c>
      <c r="Q50" t="n">
        <v>2</v>
      </c>
      <c r="V50" t="n">
        <v>428300.593</v>
      </c>
      <c r="W50" t="n">
        <v>2</v>
      </c>
      <c r="X50" t="n">
        <v>2.69401e-07</v>
      </c>
      <c r="Y50" t="n">
        <v>0.230769</v>
      </c>
      <c r="Z50" t="n">
        <v>102.382602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6279.841658874001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7104.226370178</v>
      </c>
    </row>
    <row r="51">
      <c r="A51" t="n">
        <v>2429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SUM_CEC_C</t>
        </is>
      </c>
      <c r="G51" t="inlineStr">
        <is>
          <t>C</t>
        </is>
      </c>
      <c r="H51" t="inlineStr">
        <is>
          <t>CEC</t>
        </is>
      </c>
      <c r="I51" t="inlineStr">
        <is>
          <t>CCURQUINBLOQC</t>
        </is>
      </c>
      <c r="J51" t="inlineStr">
        <is>
          <t>QUINTA</t>
        </is>
      </c>
      <c r="K51" t="n">
        <v>-6439.48000874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4571.188503</v>
      </c>
      <c r="P51" t="inlineStr">
        <is>
          <t>BS2C</t>
        </is>
      </c>
      <c r="Q51" t="n">
        <v>2</v>
      </c>
      <c r="V51" t="n">
        <v>428300.593</v>
      </c>
      <c r="W51" t="n">
        <v>2</v>
      </c>
      <c r="X51" t="n">
        <v>2.69401e-07</v>
      </c>
      <c r="Y51" t="n">
        <v>0.230769</v>
      </c>
      <c r="Z51" t="n">
        <v>1054.8886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65998.0503704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0.9327</v>
      </c>
      <c r="BE51" t="n">
        <v>69.501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73315.81258860001</v>
      </c>
    </row>
    <row r="52">
      <c r="A52" t="n">
        <v>2431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SUM_CEC_C</t>
        </is>
      </c>
      <c r="G52" t="inlineStr">
        <is>
          <t>C</t>
        </is>
      </c>
      <c r="H52" t="inlineStr">
        <is>
          <t>CEC</t>
        </is>
      </c>
      <c r="I52" t="inlineStr">
        <is>
          <t>CCURQUINBLOQC</t>
        </is>
      </c>
      <c r="J52" t="inlineStr">
        <is>
          <t>QUINTA</t>
        </is>
      </c>
      <c r="K52" t="n">
        <v>-6439.48000874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9.637096</v>
      </c>
      <c r="P52" t="inlineStr">
        <is>
          <t>BS2C</t>
        </is>
      </c>
      <c r="Q52" t="n">
        <v>2</v>
      </c>
      <c r="V52" t="n">
        <v>428300.593</v>
      </c>
      <c r="W52" t="n">
        <v>2</v>
      </c>
      <c r="X52" t="n">
        <v>2.69401e-07</v>
      </c>
      <c r="Y52" t="n">
        <v>0.230769</v>
      </c>
      <c r="Z52" t="n">
        <v>2.223943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0.9925</v>
      </c>
      <c r="AL52" t="n">
        <v>65.10899999999999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144.798704787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0.9638</v>
      </c>
      <c r="BE52" t="n">
        <v>71.819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159.721362317</v>
      </c>
    </row>
    <row r="53">
      <c r="A53" t="n">
        <v>4996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CCURTENOBLOQC</t>
        </is>
      </c>
      <c r="J53" t="inlineStr">
        <is>
          <t>TENO</t>
        </is>
      </c>
      <c r="K53" t="n">
        <v>-13956.15393119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3676.591129</v>
      </c>
      <c r="P53" t="inlineStr">
        <is>
          <t>BS2C</t>
        </is>
      </c>
      <c r="Q53" t="n">
        <v>2</v>
      </c>
      <c r="V53" t="n">
        <v>428300.593</v>
      </c>
      <c r="W53" t="n">
        <v>2</v>
      </c>
      <c r="X53" t="n">
        <v>2.69401e-07</v>
      </c>
      <c r="Y53" t="n">
        <v>0.230769</v>
      </c>
      <c r="Z53" t="n">
        <v>848.443258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0.9827</v>
      </c>
      <c r="AL53" t="n">
        <v>64.46599999999999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54695.743070228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0.976</v>
      </c>
      <c r="BE53" t="n">
        <v>72.72799999999999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61705.581267824</v>
      </c>
    </row>
    <row r="54">
      <c r="A54" t="n">
        <v>4998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CCURTENOBLOQC</t>
        </is>
      </c>
      <c r="J54" t="inlineStr">
        <is>
          <t>TENO</t>
        </is>
      </c>
      <c r="K54" t="n">
        <v>-13956.15393119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994.549438</v>
      </c>
      <c r="P54" t="inlineStr">
        <is>
          <t>BS2C</t>
        </is>
      </c>
      <c r="Q54" t="n">
        <v>2</v>
      </c>
      <c r="V54" t="n">
        <v>428300.593</v>
      </c>
      <c r="W54" t="n">
        <v>2</v>
      </c>
      <c r="X54" t="n">
        <v>2.69401e-07</v>
      </c>
      <c r="Y54" t="n">
        <v>0.230769</v>
      </c>
      <c r="Z54" t="n">
        <v>229.511179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14077.527186323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0.9312</v>
      </c>
      <c r="BE54" t="n">
        <v>69.389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15925.551199631</v>
      </c>
    </row>
    <row r="55">
      <c r="A55" t="n">
        <v>5000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-13956.15393119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10430.659723</v>
      </c>
      <c r="P55" t="inlineStr">
        <is>
          <t>BS2C</t>
        </is>
      </c>
      <c r="Q55" t="n">
        <v>2</v>
      </c>
      <c r="V55" t="n">
        <v>428300.593</v>
      </c>
      <c r="W55" t="n">
        <v>2</v>
      </c>
      <c r="X55" t="n">
        <v>2.69401e-07</v>
      </c>
      <c r="Y55" t="n">
        <v>0.230769</v>
      </c>
      <c r="Z55" t="n">
        <v>2407.072914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0.9537</v>
      </c>
      <c r="AL55" t="n">
        <v>62.564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150596.109791496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0.9327</v>
      </c>
      <c r="BE55" t="n">
        <v>69.501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167293.974595914</v>
      </c>
    </row>
    <row r="56">
      <c r="A56" t="n">
        <v>5002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SUM_CEC_C</t>
        </is>
      </c>
      <c r="G56" t="inlineStr">
        <is>
          <t>C</t>
        </is>
      </c>
      <c r="H56" t="inlineStr">
        <is>
          <t>CEC</t>
        </is>
      </c>
      <c r="I56" t="inlineStr">
        <is>
          <t>CCURTENOBLOQC</t>
        </is>
      </c>
      <c r="J56" t="inlineStr">
        <is>
          <t>TENO</t>
        </is>
      </c>
      <c r="K56" t="n">
        <v>-13956.15393119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42.994935</v>
      </c>
      <c r="P56" t="inlineStr">
        <is>
          <t>BS2C</t>
        </is>
      </c>
      <c r="Q56" t="n">
        <v>2</v>
      </c>
      <c r="V56" t="n">
        <v>428300.593</v>
      </c>
      <c r="W56" t="n">
        <v>2</v>
      </c>
      <c r="X56" t="n">
        <v>2.69401e-07</v>
      </c>
      <c r="Y56" t="n">
        <v>0.230769</v>
      </c>
      <c r="Z56" t="n">
        <v>9.921898000000001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1.0179</v>
      </c>
      <c r="AL56" t="n">
        <v>66.77500000000001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662.5347389500001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0.9899</v>
      </c>
      <c r="BE56" t="n">
        <v>73.76300000000001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731.8689621740001</v>
      </c>
    </row>
    <row r="57">
      <c r="A57" t="n">
        <v>5004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SUM_CEC_C</t>
        </is>
      </c>
      <c r="G57" t="inlineStr">
        <is>
          <t>C</t>
        </is>
      </c>
      <c r="H57" t="inlineStr">
        <is>
          <t>CEC</t>
        </is>
      </c>
      <c r="I57" t="inlineStr">
        <is>
          <t>CCURTENOBLOQC</t>
        </is>
      </c>
      <c r="J57" t="inlineStr">
        <is>
          <t>TENO</t>
        </is>
      </c>
      <c r="K57" t="n">
        <v>-13956.15393119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35.393889</v>
      </c>
      <c r="P57" t="inlineStr">
        <is>
          <t>BS2C</t>
        </is>
      </c>
      <c r="Q57" t="n">
        <v>2</v>
      </c>
      <c r="V57" t="n">
        <v>428300.593</v>
      </c>
      <c r="W57" t="n">
        <v>2</v>
      </c>
      <c r="X57" t="n">
        <v>2.69401e-07</v>
      </c>
      <c r="Y57" t="n">
        <v>0.230769</v>
      </c>
      <c r="Z57" t="n">
        <v>8.167812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0.9925</v>
      </c>
      <c r="AL57" t="n">
        <v>65.10899999999999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531.7980715079999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0.9638</v>
      </c>
      <c r="BE57" t="n">
        <v>71.819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586.604090028</v>
      </c>
    </row>
    <row r="58">
      <c r="A58" t="n">
        <v>3101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SUM_CEC_C</t>
        </is>
      </c>
      <c r="G58" t="inlineStr">
        <is>
          <t>C</t>
        </is>
      </c>
      <c r="H58" t="inlineStr">
        <is>
          <t>CEC</t>
        </is>
      </c>
      <c r="I58" t="inlineStr">
        <is>
          <t>CCURCURIBLOQC</t>
        </is>
      </c>
      <c r="J58" t="inlineStr">
        <is>
          <t>CURICO</t>
        </is>
      </c>
      <c r="K58" t="n">
        <v>-36847.76465227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9147.432185</v>
      </c>
      <c r="P58" t="inlineStr">
        <is>
          <t>BS2C</t>
        </is>
      </c>
      <c r="Q58" t="n">
        <v>2</v>
      </c>
      <c r="V58" t="n">
        <v>428300.593</v>
      </c>
      <c r="W58" t="n">
        <v>2</v>
      </c>
      <c r="X58" t="n">
        <v>2.69401e-07</v>
      </c>
      <c r="Y58" t="n">
        <v>0.230769</v>
      </c>
      <c r="Z58" t="n">
        <v>2110.943778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0.9827</v>
      </c>
      <c r="AL58" t="n">
        <v>64.46599999999999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136084.101592548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0.976</v>
      </c>
      <c r="BE58" t="n">
        <v>72.72799999999999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153524.719086384</v>
      </c>
    </row>
    <row r="59">
      <c r="A59" t="n">
        <v>3103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SUM_CEC_C</t>
        </is>
      </c>
      <c r="G59" t="inlineStr">
        <is>
          <t>C</t>
        </is>
      </c>
      <c r="H59" t="inlineStr">
        <is>
          <t>CEC</t>
        </is>
      </c>
      <c r="I59" t="inlineStr">
        <is>
          <t>CCURCURIBLOQC</t>
        </is>
      </c>
      <c r="J59" t="inlineStr">
        <is>
          <t>CURICO</t>
        </is>
      </c>
      <c r="K59" t="n">
        <v>-36847.76465227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2857.177436</v>
      </c>
      <c r="P59" t="inlineStr">
        <is>
          <t>BS2C</t>
        </is>
      </c>
      <c r="Q59" t="n">
        <v>2</v>
      </c>
      <c r="V59" t="n">
        <v>428300.593</v>
      </c>
      <c r="W59" t="n">
        <v>2</v>
      </c>
      <c r="X59" t="n">
        <v>2.69401e-07</v>
      </c>
      <c r="Y59" t="n">
        <v>0.230769</v>
      </c>
      <c r="Z59" t="n">
        <v>659.34798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0.9350000000000001</v>
      </c>
      <c r="AL59" t="n">
        <v>61.337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40442.42704926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0.9312</v>
      </c>
      <c r="BE59" t="n">
        <v>69.389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45751.49698422</v>
      </c>
    </row>
    <row r="60">
      <c r="A60" t="n">
        <v>3105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SUM_CEC_C</t>
        </is>
      </c>
      <c r="G60" t="inlineStr">
        <is>
          <t>C</t>
        </is>
      </c>
      <c r="H60" t="inlineStr">
        <is>
          <t>CEC</t>
        </is>
      </c>
      <c r="I60" t="inlineStr">
        <is>
          <t>CCURCURIBLOQC</t>
        </is>
      </c>
      <c r="J60" t="inlineStr">
        <is>
          <t>CURICO</t>
        </is>
      </c>
      <c r="K60" t="n">
        <v>-36847.76465227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27259.867183</v>
      </c>
      <c r="P60" t="inlineStr">
        <is>
          <t>BS2C</t>
        </is>
      </c>
      <c r="Q60" t="n">
        <v>2</v>
      </c>
      <c r="V60" t="n">
        <v>428300.593</v>
      </c>
      <c r="W60" t="n">
        <v>2</v>
      </c>
      <c r="X60" t="n">
        <v>2.69401e-07</v>
      </c>
      <c r="Y60" t="n">
        <v>0.230769</v>
      </c>
      <c r="Z60" t="n">
        <v>6290.73229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0.9537</v>
      </c>
      <c r="AL60" t="n">
        <v>62.564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393573.37499156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0.9327</v>
      </c>
      <c r="BE60" t="n">
        <v>69.501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437212.18488729</v>
      </c>
    </row>
    <row r="61">
      <c r="A61" t="n">
        <v>3107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SUM_CEC_C</t>
        </is>
      </c>
      <c r="G61" t="inlineStr">
        <is>
          <t>C</t>
        </is>
      </c>
      <c r="H61" t="inlineStr">
        <is>
          <t>CEC</t>
        </is>
      </c>
      <c r="I61" t="inlineStr">
        <is>
          <t>CCURCURIBLOQC</t>
        </is>
      </c>
      <c r="J61" t="inlineStr">
        <is>
          <t>CURICO</t>
        </is>
      </c>
      <c r="K61" t="n">
        <v>-36847.76465227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107.174581</v>
      </c>
      <c r="P61" t="inlineStr">
        <is>
          <t>BS2C</t>
        </is>
      </c>
      <c r="Q61" t="n">
        <v>2</v>
      </c>
      <c r="V61" t="n">
        <v>428300.593</v>
      </c>
      <c r="W61" t="n">
        <v>2</v>
      </c>
      <c r="X61" t="n">
        <v>2.69401e-07</v>
      </c>
      <c r="Y61" t="n">
        <v>0.230769</v>
      </c>
      <c r="Z61" t="n">
        <v>24.732571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1.0179</v>
      </c>
      <c r="AL61" t="n">
        <v>66.77500000000001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1651.517428525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0.9899</v>
      </c>
      <c r="BE61" t="n">
        <v>73.76300000000001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1824.348634673</v>
      </c>
    </row>
    <row r="62">
      <c r="A62" t="n">
        <v>3109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SUM_CEC_C</t>
        </is>
      </c>
      <c r="G62" t="inlineStr">
        <is>
          <t>C</t>
        </is>
      </c>
      <c r="H62" t="inlineStr">
        <is>
          <t>CEC</t>
        </is>
      </c>
      <c r="I62" t="inlineStr">
        <is>
          <t>CCURCURIBLOQC</t>
        </is>
      </c>
      <c r="J62" t="inlineStr">
        <is>
          <t>CURICO</t>
        </is>
      </c>
      <c r="K62" t="n">
        <v>-36847.76465227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96.433161</v>
      </c>
      <c r="P62" t="inlineStr">
        <is>
          <t>BS2C</t>
        </is>
      </c>
      <c r="Q62" t="n">
        <v>2</v>
      </c>
      <c r="V62" t="n">
        <v>428300.593</v>
      </c>
      <c r="W62" t="n">
        <v>2</v>
      </c>
      <c r="X62" t="n">
        <v>2.69401e-07</v>
      </c>
      <c r="Y62" t="n">
        <v>0.230769</v>
      </c>
      <c r="Z62" t="n">
        <v>22.253784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1448.921622456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0.9638</v>
      </c>
      <c r="BE62" t="n">
        <v>71.819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1598.244513096</v>
      </c>
    </row>
    <row r="63">
      <c r="A63" t="n">
        <v>2481</v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SUM_CEC_C</t>
        </is>
      </c>
      <c r="G63" t="inlineStr">
        <is>
          <t>C</t>
        </is>
      </c>
      <c r="H63" t="inlineStr">
        <is>
          <t>CEC</t>
        </is>
      </c>
      <c r="I63" t="inlineStr">
        <is>
          <t>CCURQUINBLOQC</t>
        </is>
      </c>
      <c r="J63" t="inlineStr">
        <is>
          <t>QUINTA</t>
        </is>
      </c>
      <c r="K63" t="n">
        <v>-8774.45901045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3994.468369</v>
      </c>
      <c r="P63" t="inlineStr">
        <is>
          <t>BS2C</t>
        </is>
      </c>
      <c r="Q63" t="n">
        <v>2</v>
      </c>
      <c r="V63" t="n">
        <v>428300.593</v>
      </c>
      <c r="W63" t="n">
        <v>2</v>
      </c>
      <c r="X63" t="n">
        <v>2.69401e-07</v>
      </c>
      <c r="Y63" t="n">
        <v>0.230769</v>
      </c>
      <c r="Z63" t="n">
        <v>921.799471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59424.724697486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67040.631926888</v>
      </c>
    </row>
    <row r="64">
      <c r="A64" t="n">
        <v>2483</v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SUM_CEC_C</t>
        </is>
      </c>
      <c r="G64" t="inlineStr">
        <is>
          <t>C</t>
        </is>
      </c>
      <c r="H64" t="inlineStr">
        <is>
          <t>CEC</t>
        </is>
      </c>
      <c r="I64" t="inlineStr">
        <is>
          <t>CCURQUINBLOQC</t>
        </is>
      </c>
      <c r="J64" t="inlineStr">
        <is>
          <t>QUINTA</t>
        </is>
      </c>
      <c r="K64" t="n">
        <v>-8774.45901045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604.530536</v>
      </c>
      <c r="P64" t="inlineStr">
        <is>
          <t>BS2C</t>
        </is>
      </c>
      <c r="Q64" t="n">
        <v>2</v>
      </c>
      <c r="V64" t="n">
        <v>428300.593</v>
      </c>
      <c r="W64" t="n">
        <v>2</v>
      </c>
      <c r="X64" t="n">
        <v>2.69401e-07</v>
      </c>
      <c r="Y64" t="n">
        <v>0.230769</v>
      </c>
      <c r="Z64" t="n">
        <v>139.506907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8556.935154659001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9680.244769823001</v>
      </c>
    </row>
    <row r="65">
      <c r="A65" t="n">
        <v>2485</v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SUM_CEC_C</t>
        </is>
      </c>
      <c r="G65" t="inlineStr">
        <is>
          <t>C</t>
        </is>
      </c>
      <c r="H65" t="inlineStr">
        <is>
          <t>CEC</t>
        </is>
      </c>
      <c r="I65" t="inlineStr">
        <is>
          <t>CCURQUINBLOQC</t>
        </is>
      </c>
      <c r="J65" t="inlineStr">
        <is>
          <t>QUINTA</t>
        </is>
      </c>
      <c r="K65" t="n">
        <v>-8774.45901045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6228.718172</v>
      </c>
      <c r="P65" t="inlineStr">
        <is>
          <t>BS2C</t>
        </is>
      </c>
      <c r="Q65" t="n">
        <v>2</v>
      </c>
      <c r="V65" t="n">
        <v>428300.593</v>
      </c>
      <c r="W65" t="n">
        <v>2</v>
      </c>
      <c r="X65" t="n">
        <v>2.69401e-07</v>
      </c>
      <c r="Y65" t="n">
        <v>0.230769</v>
      </c>
      <c r="Z65" t="n">
        <v>1437.395064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89929.184784096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99900.39434306401</v>
      </c>
    </row>
    <row r="66">
      <c r="A66" t="n">
        <v>2487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SUM_CEC_C</t>
        </is>
      </c>
      <c r="G66" t="inlineStr">
        <is>
          <t>C</t>
        </is>
      </c>
      <c r="H66" t="inlineStr">
        <is>
          <t>CEC</t>
        </is>
      </c>
      <c r="I66" t="inlineStr">
        <is>
          <t>CCURQUINBLOQC</t>
        </is>
      </c>
      <c r="J66" t="inlineStr">
        <is>
          <t>QUINTA</t>
        </is>
      </c>
      <c r="K66" t="n">
        <v>-8774.45901045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13.131542</v>
      </c>
      <c r="P66" t="inlineStr">
        <is>
          <t>BS2C</t>
        </is>
      </c>
      <c r="Q66" t="n">
        <v>2</v>
      </c>
      <c r="V66" t="n">
        <v>428300.593</v>
      </c>
      <c r="W66" t="n">
        <v>2</v>
      </c>
      <c r="X66" t="n">
        <v>2.69401e-07</v>
      </c>
      <c r="Y66" t="n">
        <v>0.230769</v>
      </c>
      <c r="Z66" t="n">
        <v>3.030353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0.9925</v>
      </c>
      <c r="AL66" t="n">
        <v>65.10899999999999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197.303253477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0.9638</v>
      </c>
      <c r="BE66" t="n">
        <v>71.819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217.636922107</v>
      </c>
    </row>
    <row r="67">
      <c r="A67" t="n">
        <v>5136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SUM_CEC_C</t>
        </is>
      </c>
      <c r="G67" t="inlineStr">
        <is>
          <t>C</t>
        </is>
      </c>
      <c r="H67" t="inlineStr">
        <is>
          <t>CEC</t>
        </is>
      </c>
      <c r="I67" t="inlineStr">
        <is>
          <t>CCURTENOBLOQC</t>
        </is>
      </c>
      <c r="J67" t="inlineStr">
        <is>
          <t>TENO</t>
        </is>
      </c>
      <c r="K67" t="n">
        <v>-13346.08081419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3515.874256</v>
      </c>
      <c r="P67" t="inlineStr">
        <is>
          <t>BS2C</t>
        </is>
      </c>
      <c r="Q67" t="n">
        <v>2</v>
      </c>
      <c r="V67" t="n">
        <v>428300.593</v>
      </c>
      <c r="W67" t="n">
        <v>2</v>
      </c>
      <c r="X67" t="n">
        <v>2.69401e-07</v>
      </c>
      <c r="Y67" t="n">
        <v>0.230769</v>
      </c>
      <c r="Z67" t="n">
        <v>811.354786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52304.79763427599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0.976</v>
      </c>
      <c r="BE67" t="n">
        <v>72.72799999999999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59008.210876208</v>
      </c>
    </row>
    <row r="68">
      <c r="A68" t="n">
        <v>5138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SUM_CEC_C</t>
        </is>
      </c>
      <c r="G68" t="inlineStr">
        <is>
          <t>C</t>
        </is>
      </c>
      <c r="H68" t="inlineStr">
        <is>
          <t>CEC</t>
        </is>
      </c>
      <c r="I68" t="inlineStr">
        <is>
          <t>CCURTENOBLOQC</t>
        </is>
      </c>
      <c r="J68" t="inlineStr">
        <is>
          <t>TENO</t>
        </is>
      </c>
      <c r="K68" t="n">
        <v>-13346.08081419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951.074146</v>
      </c>
      <c r="P68" t="inlineStr">
        <is>
          <t>BS2C</t>
        </is>
      </c>
      <c r="Q68" t="n">
        <v>2</v>
      </c>
      <c r="V68" t="n">
        <v>428300.593</v>
      </c>
      <c r="W68" t="n">
        <v>2</v>
      </c>
      <c r="X68" t="n">
        <v>2.69401e-07</v>
      </c>
      <c r="Y68" t="n">
        <v>0.230769</v>
      </c>
      <c r="Z68" t="n">
        <v>219.47843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13462.14846091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15229.38877927</v>
      </c>
    </row>
    <row r="69">
      <c r="A69" t="n">
        <v>5140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SUM_CEC_C</t>
        </is>
      </c>
      <c r="G69" t="inlineStr">
        <is>
          <t>C</t>
        </is>
      </c>
      <c r="H69" t="inlineStr">
        <is>
          <t>CEC</t>
        </is>
      </c>
      <c r="I69" t="inlineStr">
        <is>
          <t>CCURTENOBLOQC</t>
        </is>
      </c>
      <c r="J69" t="inlineStr">
        <is>
          <t>TENO</t>
        </is>
      </c>
      <c r="K69" t="n">
        <v>-13346.08081419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9974.698495000001</v>
      </c>
      <c r="P69" t="inlineStr">
        <is>
          <t>BS2C</t>
        </is>
      </c>
      <c r="Q69" t="n">
        <v>2</v>
      </c>
      <c r="V69" t="n">
        <v>428300.593</v>
      </c>
      <c r="W69" t="n">
        <v>2</v>
      </c>
      <c r="X69" t="n">
        <v>2.69401e-07</v>
      </c>
      <c r="Y69" t="n">
        <v>0.230769</v>
      </c>
      <c r="Z69" t="n">
        <v>2301.851197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144013.018289108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159980.960042697</v>
      </c>
    </row>
    <row r="70">
      <c r="A70" t="n">
        <v>5142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SUM_CEC_C</t>
        </is>
      </c>
      <c r="G70" t="inlineStr">
        <is>
          <t>C</t>
        </is>
      </c>
      <c r="H70" t="inlineStr">
        <is>
          <t>CEC</t>
        </is>
      </c>
      <c r="I70" t="inlineStr">
        <is>
          <t>CCURTENOBLOQC</t>
        </is>
      </c>
      <c r="J70" t="inlineStr">
        <is>
          <t>TENO</t>
        </is>
      </c>
      <c r="K70" t="n">
        <v>-13346.08081419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41.115474</v>
      </c>
      <c r="P70" t="inlineStr">
        <is>
          <t>BS2C</t>
        </is>
      </c>
      <c r="Q70" t="n">
        <v>2</v>
      </c>
      <c r="V70" t="n">
        <v>428300.593</v>
      </c>
      <c r="W70" t="n">
        <v>2</v>
      </c>
      <c r="X70" t="n">
        <v>2.69401e-07</v>
      </c>
      <c r="Y70" t="n">
        <v>0.230769</v>
      </c>
      <c r="Z70" t="n">
        <v>9.488177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633.5730191750001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0.9899</v>
      </c>
      <c r="BE70" t="n">
        <v>73.76300000000001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699.876400051</v>
      </c>
    </row>
    <row r="71">
      <c r="A71" t="n">
        <v>5144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SUM_CEC_C</t>
        </is>
      </c>
      <c r="G71" t="inlineStr">
        <is>
          <t>C</t>
        </is>
      </c>
      <c r="H71" t="inlineStr">
        <is>
          <t>CEC</t>
        </is>
      </c>
      <c r="I71" t="inlineStr">
        <is>
          <t>CCURTENOBLOQC</t>
        </is>
      </c>
      <c r="J71" t="inlineStr">
        <is>
          <t>TENO</t>
        </is>
      </c>
      <c r="K71" t="n">
        <v>-13346.08081419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33.846696</v>
      </c>
      <c r="P71" t="inlineStr">
        <is>
          <t>BS2C</t>
        </is>
      </c>
      <c r="Q71" t="n">
        <v>2</v>
      </c>
      <c r="V71" t="n">
        <v>428300.593</v>
      </c>
      <c r="W71" t="n">
        <v>2</v>
      </c>
      <c r="X71" t="n">
        <v>2.69401e-07</v>
      </c>
      <c r="Y71" t="n">
        <v>0.230769</v>
      </c>
      <c r="Z71" t="n">
        <v>7.810768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508.551293712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0.9638</v>
      </c>
      <c r="BE71" t="n">
        <v>71.819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560.9615469920001</v>
      </c>
    </row>
    <row r="72">
      <c r="A72" t="n">
        <v>3171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-46093.977358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11442.798118</v>
      </c>
      <c r="P72" t="inlineStr">
        <is>
          <t>BS2C</t>
        </is>
      </c>
      <c r="Q72" t="n">
        <v>2</v>
      </c>
      <c r="V72" t="n">
        <v>428300.593</v>
      </c>
      <c r="W72" t="n">
        <v>2</v>
      </c>
      <c r="X72" t="n">
        <v>2.69401e-07</v>
      </c>
      <c r="Y72" t="n">
        <v>0.230769</v>
      </c>
      <c r="Z72" t="n">
        <v>2640.643079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170231.696730814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0.976</v>
      </c>
      <c r="BE72" t="n">
        <v>72.72799999999999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192048.689849512</v>
      </c>
    </row>
    <row r="73">
      <c r="A73" t="n">
        <v>3173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-46093.977358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3574.129212</v>
      </c>
      <c r="P73" t="inlineStr">
        <is>
          <t>BS2C</t>
        </is>
      </c>
      <c r="Q73" t="n">
        <v>2</v>
      </c>
      <c r="V73" t="n">
        <v>428300.593</v>
      </c>
      <c r="W73" t="n">
        <v>2</v>
      </c>
      <c r="X73" t="n">
        <v>2.69401e-07</v>
      </c>
      <c r="Y73" t="n">
        <v>0.230769</v>
      </c>
      <c r="Z73" t="n">
        <v>824.798224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0.9350000000000001</v>
      </c>
      <c r="AL73" t="n">
        <v>61.337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50590.64866548801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0.9312</v>
      </c>
      <c r="BE73" t="n">
        <v>69.389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57231.923965136</v>
      </c>
    </row>
    <row r="74">
      <c r="A74" t="n">
        <v>3175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-46093.977358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34100.187965</v>
      </c>
      <c r="P74" t="inlineStr">
        <is>
          <t>BS2C</t>
        </is>
      </c>
      <c r="Q74" t="n">
        <v>2</v>
      </c>
      <c r="V74" t="n">
        <v>428300.593</v>
      </c>
      <c r="W74" t="n">
        <v>2</v>
      </c>
      <c r="X74" t="n">
        <v>2.69401e-07</v>
      </c>
      <c r="Y74" t="n">
        <v>0.230769</v>
      </c>
      <c r="Z74" t="n">
        <v>7869.266276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492332.775291664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0.9327</v>
      </c>
      <c r="BE74" t="n">
        <v>69.501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546921.8754482761</v>
      </c>
    </row>
    <row r="75">
      <c r="A75" t="n">
        <v>3177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-46093.977358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134.067908</v>
      </c>
      <c r="P75" t="inlineStr">
        <is>
          <t>BS2C</t>
        </is>
      </c>
      <c r="Q75" t="n">
        <v>2</v>
      </c>
      <c r="V75" t="n">
        <v>428300.593</v>
      </c>
      <c r="W75" t="n">
        <v>2</v>
      </c>
      <c r="X75" t="n">
        <v>2.69401e-07</v>
      </c>
      <c r="Y75" t="n">
        <v>0.230769</v>
      </c>
      <c r="Z75" t="n">
        <v>30.938717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2065.932827675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0.9899</v>
      </c>
      <c r="BE75" t="n">
        <v>73.76300000000001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2282.132582071</v>
      </c>
    </row>
    <row r="76">
      <c r="A76" t="n">
        <v>3179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-46093.977358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120.631142</v>
      </c>
      <c r="P76" t="inlineStr">
        <is>
          <t>BS2C</t>
        </is>
      </c>
      <c r="Q76" t="n">
        <v>2</v>
      </c>
      <c r="V76" t="n">
        <v>428300.593</v>
      </c>
      <c r="W76" t="n">
        <v>2</v>
      </c>
      <c r="X76" t="n">
        <v>2.69401e-07</v>
      </c>
      <c r="Y76" t="n">
        <v>0.230769</v>
      </c>
      <c r="Z76" t="n">
        <v>27.837928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1812.499654152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0.9638</v>
      </c>
      <c r="BE76" t="n">
        <v>71.819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1999.292151032</v>
      </c>
    </row>
    <row r="77">
      <c r="A77" t="n">
        <v>2537</v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-12383.17032963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5637.291385</v>
      </c>
      <c r="P77" t="inlineStr">
        <is>
          <t>BS2C</t>
        </is>
      </c>
      <c r="Q77" t="n">
        <v>2</v>
      </c>
      <c r="V77" t="n">
        <v>428300.593</v>
      </c>
      <c r="W77" t="n">
        <v>2</v>
      </c>
      <c r="X77" t="n">
        <v>2.69401e-07</v>
      </c>
      <c r="Y77" t="n">
        <v>0.230769</v>
      </c>
      <c r="Z77" t="n">
        <v>1300.912096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83864.599180736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94612.734917888</v>
      </c>
    </row>
    <row r="78">
      <c r="A78" t="n">
        <v>2539</v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-12383.17032963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853.158536</v>
      </c>
      <c r="P78" t="inlineStr">
        <is>
          <t>BS2C</t>
        </is>
      </c>
      <c r="Q78" t="n">
        <v>2</v>
      </c>
      <c r="V78" t="n">
        <v>428300.593</v>
      </c>
      <c r="W78" t="n">
        <v>2</v>
      </c>
      <c r="X78" t="n">
        <v>2.69401e-07</v>
      </c>
      <c r="Y78" t="n">
        <v>0.230769</v>
      </c>
      <c r="Z78" t="n">
        <v>196.882542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12076.184478654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13661.482706838</v>
      </c>
    </row>
    <row r="79">
      <c r="A79" t="n">
        <v>2541</v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-12383.17032963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8790.431178999999</v>
      </c>
      <c r="P79" t="inlineStr">
        <is>
          <t>BS2C</t>
        </is>
      </c>
      <c r="Q79" t="n">
        <v>2</v>
      </c>
      <c r="V79" t="n">
        <v>428300.593</v>
      </c>
      <c r="W79" t="n">
        <v>2</v>
      </c>
      <c r="X79" t="n">
        <v>2.69401e-07</v>
      </c>
      <c r="Y79" t="n">
        <v>0.230769</v>
      </c>
      <c r="Z79" t="n">
        <v>2028.559013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126914.766089332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140986.879962513</v>
      </c>
    </row>
    <row r="80">
      <c r="A80" t="n">
        <v>2543</v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-12383.17032963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18.53221</v>
      </c>
      <c r="P80" t="inlineStr">
        <is>
          <t>BS2C</t>
        </is>
      </c>
      <c r="Q80" t="n">
        <v>2</v>
      </c>
      <c r="V80" t="n">
        <v>428300.593</v>
      </c>
      <c r="W80" t="n">
        <v>2</v>
      </c>
      <c r="X80" t="n">
        <v>2.69401e-07</v>
      </c>
      <c r="Y80" t="n">
        <v>0.230769</v>
      </c>
      <c r="Z80" t="n">
        <v>4.27666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278.4490559399999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307.14544454</v>
      </c>
    </row>
    <row r="81">
      <c r="A81" t="n">
        <v>5276</v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-13209.36551521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3479.858155</v>
      </c>
      <c r="P81" t="inlineStr">
        <is>
          <t>BS2C</t>
        </is>
      </c>
      <c r="Q81" t="n">
        <v>2</v>
      </c>
      <c r="V81" t="n">
        <v>428300.593</v>
      </c>
      <c r="W81" t="n">
        <v>2</v>
      </c>
      <c r="X81" t="n">
        <v>2.69401e-07</v>
      </c>
      <c r="Y81" t="n">
        <v>0.230769</v>
      </c>
      <c r="Z81" t="n">
        <v>803.0433870000001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51768.994986342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58403.739449736</v>
      </c>
    </row>
    <row r="82">
      <c r="A82" t="n">
        <v>5278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-13209.36551521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941.3314810000001</v>
      </c>
      <c r="P82" t="inlineStr">
        <is>
          <t>BS2C</t>
        </is>
      </c>
      <c r="Q82" t="n">
        <v>2</v>
      </c>
      <c r="V82" t="n">
        <v>428300.593</v>
      </c>
      <c r="W82" t="n">
        <v>2</v>
      </c>
      <c r="X82" t="n">
        <v>2.69401e-07</v>
      </c>
      <c r="Y82" t="n">
        <v>0.230769</v>
      </c>
      <c r="Z82" t="n">
        <v>217.230125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13324.244177125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15073.381143625</v>
      </c>
    </row>
    <row r="83">
      <c r="A83" t="n">
        <v>5280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-13209.36551521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9872.519143</v>
      </c>
      <c r="P83" t="inlineStr">
        <is>
          <t>BS2C</t>
        </is>
      </c>
      <c r="Q83" t="n">
        <v>2</v>
      </c>
      <c r="V83" t="n">
        <v>428300.593</v>
      </c>
      <c r="W83" t="n">
        <v>2</v>
      </c>
      <c r="X83" t="n">
        <v>2.69401e-07</v>
      </c>
      <c r="Y83" t="n">
        <v>0.230769</v>
      </c>
      <c r="Z83" t="n">
        <v>2278.27137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142537.76999268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158342.13848637</v>
      </c>
    </row>
    <row r="84">
      <c r="A84" t="n">
        <v>5282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-13209.36551521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40.694293</v>
      </c>
      <c r="P84" t="inlineStr">
        <is>
          <t>BS2C</t>
        </is>
      </c>
      <c r="Q84" t="n">
        <v>2</v>
      </c>
      <c r="V84" t="n">
        <v>428300.593</v>
      </c>
      <c r="W84" t="n">
        <v>2</v>
      </c>
      <c r="X84" t="n">
        <v>2.69401e-07</v>
      </c>
      <c r="Y84" t="n">
        <v>0.230769</v>
      </c>
      <c r="Z84" t="n">
        <v>9.390981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1.0179</v>
      </c>
      <c r="AL84" t="n">
        <v>66.77500000000001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627.0827562750001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0.9899</v>
      </c>
      <c r="BE84" t="n">
        <v>73.76300000000001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692.7069315030001</v>
      </c>
    </row>
    <row r="85">
      <c r="A85" t="n">
        <v>5284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-13209.36551521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33.499976</v>
      </c>
      <c r="P85" t="inlineStr">
        <is>
          <t>BS2C</t>
        </is>
      </c>
      <c r="Q85" t="n">
        <v>2</v>
      </c>
      <c r="V85" t="n">
        <v>428300.593</v>
      </c>
      <c r="W85" t="n">
        <v>2</v>
      </c>
      <c r="X85" t="n">
        <v>2.69401e-07</v>
      </c>
      <c r="Y85" t="n">
        <v>0.230769</v>
      </c>
      <c r="Z85" t="n">
        <v>7.730756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503.341792404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0.9638</v>
      </c>
      <c r="BE85" t="n">
        <v>71.819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555.215165164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264376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-192.02469614</v>
      </c>
      <c r="K2" t="inlineStr">
        <is>
          <t>BS2C</t>
        </is>
      </c>
      <c r="L2" t="inlineStr">
        <is>
          <t>RAPEL</t>
        </is>
      </c>
      <c r="M2" t="n">
        <v>0.00153682162831</v>
      </c>
      <c r="N2" t="n">
        <v>0.2951077061966015</v>
      </c>
      <c r="O2" t="n">
        <v>428300.593</v>
      </c>
      <c r="P2" t="n">
        <v>2.69401e-07</v>
      </c>
      <c r="Q2" t="n">
        <v>0.230769</v>
      </c>
      <c r="R2" t="n">
        <v>0.06810171025128353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387.618447326254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385.3573411526619</v>
      </c>
    </row>
    <row r="3">
      <c r="A3" t="n">
        <v>264374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-192.02469614</v>
      </c>
      <c r="K3" t="inlineStr">
        <is>
          <t>BS2C</t>
        </is>
      </c>
      <c r="L3" t="inlineStr">
        <is>
          <t>MELIPILLA</t>
        </is>
      </c>
      <c r="M3" t="n">
        <v>0.00168251158023</v>
      </c>
      <c r="N3" t="n">
        <v>0.3230837749445952</v>
      </c>
      <c r="O3" t="n">
        <v>428300.593</v>
      </c>
      <c r="P3" t="n">
        <v>2.69401e-07</v>
      </c>
      <c r="Q3" t="n">
        <v>0.230769</v>
      </c>
      <c r="R3" t="n">
        <v>0.0745577196601893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1.0179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447.5516871999398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0.9899</v>
      </c>
      <c r="AW3" t="n">
        <v>73.76300000000001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446.6531101068232</v>
      </c>
    </row>
    <row r="4">
      <c r="A4" t="n">
        <v>264370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-192.02469614</v>
      </c>
      <c r="K4" t="inlineStr">
        <is>
          <t>BS2C</t>
        </is>
      </c>
      <c r="L4" t="inlineStr">
        <is>
          <t>CHARRUA</t>
        </is>
      </c>
      <c r="M4" t="n">
        <v>0.04581135434674</v>
      </c>
      <c r="N4" t="n">
        <v>8.796911398164619</v>
      </c>
      <c r="O4" t="n">
        <v>428300.593</v>
      </c>
      <c r="P4" t="n">
        <v>2.69401e-07</v>
      </c>
      <c r="Q4" t="n">
        <v>0.230769</v>
      </c>
      <c r="R4" t="n">
        <v>2.030054446443051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0.9350000000000001</v>
      </c>
      <c r="AD4" t="n">
        <v>61.337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13496.19233942345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0.9312</v>
      </c>
      <c r="AW4" t="n">
        <v>69.389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13715.69481852134</v>
      </c>
    </row>
    <row r="5">
      <c r="A5" t="n">
        <v>264368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-192.02469614</v>
      </c>
      <c r="K5" t="inlineStr">
        <is>
          <t>BS2C</t>
        </is>
      </c>
      <c r="L5" t="inlineStr">
        <is>
          <t>ALTO JAHUEL</t>
        </is>
      </c>
      <c r="M5" t="n">
        <v>0.15011157993331</v>
      </c>
      <c r="N5" t="n">
        <v>28.82513052369088</v>
      </c>
      <c r="O5" t="n">
        <v>428300.593</v>
      </c>
      <c r="P5" t="n">
        <v>2.69401e-07</v>
      </c>
      <c r="Q5" t="n">
        <v>0.230769</v>
      </c>
      <c r="R5" t="n">
        <v>6.65194654582162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0.9827</v>
      </c>
      <c r="AD5" t="n">
        <v>64.46599999999999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40087.39576449484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0.976</v>
      </c>
      <c r="AW5" t="n">
        <v>72.72799999999999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39992.07270529856</v>
      </c>
    </row>
    <row r="6">
      <c r="A6" t="n">
        <v>264372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-192.02469614</v>
      </c>
      <c r="K6" t="inlineStr">
        <is>
          <t>BS2C</t>
        </is>
      </c>
      <c r="L6" t="inlineStr">
        <is>
          <t>ITAHUE</t>
        </is>
      </c>
      <c r="M6" t="n">
        <v>0.43232641346992</v>
      </c>
      <c r="N6" t="n">
        <v>83.0173481795743</v>
      </c>
      <c r="O6" t="n">
        <v>428300.593</v>
      </c>
      <c r="P6" t="n">
        <v>2.69401e-07</v>
      </c>
      <c r="Q6" t="n">
        <v>0.230769</v>
      </c>
      <c r="R6" t="n">
        <v>19.15783042205218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0.9537</v>
      </c>
      <c r="AD6" t="n">
        <v>62.564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117108.1160771675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0.9327</v>
      </c>
      <c r="AW6" t="n">
        <v>69.501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117593.155943576</v>
      </c>
    </row>
    <row r="7">
      <c r="A7" t="n">
        <v>264394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-104.34157608</v>
      </c>
      <c r="K7" t="inlineStr">
        <is>
          <t>BS2C</t>
        </is>
      </c>
      <c r="L7" t="inlineStr">
        <is>
          <t>RAPEL</t>
        </is>
      </c>
      <c r="M7" t="n">
        <v>0.00148580461033</v>
      </c>
      <c r="N7" t="n">
        <v>0.1550311947894002</v>
      </c>
      <c r="O7" t="n">
        <v>428300.593</v>
      </c>
      <c r="P7" t="n">
        <v>2.69401e-07</v>
      </c>
      <c r="Q7" t="n">
        <v>0.230769</v>
      </c>
      <c r="R7" t="n">
        <v>0.03577639379035509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0.9925</v>
      </c>
      <c r="AD7" t="n">
        <v>65.10899999999999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203.6305719897645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0.9638</v>
      </c>
      <c r="AW7" t="n">
        <v>71.819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202.4427277407765</v>
      </c>
    </row>
    <row r="8">
      <c r="A8" t="n">
        <v>264392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-104.34157608</v>
      </c>
      <c r="K8" t="inlineStr">
        <is>
          <t>BS2C</t>
        </is>
      </c>
      <c r="L8" t="inlineStr">
        <is>
          <t>MELIPILLA</t>
        </is>
      </c>
      <c r="M8" t="n">
        <v>0.0017625750763</v>
      </c>
      <c r="N8" t="n">
        <v>0.1839098614212248</v>
      </c>
      <c r="O8" t="n">
        <v>428300.593</v>
      </c>
      <c r="P8" t="n">
        <v>2.69401e-07</v>
      </c>
      <c r="Q8" t="n">
        <v>0.230769</v>
      </c>
      <c r="R8" t="n">
        <v>0.04244069481031463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1.0179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254.7610717557428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0.9899</v>
      </c>
      <c r="AW8" t="n">
        <v>73.76300000000001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254.2495722578194</v>
      </c>
    </row>
    <row r="9">
      <c r="A9" t="n">
        <v>264388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-104.34157608</v>
      </c>
      <c r="K9" t="inlineStr">
        <is>
          <t>BS2C</t>
        </is>
      </c>
      <c r="L9" t="inlineStr">
        <is>
          <t>CHARRUA</t>
        </is>
      </c>
      <c r="M9" t="n">
        <v>0.0417851838596</v>
      </c>
      <c r="N9" t="n">
        <v>4.359931940721177</v>
      </c>
      <c r="O9" t="n">
        <v>428300.593</v>
      </c>
      <c r="P9" t="n">
        <v>2.69401e-07</v>
      </c>
      <c r="Q9" t="n">
        <v>0.230769</v>
      </c>
      <c r="R9" t="n">
        <v>1.006137134028285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0.9350000000000001</v>
      </c>
      <c r="AD9" t="n">
        <v>61.337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6688.993147190913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0.9312</v>
      </c>
      <c r="AW9" t="n">
        <v>69.389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6797.783133399709</v>
      </c>
    </row>
    <row r="10">
      <c r="A10" t="n">
        <v>264386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-104.34157608</v>
      </c>
      <c r="K10" t="inlineStr">
        <is>
          <t>BS2C</t>
        </is>
      </c>
      <c r="L10" t="inlineStr">
        <is>
          <t>ALTO JAHUEL</t>
        </is>
      </c>
      <c r="M10" t="n">
        <v>0.15931709696461</v>
      </c>
      <c r="N10" t="n">
        <v>16.62339699384598</v>
      </c>
      <c r="O10" t="n">
        <v>428300.593</v>
      </c>
      <c r="P10" t="n">
        <v>2.69401e-07</v>
      </c>
      <c r="Q10" t="n">
        <v>0.230769</v>
      </c>
      <c r="R10" t="n">
        <v>3.836164700872842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0.9827</v>
      </c>
      <c r="AD10" t="n">
        <v>64.46599999999999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23118.32356474237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0.976</v>
      </c>
      <c r="AW10" t="n">
        <v>72.72799999999999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23063.35094096239</v>
      </c>
    </row>
    <row r="11">
      <c r="A11" t="n">
        <v>264390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-104.34157608</v>
      </c>
      <c r="K11" t="inlineStr">
        <is>
          <t>BS2C</t>
        </is>
      </c>
      <c r="L11" t="inlineStr">
        <is>
          <t>ITAHUE</t>
        </is>
      </c>
      <c r="M11" t="n">
        <v>0.4349756748375</v>
      </c>
      <c r="N11" t="n">
        <v>45.38604746919305</v>
      </c>
      <c r="O11" t="n">
        <v>428300.593</v>
      </c>
      <c r="P11" t="n">
        <v>2.69401e-07</v>
      </c>
      <c r="Q11" t="n">
        <v>0.230769</v>
      </c>
      <c r="R11" t="n">
        <v>10.47369278841821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0.9537</v>
      </c>
      <c r="AD11" t="n">
        <v>62.564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64023.66049815381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0.9327</v>
      </c>
      <c r="AW11" t="n">
        <v>69.501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64288.83449954026</v>
      </c>
    </row>
    <row r="12">
      <c r="A12" t="n">
        <v>264384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-35.30153057</v>
      </c>
      <c r="K12" t="inlineStr">
        <is>
          <t>BS2C</t>
        </is>
      </c>
      <c r="L12" t="inlineStr">
        <is>
          <t>RAPEL</t>
        </is>
      </c>
      <c r="M12" t="n">
        <v>0.00084248020759</v>
      </c>
      <c r="N12" t="n">
        <v>0.02974084080205492</v>
      </c>
      <c r="O12" t="n">
        <v>428300.593</v>
      </c>
      <c r="P12" t="n">
        <v>2.69401e-07</v>
      </c>
      <c r="Q12" t="n">
        <v>0.230769</v>
      </c>
      <c r="R12" t="n">
        <v>0.006863264091049413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39.06403761001681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0.9638</v>
      </c>
      <c r="AW12" t="n">
        <v>71.819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38.8361642019922</v>
      </c>
    </row>
    <row r="13">
      <c r="A13" t="n">
        <v>264380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-35.30153057</v>
      </c>
      <c r="K13" t="inlineStr">
        <is>
          <t>BS2C</t>
        </is>
      </c>
      <c r="L13" t="inlineStr">
        <is>
          <t>CHARRUA</t>
        </is>
      </c>
      <c r="M13" t="n">
        <v>0.03950955994142</v>
      </c>
      <c r="N13" t="n">
        <v>1.394747938041608</v>
      </c>
      <c r="O13" t="n">
        <v>428300.593</v>
      </c>
      <c r="P13" t="n">
        <v>2.69401e-07</v>
      </c>
      <c r="Q13" t="n">
        <v>0.230769</v>
      </c>
      <c r="R13" t="n">
        <v>0.3218645869139239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2139.81766836383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2174.619727434319</v>
      </c>
    </row>
    <row r="14">
      <c r="A14" t="n">
        <v>264378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-35.30153057</v>
      </c>
      <c r="K14" t="inlineStr">
        <is>
          <t>BS2C</t>
        </is>
      </c>
      <c r="L14" t="inlineStr">
        <is>
          <t>ALTO JAHUEL</t>
        </is>
      </c>
      <c r="M14" t="n">
        <v>0.26601384014995</v>
      </c>
      <c r="N14" t="n">
        <v>9.390695709842877</v>
      </c>
      <c r="O14" t="n">
        <v>428300.593</v>
      </c>
      <c r="P14" t="n">
        <v>2.69401e-07</v>
      </c>
      <c r="Q14" t="n">
        <v>0.230769</v>
      </c>
      <c r="R14" t="n">
        <v>2.167081458264731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13059.73393997362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13028.67944596854</v>
      </c>
    </row>
    <row r="15">
      <c r="A15" t="n">
        <v>264382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-35.30153057</v>
      </c>
      <c r="K15" t="inlineStr">
        <is>
          <t>BS2C</t>
        </is>
      </c>
      <c r="L15" t="inlineStr">
        <is>
          <t>ITAHUE</t>
        </is>
      </c>
      <c r="M15" t="n">
        <v>0.39737542925016</v>
      </c>
      <c r="N15" t="n">
        <v>14.02796086306245</v>
      </c>
      <c r="O15" t="n">
        <v>428300.593</v>
      </c>
      <c r="P15" t="n">
        <v>2.69401e-07</v>
      </c>
      <c r="Q15" t="n">
        <v>0.230769</v>
      </c>
      <c r="R15" t="n">
        <v>3.237218500408058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0.9537</v>
      </c>
      <c r="AD15" t="n">
        <v>62.564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19788.49126238018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0.9327</v>
      </c>
      <c r="AW15" t="n">
        <v>69.501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19870.45148409536</v>
      </c>
    </row>
    <row r="16">
      <c r="A16" t="n">
        <v>271621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-192.02469614</v>
      </c>
      <c r="K16" t="inlineStr">
        <is>
          <t>BS2C</t>
        </is>
      </c>
      <c r="L16" t="inlineStr">
        <is>
          <t>RAPEL</t>
        </is>
      </c>
      <c r="M16" t="n">
        <v>0.00153682162831</v>
      </c>
      <c r="N16" t="n">
        <v>0.2951077061966014</v>
      </c>
      <c r="O16" t="n">
        <v>428300.593</v>
      </c>
      <c r="P16" t="n">
        <v>2.69401e-07</v>
      </c>
      <c r="Q16" t="n">
        <v>0.230769</v>
      </c>
      <c r="R16" t="n">
        <v>0.0681017102512835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0.9925</v>
      </c>
      <c r="AD16" t="n">
        <v>65.10899999999999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387.6184473262538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0.9638</v>
      </c>
      <c r="AW16" t="n">
        <v>71.819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385.3573411526618</v>
      </c>
    </row>
    <row r="17">
      <c r="A17" t="n">
        <v>271619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-192.02469614</v>
      </c>
      <c r="K17" t="inlineStr">
        <is>
          <t>BS2C</t>
        </is>
      </c>
      <c r="L17" t="inlineStr">
        <is>
          <t>MELIPILLA</t>
        </is>
      </c>
      <c r="M17" t="n">
        <v>0.00168251158023</v>
      </c>
      <c r="N17" t="n">
        <v>0.3230837749445952</v>
      </c>
      <c r="O17" t="n">
        <v>428300.593</v>
      </c>
      <c r="P17" t="n">
        <v>2.69401e-07</v>
      </c>
      <c r="Q17" t="n">
        <v>0.230769</v>
      </c>
      <c r="R17" t="n">
        <v>0.07455771966018929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1.0179</v>
      </c>
      <c r="AD17" t="n">
        <v>66.77500000000001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447.5516871999397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0.9899</v>
      </c>
      <c r="AW17" t="n">
        <v>73.76300000000001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446.6531101068231</v>
      </c>
    </row>
    <row r="18">
      <c r="A18" t="n">
        <v>271615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-192.02469614</v>
      </c>
      <c r="K18" t="inlineStr">
        <is>
          <t>BS2C</t>
        </is>
      </c>
      <c r="L18" t="inlineStr">
        <is>
          <t>CHARRUA</t>
        </is>
      </c>
      <c r="M18" t="n">
        <v>0.04581135434674</v>
      </c>
      <c r="N18" t="n">
        <v>8.796911398164617</v>
      </c>
      <c r="O18" t="n">
        <v>428300.593</v>
      </c>
      <c r="P18" t="n">
        <v>2.69401e-07</v>
      </c>
      <c r="Q18" t="n">
        <v>0.230769</v>
      </c>
      <c r="R18" t="n">
        <v>2.030054446443051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0.9350000000000001</v>
      </c>
      <c r="AD18" t="n">
        <v>61.337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13496.19233942345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0.9312</v>
      </c>
      <c r="AW18" t="n">
        <v>69.389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13715.69481852133</v>
      </c>
    </row>
    <row r="19">
      <c r="A19" t="n">
        <v>271613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-192.02469614</v>
      </c>
      <c r="K19" t="inlineStr">
        <is>
          <t>BS2C</t>
        </is>
      </c>
      <c r="L19" t="inlineStr">
        <is>
          <t>ALTO JAHUEL</t>
        </is>
      </c>
      <c r="M19" t="n">
        <v>0.15011157993331</v>
      </c>
      <c r="N19" t="n">
        <v>28.82513052369087</v>
      </c>
      <c r="O19" t="n">
        <v>428300.593</v>
      </c>
      <c r="P19" t="n">
        <v>2.69401e-07</v>
      </c>
      <c r="Q19" t="n">
        <v>0.230769</v>
      </c>
      <c r="R19" t="n">
        <v>6.65194654582162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40087.39576449483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39992.07270529855</v>
      </c>
    </row>
    <row r="20">
      <c r="A20" t="n">
        <v>271617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-192.02469614</v>
      </c>
      <c r="K20" t="inlineStr">
        <is>
          <t>BS2C</t>
        </is>
      </c>
      <c r="L20" t="inlineStr">
        <is>
          <t>ITAHUE</t>
        </is>
      </c>
      <c r="M20" t="n">
        <v>0.43232641346992</v>
      </c>
      <c r="N20" t="n">
        <v>83.01734817957428</v>
      </c>
      <c r="O20" t="n">
        <v>428300.593</v>
      </c>
      <c r="P20" t="n">
        <v>2.69401e-07</v>
      </c>
      <c r="Q20" t="n">
        <v>0.230769</v>
      </c>
      <c r="R20" t="n">
        <v>19.15783042205218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117108.1160771674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117593.155943576</v>
      </c>
    </row>
    <row r="21">
      <c r="A21" t="n">
        <v>271639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-104.34157608</v>
      </c>
      <c r="K21" t="inlineStr">
        <is>
          <t>BS2C</t>
        </is>
      </c>
      <c r="L21" t="inlineStr">
        <is>
          <t>RAPEL</t>
        </is>
      </c>
      <c r="M21" t="n">
        <v>0.00148580461033</v>
      </c>
      <c r="N21" t="n">
        <v>0.1550311947894002</v>
      </c>
      <c r="O21" t="n">
        <v>428300.593</v>
      </c>
      <c r="P21" t="n">
        <v>2.69401e-07</v>
      </c>
      <c r="Q21" t="n">
        <v>0.230769</v>
      </c>
      <c r="R21" t="n">
        <v>0.03577639379035509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0.9925</v>
      </c>
      <c r="AD21" t="n">
        <v>65.10899999999999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203.6305719897645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0.9638</v>
      </c>
      <c r="AW21" t="n">
        <v>71.819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202.4427277407765</v>
      </c>
    </row>
    <row r="22">
      <c r="A22" t="n">
        <v>271637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-104.34157608</v>
      </c>
      <c r="K22" t="inlineStr">
        <is>
          <t>BS2C</t>
        </is>
      </c>
      <c r="L22" t="inlineStr">
        <is>
          <t>MELIPILLA</t>
        </is>
      </c>
      <c r="M22" t="n">
        <v>0.0017625750763</v>
      </c>
      <c r="N22" t="n">
        <v>0.1839098614212248</v>
      </c>
      <c r="O22" t="n">
        <v>428300.593</v>
      </c>
      <c r="P22" t="n">
        <v>2.69401e-07</v>
      </c>
      <c r="Q22" t="n">
        <v>0.230769</v>
      </c>
      <c r="R22" t="n">
        <v>0.04244069481031462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254.7610717557427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254.2495722578194</v>
      </c>
    </row>
    <row r="23">
      <c r="A23" t="n">
        <v>271633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-104.34157608</v>
      </c>
      <c r="K23" t="inlineStr">
        <is>
          <t>BS2C</t>
        </is>
      </c>
      <c r="L23" t="inlineStr">
        <is>
          <t>CHARRUA</t>
        </is>
      </c>
      <c r="M23" t="n">
        <v>0.0417851838596</v>
      </c>
      <c r="N23" t="n">
        <v>4.359931940721176</v>
      </c>
      <c r="O23" t="n">
        <v>428300.593</v>
      </c>
      <c r="P23" t="n">
        <v>2.69401e-07</v>
      </c>
      <c r="Q23" t="n">
        <v>0.230769</v>
      </c>
      <c r="R23" t="n">
        <v>1.006137134028285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0.9350000000000001</v>
      </c>
      <c r="AD23" t="n">
        <v>61.337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6688.993147190913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0.9312</v>
      </c>
      <c r="AW23" t="n">
        <v>69.389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6797.783133399709</v>
      </c>
    </row>
    <row r="24">
      <c r="A24" t="n">
        <v>271631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-104.34157608</v>
      </c>
      <c r="K24" t="inlineStr">
        <is>
          <t>BS2C</t>
        </is>
      </c>
      <c r="L24" t="inlineStr">
        <is>
          <t>ALTO JAHUEL</t>
        </is>
      </c>
      <c r="M24" t="n">
        <v>0.15931709696461</v>
      </c>
      <c r="N24" t="n">
        <v>16.62339699384597</v>
      </c>
      <c r="O24" t="n">
        <v>428300.593</v>
      </c>
      <c r="P24" t="n">
        <v>2.69401e-07</v>
      </c>
      <c r="Q24" t="n">
        <v>0.230769</v>
      </c>
      <c r="R24" t="n">
        <v>3.836164700872841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23118.32356474236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23063.35094096238</v>
      </c>
    </row>
    <row r="25">
      <c r="A25" t="n">
        <v>271635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-104.34157608</v>
      </c>
      <c r="K25" t="inlineStr">
        <is>
          <t>BS2C</t>
        </is>
      </c>
      <c r="L25" t="inlineStr">
        <is>
          <t>ITAHUE</t>
        </is>
      </c>
      <c r="M25" t="n">
        <v>0.4349756748375</v>
      </c>
      <c r="N25" t="n">
        <v>45.38604746919304</v>
      </c>
      <c r="O25" t="n">
        <v>428300.593</v>
      </c>
      <c r="P25" t="n">
        <v>2.69401e-07</v>
      </c>
      <c r="Q25" t="n">
        <v>0.230769</v>
      </c>
      <c r="R25" t="n">
        <v>10.47369278841821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64023.6604981538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64288.83449954024</v>
      </c>
    </row>
    <row r="26">
      <c r="A26" t="n">
        <v>271629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-35.30153057</v>
      </c>
      <c r="K26" t="inlineStr">
        <is>
          <t>BS2C</t>
        </is>
      </c>
      <c r="L26" t="inlineStr">
        <is>
          <t>RAPEL</t>
        </is>
      </c>
      <c r="M26" t="n">
        <v>0.00084248020759</v>
      </c>
      <c r="N26" t="n">
        <v>0.02974084080205492</v>
      </c>
      <c r="O26" t="n">
        <v>428300.593</v>
      </c>
      <c r="P26" t="n">
        <v>2.69401e-07</v>
      </c>
      <c r="Q26" t="n">
        <v>0.230769</v>
      </c>
      <c r="R26" t="n">
        <v>0.006863264091049412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0.9925</v>
      </c>
      <c r="AD26" t="n">
        <v>65.10899999999999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39.0640376100168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0.9638</v>
      </c>
      <c r="AW26" t="n">
        <v>71.819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38.83616420199219</v>
      </c>
    </row>
    <row r="27">
      <c r="A27" t="n">
        <v>271625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-35.30153057</v>
      </c>
      <c r="K27" t="inlineStr">
        <is>
          <t>BS2C</t>
        </is>
      </c>
      <c r="L27" t="inlineStr">
        <is>
          <t>CHARRUA</t>
        </is>
      </c>
      <c r="M27" t="n">
        <v>0.03950955994142</v>
      </c>
      <c r="N27" t="n">
        <v>1.394747938041608</v>
      </c>
      <c r="O27" t="n">
        <v>428300.593</v>
      </c>
      <c r="P27" t="n">
        <v>2.69401e-07</v>
      </c>
      <c r="Q27" t="n">
        <v>0.230769</v>
      </c>
      <c r="R27" t="n">
        <v>0.3218645869139238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0.9350000000000001</v>
      </c>
      <c r="AD27" t="n">
        <v>61.337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2139.817668363829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0.9312</v>
      </c>
      <c r="AW27" t="n">
        <v>69.389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2174.619727434319</v>
      </c>
    </row>
    <row r="28">
      <c r="A28" t="n">
        <v>271623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-35.30153057</v>
      </c>
      <c r="K28" t="inlineStr">
        <is>
          <t>BS2C</t>
        </is>
      </c>
      <c r="L28" t="inlineStr">
        <is>
          <t>ALTO JAHUEL</t>
        </is>
      </c>
      <c r="M28" t="n">
        <v>0.26601384014995</v>
      </c>
      <c r="N28" t="n">
        <v>9.390695709842875</v>
      </c>
      <c r="O28" t="n">
        <v>428300.593</v>
      </c>
      <c r="P28" t="n">
        <v>2.69401e-07</v>
      </c>
      <c r="Q28" t="n">
        <v>0.230769</v>
      </c>
      <c r="R28" t="n">
        <v>2.167081458264731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13059.73393997361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13028.67944596853</v>
      </c>
    </row>
    <row r="29">
      <c r="A29" t="n">
        <v>271627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-35.30153057</v>
      </c>
      <c r="K29" t="inlineStr">
        <is>
          <t>BS2C</t>
        </is>
      </c>
      <c r="L29" t="inlineStr">
        <is>
          <t>ITAHUE</t>
        </is>
      </c>
      <c r="M29" t="n">
        <v>0.39737542925016</v>
      </c>
      <c r="N29" t="n">
        <v>14.02796086306245</v>
      </c>
      <c r="O29" t="n">
        <v>428300.593</v>
      </c>
      <c r="P29" t="n">
        <v>2.69401e-07</v>
      </c>
      <c r="Q29" t="n">
        <v>0.230769</v>
      </c>
      <c r="R29" t="n">
        <v>3.237218500408058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19788.49126238018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19870.45148409536</v>
      </c>
    </row>
    <row r="30">
      <c r="A30" t="n">
        <v>278866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-192.02469614</v>
      </c>
      <c r="K30" t="inlineStr">
        <is>
          <t>BS2C</t>
        </is>
      </c>
      <c r="L30" t="inlineStr">
        <is>
          <t>RAPEL</t>
        </is>
      </c>
      <c r="M30" t="n">
        <v>0.00153682162831</v>
      </c>
      <c r="N30" t="n">
        <v>0.2951077061966014</v>
      </c>
      <c r="O30" t="n">
        <v>428300.593</v>
      </c>
      <c r="P30" t="n">
        <v>2.69401e-07</v>
      </c>
      <c r="Q30" t="n">
        <v>0.230769</v>
      </c>
      <c r="R30" t="n">
        <v>0.0681017102512835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0.9925</v>
      </c>
      <c r="AD30" t="n">
        <v>65.10899999999999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387.6184473262538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0.9638</v>
      </c>
      <c r="AW30" t="n">
        <v>71.819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385.3573411526618</v>
      </c>
    </row>
    <row r="31">
      <c r="A31" t="n">
        <v>278864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-192.02469614</v>
      </c>
      <c r="K31" t="inlineStr">
        <is>
          <t>BS2C</t>
        </is>
      </c>
      <c r="L31" t="inlineStr">
        <is>
          <t>MELIPILLA</t>
        </is>
      </c>
      <c r="M31" t="n">
        <v>0.00168251158023</v>
      </c>
      <c r="N31" t="n">
        <v>0.3230837749445952</v>
      </c>
      <c r="O31" t="n">
        <v>428300.593</v>
      </c>
      <c r="P31" t="n">
        <v>2.69401e-07</v>
      </c>
      <c r="Q31" t="n">
        <v>0.230769</v>
      </c>
      <c r="R31" t="n">
        <v>0.07455771966018929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1.0179</v>
      </c>
      <c r="AD31" t="n">
        <v>66.77500000000001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447.5516871999397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0.9899</v>
      </c>
      <c r="AW31" t="n">
        <v>73.76300000000001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446.6531101068231</v>
      </c>
    </row>
    <row r="32">
      <c r="A32" t="n">
        <v>278860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-192.02469614</v>
      </c>
      <c r="K32" t="inlineStr">
        <is>
          <t>BS2C</t>
        </is>
      </c>
      <c r="L32" t="inlineStr">
        <is>
          <t>CHARRUA</t>
        </is>
      </c>
      <c r="M32" t="n">
        <v>0.04581135434674</v>
      </c>
      <c r="N32" t="n">
        <v>8.796911398164617</v>
      </c>
      <c r="O32" t="n">
        <v>428300.593</v>
      </c>
      <c r="P32" t="n">
        <v>2.69401e-07</v>
      </c>
      <c r="Q32" t="n">
        <v>0.230769</v>
      </c>
      <c r="R32" t="n">
        <v>2.030054446443051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0.9350000000000001</v>
      </c>
      <c r="AD32" t="n">
        <v>61.337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13496.19233942345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0.9312</v>
      </c>
      <c r="AW32" t="n">
        <v>69.389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13715.69481852133</v>
      </c>
    </row>
    <row r="33">
      <c r="A33" t="n">
        <v>278858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-192.02469614</v>
      </c>
      <c r="K33" t="inlineStr">
        <is>
          <t>BS2C</t>
        </is>
      </c>
      <c r="L33" t="inlineStr">
        <is>
          <t>ALTO JAHUEL</t>
        </is>
      </c>
      <c r="M33" t="n">
        <v>0.15011157993331</v>
      </c>
      <c r="N33" t="n">
        <v>28.82513052369087</v>
      </c>
      <c r="O33" t="n">
        <v>428300.593</v>
      </c>
      <c r="P33" t="n">
        <v>2.69401e-07</v>
      </c>
      <c r="Q33" t="n">
        <v>0.230769</v>
      </c>
      <c r="R33" t="n">
        <v>6.65194654582162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0.9827</v>
      </c>
      <c r="AD33" t="n">
        <v>64.46599999999999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40087.39576449483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0.976</v>
      </c>
      <c r="AW33" t="n">
        <v>72.72799999999999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39992.07270529855</v>
      </c>
    </row>
    <row r="34">
      <c r="A34" t="n">
        <v>278862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-192.02469614</v>
      </c>
      <c r="K34" t="inlineStr">
        <is>
          <t>BS2C</t>
        </is>
      </c>
      <c r="L34" t="inlineStr">
        <is>
          <t>ITAHUE</t>
        </is>
      </c>
      <c r="M34" t="n">
        <v>0.43232641346992</v>
      </c>
      <c r="N34" t="n">
        <v>83.01734817957428</v>
      </c>
      <c r="O34" t="n">
        <v>428300.593</v>
      </c>
      <c r="P34" t="n">
        <v>2.69401e-07</v>
      </c>
      <c r="Q34" t="n">
        <v>0.230769</v>
      </c>
      <c r="R34" t="n">
        <v>19.15783042205218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117108.1160771674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117593.155943576</v>
      </c>
    </row>
    <row r="35">
      <c r="A35" t="n">
        <v>278884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-104.34157608</v>
      </c>
      <c r="K35" t="inlineStr">
        <is>
          <t>BS2C</t>
        </is>
      </c>
      <c r="L35" t="inlineStr">
        <is>
          <t>RAPEL</t>
        </is>
      </c>
      <c r="M35" t="n">
        <v>0.00148580461033</v>
      </c>
      <c r="N35" t="n">
        <v>0.1550311947894002</v>
      </c>
      <c r="O35" t="n">
        <v>428300.593</v>
      </c>
      <c r="P35" t="n">
        <v>2.69401e-07</v>
      </c>
      <c r="Q35" t="n">
        <v>0.230769</v>
      </c>
      <c r="R35" t="n">
        <v>0.03577639379035509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0.9925</v>
      </c>
      <c r="AD35" t="n">
        <v>65.10899999999999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203.6305719897645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0.9638</v>
      </c>
      <c r="AW35" t="n">
        <v>71.819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202.4427277407765</v>
      </c>
    </row>
    <row r="36">
      <c r="A36" t="n">
        <v>278882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-104.34157608</v>
      </c>
      <c r="K36" t="inlineStr">
        <is>
          <t>BS2C</t>
        </is>
      </c>
      <c r="L36" t="inlineStr">
        <is>
          <t>MELIPILLA</t>
        </is>
      </c>
      <c r="M36" t="n">
        <v>0.0017625750763</v>
      </c>
      <c r="N36" t="n">
        <v>0.1839098614212248</v>
      </c>
      <c r="O36" t="n">
        <v>428300.593</v>
      </c>
      <c r="P36" t="n">
        <v>2.69401e-07</v>
      </c>
      <c r="Q36" t="n">
        <v>0.230769</v>
      </c>
      <c r="R36" t="n">
        <v>0.04244069481031462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254.7610717557427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254.2495722578194</v>
      </c>
    </row>
    <row r="37">
      <c r="A37" t="n">
        <v>278878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-104.34157608</v>
      </c>
      <c r="K37" t="inlineStr">
        <is>
          <t>BS2C</t>
        </is>
      </c>
      <c r="L37" t="inlineStr">
        <is>
          <t>CHARRUA</t>
        </is>
      </c>
      <c r="M37" t="n">
        <v>0.0417851838596</v>
      </c>
      <c r="N37" t="n">
        <v>4.359931940721176</v>
      </c>
      <c r="O37" t="n">
        <v>428300.593</v>
      </c>
      <c r="P37" t="n">
        <v>2.69401e-07</v>
      </c>
      <c r="Q37" t="n">
        <v>0.230769</v>
      </c>
      <c r="R37" t="n">
        <v>1.006137134028285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0.9350000000000001</v>
      </c>
      <c r="AD37" t="n">
        <v>61.337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6688.993147190913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0.9312</v>
      </c>
      <c r="AW37" t="n">
        <v>69.389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6797.783133399709</v>
      </c>
    </row>
    <row r="38">
      <c r="A38" t="n">
        <v>278876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-104.34157608</v>
      </c>
      <c r="K38" t="inlineStr">
        <is>
          <t>BS2C</t>
        </is>
      </c>
      <c r="L38" t="inlineStr">
        <is>
          <t>ALTO JAHUEL</t>
        </is>
      </c>
      <c r="M38" t="n">
        <v>0.15931709696461</v>
      </c>
      <c r="N38" t="n">
        <v>16.62339699384597</v>
      </c>
      <c r="O38" t="n">
        <v>428300.593</v>
      </c>
      <c r="P38" t="n">
        <v>2.69401e-07</v>
      </c>
      <c r="Q38" t="n">
        <v>0.230769</v>
      </c>
      <c r="R38" t="n">
        <v>3.836164700872841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23118.32356474236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23063.35094096238</v>
      </c>
    </row>
    <row r="39">
      <c r="A39" t="n">
        <v>278880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-104.34157608</v>
      </c>
      <c r="K39" t="inlineStr">
        <is>
          <t>BS2C</t>
        </is>
      </c>
      <c r="L39" t="inlineStr">
        <is>
          <t>ITAHUE</t>
        </is>
      </c>
      <c r="M39" t="n">
        <v>0.4349756748375</v>
      </c>
      <c r="N39" t="n">
        <v>45.38604746919304</v>
      </c>
      <c r="O39" t="n">
        <v>428300.593</v>
      </c>
      <c r="P39" t="n">
        <v>2.69401e-07</v>
      </c>
      <c r="Q39" t="n">
        <v>0.230769</v>
      </c>
      <c r="R39" t="n">
        <v>10.47369278841821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0.9537</v>
      </c>
      <c r="AD39" t="n">
        <v>62.564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64023.6604981538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0.9327</v>
      </c>
      <c r="AW39" t="n">
        <v>69.501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64288.83449954024</v>
      </c>
    </row>
    <row r="40">
      <c r="A40" t="n">
        <v>278874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-35.30153057</v>
      </c>
      <c r="K40" t="inlineStr">
        <is>
          <t>BS2C</t>
        </is>
      </c>
      <c r="L40" t="inlineStr">
        <is>
          <t>RAPEL</t>
        </is>
      </c>
      <c r="M40" t="n">
        <v>0.00084248020759</v>
      </c>
      <c r="N40" t="n">
        <v>0.02974084080205492</v>
      </c>
      <c r="O40" t="n">
        <v>428300.593</v>
      </c>
      <c r="P40" t="n">
        <v>2.69401e-07</v>
      </c>
      <c r="Q40" t="n">
        <v>0.230769</v>
      </c>
      <c r="R40" t="n">
        <v>0.006863264091049412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0.9925</v>
      </c>
      <c r="AD40" t="n">
        <v>65.10899999999999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39.0640376100168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0.9638</v>
      </c>
      <c r="AW40" t="n">
        <v>71.819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38.83616420199219</v>
      </c>
    </row>
    <row r="41">
      <c r="A41" t="n">
        <v>278870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-35.30153057</v>
      </c>
      <c r="K41" t="inlineStr">
        <is>
          <t>BS2C</t>
        </is>
      </c>
      <c r="L41" t="inlineStr">
        <is>
          <t>CHARRUA</t>
        </is>
      </c>
      <c r="M41" t="n">
        <v>0.03950955994142</v>
      </c>
      <c r="N41" t="n">
        <v>1.394747938041608</v>
      </c>
      <c r="O41" t="n">
        <v>428300.593</v>
      </c>
      <c r="P41" t="n">
        <v>2.69401e-07</v>
      </c>
      <c r="Q41" t="n">
        <v>0.230769</v>
      </c>
      <c r="R41" t="n">
        <v>0.3218645869139238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2139.817668363829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2174.619727434319</v>
      </c>
    </row>
    <row r="42">
      <c r="A42" t="n">
        <v>278868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-35.30153057</v>
      </c>
      <c r="K42" t="inlineStr">
        <is>
          <t>BS2C</t>
        </is>
      </c>
      <c r="L42" t="inlineStr">
        <is>
          <t>ALTO JAHUEL</t>
        </is>
      </c>
      <c r="M42" t="n">
        <v>0.26601384014995</v>
      </c>
      <c r="N42" t="n">
        <v>9.390695709842875</v>
      </c>
      <c r="O42" t="n">
        <v>428300.593</v>
      </c>
      <c r="P42" t="n">
        <v>2.69401e-07</v>
      </c>
      <c r="Q42" t="n">
        <v>0.230769</v>
      </c>
      <c r="R42" t="n">
        <v>2.167081458264731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13059.73393997361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13028.67944596853</v>
      </c>
    </row>
    <row r="43">
      <c r="A43" t="n">
        <v>278872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-35.30153057</v>
      </c>
      <c r="K43" t="inlineStr">
        <is>
          <t>BS2C</t>
        </is>
      </c>
      <c r="L43" t="inlineStr">
        <is>
          <t>ITAHUE</t>
        </is>
      </c>
      <c r="M43" t="n">
        <v>0.39737542925016</v>
      </c>
      <c r="N43" t="n">
        <v>14.02796086306245</v>
      </c>
      <c r="O43" t="n">
        <v>428300.593</v>
      </c>
      <c r="P43" t="n">
        <v>2.69401e-07</v>
      </c>
      <c r="Q43" t="n">
        <v>0.230769</v>
      </c>
      <c r="R43" t="n">
        <v>3.237218500408058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19788.49126238018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19870.45148409536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M2" t="n">
        <v>38157.85024292</v>
      </c>
      <c r="N2" t="inlineStr">
        <is>
          <t>CURICO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CCURQUINBLOQC</t>
        </is>
      </c>
      <c r="J3" t="inlineStr">
        <is>
          <t>QUINTA</t>
        </is>
      </c>
      <c r="M3" t="n">
        <v>10226.78932326</v>
      </c>
      <c r="N3" t="inlineStr">
        <is>
          <t>QUINTA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CCURTENOBLOQC</t>
        </is>
      </c>
      <c r="J4" t="inlineStr">
        <is>
          <t>TENO</t>
        </is>
      </c>
      <c r="M4" t="n">
        <v>9772.610939480001</v>
      </c>
      <c r="N4" t="inlineStr">
        <is>
          <t>TENO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M5" t="n">
        <v>29268.17157222</v>
      </c>
      <c r="N5" t="inlineStr">
        <is>
          <t>CURICO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CCURQUINBLOQC</t>
        </is>
      </c>
      <c r="J6" t="inlineStr">
        <is>
          <t>QUINTA</t>
        </is>
      </c>
      <c r="M6" t="n">
        <v>6962.29826644</v>
      </c>
      <c r="N6" t="inlineStr">
        <is>
          <t>QUINTA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CCURTENOBLOQC</t>
        </is>
      </c>
      <c r="J7" t="inlineStr">
        <is>
          <t>TENO</t>
        </is>
      </c>
      <c r="M7" t="n">
        <v>7035.91305843</v>
      </c>
      <c r="N7" t="inlineStr">
        <is>
          <t>TENO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34763.08923731</v>
      </c>
      <c r="N8" t="inlineStr">
        <is>
          <t>CURICO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7626.05770217</v>
      </c>
      <c r="N9" t="inlineStr">
        <is>
          <t>QUINTA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12188.60392466</v>
      </c>
      <c r="N10" t="inlineStr">
        <is>
          <t>TENO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CCURCURIBLOQC</t>
        </is>
      </c>
      <c r="J11" t="inlineStr">
        <is>
          <t>CURICO</t>
        </is>
      </c>
      <c r="K11" t="n">
        <v>7052.10036448566</v>
      </c>
      <c r="L11" t="n">
        <v>0.230769</v>
      </c>
      <c r="M11" t="n">
        <v>30559.13213857</v>
      </c>
      <c r="N11" t="inlineStr">
        <is>
          <t>CURICO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CCURQUINBLOQC</t>
        </is>
      </c>
      <c r="J12" t="inlineStr">
        <is>
          <t>QUINTA</t>
        </is>
      </c>
      <c r="K12" t="n">
        <v>1486.032362136921</v>
      </c>
      <c r="L12" t="n">
        <v>0.230769</v>
      </c>
      <c r="M12" t="n">
        <v>6439.48000874</v>
      </c>
      <c r="N12" t="inlineStr">
        <is>
          <t>QUINTA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3220.647686546785</v>
      </c>
      <c r="L13" t="n">
        <v>0.230769</v>
      </c>
      <c r="M13" t="n">
        <v>13956.15393119</v>
      </c>
      <c r="N13" t="inlineStr">
        <is>
          <t>TENO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CCURCURIBLOQC</t>
        </is>
      </c>
      <c r="J14" t="inlineStr">
        <is>
          <t>CURICO</t>
        </is>
      </c>
      <c r="K14" t="n">
        <v>8503.321801039696</v>
      </c>
      <c r="L14" t="n">
        <v>0.230769</v>
      </c>
      <c r="M14" t="n">
        <v>36847.76465227</v>
      </c>
      <c r="N14" t="inlineStr">
        <is>
          <t>CURICO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CCURQUINBLOQC</t>
        </is>
      </c>
      <c r="J15" t="inlineStr">
        <is>
          <t>QUINTA</t>
        </is>
      </c>
      <c r="K15" t="n">
        <v>2024.873131382536</v>
      </c>
      <c r="L15" t="n">
        <v>0.230769</v>
      </c>
      <c r="M15" t="n">
        <v>8774.45901045</v>
      </c>
      <c r="N15" t="inlineStr">
        <is>
          <t>QUINTA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CCURTENOBLOQC</t>
        </is>
      </c>
      <c r="J16" t="inlineStr">
        <is>
          <t>TENO</t>
        </is>
      </c>
      <c r="K16" t="n">
        <v>3079.861723409812</v>
      </c>
      <c r="L16" t="n">
        <v>0.230769</v>
      </c>
      <c r="M16" t="n">
        <v>13346.08081419</v>
      </c>
      <c r="N16" t="inlineStr">
        <is>
          <t>TENO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10637.0610609283</v>
      </c>
      <c r="L17" t="n">
        <v>0.230769</v>
      </c>
      <c r="M17" t="n">
        <v>46093.977358</v>
      </c>
      <c r="N17" t="inlineStr">
        <is>
          <t>CURICO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K18" t="n">
        <v>2857.651833798386</v>
      </c>
      <c r="L18" t="n">
        <v>0.230769</v>
      </c>
      <c r="M18" t="n">
        <v>12383.17032963</v>
      </c>
      <c r="N18" t="inlineStr">
        <is>
          <t>QUINTA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K19" t="n">
        <v>3048.312070579496</v>
      </c>
      <c r="L19" t="n">
        <v>0.230769</v>
      </c>
      <c r="M19" t="n">
        <v>13209.36551521</v>
      </c>
      <c r="N19" t="inlineStr">
        <is>
          <t>TENO</t>
        </is>
      </c>
      <c r="O19" t="inlineStr">
        <is>
          <t>BS2C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2022-04-25T17:54:10Z</dcterms:created>
  <dcterms:modified xmlns:dcterms="http://purl.org/dc/terms/" xmlns:xsi="http://www.w3.org/2001/XMLSchema-instance" xsi:type="dcterms:W3CDTF">2022-04-25T17:54:10Z</dcterms:modified>
</cp:coreProperties>
</file>