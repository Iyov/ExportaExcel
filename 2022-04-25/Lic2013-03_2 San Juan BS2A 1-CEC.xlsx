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00000000"/>
      </left>
      <right style="thick">
        <color rgb="00000000"/>
      </right>
      <top style="thick">
        <color rgb="00000000"/>
      </top>
      <bottom style="thick">
        <color rgb="00000000"/>
      </bottom>
      <diagonal/>
    </border>
  </borders>
  <cellStyleXfs count="3">
    <xf numFmtId="0" fontId="0" fillId="0" borderId="0"/>
    <xf numFmtId="0" fontId="2" fillId="0" borderId="0" applyAlignment="1" applyProtection="1">
      <alignment vertical="top"/>
      <protection locked="0" hidden="0"/>
    </xf>
    <xf numFmtId="0" fontId="3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0" borderId="2" pivotButton="0" quotePrefix="0" xfId="2"/>
    <xf numFmtId="165" fontId="0" fillId="0" borderId="0" pivotButton="0" quotePrefix="0" xfId="0"/>
  </cellXfs>
  <cellStyles count="3">
    <cellStyle name="Normal" xfId="0" builtinId="0"/>
    <cellStyle name="Hyperlink" xfId="1" builtinId="8"/>
    <cellStyle name="highlight" xfId="2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4">
        <f>0 / 0</f>
        <v/>
      </c>
      <c r="B1" s="4">
        <f>0 / 1</f>
        <v/>
      </c>
      <c r="C1" s="4">
        <f>0 / 2</f>
        <v/>
      </c>
      <c r="D1" s="4">
        <f>0 / 3</f>
        <v/>
      </c>
      <c r="E1" s="4">
        <f>0 / 4</f>
        <v/>
      </c>
      <c r="F1" s="4">
        <f>0 / 5</f>
        <v/>
      </c>
      <c r="G1" s="4">
        <f>0 / 6</f>
        <v/>
      </c>
      <c r="H1" s="4">
        <f>0 / 7</f>
        <v/>
      </c>
      <c r="I1" s="4">
        <f>0 / 8</f>
        <v/>
      </c>
      <c r="J1" s="4">
        <f>0 / 9</f>
        <v/>
      </c>
      <c r="K1" s="4">
        <f>0 / 10</f>
        <v/>
      </c>
      <c r="L1" s="4">
        <f>0 / 11</f>
        <v/>
      </c>
      <c r="M1" s="4">
        <f>0 / 12</f>
        <v/>
      </c>
      <c r="N1" s="4">
        <f>0 / 13</f>
        <v/>
      </c>
      <c r="O1" s="4">
        <f>0 / 14</f>
        <v/>
      </c>
      <c r="P1" s="4">
        <f>0 / 15</f>
        <v/>
      </c>
      <c r="Q1" s="4">
        <f>0 / 16</f>
        <v/>
      </c>
      <c r="R1" s="4">
        <f>0 / 17</f>
        <v/>
      </c>
      <c r="S1" s="4">
        <f>0 / 18</f>
        <v/>
      </c>
      <c r="T1" s="4">
        <f>0 / 19</f>
        <v/>
      </c>
      <c r="U1" s="4">
        <f>0 / 20</f>
        <v/>
      </c>
      <c r="V1" s="4">
        <f>0 / 21</f>
        <v/>
      </c>
      <c r="W1" s="4">
        <f>0 / 22</f>
        <v/>
      </c>
      <c r="X1" s="4">
        <f>0 / 23</f>
        <v/>
      </c>
      <c r="Y1" s="4">
        <f>0 / 24</f>
        <v/>
      </c>
      <c r="Z1" s="4">
        <f>0 / 25</f>
        <v/>
      </c>
      <c r="AA1" s="4">
        <f>0 / 26</f>
        <v/>
      </c>
      <c r="AB1" s="4">
        <f>0 / 27</f>
        <v/>
      </c>
      <c r="AC1" s="4">
        <f>0 / 28</f>
        <v/>
      </c>
      <c r="AD1" s="4">
        <f>0 / 29</f>
        <v/>
      </c>
      <c r="AE1" s="4">
        <f>0 / 30</f>
        <v/>
      </c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5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0.0648</v>
      </c>
      <c r="Z9" s="2" t="n">
        <v>44160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5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0.0648</v>
      </c>
      <c r="Z10" s="2" t="n">
        <v>44190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5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0.0648</v>
      </c>
      <c r="Z11" s="2" t="n">
        <v>44221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5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0.0648</v>
      </c>
      <c r="Z12" s="2" t="n">
        <v>44252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5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0.0648</v>
      </c>
      <c r="Z13" s="2" t="n">
        <v>44280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5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0.0648</v>
      </c>
      <c r="Z14" s="2" t="n">
        <v>44311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5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Cec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2020-11-06 19:47:10</t>
        </is>
      </c>
      <c r="H2" t="n">
        <v>33</v>
      </c>
      <c r="I2" t="n">
        <v>15439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Cec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2020-11-06 19:47:10</t>
        </is>
      </c>
      <c r="H3" t="n">
        <v>33</v>
      </c>
      <c r="I3" t="n">
        <v>15439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18230.56</v>
      </c>
      <c r="T3" t="n">
        <v>1326510</v>
      </c>
      <c r="W3" t="n">
        <v>72.76300000000001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Cec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2020-11-06 19:47:10</t>
        </is>
      </c>
      <c r="H4" t="n">
        <v>33</v>
      </c>
      <c r="I4" t="n">
        <v>15439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6135.33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Cec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2020-11-06 19:47:10</t>
        </is>
      </c>
      <c r="H5" t="n">
        <v>33</v>
      </c>
      <c r="I5" t="n">
        <v>15439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79.411571</v>
      </c>
      <c r="T5" t="n">
        <v>5861</v>
      </c>
      <c r="W5" t="n">
        <v>73.8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Cec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2020-11-06 19:47:10</t>
        </is>
      </c>
      <c r="H6" t="n">
        <v>33</v>
      </c>
      <c r="I6" t="n">
        <v>15439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5857.6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Cec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2020-11-06 19:47:10</t>
        </is>
      </c>
      <c r="H7" t="n">
        <v>33</v>
      </c>
      <c r="I7" t="n">
        <v>15439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2695.469909</v>
      </c>
      <c r="T7" t="n">
        <v>187128</v>
      </c>
      <c r="W7" t="n">
        <v>69.423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Cec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2020-11-06 19:47:10</t>
        </is>
      </c>
      <c r="H8" t="n">
        <v>33</v>
      </c>
      <c r="I8" t="n">
        <v>15439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5984.39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Cec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2020-11-06 19:47:10</t>
        </is>
      </c>
      <c r="H9" t="n">
        <v>33</v>
      </c>
      <c r="I9" t="n">
        <v>15439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23046.248702</v>
      </c>
      <c r="T9" t="n">
        <v>1602521</v>
      </c>
      <c r="W9" t="n">
        <v>69.535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Cec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2020-11-06 19:47:10</t>
        </is>
      </c>
      <c r="H10" t="n">
        <v>33</v>
      </c>
      <c r="I10" t="n">
        <v>15439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5746.51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Cec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2020-11-06 19:47:10</t>
        </is>
      </c>
      <c r="H11" t="n">
        <v>33</v>
      </c>
      <c r="I11" t="n">
        <v>15439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95.14512999999999</v>
      </c>
      <c r="T11" t="n">
        <v>6837</v>
      </c>
      <c r="W11" t="n">
        <v>71.854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Cec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2020-12-04 16:22:38</t>
        </is>
      </c>
      <c r="H12" t="n">
        <v>33</v>
      </c>
      <c r="I12" t="n">
        <v>16398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6059.26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Cec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2020-12-04 16:22:38</t>
        </is>
      </c>
      <c r="H13" t="n">
        <v>33</v>
      </c>
      <c r="I13" t="n">
        <v>16398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21276.416589</v>
      </c>
      <c r="T13" t="n">
        <v>1548136</v>
      </c>
      <c r="W13" t="n">
        <v>72.76300000000001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Cec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2020-12-04 16:22:38</t>
        </is>
      </c>
      <c r="H14" t="n">
        <v>33</v>
      </c>
      <c r="I14" t="n">
        <v>16398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</v>
      </c>
      <c r="V14" t="n">
        <v>0</v>
      </c>
      <c r="W14" t="n">
        <v>6135.33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Cec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2020-12-04 16:22:38</t>
        </is>
      </c>
      <c r="H15" t="n">
        <v>33</v>
      </c>
      <c r="I15" t="n">
        <v>16398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89.365117</v>
      </c>
      <c r="T15" t="n">
        <v>6595</v>
      </c>
      <c r="W15" t="n">
        <v>73.8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Cec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2020-12-04 16:22:38</t>
        </is>
      </c>
      <c r="H16" t="n">
        <v>33</v>
      </c>
      <c r="I16" t="n">
        <v>16398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5857.6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Cec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2020-12-04 16:22:38</t>
        </is>
      </c>
      <c r="H17" t="n">
        <v>33</v>
      </c>
      <c r="I17" t="n">
        <v>16398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3208.046139</v>
      </c>
      <c r="T17" t="n">
        <v>222712</v>
      </c>
      <c r="W17" t="n">
        <v>69.423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Cec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2020</t>
        </is>
      </c>
      <c r="G18" t="inlineStr">
        <is>
          <t>2020-12-04 16:22:38</t>
        </is>
      </c>
      <c r="H18" t="n">
        <v>33</v>
      </c>
      <c r="I18" t="n">
        <v>16398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5984.39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Cec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2020</t>
        </is>
      </c>
      <c r="G19" t="inlineStr">
        <is>
          <t>2020-12-04 16:22:38</t>
        </is>
      </c>
      <c r="H19" t="n">
        <v>33</v>
      </c>
      <c r="I19" t="n">
        <v>16398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26768.590515</v>
      </c>
      <c r="T19" t="n">
        <v>1861354</v>
      </c>
      <c r="W19" t="n">
        <v>69.535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Cec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2020-12-04 16:22:38</t>
        </is>
      </c>
      <c r="H20" t="n">
        <v>33</v>
      </c>
      <c r="I20" t="n">
        <v>16398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</v>
      </c>
      <c r="V20" t="n">
        <v>0</v>
      </c>
      <c r="W20" t="n">
        <v>5746.51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Cec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2020-12-04 16:22:38</t>
        </is>
      </c>
      <c r="H21" t="n">
        <v>33</v>
      </c>
      <c r="I21" t="n">
        <v>16398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109.993162</v>
      </c>
      <c r="T21" t="n">
        <v>7903</v>
      </c>
      <c r="W21" t="n">
        <v>71.854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Cec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2021-01-07 17:06:30</t>
        </is>
      </c>
      <c r="H22" t="n">
        <v>33</v>
      </c>
      <c r="I22" t="n">
        <v>16766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6059.26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Cec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2021-01-07 17:06:30</t>
        </is>
      </c>
      <c r="H23" t="n">
        <v>33</v>
      </c>
      <c r="I23" t="n">
        <v>16766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27412.591793</v>
      </c>
      <c r="T23" t="n">
        <v>1994622</v>
      </c>
      <c r="W23" t="n">
        <v>72.76300000000001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Cec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2021-01-07 17:06:30</t>
        </is>
      </c>
      <c r="H24" t="n">
        <v>33</v>
      </c>
      <c r="I24" t="n">
        <v>16766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6135.33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Cec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2021-01-07 17:06:30</t>
        </is>
      </c>
      <c r="H25" t="n">
        <v>33</v>
      </c>
      <c r="I25" t="n">
        <v>16766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111.385541</v>
      </c>
      <c r="T25" t="n">
        <v>8220</v>
      </c>
      <c r="W25" t="n">
        <v>73.8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Cec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2020</t>
        </is>
      </c>
      <c r="G26" t="inlineStr">
        <is>
          <t>2021-01-07 17:06:30</t>
        </is>
      </c>
      <c r="H26" t="n">
        <v>33</v>
      </c>
      <c r="I26" t="n">
        <v>16766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5857.6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Cec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2020</t>
        </is>
      </c>
      <c r="G27" t="inlineStr">
        <is>
          <t>2021-01-07 17:06:30</t>
        </is>
      </c>
      <c r="H27" t="n">
        <v>33</v>
      </c>
      <c r="I27" t="n">
        <v>16766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4163.1976</v>
      </c>
      <c r="T27" t="n">
        <v>289022</v>
      </c>
      <c r="W27" t="n">
        <v>69.423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Cec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2020</t>
        </is>
      </c>
      <c r="G28" t="inlineStr">
        <is>
          <t>2021-01-07 17:06:30</t>
        </is>
      </c>
      <c r="H28" t="n">
        <v>33</v>
      </c>
      <c r="I28" t="n">
        <v>16766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5984.39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Cec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2020</t>
        </is>
      </c>
      <c r="G29" t="inlineStr">
        <is>
          <t>2021-01-07 17:06:30</t>
        </is>
      </c>
      <c r="H29" t="n">
        <v>33</v>
      </c>
      <c r="I29" t="n">
        <v>16766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34307.345161</v>
      </c>
      <c r="T29" t="n">
        <v>2385561</v>
      </c>
      <c r="W29" t="n">
        <v>69.535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Cec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2020</t>
        </is>
      </c>
      <c r="G30" t="inlineStr">
        <is>
          <t>2021-01-07 17:06:30</t>
        </is>
      </c>
      <c r="H30" t="n">
        <v>33</v>
      </c>
      <c r="I30" t="n">
        <v>16766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5746.51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Cec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2020</t>
        </is>
      </c>
      <c r="G31" t="inlineStr">
        <is>
          <t>2021-01-07 17:06:30</t>
        </is>
      </c>
      <c r="H31" t="n">
        <v>33</v>
      </c>
      <c r="I31" t="n">
        <v>16766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140.142677</v>
      </c>
      <c r="T31" t="n">
        <v>10070</v>
      </c>
      <c r="W31" t="n">
        <v>71.854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Cec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2021-02-09 11:19:03</t>
        </is>
      </c>
      <c r="H32" t="n">
        <v>33</v>
      </c>
      <c r="I32" t="n">
        <v>17142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Cec</t>
        </is>
      </c>
      <c r="O32" t="inlineStr">
        <is>
          <t>2013/03-2</t>
        </is>
      </c>
      <c r="P32" t="inlineStr">
        <is>
          <t>CEC</t>
        </is>
      </c>
      <c r="Q32" t="n">
        <v>1</v>
      </c>
      <c r="R32" t="inlineStr">
        <is>
          <t>A.JAHUEL 220</t>
        </is>
      </c>
      <c r="U32" t="n">
        <v>0</v>
      </c>
      <c r="V32" t="n">
        <v>0</v>
      </c>
      <c r="W32" t="n">
        <v>5914.42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Cec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2021-02-09 11:19:03</t>
        </is>
      </c>
      <c r="H33" t="n">
        <v>33</v>
      </c>
      <c r="I33" t="n">
        <v>17142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Cec</t>
        </is>
      </c>
      <c r="O33" t="inlineStr">
        <is>
          <t>2013/03-2</t>
        </is>
      </c>
      <c r="P33" t="inlineStr">
        <is>
          <t>CEC</t>
        </is>
      </c>
      <c r="Q33" t="n">
        <v>1</v>
      </c>
      <c r="R33" t="inlineStr">
        <is>
          <t>A.JAHUEL 220</t>
        </is>
      </c>
      <c r="S33" t="n">
        <v>22217.747737</v>
      </c>
      <c r="T33" t="n">
        <v>1714366</v>
      </c>
      <c r="W33" t="n">
        <v>77.16200000000001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Cec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ene 2021</t>
        </is>
      </c>
      <c r="G34" t="inlineStr">
        <is>
          <t>2021-02-09 11:19:03</t>
        </is>
      </c>
      <c r="H34" t="n">
        <v>33</v>
      </c>
      <c r="I34" t="n">
        <v>17142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Cec</t>
        </is>
      </c>
      <c r="O34" t="inlineStr">
        <is>
          <t>2013/03-2</t>
        </is>
      </c>
      <c r="P34" t="inlineStr">
        <is>
          <t>CEC</t>
        </is>
      </c>
      <c r="Q34" t="n">
        <v>2</v>
      </c>
      <c r="R34" t="inlineStr">
        <is>
          <t>A.MELIP 220</t>
        </is>
      </c>
      <c r="U34" t="n">
        <v>0</v>
      </c>
      <c r="V34" t="n">
        <v>0</v>
      </c>
      <c r="W34" t="n">
        <v>6007.37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Cec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ene 2021</t>
        </is>
      </c>
      <c r="G35" t="inlineStr">
        <is>
          <t>2021-02-09 11:19:03</t>
        </is>
      </c>
      <c r="H35" t="n">
        <v>33</v>
      </c>
      <c r="I35" t="n">
        <v>17142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Cec</t>
        </is>
      </c>
      <c r="O35" t="inlineStr">
        <is>
          <t>2013/03-2</t>
        </is>
      </c>
      <c r="P35" t="inlineStr">
        <is>
          <t>CEC</t>
        </is>
      </c>
      <c r="Q35" t="n">
        <v>2</v>
      </c>
      <c r="R35" t="inlineStr">
        <is>
          <t>A.MELIP 220</t>
        </is>
      </c>
      <c r="S35" t="n">
        <v>72.195624</v>
      </c>
      <c r="T35" t="n">
        <v>5676</v>
      </c>
      <c r="W35" t="n">
        <v>78.626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Cec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ene 2021</t>
        </is>
      </c>
      <c r="G36" t="inlineStr">
        <is>
          <t>2021-02-09 11:19:03</t>
        </is>
      </c>
      <c r="H36" t="n">
        <v>33</v>
      </c>
      <c r="I36" t="n">
        <v>17142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Cec</t>
        </is>
      </c>
      <c r="O36" t="inlineStr">
        <is>
          <t>2013/03-2</t>
        </is>
      </c>
      <c r="P36" t="inlineStr">
        <is>
          <t>CEC</t>
        </is>
      </c>
      <c r="Q36" t="n">
        <v>3</v>
      </c>
      <c r="R36" t="inlineStr">
        <is>
          <t>CHARRUA 220</t>
        </is>
      </c>
      <c r="U36" t="n">
        <v>0</v>
      </c>
      <c r="V36" t="n">
        <v>0</v>
      </c>
      <c r="W36" t="n">
        <v>5302.48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Cec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ene 2021</t>
        </is>
      </c>
      <c r="G37" t="inlineStr">
        <is>
          <t>2021-02-09 11:19:03</t>
        </is>
      </c>
      <c r="H37" t="n">
        <v>33</v>
      </c>
      <c r="I37" t="n">
        <v>17142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Cec</t>
        </is>
      </c>
      <c r="O37" t="inlineStr">
        <is>
          <t>2013/03-2</t>
        </is>
      </c>
      <c r="P37" t="inlineStr">
        <is>
          <t>CEC</t>
        </is>
      </c>
      <c r="Q37" t="n">
        <v>3</v>
      </c>
      <c r="R37" t="inlineStr">
        <is>
          <t>CHARRUA 220</t>
        </is>
      </c>
      <c r="S37" t="n">
        <v>2402.760978</v>
      </c>
      <c r="T37" t="n">
        <v>171031</v>
      </c>
      <c r="W37" t="n">
        <v>71.181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Cec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2021</t>
        </is>
      </c>
      <c r="G38" t="inlineStr">
        <is>
          <t>2021-02-09 11:19:03</t>
        </is>
      </c>
      <c r="H38" t="n">
        <v>33</v>
      </c>
      <c r="I38" t="n">
        <v>17142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Cec</t>
        </is>
      </c>
      <c r="O38" t="inlineStr">
        <is>
          <t>2013/03-2</t>
        </is>
      </c>
      <c r="P38" t="inlineStr">
        <is>
          <t>CEC</t>
        </is>
      </c>
      <c r="Q38" t="n">
        <v>4</v>
      </c>
      <c r="R38" t="inlineStr">
        <is>
          <t>ITAHUE 220</t>
        </is>
      </c>
      <c r="U38" t="n">
        <v>0</v>
      </c>
      <c r="V38" t="n">
        <v>0</v>
      </c>
      <c r="W38" t="n">
        <v>5512.82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Cec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2021</t>
        </is>
      </c>
      <c r="G39" t="inlineStr">
        <is>
          <t>2021-02-09 11:19:03</t>
        </is>
      </c>
      <c r="H39" t="n">
        <v>33</v>
      </c>
      <c r="I39" t="n">
        <v>17142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Cec</t>
        </is>
      </c>
      <c r="O39" t="inlineStr">
        <is>
          <t>2013/03-2</t>
        </is>
      </c>
      <c r="P39" t="inlineStr">
        <is>
          <t>CEC</t>
        </is>
      </c>
      <c r="Q39" t="n">
        <v>4</v>
      </c>
      <c r="R39" t="inlineStr">
        <is>
          <t>ITAHUE 220</t>
        </is>
      </c>
      <c r="S39" t="n">
        <v>27471.493813</v>
      </c>
      <c r="T39" t="n">
        <v>1995667</v>
      </c>
      <c r="W39" t="n">
        <v>72.645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Cec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ene 2021</t>
        </is>
      </c>
      <c r="G40" t="inlineStr">
        <is>
          <t>2021-02-09 11:19:03</t>
        </is>
      </c>
      <c r="H40" t="n">
        <v>33</v>
      </c>
      <c r="I40" t="n">
        <v>17142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Cec</t>
        </is>
      </c>
      <c r="O40" t="inlineStr">
        <is>
          <t>2013/03-2</t>
        </is>
      </c>
      <c r="P40" t="inlineStr">
        <is>
          <t>CEC</t>
        </is>
      </c>
      <c r="Q40" t="n">
        <v>5</v>
      </c>
      <c r="R40" t="inlineStr">
        <is>
          <t>RAPEL 220</t>
        </is>
      </c>
      <c r="U40" t="n">
        <v>0</v>
      </c>
      <c r="V40" t="n">
        <v>0</v>
      </c>
      <c r="W40" t="n">
        <v>5963.28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Cec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ene 2021</t>
        </is>
      </c>
      <c r="G41" t="inlineStr">
        <is>
          <t>2021-02-09 11:19:03</t>
        </is>
      </c>
      <c r="H41" t="n">
        <v>33</v>
      </c>
      <c r="I41" t="n">
        <v>17142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Cec</t>
        </is>
      </c>
      <c r="O41" t="inlineStr">
        <is>
          <t>2013/03-2</t>
        </is>
      </c>
      <c r="P41" t="inlineStr">
        <is>
          <t>CEC</t>
        </is>
      </c>
      <c r="Q41" t="n">
        <v>5</v>
      </c>
      <c r="R41" t="inlineStr">
        <is>
          <t>RAPEL 220</t>
        </is>
      </c>
      <c r="S41" t="n">
        <v>79.437037</v>
      </c>
      <c r="T41" t="n">
        <v>6231</v>
      </c>
      <c r="W41" t="n">
        <v>78.444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Cec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feb 2021</t>
        </is>
      </c>
      <c r="G42" t="inlineStr">
        <is>
          <t>2021-03-04 19:55:02</t>
        </is>
      </c>
      <c r="H42" t="n">
        <v>33</v>
      </c>
      <c r="I42" t="n">
        <v>17675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Cec</t>
        </is>
      </c>
      <c r="O42" t="inlineStr">
        <is>
          <t>2013/03-2</t>
        </is>
      </c>
      <c r="P42" t="inlineStr">
        <is>
          <t>CEC</t>
        </is>
      </c>
      <c r="Q42" t="n">
        <v>1</v>
      </c>
      <c r="R42" t="inlineStr">
        <is>
          <t>A.JAHUEL 220</t>
        </is>
      </c>
      <c r="U42" t="n">
        <v>0</v>
      </c>
      <c r="V42" t="n">
        <v>0</v>
      </c>
      <c r="W42" t="n">
        <v>5914.42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Cec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feb 2021</t>
        </is>
      </c>
      <c r="G43" t="inlineStr">
        <is>
          <t>2021-03-04 19:55:02</t>
        </is>
      </c>
      <c r="H43" t="n">
        <v>33</v>
      </c>
      <c r="I43" t="n">
        <v>17675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Cec</t>
        </is>
      </c>
      <c r="O43" t="inlineStr">
        <is>
          <t>2013/03-2</t>
        </is>
      </c>
      <c r="P43" t="inlineStr">
        <is>
          <t>CEC</t>
        </is>
      </c>
      <c r="Q43" t="n">
        <v>1</v>
      </c>
      <c r="R43" t="inlineStr">
        <is>
          <t>A.JAHUEL 220</t>
        </is>
      </c>
      <c r="S43" t="n">
        <v>16122.982006</v>
      </c>
      <c r="T43" t="n">
        <v>1244082</v>
      </c>
      <c r="W43" t="n">
        <v>77.16200000000001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Cec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feb 2021</t>
        </is>
      </c>
      <c r="G44" t="inlineStr">
        <is>
          <t>2021-03-04 19:55:02</t>
        </is>
      </c>
      <c r="H44" t="n">
        <v>33</v>
      </c>
      <c r="I44" t="n">
        <v>17675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Cec</t>
        </is>
      </c>
      <c r="O44" t="inlineStr">
        <is>
          <t>2013/03-2</t>
        </is>
      </c>
      <c r="P44" t="inlineStr">
        <is>
          <t>CEC</t>
        </is>
      </c>
      <c r="Q44" t="n">
        <v>2</v>
      </c>
      <c r="R44" t="inlineStr">
        <is>
          <t>A.MELIP 220</t>
        </is>
      </c>
      <c r="U44" t="n">
        <v>0</v>
      </c>
      <c r="V44" t="n">
        <v>0</v>
      </c>
      <c r="W44" t="n">
        <v>6007.37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Cec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feb 2021</t>
        </is>
      </c>
      <c r="G45" t="inlineStr">
        <is>
          <t>2021-03-04 19:55:02</t>
        </is>
      </c>
      <c r="H45" t="n">
        <v>33</v>
      </c>
      <c r="I45" t="n">
        <v>17675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Cec</t>
        </is>
      </c>
      <c r="O45" t="inlineStr">
        <is>
          <t>2013/03-2</t>
        </is>
      </c>
      <c r="P45" t="inlineStr">
        <is>
          <t>CEC</t>
        </is>
      </c>
      <c r="Q45" t="n">
        <v>2</v>
      </c>
      <c r="R45" t="inlineStr">
        <is>
          <t>A.MELIP 220</t>
        </is>
      </c>
      <c r="S45" t="n">
        <v>54.254277</v>
      </c>
      <c r="T45" t="n">
        <v>4266</v>
      </c>
      <c r="W45" t="n">
        <v>78.626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Cec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feb 2021</t>
        </is>
      </c>
      <c r="G46" t="inlineStr">
        <is>
          <t>2021-03-04 19:55:02</t>
        </is>
      </c>
      <c r="H46" t="n">
        <v>33</v>
      </c>
      <c r="I46" t="n">
        <v>17675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Cec</t>
        </is>
      </c>
      <c r="O46" t="inlineStr">
        <is>
          <t>2013/03-2</t>
        </is>
      </c>
      <c r="P46" t="inlineStr">
        <is>
          <t>CEC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5302.48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Cec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feb 2021</t>
        </is>
      </c>
      <c r="G47" t="inlineStr">
        <is>
          <t>2021-03-04 19:55:02</t>
        </is>
      </c>
      <c r="H47" t="n">
        <v>33</v>
      </c>
      <c r="I47" t="n">
        <v>17675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Cec</t>
        </is>
      </c>
      <c r="O47" t="inlineStr">
        <is>
          <t>2013/03-2</t>
        </is>
      </c>
      <c r="P47" t="inlineStr">
        <is>
          <t>CEC</t>
        </is>
      </c>
      <c r="Q47" t="n">
        <v>3</v>
      </c>
      <c r="R47" t="inlineStr">
        <is>
          <t>CHARRUA 220</t>
        </is>
      </c>
      <c r="S47" t="n">
        <v>1758.318851</v>
      </c>
      <c r="T47" t="n">
        <v>125159</v>
      </c>
      <c r="W47" t="n">
        <v>71.181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Cec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feb 2021</t>
        </is>
      </c>
      <c r="G48" t="inlineStr">
        <is>
          <t>2021-03-04 19:55:02</t>
        </is>
      </c>
      <c r="H48" t="n">
        <v>33</v>
      </c>
      <c r="I48" t="n">
        <v>17675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Cec</t>
        </is>
      </c>
      <c r="O48" t="inlineStr">
        <is>
          <t>2013/03-2</t>
        </is>
      </c>
      <c r="P48" t="inlineStr">
        <is>
          <t>CEC</t>
        </is>
      </c>
      <c r="Q48" t="n">
        <v>4</v>
      </c>
      <c r="R48" t="inlineStr">
        <is>
          <t>ITAHUE 220</t>
        </is>
      </c>
      <c r="U48" t="n">
        <v>0</v>
      </c>
      <c r="V48" t="n">
        <v>0</v>
      </c>
      <c r="W48" t="n">
        <v>5512.82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Cec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feb 2021</t>
        </is>
      </c>
      <c r="G49" t="inlineStr">
        <is>
          <t>2021-03-04 19:55:02</t>
        </is>
      </c>
      <c r="H49" t="n">
        <v>33</v>
      </c>
      <c r="I49" t="n">
        <v>17675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Cec</t>
        </is>
      </c>
      <c r="O49" t="inlineStr">
        <is>
          <t>2013/03-2</t>
        </is>
      </c>
      <c r="P49" t="inlineStr">
        <is>
          <t>CEC</t>
        </is>
      </c>
      <c r="Q49" t="n">
        <v>4</v>
      </c>
      <c r="R49" t="inlineStr">
        <is>
          <t>ITAHUE 220</t>
        </is>
      </c>
      <c r="S49" t="n">
        <v>20062.480978</v>
      </c>
      <c r="T49" t="n">
        <v>1457439</v>
      </c>
      <c r="W49" t="n">
        <v>72.645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Cec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2021</t>
        </is>
      </c>
      <c r="G50" t="inlineStr">
        <is>
          <t>2021-03-04 19:55:02</t>
        </is>
      </c>
      <c r="H50" t="n">
        <v>33</v>
      </c>
      <c r="I50" t="n">
        <v>17675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Cec</t>
        </is>
      </c>
      <c r="O50" t="inlineStr">
        <is>
          <t>2013/03-2</t>
        </is>
      </c>
      <c r="P50" t="inlineStr">
        <is>
          <t>CEC</t>
        </is>
      </c>
      <c r="Q50" t="n">
        <v>5</v>
      </c>
      <c r="R50" t="inlineStr">
        <is>
          <t>RAPEL 220</t>
        </is>
      </c>
      <c r="U50" t="n">
        <v>0</v>
      </c>
      <c r="V50" t="n">
        <v>0</v>
      </c>
      <c r="W50" t="n">
        <v>5963.28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Cec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2021</t>
        </is>
      </c>
      <c r="G51" t="inlineStr">
        <is>
          <t>2021-03-04 19:55:02</t>
        </is>
      </c>
      <c r="H51" t="n">
        <v>33</v>
      </c>
      <c r="I51" t="n">
        <v>17675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Cec</t>
        </is>
      </c>
      <c r="O51" t="inlineStr">
        <is>
          <t>2013/03-2</t>
        </is>
      </c>
      <c r="P51" t="inlineStr">
        <is>
          <t>CEC</t>
        </is>
      </c>
      <c r="Q51" t="n">
        <v>5</v>
      </c>
      <c r="R51" t="inlineStr">
        <is>
          <t>RAPEL 220</t>
        </is>
      </c>
      <c r="S51" t="n">
        <v>58.755901</v>
      </c>
      <c r="T51" t="n">
        <v>4609</v>
      </c>
      <c r="W51" t="n">
        <v>78.444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Cec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mar 2021</t>
        </is>
      </c>
      <c r="G52" t="inlineStr">
        <is>
          <t>2021-04-08 11:44:36</t>
        </is>
      </c>
      <c r="H52" t="n">
        <v>33</v>
      </c>
      <c r="I52" t="n">
        <v>18244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Cec</t>
        </is>
      </c>
      <c r="O52" t="inlineStr">
        <is>
          <t>2013/03-2</t>
        </is>
      </c>
      <c r="P52" t="inlineStr">
        <is>
          <t>CEC</t>
        </is>
      </c>
      <c r="Q52" t="n">
        <v>1</v>
      </c>
      <c r="R52" t="inlineStr">
        <is>
          <t>A.JAHUEL 220</t>
        </is>
      </c>
      <c r="U52" t="n">
        <v>0</v>
      </c>
      <c r="V52" t="n">
        <v>0</v>
      </c>
      <c r="W52" t="n">
        <v>5914.422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Cec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mar 2021</t>
        </is>
      </c>
      <c r="G53" t="inlineStr">
        <is>
          <t>2021-04-08 11:44:36</t>
        </is>
      </c>
      <c r="H53" t="n">
        <v>33</v>
      </c>
      <c r="I53" t="n">
        <v>18244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Cec</t>
        </is>
      </c>
      <c r="O53" t="inlineStr">
        <is>
          <t>2013/03-2</t>
        </is>
      </c>
      <c r="P53" t="inlineStr">
        <is>
          <t>CEC</t>
        </is>
      </c>
      <c r="Q53" t="n">
        <v>1</v>
      </c>
      <c r="R53" t="inlineStr">
        <is>
          <t>A.JAHUEL 220</t>
        </is>
      </c>
      <c r="S53" t="n">
        <v>18221.313703</v>
      </c>
      <c r="T53" t="n">
        <v>1405993</v>
      </c>
      <c r="W53" t="n">
        <v>77.16200000000001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Cec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mar 2021</t>
        </is>
      </c>
      <c r="G54" t="inlineStr">
        <is>
          <t>2021-04-08 11:44:36</t>
        </is>
      </c>
      <c r="H54" t="n">
        <v>33</v>
      </c>
      <c r="I54" t="n">
        <v>18244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Cec</t>
        </is>
      </c>
      <c r="O54" t="inlineStr">
        <is>
          <t>2013/03-2</t>
        </is>
      </c>
      <c r="P54" t="inlineStr">
        <is>
          <t>CEC</t>
        </is>
      </c>
      <c r="Q54" t="n">
        <v>2</v>
      </c>
      <c r="R54" t="inlineStr">
        <is>
          <t>A.MELIP 220</t>
        </is>
      </c>
      <c r="U54" t="n">
        <v>0</v>
      </c>
      <c r="V54" t="n">
        <v>0</v>
      </c>
      <c r="W54" t="n">
        <v>6007.374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Cec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mar 2021</t>
        </is>
      </c>
      <c r="G55" t="inlineStr">
        <is>
          <t>2021-04-08 11:44:36</t>
        </is>
      </c>
      <c r="H55" t="n">
        <v>33</v>
      </c>
      <c r="I55" t="n">
        <v>18244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Cec</t>
        </is>
      </c>
      <c r="O55" t="inlineStr">
        <is>
          <t>2013/03-2</t>
        </is>
      </c>
      <c r="P55" t="inlineStr">
        <is>
          <t>CEC</t>
        </is>
      </c>
      <c r="Q55" t="n">
        <v>2</v>
      </c>
      <c r="R55" t="inlineStr">
        <is>
          <t>A.MELIP 220</t>
        </is>
      </c>
      <c r="S55" t="n">
        <v>61.552441</v>
      </c>
      <c r="T55" t="n">
        <v>4840</v>
      </c>
      <c r="W55" t="n">
        <v>78.626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Cec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mar 2021</t>
        </is>
      </c>
      <c r="G56" t="inlineStr">
        <is>
          <t>2021-04-08 11:44:36</t>
        </is>
      </c>
      <c r="H56" t="n">
        <v>33</v>
      </c>
      <c r="I56" t="n">
        <v>18244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Cec</t>
        </is>
      </c>
      <c r="O56" t="inlineStr">
        <is>
          <t>2013/03-2</t>
        </is>
      </c>
      <c r="P56" t="inlineStr">
        <is>
          <t>CEC</t>
        </is>
      </c>
      <c r="Q56" t="n">
        <v>3</v>
      </c>
      <c r="R56" t="inlineStr">
        <is>
          <t>CHARRUA 220</t>
        </is>
      </c>
      <c r="U56" t="n">
        <v>0</v>
      </c>
      <c r="V56" t="n">
        <v>0</v>
      </c>
      <c r="W56" t="n">
        <v>5302.482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Cec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mar 2021</t>
        </is>
      </c>
      <c r="G57" t="inlineStr">
        <is>
          <t>2021-04-08 11:44:36</t>
        </is>
      </c>
      <c r="H57" t="n">
        <v>33</v>
      </c>
      <c r="I57" t="n">
        <v>18244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Cec</t>
        </is>
      </c>
      <c r="O57" t="inlineStr">
        <is>
          <t>2013/03-2</t>
        </is>
      </c>
      <c r="P57" t="inlineStr">
        <is>
          <t>CEC</t>
        </is>
      </c>
      <c r="Q57" t="n">
        <v>3</v>
      </c>
      <c r="R57" t="inlineStr">
        <is>
          <t>CHARRUA 220</t>
        </is>
      </c>
      <c r="S57" t="n">
        <v>1999.127097</v>
      </c>
      <c r="T57" t="n">
        <v>142300</v>
      </c>
      <c r="W57" t="n">
        <v>71.181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Cec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mar 2021</t>
        </is>
      </c>
      <c r="G58" t="inlineStr">
        <is>
          <t>2021-04-08 11:44:36</t>
        </is>
      </c>
      <c r="H58" t="n">
        <v>33</v>
      </c>
      <c r="I58" t="n">
        <v>18244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Cec</t>
        </is>
      </c>
      <c r="O58" t="inlineStr">
        <is>
          <t>2013/03-2</t>
        </is>
      </c>
      <c r="P58" t="inlineStr">
        <is>
          <t>CEC</t>
        </is>
      </c>
      <c r="Q58" t="n">
        <v>4</v>
      </c>
      <c r="R58" t="inlineStr">
        <is>
          <t>ITAHUE 220</t>
        </is>
      </c>
      <c r="U58" t="n">
        <v>0</v>
      </c>
      <c r="V58" t="n">
        <v>0</v>
      </c>
      <c r="W58" t="n">
        <v>5512.818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Cec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mar 2021</t>
        </is>
      </c>
      <c r="G59" t="inlineStr">
        <is>
          <t>2021-04-08 11:44:36</t>
        </is>
      </c>
      <c r="H59" t="n">
        <v>33</v>
      </c>
      <c r="I59" t="n">
        <v>18244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Cec</t>
        </is>
      </c>
      <c r="O59" t="inlineStr">
        <is>
          <t>2013/03-2</t>
        </is>
      </c>
      <c r="P59" t="inlineStr">
        <is>
          <t>CEC</t>
        </is>
      </c>
      <c r="Q59" t="n">
        <v>4</v>
      </c>
      <c r="R59" t="inlineStr">
        <is>
          <t>ITAHUE 220</t>
        </is>
      </c>
      <c r="S59" t="n">
        <v>22702.114825</v>
      </c>
      <c r="T59" t="n">
        <v>1649195</v>
      </c>
      <c r="W59" t="n">
        <v>72.645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Cec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mar 2021</t>
        </is>
      </c>
      <c r="G60" t="inlineStr">
        <is>
          <t>2021-04-08 11:44:36</t>
        </is>
      </c>
      <c r="H60" t="n">
        <v>33</v>
      </c>
      <c r="I60" t="n">
        <v>18244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Cec</t>
        </is>
      </c>
      <c r="O60" t="inlineStr">
        <is>
          <t>2013/03-2</t>
        </is>
      </c>
      <c r="P60" t="inlineStr">
        <is>
          <t>CEC</t>
        </is>
      </c>
      <c r="Q60" t="n">
        <v>5</v>
      </c>
      <c r="R60" t="inlineStr">
        <is>
          <t>RAPEL 220</t>
        </is>
      </c>
      <c r="U60" t="n">
        <v>0</v>
      </c>
      <c r="V60" t="n">
        <v>0</v>
      </c>
      <c r="W60" t="n">
        <v>5963.281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Cec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mar 2021</t>
        </is>
      </c>
      <c r="G61" t="inlineStr">
        <is>
          <t>2021-04-08 11:44:36</t>
        </is>
      </c>
      <c r="H61" t="n">
        <v>33</v>
      </c>
      <c r="I61" t="n">
        <v>18244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Cec</t>
        </is>
      </c>
      <c r="O61" t="inlineStr">
        <is>
          <t>2013/03-2</t>
        </is>
      </c>
      <c r="P61" t="inlineStr">
        <is>
          <t>CEC</t>
        </is>
      </c>
      <c r="Q61" t="n">
        <v>5</v>
      </c>
      <c r="R61" t="inlineStr">
        <is>
          <t>RAPEL 220</t>
        </is>
      </c>
      <c r="S61" t="n">
        <v>66.575164</v>
      </c>
      <c r="T61" t="n">
        <v>5222</v>
      </c>
      <c r="W61" t="n">
        <v>78.444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Cec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2020-11-06 19:47:10</t>
        </is>
      </c>
      <c r="H2" t="n">
        <v>33</v>
      </c>
      <c r="I2" t="n">
        <v>15439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18230.56</v>
      </c>
      <c r="T2" t="n">
        <v>1326510</v>
      </c>
      <c r="W2" t="n">
        <v>72.76300000000001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Cec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2020-11-06 19:47:10</t>
        </is>
      </c>
      <c r="H3" t="n">
        <v>33</v>
      </c>
      <c r="I3" t="n">
        <v>15439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79.411571</v>
      </c>
      <c r="T3" t="n">
        <v>5861</v>
      </c>
      <c r="W3" t="n">
        <v>73.8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Cec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2020-11-06 19:47:10</t>
        </is>
      </c>
      <c r="H4" t="n">
        <v>33</v>
      </c>
      <c r="I4" t="n">
        <v>15439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2695.469909</v>
      </c>
      <c r="T4" t="n">
        <v>187128</v>
      </c>
      <c r="W4" t="n">
        <v>69.423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Cec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2020-11-06 19:47:10</t>
        </is>
      </c>
      <c r="H5" t="n">
        <v>33</v>
      </c>
      <c r="I5" t="n">
        <v>15439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23046.248702</v>
      </c>
      <c r="T5" t="n">
        <v>1602521</v>
      </c>
      <c r="W5" t="n">
        <v>69.535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Cec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2020-11-06 19:47:10</t>
        </is>
      </c>
      <c r="H6" t="n">
        <v>33</v>
      </c>
      <c r="I6" t="n">
        <v>15439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95.14512999999999</v>
      </c>
      <c r="T6" t="n">
        <v>6837</v>
      </c>
      <c r="W6" t="n">
        <v>71.854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Cec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nov 2020</t>
        </is>
      </c>
      <c r="G7" t="inlineStr">
        <is>
          <t>2020-12-04 16:22:38</t>
        </is>
      </c>
      <c r="H7" t="n">
        <v>33</v>
      </c>
      <c r="I7" t="n">
        <v>16398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21276.416589</v>
      </c>
      <c r="T7" t="n">
        <v>1548136</v>
      </c>
      <c r="W7" t="n">
        <v>72.76300000000001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Cec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nov 2020</t>
        </is>
      </c>
      <c r="G8" t="inlineStr">
        <is>
          <t>2020-12-04 16:22:38</t>
        </is>
      </c>
      <c r="H8" t="n">
        <v>33</v>
      </c>
      <c r="I8" t="n">
        <v>16398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89.365117</v>
      </c>
      <c r="T8" t="n">
        <v>6595</v>
      </c>
      <c r="W8" t="n">
        <v>73.8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Cec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nov 2020</t>
        </is>
      </c>
      <c r="G9" t="inlineStr">
        <is>
          <t>2020-12-04 16:22:38</t>
        </is>
      </c>
      <c r="H9" t="n">
        <v>33</v>
      </c>
      <c r="I9" t="n">
        <v>16398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3208.046139</v>
      </c>
      <c r="T9" t="n">
        <v>222712</v>
      </c>
      <c r="W9" t="n">
        <v>69.423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Cec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nov 2020</t>
        </is>
      </c>
      <c r="G10" t="inlineStr">
        <is>
          <t>2020-12-04 16:22:38</t>
        </is>
      </c>
      <c r="H10" t="n">
        <v>33</v>
      </c>
      <c r="I10" t="n">
        <v>16398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26768.590515</v>
      </c>
      <c r="T10" t="n">
        <v>1861354</v>
      </c>
      <c r="W10" t="n">
        <v>69.535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Cec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nov 2020</t>
        </is>
      </c>
      <c r="G11" t="inlineStr">
        <is>
          <t>2020-12-04 16:22:38</t>
        </is>
      </c>
      <c r="H11" t="n">
        <v>33</v>
      </c>
      <c r="I11" t="n">
        <v>16398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109.993162</v>
      </c>
      <c r="T11" t="n">
        <v>7903</v>
      </c>
      <c r="W11" t="n">
        <v>71.854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Cec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dic 2020</t>
        </is>
      </c>
      <c r="G12" t="inlineStr">
        <is>
          <t>2021-01-07 17:06:30</t>
        </is>
      </c>
      <c r="H12" t="n">
        <v>33</v>
      </c>
      <c r="I12" t="n">
        <v>16766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27412.591793</v>
      </c>
      <c r="T12" t="n">
        <v>1994622</v>
      </c>
      <c r="W12" t="n">
        <v>72.76300000000001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Cec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dic 2020</t>
        </is>
      </c>
      <c r="G13" t="inlineStr">
        <is>
          <t>2021-01-07 17:06:30</t>
        </is>
      </c>
      <c r="H13" t="n">
        <v>33</v>
      </c>
      <c r="I13" t="n">
        <v>16766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111.385541</v>
      </c>
      <c r="T13" t="n">
        <v>8220</v>
      </c>
      <c r="W13" t="n">
        <v>73.8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Cec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dic 2020</t>
        </is>
      </c>
      <c r="G14" t="inlineStr">
        <is>
          <t>2021-01-07 17:06:30</t>
        </is>
      </c>
      <c r="H14" t="n">
        <v>33</v>
      </c>
      <c r="I14" t="n">
        <v>16766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4163.1976</v>
      </c>
      <c r="T14" t="n">
        <v>289022</v>
      </c>
      <c r="W14" t="n">
        <v>69.423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Cec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dic 2020</t>
        </is>
      </c>
      <c r="G15" t="inlineStr">
        <is>
          <t>2021-01-07 17:06:30</t>
        </is>
      </c>
      <c r="H15" t="n">
        <v>33</v>
      </c>
      <c r="I15" t="n">
        <v>16766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34307.345161</v>
      </c>
      <c r="T15" t="n">
        <v>2385561</v>
      </c>
      <c r="W15" t="n">
        <v>69.535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Cec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dic 2020</t>
        </is>
      </c>
      <c r="G16" t="inlineStr">
        <is>
          <t>2021-01-07 17:06:30</t>
        </is>
      </c>
      <c r="H16" t="n">
        <v>33</v>
      </c>
      <c r="I16" t="n">
        <v>16766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140.142677</v>
      </c>
      <c r="T16" t="n">
        <v>10070</v>
      </c>
      <c r="W16" t="n">
        <v>71.854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Cec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ene 2021</t>
        </is>
      </c>
      <c r="G17" t="inlineStr">
        <is>
          <t>2021-02-09 11:19:03</t>
        </is>
      </c>
      <c r="H17" t="n">
        <v>33</v>
      </c>
      <c r="I17" t="n">
        <v>17142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S17" t="n">
        <v>22217.747737</v>
      </c>
      <c r="T17" t="n">
        <v>1714366</v>
      </c>
      <c r="W17" t="n">
        <v>77.16200000000001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Cec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ene 2021</t>
        </is>
      </c>
      <c r="G18" t="inlineStr">
        <is>
          <t>2021-02-09 11:19:03</t>
        </is>
      </c>
      <c r="H18" t="n">
        <v>33</v>
      </c>
      <c r="I18" t="n">
        <v>17142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S18" t="n">
        <v>72.195624</v>
      </c>
      <c r="T18" t="n">
        <v>5676</v>
      </c>
      <c r="W18" t="n">
        <v>78.626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Cec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ene 2021</t>
        </is>
      </c>
      <c r="G19" t="inlineStr">
        <is>
          <t>2021-02-09 11:19:03</t>
        </is>
      </c>
      <c r="H19" t="n">
        <v>33</v>
      </c>
      <c r="I19" t="n">
        <v>17142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S19" t="n">
        <v>2402.760978</v>
      </c>
      <c r="T19" t="n">
        <v>171031</v>
      </c>
      <c r="W19" t="n">
        <v>71.181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Cec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ene 2021</t>
        </is>
      </c>
      <c r="G20" t="inlineStr">
        <is>
          <t>2021-02-09 11:19:03</t>
        </is>
      </c>
      <c r="H20" t="n">
        <v>33</v>
      </c>
      <c r="I20" t="n">
        <v>17142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S20" t="n">
        <v>27471.493813</v>
      </c>
      <c r="T20" t="n">
        <v>1995667</v>
      </c>
      <c r="W20" t="n">
        <v>72.645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Cec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ene 2021</t>
        </is>
      </c>
      <c r="G21" t="inlineStr">
        <is>
          <t>2021-02-09 11:19:03</t>
        </is>
      </c>
      <c r="H21" t="n">
        <v>33</v>
      </c>
      <c r="I21" t="n">
        <v>17142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79.437037</v>
      </c>
      <c r="T21" t="n">
        <v>6231</v>
      </c>
      <c r="W21" t="n">
        <v>78.444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Cec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feb 2021</t>
        </is>
      </c>
      <c r="G22" t="inlineStr">
        <is>
          <t>2021-03-04 19:55:02</t>
        </is>
      </c>
      <c r="H22" t="n">
        <v>33</v>
      </c>
      <c r="I22" t="n">
        <v>17675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S22" t="n">
        <v>16122.982006</v>
      </c>
      <c r="T22" t="n">
        <v>1244082</v>
      </c>
      <c r="W22" t="n">
        <v>77.16200000000001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Cec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feb 2021</t>
        </is>
      </c>
      <c r="G23" t="inlineStr">
        <is>
          <t>2021-03-04 19:55:02</t>
        </is>
      </c>
      <c r="H23" t="n">
        <v>33</v>
      </c>
      <c r="I23" t="n">
        <v>17675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S23" t="n">
        <v>54.254277</v>
      </c>
      <c r="T23" t="n">
        <v>4266</v>
      </c>
      <c r="W23" t="n">
        <v>78.626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Cec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feb 2021</t>
        </is>
      </c>
      <c r="G24" t="inlineStr">
        <is>
          <t>2021-03-04 19:55:02</t>
        </is>
      </c>
      <c r="H24" t="n">
        <v>33</v>
      </c>
      <c r="I24" t="n">
        <v>17675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S24" t="n">
        <v>1758.318851</v>
      </c>
      <c r="T24" t="n">
        <v>125159</v>
      </c>
      <c r="W24" t="n">
        <v>71.181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Cec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feb 2021</t>
        </is>
      </c>
      <c r="G25" t="inlineStr">
        <is>
          <t>2021-03-04 19:55:02</t>
        </is>
      </c>
      <c r="H25" t="n">
        <v>33</v>
      </c>
      <c r="I25" t="n">
        <v>17675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S25" t="n">
        <v>20062.480978</v>
      </c>
      <c r="T25" t="n">
        <v>1457439</v>
      </c>
      <c r="W25" t="n">
        <v>72.645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Cec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feb 2021</t>
        </is>
      </c>
      <c r="G26" t="inlineStr">
        <is>
          <t>2021-03-04 19:55:02</t>
        </is>
      </c>
      <c r="H26" t="n">
        <v>33</v>
      </c>
      <c r="I26" t="n">
        <v>17675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S26" t="n">
        <v>58.755901</v>
      </c>
      <c r="T26" t="n">
        <v>4609</v>
      </c>
      <c r="W26" t="n">
        <v>78.444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Cec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mar 2021</t>
        </is>
      </c>
      <c r="G27" t="inlineStr">
        <is>
          <t>2021-04-08 11:44:36</t>
        </is>
      </c>
      <c r="H27" t="n">
        <v>33</v>
      </c>
      <c r="I27" t="n">
        <v>18244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S27" t="n">
        <v>18221.313703</v>
      </c>
      <c r="T27" t="n">
        <v>1405993</v>
      </c>
      <c r="W27" t="n">
        <v>77.16200000000001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Cec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mar 2021</t>
        </is>
      </c>
      <c r="G28" t="inlineStr">
        <is>
          <t>2021-04-08 11:44:36</t>
        </is>
      </c>
      <c r="H28" t="n">
        <v>33</v>
      </c>
      <c r="I28" t="n">
        <v>18244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S28" t="n">
        <v>61.552441</v>
      </c>
      <c r="T28" t="n">
        <v>4840</v>
      </c>
      <c r="W28" t="n">
        <v>78.626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Cec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mar 2021</t>
        </is>
      </c>
      <c r="G29" t="inlineStr">
        <is>
          <t>2021-04-08 11:44:36</t>
        </is>
      </c>
      <c r="H29" t="n">
        <v>33</v>
      </c>
      <c r="I29" t="n">
        <v>18244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S29" t="n">
        <v>1999.127097</v>
      </c>
      <c r="T29" t="n">
        <v>142300</v>
      </c>
      <c r="W29" t="n">
        <v>71.181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Cec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mar 2021</t>
        </is>
      </c>
      <c r="G30" t="inlineStr">
        <is>
          <t>2021-04-08 11:44:36</t>
        </is>
      </c>
      <c r="H30" t="n">
        <v>33</v>
      </c>
      <c r="I30" t="n">
        <v>18244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S30" t="n">
        <v>22702.114825</v>
      </c>
      <c r="T30" t="n">
        <v>1649195</v>
      </c>
      <c r="W30" t="n">
        <v>72.645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Cec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mar 2021</t>
        </is>
      </c>
      <c r="G31" t="inlineStr">
        <is>
          <t>2021-04-08 11:44:36</t>
        </is>
      </c>
      <c r="H31" t="n">
        <v>33</v>
      </c>
      <c r="I31" t="n">
        <v>18244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66.575164</v>
      </c>
      <c r="T31" t="n">
        <v>5222</v>
      </c>
      <c r="W31" t="n">
        <v>78.444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Cec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2020-11-06 19:47:10</t>
        </is>
      </c>
      <c r="H2" t="n">
        <v>33</v>
      </c>
      <c r="I2" t="n">
        <v>15439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6059.26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Cec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2020-11-06 19:47:10</t>
        </is>
      </c>
      <c r="H3" t="n">
        <v>33</v>
      </c>
      <c r="I3" t="n">
        <v>15439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6135.33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Cec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2020-11-06 19:47:10</t>
        </is>
      </c>
      <c r="H4" t="n">
        <v>33</v>
      </c>
      <c r="I4" t="n">
        <v>15439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5857.6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Cec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2020-11-06 19:47:10</t>
        </is>
      </c>
      <c r="H5" t="n">
        <v>33</v>
      </c>
      <c r="I5" t="n">
        <v>15439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5984.39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Cec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2020-11-06 19:47:10</t>
        </is>
      </c>
      <c r="H6" t="n">
        <v>33</v>
      </c>
      <c r="I6" t="n">
        <v>15439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5746.51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Eolica San Juan y Cec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nov 2020</t>
        </is>
      </c>
      <c r="G7" t="inlineStr">
        <is>
          <t>2020-12-04 16:22:38</t>
        </is>
      </c>
      <c r="H7" t="n">
        <v>33</v>
      </c>
      <c r="I7" t="n">
        <v>16398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6059.26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Eolica San Juan y Cec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nov 2020</t>
        </is>
      </c>
      <c r="G8" t="inlineStr">
        <is>
          <t>2020-12-04 16:22:38</t>
        </is>
      </c>
      <c r="H8" t="n">
        <v>33</v>
      </c>
      <c r="I8" t="n">
        <v>16398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</v>
      </c>
      <c r="V8" t="n">
        <v>0</v>
      </c>
      <c r="W8" t="n">
        <v>6135.33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Eolica San Juan y Cec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nov 2020</t>
        </is>
      </c>
      <c r="G9" t="inlineStr">
        <is>
          <t>2020-12-04 16:22:38</t>
        </is>
      </c>
      <c r="H9" t="n">
        <v>33</v>
      </c>
      <c r="I9" t="n">
        <v>16398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5857.6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Eolica San Juan y Cec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nov 2020</t>
        </is>
      </c>
      <c r="G10" t="inlineStr">
        <is>
          <t>2020-12-04 16:22:38</t>
        </is>
      </c>
      <c r="H10" t="n">
        <v>33</v>
      </c>
      <c r="I10" t="n">
        <v>16398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5984.39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Eolica San Juan y Cec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nov 2020</t>
        </is>
      </c>
      <c r="G11" t="inlineStr">
        <is>
          <t>2020-12-04 16:22:38</t>
        </is>
      </c>
      <c r="H11" t="n">
        <v>33</v>
      </c>
      <c r="I11" t="n">
        <v>16398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5746.51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Eolica San Juan y Cec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dic 2020</t>
        </is>
      </c>
      <c r="G12" t="inlineStr">
        <is>
          <t>2021-01-07 17:06:30</t>
        </is>
      </c>
      <c r="H12" t="n">
        <v>33</v>
      </c>
      <c r="I12" t="n">
        <v>16766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6059.26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Eolica San Juan y Cec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dic 2020</t>
        </is>
      </c>
      <c r="G13" t="inlineStr">
        <is>
          <t>2021-01-07 17:06:30</t>
        </is>
      </c>
      <c r="H13" t="n">
        <v>33</v>
      </c>
      <c r="I13" t="n">
        <v>16766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</v>
      </c>
      <c r="V13" t="n">
        <v>0</v>
      </c>
      <c r="W13" t="n">
        <v>6135.33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Eolica San Juan y Cec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dic 2020</t>
        </is>
      </c>
      <c r="G14" t="inlineStr">
        <is>
          <t>2021-01-07 17:06:30</t>
        </is>
      </c>
      <c r="H14" t="n">
        <v>33</v>
      </c>
      <c r="I14" t="n">
        <v>16766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5857.6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Eolica San Juan y Cec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dic 2020</t>
        </is>
      </c>
      <c r="G15" t="inlineStr">
        <is>
          <t>2021-01-07 17:06:30</t>
        </is>
      </c>
      <c r="H15" t="n">
        <v>33</v>
      </c>
      <c r="I15" t="n">
        <v>16766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5984.39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Eolica San Juan y Cec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dic 2020</t>
        </is>
      </c>
      <c r="G16" t="inlineStr">
        <is>
          <t>2021-01-07 17:06:30</t>
        </is>
      </c>
      <c r="H16" t="n">
        <v>33</v>
      </c>
      <c r="I16" t="n">
        <v>16766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5746.51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Eolica San Juan y Cec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ene 2021</t>
        </is>
      </c>
      <c r="G17" t="inlineStr">
        <is>
          <t>2021-02-09 11:19:03</t>
        </is>
      </c>
      <c r="H17" t="n">
        <v>33</v>
      </c>
      <c r="I17" t="n">
        <v>17142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1</v>
      </c>
      <c r="R17" t="inlineStr">
        <is>
          <t>A.JAHUEL 220</t>
        </is>
      </c>
      <c r="U17" t="n">
        <v>0</v>
      </c>
      <c r="V17" t="n">
        <v>0</v>
      </c>
      <c r="W17" t="n">
        <v>5914.42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Eolica San Juan y Cec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ene 2021</t>
        </is>
      </c>
      <c r="G18" t="inlineStr">
        <is>
          <t>2021-02-09 11:19:03</t>
        </is>
      </c>
      <c r="H18" t="n">
        <v>33</v>
      </c>
      <c r="I18" t="n">
        <v>17142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2</v>
      </c>
      <c r="R18" t="inlineStr">
        <is>
          <t>A.MELIP 220</t>
        </is>
      </c>
      <c r="U18" t="n">
        <v>0</v>
      </c>
      <c r="V18" t="n">
        <v>0</v>
      </c>
      <c r="W18" t="n">
        <v>6007.37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Eolica San Juan y Cec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ene 2021</t>
        </is>
      </c>
      <c r="G19" t="inlineStr">
        <is>
          <t>2021-02-09 11:19:03</t>
        </is>
      </c>
      <c r="H19" t="n">
        <v>33</v>
      </c>
      <c r="I19" t="n">
        <v>17142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3</v>
      </c>
      <c r="R19" t="inlineStr">
        <is>
          <t>CHARRUA 220</t>
        </is>
      </c>
      <c r="U19" t="n">
        <v>0</v>
      </c>
      <c r="V19" t="n">
        <v>0</v>
      </c>
      <c r="W19" t="n">
        <v>5302.48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Eolica San Juan y Cec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ene 2021</t>
        </is>
      </c>
      <c r="G20" t="inlineStr">
        <is>
          <t>2021-02-09 11:19:03</t>
        </is>
      </c>
      <c r="H20" t="n">
        <v>33</v>
      </c>
      <c r="I20" t="n">
        <v>17142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4</v>
      </c>
      <c r="R20" t="inlineStr">
        <is>
          <t>ITAHUE 220</t>
        </is>
      </c>
      <c r="U20" t="n">
        <v>0</v>
      </c>
      <c r="V20" t="n">
        <v>0</v>
      </c>
      <c r="W20" t="n">
        <v>5512.82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Eolica San Juan y Cec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ene 2021</t>
        </is>
      </c>
      <c r="G21" t="inlineStr">
        <is>
          <t>2021-02-09 11:19:03</t>
        </is>
      </c>
      <c r="H21" t="n">
        <v>33</v>
      </c>
      <c r="I21" t="n">
        <v>17142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U21" t="n">
        <v>0</v>
      </c>
      <c r="V21" t="n">
        <v>0</v>
      </c>
      <c r="W21" t="n">
        <v>5963.28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Eolica San Juan y Cec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feb 2021</t>
        </is>
      </c>
      <c r="G22" t="inlineStr">
        <is>
          <t>2021-03-04 19:55:02</t>
        </is>
      </c>
      <c r="H22" t="n">
        <v>33</v>
      </c>
      <c r="I22" t="n">
        <v>17675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5914.42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Eolica San Juan y Cec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feb 2021</t>
        </is>
      </c>
      <c r="G23" t="inlineStr">
        <is>
          <t>2021-03-04 19:55:02</t>
        </is>
      </c>
      <c r="H23" t="n">
        <v>33</v>
      </c>
      <c r="I23" t="n">
        <v>17675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2</v>
      </c>
      <c r="R23" t="inlineStr">
        <is>
          <t>A.MELIP 220</t>
        </is>
      </c>
      <c r="U23" t="n">
        <v>0</v>
      </c>
      <c r="V23" t="n">
        <v>0</v>
      </c>
      <c r="W23" t="n">
        <v>6007.37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Eolica San Juan y Cec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feb 2021</t>
        </is>
      </c>
      <c r="G24" t="inlineStr">
        <is>
          <t>2021-03-04 19:55:02</t>
        </is>
      </c>
      <c r="H24" t="n">
        <v>33</v>
      </c>
      <c r="I24" t="n">
        <v>17675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Eolica San Juan y Cec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feb 2021</t>
        </is>
      </c>
      <c r="G25" t="inlineStr">
        <is>
          <t>2021-03-04 19:55:02</t>
        </is>
      </c>
      <c r="H25" t="n">
        <v>33</v>
      </c>
      <c r="I25" t="n">
        <v>17675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4</v>
      </c>
      <c r="R25" t="inlineStr">
        <is>
          <t>ITAHUE 220</t>
        </is>
      </c>
      <c r="U25" t="n">
        <v>0</v>
      </c>
      <c r="V25" t="n">
        <v>0</v>
      </c>
      <c r="W25" t="n">
        <v>5512.82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Eolica San Juan y Cec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feb 2021</t>
        </is>
      </c>
      <c r="G26" t="inlineStr">
        <is>
          <t>2021-03-04 19:55:02</t>
        </is>
      </c>
      <c r="H26" t="n">
        <v>33</v>
      </c>
      <c r="I26" t="n">
        <v>17675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5</v>
      </c>
      <c r="R26" t="inlineStr">
        <is>
          <t>RAPEL 220</t>
        </is>
      </c>
      <c r="U26" t="n">
        <v>0</v>
      </c>
      <c r="V26" t="n">
        <v>0</v>
      </c>
      <c r="W26" t="n">
        <v>5963.28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Eolica San Juan y Cec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mar 2021</t>
        </is>
      </c>
      <c r="G27" t="inlineStr">
        <is>
          <t>2021-04-08 11:44:36</t>
        </is>
      </c>
      <c r="H27" t="n">
        <v>33</v>
      </c>
      <c r="I27" t="n">
        <v>18244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1</v>
      </c>
      <c r="R27" t="inlineStr">
        <is>
          <t>A.JAHUEL 220</t>
        </is>
      </c>
      <c r="U27" t="n">
        <v>0</v>
      </c>
      <c r="V27" t="n">
        <v>0</v>
      </c>
      <c r="W27" t="n">
        <v>5914.422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Eolica San Juan y Cec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mar 2021</t>
        </is>
      </c>
      <c r="G28" t="inlineStr">
        <is>
          <t>2021-04-08 11:44:36</t>
        </is>
      </c>
      <c r="H28" t="n">
        <v>33</v>
      </c>
      <c r="I28" t="n">
        <v>18244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2</v>
      </c>
      <c r="R28" t="inlineStr">
        <is>
          <t>A.MELIP 220</t>
        </is>
      </c>
      <c r="U28" t="n">
        <v>0</v>
      </c>
      <c r="V28" t="n">
        <v>0</v>
      </c>
      <c r="W28" t="n">
        <v>6007.374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Eolica San Juan y Cec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mar 2021</t>
        </is>
      </c>
      <c r="G29" t="inlineStr">
        <is>
          <t>2021-04-08 11:44:36</t>
        </is>
      </c>
      <c r="H29" t="n">
        <v>33</v>
      </c>
      <c r="I29" t="n">
        <v>18244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3</v>
      </c>
      <c r="R29" t="inlineStr">
        <is>
          <t>CHARRUA 220</t>
        </is>
      </c>
      <c r="U29" t="n">
        <v>0</v>
      </c>
      <c r="V29" t="n">
        <v>0</v>
      </c>
      <c r="W29" t="n">
        <v>5302.482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Eolica San Juan y Cec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mar 2021</t>
        </is>
      </c>
      <c r="G30" t="inlineStr">
        <is>
          <t>2021-04-08 11:44:36</t>
        </is>
      </c>
      <c r="H30" t="n">
        <v>33</v>
      </c>
      <c r="I30" t="n">
        <v>18244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4</v>
      </c>
      <c r="R30" t="inlineStr">
        <is>
          <t>ITAHUE 220</t>
        </is>
      </c>
      <c r="U30" t="n">
        <v>0</v>
      </c>
      <c r="V30" t="n">
        <v>0</v>
      </c>
      <c r="W30" t="n">
        <v>5512.818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Eolica San Juan y Cec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mar 2021</t>
        </is>
      </c>
      <c r="G31" t="inlineStr">
        <is>
          <t>2021-04-08 11:44:36</t>
        </is>
      </c>
      <c r="H31" t="n">
        <v>33</v>
      </c>
      <c r="I31" t="n">
        <v>18244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U31" t="n">
        <v>0</v>
      </c>
      <c r="V31" t="n">
        <v>0</v>
      </c>
      <c r="W31" t="n">
        <v>5963.281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2013/03_2_BS2A_BB_CEC_San Juan SpA.</t>
        </is>
      </c>
      <c r="K2" t="inlineStr">
        <is>
          <t>Curico 13.2</t>
        </is>
      </c>
      <c r="L2" t="inlineStr">
        <is>
          <t>-1</t>
        </is>
      </c>
      <c r="M2" t="n">
        <v>23564.34576882774</v>
      </c>
      <c r="N2" t="n">
        <v>0</v>
      </c>
      <c r="O2" t="inlineStr">
        <is>
          <t>5</t>
        </is>
      </c>
      <c r="P2" s="2" t="n">
        <v>44676.57923885417</v>
      </c>
      <c r="Q2" t="n">
        <v>8</v>
      </c>
      <c r="R2" t="inlineStr">
        <is>
          <t>ALTO JAHUEL 220</t>
        </is>
      </c>
      <c r="S2" t="n">
        <v>9529.232229596912</v>
      </c>
      <c r="T2" t="n">
        <v>693038.2578625961</v>
      </c>
      <c r="U2" t="n">
        <v>0</v>
      </c>
      <c r="V2" t="n">
        <v>0</v>
      </c>
      <c r="W2" t="inlineStr">
        <is>
          <t>CEC</t>
        </is>
      </c>
      <c r="X2" t="n">
        <v>82.73902972910399</v>
      </c>
      <c r="Y2" t="n">
        <v>693.0382578625961</v>
      </c>
      <c r="Z2" t="n">
        <v>788439.4287401548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2013/03_2_BS2A_BB_CEC_San Juan SpA.</t>
        </is>
      </c>
      <c r="K3" t="inlineStr">
        <is>
          <t>Curico 13.2</t>
        </is>
      </c>
      <c r="L3" t="inlineStr">
        <is>
          <t>-1</t>
        </is>
      </c>
      <c r="M3" t="n">
        <v>23564.34576882774</v>
      </c>
      <c r="N3" t="n">
        <v>0</v>
      </c>
      <c r="O3" t="inlineStr">
        <is>
          <t>5</t>
        </is>
      </c>
      <c r="P3" s="2" t="n">
        <v>44676.57923885417</v>
      </c>
      <c r="Q3" t="n">
        <v>34</v>
      </c>
      <c r="R3" t="inlineStr">
        <is>
          <t>CHARRUA 220</t>
        </is>
      </c>
      <c r="S3" t="n">
        <v>1924.976684543957</v>
      </c>
      <c r="T3" t="n">
        <v>133572.7668493959</v>
      </c>
      <c r="U3" t="n">
        <v>0</v>
      </c>
      <c r="V3" t="n">
        <v>0</v>
      </c>
      <c r="W3" t="inlineStr">
        <is>
          <t>CEC</t>
        </is>
      </c>
      <c r="X3" t="n">
        <v>78.94117263853798</v>
      </c>
      <c r="Y3" t="n">
        <v>133.5727668493958</v>
      </c>
      <c r="Z3" t="n">
        <v>151959.916779745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2013/03_2_BS2A_BB_CEC_San Juan SpA.</t>
        </is>
      </c>
      <c r="K4" t="inlineStr">
        <is>
          <t>Curico 13.2</t>
        </is>
      </c>
      <c r="L4" t="inlineStr">
        <is>
          <t>-1</t>
        </is>
      </c>
      <c r="M4" t="n">
        <v>23564.34576882774</v>
      </c>
      <c r="N4" t="n">
        <v>0</v>
      </c>
      <c r="O4" t="inlineStr">
        <is>
          <t>5</t>
        </is>
      </c>
      <c r="P4" s="2" t="n">
        <v>44676.57923885417</v>
      </c>
      <c r="Q4" t="n">
        <v>23</v>
      </c>
      <c r="R4" t="inlineStr">
        <is>
          <t>ITAHUE 220</t>
        </is>
      </c>
      <c r="S4" t="n">
        <v>12591.19700795714</v>
      </c>
      <c r="T4" t="n">
        <v>875101.5984412038</v>
      </c>
      <c r="U4" t="n">
        <v>0</v>
      </c>
      <c r="V4" t="n">
        <v>0</v>
      </c>
      <c r="W4" t="inlineStr">
        <is>
          <t>CEC</t>
        </is>
      </c>
      <c r="X4" t="n">
        <v>79.06833304089299</v>
      </c>
      <c r="Y4" t="n">
        <v>875.1015984412038</v>
      </c>
      <c r="Z4" t="n">
        <v>995564.9584086505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2013/03_2_BS2A_BB_CEC_San Juan SpA.</t>
        </is>
      </c>
      <c r="K5" t="inlineStr">
        <is>
          <t>Curico 13.2</t>
        </is>
      </c>
      <c r="L5" t="inlineStr">
        <is>
          <t>-1</t>
        </is>
      </c>
      <c r="M5" t="n">
        <v>23564.34576882774</v>
      </c>
      <c r="N5" t="n">
        <v>0</v>
      </c>
      <c r="O5" t="inlineStr">
        <is>
          <t>5</t>
        </is>
      </c>
      <c r="P5" s="2" t="n">
        <v>44676.57923885417</v>
      </c>
      <c r="Q5" t="n">
        <v>13</v>
      </c>
      <c r="R5" t="inlineStr">
        <is>
          <t>MELIPILLA 220</t>
        </is>
      </c>
      <c r="S5" t="n">
        <v>42.98588248639673</v>
      </c>
      <c r="T5" t="n">
        <v>3170.78395790941</v>
      </c>
      <c r="U5" t="n">
        <v>0</v>
      </c>
      <c r="V5" t="n">
        <v>0</v>
      </c>
      <c r="W5" t="inlineStr">
        <is>
          <t>CEC</t>
        </is>
      </c>
      <c r="X5" t="n">
        <v>83.91738268701899</v>
      </c>
      <c r="Y5" t="n">
        <v>3.17078395790941</v>
      </c>
      <c r="Z5" t="n">
        <v>3607.262750750182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2013/03_2_BS2A_BB_CEC_San Juan SpA.</t>
        </is>
      </c>
      <c r="K6" t="inlineStr">
        <is>
          <t>Curico 13.2</t>
        </is>
      </c>
      <c r="L6" t="inlineStr">
        <is>
          <t>-1</t>
        </is>
      </c>
      <c r="M6" t="n">
        <v>23564.34576882774</v>
      </c>
      <c r="N6" t="n">
        <v>0</v>
      </c>
      <c r="O6" t="inlineStr">
        <is>
          <t>5</t>
        </is>
      </c>
      <c r="P6" s="2" t="n">
        <v>44676.57923885417</v>
      </c>
      <c r="Q6" t="n">
        <v>22</v>
      </c>
      <c r="R6" t="inlineStr">
        <is>
          <t>RAPEL 220</t>
        </is>
      </c>
      <c r="S6" t="n">
        <v>55.37693185832696</v>
      </c>
      <c r="T6" t="n">
        <v>3977.088846798229</v>
      </c>
      <c r="U6" t="n">
        <v>0</v>
      </c>
      <c r="V6" t="n">
        <v>0</v>
      </c>
      <c r="W6" t="inlineStr">
        <is>
          <t>CEC</t>
        </is>
      </c>
      <c r="X6" t="n">
        <v>81.704791841904</v>
      </c>
      <c r="Y6" t="n">
        <v>3.97708884679823</v>
      </c>
      <c r="Z6" t="n">
        <v>4524.560690327906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2013/03_2_BS2A_BB_CEC_San Juan SpA.</t>
        </is>
      </c>
      <c r="K7" t="inlineStr">
        <is>
          <t>Quinta 13.8</t>
        </is>
      </c>
      <c r="L7" t="inlineStr">
        <is>
          <t>-1</t>
        </is>
      </c>
      <c r="M7" t="n">
        <v>5360.09588086498</v>
      </c>
      <c r="N7" t="n">
        <v>0</v>
      </c>
      <c r="O7" t="inlineStr">
        <is>
          <t>5</t>
        </is>
      </c>
      <c r="P7" s="2" t="n">
        <v>44676.57923885417</v>
      </c>
      <c r="Q7" t="n">
        <v>8</v>
      </c>
      <c r="R7" t="inlineStr">
        <is>
          <t>ALTO JAHUEL 220</t>
        </is>
      </c>
      <c r="S7" t="n">
        <v>2621.611442640704</v>
      </c>
      <c r="T7" t="n">
        <v>190663.5270528206</v>
      </c>
      <c r="U7" t="n">
        <v>0</v>
      </c>
      <c r="V7" t="n">
        <v>0</v>
      </c>
      <c r="W7" t="inlineStr">
        <is>
          <t>CEC</t>
        </is>
      </c>
      <c r="X7" t="n">
        <v>82.739029729104</v>
      </c>
      <c r="Y7" t="n">
        <v>190.6635270528206</v>
      </c>
      <c r="Z7" t="n">
        <v>216909.5870908085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2013/03_2_BS2A_BB_CEC_San Juan SpA.</t>
        </is>
      </c>
      <c r="K8" t="inlineStr">
        <is>
          <t>Quinta 13.8</t>
        </is>
      </c>
      <c r="L8" t="inlineStr">
        <is>
          <t>-1</t>
        </is>
      </c>
      <c r="M8" t="n">
        <v>5360.09588086498</v>
      </c>
      <c r="N8" t="n">
        <v>0</v>
      </c>
      <c r="O8" t="inlineStr">
        <is>
          <t>5</t>
        </is>
      </c>
      <c r="P8" s="2" t="n">
        <v>44676.57923885417</v>
      </c>
      <c r="Q8" t="n">
        <v>34</v>
      </c>
      <c r="R8" t="inlineStr">
        <is>
          <t>CHARRUA 220</t>
        </is>
      </c>
      <c r="S8" t="n">
        <v>279.6532685482942</v>
      </c>
      <c r="T8" t="n">
        <v>19404.94196028264</v>
      </c>
      <c r="U8" t="n">
        <v>0</v>
      </c>
      <c r="V8" t="n">
        <v>0</v>
      </c>
      <c r="W8" t="inlineStr">
        <is>
          <t>CEC</t>
        </is>
      </c>
      <c r="X8" t="n">
        <v>78.94117263853799</v>
      </c>
      <c r="Y8" t="n">
        <v>19.40494196028264</v>
      </c>
      <c r="Z8" t="n">
        <v>22076.15695140232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2013/03_2_BS2A_BB_CEC_San Juan SpA.</t>
        </is>
      </c>
      <c r="K9" t="inlineStr">
        <is>
          <t>Quinta 13.8</t>
        </is>
      </c>
      <c r="L9" t="inlineStr">
        <is>
          <t>-1</t>
        </is>
      </c>
      <c r="M9" t="n">
        <v>5360.09588086498</v>
      </c>
      <c r="N9" t="n">
        <v>0</v>
      </c>
      <c r="O9" t="inlineStr">
        <is>
          <t>5</t>
        </is>
      </c>
      <c r="P9" s="2" t="n">
        <v>44676.57923885417</v>
      </c>
      <c r="Q9" t="n">
        <v>23</v>
      </c>
      <c r="R9" t="inlineStr">
        <is>
          <t>ITAHUE 220</t>
        </is>
      </c>
      <c r="S9" t="n">
        <v>2583.629614143388</v>
      </c>
      <c r="T9" t="n">
        <v>179565.0090843694</v>
      </c>
      <c r="U9" t="n">
        <v>0</v>
      </c>
      <c r="V9" t="n">
        <v>0</v>
      </c>
      <c r="W9" t="inlineStr">
        <is>
          <t>CEC</t>
        </is>
      </c>
      <c r="X9" t="n">
        <v>79.06833304089299</v>
      </c>
      <c r="Y9" t="n">
        <v>179.5650090843694</v>
      </c>
      <c r="Z9" t="n">
        <v>204283.2867854032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2013/03_2_BS2A_BB_CEC_San Juan SpA.</t>
        </is>
      </c>
      <c r="K10" t="inlineStr">
        <is>
          <t>Quinta 13.8</t>
        </is>
      </c>
      <c r="L10" t="inlineStr">
        <is>
          <t>-1</t>
        </is>
      </c>
      <c r="M10" t="n">
        <v>5360.09588086498</v>
      </c>
      <c r="N10" t="n">
        <v>0</v>
      </c>
      <c r="O10" t="inlineStr">
        <is>
          <t>5</t>
        </is>
      </c>
      <c r="P10" s="2" t="n">
        <v>44676.57923885417</v>
      </c>
      <c r="Q10" t="n">
        <v>22</v>
      </c>
      <c r="R10" t="inlineStr">
        <is>
          <t>RAPEL 220</t>
        </is>
      </c>
      <c r="S10" t="n">
        <v>7.000786984209486</v>
      </c>
      <c r="T10" t="n">
        <v>502.7861042381509</v>
      </c>
      <c r="U10" t="n">
        <v>0</v>
      </c>
      <c r="V10" t="n">
        <v>0</v>
      </c>
      <c r="W10" t="inlineStr">
        <is>
          <t>CEC</t>
        </is>
      </c>
      <c r="X10" t="n">
        <v>81.704791841904</v>
      </c>
      <c r="Y10" t="n">
        <v>0.502786104238151</v>
      </c>
      <c r="Z10" t="n">
        <v>571.9978432743469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2013/03_2_BS2A_BB_CEC_San Juan SpA.</t>
        </is>
      </c>
      <c r="K11" t="inlineStr">
        <is>
          <t>Teno 13.2</t>
        </is>
      </c>
      <c r="L11" t="inlineStr">
        <is>
          <t>-1</t>
        </is>
      </c>
      <c r="M11" t="n">
        <v>13778.67370320084</v>
      </c>
      <c r="N11" t="n">
        <v>0</v>
      </c>
      <c r="O11" t="inlineStr">
        <is>
          <t>5</t>
        </is>
      </c>
      <c r="P11" s="2" t="n">
        <v>44676.57923885417</v>
      </c>
      <c r="Q11" t="n">
        <v>8</v>
      </c>
      <c r="R11" t="inlineStr">
        <is>
          <t>ALTO JAHUEL 220</t>
        </is>
      </c>
      <c r="S11" t="n">
        <v>5917.146908618452</v>
      </c>
      <c r="T11" t="n">
        <v>430339.9357116353</v>
      </c>
      <c r="U11" t="n">
        <v>0</v>
      </c>
      <c r="V11" t="n">
        <v>0</v>
      </c>
      <c r="W11" t="inlineStr">
        <is>
          <t>CEC</t>
        </is>
      </c>
      <c r="X11" t="n">
        <v>82.73902972910399</v>
      </c>
      <c r="Y11" t="n">
        <v>430.3399357116353</v>
      </c>
      <c r="Z11" t="n">
        <v>489578.9939836579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2013/03_2_BS2A_BB_CEC_San Juan SpA.</t>
        </is>
      </c>
      <c r="K12" t="inlineStr">
        <is>
          <t>Teno 13.2</t>
        </is>
      </c>
      <c r="L12" t="inlineStr">
        <is>
          <t>-1</t>
        </is>
      </c>
      <c r="M12" t="n">
        <v>13778.67370320084</v>
      </c>
      <c r="N12" t="n">
        <v>0</v>
      </c>
      <c r="O12" t="inlineStr">
        <is>
          <t>5</t>
        </is>
      </c>
      <c r="P12" s="2" t="n">
        <v>44676.57923885417</v>
      </c>
      <c r="Q12" t="n">
        <v>34</v>
      </c>
      <c r="R12" t="inlineStr">
        <is>
          <t>CHARRUA 220</t>
        </is>
      </c>
      <c r="S12" t="n">
        <v>466.8013787483459</v>
      </c>
      <c r="T12" t="n">
        <v>32391.01659213136</v>
      </c>
      <c r="U12" t="n">
        <v>0</v>
      </c>
      <c r="V12" t="n">
        <v>0</v>
      </c>
      <c r="W12" t="inlineStr">
        <is>
          <t>CEC</t>
        </is>
      </c>
      <c r="X12" t="n">
        <v>78.94117263853799</v>
      </c>
      <c r="Y12" t="n">
        <v>32.39101659213136</v>
      </c>
      <c r="Z12" t="n">
        <v>36849.84822768073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2013/03_2_BS2A_BB_CEC_San Juan SpA.</t>
        </is>
      </c>
      <c r="K13" t="inlineStr">
        <is>
          <t>Teno 13.2</t>
        </is>
      </c>
      <c r="L13" t="inlineStr">
        <is>
          <t>-1</t>
        </is>
      </c>
      <c r="M13" t="n">
        <v>13778.67370320084</v>
      </c>
      <c r="N13" t="n">
        <v>0</v>
      </c>
      <c r="O13" t="inlineStr">
        <is>
          <t>5</t>
        </is>
      </c>
      <c r="P13" s="2" t="n">
        <v>44676.57923885417</v>
      </c>
      <c r="Q13" t="n">
        <v>23</v>
      </c>
      <c r="R13" t="inlineStr">
        <is>
          <t>ITAHUE 220</t>
        </is>
      </c>
      <c r="S13" t="n">
        <v>7665.892417718503</v>
      </c>
      <c r="T13" t="n">
        <v>532787.6852363044</v>
      </c>
      <c r="U13" t="n">
        <v>0</v>
      </c>
      <c r="V13" t="n">
        <v>0</v>
      </c>
      <c r="W13" t="inlineStr">
        <is>
          <t>CEC</t>
        </is>
      </c>
      <c r="X13" t="n">
        <v>79.06833304089299</v>
      </c>
      <c r="Y13" t="n">
        <v>532.7876852363044</v>
      </c>
      <c r="Z13" t="n">
        <v>606129.334739823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2013/03_2_BS2A_BB_CEC_San Juan SpA.</t>
        </is>
      </c>
      <c r="K14" t="inlineStr">
        <is>
          <t>Teno 13.2</t>
        </is>
      </c>
      <c r="L14" t="inlineStr">
        <is>
          <t>-1</t>
        </is>
      </c>
      <c r="M14" t="n">
        <v>13778.67370320084</v>
      </c>
      <c r="N14" t="n">
        <v>0</v>
      </c>
      <c r="O14" t="inlineStr">
        <is>
          <t>5</t>
        </is>
      </c>
      <c r="P14" s="2" t="n">
        <v>44676.57923885417</v>
      </c>
      <c r="Q14" t="n">
        <v>13</v>
      </c>
      <c r="R14" t="inlineStr">
        <is>
          <t>MELIPILLA 220</t>
        </is>
      </c>
      <c r="S14" t="n">
        <v>35.71748464988899</v>
      </c>
      <c r="T14" t="n">
        <v>2634.642370796583</v>
      </c>
      <c r="U14" t="n">
        <v>0</v>
      </c>
      <c r="V14" t="n">
        <v>0</v>
      </c>
      <c r="W14" t="inlineStr">
        <is>
          <t>CEC</t>
        </is>
      </c>
      <c r="X14" t="n">
        <v>83.917382687019</v>
      </c>
      <c r="Y14" t="n">
        <v>2.634642370796584</v>
      </c>
      <c r="Z14" t="n">
        <v>2997.317827982461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2013/03_2_BS2A_BB_CEC_San Juan SpA.</t>
        </is>
      </c>
      <c r="K15" t="inlineStr">
        <is>
          <t>Teno 13.2</t>
        </is>
      </c>
      <c r="L15" t="inlineStr">
        <is>
          <t>-1</t>
        </is>
      </c>
      <c r="M15" t="n">
        <v>13778.67370320084</v>
      </c>
      <c r="N15" t="n">
        <v>0</v>
      </c>
      <c r="O15" t="inlineStr">
        <is>
          <t>5</t>
        </is>
      </c>
      <c r="P15" s="2" t="n">
        <v>44676.57923885417</v>
      </c>
      <c r="Q15" t="n">
        <v>22</v>
      </c>
      <c r="R15" t="inlineStr">
        <is>
          <t>RAPEL 220</t>
        </is>
      </c>
      <c r="S15" t="n">
        <v>31.91889401476752</v>
      </c>
      <c r="T15" t="n">
        <v>2292.36747375303</v>
      </c>
      <c r="U15" t="n">
        <v>0</v>
      </c>
      <c r="V15" t="n">
        <v>0</v>
      </c>
      <c r="W15" t="inlineStr">
        <is>
          <t>CEC</t>
        </is>
      </c>
      <c r="X15" t="n">
        <v>81.70479184190398</v>
      </c>
      <c r="Y15" t="n">
        <v>2.29236747375303</v>
      </c>
      <c r="Z15" t="n">
        <v>2607.926591300375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01-11-2020</t>
        </is>
      </c>
      <c r="C16" t="n">
        <v>2020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2013/03_2_BS2A_BB_CEC_San Juan SpA.</t>
        </is>
      </c>
      <c r="K16" t="inlineStr">
        <is>
          <t>Curico 13.2</t>
        </is>
      </c>
      <c r="L16" t="inlineStr">
        <is>
          <t>-1</t>
        </is>
      </c>
      <c r="M16" t="n">
        <v>28576.54073108855</v>
      </c>
      <c r="N16" t="n">
        <v>0</v>
      </c>
      <c r="O16" t="inlineStr">
        <is>
          <t>5</t>
        </is>
      </c>
      <c r="P16" s="2" t="n">
        <v>44676.57923885417</v>
      </c>
      <c r="Q16" t="n">
        <v>8</v>
      </c>
      <c r="R16" t="inlineStr">
        <is>
          <t>ALTO JAHUEL 220</t>
        </is>
      </c>
      <c r="S16" t="n">
        <v>11556.12362916981</v>
      </c>
      <c r="T16" t="n">
        <v>840449.2192697248</v>
      </c>
      <c r="U16" t="n">
        <v>0</v>
      </c>
      <c r="V16" t="n">
        <v>0</v>
      </c>
      <c r="W16" t="inlineStr">
        <is>
          <t>CEC</t>
        </is>
      </c>
      <c r="X16" t="n">
        <v>82.73902972910399</v>
      </c>
      <c r="Y16" t="n">
        <v>840.4492192697247</v>
      </c>
      <c r="Z16" t="n">
        <v>956142.4565070816</v>
      </c>
      <c r="AA16" t="n">
        <v>0</v>
      </c>
      <c r="AB16" t="n">
        <v>0</v>
      </c>
      <c r="AC16" t="n">
        <v>0</v>
      </c>
      <c r="AD16" s="2" t="n">
        <v>44136</v>
      </c>
    </row>
    <row r="17">
      <c r="A17" t="n">
        <v>-1</v>
      </c>
      <c r="B17" t="inlineStr">
        <is>
          <t>01-11-2020</t>
        </is>
      </c>
      <c r="C17" t="n">
        <v>2020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2013/03_2_BS2A_BB_CEC_San Juan SpA.</t>
        </is>
      </c>
      <c r="K17" t="inlineStr">
        <is>
          <t>Curico 13.2</t>
        </is>
      </c>
      <c r="L17" t="inlineStr">
        <is>
          <t>-1</t>
        </is>
      </c>
      <c r="M17" t="n">
        <v>28576.54073108855</v>
      </c>
      <c r="N17" t="n">
        <v>0</v>
      </c>
      <c r="O17" t="inlineStr">
        <is>
          <t>5</t>
        </is>
      </c>
      <c r="P17" s="2" t="n">
        <v>44676.57923885417</v>
      </c>
      <c r="Q17" t="n">
        <v>34</v>
      </c>
      <c r="R17" t="inlineStr">
        <is>
          <t>CHARRUA 220</t>
        </is>
      </c>
      <c r="S17" t="n">
        <v>2334.4240138012</v>
      </c>
      <c r="T17" t="n">
        <v>161984.0266257407</v>
      </c>
      <c r="U17" t="n">
        <v>0</v>
      </c>
      <c r="V17" t="n">
        <v>0</v>
      </c>
      <c r="W17" t="inlineStr">
        <is>
          <t>CEC</t>
        </is>
      </c>
      <c r="X17" t="n">
        <v>78.94117263853799</v>
      </c>
      <c r="Y17" t="n">
        <v>161.9840266257407</v>
      </c>
      <c r="Z17" t="n">
        <v>184282.1690850293</v>
      </c>
      <c r="AA17" t="n">
        <v>0</v>
      </c>
      <c r="AB17" t="n">
        <v>0</v>
      </c>
      <c r="AC17" t="n">
        <v>0</v>
      </c>
      <c r="AD17" s="2" t="n">
        <v>44136</v>
      </c>
    </row>
    <row r="18">
      <c r="A18" t="n">
        <v>-1</v>
      </c>
      <c r="B18" t="inlineStr">
        <is>
          <t>01-11-2020</t>
        </is>
      </c>
      <c r="C18" t="n">
        <v>2020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2013/03_2_BS2A_BB_CEC_San Juan SpA.</t>
        </is>
      </c>
      <c r="K18" t="inlineStr">
        <is>
          <t>Curico 13.2</t>
        </is>
      </c>
      <c r="L18" t="inlineStr">
        <is>
          <t>-1</t>
        </is>
      </c>
      <c r="M18" t="n">
        <v>28576.54073108855</v>
      </c>
      <c r="N18" t="n">
        <v>0</v>
      </c>
      <c r="O18" t="inlineStr">
        <is>
          <t>5</t>
        </is>
      </c>
      <c r="P18" s="2" t="n">
        <v>44676.57923885417</v>
      </c>
      <c r="Q18" t="n">
        <v>23</v>
      </c>
      <c r="R18" t="inlineStr">
        <is>
          <t>ITAHUE 220</t>
        </is>
      </c>
      <c r="S18" t="n">
        <v>15269.37593264432</v>
      </c>
      <c r="T18" t="n">
        <v>1061237.885279079</v>
      </c>
      <c r="U18" t="n">
        <v>0</v>
      </c>
      <c r="V18" t="n">
        <v>0</v>
      </c>
      <c r="W18" t="inlineStr">
        <is>
          <t>CEC</t>
        </is>
      </c>
      <c r="X18" t="n">
        <v>79.06833304089299</v>
      </c>
      <c r="Y18" t="n">
        <v>1061.237885279078</v>
      </c>
      <c r="Z18" t="n">
        <v>1207324.101568918</v>
      </c>
      <c r="AA18" t="n">
        <v>0</v>
      </c>
      <c r="AB18" t="n">
        <v>0</v>
      </c>
      <c r="AC18" t="n">
        <v>0</v>
      </c>
      <c r="AD18" s="2" t="n">
        <v>44136</v>
      </c>
    </row>
    <row r="19">
      <c r="A19" t="n">
        <v>-1</v>
      </c>
      <c r="B19" t="inlineStr">
        <is>
          <t>01-11-2020</t>
        </is>
      </c>
      <c r="C19" t="n">
        <v>2020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2013/03_2_BS2A_BB_CEC_San Juan SpA.</t>
        </is>
      </c>
      <c r="K19" t="inlineStr">
        <is>
          <t>Curico 13.2</t>
        </is>
      </c>
      <c r="L19" t="inlineStr">
        <is>
          <t>-1</t>
        </is>
      </c>
      <c r="M19" t="n">
        <v>28576.54073108855</v>
      </c>
      <c r="N19" t="n">
        <v>0</v>
      </c>
      <c r="O19" t="inlineStr">
        <is>
          <t>5</t>
        </is>
      </c>
      <c r="P19" s="2" t="n">
        <v>44676.57923885417</v>
      </c>
      <c r="Q19" t="n">
        <v>13</v>
      </c>
      <c r="R19" t="inlineStr">
        <is>
          <t>MELIPILLA 220</t>
        </is>
      </c>
      <c r="S19" t="n">
        <v>52.12908662031616</v>
      </c>
      <c r="T19" t="n">
        <v>3845.217593205771</v>
      </c>
      <c r="U19" t="n">
        <v>0</v>
      </c>
      <c r="V19" t="n">
        <v>0</v>
      </c>
      <c r="W19" t="inlineStr">
        <is>
          <t>CEC</t>
        </is>
      </c>
      <c r="X19" t="n">
        <v>83.91738268701899</v>
      </c>
      <c r="Y19" t="n">
        <v>3.845217593205771</v>
      </c>
      <c r="Z19" t="n">
        <v>4374.536511041832</v>
      </c>
      <c r="AA19" t="n">
        <v>0</v>
      </c>
      <c r="AB19" t="n">
        <v>0</v>
      </c>
      <c r="AC19" t="n">
        <v>0</v>
      </c>
      <c r="AD19" s="2" t="n">
        <v>44136</v>
      </c>
    </row>
    <row r="20">
      <c r="A20" t="n">
        <v>-1</v>
      </c>
      <c r="B20" t="inlineStr">
        <is>
          <t>01-11-2020</t>
        </is>
      </c>
      <c r="C20" t="n">
        <v>2020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2013/03_2_BS2A_BB_CEC_San Juan SpA.</t>
        </is>
      </c>
      <c r="K20" t="inlineStr">
        <is>
          <t>Curico 13.2</t>
        </is>
      </c>
      <c r="L20" t="inlineStr">
        <is>
          <t>-1</t>
        </is>
      </c>
      <c r="M20" t="n">
        <v>28576.54073108855</v>
      </c>
      <c r="N20" t="n">
        <v>0</v>
      </c>
      <c r="O20" t="inlineStr">
        <is>
          <t>5</t>
        </is>
      </c>
      <c r="P20" s="2" t="n">
        <v>44676.57923885417</v>
      </c>
      <c r="Q20" t="n">
        <v>22</v>
      </c>
      <c r="R20" t="inlineStr">
        <is>
          <t>RAPEL 220</t>
        </is>
      </c>
      <c r="S20" t="n">
        <v>67.15574301687558</v>
      </c>
      <c r="T20" t="n">
        <v>4823.025537676169</v>
      </c>
      <c r="U20" t="n">
        <v>0</v>
      </c>
      <c r="V20" t="n">
        <v>0</v>
      </c>
      <c r="W20" t="inlineStr">
        <is>
          <t>CEC</t>
        </is>
      </c>
      <c r="X20" t="n">
        <v>81.704791841904</v>
      </c>
      <c r="Y20" t="n">
        <v>4.823025537676169</v>
      </c>
      <c r="Z20" t="n">
        <v>5486.946004182217</v>
      </c>
      <c r="AA20" t="n">
        <v>0</v>
      </c>
      <c r="AB20" t="n">
        <v>0</v>
      </c>
      <c r="AC20" t="n">
        <v>0</v>
      </c>
      <c r="AD20" s="2" t="n">
        <v>44136</v>
      </c>
    </row>
    <row r="21">
      <c r="A21" t="n">
        <v>-1</v>
      </c>
      <c r="B21" t="inlineStr">
        <is>
          <t>01-11-2020</t>
        </is>
      </c>
      <c r="C21" t="n">
        <v>2020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2013/03_2_BS2A_BB_CEC_San Juan SpA.</t>
        </is>
      </c>
      <c r="K21" t="inlineStr">
        <is>
          <t>Quinta 13.8</t>
        </is>
      </c>
      <c r="L21" t="inlineStr">
        <is>
          <t>-1</t>
        </is>
      </c>
      <c r="M21" t="n">
        <v>7181.882991130385</v>
      </c>
      <c r="N21" t="n">
        <v>0</v>
      </c>
      <c r="O21" t="inlineStr">
        <is>
          <t>5</t>
        </is>
      </c>
      <c r="P21" s="2" t="n">
        <v>44676.57923885417</v>
      </c>
      <c r="Q21" t="n">
        <v>8</v>
      </c>
      <c r="R21" t="inlineStr">
        <is>
          <t>ALTO JAHUEL 220</t>
        </is>
      </c>
      <c r="S21" t="n">
        <v>3512.643625735982</v>
      </c>
      <c r="T21" t="n">
        <v>255466.1656068375</v>
      </c>
      <c r="U21" t="n">
        <v>0</v>
      </c>
      <c r="V21" t="n">
        <v>0</v>
      </c>
      <c r="W21" t="inlineStr">
        <is>
          <t>CEC</t>
        </is>
      </c>
      <c r="X21" t="n">
        <v>82.739029729104</v>
      </c>
      <c r="Y21" t="n">
        <v>255.4661656068375</v>
      </c>
      <c r="Z21" t="n">
        <v>290632.7253775171</v>
      </c>
      <c r="AA21" t="n">
        <v>0</v>
      </c>
      <c r="AB21" t="n">
        <v>0</v>
      </c>
      <c r="AC21" t="n">
        <v>0</v>
      </c>
      <c r="AD21" s="2" t="n">
        <v>44136</v>
      </c>
    </row>
    <row r="22">
      <c r="A22" t="n">
        <v>-1</v>
      </c>
      <c r="B22" t="inlineStr">
        <is>
          <t>01-11-2020</t>
        </is>
      </c>
      <c r="C22" t="n">
        <v>2020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2013/03_2_BS2A_BB_CEC_San Juan SpA.</t>
        </is>
      </c>
      <c r="K22" t="inlineStr">
        <is>
          <t>Quinta 13.8</t>
        </is>
      </c>
      <c r="L22" t="inlineStr">
        <is>
          <t>-1</t>
        </is>
      </c>
      <c r="M22" t="n">
        <v>7181.882991130385</v>
      </c>
      <c r="N22" t="n">
        <v>0</v>
      </c>
      <c r="O22" t="inlineStr">
        <is>
          <t>5</t>
        </is>
      </c>
      <c r="P22" s="2" t="n">
        <v>44676.57923885417</v>
      </c>
      <c r="Q22" t="n">
        <v>34</v>
      </c>
      <c r="R22" t="inlineStr">
        <is>
          <t>CHARRUA 220</t>
        </is>
      </c>
      <c r="S22" t="n">
        <v>374.701702626428</v>
      </c>
      <c r="T22" t="n">
        <v>26000.28538779355</v>
      </c>
      <c r="U22" t="n">
        <v>0</v>
      </c>
      <c r="V22" t="n">
        <v>0</v>
      </c>
      <c r="W22" t="inlineStr">
        <is>
          <t>CEC</t>
        </is>
      </c>
      <c r="X22" t="n">
        <v>78.94117263853798</v>
      </c>
      <c r="Y22" t="n">
        <v>26.00028538779355</v>
      </c>
      <c r="Z22" t="n">
        <v>29579.39179498698</v>
      </c>
      <c r="AA22" t="n">
        <v>0</v>
      </c>
      <c r="AB22" t="n">
        <v>0</v>
      </c>
      <c r="AC22" t="n">
        <v>0</v>
      </c>
      <c r="AD22" s="2" t="n">
        <v>44136</v>
      </c>
    </row>
    <row r="23">
      <c r="A23" t="n">
        <v>-1</v>
      </c>
      <c r="B23" t="inlineStr">
        <is>
          <t>01-11-2020</t>
        </is>
      </c>
      <c r="C23" t="n">
        <v>2020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2013/03_2_BS2A_BB_CEC_San Juan SpA.</t>
        </is>
      </c>
      <c r="K23" t="inlineStr">
        <is>
          <t>Quinta 13.8</t>
        </is>
      </c>
      <c r="L23" t="inlineStr">
        <is>
          <t>-1</t>
        </is>
      </c>
      <c r="M23" t="n">
        <v>7181.882991130385</v>
      </c>
      <c r="N23" t="n">
        <v>0</v>
      </c>
      <c r="O23" t="inlineStr">
        <is>
          <t>5</t>
        </is>
      </c>
      <c r="P23" s="2" t="n">
        <v>44676.57923885417</v>
      </c>
      <c r="Q23" t="n">
        <v>23</v>
      </c>
      <c r="R23" t="inlineStr">
        <is>
          <t>ITAHUE 220</t>
        </is>
      </c>
      <c r="S23" t="n">
        <v>3461.752549509022</v>
      </c>
      <c r="T23" t="n">
        <v>240595.4880674813</v>
      </c>
      <c r="U23" t="n">
        <v>0</v>
      </c>
      <c r="V23" t="n">
        <v>0</v>
      </c>
      <c r="W23" t="inlineStr">
        <is>
          <t>CEC</t>
        </is>
      </c>
      <c r="X23" t="n">
        <v>79.06833304089301</v>
      </c>
      <c r="Y23" t="n">
        <v>240.5954880674813</v>
      </c>
      <c r="Z23" t="n">
        <v>273715.0034897398</v>
      </c>
      <c r="AA23" t="n">
        <v>0</v>
      </c>
      <c r="AB23" t="n">
        <v>0</v>
      </c>
      <c r="AC23" t="n">
        <v>0</v>
      </c>
      <c r="AD23" s="2" t="n">
        <v>44136</v>
      </c>
    </row>
    <row r="24">
      <c r="A24" t="n">
        <v>-1</v>
      </c>
      <c r="B24" t="inlineStr">
        <is>
          <t>01-11-2020</t>
        </is>
      </c>
      <c r="C24" t="n">
        <v>2020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2013/03_2_BS2A_BB_CEC_San Juan SpA.</t>
        </is>
      </c>
      <c r="K24" t="inlineStr">
        <is>
          <t>Quinta 13.8</t>
        </is>
      </c>
      <c r="L24" t="inlineStr">
        <is>
          <t>-1</t>
        </is>
      </c>
      <c r="M24" t="n">
        <v>7181.882991130385</v>
      </c>
      <c r="N24" t="n">
        <v>0</v>
      </c>
      <c r="O24" t="inlineStr">
        <is>
          <t>5</t>
        </is>
      </c>
      <c r="P24" s="2" t="n">
        <v>44676.57923885417</v>
      </c>
      <c r="Q24" t="n">
        <v>22</v>
      </c>
      <c r="R24" t="inlineStr">
        <is>
          <t>RAPEL 220</t>
        </is>
      </c>
      <c r="S24" t="n">
        <v>9.380211489483168</v>
      </c>
      <c r="T24" t="n">
        <v>673.6728316923262</v>
      </c>
      <c r="U24" t="n">
        <v>0</v>
      </c>
      <c r="V24" t="n">
        <v>0</v>
      </c>
      <c r="W24" t="inlineStr">
        <is>
          <t>CEC</t>
        </is>
      </c>
      <c r="X24" t="n">
        <v>81.70479184190401</v>
      </c>
      <c r="Y24" t="n">
        <v>0.6736728316923263</v>
      </c>
      <c r="Z24" t="n">
        <v>766.4082271812584</v>
      </c>
      <c r="AA24" t="n">
        <v>0</v>
      </c>
      <c r="AB24" t="n">
        <v>0</v>
      </c>
      <c r="AC24" t="n">
        <v>0</v>
      </c>
      <c r="AD24" s="2" t="n">
        <v>44136</v>
      </c>
    </row>
    <row r="25">
      <c r="A25" t="n">
        <v>-1</v>
      </c>
      <c r="B25" t="inlineStr">
        <is>
          <t>01-11-2020</t>
        </is>
      </c>
      <c r="C25" t="n">
        <v>2020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2013/03_2_BS2A_BB_CEC_San Juan SpA.</t>
        </is>
      </c>
      <c r="K25" t="inlineStr">
        <is>
          <t>Teno 13.2</t>
        </is>
      </c>
      <c r="L25" t="inlineStr">
        <is>
          <t>-1</t>
        </is>
      </c>
      <c r="M25" t="n">
        <v>14157.0924383671</v>
      </c>
      <c r="N25" t="n">
        <v>0</v>
      </c>
      <c r="O25" t="inlineStr">
        <is>
          <t>5</t>
        </is>
      </c>
      <c r="P25" s="2" t="n">
        <v>44676.57923885417</v>
      </c>
      <c r="Q25" t="n">
        <v>8</v>
      </c>
      <c r="R25" t="inlineStr">
        <is>
          <t>ALTO JAHUEL 220</t>
        </is>
      </c>
      <c r="S25" t="n">
        <v>6079.655964075087</v>
      </c>
      <c r="T25" t="n">
        <v>442158.8304522586</v>
      </c>
      <c r="U25" t="n">
        <v>0</v>
      </c>
      <c r="V25" t="n">
        <v>0</v>
      </c>
      <c r="W25" t="inlineStr">
        <is>
          <t>CEC</t>
        </is>
      </c>
      <c r="X25" t="n">
        <v>82.73902972910399</v>
      </c>
      <c r="Y25" t="n">
        <v>442.1588304522587</v>
      </c>
      <c r="Z25" t="n">
        <v>503024.8355543329</v>
      </c>
      <c r="AA25" t="n">
        <v>0</v>
      </c>
      <c r="AB25" t="n">
        <v>0</v>
      </c>
      <c r="AC25" t="n">
        <v>0</v>
      </c>
      <c r="AD25" s="2" t="n">
        <v>44136</v>
      </c>
    </row>
    <row r="26">
      <c r="A26" t="n">
        <v>-1</v>
      </c>
      <c r="B26" t="inlineStr">
        <is>
          <t>01-11-2020</t>
        </is>
      </c>
      <c r="C26" t="n">
        <v>2020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2013/03_2_BS2A_BB_CEC_San Juan SpA.</t>
        </is>
      </c>
      <c r="K26" t="inlineStr">
        <is>
          <t>Teno 13.2</t>
        </is>
      </c>
      <c r="L26" t="inlineStr">
        <is>
          <t>-1</t>
        </is>
      </c>
      <c r="M26" t="n">
        <v>14157.0924383671</v>
      </c>
      <c r="N26" t="n">
        <v>0</v>
      </c>
      <c r="O26" t="inlineStr">
        <is>
          <t>5</t>
        </is>
      </c>
      <c r="P26" s="2" t="n">
        <v>44676.57923885417</v>
      </c>
      <c r="Q26" t="n">
        <v>34</v>
      </c>
      <c r="R26" t="inlineStr">
        <is>
          <t>CHARRUA 220</t>
        </is>
      </c>
      <c r="S26" t="n">
        <v>479.621653843385</v>
      </c>
      <c r="T26" t="n">
        <v>33280.60638818672</v>
      </c>
      <c r="U26" t="n">
        <v>0</v>
      </c>
      <c r="V26" t="n">
        <v>0</v>
      </c>
      <c r="W26" t="inlineStr">
        <is>
          <t>CEC</t>
        </is>
      </c>
      <c r="X26" t="n">
        <v>78.94117263853799</v>
      </c>
      <c r="Y26" t="n">
        <v>33.28060638818672</v>
      </c>
      <c r="Z26" t="n">
        <v>37861.89577723177</v>
      </c>
      <c r="AA26" t="n">
        <v>0</v>
      </c>
      <c r="AB26" t="n">
        <v>0</v>
      </c>
      <c r="AC26" t="n">
        <v>0</v>
      </c>
      <c r="AD26" s="2" t="n">
        <v>44136</v>
      </c>
    </row>
    <row r="27">
      <c r="A27" t="n">
        <v>-1</v>
      </c>
      <c r="B27" t="inlineStr">
        <is>
          <t>01-11-2020</t>
        </is>
      </c>
      <c r="C27" t="n">
        <v>2020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2013/03_2_BS2A_BB_CEC_San Juan SpA.</t>
        </is>
      </c>
      <c r="K27" t="inlineStr">
        <is>
          <t>Teno 13.2</t>
        </is>
      </c>
      <c r="L27" t="inlineStr">
        <is>
          <t>-1</t>
        </is>
      </c>
      <c r="M27" t="n">
        <v>14157.0924383671</v>
      </c>
      <c r="N27" t="n">
        <v>0</v>
      </c>
      <c r="O27" t="inlineStr">
        <is>
          <t>5</t>
        </is>
      </c>
      <c r="P27" s="2" t="n">
        <v>44676.57923885417</v>
      </c>
      <c r="Q27" t="n">
        <v>23</v>
      </c>
      <c r="R27" t="inlineStr">
        <is>
          <t>ITAHUE 220</t>
        </is>
      </c>
      <c r="S27" t="n">
        <v>7876.429177287732</v>
      </c>
      <c r="T27" t="n">
        <v>547420.2141938953</v>
      </c>
      <c r="U27" t="n">
        <v>0</v>
      </c>
      <c r="V27" t="n">
        <v>0</v>
      </c>
      <c r="W27" t="inlineStr">
        <is>
          <t>CEC</t>
        </is>
      </c>
      <c r="X27" t="n">
        <v>79.06833304089299</v>
      </c>
      <c r="Y27" t="n">
        <v>547.4202141938953</v>
      </c>
      <c r="Z27" t="n">
        <v>622776.1253627933</v>
      </c>
      <c r="AA27" t="n">
        <v>0</v>
      </c>
      <c r="AB27" t="n">
        <v>0</v>
      </c>
      <c r="AC27" t="n">
        <v>0</v>
      </c>
      <c r="AD27" s="2" t="n">
        <v>44136</v>
      </c>
    </row>
    <row r="28">
      <c r="A28" t="n">
        <v>-1</v>
      </c>
      <c r="B28" t="inlineStr">
        <is>
          <t>01-11-2020</t>
        </is>
      </c>
      <c r="C28" t="n">
        <v>2020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2013/03_2_BS2A_BB_CEC_San Juan SpA.</t>
        </is>
      </c>
      <c r="K28" t="inlineStr">
        <is>
          <t>Teno 13.2</t>
        </is>
      </c>
      <c r="L28" t="inlineStr">
        <is>
          <t>-1</t>
        </is>
      </c>
      <c r="M28" t="n">
        <v>14157.0924383671</v>
      </c>
      <c r="N28" t="n">
        <v>0</v>
      </c>
      <c r="O28" t="inlineStr">
        <is>
          <t>5</t>
        </is>
      </c>
      <c r="P28" s="2" t="n">
        <v>44676.57923885417</v>
      </c>
      <c r="Q28" t="n">
        <v>13</v>
      </c>
      <c r="R28" t="inlineStr">
        <is>
          <t>MELIPILLA 220</t>
        </is>
      </c>
      <c r="S28" t="n">
        <v>36.69843286418566</v>
      </c>
      <c r="T28" t="n">
        <v>2707.000426081735</v>
      </c>
      <c r="U28" t="n">
        <v>0</v>
      </c>
      <c r="V28" t="n">
        <v>0</v>
      </c>
      <c r="W28" t="inlineStr">
        <is>
          <t>CEC</t>
        </is>
      </c>
      <c r="X28" t="n">
        <v>83.917382687019</v>
      </c>
      <c r="Y28" t="n">
        <v>2.707000426081736</v>
      </c>
      <c r="Z28" t="n">
        <v>3079.636434677742</v>
      </c>
      <c r="AA28" t="n">
        <v>0</v>
      </c>
      <c r="AB28" t="n">
        <v>0</v>
      </c>
      <c r="AC28" t="n">
        <v>0</v>
      </c>
      <c r="AD28" s="2" t="n">
        <v>44136</v>
      </c>
    </row>
    <row r="29">
      <c r="A29" t="n">
        <v>-1</v>
      </c>
      <c r="B29" t="inlineStr">
        <is>
          <t>01-11-2020</t>
        </is>
      </c>
      <c r="C29" t="n">
        <v>2020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2013/03_2_BS2A_BB_CEC_San Juan SpA.</t>
        </is>
      </c>
      <c r="K29" t="inlineStr">
        <is>
          <t>Teno 13.2</t>
        </is>
      </c>
      <c r="L29" t="inlineStr">
        <is>
          <t>-1</t>
        </is>
      </c>
      <c r="M29" t="n">
        <v>14157.0924383671</v>
      </c>
      <c r="N29" t="n">
        <v>0</v>
      </c>
      <c r="O29" t="inlineStr">
        <is>
          <t>5</t>
        </is>
      </c>
      <c r="P29" s="2" t="n">
        <v>44676.57923885417</v>
      </c>
      <c r="Q29" t="n">
        <v>22</v>
      </c>
      <c r="R29" t="inlineStr">
        <is>
          <t>RAPEL 220</t>
        </is>
      </c>
      <c r="S29" t="n">
        <v>32.79551739384996</v>
      </c>
      <c r="T29" t="n">
        <v>2355.325260448594</v>
      </c>
      <c r="U29" t="n">
        <v>0</v>
      </c>
      <c r="V29" t="n">
        <v>0</v>
      </c>
      <c r="W29" t="inlineStr">
        <is>
          <t>CEC</t>
        </is>
      </c>
      <c r="X29" t="n">
        <v>81.704791841904</v>
      </c>
      <c r="Y29" t="n">
        <v>2.355325260448594</v>
      </c>
      <c r="Z29" t="n">
        <v>2679.550922012053</v>
      </c>
      <c r="AA29" t="n">
        <v>0</v>
      </c>
      <c r="AB29" t="n">
        <v>0</v>
      </c>
      <c r="AC29" t="n">
        <v>0</v>
      </c>
      <c r="AD29" s="2" t="n">
        <v>44136</v>
      </c>
    </row>
    <row r="30">
      <c r="A30" t="n">
        <v>-1</v>
      </c>
      <c r="B30" t="inlineStr">
        <is>
          <t>01-12-2020</t>
        </is>
      </c>
      <c r="C30" t="n">
        <v>2020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2013/03_2_BS2A_BB_CEC_San Juan SpA.</t>
        </is>
      </c>
      <c r="K30" t="inlineStr">
        <is>
          <t>Curico 13.2</t>
        </is>
      </c>
      <c r="L30" t="inlineStr">
        <is>
          <t>-1</t>
        </is>
      </c>
      <c r="M30" t="n">
        <v>37301.10318769537</v>
      </c>
      <c r="N30" t="n">
        <v>0</v>
      </c>
      <c r="O30" t="inlineStr">
        <is>
          <t>5</t>
        </is>
      </c>
      <c r="P30" s="2" t="n">
        <v>44676.57923885417</v>
      </c>
      <c r="Q30" t="n">
        <v>8</v>
      </c>
      <c r="R30" t="inlineStr">
        <is>
          <t>ALTO JAHUEL 220</t>
        </is>
      </c>
      <c r="S30" t="n">
        <v>15084.26663667096</v>
      </c>
      <c r="T30" t="n">
        <v>1097042.617824367</v>
      </c>
      <c r="U30" t="n">
        <v>0</v>
      </c>
      <c r="V30" t="n">
        <v>0</v>
      </c>
      <c r="W30" t="inlineStr">
        <is>
          <t>CEC</t>
        </is>
      </c>
      <c r="X30" t="n">
        <v>82.73902972910399</v>
      </c>
      <c r="Y30" t="n">
        <v>1097.042617824367</v>
      </c>
      <c r="Z30" t="n">
        <v>1248057.58569325</v>
      </c>
      <c r="AA30" t="n">
        <v>0</v>
      </c>
      <c r="AB30" t="n">
        <v>0</v>
      </c>
      <c r="AC30" t="n">
        <v>0</v>
      </c>
      <c r="AD30" s="2" t="n">
        <v>44166</v>
      </c>
    </row>
    <row r="31">
      <c r="A31" t="n">
        <v>-1</v>
      </c>
      <c r="B31" t="inlineStr">
        <is>
          <t>01-12-2020</t>
        </is>
      </c>
      <c r="C31" t="n">
        <v>2020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2013/03_2_BS2A_BB_CEC_San Juan SpA.</t>
        </is>
      </c>
      <c r="K31" t="inlineStr">
        <is>
          <t>Curico 13.2</t>
        </is>
      </c>
      <c r="L31" t="inlineStr">
        <is>
          <t>-1</t>
        </is>
      </c>
      <c r="M31" t="n">
        <v>37301.10318769537</v>
      </c>
      <c r="N31" t="n">
        <v>0</v>
      </c>
      <c r="O31" t="inlineStr">
        <is>
          <t>5</t>
        </is>
      </c>
      <c r="P31" s="2" t="n">
        <v>44676.57923885417</v>
      </c>
      <c r="Q31" t="n">
        <v>34</v>
      </c>
      <c r="R31" t="inlineStr">
        <is>
          <t>CHARRUA 220</t>
        </is>
      </c>
      <c r="S31" t="n">
        <v>3047.135475285206</v>
      </c>
      <c r="T31" t="n">
        <v>211438.5694469951</v>
      </c>
      <c r="U31" t="n">
        <v>0</v>
      </c>
      <c r="V31" t="n">
        <v>0</v>
      </c>
      <c r="W31" t="inlineStr">
        <is>
          <t>CEC</t>
        </is>
      </c>
      <c r="X31" t="n">
        <v>78.94117263853801</v>
      </c>
      <c r="Y31" t="n">
        <v>211.4385694469951</v>
      </c>
      <c r="Z31" t="n">
        <v>240544.447607503</v>
      </c>
      <c r="AA31" t="n">
        <v>0</v>
      </c>
      <c r="AB31" t="n">
        <v>0</v>
      </c>
      <c r="AC31" t="n">
        <v>0</v>
      </c>
      <c r="AD31" s="2" t="n">
        <v>44166</v>
      </c>
    </row>
    <row r="32">
      <c r="A32" t="n">
        <v>-1</v>
      </c>
      <c r="B32" t="inlineStr">
        <is>
          <t>01-12-2020</t>
        </is>
      </c>
      <c r="C32" t="n">
        <v>2020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2013/03_2_BS2A_BB_CEC_San Juan SpA.</t>
        </is>
      </c>
      <c r="K32" t="inlineStr">
        <is>
          <t>Curico 13.2</t>
        </is>
      </c>
      <c r="L32" t="inlineStr">
        <is>
          <t>-1</t>
        </is>
      </c>
      <c r="M32" t="n">
        <v>37301.10318769537</v>
      </c>
      <c r="N32" t="n">
        <v>0</v>
      </c>
      <c r="O32" t="inlineStr">
        <is>
          <t>5</t>
        </is>
      </c>
      <c r="P32" s="2" t="n">
        <v>44676.57923885417</v>
      </c>
      <c r="Q32" t="n">
        <v>23</v>
      </c>
      <c r="R32" t="inlineStr">
        <is>
          <t>ITAHUE 220</t>
        </is>
      </c>
      <c r="S32" t="n">
        <v>19931.19365408866</v>
      </c>
      <c r="T32" t="n">
        <v>1385239.180556989</v>
      </c>
      <c r="U32" t="n">
        <v>0</v>
      </c>
      <c r="V32" t="n">
        <v>0</v>
      </c>
      <c r="W32" t="inlineStr">
        <is>
          <t>CEC</t>
        </is>
      </c>
      <c r="X32" t="n">
        <v>79.06833304089299</v>
      </c>
      <c r="Y32" t="n">
        <v>1385.239180556989</v>
      </c>
      <c r="Z32" t="n">
        <v>1575926.257744015</v>
      </c>
      <c r="AA32" t="n">
        <v>0</v>
      </c>
      <c r="AB32" t="n">
        <v>0</v>
      </c>
      <c r="AC32" t="n">
        <v>0</v>
      </c>
      <c r="AD32" s="2" t="n">
        <v>44166</v>
      </c>
    </row>
    <row r="33">
      <c r="A33" t="n">
        <v>-1</v>
      </c>
      <c r="B33" t="inlineStr">
        <is>
          <t>01-12-2020</t>
        </is>
      </c>
      <c r="C33" t="n">
        <v>2020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2013/03_2_BS2A_BB_CEC_San Juan SpA.</t>
        </is>
      </c>
      <c r="K33" t="inlineStr">
        <is>
          <t>Curico 13.2</t>
        </is>
      </c>
      <c r="L33" t="inlineStr">
        <is>
          <t>-1</t>
        </is>
      </c>
      <c r="M33" t="n">
        <v>37301.10318769537</v>
      </c>
      <c r="N33" t="n">
        <v>0</v>
      </c>
      <c r="O33" t="inlineStr">
        <is>
          <t>5</t>
        </is>
      </c>
      <c r="P33" s="2" t="n">
        <v>44676.57923885417</v>
      </c>
      <c r="Q33" t="n">
        <v>13</v>
      </c>
      <c r="R33" t="inlineStr">
        <is>
          <t>MELIPILLA 220</t>
        </is>
      </c>
      <c r="S33" t="n">
        <v>68.04436049144755</v>
      </c>
      <c r="T33" t="n">
        <v>5019.181977728712</v>
      </c>
      <c r="U33" t="n">
        <v>0</v>
      </c>
      <c r="V33" t="n">
        <v>0</v>
      </c>
      <c r="W33" t="inlineStr">
        <is>
          <t>CEC</t>
        </is>
      </c>
      <c r="X33" t="n">
        <v>83.917382687019</v>
      </c>
      <c r="Y33" t="n">
        <v>5.019181977728712</v>
      </c>
      <c r="Z33" t="n">
        <v>5710.10463905428</v>
      </c>
      <c r="AA33" t="n">
        <v>0</v>
      </c>
      <c r="AB33" t="n">
        <v>0</v>
      </c>
      <c r="AC33" t="n">
        <v>0</v>
      </c>
      <c r="AD33" s="2" t="n">
        <v>44166</v>
      </c>
    </row>
    <row r="34">
      <c r="A34" t="n">
        <v>-1</v>
      </c>
      <c r="B34" t="inlineStr">
        <is>
          <t>01-12-2020</t>
        </is>
      </c>
      <c r="C34" t="n">
        <v>2020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2013/03_2_BS2A_BB_CEC_San Juan SpA.</t>
        </is>
      </c>
      <c r="K34" t="inlineStr">
        <is>
          <t>Curico 13.2</t>
        </is>
      </c>
      <c r="L34" t="inlineStr">
        <is>
          <t>-1</t>
        </is>
      </c>
      <c r="M34" t="n">
        <v>37301.10318769537</v>
      </c>
      <c r="N34" t="n">
        <v>0</v>
      </c>
      <c r="O34" t="inlineStr">
        <is>
          <t>5</t>
        </is>
      </c>
      <c r="P34" s="2" t="n">
        <v>44676.57923885417</v>
      </c>
      <c r="Q34" t="n">
        <v>22</v>
      </c>
      <c r="R34" t="inlineStr">
        <is>
          <t>RAPEL 220</t>
        </is>
      </c>
      <c r="S34" t="n">
        <v>87.65873110714364</v>
      </c>
      <c r="T34" t="n">
        <v>6295.519634468218</v>
      </c>
      <c r="U34" t="n">
        <v>0</v>
      </c>
      <c r="V34" t="n">
        <v>0</v>
      </c>
      <c r="W34" t="inlineStr">
        <is>
          <t>CEC</t>
        </is>
      </c>
      <c r="X34" t="n">
        <v>81.70479184190398</v>
      </c>
      <c r="Y34" t="n">
        <v>6.295519634468218</v>
      </c>
      <c r="Z34" t="n">
        <v>7162.138378234606</v>
      </c>
      <c r="AA34" t="n">
        <v>0</v>
      </c>
      <c r="AB34" t="n">
        <v>0</v>
      </c>
      <c r="AC34" t="n">
        <v>0</v>
      </c>
      <c r="AD34" s="2" t="n">
        <v>44166</v>
      </c>
    </row>
    <row r="35">
      <c r="A35" t="n">
        <v>-1</v>
      </c>
      <c r="B35" t="inlineStr">
        <is>
          <t>01-12-2020</t>
        </is>
      </c>
      <c r="C35" t="n">
        <v>2020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2013/03_2_BS2A_BB_CEC_San Juan SpA.</t>
        </is>
      </c>
      <c r="K35" t="inlineStr">
        <is>
          <t>Quinta 13.8</t>
        </is>
      </c>
      <c r="L35" t="inlineStr">
        <is>
          <t>-1</t>
        </is>
      </c>
      <c r="M35" t="n">
        <v>10521.14685287328</v>
      </c>
      <c r="N35" t="n">
        <v>0</v>
      </c>
      <c r="O35" t="inlineStr">
        <is>
          <t>5</t>
        </is>
      </c>
      <c r="P35" s="2" t="n">
        <v>44676.57923885417</v>
      </c>
      <c r="Q35" t="n">
        <v>8</v>
      </c>
      <c r="R35" t="inlineStr">
        <is>
          <t>ALTO JAHUEL 220</t>
        </is>
      </c>
      <c r="S35" t="n">
        <v>5145.870445650451</v>
      </c>
      <c r="T35" t="n">
        <v>374246.8441228307</v>
      </c>
      <c r="U35" t="n">
        <v>0</v>
      </c>
      <c r="V35" t="n">
        <v>0</v>
      </c>
      <c r="W35" t="inlineStr">
        <is>
          <t>CEC</t>
        </is>
      </c>
      <c r="X35" t="n">
        <v>82.73902972910399</v>
      </c>
      <c r="Y35" t="n">
        <v>374.2468441228306</v>
      </c>
      <c r="Z35" t="n">
        <v>425764.3277847903</v>
      </c>
      <c r="AA35" t="n">
        <v>0</v>
      </c>
      <c r="AB35" t="n">
        <v>0</v>
      </c>
      <c r="AC35" t="n">
        <v>0</v>
      </c>
      <c r="AD35" s="2" t="n">
        <v>44166</v>
      </c>
    </row>
    <row r="36">
      <c r="A36" t="n">
        <v>-1</v>
      </c>
      <c r="B36" t="inlineStr">
        <is>
          <t>01-12-2020</t>
        </is>
      </c>
      <c r="C36" t="n">
        <v>2020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2013/03_2_BS2A_BB_CEC_San Juan SpA.</t>
        </is>
      </c>
      <c r="K36" t="inlineStr">
        <is>
          <t>Quinta 13.8</t>
        </is>
      </c>
      <c r="L36" t="inlineStr">
        <is>
          <t>-1</t>
        </is>
      </c>
      <c r="M36" t="n">
        <v>10521.14685287328</v>
      </c>
      <c r="N36" t="n">
        <v>0</v>
      </c>
      <c r="O36" t="inlineStr">
        <is>
          <t>5</t>
        </is>
      </c>
      <c r="P36" s="2" t="n">
        <v>44676.57923885417</v>
      </c>
      <c r="Q36" t="n">
        <v>34</v>
      </c>
      <c r="R36" t="inlineStr">
        <is>
          <t>CHARRUA 220</t>
        </is>
      </c>
      <c r="S36" t="n">
        <v>548.9217304463226</v>
      </c>
      <c r="T36" t="n">
        <v>38089.28955253498</v>
      </c>
      <c r="U36" t="n">
        <v>0</v>
      </c>
      <c r="V36" t="n">
        <v>0</v>
      </c>
      <c r="W36" t="inlineStr">
        <is>
          <t>CEC</t>
        </is>
      </c>
      <c r="X36" t="n">
        <v>78.94117263853799</v>
      </c>
      <c r="Y36" t="n">
        <v>38.08928955253498</v>
      </c>
      <c r="Z36" t="n">
        <v>43332.52508820817</v>
      </c>
      <c r="AA36" t="n">
        <v>0</v>
      </c>
      <c r="AB36" t="n">
        <v>0</v>
      </c>
      <c r="AC36" t="n">
        <v>0</v>
      </c>
      <c r="AD36" s="2" t="n">
        <v>44166</v>
      </c>
    </row>
    <row r="37">
      <c r="A37" t="n">
        <v>-1</v>
      </c>
      <c r="B37" t="inlineStr">
        <is>
          <t>01-12-2020</t>
        </is>
      </c>
      <c r="C37" t="n">
        <v>2020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2013/03_2_BS2A_BB_CEC_San Juan SpA.</t>
        </is>
      </c>
      <c r="K37" t="inlineStr">
        <is>
          <t>Quinta 13.8</t>
        </is>
      </c>
      <c r="L37" t="inlineStr">
        <is>
          <t>-1</t>
        </is>
      </c>
      <c r="M37" t="n">
        <v>10521.14685287328</v>
      </c>
      <c r="N37" t="n">
        <v>0</v>
      </c>
      <c r="O37" t="inlineStr">
        <is>
          <t>5</t>
        </is>
      </c>
      <c r="P37" s="2" t="n">
        <v>44676.57923885417</v>
      </c>
      <c r="Q37" t="n">
        <v>23</v>
      </c>
      <c r="R37" t="inlineStr">
        <is>
          <t>ITAHUE 220</t>
        </is>
      </c>
      <c r="S37" t="n">
        <v>5071.317227901585</v>
      </c>
      <c r="T37" t="n">
        <v>352461.9469884001</v>
      </c>
      <c r="U37" t="n">
        <v>0</v>
      </c>
      <c r="V37" t="n">
        <v>0</v>
      </c>
      <c r="W37" t="inlineStr">
        <is>
          <t>CEC</t>
        </is>
      </c>
      <c r="X37" t="n">
        <v>79.06833304089299</v>
      </c>
      <c r="Y37" t="n">
        <v>352.4619469884001</v>
      </c>
      <c r="Z37" t="n">
        <v>400980.5995317408</v>
      </c>
      <c r="AA37" t="n">
        <v>0</v>
      </c>
      <c r="AB37" t="n">
        <v>0</v>
      </c>
      <c r="AC37" t="n">
        <v>0</v>
      </c>
      <c r="AD37" s="2" t="n">
        <v>44166</v>
      </c>
    </row>
    <row r="38">
      <c r="A38" t="n">
        <v>-1</v>
      </c>
      <c r="B38" t="inlineStr">
        <is>
          <t>01-12-2020</t>
        </is>
      </c>
      <c r="C38" t="n">
        <v>2020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2013/03_2_BS2A_BB_CEC_San Juan SpA.</t>
        </is>
      </c>
      <c r="K38" t="inlineStr">
        <is>
          <t>Quinta 13.8</t>
        </is>
      </c>
      <c r="L38" t="inlineStr">
        <is>
          <t>-1</t>
        </is>
      </c>
      <c r="M38" t="n">
        <v>10521.14685287328</v>
      </c>
      <c r="N38" t="n">
        <v>0</v>
      </c>
      <c r="O38" t="inlineStr">
        <is>
          <t>5</t>
        </is>
      </c>
      <c r="P38" s="2" t="n">
        <v>44676.57923885417</v>
      </c>
      <c r="Q38" t="n">
        <v>22</v>
      </c>
      <c r="R38" t="inlineStr">
        <is>
          <t>RAPEL 220</t>
        </is>
      </c>
      <c r="S38" t="n">
        <v>13.74160268466422</v>
      </c>
      <c r="T38" t="n">
        <v>986.9014577067578</v>
      </c>
      <c r="U38" t="n">
        <v>0</v>
      </c>
      <c r="V38" t="n">
        <v>0</v>
      </c>
      <c r="W38" t="inlineStr">
        <is>
          <t>CEC</t>
        </is>
      </c>
      <c r="X38" t="n">
        <v>81.704791841904</v>
      </c>
      <c r="Y38" t="n">
        <v>0.9869014577067577</v>
      </c>
      <c r="Z38" t="n">
        <v>1122.754786924639</v>
      </c>
      <c r="AA38" t="n">
        <v>0</v>
      </c>
      <c r="AB38" t="n">
        <v>0</v>
      </c>
      <c r="AC38" t="n">
        <v>0</v>
      </c>
      <c r="AD38" s="2" t="n">
        <v>44166</v>
      </c>
    </row>
    <row r="39">
      <c r="A39" t="n">
        <v>-1</v>
      </c>
      <c r="B39" t="inlineStr">
        <is>
          <t>01-12-2020</t>
        </is>
      </c>
      <c r="C39" t="n">
        <v>2020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2013/03_2_BS2A_BB_CEC_San Juan SpA.</t>
        </is>
      </c>
      <c r="K39" t="inlineStr">
        <is>
          <t>Teno 13.2</t>
        </is>
      </c>
      <c r="L39" t="inlineStr">
        <is>
          <t>-1</t>
        </is>
      </c>
      <c r="M39" t="n">
        <v>16708.49892951582</v>
      </c>
      <c r="N39" t="n">
        <v>0</v>
      </c>
      <c r="O39" t="inlineStr">
        <is>
          <t>5</t>
        </is>
      </c>
      <c r="P39" s="2" t="n">
        <v>44676.57923885417</v>
      </c>
      <c r="Q39" t="n">
        <v>8</v>
      </c>
      <c r="R39" t="inlineStr">
        <is>
          <t>ALTO JAHUEL 220</t>
        </is>
      </c>
      <c r="S39" t="n">
        <v>7175.338128913826</v>
      </c>
      <c r="T39" t="n">
        <v>521845.1724780609</v>
      </c>
      <c r="U39" t="n">
        <v>0</v>
      </c>
      <c r="V39" t="n">
        <v>0</v>
      </c>
      <c r="W39" t="inlineStr">
        <is>
          <t>CEC</t>
        </is>
      </c>
      <c r="X39" t="n">
        <v>82.73902972910399</v>
      </c>
      <c r="Y39" t="n">
        <v>521.8451724780609</v>
      </c>
      <c r="Z39" t="n">
        <v>593680.5147645744</v>
      </c>
      <c r="AA39" t="n">
        <v>0</v>
      </c>
      <c r="AB39" t="n">
        <v>0</v>
      </c>
      <c r="AC39" t="n">
        <v>0</v>
      </c>
      <c r="AD39" s="2" t="n">
        <v>44166</v>
      </c>
    </row>
    <row r="40">
      <c r="A40" t="n">
        <v>-1</v>
      </c>
      <c r="B40" t="inlineStr">
        <is>
          <t>01-12-2020</t>
        </is>
      </c>
      <c r="C40" t="n">
        <v>2020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2013/03_2_BS2A_BB_CEC_San Juan SpA.</t>
        </is>
      </c>
      <c r="K40" t="inlineStr">
        <is>
          <t>Teno 13.2</t>
        </is>
      </c>
      <c r="L40" t="inlineStr">
        <is>
          <t>-1</t>
        </is>
      </c>
      <c r="M40" t="n">
        <v>16708.49892951582</v>
      </c>
      <c r="N40" t="n">
        <v>0</v>
      </c>
      <c r="O40" t="inlineStr">
        <is>
          <t>5</t>
        </is>
      </c>
      <c r="P40" s="2" t="n">
        <v>44676.57923885417</v>
      </c>
      <c r="Q40" t="n">
        <v>34</v>
      </c>
      <c r="R40" t="inlineStr">
        <is>
          <t>CHARRUA 220</t>
        </is>
      </c>
      <c r="S40" t="n">
        <v>566.0595863665297</v>
      </c>
      <c r="T40" t="n">
        <v>39278.47321980142</v>
      </c>
      <c r="U40" t="n">
        <v>0</v>
      </c>
      <c r="V40" t="n">
        <v>0</v>
      </c>
      <c r="W40" t="inlineStr">
        <is>
          <t>CEC</t>
        </is>
      </c>
      <c r="X40" t="n">
        <v>78.94117263853798</v>
      </c>
      <c r="Y40" t="n">
        <v>39.27847321980141</v>
      </c>
      <c r="Z40" t="n">
        <v>44685.40753105963</v>
      </c>
      <c r="AA40" t="n">
        <v>0</v>
      </c>
      <c r="AB40" t="n">
        <v>0</v>
      </c>
      <c r="AC40" t="n">
        <v>0</v>
      </c>
      <c r="AD40" s="2" t="n">
        <v>44166</v>
      </c>
    </row>
    <row r="41">
      <c r="A41" t="n">
        <v>-1</v>
      </c>
      <c r="B41" t="inlineStr">
        <is>
          <t>01-12-2020</t>
        </is>
      </c>
      <c r="C41" t="n">
        <v>2020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2013/03_2_BS2A_BB_CEC_San Juan SpA.</t>
        </is>
      </c>
      <c r="K41" t="inlineStr">
        <is>
          <t>Teno 13.2</t>
        </is>
      </c>
      <c r="L41" t="inlineStr">
        <is>
          <t>-1</t>
        </is>
      </c>
      <c r="M41" t="n">
        <v>16708.49892951582</v>
      </c>
      <c r="N41" t="n">
        <v>0</v>
      </c>
      <c r="O41" t="inlineStr">
        <is>
          <t>5</t>
        </is>
      </c>
      <c r="P41" s="2" t="n">
        <v>44676.57923885417</v>
      </c>
      <c r="Q41" t="n">
        <v>23</v>
      </c>
      <c r="R41" t="inlineStr">
        <is>
          <t>ITAHUE 220</t>
        </is>
      </c>
      <c r="S41" t="n">
        <v>9295.927751411828</v>
      </c>
      <c r="T41" t="n">
        <v>646076.8764966121</v>
      </c>
      <c r="U41" t="n">
        <v>0</v>
      </c>
      <c r="V41" t="n">
        <v>0</v>
      </c>
      <c r="W41" t="inlineStr">
        <is>
          <t>CEC</t>
        </is>
      </c>
      <c r="X41" t="n">
        <v>79.06833304089301</v>
      </c>
      <c r="Y41" t="n">
        <v>646.0768764966122</v>
      </c>
      <c r="Z41" t="n">
        <v>735013.51137271</v>
      </c>
      <c r="AA41" t="n">
        <v>0</v>
      </c>
      <c r="AB41" t="n">
        <v>0</v>
      </c>
      <c r="AC41" t="n">
        <v>0</v>
      </c>
      <c r="AD41" s="2" t="n">
        <v>44166</v>
      </c>
    </row>
    <row r="42">
      <c r="A42" t="n">
        <v>-1</v>
      </c>
      <c r="B42" t="inlineStr">
        <is>
          <t>01-12-2020</t>
        </is>
      </c>
      <c r="C42" t="n">
        <v>2020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2013/03_2_BS2A_BB_CEC_San Juan SpA.</t>
        </is>
      </c>
      <c r="K42" t="inlineStr">
        <is>
          <t>Teno 13.2</t>
        </is>
      </c>
      <c r="L42" t="inlineStr">
        <is>
          <t>-1</t>
        </is>
      </c>
      <c r="M42" t="n">
        <v>16708.49892951582</v>
      </c>
      <c r="N42" t="n">
        <v>0</v>
      </c>
      <c r="O42" t="inlineStr">
        <is>
          <t>5</t>
        </is>
      </c>
      <c r="P42" s="2" t="n">
        <v>44676.57923885417</v>
      </c>
      <c r="Q42" t="n">
        <v>13</v>
      </c>
      <c r="R42" t="inlineStr">
        <is>
          <t>MELIPILLA 220</t>
        </is>
      </c>
      <c r="S42" t="n">
        <v>43.3122640750998</v>
      </c>
      <c r="T42" t="n">
        <v>3194.858966860178</v>
      </c>
      <c r="U42" t="n">
        <v>0</v>
      </c>
      <c r="V42" t="n">
        <v>0</v>
      </c>
      <c r="W42" t="inlineStr">
        <is>
          <t>CEC</t>
        </is>
      </c>
      <c r="X42" t="n">
        <v>83.91738268701899</v>
      </c>
      <c r="Y42" t="n">
        <v>3.194858966860178</v>
      </c>
      <c r="Z42" t="n">
        <v>3634.651839431374</v>
      </c>
      <c r="AA42" t="n">
        <v>0</v>
      </c>
      <c r="AB42" t="n">
        <v>0</v>
      </c>
      <c r="AC42" t="n">
        <v>0</v>
      </c>
      <c r="AD42" s="2" t="n">
        <v>44166</v>
      </c>
    </row>
    <row r="43">
      <c r="A43" t="n">
        <v>-1</v>
      </c>
      <c r="B43" t="inlineStr">
        <is>
          <t>01-12-2020</t>
        </is>
      </c>
      <c r="C43" t="n">
        <v>2020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2013/03_2_BS2A_BB_CEC_San Juan SpA.</t>
        </is>
      </c>
      <c r="K43" t="inlineStr">
        <is>
          <t>Teno 13.2</t>
        </is>
      </c>
      <c r="L43" t="inlineStr">
        <is>
          <t>-1</t>
        </is>
      </c>
      <c r="M43" t="n">
        <v>16708.49892951582</v>
      </c>
      <c r="N43" t="n">
        <v>0</v>
      </c>
      <c r="O43" t="inlineStr">
        <is>
          <t>5</t>
        </is>
      </c>
      <c r="P43" s="2" t="n">
        <v>44676.57923885417</v>
      </c>
      <c r="Q43" t="n">
        <v>22</v>
      </c>
      <c r="R43" t="inlineStr">
        <is>
          <t>RAPEL 220</t>
        </is>
      </c>
      <c r="S43" t="n">
        <v>38.70596096293219</v>
      </c>
      <c r="T43" t="n">
        <v>2779.804523011651</v>
      </c>
      <c r="U43" t="n">
        <v>0</v>
      </c>
      <c r="V43" t="n">
        <v>0</v>
      </c>
      <c r="W43" t="inlineStr">
        <is>
          <t>CEC</t>
        </is>
      </c>
      <c r="X43" t="n">
        <v>81.704791841904</v>
      </c>
      <c r="Y43" t="n">
        <v>2.779804523011651</v>
      </c>
      <c r="Z43" t="n">
        <v>3162.462483517237</v>
      </c>
      <c r="AA43" t="n">
        <v>0</v>
      </c>
      <c r="AB43" t="n">
        <v>0</v>
      </c>
      <c r="AC43" t="n">
        <v>0</v>
      </c>
      <c r="AD43" s="2" t="n">
        <v>44166</v>
      </c>
    </row>
    <row r="44">
      <c r="A44" t="n">
        <v>-1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Curico 13.2</t>
        </is>
      </c>
      <c r="F44" t="inlineStr">
        <is>
          <t>CEC</t>
        </is>
      </c>
      <c r="G44" t="inlineStr">
        <is>
          <t>CEC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2013/03_2_BS2A_BB_CEC_San Juan SpA.</t>
        </is>
      </c>
      <c r="K44" t="inlineStr">
        <is>
          <t>Curico 13.2</t>
        </is>
      </c>
      <c r="L44" t="inlineStr">
        <is>
          <t>-1</t>
        </is>
      </c>
      <c r="M44" t="n">
        <v>30697.48033520564</v>
      </c>
      <c r="N44" t="n">
        <v>0</v>
      </c>
      <c r="O44" t="inlineStr">
        <is>
          <t>5</t>
        </is>
      </c>
      <c r="P44" s="2" t="n">
        <v>44676.57923885417</v>
      </c>
      <c r="Q44" t="n">
        <v>8</v>
      </c>
      <c r="R44" t="inlineStr">
        <is>
          <t>ALTO JAHUEL 220</t>
        </is>
      </c>
      <c r="S44" t="n">
        <v>12821.33700037525</v>
      </c>
      <c r="T44" t="n">
        <v>989003.0578853466</v>
      </c>
      <c r="U44" t="n">
        <v>0</v>
      </c>
      <c r="V44" t="n">
        <v>0</v>
      </c>
      <c r="W44" t="inlineStr">
        <is>
          <t>CEC</t>
        </is>
      </c>
      <c r="X44" t="n">
        <v>85.23456316645158</v>
      </c>
      <c r="Y44" t="n">
        <v>989.0030578853467</v>
      </c>
      <c r="Z44" t="n">
        <v>1092821.058436847</v>
      </c>
      <c r="AA44" t="n">
        <v>0</v>
      </c>
      <c r="AB44" t="n">
        <v>0</v>
      </c>
      <c r="AC44" t="n">
        <v>0</v>
      </c>
      <c r="AD44" s="2" t="n">
        <v>44197</v>
      </c>
    </row>
    <row r="45">
      <c r="A45" t="n">
        <v>-1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Curico 13.2</t>
        </is>
      </c>
      <c r="F45" t="inlineStr">
        <is>
          <t>CEC</t>
        </is>
      </c>
      <c r="G45" t="inlineStr">
        <is>
          <t>CEC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2013/03_2_BS2A_BB_CEC_San Juan SpA.</t>
        </is>
      </c>
      <c r="K45" t="inlineStr">
        <is>
          <t>Curico 13.2</t>
        </is>
      </c>
      <c r="L45" t="inlineStr">
        <is>
          <t>-1</t>
        </is>
      </c>
      <c r="M45" t="n">
        <v>30697.48033520564</v>
      </c>
      <c r="N45" t="n">
        <v>0</v>
      </c>
      <c r="O45" t="inlineStr">
        <is>
          <t>5</t>
        </is>
      </c>
      <c r="P45" s="2" t="n">
        <v>44676.57923885417</v>
      </c>
      <c r="Q45" t="n">
        <v>34</v>
      </c>
      <c r="R45" t="inlineStr">
        <is>
          <t>CHARRUA 220</t>
        </is>
      </c>
      <c r="S45" t="n">
        <v>1839.249914603218</v>
      </c>
      <c r="T45" t="n">
        <v>130877.3701562991</v>
      </c>
      <c r="U45" t="n">
        <v>0</v>
      </c>
      <c r="V45" t="n">
        <v>0</v>
      </c>
      <c r="W45" t="inlineStr">
        <is>
          <t>CEC</t>
        </is>
      </c>
      <c r="X45" t="n">
        <v>78.62763916829806</v>
      </c>
      <c r="Y45" t="n">
        <v>130.8773701562991</v>
      </c>
      <c r="Z45" t="n">
        <v>144615.8786257448</v>
      </c>
      <c r="AA45" t="n">
        <v>0</v>
      </c>
      <c r="AB45" t="n">
        <v>0</v>
      </c>
      <c r="AC45" t="n">
        <v>0</v>
      </c>
      <c r="AD45" s="2" t="n">
        <v>44197</v>
      </c>
    </row>
    <row r="46">
      <c r="A46" t="n">
        <v>-1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Curico 13.2</t>
        </is>
      </c>
      <c r="F46" t="inlineStr">
        <is>
          <t>CEC</t>
        </is>
      </c>
      <c r="G46" t="inlineStr">
        <is>
          <t>CEC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2013/03_2_BS2A_BB_CEC_San Juan SpA.</t>
        </is>
      </c>
      <c r="K46" t="inlineStr">
        <is>
          <t>Curico 13.2</t>
        </is>
      </c>
      <c r="L46" t="inlineStr">
        <is>
          <t>-1</t>
        </is>
      </c>
      <c r="M46" t="n">
        <v>30697.48033520564</v>
      </c>
      <c r="N46" t="n">
        <v>0</v>
      </c>
      <c r="O46" t="inlineStr">
        <is>
          <t>5</t>
        </is>
      </c>
      <c r="P46" s="2" t="n">
        <v>44676.57923885417</v>
      </c>
      <c r="Q46" t="n">
        <v>23</v>
      </c>
      <c r="R46" t="inlineStr">
        <is>
          <t>ITAHUE 220</t>
        </is>
      </c>
      <c r="S46" t="n">
        <v>16743.20565993123</v>
      </c>
      <c r="T46" t="n">
        <v>1215911.580927893</v>
      </c>
      <c r="U46" t="n">
        <v>0</v>
      </c>
      <c r="V46" t="n">
        <v>0</v>
      </c>
      <c r="W46" t="inlineStr">
        <is>
          <t>CEC</t>
        </is>
      </c>
      <c r="X46" t="n">
        <v>80.24441289775898</v>
      </c>
      <c r="Y46" t="n">
        <v>1215.911580927893</v>
      </c>
      <c r="Z46" t="n">
        <v>1343548.708207617</v>
      </c>
      <c r="AA46" t="n">
        <v>0</v>
      </c>
      <c r="AB46" t="n">
        <v>0</v>
      </c>
      <c r="AC46" t="n">
        <v>0</v>
      </c>
      <c r="AD46" s="2" t="n">
        <v>44197</v>
      </c>
    </row>
    <row r="47">
      <c r="A47" t="n">
        <v>-1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Curico 13.2</t>
        </is>
      </c>
      <c r="F47" t="inlineStr">
        <is>
          <t>CEC</t>
        </is>
      </c>
      <c r="G47" t="inlineStr">
        <is>
          <t>CEC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2013/03_2_BS2A_BB_CEC_San Juan SpA.</t>
        </is>
      </c>
      <c r="K47" t="inlineStr">
        <is>
          <t>Curico 13.2</t>
        </is>
      </c>
      <c r="L47" t="inlineStr">
        <is>
          <t>-1</t>
        </is>
      </c>
      <c r="M47" t="n">
        <v>30697.48033520564</v>
      </c>
      <c r="N47" t="n">
        <v>0</v>
      </c>
      <c r="O47" t="inlineStr">
        <is>
          <t>5</t>
        </is>
      </c>
      <c r="P47" s="2" t="n">
        <v>44676.57923885417</v>
      </c>
      <c r="Q47" t="n">
        <v>13</v>
      </c>
      <c r="R47" t="inlineStr">
        <is>
          <t>MELIPILLA 220</t>
        </is>
      </c>
      <c r="S47" t="n">
        <v>47.36059290516462</v>
      </c>
      <c r="T47" t="n">
        <v>3722.564383046937</v>
      </c>
      <c r="U47" t="n">
        <v>0</v>
      </c>
      <c r="V47" t="n">
        <v>0</v>
      </c>
      <c r="W47" t="inlineStr">
        <is>
          <t>CEC</t>
        </is>
      </c>
      <c r="X47" t="n">
        <v>86.8513368959125</v>
      </c>
      <c r="Y47" t="n">
        <v>3.722564383046937</v>
      </c>
      <c r="Z47" t="n">
        <v>4113.330809996615</v>
      </c>
      <c r="AA47" t="n">
        <v>0</v>
      </c>
      <c r="AB47" t="n">
        <v>0</v>
      </c>
      <c r="AC47" t="n">
        <v>0</v>
      </c>
      <c r="AD47" s="2" t="n">
        <v>44197</v>
      </c>
    </row>
    <row r="48">
      <c r="A48" t="n">
        <v>-1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Curico 13.2</t>
        </is>
      </c>
      <c r="F48" t="inlineStr">
        <is>
          <t>CEC</t>
        </is>
      </c>
      <c r="G48" t="inlineStr">
        <is>
          <t>CEC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2013/03_2_BS2A_BB_CEC_San Juan SpA.</t>
        </is>
      </c>
      <c r="K48" t="inlineStr">
        <is>
          <t>Curico 13.2</t>
        </is>
      </c>
      <c r="L48" t="inlineStr">
        <is>
          <t>-1</t>
        </is>
      </c>
      <c r="M48" t="n">
        <v>30697.48033520564</v>
      </c>
      <c r="N48" t="n">
        <v>0</v>
      </c>
      <c r="O48" t="inlineStr">
        <is>
          <t>5</t>
        </is>
      </c>
      <c r="P48" s="2" t="n">
        <v>44676.57923885417</v>
      </c>
      <c r="Q48" t="n">
        <v>22</v>
      </c>
      <c r="R48" t="inlineStr">
        <is>
          <t>RAPEL 220</t>
        </is>
      </c>
      <c r="S48" t="n">
        <v>50.49268893535596</v>
      </c>
      <c r="T48" t="n">
        <v>3959.563502326013</v>
      </c>
      <c r="U48" t="n">
        <v>0</v>
      </c>
      <c r="V48" t="n">
        <v>0</v>
      </c>
      <c r="W48" t="inlineStr">
        <is>
          <t>CEC</t>
        </is>
      </c>
      <c r="X48" t="n">
        <v>86.65033259497083</v>
      </c>
      <c r="Y48" t="n">
        <v>3.959563502326013</v>
      </c>
      <c r="Z48" t="n">
        <v>4375.208289862998</v>
      </c>
      <c r="AA48" t="n">
        <v>0</v>
      </c>
      <c r="AB48" t="n">
        <v>0</v>
      </c>
      <c r="AC48" t="n">
        <v>0</v>
      </c>
      <c r="AD48" s="2" t="n">
        <v>44197</v>
      </c>
    </row>
    <row r="49">
      <c r="A49" t="n">
        <v>-1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Quinta 13.8</t>
        </is>
      </c>
      <c r="F49" t="inlineStr">
        <is>
          <t>CEC</t>
        </is>
      </c>
      <c r="G49" t="inlineStr">
        <is>
          <t>CEC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2013/03_2_BS2A_BB_CEC_San Juan SpA.</t>
        </is>
      </c>
      <c r="K49" t="inlineStr">
        <is>
          <t>Quinta 13.8</t>
        </is>
      </c>
      <c r="L49" t="inlineStr">
        <is>
          <t>-1</t>
        </is>
      </c>
      <c r="M49" t="n">
        <v>9103.902258149275</v>
      </c>
      <c r="N49" t="n">
        <v>0</v>
      </c>
      <c r="O49" t="inlineStr">
        <is>
          <t>5</t>
        </is>
      </c>
      <c r="P49" s="2" t="n">
        <v>44676.57923885417</v>
      </c>
      <c r="Q49" t="n">
        <v>8</v>
      </c>
      <c r="R49" t="inlineStr">
        <is>
          <t>ALTO JAHUEL 220</t>
        </is>
      </c>
      <c r="S49" t="n">
        <v>4519.228247582994</v>
      </c>
      <c r="T49" t="n">
        <v>348600.9732066636</v>
      </c>
      <c r="U49" t="n">
        <v>0</v>
      </c>
      <c r="V49" t="n">
        <v>0</v>
      </c>
      <c r="W49" t="inlineStr">
        <is>
          <t>CEC</t>
        </is>
      </c>
      <c r="X49" t="n">
        <v>85.23456316645158</v>
      </c>
      <c r="Y49" t="n">
        <v>348.6009732066636</v>
      </c>
      <c r="Z49" t="n">
        <v>385194.445532225</v>
      </c>
      <c r="AA49" t="n">
        <v>0</v>
      </c>
      <c r="AB49" t="n">
        <v>0</v>
      </c>
      <c r="AC49" t="n">
        <v>0</v>
      </c>
      <c r="AD49" s="2" t="n">
        <v>44197</v>
      </c>
    </row>
    <row r="50">
      <c r="A50" t="n">
        <v>-1</v>
      </c>
      <c r="B50" t="inlineStr">
        <is>
          <t>01-01-2021</t>
        </is>
      </c>
      <c r="C50" t="n">
        <v>2021</v>
      </c>
      <c r="D50" t="n">
        <v>1</v>
      </c>
      <c r="E50" t="inlineStr">
        <is>
          <t>Quinta 13.8</t>
        </is>
      </c>
      <c r="F50" t="inlineStr">
        <is>
          <t>CEC</t>
        </is>
      </c>
      <c r="G50" t="inlineStr">
        <is>
          <t>CEC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2013/03_2_BS2A_BB_CEC_San Juan SpA.</t>
        </is>
      </c>
      <c r="K50" t="inlineStr">
        <is>
          <t>Quinta 13.8</t>
        </is>
      </c>
      <c r="L50" t="inlineStr">
        <is>
          <t>-1</t>
        </is>
      </c>
      <c r="M50" t="n">
        <v>9103.902258149275</v>
      </c>
      <c r="N50" t="n">
        <v>0</v>
      </c>
      <c r="O50" t="inlineStr">
        <is>
          <t>5</t>
        </is>
      </c>
      <c r="P50" s="2" t="n">
        <v>44676.57923885417</v>
      </c>
      <c r="Q50" t="n">
        <v>34</v>
      </c>
      <c r="R50" t="inlineStr">
        <is>
          <t>CHARRUA 220</t>
        </is>
      </c>
      <c r="S50" t="n">
        <v>308.2994146539583</v>
      </c>
      <c r="T50" t="n">
        <v>21937.97389374408</v>
      </c>
      <c r="U50" t="n">
        <v>0</v>
      </c>
      <c r="V50" t="n">
        <v>0</v>
      </c>
      <c r="W50" t="inlineStr">
        <is>
          <t>CEC</t>
        </is>
      </c>
      <c r="X50" t="n">
        <v>78.62763916829806</v>
      </c>
      <c r="Y50" t="n">
        <v>21.93797389374408</v>
      </c>
      <c r="Z50" t="n">
        <v>24240.85513120893</v>
      </c>
      <c r="AA50" t="n">
        <v>0</v>
      </c>
      <c r="AB50" t="n">
        <v>0</v>
      </c>
      <c r="AC50" t="n">
        <v>0</v>
      </c>
      <c r="AD50" s="2" t="n">
        <v>44197</v>
      </c>
    </row>
    <row r="51">
      <c r="A51" t="n">
        <v>-1</v>
      </c>
      <c r="B51" t="inlineStr">
        <is>
          <t>01-01-2021</t>
        </is>
      </c>
      <c r="C51" t="n">
        <v>2021</v>
      </c>
      <c r="D51" t="n">
        <v>1</v>
      </c>
      <c r="E51" t="inlineStr">
        <is>
          <t>Quinta 13.8</t>
        </is>
      </c>
      <c r="F51" t="inlineStr">
        <is>
          <t>CEC</t>
        </is>
      </c>
      <c r="G51" t="inlineStr">
        <is>
          <t>CEC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2013/03_2_BS2A_BB_CEC_San Juan SpA.</t>
        </is>
      </c>
      <c r="K51" t="inlineStr">
        <is>
          <t>Quinta 13.8</t>
        </is>
      </c>
      <c r="L51" t="inlineStr">
        <is>
          <t>-1</t>
        </is>
      </c>
      <c r="M51" t="n">
        <v>9103.902258149275</v>
      </c>
      <c r="N51" t="n">
        <v>0</v>
      </c>
      <c r="O51" t="inlineStr">
        <is>
          <t>5</t>
        </is>
      </c>
      <c r="P51" s="2" t="n">
        <v>44676.57923885417</v>
      </c>
      <c r="Q51" t="n">
        <v>23</v>
      </c>
      <c r="R51" t="inlineStr">
        <is>
          <t>ITAHUE 220</t>
        </is>
      </c>
      <c r="S51" t="n">
        <v>4507.65421929644</v>
      </c>
      <c r="T51" t="n">
        <v>327351.2300680618</v>
      </c>
      <c r="U51" t="n">
        <v>0</v>
      </c>
      <c r="V51" t="n">
        <v>0</v>
      </c>
      <c r="W51" t="inlineStr">
        <is>
          <t>CEC</t>
        </is>
      </c>
      <c r="X51" t="n">
        <v>80.24441289775898</v>
      </c>
      <c r="Y51" t="n">
        <v>327.3512300680617</v>
      </c>
      <c r="Z51" t="n">
        <v>361714.0663735489</v>
      </c>
      <c r="AA51" t="n">
        <v>0</v>
      </c>
      <c r="AB51" t="n">
        <v>0</v>
      </c>
      <c r="AC51" t="n">
        <v>0</v>
      </c>
      <c r="AD51" s="2" t="n">
        <v>44197</v>
      </c>
    </row>
    <row r="52">
      <c r="A52" t="n">
        <v>-1</v>
      </c>
      <c r="B52" t="inlineStr">
        <is>
          <t>01-01-2021</t>
        </is>
      </c>
      <c r="C52" t="n">
        <v>2021</v>
      </c>
      <c r="D52" t="n">
        <v>1</v>
      </c>
      <c r="E52" t="inlineStr">
        <is>
          <t>Quinta 13.8</t>
        </is>
      </c>
      <c r="F52" t="inlineStr">
        <is>
          <t>CEC</t>
        </is>
      </c>
      <c r="G52" t="inlineStr">
        <is>
          <t>CEC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2013/03_2_BS2A_BB_CEC_San Juan SpA.</t>
        </is>
      </c>
      <c r="K52" t="inlineStr">
        <is>
          <t>Quinta 13.8</t>
        </is>
      </c>
      <c r="L52" t="inlineStr">
        <is>
          <t>-1</t>
        </is>
      </c>
      <c r="M52" t="n">
        <v>9103.902258149275</v>
      </c>
      <c r="N52" t="n">
        <v>0</v>
      </c>
      <c r="O52" t="inlineStr">
        <is>
          <t>5</t>
        </is>
      </c>
      <c r="P52" s="2" t="n">
        <v>44676.57923885417</v>
      </c>
      <c r="Q52" t="n">
        <v>22</v>
      </c>
      <c r="R52" t="inlineStr">
        <is>
          <t>RAPEL 220</t>
        </is>
      </c>
      <c r="S52" t="n">
        <v>7.210449011798539</v>
      </c>
      <c r="T52" t="n">
        <v>565.4329635534369</v>
      </c>
      <c r="U52" t="n">
        <v>0</v>
      </c>
      <c r="V52" t="n">
        <v>0</v>
      </c>
      <c r="W52" t="inlineStr">
        <is>
          <t>CEC</t>
        </is>
      </c>
      <c r="X52" t="n">
        <v>86.65033259497082</v>
      </c>
      <c r="Y52" t="n">
        <v>0.565432963553437</v>
      </c>
      <c r="Z52" t="n">
        <v>624.7878050314221</v>
      </c>
      <c r="AA52" t="n">
        <v>0</v>
      </c>
      <c r="AB52" t="n">
        <v>0</v>
      </c>
      <c r="AC52" t="n">
        <v>0</v>
      </c>
      <c r="AD52" s="2" t="n">
        <v>44197</v>
      </c>
    </row>
    <row r="53">
      <c r="A53" t="n">
        <v>-1</v>
      </c>
      <c r="B53" t="inlineStr">
        <is>
          <t>01-01-2021</t>
        </is>
      </c>
      <c r="C53" t="n">
        <v>2021</v>
      </c>
      <c r="D53" t="n">
        <v>1</v>
      </c>
      <c r="E53" t="inlineStr">
        <is>
          <t>Teno 13.2</t>
        </is>
      </c>
      <c r="F53" t="inlineStr">
        <is>
          <t>CEC</t>
        </is>
      </c>
      <c r="G53" t="inlineStr">
        <is>
          <t>CEC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2013/03_2_BS2A_BB_CEC_San Juan SpA.</t>
        </is>
      </c>
      <c r="K53" t="inlineStr">
        <is>
          <t>Teno 13.2</t>
        </is>
      </c>
      <c r="L53" t="inlineStr">
        <is>
          <t>-1</t>
        </is>
      </c>
      <c r="M53" t="n">
        <v>11022.60275543688</v>
      </c>
      <c r="N53" t="n">
        <v>0</v>
      </c>
      <c r="O53" t="inlineStr">
        <is>
          <t>5</t>
        </is>
      </c>
      <c r="P53" s="2" t="n">
        <v>44676.57923885417</v>
      </c>
      <c r="Q53" t="n">
        <v>8</v>
      </c>
      <c r="R53" t="inlineStr">
        <is>
          <t>ALTO JAHUEL 220</t>
        </is>
      </c>
      <c r="S53" t="n">
        <v>4839.656075088385</v>
      </c>
      <c r="T53" t="n">
        <v>373317.9041496</v>
      </c>
      <c r="U53" t="n">
        <v>0</v>
      </c>
      <c r="V53" t="n">
        <v>0</v>
      </c>
      <c r="W53" t="inlineStr">
        <is>
          <t>CEC</t>
        </is>
      </c>
      <c r="X53" t="n">
        <v>85.23456316645158</v>
      </c>
      <c r="Y53" t="n">
        <v>373.3179041495999</v>
      </c>
      <c r="Z53" t="n">
        <v>412505.971436022</v>
      </c>
      <c r="AA53" t="n">
        <v>0</v>
      </c>
      <c r="AB53" t="n">
        <v>0</v>
      </c>
      <c r="AC53" t="n">
        <v>0</v>
      </c>
      <c r="AD53" s="2" t="n">
        <v>44197</v>
      </c>
    </row>
    <row r="54">
      <c r="A54" t="n">
        <v>-1</v>
      </c>
      <c r="B54" t="inlineStr">
        <is>
          <t>01-01-2021</t>
        </is>
      </c>
      <c r="C54" t="n">
        <v>2021</v>
      </c>
      <c r="D54" t="n">
        <v>1</v>
      </c>
      <c r="E54" t="inlineStr">
        <is>
          <t>Teno 13.2</t>
        </is>
      </c>
      <c r="F54" t="inlineStr">
        <is>
          <t>CEC</t>
        </is>
      </c>
      <c r="G54" t="inlineStr">
        <is>
          <t>CEC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2013/03_2_BS2A_BB_CEC_San Juan SpA.</t>
        </is>
      </c>
      <c r="K54" t="inlineStr">
        <is>
          <t>Teno 13.2</t>
        </is>
      </c>
      <c r="L54" t="inlineStr">
        <is>
          <t>-1</t>
        </is>
      </c>
      <c r="M54" t="n">
        <v>11022.60275543688</v>
      </c>
      <c r="N54" t="n">
        <v>0</v>
      </c>
      <c r="O54" t="inlineStr">
        <is>
          <t>5</t>
        </is>
      </c>
      <c r="P54" s="2" t="n">
        <v>44676.57923885417</v>
      </c>
      <c r="Q54" t="n">
        <v>34</v>
      </c>
      <c r="R54" t="inlineStr">
        <is>
          <t>CHARRUA 220</t>
        </is>
      </c>
      <c r="S54" t="n">
        <v>251.1533167925386</v>
      </c>
      <c r="T54" t="n">
        <v>17871.57109365991</v>
      </c>
      <c r="U54" t="n">
        <v>0</v>
      </c>
      <c r="V54" t="n">
        <v>0</v>
      </c>
      <c r="W54" t="inlineStr">
        <is>
          <t>CEC</t>
        </is>
      </c>
      <c r="X54" t="n">
        <v>78.62763916829806</v>
      </c>
      <c r="Y54" t="n">
        <v>17.87157109365991</v>
      </c>
      <c r="Z54" t="n">
        <v>19747.59236868498</v>
      </c>
      <c r="AA54" t="n">
        <v>0</v>
      </c>
      <c r="AB54" t="n">
        <v>0</v>
      </c>
      <c r="AC54" t="n">
        <v>0</v>
      </c>
      <c r="AD54" s="2" t="n">
        <v>44197</v>
      </c>
    </row>
    <row r="55">
      <c r="A55" t="n">
        <v>-1</v>
      </c>
      <c r="B55" t="inlineStr">
        <is>
          <t>01-01-2021</t>
        </is>
      </c>
      <c r="C55" t="n">
        <v>2021</v>
      </c>
      <c r="D55" t="n">
        <v>1</v>
      </c>
      <c r="E55" t="inlineStr">
        <is>
          <t>Teno 13.2</t>
        </is>
      </c>
      <c r="F55" t="inlineStr">
        <is>
          <t>CEC</t>
        </is>
      </c>
      <c r="G55" t="inlineStr">
        <is>
          <t>CEC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2013/03_2_BS2A_BB_CEC_San Juan SpA.</t>
        </is>
      </c>
      <c r="K55" t="inlineStr">
        <is>
          <t>Teno 13.2</t>
        </is>
      </c>
      <c r="L55" t="inlineStr">
        <is>
          <t>-1</t>
        </is>
      </c>
      <c r="M55" t="n">
        <v>11022.60275543688</v>
      </c>
      <c r="N55" t="n">
        <v>0</v>
      </c>
      <c r="O55" t="inlineStr">
        <is>
          <t>5</t>
        </is>
      </c>
      <c r="P55" s="2" t="n">
        <v>44676.57923885417</v>
      </c>
      <c r="Q55" t="n">
        <v>23</v>
      </c>
      <c r="R55" t="inlineStr">
        <is>
          <t>ITAHUE 220</t>
        </is>
      </c>
      <c r="S55" t="n">
        <v>6174.233791912447</v>
      </c>
      <c r="T55" t="n">
        <v>448380.2279815943</v>
      </c>
      <c r="U55" t="n">
        <v>0</v>
      </c>
      <c r="V55" t="n">
        <v>0</v>
      </c>
      <c r="W55" t="inlineStr">
        <is>
          <t>CEC</t>
        </is>
      </c>
      <c r="X55" t="n">
        <v>80.24441289775898</v>
      </c>
      <c r="Y55" t="n">
        <v>448.3802279815943</v>
      </c>
      <c r="Z55" t="n">
        <v>495447.7657255185</v>
      </c>
      <c r="AA55" t="n">
        <v>0</v>
      </c>
      <c r="AB55" t="n">
        <v>0</v>
      </c>
      <c r="AC55" t="n">
        <v>0</v>
      </c>
      <c r="AD55" s="2" t="n">
        <v>44197</v>
      </c>
    </row>
    <row r="56">
      <c r="A56" t="n">
        <v>-1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Teno 13.2</t>
        </is>
      </c>
      <c r="F56" t="inlineStr">
        <is>
          <t>CEC</t>
        </is>
      </c>
      <c r="G56" t="inlineStr">
        <is>
          <t>CEC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2013/03_2_BS2A_BB_CEC_San Juan SpA.</t>
        </is>
      </c>
      <c r="K56" t="inlineStr">
        <is>
          <t>Teno 13.2</t>
        </is>
      </c>
      <c r="L56" t="inlineStr">
        <is>
          <t>-1</t>
        </is>
      </c>
      <c r="M56" t="n">
        <v>11022.60275543688</v>
      </c>
      <c r="N56" t="n">
        <v>0</v>
      </c>
      <c r="O56" t="inlineStr">
        <is>
          <t>5</t>
        </is>
      </c>
      <c r="P56" s="2" t="n">
        <v>44676.57923885417</v>
      </c>
      <c r="Q56" t="n">
        <v>13</v>
      </c>
      <c r="R56" t="inlineStr">
        <is>
          <t>MELIPILLA 220</t>
        </is>
      </c>
      <c r="S56" t="n">
        <v>24.71309019723289</v>
      </c>
      <c r="T56" t="n">
        <v>1942.460254825347</v>
      </c>
      <c r="U56" t="n">
        <v>0</v>
      </c>
      <c r="V56" t="n">
        <v>0</v>
      </c>
      <c r="W56" t="inlineStr">
        <is>
          <t>CEC</t>
        </is>
      </c>
      <c r="X56" t="n">
        <v>86.85133689591251</v>
      </c>
      <c r="Y56" t="n">
        <v>1.942460254825347</v>
      </c>
      <c r="Z56" t="n">
        <v>2146.364922458947</v>
      </c>
      <c r="AA56" t="n">
        <v>0</v>
      </c>
      <c r="AB56" t="n">
        <v>0</v>
      </c>
      <c r="AC56" t="n">
        <v>0</v>
      </c>
      <c r="AD56" s="2" t="n">
        <v>44197</v>
      </c>
    </row>
    <row r="57">
      <c r="A57" t="n">
        <v>-1</v>
      </c>
      <c r="B57" t="inlineStr">
        <is>
          <t>01-01-2021</t>
        </is>
      </c>
      <c r="C57" t="n">
        <v>2021</v>
      </c>
      <c r="D57" t="n">
        <v>1</v>
      </c>
      <c r="E57" t="inlineStr">
        <is>
          <t>Teno 13.2</t>
        </is>
      </c>
      <c r="F57" t="inlineStr">
        <is>
          <t>CEC</t>
        </is>
      </c>
      <c r="G57" t="inlineStr">
        <is>
          <t>CEC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2013/03_2_BS2A_BB_CEC_San Juan SpA.</t>
        </is>
      </c>
      <c r="K57" t="inlineStr">
        <is>
          <t>Teno 13.2</t>
        </is>
      </c>
      <c r="L57" t="inlineStr">
        <is>
          <t>-1</t>
        </is>
      </c>
      <c r="M57" t="n">
        <v>11022.60275543688</v>
      </c>
      <c r="N57" t="n">
        <v>0</v>
      </c>
      <c r="O57" t="inlineStr">
        <is>
          <t>5</t>
        </is>
      </c>
      <c r="P57" s="2" t="n">
        <v>44676.57923885417</v>
      </c>
      <c r="Q57" t="n">
        <v>22</v>
      </c>
      <c r="R57" t="inlineStr">
        <is>
          <t>RAPEL 220</t>
        </is>
      </c>
      <c r="S57" t="n">
        <v>21.59972753724181</v>
      </c>
      <c r="T57" t="n">
        <v>1693.819335431791</v>
      </c>
      <c r="U57" t="n">
        <v>0</v>
      </c>
      <c r="V57" t="n">
        <v>0</v>
      </c>
      <c r="W57" t="inlineStr">
        <is>
          <t>CEC</t>
        </is>
      </c>
      <c r="X57" t="n">
        <v>86.65033259497082</v>
      </c>
      <c r="Y57" t="n">
        <v>1.693819335431791</v>
      </c>
      <c r="Z57" t="n">
        <v>1871.623575062753</v>
      </c>
      <c r="AA57" t="n">
        <v>0</v>
      </c>
      <c r="AB57" t="n">
        <v>0</v>
      </c>
      <c r="AC57" t="n">
        <v>0</v>
      </c>
      <c r="AD57" s="2" t="n">
        <v>44197</v>
      </c>
    </row>
    <row r="58">
      <c r="A58" t="n">
        <v>-1</v>
      </c>
      <c r="B58" t="inlineStr">
        <is>
          <t>01-02-2021</t>
        </is>
      </c>
      <c r="C58" t="n">
        <v>2021</v>
      </c>
      <c r="D58" t="n">
        <v>2</v>
      </c>
      <c r="E58" t="inlineStr">
        <is>
          <t>Curico 13.2</t>
        </is>
      </c>
      <c r="F58" t="inlineStr">
        <is>
          <t>CEC</t>
        </is>
      </c>
      <c r="G58" t="inlineStr">
        <is>
          <t>CEC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2013/03_2_BS2A_BB_CEC_San Juan SpA.</t>
        </is>
      </c>
      <c r="K58" t="inlineStr">
        <is>
          <t>Curico 13.2</t>
        </is>
      </c>
      <c r="L58" t="inlineStr">
        <is>
          <t>-1</t>
        </is>
      </c>
      <c r="M58" t="n">
        <v>22873.33310430894</v>
      </c>
      <c r="N58" t="n">
        <v>0</v>
      </c>
      <c r="O58" t="inlineStr">
        <is>
          <t>5</t>
        </is>
      </c>
      <c r="P58" s="2" t="n">
        <v>44676.57923885417</v>
      </c>
      <c r="Q58" t="n">
        <v>8</v>
      </c>
      <c r="R58" t="inlineStr">
        <is>
          <t>ALTO JAHUEL 220</t>
        </is>
      </c>
      <c r="S58" t="n">
        <v>9553.445717688079</v>
      </c>
      <c r="T58" t="n">
        <v>736926.8140958037</v>
      </c>
      <c r="U58" t="n">
        <v>0</v>
      </c>
      <c r="V58" t="n">
        <v>0</v>
      </c>
      <c r="W58" t="inlineStr">
        <is>
          <t>CEC</t>
        </is>
      </c>
      <c r="X58" t="n">
        <v>85.23456316645157</v>
      </c>
      <c r="Y58" t="n">
        <v>736.9268140958035</v>
      </c>
      <c r="Z58" t="n">
        <v>814283.7724815509</v>
      </c>
      <c r="AA58" t="n">
        <v>0</v>
      </c>
      <c r="AB58" t="n">
        <v>0</v>
      </c>
      <c r="AC58" t="n">
        <v>0</v>
      </c>
      <c r="AD58" s="2" t="n">
        <v>44228</v>
      </c>
    </row>
    <row r="59">
      <c r="A59" t="n">
        <v>-1</v>
      </c>
      <c r="B59" t="inlineStr">
        <is>
          <t>01-02-2021</t>
        </is>
      </c>
      <c r="C59" t="n">
        <v>2021</v>
      </c>
      <c r="D59" t="n">
        <v>2</v>
      </c>
      <c r="E59" t="inlineStr">
        <is>
          <t>Curico 13.2</t>
        </is>
      </c>
      <c r="F59" t="inlineStr">
        <is>
          <t>CEC</t>
        </is>
      </c>
      <c r="G59" t="inlineStr">
        <is>
          <t>CEC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2013/03_2_BS2A_BB_CEC_San Juan SpA.</t>
        </is>
      </c>
      <c r="K59" t="inlineStr">
        <is>
          <t>Curico 13.2</t>
        </is>
      </c>
      <c r="L59" t="inlineStr">
        <is>
          <t>-1</t>
        </is>
      </c>
      <c r="M59" t="n">
        <v>22873.33310430894</v>
      </c>
      <c r="N59" t="n">
        <v>0</v>
      </c>
      <c r="O59" t="inlineStr">
        <is>
          <t>5</t>
        </is>
      </c>
      <c r="P59" s="2" t="n">
        <v>44676.57923885417</v>
      </c>
      <c r="Q59" t="n">
        <v>34</v>
      </c>
      <c r="R59" t="inlineStr">
        <is>
          <t>CHARRUA 220</t>
        </is>
      </c>
      <c r="S59" t="n">
        <v>1370.463487537221</v>
      </c>
      <c r="T59" t="n">
        <v>97519.45927522058</v>
      </c>
      <c r="U59" t="n">
        <v>0</v>
      </c>
      <c r="V59" t="n">
        <v>0</v>
      </c>
      <c r="W59" t="inlineStr">
        <is>
          <t>CEC</t>
        </is>
      </c>
      <c r="X59" t="n">
        <v>78.62763916829807</v>
      </c>
      <c r="Y59" t="n">
        <v>97.5194592752206</v>
      </c>
      <c r="Z59" t="n">
        <v>107756.308591404</v>
      </c>
      <c r="AA59" t="n">
        <v>0</v>
      </c>
      <c r="AB59" t="n">
        <v>0</v>
      </c>
      <c r="AC59" t="n">
        <v>0</v>
      </c>
      <c r="AD59" s="2" t="n">
        <v>44228</v>
      </c>
    </row>
    <row r="60">
      <c r="A60" t="n">
        <v>-1</v>
      </c>
      <c r="B60" t="inlineStr">
        <is>
          <t>01-02-2021</t>
        </is>
      </c>
      <c r="C60" t="n">
        <v>2021</v>
      </c>
      <c r="D60" t="n">
        <v>2</v>
      </c>
      <c r="E60" t="inlineStr">
        <is>
          <t>Curico 13.2</t>
        </is>
      </c>
      <c r="F60" t="inlineStr">
        <is>
          <t>CEC</t>
        </is>
      </c>
      <c r="G60" t="inlineStr">
        <is>
          <t>CEC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2013/03_2_BS2A_BB_CEC_San Juan SpA.</t>
        </is>
      </c>
      <c r="K60" t="inlineStr">
        <is>
          <t>Curico 13.2</t>
        </is>
      </c>
      <c r="L60" t="inlineStr">
        <is>
          <t>-1</t>
        </is>
      </c>
      <c r="M60" t="n">
        <v>22873.33310430894</v>
      </c>
      <c r="N60" t="n">
        <v>0</v>
      </c>
      <c r="O60" t="inlineStr">
        <is>
          <t>5</t>
        </is>
      </c>
      <c r="P60" s="2" t="n">
        <v>44676.57923885417</v>
      </c>
      <c r="Q60" t="n">
        <v>23</v>
      </c>
      <c r="R60" t="inlineStr">
        <is>
          <t>ITAHUE 220</t>
        </is>
      </c>
      <c r="S60" t="n">
        <v>12475.71188617531</v>
      </c>
      <c r="T60" t="n">
        <v>906001.0890878965</v>
      </c>
      <c r="U60" t="n">
        <v>0</v>
      </c>
      <c r="V60" t="n">
        <v>0</v>
      </c>
      <c r="W60" t="inlineStr">
        <is>
          <t>CEC</t>
        </is>
      </c>
      <c r="X60" t="n">
        <v>80.24441289775899</v>
      </c>
      <c r="Y60" t="n">
        <v>906.0010890878966</v>
      </c>
      <c r="Z60" t="n">
        <v>1001106.175787731</v>
      </c>
      <c r="AA60" t="n">
        <v>0</v>
      </c>
      <c r="AB60" t="n">
        <v>0</v>
      </c>
      <c r="AC60" t="n">
        <v>0</v>
      </c>
      <c r="AD60" s="2" t="n">
        <v>44228</v>
      </c>
    </row>
    <row r="61">
      <c r="A61" t="n">
        <v>-1</v>
      </c>
      <c r="B61" t="inlineStr">
        <is>
          <t>01-02-2021</t>
        </is>
      </c>
      <c r="C61" t="n">
        <v>2021</v>
      </c>
      <c r="D61" t="n">
        <v>2</v>
      </c>
      <c r="E61" t="inlineStr">
        <is>
          <t>Curico 13.2</t>
        </is>
      </c>
      <c r="F61" t="inlineStr">
        <is>
          <t>CEC</t>
        </is>
      </c>
      <c r="G61" t="inlineStr">
        <is>
          <t>CEC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2013/03_2_BS2A_BB_CEC_San Juan SpA.</t>
        </is>
      </c>
      <c r="K61" t="inlineStr">
        <is>
          <t>Curico 13.2</t>
        </is>
      </c>
      <c r="L61" t="inlineStr">
        <is>
          <t>-1</t>
        </is>
      </c>
      <c r="M61" t="n">
        <v>22873.33310430894</v>
      </c>
      <c r="N61" t="n">
        <v>0</v>
      </c>
      <c r="O61" t="inlineStr">
        <is>
          <t>5</t>
        </is>
      </c>
      <c r="P61" s="2" t="n">
        <v>44676.57923885417</v>
      </c>
      <c r="Q61" t="n">
        <v>13</v>
      </c>
      <c r="R61" t="inlineStr">
        <is>
          <t>MELIPILLA 220</t>
        </is>
      </c>
      <c r="S61" t="n">
        <v>35.28936595799416</v>
      </c>
      <c r="T61" t="n">
        <v>2773.760393553112</v>
      </c>
      <c r="U61" t="n">
        <v>0</v>
      </c>
      <c r="V61" t="n">
        <v>0</v>
      </c>
      <c r="W61" t="inlineStr">
        <is>
          <t>CEC</t>
        </is>
      </c>
      <c r="X61" t="n">
        <v>86.8513368959125</v>
      </c>
      <c r="Y61" t="n">
        <v>2.773760393553111</v>
      </c>
      <c r="Z61" t="n">
        <v>3064.928611660897</v>
      </c>
      <c r="AA61" t="n">
        <v>0</v>
      </c>
      <c r="AB61" t="n">
        <v>0</v>
      </c>
      <c r="AC61" t="n">
        <v>0</v>
      </c>
      <c r="AD61" s="2" t="n">
        <v>44228</v>
      </c>
    </row>
    <row r="62">
      <c r="A62" t="n">
        <v>-1</v>
      </c>
      <c r="B62" t="inlineStr">
        <is>
          <t>01-02-2021</t>
        </is>
      </c>
      <c r="C62" t="n">
        <v>2021</v>
      </c>
      <c r="D62" t="n">
        <v>2</v>
      </c>
      <c r="E62" t="inlineStr">
        <is>
          <t>Curico 13.2</t>
        </is>
      </c>
      <c r="F62" t="inlineStr">
        <is>
          <t>CEC</t>
        </is>
      </c>
      <c r="G62" t="inlineStr">
        <is>
          <t>CEC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2013/03_2_BS2A_BB_CEC_San Juan SpA.</t>
        </is>
      </c>
      <c r="K62" t="inlineStr">
        <is>
          <t>Curico 13.2</t>
        </is>
      </c>
      <c r="L62" t="inlineStr">
        <is>
          <t>-1</t>
        </is>
      </c>
      <c r="M62" t="n">
        <v>22873.33310430894</v>
      </c>
      <c r="N62" t="n">
        <v>0</v>
      </c>
      <c r="O62" t="inlineStr">
        <is>
          <t>5</t>
        </is>
      </c>
      <c r="P62" s="2" t="n">
        <v>44676.57923885417</v>
      </c>
      <c r="Q62" t="n">
        <v>22</v>
      </c>
      <c r="R62" t="inlineStr">
        <is>
          <t>RAPEL 220</t>
        </is>
      </c>
      <c r="S62" t="n">
        <v>37.62315606164275</v>
      </c>
      <c r="T62" t="n">
        <v>2950.353382342523</v>
      </c>
      <c r="U62" t="n">
        <v>0</v>
      </c>
      <c r="V62" t="n">
        <v>0</v>
      </c>
      <c r="W62" t="inlineStr">
        <is>
          <t>CEC</t>
        </is>
      </c>
      <c r="X62" t="n">
        <v>86.65033259497082</v>
      </c>
      <c r="Y62" t="n">
        <v>2.950353382342523</v>
      </c>
      <c r="Z62" t="n">
        <v>3260.058986013837</v>
      </c>
      <c r="AA62" t="n">
        <v>0</v>
      </c>
      <c r="AB62" t="n">
        <v>0</v>
      </c>
      <c r="AC62" t="n">
        <v>0</v>
      </c>
      <c r="AD62" s="2" t="n">
        <v>44228</v>
      </c>
    </row>
    <row r="63">
      <c r="A63" t="n">
        <v>-1</v>
      </c>
      <c r="B63" t="inlineStr">
        <is>
          <t>01-02-2021</t>
        </is>
      </c>
      <c r="C63" t="n">
        <v>2021</v>
      </c>
      <c r="D63" t="n">
        <v>2</v>
      </c>
      <c r="E63" t="inlineStr">
        <is>
          <t>Quinta 13.8</t>
        </is>
      </c>
      <c r="F63" t="inlineStr">
        <is>
          <t>CEC</t>
        </is>
      </c>
      <c r="G63" t="inlineStr">
        <is>
          <t>CEC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2013/03_2_BS2A_BB_CEC_San Juan SpA.</t>
        </is>
      </c>
      <c r="K63" t="inlineStr">
        <is>
          <t>Quinta 13.8</t>
        </is>
      </c>
      <c r="L63" t="inlineStr">
        <is>
          <t>-1</t>
        </is>
      </c>
      <c r="M63" t="n">
        <v>5748.306045783077</v>
      </c>
      <c r="N63" t="n">
        <v>0</v>
      </c>
      <c r="O63" t="inlineStr">
        <is>
          <t>5</t>
        </is>
      </c>
      <c r="P63" s="2" t="n">
        <v>44676.57923885417</v>
      </c>
      <c r="Q63" t="n">
        <v>8</v>
      </c>
      <c r="R63" t="inlineStr">
        <is>
          <t>ALTO JAHUEL 220</t>
        </is>
      </c>
      <c r="S63" t="n">
        <v>2853.491428315929</v>
      </c>
      <c r="T63" t="n">
        <v>220110.5663295086</v>
      </c>
      <c r="U63" t="n">
        <v>0</v>
      </c>
      <c r="V63" t="n">
        <v>0</v>
      </c>
      <c r="W63" t="inlineStr">
        <is>
          <t>CEC</t>
        </is>
      </c>
      <c r="X63" t="n">
        <v>85.23456316645158</v>
      </c>
      <c r="Y63" t="n">
        <v>220.1105663295086</v>
      </c>
      <c r="Z63" t="n">
        <v>243216.0953917222</v>
      </c>
      <c r="AA63" t="n">
        <v>0</v>
      </c>
      <c r="AB63" t="n">
        <v>0</v>
      </c>
      <c r="AC63" t="n">
        <v>0</v>
      </c>
      <c r="AD63" s="2" t="n">
        <v>44228</v>
      </c>
    </row>
    <row r="64">
      <c r="A64" t="n">
        <v>-1</v>
      </c>
      <c r="B64" t="inlineStr">
        <is>
          <t>01-02-2021</t>
        </is>
      </c>
      <c r="C64" t="n">
        <v>2021</v>
      </c>
      <c r="D64" t="n">
        <v>2</v>
      </c>
      <c r="E64" t="inlineStr">
        <is>
          <t>Quinta 13.8</t>
        </is>
      </c>
      <c r="F64" t="inlineStr">
        <is>
          <t>CEC</t>
        </is>
      </c>
      <c r="G64" t="inlineStr">
        <is>
          <t>CEC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2013/03_2_BS2A_BB_CEC_San Juan SpA.</t>
        </is>
      </c>
      <c r="K64" t="inlineStr">
        <is>
          <t>Quinta 13.8</t>
        </is>
      </c>
      <c r="L64" t="inlineStr">
        <is>
          <t>-1</t>
        </is>
      </c>
      <c r="M64" t="n">
        <v>5748.306045783077</v>
      </c>
      <c r="N64" t="n">
        <v>0</v>
      </c>
      <c r="O64" t="inlineStr">
        <is>
          <t>5</t>
        </is>
      </c>
      <c r="P64" s="2" t="n">
        <v>44676.57923885417</v>
      </c>
      <c r="Q64" t="n">
        <v>34</v>
      </c>
      <c r="R64" t="inlineStr">
        <is>
          <t>CHARRUA 220</t>
        </is>
      </c>
      <c r="S64" t="n">
        <v>194.6637100129633</v>
      </c>
      <c r="T64" t="n">
        <v>13851.88289480565</v>
      </c>
      <c r="U64" t="n">
        <v>0</v>
      </c>
      <c r="V64" t="n">
        <v>0</v>
      </c>
      <c r="W64" t="inlineStr">
        <is>
          <t>CEC</t>
        </is>
      </c>
      <c r="X64" t="n">
        <v>78.62763916829807</v>
      </c>
      <c r="Y64" t="n">
        <v>13.85188289480565</v>
      </c>
      <c r="Z64" t="n">
        <v>15305.94795006149</v>
      </c>
      <c r="AA64" t="n">
        <v>0</v>
      </c>
      <c r="AB64" t="n">
        <v>0</v>
      </c>
      <c r="AC64" t="n">
        <v>0</v>
      </c>
      <c r="AD64" s="2" t="n">
        <v>44228</v>
      </c>
    </row>
    <row r="65">
      <c r="A65" t="n">
        <v>-1</v>
      </c>
      <c r="B65" t="inlineStr">
        <is>
          <t>01-02-2021</t>
        </is>
      </c>
      <c r="C65" t="n">
        <v>2021</v>
      </c>
      <c r="D65" t="n">
        <v>2</v>
      </c>
      <c r="E65" t="inlineStr">
        <is>
          <t>Quinta 13.8</t>
        </is>
      </c>
      <c r="F65" t="inlineStr">
        <is>
          <t>CEC</t>
        </is>
      </c>
      <c r="G65" t="inlineStr">
        <is>
          <t>CEC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2013/03_2_BS2A_BB_CEC_San Juan SpA.</t>
        </is>
      </c>
      <c r="K65" t="inlineStr">
        <is>
          <t>Quinta 13.8</t>
        </is>
      </c>
      <c r="L65" t="inlineStr">
        <is>
          <t>-1</t>
        </is>
      </c>
      <c r="M65" t="n">
        <v>5748.306045783077</v>
      </c>
      <c r="N65" t="n">
        <v>0</v>
      </c>
      <c r="O65" t="inlineStr">
        <is>
          <t>5</t>
        </is>
      </c>
      <c r="P65" s="2" t="n">
        <v>44676.57923885417</v>
      </c>
      <c r="Q65" t="n">
        <v>23</v>
      </c>
      <c r="R65" t="inlineStr">
        <is>
          <t>ITAHUE 220</t>
        </is>
      </c>
      <c r="S65" t="n">
        <v>2846.183456977142</v>
      </c>
      <c r="T65" t="n">
        <v>206693.2400565226</v>
      </c>
      <c r="U65" t="n">
        <v>0</v>
      </c>
      <c r="V65" t="n">
        <v>0</v>
      </c>
      <c r="W65" t="inlineStr">
        <is>
          <t>CEC</t>
        </is>
      </c>
      <c r="X65" t="n">
        <v>80.24441289775899</v>
      </c>
      <c r="Y65" t="n">
        <v>206.6932400565226</v>
      </c>
      <c r="Z65" t="n">
        <v>228390.3205044448</v>
      </c>
      <c r="AA65" t="n">
        <v>0</v>
      </c>
      <c r="AB65" t="n">
        <v>0</v>
      </c>
      <c r="AC65" t="n">
        <v>0</v>
      </c>
      <c r="AD65" s="2" t="n">
        <v>44228</v>
      </c>
    </row>
    <row r="66">
      <c r="A66" t="n">
        <v>-1</v>
      </c>
      <c r="B66" t="inlineStr">
        <is>
          <t>01-02-2021</t>
        </is>
      </c>
      <c r="C66" t="n">
        <v>2021</v>
      </c>
      <c r="D66" t="n">
        <v>2</v>
      </c>
      <c r="E66" t="inlineStr">
        <is>
          <t>Quinta 13.8</t>
        </is>
      </c>
      <c r="F66" t="inlineStr">
        <is>
          <t>CEC</t>
        </is>
      </c>
      <c r="G66" t="inlineStr">
        <is>
          <t>CEC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2013/03_2_BS2A_BB_CEC_San Juan SpA.</t>
        </is>
      </c>
      <c r="K66" t="inlineStr">
        <is>
          <t>Quinta 13.8</t>
        </is>
      </c>
      <c r="L66" t="inlineStr">
        <is>
          <t>-1</t>
        </is>
      </c>
      <c r="M66" t="n">
        <v>5748.306045783077</v>
      </c>
      <c r="N66" t="n">
        <v>0</v>
      </c>
      <c r="O66" t="inlineStr">
        <is>
          <t>5</t>
        </is>
      </c>
      <c r="P66" s="2" t="n">
        <v>44676.57923885417</v>
      </c>
      <c r="Q66" t="n">
        <v>22</v>
      </c>
      <c r="R66" t="inlineStr">
        <is>
          <t>RAPEL 220</t>
        </is>
      </c>
      <c r="S66" t="n">
        <v>4.552758418537553</v>
      </c>
      <c r="T66" t="n">
        <v>357.0207182277033</v>
      </c>
      <c r="U66" t="n">
        <v>0</v>
      </c>
      <c r="V66" t="n">
        <v>0</v>
      </c>
      <c r="W66" t="inlineStr">
        <is>
          <t>CEC</t>
        </is>
      </c>
      <c r="X66" t="n">
        <v>86.65033259497083</v>
      </c>
      <c r="Y66" t="n">
        <v>0.3570207182277033</v>
      </c>
      <c r="Z66" t="n">
        <v>394.4980311908324</v>
      </c>
      <c r="AA66" t="n">
        <v>0</v>
      </c>
      <c r="AB66" t="n">
        <v>0</v>
      </c>
      <c r="AC66" t="n">
        <v>0</v>
      </c>
      <c r="AD66" s="2" t="n">
        <v>44228</v>
      </c>
    </row>
    <row r="67">
      <c r="A67" t="n">
        <v>-1</v>
      </c>
      <c r="B67" t="inlineStr">
        <is>
          <t>01-02-2021</t>
        </is>
      </c>
      <c r="C67" t="n">
        <v>2021</v>
      </c>
      <c r="D67" t="n">
        <v>2</v>
      </c>
      <c r="E67" t="inlineStr">
        <is>
          <t>Teno 13.2</t>
        </is>
      </c>
      <c r="F67" t="inlineStr">
        <is>
          <t>CEC</t>
        </is>
      </c>
      <c r="G67" t="inlineStr">
        <is>
          <t>CEC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2013/03_2_BS2A_BB_CEC_San Juan SpA.</t>
        </is>
      </c>
      <c r="K67" t="inlineStr">
        <is>
          <t>Teno 13.2</t>
        </is>
      </c>
      <c r="L67" t="inlineStr">
        <is>
          <t>-1</t>
        </is>
      </c>
      <c r="M67" t="n">
        <v>8449.646329349902</v>
      </c>
      <c r="N67" t="n">
        <v>0</v>
      </c>
      <c r="O67" t="inlineStr">
        <is>
          <t>5</t>
        </is>
      </c>
      <c r="P67" s="2" t="n">
        <v>44676.57923885417</v>
      </c>
      <c r="Q67" t="n">
        <v>8</v>
      </c>
      <c r="R67" t="inlineStr">
        <is>
          <t>ALTO JAHUEL 220</t>
        </is>
      </c>
      <c r="S67" t="n">
        <v>3709.956994505307</v>
      </c>
      <c r="T67" t="n">
        <v>286175.9902326482</v>
      </c>
      <c r="U67" t="n">
        <v>0</v>
      </c>
      <c r="V67" t="n">
        <v>0</v>
      </c>
      <c r="W67" t="inlineStr">
        <is>
          <t>CEC</t>
        </is>
      </c>
      <c r="X67" t="n">
        <v>85.23456316645159</v>
      </c>
      <c r="Y67" t="n">
        <v>286.1759902326482</v>
      </c>
      <c r="Z67" t="n">
        <v>316216.5637929814</v>
      </c>
      <c r="AA67" t="n">
        <v>0</v>
      </c>
      <c r="AB67" t="n">
        <v>0</v>
      </c>
      <c r="AC67" t="n">
        <v>0</v>
      </c>
      <c r="AD67" s="2" t="n">
        <v>44228</v>
      </c>
    </row>
    <row r="68">
      <c r="A68" t="n">
        <v>-1</v>
      </c>
      <c r="B68" t="inlineStr">
        <is>
          <t>01-02-2021</t>
        </is>
      </c>
      <c r="C68" t="n">
        <v>2021</v>
      </c>
      <c r="D68" t="n">
        <v>2</v>
      </c>
      <c r="E68" t="inlineStr">
        <is>
          <t>Teno 13.2</t>
        </is>
      </c>
      <c r="F68" t="inlineStr">
        <is>
          <t>CEC</t>
        </is>
      </c>
      <c r="G68" t="inlineStr">
        <is>
          <t>CEC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2013/03_2_BS2A_BB_CEC_San Juan SpA.</t>
        </is>
      </c>
      <c r="K68" t="inlineStr">
        <is>
          <t>Teno 13.2</t>
        </is>
      </c>
      <c r="L68" t="inlineStr">
        <is>
          <t>-1</t>
        </is>
      </c>
      <c r="M68" t="n">
        <v>8449.646329349902</v>
      </c>
      <c r="N68" t="n">
        <v>0</v>
      </c>
      <c r="O68" t="inlineStr">
        <is>
          <t>5</t>
        </is>
      </c>
      <c r="P68" s="2" t="n">
        <v>44676.57923885417</v>
      </c>
      <c r="Q68" t="n">
        <v>34</v>
      </c>
      <c r="R68" t="inlineStr">
        <is>
          <t>CHARRUA 220</t>
        </is>
      </c>
      <c r="S68" t="n">
        <v>192.5277312831924</v>
      </c>
      <c r="T68" t="n">
        <v>13699.89089162944</v>
      </c>
      <c r="U68" t="n">
        <v>0</v>
      </c>
      <c r="V68" t="n">
        <v>0</v>
      </c>
      <c r="W68" t="inlineStr">
        <is>
          <t>CEC</t>
        </is>
      </c>
      <c r="X68" t="n">
        <v>78.62763916829806</v>
      </c>
      <c r="Y68" t="n">
        <v>13.69989089162944</v>
      </c>
      <c r="Z68" t="n">
        <v>15138.0009852259</v>
      </c>
      <c r="AA68" t="n">
        <v>0</v>
      </c>
      <c r="AB68" t="n">
        <v>0</v>
      </c>
      <c r="AC68" t="n">
        <v>0</v>
      </c>
      <c r="AD68" s="2" t="n">
        <v>44228</v>
      </c>
    </row>
    <row r="69">
      <c r="A69" t="n">
        <v>-1</v>
      </c>
      <c r="B69" t="inlineStr">
        <is>
          <t>01-02-2021</t>
        </is>
      </c>
      <c r="C69" t="n">
        <v>2021</v>
      </c>
      <c r="D69" t="n">
        <v>2</v>
      </c>
      <c r="E69" t="inlineStr">
        <is>
          <t>Teno 13.2</t>
        </is>
      </c>
      <c r="F69" t="inlineStr">
        <is>
          <t>CEC</t>
        </is>
      </c>
      <c r="G69" t="inlineStr">
        <is>
          <t>CEC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2013/03_2_BS2A_BB_CEC_San Juan SpA.</t>
        </is>
      </c>
      <c r="K69" t="inlineStr">
        <is>
          <t>Teno 13.2</t>
        </is>
      </c>
      <c r="L69" t="inlineStr">
        <is>
          <t>-1</t>
        </is>
      </c>
      <c r="M69" t="n">
        <v>8449.646329349902</v>
      </c>
      <c r="N69" t="n">
        <v>0</v>
      </c>
      <c r="O69" t="inlineStr">
        <is>
          <t>5</t>
        </is>
      </c>
      <c r="P69" s="2" t="n">
        <v>44676.57923885417</v>
      </c>
      <c r="Q69" t="n">
        <v>23</v>
      </c>
      <c r="R69" t="inlineStr">
        <is>
          <t>ITAHUE 220</t>
        </is>
      </c>
      <c r="S69" t="n">
        <v>4733.010256642728</v>
      </c>
      <c r="T69" t="n">
        <v>343716.8545014473</v>
      </c>
      <c r="U69" t="n">
        <v>0</v>
      </c>
      <c r="V69" t="n">
        <v>0</v>
      </c>
      <c r="W69" t="inlineStr">
        <is>
          <t>CEC</t>
        </is>
      </c>
      <c r="X69" t="n">
        <v>80.24441289775898</v>
      </c>
      <c r="Y69" t="n">
        <v>343.7168545014474</v>
      </c>
      <c r="Z69" t="n">
        <v>379797.6292833672</v>
      </c>
      <c r="AA69" t="n">
        <v>0</v>
      </c>
      <c r="AB69" t="n">
        <v>0</v>
      </c>
      <c r="AC69" t="n">
        <v>0</v>
      </c>
      <c r="AD69" s="2" t="n">
        <v>44228</v>
      </c>
    </row>
    <row r="70">
      <c r="A70" t="n">
        <v>-1</v>
      </c>
      <c r="B70" t="inlineStr">
        <is>
          <t>01-02-2021</t>
        </is>
      </c>
      <c r="C70" t="n">
        <v>2021</v>
      </c>
      <c r="D70" t="n">
        <v>2</v>
      </c>
      <c r="E70" t="inlineStr">
        <is>
          <t>Teno 13.2</t>
        </is>
      </c>
      <c r="F70" t="inlineStr">
        <is>
          <t>CEC</t>
        </is>
      </c>
      <c r="G70" t="inlineStr">
        <is>
          <t>CEC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2013/03_2_BS2A_BB_CEC_San Juan SpA.</t>
        </is>
      </c>
      <c r="K70" t="inlineStr">
        <is>
          <t>Teno 13.2</t>
        </is>
      </c>
      <c r="L70" t="inlineStr">
        <is>
          <t>-1</t>
        </is>
      </c>
      <c r="M70" t="n">
        <v>8449.646329349902</v>
      </c>
      <c r="N70" t="n">
        <v>0</v>
      </c>
      <c r="O70" t="inlineStr">
        <is>
          <t>5</t>
        </is>
      </c>
      <c r="P70" s="2" t="n">
        <v>44676.57923885417</v>
      </c>
      <c r="Q70" t="n">
        <v>13</v>
      </c>
      <c r="R70" t="inlineStr">
        <is>
          <t>MELIPILLA 220</t>
        </is>
      </c>
      <c r="S70" t="n">
        <v>18.94442506049158</v>
      </c>
      <c r="T70" t="n">
        <v>1489.04052212145</v>
      </c>
      <c r="U70" t="n">
        <v>0</v>
      </c>
      <c r="V70" t="n">
        <v>0</v>
      </c>
      <c r="W70" t="inlineStr">
        <is>
          <t>CEC</t>
        </is>
      </c>
      <c r="X70" t="n">
        <v>86.8513368959125</v>
      </c>
      <c r="Y70" t="n">
        <v>1.48904052212145</v>
      </c>
      <c r="Z70" t="n">
        <v>1645.348643228122</v>
      </c>
      <c r="AA70" t="n">
        <v>0</v>
      </c>
      <c r="AB70" t="n">
        <v>0</v>
      </c>
      <c r="AC70" t="n">
        <v>0</v>
      </c>
      <c r="AD70" s="2" t="n">
        <v>44228</v>
      </c>
    </row>
    <row r="71">
      <c r="A71" t="n">
        <v>-1</v>
      </c>
      <c r="B71" t="inlineStr">
        <is>
          <t>01-02-2021</t>
        </is>
      </c>
      <c r="C71" t="n">
        <v>2021</v>
      </c>
      <c r="D71" t="n">
        <v>2</v>
      </c>
      <c r="E71" t="inlineStr">
        <is>
          <t>Teno 13.2</t>
        </is>
      </c>
      <c r="F71" t="inlineStr">
        <is>
          <t>CEC</t>
        </is>
      </c>
      <c r="G71" t="inlineStr">
        <is>
          <t>CEC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2013/03_2_BS2A_BB_CEC_San Juan SpA.</t>
        </is>
      </c>
      <c r="K71" t="inlineStr">
        <is>
          <t>Teno 13.2</t>
        </is>
      </c>
      <c r="L71" t="inlineStr">
        <is>
          <t>-1</t>
        </is>
      </c>
      <c r="M71" t="n">
        <v>8449.646329349902</v>
      </c>
      <c r="N71" t="n">
        <v>0</v>
      </c>
      <c r="O71" t="inlineStr">
        <is>
          <t>5</t>
        </is>
      </c>
      <c r="P71" s="2" t="n">
        <v>44676.57923885417</v>
      </c>
      <c r="Q71" t="n">
        <v>22</v>
      </c>
      <c r="R71" t="inlineStr">
        <is>
          <t>RAPEL 220</t>
        </is>
      </c>
      <c r="S71" t="n">
        <v>16.55780059841043</v>
      </c>
      <c r="T71" t="n">
        <v>1298.438730648591</v>
      </c>
      <c r="U71" t="n">
        <v>0</v>
      </c>
      <c r="V71" t="n">
        <v>0</v>
      </c>
      <c r="W71" t="inlineStr">
        <is>
          <t>CEC</t>
        </is>
      </c>
      <c r="X71" t="n">
        <v>86.65033259497082</v>
      </c>
      <c r="Y71" t="n">
        <v>1.298438730648591</v>
      </c>
      <c r="Z71" t="n">
        <v>1434.738928893471</v>
      </c>
      <c r="AA71" t="n">
        <v>0</v>
      </c>
      <c r="AB71" t="n">
        <v>0</v>
      </c>
      <c r="AC71" t="n">
        <v>0</v>
      </c>
      <c r="AD71" s="2" t="n">
        <v>44228</v>
      </c>
    </row>
    <row r="72">
      <c r="A72" t="n">
        <v>-1</v>
      </c>
      <c r="B72" t="inlineStr">
        <is>
          <t>01-03-2021</t>
        </is>
      </c>
      <c r="C72" t="n">
        <v>2021</v>
      </c>
      <c r="D72" t="n">
        <v>3</v>
      </c>
      <c r="E72" t="inlineStr">
        <is>
          <t>Curico 13.2</t>
        </is>
      </c>
      <c r="F72" t="inlineStr">
        <is>
          <t>CEC</t>
        </is>
      </c>
      <c r="G72" t="inlineStr">
        <is>
          <t>CEC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2013/03_2_BS2A_BB_CEC_San Juan SpA.</t>
        </is>
      </c>
      <c r="K72" t="inlineStr">
        <is>
          <t>Curico 13.2</t>
        </is>
      </c>
      <c r="L72" t="inlineStr">
        <is>
          <t>-1</t>
        </is>
      </c>
      <c r="M72" t="n">
        <v>26051.98147105532</v>
      </c>
      <c r="N72" t="n">
        <v>0</v>
      </c>
      <c r="O72" t="inlineStr">
        <is>
          <t>5</t>
        </is>
      </c>
      <c r="P72" s="2" t="n">
        <v>44676.57923885417</v>
      </c>
      <c r="Q72" t="n">
        <v>8</v>
      </c>
      <c r="R72" t="inlineStr">
        <is>
          <t>ALTO JAHUEL 220</t>
        </is>
      </c>
      <c r="S72" t="n">
        <v>10881.06353748054</v>
      </c>
      <c r="T72" t="n">
        <v>839335.6411502205</v>
      </c>
      <c r="U72" t="n">
        <v>0</v>
      </c>
      <c r="V72" t="n">
        <v>0</v>
      </c>
      <c r="W72" t="inlineStr">
        <is>
          <t>CEC</t>
        </is>
      </c>
      <c r="X72" t="n">
        <v>85.23456316645158</v>
      </c>
      <c r="Y72" t="n">
        <v>839.3356411502205</v>
      </c>
      <c r="Z72" t="n">
        <v>927442.6974035585</v>
      </c>
      <c r="AA72" t="n">
        <v>0</v>
      </c>
      <c r="AB72" t="n">
        <v>0</v>
      </c>
      <c r="AC72" t="n">
        <v>0</v>
      </c>
      <c r="AD72" s="2" t="n">
        <v>44256</v>
      </c>
    </row>
    <row r="73">
      <c r="A73" t="n">
        <v>-1</v>
      </c>
      <c r="B73" t="inlineStr">
        <is>
          <t>01-03-2021</t>
        </is>
      </c>
      <c r="C73" t="n">
        <v>2021</v>
      </c>
      <c r="D73" t="n">
        <v>3</v>
      </c>
      <c r="E73" t="inlineStr">
        <is>
          <t>Curico 13.2</t>
        </is>
      </c>
      <c r="F73" t="inlineStr">
        <is>
          <t>CEC</t>
        </is>
      </c>
      <c r="G73" t="inlineStr">
        <is>
          <t>CEC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2013/03_2_BS2A_BB_CEC_San Juan SpA.</t>
        </is>
      </c>
      <c r="K73" t="inlineStr">
        <is>
          <t>Curico 13.2</t>
        </is>
      </c>
      <c r="L73" t="inlineStr">
        <is>
          <t>-1</t>
        </is>
      </c>
      <c r="M73" t="n">
        <v>26051.98147105532</v>
      </c>
      <c r="N73" t="n">
        <v>0</v>
      </c>
      <c r="O73" t="inlineStr">
        <is>
          <t>5</t>
        </is>
      </c>
      <c r="P73" s="2" t="n">
        <v>44676.57923885417</v>
      </c>
      <c r="Q73" t="n">
        <v>34</v>
      </c>
      <c r="R73" t="inlineStr">
        <is>
          <t>CHARRUA 220</t>
        </is>
      </c>
      <c r="S73" t="n">
        <v>1560.913279287296</v>
      </c>
      <c r="T73" t="n">
        <v>111071.4881176098</v>
      </c>
      <c r="U73" t="n">
        <v>0</v>
      </c>
      <c r="V73" t="n">
        <v>0</v>
      </c>
      <c r="W73" t="inlineStr">
        <is>
          <t>CEC</t>
        </is>
      </c>
      <c r="X73" t="n">
        <v>78.62763916829805</v>
      </c>
      <c r="Y73" t="n">
        <v>111.0714881176098</v>
      </c>
      <c r="Z73" t="n">
        <v>122730.9260968064</v>
      </c>
      <c r="AA73" t="n">
        <v>0</v>
      </c>
      <c r="AB73" t="n">
        <v>0</v>
      </c>
      <c r="AC73" t="n">
        <v>0</v>
      </c>
      <c r="AD73" s="2" t="n">
        <v>44256</v>
      </c>
    </row>
    <row r="74">
      <c r="A74" t="n">
        <v>-1</v>
      </c>
      <c r="B74" t="inlineStr">
        <is>
          <t>01-03-2021</t>
        </is>
      </c>
      <c r="C74" t="n">
        <v>2021</v>
      </c>
      <c r="D74" t="n">
        <v>3</v>
      </c>
      <c r="E74" t="inlineStr">
        <is>
          <t>Curico 13.2</t>
        </is>
      </c>
      <c r="F74" t="inlineStr">
        <is>
          <t>CEC</t>
        </is>
      </c>
      <c r="G74" t="inlineStr">
        <is>
          <t>CEC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2013/03_2_BS2A_BB_CEC_San Juan SpA.</t>
        </is>
      </c>
      <c r="K74" t="inlineStr">
        <is>
          <t>Curico 13.2</t>
        </is>
      </c>
      <c r="L74" t="inlineStr">
        <is>
          <t>-1</t>
        </is>
      </c>
      <c r="M74" t="n">
        <v>26051.98147105532</v>
      </c>
      <c r="N74" t="n">
        <v>0</v>
      </c>
      <c r="O74" t="inlineStr">
        <is>
          <t>5</t>
        </is>
      </c>
      <c r="P74" s="2" t="n">
        <v>44676.57923885417</v>
      </c>
      <c r="Q74" t="n">
        <v>23</v>
      </c>
      <c r="R74" t="inlineStr">
        <is>
          <t>ITAHUE 220</t>
        </is>
      </c>
      <c r="S74" t="n">
        <v>14209.42953152884</v>
      </c>
      <c r="T74" t="n">
        <v>1031905.733984497</v>
      </c>
      <c r="U74" t="n">
        <v>0</v>
      </c>
      <c r="V74" t="n">
        <v>0</v>
      </c>
      <c r="W74" t="inlineStr">
        <is>
          <t>CEC</t>
        </is>
      </c>
      <c r="X74" t="n">
        <v>80.24441289775898</v>
      </c>
      <c r="Y74" t="n">
        <v>1031.905733984497</v>
      </c>
      <c r="Z74" t="n">
        <v>1140227.33036961</v>
      </c>
      <c r="AA74" t="n">
        <v>0</v>
      </c>
      <c r="AB74" t="n">
        <v>0</v>
      </c>
      <c r="AC74" t="n">
        <v>0</v>
      </c>
      <c r="AD74" s="2" t="n">
        <v>44256</v>
      </c>
    </row>
    <row r="75">
      <c r="A75" t="n">
        <v>-1</v>
      </c>
      <c r="B75" t="inlineStr">
        <is>
          <t>01-03-2021</t>
        </is>
      </c>
      <c r="C75" t="n">
        <v>2021</v>
      </c>
      <c r="D75" t="n">
        <v>3</v>
      </c>
      <c r="E75" t="inlineStr">
        <is>
          <t>Curico 13.2</t>
        </is>
      </c>
      <c r="F75" t="inlineStr">
        <is>
          <t>CEC</t>
        </is>
      </c>
      <c r="G75" t="inlineStr">
        <is>
          <t>CEC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2013/03_2_BS2A_BB_CEC_San Juan SpA.</t>
        </is>
      </c>
      <c r="K75" t="inlineStr">
        <is>
          <t>Curico 13.2</t>
        </is>
      </c>
      <c r="L75" t="inlineStr">
        <is>
          <t>-1</t>
        </is>
      </c>
      <c r="M75" t="n">
        <v>26051.98147105532</v>
      </c>
      <c r="N75" t="n">
        <v>0</v>
      </c>
      <c r="O75" t="inlineStr">
        <is>
          <t>5</t>
        </is>
      </c>
      <c r="P75" s="2" t="n">
        <v>44676.57923885417</v>
      </c>
      <c r="Q75" t="n">
        <v>13</v>
      </c>
      <c r="R75" t="inlineStr">
        <is>
          <t>MELIPILLA 220</t>
        </is>
      </c>
      <c r="S75" t="n">
        <v>40.19343852819436</v>
      </c>
      <c r="T75" t="n">
        <v>3159.222752908709</v>
      </c>
      <c r="U75" t="n">
        <v>0</v>
      </c>
      <c r="V75" t="n">
        <v>0</v>
      </c>
      <c r="W75" t="inlineStr">
        <is>
          <t>CEC</t>
        </is>
      </c>
      <c r="X75" t="n">
        <v>86.85133689591251</v>
      </c>
      <c r="Y75" t="n">
        <v>3.159222752908709</v>
      </c>
      <c r="Z75" t="n">
        <v>3490.853870617357</v>
      </c>
      <c r="AA75" t="n">
        <v>0</v>
      </c>
      <c r="AB75" t="n">
        <v>0</v>
      </c>
      <c r="AC75" t="n">
        <v>0</v>
      </c>
      <c r="AD75" s="2" t="n">
        <v>44256</v>
      </c>
    </row>
    <row r="76">
      <c r="A76" t="n">
        <v>-1</v>
      </c>
      <c r="B76" t="inlineStr">
        <is>
          <t>01-03-2021</t>
        </is>
      </c>
      <c r="C76" t="n">
        <v>2021</v>
      </c>
      <c r="D76" t="n">
        <v>3</v>
      </c>
      <c r="E76" t="inlineStr">
        <is>
          <t>Curico 13.2</t>
        </is>
      </c>
      <c r="F76" t="inlineStr">
        <is>
          <t>CEC</t>
        </is>
      </c>
      <c r="G76" t="inlineStr">
        <is>
          <t>CEC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2013/03_2_BS2A_BB_CEC_San Juan SpA.</t>
        </is>
      </c>
      <c r="K76" t="inlineStr">
        <is>
          <t>Curico 13.2</t>
        </is>
      </c>
      <c r="L76" t="inlineStr">
        <is>
          <t>-1</t>
        </is>
      </c>
      <c r="M76" t="n">
        <v>26051.98147105532</v>
      </c>
      <c r="N76" t="n">
        <v>0</v>
      </c>
      <c r="O76" t="inlineStr">
        <is>
          <t>5</t>
        </is>
      </c>
      <c r="P76" s="2" t="n">
        <v>44676.57923885417</v>
      </c>
      <c r="Q76" t="n">
        <v>22</v>
      </c>
      <c r="R76" t="inlineStr">
        <is>
          <t>RAPEL 220</t>
        </is>
      </c>
      <c r="S76" t="n">
        <v>42.85154944977804</v>
      </c>
      <c r="T76" t="n">
        <v>3360.356415889961</v>
      </c>
      <c r="U76" t="n">
        <v>0</v>
      </c>
      <c r="V76" t="n">
        <v>0</v>
      </c>
      <c r="W76" t="inlineStr">
        <is>
          <t>CEC</t>
        </is>
      </c>
      <c r="X76" t="n">
        <v>86.65033259497083</v>
      </c>
      <c r="Y76" t="n">
        <v>3.360356415889961</v>
      </c>
      <c r="Z76" t="n">
        <v>3713.101012033106</v>
      </c>
      <c r="AA76" t="n">
        <v>0</v>
      </c>
      <c r="AB76" t="n">
        <v>0</v>
      </c>
      <c r="AC76" t="n">
        <v>0</v>
      </c>
      <c r="AD76" s="2" t="n">
        <v>44256</v>
      </c>
    </row>
    <row r="77">
      <c r="A77" t="n">
        <v>-1</v>
      </c>
      <c r="B77" t="inlineStr">
        <is>
          <t>01-03-2021</t>
        </is>
      </c>
      <c r="C77" t="n">
        <v>2021</v>
      </c>
      <c r="D77" t="n">
        <v>3</v>
      </c>
      <c r="E77" t="inlineStr">
        <is>
          <t>Quinta 13.8</t>
        </is>
      </c>
      <c r="F77" t="inlineStr">
        <is>
          <t>CEC</t>
        </is>
      </c>
      <c r="G77" t="inlineStr">
        <is>
          <t>CEC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2013/03_2_BS2A_BB_CEC_San Juan SpA.</t>
        </is>
      </c>
      <c r="K77" t="inlineStr">
        <is>
          <t>Quinta 13.8</t>
        </is>
      </c>
      <c r="L77" t="inlineStr">
        <is>
          <t>-1</t>
        </is>
      </c>
      <c r="M77" t="n">
        <v>6285.647346214404</v>
      </c>
      <c r="N77" t="n">
        <v>0</v>
      </c>
      <c r="O77" t="inlineStr">
        <is>
          <t>5</t>
        </is>
      </c>
      <c r="P77" s="2" t="n">
        <v>44676.57923885417</v>
      </c>
      <c r="Q77" t="n">
        <v>8</v>
      </c>
      <c r="R77" t="inlineStr">
        <is>
          <t>ALTO JAHUEL 220</t>
        </is>
      </c>
      <c r="S77" t="n">
        <v>3120.230669867924</v>
      </c>
      <c r="T77" t="n">
        <v>240686.1058029052</v>
      </c>
      <c r="U77" t="n">
        <v>0</v>
      </c>
      <c r="V77" t="n">
        <v>0</v>
      </c>
      <c r="W77" t="inlineStr">
        <is>
          <t>CEC</t>
        </is>
      </c>
      <c r="X77" t="n">
        <v>85.23456316645158</v>
      </c>
      <c r="Y77" t="n">
        <v>240.6861058029052</v>
      </c>
      <c r="Z77" t="n">
        <v>265951.4981247571</v>
      </c>
      <c r="AA77" t="n">
        <v>0</v>
      </c>
      <c r="AB77" t="n">
        <v>0</v>
      </c>
      <c r="AC77" t="n">
        <v>0</v>
      </c>
      <c r="AD77" s="2" t="n">
        <v>44256</v>
      </c>
    </row>
    <row r="78">
      <c r="A78" t="n">
        <v>-1</v>
      </c>
      <c r="B78" t="inlineStr">
        <is>
          <t>01-03-2021</t>
        </is>
      </c>
      <c r="C78" t="n">
        <v>2021</v>
      </c>
      <c r="D78" t="n">
        <v>3</v>
      </c>
      <c r="E78" t="inlineStr">
        <is>
          <t>Quinta 13.8</t>
        </is>
      </c>
      <c r="F78" t="inlineStr">
        <is>
          <t>CEC</t>
        </is>
      </c>
      <c r="G78" t="inlineStr">
        <is>
          <t>CEC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2013/03_2_BS2A_BB_CEC_San Juan SpA.</t>
        </is>
      </c>
      <c r="K78" t="inlineStr">
        <is>
          <t>Quinta 13.8</t>
        </is>
      </c>
      <c r="L78" t="inlineStr">
        <is>
          <t>-1</t>
        </is>
      </c>
      <c r="M78" t="n">
        <v>6285.647346214404</v>
      </c>
      <c r="N78" t="n">
        <v>0</v>
      </c>
      <c r="O78" t="inlineStr">
        <is>
          <t>5</t>
        </is>
      </c>
      <c r="P78" s="2" t="n">
        <v>44676.57923885417</v>
      </c>
      <c r="Q78" t="n">
        <v>34</v>
      </c>
      <c r="R78" t="inlineStr">
        <is>
          <t>CHARRUA 220</t>
        </is>
      </c>
      <c r="S78" t="n">
        <v>212.8605231700997</v>
      </c>
      <c r="T78" t="n">
        <v>15146.73197013934</v>
      </c>
      <c r="U78" t="n">
        <v>0</v>
      </c>
      <c r="V78" t="n">
        <v>0</v>
      </c>
      <c r="W78" t="inlineStr">
        <is>
          <t>CEC</t>
        </is>
      </c>
      <c r="X78" t="n">
        <v>78.62763916829806</v>
      </c>
      <c r="Y78" t="n">
        <v>15.14673197013934</v>
      </c>
      <c r="Z78" t="n">
        <v>16736.72040899375</v>
      </c>
      <c r="AA78" t="n">
        <v>0</v>
      </c>
      <c r="AB78" t="n">
        <v>0</v>
      </c>
      <c r="AC78" t="n">
        <v>0</v>
      </c>
      <c r="AD78" s="2" t="n">
        <v>44256</v>
      </c>
    </row>
    <row r="79">
      <c r="A79" t="n">
        <v>-1</v>
      </c>
      <c r="B79" t="inlineStr">
        <is>
          <t>01-03-2021</t>
        </is>
      </c>
      <c r="C79" t="n">
        <v>2021</v>
      </c>
      <c r="D79" t="n">
        <v>3</v>
      </c>
      <c r="E79" t="inlineStr">
        <is>
          <t>Quinta 13.8</t>
        </is>
      </c>
      <c r="F79" t="inlineStr">
        <is>
          <t>CEC</t>
        </is>
      </c>
      <c r="G79" t="inlineStr">
        <is>
          <t>CEC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2013/03_2_BS2A_BB_CEC_San Juan SpA.</t>
        </is>
      </c>
      <c r="K79" t="inlineStr">
        <is>
          <t>Quinta 13.8</t>
        </is>
      </c>
      <c r="L79" t="inlineStr">
        <is>
          <t>-1</t>
        </is>
      </c>
      <c r="M79" t="n">
        <v>6285.647346214404</v>
      </c>
      <c r="N79" t="n">
        <v>0</v>
      </c>
      <c r="O79" t="inlineStr">
        <is>
          <t>5</t>
        </is>
      </c>
      <c r="P79" s="2" t="n">
        <v>44676.57923885417</v>
      </c>
      <c r="Q79" t="n">
        <v>23</v>
      </c>
      <c r="R79" t="inlineStr">
        <is>
          <t>ITAHUE 220</t>
        </is>
      </c>
      <c r="S79" t="n">
        <v>3112.239562524996</v>
      </c>
      <c r="T79" t="n">
        <v>226014.5520252569</v>
      </c>
      <c r="U79" t="n">
        <v>0</v>
      </c>
      <c r="V79" t="n">
        <v>0</v>
      </c>
      <c r="W79" t="inlineStr">
        <is>
          <t>CEC</t>
        </is>
      </c>
      <c r="X79" t="n">
        <v>80.24441289775898</v>
      </c>
      <c r="Y79" t="n">
        <v>226.0145520252569</v>
      </c>
      <c r="Z79" t="n">
        <v>249739.8364919966</v>
      </c>
      <c r="AA79" t="n">
        <v>0</v>
      </c>
      <c r="AB79" t="n">
        <v>0</v>
      </c>
      <c r="AC79" t="n">
        <v>0</v>
      </c>
      <c r="AD79" s="2" t="n">
        <v>44256</v>
      </c>
    </row>
    <row r="80">
      <c r="A80" t="n">
        <v>-1</v>
      </c>
      <c r="B80" t="inlineStr">
        <is>
          <t>01-03-2021</t>
        </is>
      </c>
      <c r="C80" t="n">
        <v>2021</v>
      </c>
      <c r="D80" t="n">
        <v>3</v>
      </c>
      <c r="E80" t="inlineStr">
        <is>
          <t>Quinta 13.8</t>
        </is>
      </c>
      <c r="F80" t="inlineStr">
        <is>
          <t>CEC</t>
        </is>
      </c>
      <c r="G80" t="inlineStr">
        <is>
          <t>CEC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2013/03_2_BS2A_BB_CEC_San Juan SpA.</t>
        </is>
      </c>
      <c r="K80" t="inlineStr">
        <is>
          <t>Quinta 13.8</t>
        </is>
      </c>
      <c r="L80" t="inlineStr">
        <is>
          <t>-1</t>
        </is>
      </c>
      <c r="M80" t="n">
        <v>6285.647346214404</v>
      </c>
      <c r="N80" t="n">
        <v>0</v>
      </c>
      <c r="O80" t="inlineStr">
        <is>
          <t>5</t>
        </is>
      </c>
      <c r="P80" s="2" t="n">
        <v>44676.57923885417</v>
      </c>
      <c r="Q80" t="n">
        <v>22</v>
      </c>
      <c r="R80" t="inlineStr">
        <is>
          <t>RAPEL 220</t>
        </is>
      </c>
      <c r="S80" t="n">
        <v>4.978342079129406</v>
      </c>
      <c r="T80" t="n">
        <v>390.3943722199319</v>
      </c>
      <c r="U80" t="n">
        <v>0</v>
      </c>
      <c r="V80" t="n">
        <v>0</v>
      </c>
      <c r="W80" t="inlineStr">
        <is>
          <t>CEC</t>
        </is>
      </c>
      <c r="X80" t="n">
        <v>86.65033259497083</v>
      </c>
      <c r="Y80" t="n">
        <v>0.390394372219932</v>
      </c>
      <c r="Z80" t="n">
        <v>431.3749969281016</v>
      </c>
      <c r="AA80" t="n">
        <v>0</v>
      </c>
      <c r="AB80" t="n">
        <v>0</v>
      </c>
      <c r="AC80" t="n">
        <v>0</v>
      </c>
      <c r="AD80" s="2" t="n">
        <v>44256</v>
      </c>
    </row>
    <row r="81">
      <c r="A81" t="n">
        <v>-1</v>
      </c>
      <c r="B81" t="inlineStr">
        <is>
          <t>01-03-2021</t>
        </is>
      </c>
      <c r="C81" t="n">
        <v>2021</v>
      </c>
      <c r="D81" t="n">
        <v>3</v>
      </c>
      <c r="E81" t="inlineStr">
        <is>
          <t>Teno 13.2</t>
        </is>
      </c>
      <c r="F81" t="inlineStr">
        <is>
          <t>CEC</t>
        </is>
      </c>
      <c r="G81" t="inlineStr">
        <is>
          <t>CEC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2013/03_2_BS2A_BB_CEC_San Juan SpA.</t>
        </is>
      </c>
      <c r="K81" t="inlineStr">
        <is>
          <t>Teno 13.2</t>
        </is>
      </c>
      <c r="L81" t="inlineStr">
        <is>
          <t>-1</t>
        </is>
      </c>
      <c r="M81" t="n">
        <v>9360.975052634436</v>
      </c>
      <c r="N81" t="n">
        <v>0</v>
      </c>
      <c r="O81" t="inlineStr">
        <is>
          <t>5</t>
        </is>
      </c>
      <c r="P81" s="2" t="n">
        <v>44676.57923885417</v>
      </c>
      <c r="Q81" t="n">
        <v>8</v>
      </c>
      <c r="R81" t="inlineStr">
        <is>
          <t>ALTO JAHUEL 220</t>
        </is>
      </c>
      <c r="S81" t="n">
        <v>4110.09094561509</v>
      </c>
      <c r="T81" t="n">
        <v>317041.2347231206</v>
      </c>
      <c r="U81" t="n">
        <v>0</v>
      </c>
      <c r="V81" t="n">
        <v>0</v>
      </c>
      <c r="W81" t="inlineStr">
        <is>
          <t>CEC</t>
        </is>
      </c>
      <c r="X81" t="n">
        <v>85.23456316645158</v>
      </c>
      <c r="Y81" t="n">
        <v>317.0412347231205</v>
      </c>
      <c r="Z81" t="n">
        <v>350321.8063238901</v>
      </c>
      <c r="AA81" t="n">
        <v>0</v>
      </c>
      <c r="AB81" t="n">
        <v>0</v>
      </c>
      <c r="AC81" t="n">
        <v>0</v>
      </c>
      <c r="AD81" s="2" t="n">
        <v>44256</v>
      </c>
    </row>
    <row r="82">
      <c r="A82" t="n">
        <v>-1</v>
      </c>
      <c r="B82" t="inlineStr">
        <is>
          <t>01-03-2021</t>
        </is>
      </c>
      <c r="C82" t="n">
        <v>2021</v>
      </c>
      <c r="D82" t="n">
        <v>3</v>
      </c>
      <c r="E82" t="inlineStr">
        <is>
          <t>Teno 13.2</t>
        </is>
      </c>
      <c r="F82" t="inlineStr">
        <is>
          <t>CEC</t>
        </is>
      </c>
      <c r="G82" t="inlineStr">
        <is>
          <t>CEC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2013/03_2_BS2A_BB_CEC_San Juan SpA.</t>
        </is>
      </c>
      <c r="K82" t="inlineStr">
        <is>
          <t>Teno 13.2</t>
        </is>
      </c>
      <c r="L82" t="inlineStr">
        <is>
          <t>-1</t>
        </is>
      </c>
      <c r="M82" t="n">
        <v>9360.975052634436</v>
      </c>
      <c r="N82" t="n">
        <v>0</v>
      </c>
      <c r="O82" t="inlineStr">
        <is>
          <t>5</t>
        </is>
      </c>
      <c r="P82" s="2" t="n">
        <v>44676.57923885417</v>
      </c>
      <c r="Q82" t="n">
        <v>34</v>
      </c>
      <c r="R82" t="inlineStr">
        <is>
          <t>CHARRUA 220</t>
        </is>
      </c>
      <c r="S82" t="n">
        <v>213.2926301568567</v>
      </c>
      <c r="T82" t="n">
        <v>15177.47984491367</v>
      </c>
      <c r="U82" t="n">
        <v>0</v>
      </c>
      <c r="V82" t="n">
        <v>0</v>
      </c>
      <c r="W82" t="inlineStr">
        <is>
          <t>CEC</t>
        </is>
      </c>
      <c r="X82" t="n">
        <v>78.62763916829807</v>
      </c>
      <c r="Y82" t="n">
        <v>15.17747984491367</v>
      </c>
      <c r="Z82" t="n">
        <v>16770.69596123058</v>
      </c>
      <c r="AA82" t="n">
        <v>0</v>
      </c>
      <c r="AB82" t="n">
        <v>0</v>
      </c>
      <c r="AC82" t="n">
        <v>0</v>
      </c>
      <c r="AD82" s="2" t="n">
        <v>44256</v>
      </c>
    </row>
    <row r="83">
      <c r="A83" t="n">
        <v>-1</v>
      </c>
      <c r="B83" t="inlineStr">
        <is>
          <t>01-03-2021</t>
        </is>
      </c>
      <c r="C83" t="n">
        <v>2021</v>
      </c>
      <c r="D83" t="n">
        <v>3</v>
      </c>
      <c r="E83" t="inlineStr">
        <is>
          <t>Teno 13.2</t>
        </is>
      </c>
      <c r="F83" t="inlineStr">
        <is>
          <t>CEC</t>
        </is>
      </c>
      <c r="G83" t="inlineStr">
        <is>
          <t>CEC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2013/03_2_BS2A_BB_CEC_San Juan SpA.</t>
        </is>
      </c>
      <c r="K83" t="inlineStr">
        <is>
          <t>Teno 13.2</t>
        </is>
      </c>
      <c r="L83" t="inlineStr">
        <is>
          <t>-1</t>
        </is>
      </c>
      <c r="M83" t="n">
        <v>9360.975052634436</v>
      </c>
      <c r="N83" t="n">
        <v>0</v>
      </c>
      <c r="O83" t="inlineStr">
        <is>
          <t>5</t>
        </is>
      </c>
      <c r="P83" s="2" t="n">
        <v>44676.57923885417</v>
      </c>
      <c r="Q83" t="n">
        <v>23</v>
      </c>
      <c r="R83" t="inlineStr">
        <is>
          <t>ITAHUE 220</t>
        </is>
      </c>
      <c r="S83" t="n">
        <v>5243.484663068052</v>
      </c>
      <c r="T83" t="n">
        <v>380788.115235301</v>
      </c>
      <c r="U83" t="n">
        <v>0</v>
      </c>
      <c r="V83" t="n">
        <v>0</v>
      </c>
      <c r="W83" t="inlineStr">
        <is>
          <t>CEC</t>
        </is>
      </c>
      <c r="X83" t="n">
        <v>80.24441289775899</v>
      </c>
      <c r="Y83" t="n">
        <v>380.788115235301</v>
      </c>
      <c r="Z83" t="n">
        <v>420760.3483262994</v>
      </c>
      <c r="AA83" t="n">
        <v>0</v>
      </c>
      <c r="AB83" t="n">
        <v>0</v>
      </c>
      <c r="AC83" t="n">
        <v>0</v>
      </c>
      <c r="AD83" s="2" t="n">
        <v>44256</v>
      </c>
    </row>
    <row r="84">
      <c r="A84" t="n">
        <v>-1</v>
      </c>
      <c r="B84" t="inlineStr">
        <is>
          <t>01-03-2021</t>
        </is>
      </c>
      <c r="C84" t="n">
        <v>2021</v>
      </c>
      <c r="D84" t="n">
        <v>3</v>
      </c>
      <c r="E84" t="inlineStr">
        <is>
          <t>Teno 13.2</t>
        </is>
      </c>
      <c r="F84" t="inlineStr">
        <is>
          <t>CEC</t>
        </is>
      </c>
      <c r="G84" t="inlineStr">
        <is>
          <t>CEC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2013/03_2_BS2A_BB_CEC_San Juan SpA.</t>
        </is>
      </c>
      <c r="K84" t="inlineStr">
        <is>
          <t>Teno 13.2</t>
        </is>
      </c>
      <c r="L84" t="inlineStr">
        <is>
          <t>-1</t>
        </is>
      </c>
      <c r="M84" t="n">
        <v>9360.975052634436</v>
      </c>
      <c r="N84" t="n">
        <v>0</v>
      </c>
      <c r="O84" t="inlineStr">
        <is>
          <t>5</t>
        </is>
      </c>
      <c r="P84" s="2" t="n">
        <v>44676.57923885417</v>
      </c>
      <c r="Q84" t="n">
        <v>13</v>
      </c>
      <c r="R84" t="inlineStr">
        <is>
          <t>MELIPILLA 220</t>
        </is>
      </c>
      <c r="S84" t="n">
        <v>20.98765835461995</v>
      </c>
      <c r="T84" t="n">
        <v>1649.639598704136</v>
      </c>
      <c r="U84" t="n">
        <v>0</v>
      </c>
      <c r="V84" t="n">
        <v>0</v>
      </c>
      <c r="W84" t="inlineStr">
        <is>
          <t>CEC</t>
        </is>
      </c>
      <c r="X84" t="n">
        <v>86.85133689591251</v>
      </c>
      <c r="Y84" t="n">
        <v>1.649639598704136</v>
      </c>
      <c r="Z84" t="n">
        <v>1822.80618641341</v>
      </c>
      <c r="AA84" t="n">
        <v>0</v>
      </c>
      <c r="AB84" t="n">
        <v>0</v>
      </c>
      <c r="AC84" t="n">
        <v>0</v>
      </c>
      <c r="AD84" s="2" t="n">
        <v>44256</v>
      </c>
    </row>
    <row r="85">
      <c r="A85" t="n">
        <v>-1</v>
      </c>
      <c r="B85" t="inlineStr">
        <is>
          <t>01-03-2021</t>
        </is>
      </c>
      <c r="C85" t="n">
        <v>2021</v>
      </c>
      <c r="D85" t="n">
        <v>3</v>
      </c>
      <c r="E85" t="inlineStr">
        <is>
          <t>Teno 13.2</t>
        </is>
      </c>
      <c r="F85" t="inlineStr">
        <is>
          <t>CEC</t>
        </is>
      </c>
      <c r="G85" t="inlineStr">
        <is>
          <t>CEC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2013/03_2_BS2A_BB_CEC_San Juan SpA.</t>
        </is>
      </c>
      <c r="K85" t="inlineStr">
        <is>
          <t>Teno 13.2</t>
        </is>
      </c>
      <c r="L85" t="inlineStr">
        <is>
          <t>-1</t>
        </is>
      </c>
      <c r="M85" t="n">
        <v>9360.975052634436</v>
      </c>
      <c r="N85" t="n">
        <v>0</v>
      </c>
      <c r="O85" t="inlineStr">
        <is>
          <t>5</t>
        </is>
      </c>
      <c r="P85" s="2" t="n">
        <v>44676.57923885417</v>
      </c>
      <c r="Q85" t="n">
        <v>22</v>
      </c>
      <c r="R85" t="inlineStr">
        <is>
          <t>RAPEL 220</t>
        </is>
      </c>
      <c r="S85" t="n">
        <v>18.34362673735017</v>
      </c>
      <c r="T85" t="n">
        <v>1438.4806287994</v>
      </c>
      <c r="U85" t="n">
        <v>0</v>
      </c>
      <c r="V85" t="n">
        <v>0</v>
      </c>
      <c r="W85" t="inlineStr">
        <is>
          <t>CEC</t>
        </is>
      </c>
      <c r="X85" t="n">
        <v>86.65033259497083</v>
      </c>
      <c r="Y85" t="n">
        <v>1.4384806287994</v>
      </c>
      <c r="Z85" t="n">
        <v>1589.481357789392</v>
      </c>
      <c r="AA85" t="n">
        <v>0</v>
      </c>
      <c r="AB85" t="n">
        <v>0</v>
      </c>
      <c r="AC85" t="n">
        <v>0</v>
      </c>
      <c r="AD85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3226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SUM_CEC_A</t>
        </is>
      </c>
      <c r="G2" t="inlineStr">
        <is>
          <t>A</t>
        </is>
      </c>
      <c r="H2" t="inlineStr">
        <is>
          <t>CEC</t>
        </is>
      </c>
      <c r="I2" t="inlineStr">
        <is>
          <t>CCURCURIBLOQA</t>
        </is>
      </c>
      <c r="J2" t="inlineStr">
        <is>
          <t>CURICO</t>
        </is>
      </c>
      <c r="K2" t="n">
        <v>-61394.96077296</v>
      </c>
      <c r="L2" t="inlineStr">
        <is>
          <t>CURICO</t>
        </is>
      </c>
      <c r="M2" t="inlineStr">
        <is>
          <t>ALTO JAHUEL</t>
        </is>
      </c>
      <c r="N2" t="n">
        <v>0.24824931095561</v>
      </c>
      <c r="O2" t="n">
        <v>15241.256708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ALTO JAHUEL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0.9827</v>
      </c>
      <c r="AL2" t="n">
        <v>64.46599999999999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0.9936514234698939</v>
      </c>
      <c r="AR2" t="n">
        <v>6026.4158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ALTO JAHUEL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0.9752999999999999</v>
      </c>
      <c r="BE2" t="n">
        <v>77.137</v>
      </c>
      <c r="BF2" t="n">
        <v>8.9176</v>
      </c>
      <c r="BG2" t="n">
        <v>0.77</v>
      </c>
      <c r="BH2" t="n">
        <v>5962.380796939026</v>
      </c>
      <c r="BI2" t="n">
        <v>0.9846245412161493</v>
      </c>
      <c r="BJ2" t="n">
        <v>5870.7065</v>
      </c>
    </row>
    <row r="3">
      <c r="A3" t="n">
        <v>3228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SUM_CEC_A</t>
        </is>
      </c>
      <c r="G3" t="inlineStr">
        <is>
          <t>A</t>
        </is>
      </c>
      <c r="H3" t="inlineStr">
        <is>
          <t>CEC</t>
        </is>
      </c>
      <c r="I3" t="inlineStr">
        <is>
          <t>CCURCURIBLOQA</t>
        </is>
      </c>
      <c r="J3" t="inlineStr">
        <is>
          <t>CURICO</t>
        </is>
      </c>
      <c r="K3" t="n">
        <v>-61394.96077296</v>
      </c>
      <c r="L3" t="inlineStr">
        <is>
          <t>CURICO</t>
        </is>
      </c>
      <c r="M3" t="inlineStr">
        <is>
          <t>CHARRUA</t>
        </is>
      </c>
      <c r="N3" t="n">
        <v>0.07754004789224</v>
      </c>
      <c r="O3" t="n">
        <v>4760.568199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CHARRUA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0.9350000000000001</v>
      </c>
      <c r="AL3" t="n">
        <v>61.337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1.096171586715867</v>
      </c>
      <c r="AR3" t="n">
        <v>6648.1923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CHARRUA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0.8997000000000001</v>
      </c>
      <c r="BE3" t="n">
        <v>71.158</v>
      </c>
      <c r="BF3" t="n">
        <v>8.9176</v>
      </c>
      <c r="BG3" t="n">
        <v>0.77</v>
      </c>
      <c r="BH3" t="n">
        <v>5962.380796939026</v>
      </c>
      <c r="BI3" t="n">
        <v>1.026176199261993</v>
      </c>
      <c r="BJ3" t="n">
        <v>6118.4533</v>
      </c>
    </row>
    <row r="4">
      <c r="A4" t="n">
        <v>3230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SUM_CEC_A</t>
        </is>
      </c>
      <c r="G4" t="inlineStr">
        <is>
          <t>A</t>
        </is>
      </c>
      <c r="H4" t="inlineStr">
        <is>
          <t>CEC</t>
        </is>
      </c>
      <c r="I4" t="inlineStr">
        <is>
          <t>CCURCURIBLOQA</t>
        </is>
      </c>
      <c r="J4" t="inlineStr">
        <is>
          <t>CURICO</t>
        </is>
      </c>
      <c r="K4" t="n">
        <v>-61394.96077296</v>
      </c>
      <c r="L4" t="inlineStr">
        <is>
          <t>CURICO</t>
        </is>
      </c>
      <c r="M4" t="inlineStr">
        <is>
          <t>ITAHUE</t>
        </is>
      </c>
      <c r="N4" t="n">
        <v>0.7397970389905</v>
      </c>
      <c r="O4" t="n">
        <v>45419.810189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ITAHUE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0.9537</v>
      </c>
      <c r="AL4" t="n">
        <v>62.564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1.007895816242822</v>
      </c>
      <c r="AR4" t="n">
        <v>6112.8068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ITAHUE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0.9182</v>
      </c>
      <c r="BE4" t="n">
        <v>72.621</v>
      </c>
      <c r="BF4" t="n">
        <v>8.9176</v>
      </c>
      <c r="BG4" t="n">
        <v>0.77</v>
      </c>
      <c r="BH4" t="n">
        <v>5962.380796939026</v>
      </c>
      <c r="BI4" t="n">
        <v>0.9487284659557015</v>
      </c>
      <c r="BJ4" t="n">
        <v>5656.6804</v>
      </c>
    </row>
    <row r="5">
      <c r="A5" t="n">
        <v>3232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SUM_CEC_A</t>
        </is>
      </c>
      <c r="G5" t="inlineStr">
        <is>
          <t>A</t>
        </is>
      </c>
      <c r="H5" t="inlineStr">
        <is>
          <t>CEC</t>
        </is>
      </c>
      <c r="I5" t="inlineStr">
        <is>
          <t>CCURCURIBLOQA</t>
        </is>
      </c>
      <c r="J5" t="inlineStr">
        <is>
          <t>CURICO</t>
        </is>
      </c>
      <c r="K5" t="n">
        <v>-61394.96077296</v>
      </c>
      <c r="L5" t="inlineStr">
        <is>
          <t>CURICO</t>
        </is>
      </c>
      <c r="M5" t="inlineStr">
        <is>
          <t>MELIPILLA</t>
        </is>
      </c>
      <c r="N5" t="n">
        <v>0.00290857755967</v>
      </c>
      <c r="O5" t="n">
        <v>178.572005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MELIPILLA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1.0179</v>
      </c>
      <c r="AL5" t="n">
        <v>66.77500000000001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0.9897500976181179</v>
      </c>
      <c r="AR5" t="n">
        <v>6002.7545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MELIPILLA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0.9938</v>
      </c>
      <c r="BE5" t="n">
        <v>78.59999999999999</v>
      </c>
      <c r="BF5" t="n">
        <v>8.9176</v>
      </c>
      <c r="BG5" t="n">
        <v>0.77</v>
      </c>
      <c r="BH5" t="n">
        <v>5962.380796939026</v>
      </c>
      <c r="BI5" t="n">
        <v>0.9841858648965248</v>
      </c>
      <c r="BJ5" t="n">
        <v>5868.0909</v>
      </c>
    </row>
    <row r="6">
      <c r="A6" t="n">
        <v>3234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SUM_CEC_A</t>
        </is>
      </c>
      <c r="G6" t="inlineStr">
        <is>
          <t>A</t>
        </is>
      </c>
      <c r="H6" t="inlineStr">
        <is>
          <t>CEC</t>
        </is>
      </c>
      <c r="I6" t="inlineStr">
        <is>
          <t>CCURCURIBLOQA</t>
        </is>
      </c>
      <c r="J6" t="inlineStr">
        <is>
          <t>CURICO</t>
        </is>
      </c>
      <c r="K6" t="n">
        <v>-61394.96077296</v>
      </c>
      <c r="L6" t="inlineStr">
        <is>
          <t>CURICO</t>
        </is>
      </c>
      <c r="M6" t="inlineStr">
        <is>
          <t>RAPEL</t>
        </is>
      </c>
      <c r="N6" t="n">
        <v>0.0026170694898</v>
      </c>
      <c r="O6" t="n">
        <v>160.674879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RAPEL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0.9925</v>
      </c>
      <c r="AL6" t="n">
        <v>65.10899999999999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0.9384721401850759</v>
      </c>
      <c r="AR6" t="n">
        <v>5691.7579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RAPEL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0.9915</v>
      </c>
      <c r="BE6" t="n">
        <v>78.419</v>
      </c>
      <c r="BF6" t="n">
        <v>8.9176</v>
      </c>
      <c r="BG6" t="n">
        <v>0.77</v>
      </c>
      <c r="BH6" t="n">
        <v>5962.380796939026</v>
      </c>
      <c r="BI6" t="n">
        <v>0.985233313644418</v>
      </c>
      <c r="BJ6" t="n">
        <v>5874.3362</v>
      </c>
    </row>
    <row r="7">
      <c r="A7" t="n">
        <v>2581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SUM_CEC_A</t>
        </is>
      </c>
      <c r="G7" t="inlineStr">
        <is>
          <t>A</t>
        </is>
      </c>
      <c r="H7" t="inlineStr">
        <is>
          <t>CEC</t>
        </is>
      </c>
      <c r="I7" t="inlineStr">
        <is>
          <t>CCURQUINBLOQA</t>
        </is>
      </c>
      <c r="J7" t="inlineStr">
        <is>
          <t>QUINTA</t>
        </is>
      </c>
      <c r="K7" t="n">
        <v>-18253.10700564</v>
      </c>
      <c r="L7" t="inlineStr">
        <is>
          <t>QUINTA</t>
        </is>
      </c>
      <c r="M7" t="inlineStr">
        <is>
          <t>ALTO JAHUEL</t>
        </is>
      </c>
      <c r="N7" t="n">
        <v>0.45523813654234</v>
      </c>
      <c r="O7" t="n">
        <v>8309.510419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ALTO JAHUEL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0.9827</v>
      </c>
      <c r="AL7" t="n">
        <v>64.46599999999999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0.9936514234698939</v>
      </c>
      <c r="AR7" t="n">
        <v>6026.4158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ALTO JAHUEL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0.9752999999999999</v>
      </c>
      <c r="BE7" t="n">
        <v>77.137</v>
      </c>
      <c r="BF7" t="n">
        <v>8.9176</v>
      </c>
      <c r="BG7" t="n">
        <v>0.77</v>
      </c>
      <c r="BH7" t="n">
        <v>5962.380796939026</v>
      </c>
      <c r="BI7" t="n">
        <v>0.9846245412161493</v>
      </c>
      <c r="BJ7" t="n">
        <v>5870.7065</v>
      </c>
    </row>
    <row r="8">
      <c r="A8" t="n">
        <v>2583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SUM_CEC_A</t>
        </is>
      </c>
      <c r="G8" t="inlineStr">
        <is>
          <t>A</t>
        </is>
      </c>
      <c r="H8" t="inlineStr">
        <is>
          <t>CEC</t>
        </is>
      </c>
      <c r="I8" t="inlineStr">
        <is>
          <t>CCURQUINBLOQA</t>
        </is>
      </c>
      <c r="J8" t="inlineStr">
        <is>
          <t>QUINTA</t>
        </is>
      </c>
      <c r="K8" t="n">
        <v>-18253.10700564</v>
      </c>
      <c r="L8" t="inlineStr">
        <is>
          <t>QUINTA</t>
        </is>
      </c>
      <c r="M8" t="inlineStr">
        <is>
          <t>CHARRUA</t>
        </is>
      </c>
      <c r="N8" t="n">
        <v>0.06889661639233</v>
      </c>
      <c r="O8" t="n">
        <v>1257.577311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CHARRUA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0.9350000000000001</v>
      </c>
      <c r="AL8" t="n">
        <v>61.337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1.096171586715867</v>
      </c>
      <c r="AR8" t="n">
        <v>6648.1923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CHARRUA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0.8997000000000001</v>
      </c>
      <c r="BE8" t="n">
        <v>71.158</v>
      </c>
      <c r="BF8" t="n">
        <v>8.9176</v>
      </c>
      <c r="BG8" t="n">
        <v>0.77</v>
      </c>
      <c r="BH8" t="n">
        <v>5962.380796939026</v>
      </c>
      <c r="BI8" t="n">
        <v>1.026176199261993</v>
      </c>
      <c r="BJ8" t="n">
        <v>6118.4533</v>
      </c>
    </row>
    <row r="9">
      <c r="A9" t="n">
        <v>2585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SUM_CEC_A</t>
        </is>
      </c>
      <c r="G9" t="inlineStr">
        <is>
          <t>A</t>
        </is>
      </c>
      <c r="H9" t="inlineStr">
        <is>
          <t>CEC</t>
        </is>
      </c>
      <c r="I9" t="inlineStr">
        <is>
          <t>CCURQUINBLOQA</t>
        </is>
      </c>
      <c r="J9" t="inlineStr">
        <is>
          <t>QUINTA</t>
        </is>
      </c>
      <c r="K9" t="n">
        <v>-18253.10700564</v>
      </c>
      <c r="L9" t="inlineStr">
        <is>
          <t>QUINTA</t>
        </is>
      </c>
      <c r="M9" t="inlineStr">
        <is>
          <t>ITAHUE</t>
        </is>
      </c>
      <c r="N9" t="n">
        <v>0.70986919705586</v>
      </c>
      <c r="O9" t="n">
        <v>12957.318414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ITAHUE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0.9537</v>
      </c>
      <c r="AL9" t="n">
        <v>62.564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1.007895816242822</v>
      </c>
      <c r="AR9" t="n">
        <v>6112.8068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ITAHUE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0.9182</v>
      </c>
      <c r="BE9" t="n">
        <v>72.621</v>
      </c>
      <c r="BF9" t="n">
        <v>8.9176</v>
      </c>
      <c r="BG9" t="n">
        <v>0.77</v>
      </c>
      <c r="BH9" t="n">
        <v>5962.380796939026</v>
      </c>
      <c r="BI9" t="n">
        <v>0.9487284659557015</v>
      </c>
      <c r="BJ9" t="n">
        <v>5656.6804</v>
      </c>
    </row>
    <row r="10">
      <c r="A10" t="n">
        <v>2587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SUM_CEC_A</t>
        </is>
      </c>
      <c r="G10" t="inlineStr">
        <is>
          <t>A</t>
        </is>
      </c>
      <c r="H10" t="inlineStr">
        <is>
          <t>CEC</t>
        </is>
      </c>
      <c r="I10" t="inlineStr">
        <is>
          <t>CCURQUINBLOQA</t>
        </is>
      </c>
      <c r="J10" t="inlineStr">
        <is>
          <t>QUINTA</t>
        </is>
      </c>
      <c r="K10" t="n">
        <v>-18253.10700564</v>
      </c>
      <c r="L10" t="inlineStr">
        <is>
          <t>QUINTA</t>
        </is>
      </c>
      <c r="M10" t="inlineStr">
        <is>
          <t>RAPEL</t>
        </is>
      </c>
      <c r="N10" t="n">
        <v>0.0014965642882</v>
      </c>
      <c r="O10" t="n">
        <v>27.316948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RAPEL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0.9925</v>
      </c>
      <c r="AL10" t="n">
        <v>65.10899999999999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0.9384721401850759</v>
      </c>
      <c r="AR10" t="n">
        <v>5691.7579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RAPEL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0.9915</v>
      </c>
      <c r="BE10" t="n">
        <v>78.419</v>
      </c>
      <c r="BF10" t="n">
        <v>8.9176</v>
      </c>
      <c r="BG10" t="n">
        <v>0.77</v>
      </c>
      <c r="BH10" t="n">
        <v>5962.380796939026</v>
      </c>
      <c r="BI10" t="n">
        <v>0.985233313644418</v>
      </c>
      <c r="BJ10" t="n">
        <v>5874.3362</v>
      </c>
    </row>
    <row r="11">
      <c r="A11" t="n">
        <v>5401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SUM_CEC_A</t>
        </is>
      </c>
      <c r="G11" t="inlineStr">
        <is>
          <t>A</t>
        </is>
      </c>
      <c r="H11" t="inlineStr">
        <is>
          <t>CEC</t>
        </is>
      </c>
      <c r="I11" t="inlineStr">
        <is>
          <t>CCURTENOBLOQA</t>
        </is>
      </c>
      <c r="J11" t="inlineStr">
        <is>
          <t>TENO</t>
        </is>
      </c>
      <c r="K11" t="n">
        <v>-15402.64935687</v>
      </c>
      <c r="L11" t="inlineStr">
        <is>
          <t>TENO</t>
        </is>
      </c>
      <c r="M11" t="inlineStr">
        <is>
          <t>ALTO JAHUEL</t>
        </is>
      </c>
      <c r="N11" t="n">
        <v>0.2634387057414</v>
      </c>
      <c r="O11" t="n">
        <v>4057.654012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ALTO JAHUEL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0.9827</v>
      </c>
      <c r="AL11" t="n">
        <v>64.46599999999999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0.9936514234698939</v>
      </c>
      <c r="AR11" t="n">
        <v>6026.4158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ALTO JAHUEL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0.9752999999999999</v>
      </c>
      <c r="BE11" t="n">
        <v>77.137</v>
      </c>
      <c r="BF11" t="n">
        <v>8.9176</v>
      </c>
      <c r="BG11" t="n">
        <v>0.77</v>
      </c>
      <c r="BH11" t="n">
        <v>5962.380796939026</v>
      </c>
      <c r="BI11" t="n">
        <v>0.9846245412161493</v>
      </c>
      <c r="BJ11" t="n">
        <v>5870.7065</v>
      </c>
    </row>
    <row r="12">
      <c r="A12" t="n">
        <v>5403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SUM_CEC_A</t>
        </is>
      </c>
      <c r="G12" t="inlineStr">
        <is>
          <t>A</t>
        </is>
      </c>
      <c r="H12" t="inlineStr">
        <is>
          <t>CEC</t>
        </is>
      </c>
      <c r="I12" t="inlineStr">
        <is>
          <t>CCURTENOBLOQA</t>
        </is>
      </c>
      <c r="J12" t="inlineStr">
        <is>
          <t>TENO</t>
        </is>
      </c>
      <c r="K12" t="n">
        <v>-15402.64935687</v>
      </c>
      <c r="L12" t="inlineStr">
        <is>
          <t>TENO</t>
        </is>
      </c>
      <c r="M12" t="inlineStr">
        <is>
          <t>CHARRUA</t>
        </is>
      </c>
      <c r="N12" t="n">
        <v>0.07126242968347</v>
      </c>
      <c r="O12" t="n">
        <v>1097.630217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CHARRUA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0.9350000000000001</v>
      </c>
      <c r="AL12" t="n">
        <v>61.337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1.096171586715867</v>
      </c>
      <c r="AR12" t="n">
        <v>6648.1923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CHARRUA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0.8997000000000001</v>
      </c>
      <c r="BE12" t="n">
        <v>71.158</v>
      </c>
      <c r="BF12" t="n">
        <v>8.9176</v>
      </c>
      <c r="BG12" t="n">
        <v>0.77</v>
      </c>
      <c r="BH12" t="n">
        <v>5962.380796939026</v>
      </c>
      <c r="BI12" t="n">
        <v>1.026176199261993</v>
      </c>
      <c r="BJ12" t="n">
        <v>6118.4533</v>
      </c>
    </row>
    <row r="13">
      <c r="A13" t="n">
        <v>5405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SUM_CEC_A</t>
        </is>
      </c>
      <c r="G13" t="inlineStr">
        <is>
          <t>A</t>
        </is>
      </c>
      <c r="H13" t="inlineStr">
        <is>
          <t>CEC</t>
        </is>
      </c>
      <c r="I13" t="inlineStr">
        <is>
          <t>CCURTENOBLOQA</t>
        </is>
      </c>
      <c r="J13" t="inlineStr">
        <is>
          <t>TENO</t>
        </is>
      </c>
      <c r="K13" t="n">
        <v>-15402.64935687</v>
      </c>
      <c r="L13" t="inlineStr">
        <is>
          <t>TENO</t>
        </is>
      </c>
      <c r="M13" t="inlineStr">
        <is>
          <t>ITAHUE</t>
        </is>
      </c>
      <c r="N13" t="n">
        <v>0.74738783869542</v>
      </c>
      <c r="O13" t="n">
        <v>11511.752813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ITAHUE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0.9537</v>
      </c>
      <c r="AL13" t="n">
        <v>62.564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1.007895816242822</v>
      </c>
      <c r="AR13" t="n">
        <v>6112.8068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ITAHUE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0.9182</v>
      </c>
      <c r="BE13" t="n">
        <v>72.621</v>
      </c>
      <c r="BF13" t="n">
        <v>8.9176</v>
      </c>
      <c r="BG13" t="n">
        <v>0.77</v>
      </c>
      <c r="BH13" t="n">
        <v>5962.380796939026</v>
      </c>
      <c r="BI13" t="n">
        <v>0.9487284659557015</v>
      </c>
      <c r="BJ13" t="n">
        <v>5656.6804</v>
      </c>
    </row>
    <row r="14">
      <c r="A14" t="n">
        <v>5407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SUM_CEC_A</t>
        </is>
      </c>
      <c r="G14" t="inlineStr">
        <is>
          <t>A</t>
        </is>
      </c>
      <c r="H14" t="inlineStr">
        <is>
          <t>CEC</t>
        </is>
      </c>
      <c r="I14" t="inlineStr">
        <is>
          <t>CCURTENOBLOQA</t>
        </is>
      </c>
      <c r="J14" t="inlineStr">
        <is>
          <t>TENO</t>
        </is>
      </c>
      <c r="K14" t="n">
        <v>-15402.64935687</v>
      </c>
      <c r="L14" t="inlineStr">
        <is>
          <t>TENO</t>
        </is>
      </c>
      <c r="M14" t="inlineStr">
        <is>
          <t>MELIPILLA</t>
        </is>
      </c>
      <c r="N14" t="n">
        <v>0.00308071516317</v>
      </c>
      <c r="O14" t="n">
        <v>47.451175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MELIPILLA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1.0179</v>
      </c>
      <c r="AL14" t="n">
        <v>66.77500000000001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0.9897500976181179</v>
      </c>
      <c r="AR14" t="n">
        <v>6002.7545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MELIPILLA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0.9938</v>
      </c>
      <c r="BE14" t="n">
        <v>78.59999999999999</v>
      </c>
      <c r="BF14" t="n">
        <v>8.9176</v>
      </c>
      <c r="BG14" t="n">
        <v>0.77</v>
      </c>
      <c r="BH14" t="n">
        <v>5962.380796939026</v>
      </c>
      <c r="BI14" t="n">
        <v>0.9841858648965248</v>
      </c>
      <c r="BJ14" t="n">
        <v>5868.0909</v>
      </c>
    </row>
    <row r="15">
      <c r="A15" t="n">
        <v>5409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SUM_CEC_A</t>
        </is>
      </c>
      <c r="G15" t="inlineStr">
        <is>
          <t>A</t>
        </is>
      </c>
      <c r="H15" t="inlineStr">
        <is>
          <t>CEC</t>
        </is>
      </c>
      <c r="I15" t="inlineStr">
        <is>
          <t>CCURTENOBLOQA</t>
        </is>
      </c>
      <c r="J15" t="inlineStr">
        <is>
          <t>TENO</t>
        </is>
      </c>
      <c r="K15" t="n">
        <v>-15402.64935687</v>
      </c>
      <c r="L15" t="inlineStr">
        <is>
          <t>TENO</t>
        </is>
      </c>
      <c r="M15" t="inlineStr">
        <is>
          <t>RAPEL</t>
        </is>
      </c>
      <c r="N15" t="n">
        <v>0.0025360775708</v>
      </c>
      <c r="O15" t="n">
        <v>39.062314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RAPEL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0.9925</v>
      </c>
      <c r="AL15" t="n">
        <v>65.10899999999999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0.9384721401850759</v>
      </c>
      <c r="AR15" t="n">
        <v>5691.7579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RAPEL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0.9915</v>
      </c>
      <c r="BE15" t="n">
        <v>78.419</v>
      </c>
      <c r="BF15" t="n">
        <v>8.9176</v>
      </c>
      <c r="BG15" t="n">
        <v>0.77</v>
      </c>
      <c r="BH15" t="n">
        <v>5962.380796939026</v>
      </c>
      <c r="BI15" t="n">
        <v>0.985233313644418</v>
      </c>
      <c r="BJ15" t="n">
        <v>5874.3362</v>
      </c>
    </row>
    <row r="16">
      <c r="A16" t="n">
        <v>3296</v>
      </c>
      <c r="B16" t="inlineStr">
        <is>
          <t>01-02-2021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SUM_CEC_A</t>
        </is>
      </c>
      <c r="G16" t="inlineStr">
        <is>
          <t>A</t>
        </is>
      </c>
      <c r="H16" t="inlineStr">
        <is>
          <t>CEC</t>
        </is>
      </c>
      <c r="I16" t="inlineStr">
        <is>
          <t>CCURCURIBLOQA</t>
        </is>
      </c>
      <c r="J16" t="inlineStr">
        <is>
          <t>CURICO</t>
        </is>
      </c>
      <c r="K16" t="n">
        <v>-45746.66620336</v>
      </c>
      <c r="L16" t="inlineStr">
        <is>
          <t>CURICO</t>
        </is>
      </c>
      <c r="M16" t="inlineStr">
        <is>
          <t>ALTO JAHUEL</t>
        </is>
      </c>
      <c r="N16" t="n">
        <v>0.24824931095561</v>
      </c>
      <c r="O16" t="n">
        <v>11356.578364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ALTO JAHUEL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0.9827</v>
      </c>
      <c r="AL16" t="n">
        <v>64.46599999999999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0.9936514234698939</v>
      </c>
      <c r="AR16" t="n">
        <v>6026.4158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ALTO JAHUEL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0.9752999999999999</v>
      </c>
      <c r="BE16" t="n">
        <v>77.137</v>
      </c>
      <c r="BF16" t="n">
        <v>8.9176</v>
      </c>
      <c r="BG16" t="n">
        <v>0.77</v>
      </c>
      <c r="BH16" t="n">
        <v>5962.380796939026</v>
      </c>
      <c r="BI16" t="n">
        <v>0.9846245412161493</v>
      </c>
      <c r="BJ16" t="n">
        <v>5870.7065</v>
      </c>
    </row>
    <row r="17">
      <c r="A17" t="n">
        <v>3298</v>
      </c>
      <c r="B17" t="inlineStr">
        <is>
          <t>01-02-2021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SUM_CEC_A</t>
        </is>
      </c>
      <c r="G17" t="inlineStr">
        <is>
          <t>A</t>
        </is>
      </c>
      <c r="H17" t="inlineStr">
        <is>
          <t>CEC</t>
        </is>
      </c>
      <c r="I17" t="inlineStr">
        <is>
          <t>CCURCURIBLOQA</t>
        </is>
      </c>
      <c r="J17" t="inlineStr">
        <is>
          <t>CURICO</t>
        </is>
      </c>
      <c r="K17" t="n">
        <v>-45746.66620336</v>
      </c>
      <c r="L17" t="inlineStr">
        <is>
          <t>CURICO</t>
        </is>
      </c>
      <c r="M17" t="inlineStr">
        <is>
          <t>CHARRUA</t>
        </is>
      </c>
      <c r="N17" t="n">
        <v>0.07754004789224</v>
      </c>
      <c r="O17" t="n">
        <v>3547.198688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CHARRUA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0.9350000000000001</v>
      </c>
      <c r="AL17" t="n">
        <v>61.337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1.096171586715867</v>
      </c>
      <c r="AR17" t="n">
        <v>6648.1923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CHARRUA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0.8997000000000001</v>
      </c>
      <c r="BE17" t="n">
        <v>71.158</v>
      </c>
      <c r="BF17" t="n">
        <v>8.9176</v>
      </c>
      <c r="BG17" t="n">
        <v>0.77</v>
      </c>
      <c r="BH17" t="n">
        <v>5962.380796939026</v>
      </c>
      <c r="BI17" t="n">
        <v>1.026176199261993</v>
      </c>
      <c r="BJ17" t="n">
        <v>6118.4533</v>
      </c>
    </row>
    <row r="18">
      <c r="A18" t="n">
        <v>3300</v>
      </c>
      <c r="B18" t="inlineStr">
        <is>
          <t>01-02-2021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SUM_CEC_A</t>
        </is>
      </c>
      <c r="G18" t="inlineStr">
        <is>
          <t>A</t>
        </is>
      </c>
      <c r="H18" t="inlineStr">
        <is>
          <t>CEC</t>
        </is>
      </c>
      <c r="I18" t="inlineStr">
        <is>
          <t>CCURCURIBLOQA</t>
        </is>
      </c>
      <c r="J18" t="inlineStr">
        <is>
          <t>CURICO</t>
        </is>
      </c>
      <c r="K18" t="n">
        <v>-45746.66620336</v>
      </c>
      <c r="L18" t="inlineStr">
        <is>
          <t>CURICO</t>
        </is>
      </c>
      <c r="M18" t="inlineStr">
        <is>
          <t>ITAHUE</t>
        </is>
      </c>
      <c r="N18" t="n">
        <v>0.7397970389905</v>
      </c>
      <c r="O18" t="n">
        <v>33843.248201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ITAHUE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0.9537</v>
      </c>
      <c r="AL18" t="n">
        <v>62.564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1.007895816242822</v>
      </c>
      <c r="AR18" t="n">
        <v>6112.8068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ITAHUE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0.9182</v>
      </c>
      <c r="BE18" t="n">
        <v>72.621</v>
      </c>
      <c r="BF18" t="n">
        <v>8.9176</v>
      </c>
      <c r="BG18" t="n">
        <v>0.77</v>
      </c>
      <c r="BH18" t="n">
        <v>5962.380796939026</v>
      </c>
      <c r="BI18" t="n">
        <v>0.9487284659557015</v>
      </c>
      <c r="BJ18" t="n">
        <v>5656.6804</v>
      </c>
    </row>
    <row r="19">
      <c r="A19" t="n">
        <v>3302</v>
      </c>
      <c r="B19" t="inlineStr">
        <is>
          <t>01-02-2021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SUM_CEC_A</t>
        </is>
      </c>
      <c r="G19" t="inlineStr">
        <is>
          <t>A</t>
        </is>
      </c>
      <c r="H19" t="inlineStr">
        <is>
          <t>CEC</t>
        </is>
      </c>
      <c r="I19" t="inlineStr">
        <is>
          <t>CCURCURIBLOQA</t>
        </is>
      </c>
      <c r="J19" t="inlineStr">
        <is>
          <t>CURICO</t>
        </is>
      </c>
      <c r="K19" t="n">
        <v>-45746.66620336</v>
      </c>
      <c r="L19" t="inlineStr">
        <is>
          <t>CURICO</t>
        </is>
      </c>
      <c r="M19" t="inlineStr">
        <is>
          <t>MELIPILLA</t>
        </is>
      </c>
      <c r="N19" t="n">
        <v>0.00290857755967</v>
      </c>
      <c r="O19" t="n">
        <v>133.057727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MELIPILLA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1.0179</v>
      </c>
      <c r="AL19" t="n">
        <v>66.77500000000001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0.9897500976181179</v>
      </c>
      <c r="AR19" t="n">
        <v>6002.7545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MELIPILLA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0.9938</v>
      </c>
      <c r="BE19" t="n">
        <v>78.59999999999999</v>
      </c>
      <c r="BF19" t="n">
        <v>8.9176</v>
      </c>
      <c r="BG19" t="n">
        <v>0.77</v>
      </c>
      <c r="BH19" t="n">
        <v>5962.380796939026</v>
      </c>
      <c r="BI19" t="n">
        <v>0.9841858648965248</v>
      </c>
      <c r="BJ19" t="n">
        <v>5868.0909</v>
      </c>
    </row>
    <row r="20">
      <c r="A20" t="n">
        <v>3304</v>
      </c>
      <c r="B20" t="inlineStr">
        <is>
          <t>01-02-2021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SUM_CEC_A</t>
        </is>
      </c>
      <c r="G20" t="inlineStr">
        <is>
          <t>A</t>
        </is>
      </c>
      <c r="H20" t="inlineStr">
        <is>
          <t>CEC</t>
        </is>
      </c>
      <c r="I20" t="inlineStr">
        <is>
          <t>CCURCURIBLOQA</t>
        </is>
      </c>
      <c r="J20" t="inlineStr">
        <is>
          <t>CURICO</t>
        </is>
      </c>
      <c r="K20" t="n">
        <v>-45746.66620336</v>
      </c>
      <c r="L20" t="inlineStr">
        <is>
          <t>CURICO</t>
        </is>
      </c>
      <c r="M20" t="inlineStr">
        <is>
          <t>RAPEL</t>
        </is>
      </c>
      <c r="N20" t="n">
        <v>0.0026170694898</v>
      </c>
      <c r="O20" t="n">
        <v>119.722204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RAPEL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0.9925</v>
      </c>
      <c r="AL20" t="n">
        <v>65.10899999999999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0.9384721401850759</v>
      </c>
      <c r="AR20" t="n">
        <v>5691.7579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RAPEL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0.9915</v>
      </c>
      <c r="BE20" t="n">
        <v>78.419</v>
      </c>
      <c r="BF20" t="n">
        <v>8.9176</v>
      </c>
      <c r="BG20" t="n">
        <v>0.77</v>
      </c>
      <c r="BH20" t="n">
        <v>5962.380796939026</v>
      </c>
      <c r="BI20" t="n">
        <v>0.985233313644418</v>
      </c>
      <c r="BJ20" t="n">
        <v>5874.3362</v>
      </c>
    </row>
    <row r="21">
      <c r="A21" t="n">
        <v>2637</v>
      </c>
      <c r="B21" t="inlineStr">
        <is>
          <t>01-02-2021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SUM_CEC_A</t>
        </is>
      </c>
      <c r="G21" t="inlineStr">
        <is>
          <t>A</t>
        </is>
      </c>
      <c r="H21" t="inlineStr">
        <is>
          <t>CEC</t>
        </is>
      </c>
      <c r="I21" t="inlineStr">
        <is>
          <t>CCURQUINBLOQA</t>
        </is>
      </c>
      <c r="J21" t="inlineStr">
        <is>
          <t>QUINTA</t>
        </is>
      </c>
      <c r="K21" t="n">
        <v>-11492.28925067</v>
      </c>
      <c r="L21" t="inlineStr">
        <is>
          <t>QUINTA</t>
        </is>
      </c>
      <c r="M21" t="inlineStr">
        <is>
          <t>ALTO JAHUEL</t>
        </is>
      </c>
      <c r="N21" t="n">
        <v>0.45523813654234</v>
      </c>
      <c r="O21" t="n">
        <v>5231.728343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ALTO JAHUEL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0.9827</v>
      </c>
      <c r="AL21" t="n">
        <v>64.46599999999999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0.9936514234698939</v>
      </c>
      <c r="AR21" t="n">
        <v>6026.4158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ALTO JAHUEL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0.9752999999999999</v>
      </c>
      <c r="BE21" t="n">
        <v>77.137</v>
      </c>
      <c r="BF21" t="n">
        <v>8.9176</v>
      </c>
      <c r="BG21" t="n">
        <v>0.77</v>
      </c>
      <c r="BH21" t="n">
        <v>5962.380796939026</v>
      </c>
      <c r="BI21" t="n">
        <v>0.9846245412161493</v>
      </c>
      <c r="BJ21" t="n">
        <v>5870.7065</v>
      </c>
    </row>
    <row r="22">
      <c r="A22" t="n">
        <v>2639</v>
      </c>
      <c r="B22" t="inlineStr">
        <is>
          <t>01-02-2021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SUM_CEC_A</t>
        </is>
      </c>
      <c r="G22" t="inlineStr">
        <is>
          <t>A</t>
        </is>
      </c>
      <c r="H22" t="inlineStr">
        <is>
          <t>CEC</t>
        </is>
      </c>
      <c r="I22" t="inlineStr">
        <is>
          <t>CCURQUINBLOQA</t>
        </is>
      </c>
      <c r="J22" t="inlineStr">
        <is>
          <t>QUINTA</t>
        </is>
      </c>
      <c r="K22" t="n">
        <v>-11492.28925067</v>
      </c>
      <c r="L22" t="inlineStr">
        <is>
          <t>QUINTA</t>
        </is>
      </c>
      <c r="M22" t="inlineStr">
        <is>
          <t>CHARRUA</t>
        </is>
      </c>
      <c r="N22" t="n">
        <v>0.06889661639233</v>
      </c>
      <c r="O22" t="n">
        <v>791.779844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CHARRUA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0.9350000000000001</v>
      </c>
      <c r="AL22" t="n">
        <v>61.337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1.096171586715867</v>
      </c>
      <c r="AR22" t="n">
        <v>6648.1923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CHARRUA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0.8997000000000001</v>
      </c>
      <c r="BE22" t="n">
        <v>71.158</v>
      </c>
      <c r="BF22" t="n">
        <v>8.9176</v>
      </c>
      <c r="BG22" t="n">
        <v>0.77</v>
      </c>
      <c r="BH22" t="n">
        <v>5962.380796939026</v>
      </c>
      <c r="BI22" t="n">
        <v>1.026176199261993</v>
      </c>
      <c r="BJ22" t="n">
        <v>6118.4533</v>
      </c>
    </row>
    <row r="23">
      <c r="A23" t="n">
        <v>2641</v>
      </c>
      <c r="B23" t="inlineStr">
        <is>
          <t>01-02-2021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SUM_CEC_A</t>
        </is>
      </c>
      <c r="G23" t="inlineStr">
        <is>
          <t>A</t>
        </is>
      </c>
      <c r="H23" t="inlineStr">
        <is>
          <t>CEC</t>
        </is>
      </c>
      <c r="I23" t="inlineStr">
        <is>
          <t>CCURQUINBLOQA</t>
        </is>
      </c>
      <c r="J23" t="inlineStr">
        <is>
          <t>QUINTA</t>
        </is>
      </c>
      <c r="K23" t="n">
        <v>-11492.28925067</v>
      </c>
      <c r="L23" t="inlineStr">
        <is>
          <t>QUINTA</t>
        </is>
      </c>
      <c r="M23" t="inlineStr">
        <is>
          <t>ITAHUE</t>
        </is>
      </c>
      <c r="N23" t="n">
        <v>0.70986919705586</v>
      </c>
      <c r="O23" t="n">
        <v>8158.022143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ITAHUE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0.9537</v>
      </c>
      <c r="AL23" t="n">
        <v>62.564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1.007895816242822</v>
      </c>
      <c r="AR23" t="n">
        <v>6112.8068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ITAHUE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0.9182</v>
      </c>
      <c r="BE23" t="n">
        <v>72.621</v>
      </c>
      <c r="BF23" t="n">
        <v>8.9176</v>
      </c>
      <c r="BG23" t="n">
        <v>0.77</v>
      </c>
      <c r="BH23" t="n">
        <v>5962.380796939026</v>
      </c>
      <c r="BI23" t="n">
        <v>0.9487284659557015</v>
      </c>
      <c r="BJ23" t="n">
        <v>5656.6804</v>
      </c>
    </row>
    <row r="24">
      <c r="A24" t="n">
        <v>2643</v>
      </c>
      <c r="B24" t="inlineStr">
        <is>
          <t>01-02-2021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SUM_CEC_A</t>
        </is>
      </c>
      <c r="G24" t="inlineStr">
        <is>
          <t>A</t>
        </is>
      </c>
      <c r="H24" t="inlineStr">
        <is>
          <t>CEC</t>
        </is>
      </c>
      <c r="I24" t="inlineStr">
        <is>
          <t>CCURQUINBLOQA</t>
        </is>
      </c>
      <c r="J24" t="inlineStr">
        <is>
          <t>QUINTA</t>
        </is>
      </c>
      <c r="K24" t="n">
        <v>-11492.28925067</v>
      </c>
      <c r="L24" t="inlineStr">
        <is>
          <t>QUINTA</t>
        </is>
      </c>
      <c r="M24" t="inlineStr">
        <is>
          <t>RAPEL</t>
        </is>
      </c>
      <c r="N24" t="n">
        <v>0.0014965642882</v>
      </c>
      <c r="O24" t="n">
        <v>17.19895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RAPEL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0.9925</v>
      </c>
      <c r="AL24" t="n">
        <v>65.10899999999999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0.9384721401850759</v>
      </c>
      <c r="AR24" t="n">
        <v>5691.7579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RAPEL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0.9915</v>
      </c>
      <c r="BE24" t="n">
        <v>78.419</v>
      </c>
      <c r="BF24" t="n">
        <v>8.9176</v>
      </c>
      <c r="BG24" t="n">
        <v>0.77</v>
      </c>
      <c r="BH24" t="n">
        <v>5962.380796939026</v>
      </c>
      <c r="BI24" t="n">
        <v>0.985233313644418</v>
      </c>
      <c r="BJ24" t="n">
        <v>5874.3362</v>
      </c>
    </row>
    <row r="25">
      <c r="A25" t="n">
        <v>5541</v>
      </c>
      <c r="B25" t="inlineStr">
        <is>
          <t>01-02-2021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SUM_CEC_A</t>
        </is>
      </c>
      <c r="G25" t="inlineStr">
        <is>
          <t>A</t>
        </is>
      </c>
      <c r="H25" t="inlineStr">
        <is>
          <t>CEC</t>
        </is>
      </c>
      <c r="I25" t="inlineStr">
        <is>
          <t>CCURTENOBLOQA</t>
        </is>
      </c>
      <c r="J25" t="inlineStr">
        <is>
          <t>TENO</t>
        </is>
      </c>
      <c r="K25" t="n">
        <v>-10472.89638524</v>
      </c>
      <c r="L25" t="inlineStr">
        <is>
          <t>TENO</t>
        </is>
      </c>
      <c r="M25" t="inlineStr">
        <is>
          <t>ALTO JAHUEL</t>
        </is>
      </c>
      <c r="N25" t="n">
        <v>0.2634387057414</v>
      </c>
      <c r="O25" t="n">
        <v>2758.966269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ALTO JAHUEL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0.9827</v>
      </c>
      <c r="AL25" t="n">
        <v>64.46599999999999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0.9936514234698939</v>
      </c>
      <c r="AR25" t="n">
        <v>6026.4158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ALTO JAHUEL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0.9752999999999999</v>
      </c>
      <c r="BE25" t="n">
        <v>77.137</v>
      </c>
      <c r="BF25" t="n">
        <v>8.9176</v>
      </c>
      <c r="BG25" t="n">
        <v>0.77</v>
      </c>
      <c r="BH25" t="n">
        <v>5962.380796939026</v>
      </c>
      <c r="BI25" t="n">
        <v>0.9846245412161493</v>
      </c>
      <c r="BJ25" t="n">
        <v>5870.7065</v>
      </c>
    </row>
    <row r="26">
      <c r="A26" t="n">
        <v>5543</v>
      </c>
      <c r="B26" t="inlineStr">
        <is>
          <t>01-02-2021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SUM_CEC_A</t>
        </is>
      </c>
      <c r="G26" t="inlineStr">
        <is>
          <t>A</t>
        </is>
      </c>
      <c r="H26" t="inlineStr">
        <is>
          <t>CEC</t>
        </is>
      </c>
      <c r="I26" t="inlineStr">
        <is>
          <t>CCURTENOBLOQA</t>
        </is>
      </c>
      <c r="J26" t="inlineStr">
        <is>
          <t>TENO</t>
        </is>
      </c>
      <c r="K26" t="n">
        <v>-10472.89638524</v>
      </c>
      <c r="L26" t="inlineStr">
        <is>
          <t>TENO</t>
        </is>
      </c>
      <c r="M26" t="inlineStr">
        <is>
          <t>CHARRUA</t>
        </is>
      </c>
      <c r="N26" t="n">
        <v>0.07126242968347</v>
      </c>
      <c r="O26" t="n">
        <v>746.324042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CHARRUA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0.9350000000000001</v>
      </c>
      <c r="AL26" t="n">
        <v>61.337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1.096171586715867</v>
      </c>
      <c r="AR26" t="n">
        <v>6648.1923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CHARRUA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0.8997000000000001</v>
      </c>
      <c r="BE26" t="n">
        <v>71.158</v>
      </c>
      <c r="BF26" t="n">
        <v>8.9176</v>
      </c>
      <c r="BG26" t="n">
        <v>0.77</v>
      </c>
      <c r="BH26" t="n">
        <v>5962.380796939026</v>
      </c>
      <c r="BI26" t="n">
        <v>1.026176199261993</v>
      </c>
      <c r="BJ26" t="n">
        <v>6118.4533</v>
      </c>
    </row>
    <row r="27">
      <c r="A27" t="n">
        <v>5545</v>
      </c>
      <c r="B27" t="inlineStr">
        <is>
          <t>01-02-2021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SUM_CEC_A</t>
        </is>
      </c>
      <c r="G27" t="inlineStr">
        <is>
          <t>A</t>
        </is>
      </c>
      <c r="H27" t="inlineStr">
        <is>
          <t>CEC</t>
        </is>
      </c>
      <c r="I27" t="inlineStr">
        <is>
          <t>CCURTENOBLOQA</t>
        </is>
      </c>
      <c r="J27" t="inlineStr">
        <is>
          <t>TENO</t>
        </is>
      </c>
      <c r="K27" t="n">
        <v>-10472.89638524</v>
      </c>
      <c r="L27" t="inlineStr">
        <is>
          <t>TENO</t>
        </is>
      </c>
      <c r="M27" t="inlineStr">
        <is>
          <t>ITAHUE</t>
        </is>
      </c>
      <c r="N27" t="n">
        <v>0.74738783869542</v>
      </c>
      <c r="O27" t="n">
        <v>7827.315394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ITAHUE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0.9537</v>
      </c>
      <c r="AL27" t="n">
        <v>62.564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1.007895816242822</v>
      </c>
      <c r="AR27" t="n">
        <v>6112.8068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ITAHUE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0.9182</v>
      </c>
      <c r="BE27" t="n">
        <v>72.621</v>
      </c>
      <c r="BF27" t="n">
        <v>8.9176</v>
      </c>
      <c r="BG27" t="n">
        <v>0.77</v>
      </c>
      <c r="BH27" t="n">
        <v>5962.380796939026</v>
      </c>
      <c r="BI27" t="n">
        <v>0.9487284659557015</v>
      </c>
      <c r="BJ27" t="n">
        <v>5656.6804</v>
      </c>
    </row>
    <row r="28">
      <c r="A28" t="n">
        <v>5547</v>
      </c>
      <c r="B28" t="inlineStr">
        <is>
          <t>01-02-2021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SUM_CEC_A</t>
        </is>
      </c>
      <c r="G28" t="inlineStr">
        <is>
          <t>A</t>
        </is>
      </c>
      <c r="H28" t="inlineStr">
        <is>
          <t>CEC</t>
        </is>
      </c>
      <c r="I28" t="inlineStr">
        <is>
          <t>CCURTENOBLOQA</t>
        </is>
      </c>
      <c r="J28" t="inlineStr">
        <is>
          <t>TENO</t>
        </is>
      </c>
      <c r="K28" t="n">
        <v>-10472.89638524</v>
      </c>
      <c r="L28" t="inlineStr">
        <is>
          <t>TENO</t>
        </is>
      </c>
      <c r="M28" t="inlineStr">
        <is>
          <t>MELIPILLA</t>
        </is>
      </c>
      <c r="N28" t="n">
        <v>0.00308071516317</v>
      </c>
      <c r="O28" t="n">
        <v>32.264011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MELIPILLA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1.0179</v>
      </c>
      <c r="AL28" t="n">
        <v>66.77500000000001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0.9897500976181179</v>
      </c>
      <c r="AR28" t="n">
        <v>6002.7545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MELIPILLA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0.9938</v>
      </c>
      <c r="BE28" t="n">
        <v>78.59999999999999</v>
      </c>
      <c r="BF28" t="n">
        <v>8.9176</v>
      </c>
      <c r="BG28" t="n">
        <v>0.77</v>
      </c>
      <c r="BH28" t="n">
        <v>5962.380796939026</v>
      </c>
      <c r="BI28" t="n">
        <v>0.9841858648965248</v>
      </c>
      <c r="BJ28" t="n">
        <v>5868.0909</v>
      </c>
    </row>
    <row r="29">
      <c r="A29" t="n">
        <v>5549</v>
      </c>
      <c r="B29" t="inlineStr">
        <is>
          <t>01-02-2021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SUM_CEC_A</t>
        </is>
      </c>
      <c r="G29" t="inlineStr">
        <is>
          <t>A</t>
        </is>
      </c>
      <c r="H29" t="inlineStr">
        <is>
          <t>CEC</t>
        </is>
      </c>
      <c r="I29" t="inlineStr">
        <is>
          <t>CCURTENOBLOQA</t>
        </is>
      </c>
      <c r="J29" t="inlineStr">
        <is>
          <t>TENO</t>
        </is>
      </c>
      <c r="K29" t="n">
        <v>-10472.89638524</v>
      </c>
      <c r="L29" t="inlineStr">
        <is>
          <t>TENO</t>
        </is>
      </c>
      <c r="M29" t="inlineStr">
        <is>
          <t>RAPEL</t>
        </is>
      </c>
      <c r="N29" t="n">
        <v>0.0025360775708</v>
      </c>
      <c r="O29" t="n">
        <v>26.560078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RAPEL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0.9925</v>
      </c>
      <c r="AL29" t="n">
        <v>65.10899999999999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0.9384721401850759</v>
      </c>
      <c r="AR29" t="n">
        <v>5691.7579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RAPEL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0.9915</v>
      </c>
      <c r="BE29" t="n">
        <v>78.419</v>
      </c>
      <c r="BF29" t="n">
        <v>8.9176</v>
      </c>
      <c r="BG29" t="n">
        <v>0.77</v>
      </c>
      <c r="BH29" t="n">
        <v>5962.380796939026</v>
      </c>
      <c r="BI29" t="n">
        <v>0.985233313644418</v>
      </c>
      <c r="BJ29" t="n">
        <v>5874.3362</v>
      </c>
    </row>
    <row r="30">
      <c r="A30" t="n">
        <v>3366</v>
      </c>
      <c r="B30" t="inlineStr">
        <is>
          <t>01-03-2021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SUM_CEC_A</t>
        </is>
      </c>
      <c r="G30" t="inlineStr">
        <is>
          <t>A</t>
        </is>
      </c>
      <c r="H30" t="inlineStr">
        <is>
          <t>CEC</t>
        </is>
      </c>
      <c r="I30" t="inlineStr">
        <is>
          <t>CCURCURIBLOQA</t>
        </is>
      </c>
      <c r="J30" t="inlineStr">
        <is>
          <t>CURICO</t>
        </is>
      </c>
      <c r="K30" t="n">
        <v>-52103.96309546</v>
      </c>
      <c r="L30" t="inlineStr">
        <is>
          <t>CURICO</t>
        </is>
      </c>
      <c r="M30" t="inlineStr">
        <is>
          <t>ALTO JAHUEL</t>
        </is>
      </c>
      <c r="N30" t="n">
        <v>0.24824931095561</v>
      </c>
      <c r="O30" t="n">
        <v>12934.772937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PNP_16T_02-11-2020</t>
        </is>
      </c>
      <c r="AB30" t="inlineStr">
        <is>
          <t>PNCP_2T_10-02-2020</t>
        </is>
      </c>
      <c r="AC30" t="inlineStr">
        <is>
          <t>PNCP_4T_30-04-2013</t>
        </is>
      </c>
      <c r="AD30" t="inlineStr">
        <is>
          <t>ALTO JAHUEL 220</t>
        </is>
      </c>
      <c r="AE30" t="n">
        <v>100.646</v>
      </c>
      <c r="AF30" t="n">
        <v>1.080821157758461</v>
      </c>
      <c r="AG30" t="n">
        <v>108.7803262437581</v>
      </c>
      <c r="AH30" t="n">
        <v>779.3099999999999</v>
      </c>
      <c r="AI30" t="n">
        <v>0.879</v>
      </c>
      <c r="AJ30" t="n">
        <v>74.51599092357533</v>
      </c>
      <c r="AK30" t="n">
        <v>0.976</v>
      </c>
      <c r="AL30" t="n">
        <v>72.72799999999999</v>
      </c>
      <c r="AM30" t="n">
        <v>8.9176</v>
      </c>
      <c r="AN30" t="n">
        <v>9.638330756426855</v>
      </c>
      <c r="AO30" t="n">
        <v>0.804</v>
      </c>
      <c r="AP30" t="n">
        <v>6039.043023599974</v>
      </c>
      <c r="AQ30" t="n">
        <v>0.9955361571272692</v>
      </c>
      <c r="AR30" t="n">
        <v>6012.0857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ALTO JAHUEL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0.9752999999999999</v>
      </c>
      <c r="BE30" t="n">
        <v>77.137</v>
      </c>
      <c r="BF30" t="n">
        <v>8.9176</v>
      </c>
      <c r="BG30" t="n">
        <v>0.77</v>
      </c>
      <c r="BH30" t="n">
        <v>5962.380796939026</v>
      </c>
      <c r="BI30" t="n">
        <v>0.9846245412161493</v>
      </c>
      <c r="BJ30" t="n">
        <v>5870.7065</v>
      </c>
    </row>
    <row r="31">
      <c r="A31" t="n">
        <v>3368</v>
      </c>
      <c r="B31" t="inlineStr">
        <is>
          <t>01-03-2021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SUM_CEC_A</t>
        </is>
      </c>
      <c r="G31" t="inlineStr">
        <is>
          <t>A</t>
        </is>
      </c>
      <c r="H31" t="inlineStr">
        <is>
          <t>CEC</t>
        </is>
      </c>
      <c r="I31" t="inlineStr">
        <is>
          <t>CCURCURIBLOQA</t>
        </is>
      </c>
      <c r="J31" t="inlineStr">
        <is>
          <t>CURICO</t>
        </is>
      </c>
      <c r="K31" t="n">
        <v>-52103.96309546</v>
      </c>
      <c r="L31" t="inlineStr">
        <is>
          <t>CURICO</t>
        </is>
      </c>
      <c r="M31" t="inlineStr">
        <is>
          <t>CHARRUA</t>
        </is>
      </c>
      <c r="N31" t="n">
        <v>0.07754004789224</v>
      </c>
      <c r="O31" t="n">
        <v>4040.143794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PNP_16T_02-11-2020</t>
        </is>
      </c>
      <c r="AB31" t="inlineStr">
        <is>
          <t>PNCP_2T_10-02-2020</t>
        </is>
      </c>
      <c r="AC31" t="inlineStr">
        <is>
          <t>PNCP_4T_30-04-2013</t>
        </is>
      </c>
      <c r="AD31" t="inlineStr">
        <is>
          <t>CHARRUA 220</t>
        </is>
      </c>
      <c r="AE31" t="n">
        <v>100.646</v>
      </c>
      <c r="AF31" t="n">
        <v>1.080821157758461</v>
      </c>
      <c r="AG31" t="n">
        <v>108.7803262437581</v>
      </c>
      <c r="AH31" t="n">
        <v>779.3099999999999</v>
      </c>
      <c r="AI31" t="n">
        <v>0.879</v>
      </c>
      <c r="AJ31" t="n">
        <v>74.51599092357533</v>
      </c>
      <c r="AK31" t="n">
        <v>0.9312</v>
      </c>
      <c r="AL31" t="n">
        <v>69.389</v>
      </c>
      <c r="AM31" t="n">
        <v>8.9176</v>
      </c>
      <c r="AN31" t="n">
        <v>9.638330756426855</v>
      </c>
      <c r="AO31" t="n">
        <v>0.804</v>
      </c>
      <c r="AP31" t="n">
        <v>6039.043023599974</v>
      </c>
      <c r="AQ31" t="n">
        <v>1.118773062730627</v>
      </c>
      <c r="AR31" t="n">
        <v>6756.3187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CHARRUA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0.8997000000000001</v>
      </c>
      <c r="BE31" t="n">
        <v>71.158</v>
      </c>
      <c r="BF31" t="n">
        <v>8.9176</v>
      </c>
      <c r="BG31" t="n">
        <v>0.77</v>
      </c>
      <c r="BH31" t="n">
        <v>5962.380796939026</v>
      </c>
      <c r="BI31" t="n">
        <v>1.026176199261993</v>
      </c>
      <c r="BJ31" t="n">
        <v>6118.4533</v>
      </c>
    </row>
    <row r="32">
      <c r="A32" t="n">
        <v>3370</v>
      </c>
      <c r="B32" t="inlineStr">
        <is>
          <t>01-03-2021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SUM_CEC_A</t>
        </is>
      </c>
      <c r="G32" t="inlineStr">
        <is>
          <t>A</t>
        </is>
      </c>
      <c r="H32" t="inlineStr">
        <is>
          <t>CEC</t>
        </is>
      </c>
      <c r="I32" t="inlineStr">
        <is>
          <t>CCURCURIBLOQA</t>
        </is>
      </c>
      <c r="J32" t="inlineStr">
        <is>
          <t>CURICO</t>
        </is>
      </c>
      <c r="K32" t="n">
        <v>-52103.96309546</v>
      </c>
      <c r="L32" t="inlineStr">
        <is>
          <t>CURICO</t>
        </is>
      </c>
      <c r="M32" t="inlineStr">
        <is>
          <t>ITAHUE</t>
        </is>
      </c>
      <c r="N32" t="n">
        <v>0.7397970389905</v>
      </c>
      <c r="O32" t="n">
        <v>38546.357618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PNP_16T_02-11-2020</t>
        </is>
      </c>
      <c r="AB32" t="inlineStr">
        <is>
          <t>PNCP_2T_10-02-2020</t>
        </is>
      </c>
      <c r="AC32" t="inlineStr">
        <is>
          <t>PNCP_4T_30-04-2013</t>
        </is>
      </c>
      <c r="AD32" t="inlineStr">
        <is>
          <t>ITAHUE 220</t>
        </is>
      </c>
      <c r="AE32" t="n">
        <v>100.646</v>
      </c>
      <c r="AF32" t="n">
        <v>1.080821157758461</v>
      </c>
      <c r="AG32" t="n">
        <v>108.7803262437581</v>
      </c>
      <c r="AH32" t="n">
        <v>779.3099999999999</v>
      </c>
      <c r="AI32" t="n">
        <v>0.879</v>
      </c>
      <c r="AJ32" t="n">
        <v>74.51599092357533</v>
      </c>
      <c r="AK32" t="n">
        <v>0.9327</v>
      </c>
      <c r="AL32" t="n">
        <v>69.501</v>
      </c>
      <c r="AM32" t="n">
        <v>8.9176</v>
      </c>
      <c r="AN32" t="n">
        <v>9.638330756426855</v>
      </c>
      <c r="AO32" t="n">
        <v>0.804</v>
      </c>
      <c r="AP32" t="n">
        <v>6039.043023599974</v>
      </c>
      <c r="AQ32" t="n">
        <v>1.016406890894175</v>
      </c>
      <c r="AR32" t="n">
        <v>6138.1249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ITAHUE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0.9182</v>
      </c>
      <c r="BE32" t="n">
        <v>72.621</v>
      </c>
      <c r="BF32" t="n">
        <v>8.9176</v>
      </c>
      <c r="BG32" t="n">
        <v>0.77</v>
      </c>
      <c r="BH32" t="n">
        <v>5962.380796939026</v>
      </c>
      <c r="BI32" t="n">
        <v>0.9487284659557015</v>
      </c>
      <c r="BJ32" t="n">
        <v>5656.6804</v>
      </c>
    </row>
    <row r="33">
      <c r="A33" t="n">
        <v>3372</v>
      </c>
      <c r="B33" t="inlineStr">
        <is>
          <t>01-03-2021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SUM_CEC_A</t>
        </is>
      </c>
      <c r="G33" t="inlineStr">
        <is>
          <t>A</t>
        </is>
      </c>
      <c r="H33" t="inlineStr">
        <is>
          <t>CEC</t>
        </is>
      </c>
      <c r="I33" t="inlineStr">
        <is>
          <t>CCURCURIBLOQA</t>
        </is>
      </c>
      <c r="J33" t="inlineStr">
        <is>
          <t>CURICO</t>
        </is>
      </c>
      <c r="K33" t="n">
        <v>-52103.96309546</v>
      </c>
      <c r="L33" t="inlineStr">
        <is>
          <t>CURICO</t>
        </is>
      </c>
      <c r="M33" t="inlineStr">
        <is>
          <t>MELIPILLA</t>
        </is>
      </c>
      <c r="N33" t="n">
        <v>0.00290857755967</v>
      </c>
      <c r="O33" t="n">
        <v>151.548418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PNP_16T_02-11-2020</t>
        </is>
      </c>
      <c r="AB33" t="inlineStr">
        <is>
          <t>PNCP_2T_10-02-2020</t>
        </is>
      </c>
      <c r="AC33" t="inlineStr">
        <is>
          <t>PNCP_4T_30-04-2013</t>
        </is>
      </c>
      <c r="AD33" t="inlineStr">
        <is>
          <t>MELIPILLA 220</t>
        </is>
      </c>
      <c r="AE33" t="n">
        <v>100.646</v>
      </c>
      <c r="AF33" t="n">
        <v>1.080821157758461</v>
      </c>
      <c r="AG33" t="n">
        <v>108.7803262437581</v>
      </c>
      <c r="AH33" t="n">
        <v>779.3099999999999</v>
      </c>
      <c r="AI33" t="n">
        <v>0.879</v>
      </c>
      <c r="AJ33" t="n">
        <v>74.51599092357533</v>
      </c>
      <c r="AK33" t="n">
        <v>0.9899</v>
      </c>
      <c r="AL33" t="n">
        <v>73.76300000000001</v>
      </c>
      <c r="AM33" t="n">
        <v>8.9176</v>
      </c>
      <c r="AN33" t="n">
        <v>9.638330756426855</v>
      </c>
      <c r="AO33" t="n">
        <v>0.804</v>
      </c>
      <c r="AP33" t="n">
        <v>6039.043023599974</v>
      </c>
      <c r="AQ33" t="n">
        <v>0.9919953143303397</v>
      </c>
      <c r="AR33" t="n">
        <v>5990.7024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MELIPILLA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0.9938</v>
      </c>
      <c r="BE33" t="n">
        <v>78.59999999999999</v>
      </c>
      <c r="BF33" t="n">
        <v>8.9176</v>
      </c>
      <c r="BG33" t="n">
        <v>0.77</v>
      </c>
      <c r="BH33" t="n">
        <v>5962.380796939026</v>
      </c>
      <c r="BI33" t="n">
        <v>0.9841858648965248</v>
      </c>
      <c r="BJ33" t="n">
        <v>5868.0909</v>
      </c>
    </row>
    <row r="34">
      <c r="A34" t="n">
        <v>3374</v>
      </c>
      <c r="B34" t="inlineStr">
        <is>
          <t>01-03-2021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SUM_CEC_A</t>
        </is>
      </c>
      <c r="G34" t="inlineStr">
        <is>
          <t>A</t>
        </is>
      </c>
      <c r="H34" t="inlineStr">
        <is>
          <t>CEC</t>
        </is>
      </c>
      <c r="I34" t="inlineStr">
        <is>
          <t>CCURCURIBLOQA</t>
        </is>
      </c>
      <c r="J34" t="inlineStr">
        <is>
          <t>CURICO</t>
        </is>
      </c>
      <c r="K34" t="n">
        <v>-52103.96309546</v>
      </c>
      <c r="L34" t="inlineStr">
        <is>
          <t>CURICO</t>
        </is>
      </c>
      <c r="M34" t="inlineStr">
        <is>
          <t>RAPEL</t>
        </is>
      </c>
      <c r="N34" t="n">
        <v>0.0026170694898</v>
      </c>
      <c r="O34" t="n">
        <v>136.359692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PNP_16T_02-11-2020</t>
        </is>
      </c>
      <c r="AB34" t="inlineStr">
        <is>
          <t>PNCP_2T_10-02-2020</t>
        </is>
      </c>
      <c r="AC34" t="inlineStr">
        <is>
          <t>PNCP_4T_30-04-2013</t>
        </is>
      </c>
      <c r="AD34" t="inlineStr">
        <is>
          <t>RAPEL 220</t>
        </is>
      </c>
      <c r="AE34" t="n">
        <v>100.646</v>
      </c>
      <c r="AF34" t="n">
        <v>1.080821157758461</v>
      </c>
      <c r="AG34" t="n">
        <v>108.7803262437581</v>
      </c>
      <c r="AH34" t="n">
        <v>779.3099999999999</v>
      </c>
      <c r="AI34" t="n">
        <v>0.879</v>
      </c>
      <c r="AJ34" t="n">
        <v>74.51599092357533</v>
      </c>
      <c r="AK34" t="n">
        <v>0.9638</v>
      </c>
      <c r="AL34" t="n">
        <v>71.819</v>
      </c>
      <c r="AM34" t="n">
        <v>8.9176</v>
      </c>
      <c r="AN34" t="n">
        <v>9.638330756426855</v>
      </c>
      <c r="AO34" t="n">
        <v>0.804</v>
      </c>
      <c r="AP34" t="n">
        <v>6039.043023599974</v>
      </c>
      <c r="AQ34" t="n">
        <v>0.9369954715495176</v>
      </c>
      <c r="AR34" t="n">
        <v>5658.556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RAPEL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0.9915</v>
      </c>
      <c r="BE34" t="n">
        <v>78.419</v>
      </c>
      <c r="BF34" t="n">
        <v>8.9176</v>
      </c>
      <c r="BG34" t="n">
        <v>0.77</v>
      </c>
      <c r="BH34" t="n">
        <v>5962.380796939026</v>
      </c>
      <c r="BI34" t="n">
        <v>0.985233313644418</v>
      </c>
      <c r="BJ34" t="n">
        <v>5874.3362</v>
      </c>
    </row>
    <row r="35">
      <c r="A35" t="n">
        <v>2693</v>
      </c>
      <c r="B35" t="inlineStr">
        <is>
          <t>01-03-2021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SUM_CEC_A</t>
        </is>
      </c>
      <c r="G35" t="inlineStr">
        <is>
          <t>A</t>
        </is>
      </c>
      <c r="H35" t="inlineStr">
        <is>
          <t>CEC</t>
        </is>
      </c>
      <c r="I35" t="inlineStr">
        <is>
          <t>CCURQUINBLOQA</t>
        </is>
      </c>
      <c r="J35" t="inlineStr">
        <is>
          <t>QUINTA</t>
        </is>
      </c>
      <c r="K35" t="n">
        <v>-12585.46374255</v>
      </c>
      <c r="L35" t="inlineStr">
        <is>
          <t>QUINTA</t>
        </is>
      </c>
      <c r="M35" t="inlineStr">
        <is>
          <t>ALTO JAHUEL</t>
        </is>
      </c>
      <c r="N35" t="n">
        <v>0.45523813654234</v>
      </c>
      <c r="O35" t="n">
        <v>5729.383062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PNP_16T_02-11-2020</t>
        </is>
      </c>
      <c r="AB35" t="inlineStr">
        <is>
          <t>PNCP_2T_10-02-2020</t>
        </is>
      </c>
      <c r="AC35" t="inlineStr">
        <is>
          <t>PNCP_4T_30-04-2013</t>
        </is>
      </c>
      <c r="AD35" t="inlineStr">
        <is>
          <t>ALTO JAHUEL 220</t>
        </is>
      </c>
      <c r="AE35" t="n">
        <v>100.646</v>
      </c>
      <c r="AF35" t="n">
        <v>1.080821157758461</v>
      </c>
      <c r="AG35" t="n">
        <v>108.7803262437581</v>
      </c>
      <c r="AH35" t="n">
        <v>779.3099999999999</v>
      </c>
      <c r="AI35" t="n">
        <v>0.879</v>
      </c>
      <c r="AJ35" t="n">
        <v>74.51599092357533</v>
      </c>
      <c r="AK35" t="n">
        <v>0.976</v>
      </c>
      <c r="AL35" t="n">
        <v>72.72799999999999</v>
      </c>
      <c r="AM35" t="n">
        <v>8.9176</v>
      </c>
      <c r="AN35" t="n">
        <v>9.638330756426855</v>
      </c>
      <c r="AO35" t="n">
        <v>0.804</v>
      </c>
      <c r="AP35" t="n">
        <v>6039.043023599974</v>
      </c>
      <c r="AQ35" t="n">
        <v>0.9955361571272692</v>
      </c>
      <c r="AR35" t="n">
        <v>6012.0857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ALTO JAHUEL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0.9752999999999999</v>
      </c>
      <c r="BE35" t="n">
        <v>77.137</v>
      </c>
      <c r="BF35" t="n">
        <v>8.9176</v>
      </c>
      <c r="BG35" t="n">
        <v>0.77</v>
      </c>
      <c r="BH35" t="n">
        <v>5962.380796939026</v>
      </c>
      <c r="BI35" t="n">
        <v>0.9846245412161493</v>
      </c>
      <c r="BJ35" t="n">
        <v>5870.7065</v>
      </c>
    </row>
    <row r="36">
      <c r="A36" t="n">
        <v>2695</v>
      </c>
      <c r="B36" t="inlineStr">
        <is>
          <t>01-03-2021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SUM_CEC_A</t>
        </is>
      </c>
      <c r="G36" t="inlineStr">
        <is>
          <t>A</t>
        </is>
      </c>
      <c r="H36" t="inlineStr">
        <is>
          <t>CEC</t>
        </is>
      </c>
      <c r="I36" t="inlineStr">
        <is>
          <t>CCURQUINBLOQA</t>
        </is>
      </c>
      <c r="J36" t="inlineStr">
        <is>
          <t>QUINTA</t>
        </is>
      </c>
      <c r="K36" t="n">
        <v>-12585.46374255</v>
      </c>
      <c r="L36" t="inlineStr">
        <is>
          <t>QUINTA</t>
        </is>
      </c>
      <c r="M36" t="inlineStr">
        <is>
          <t>CHARRUA</t>
        </is>
      </c>
      <c r="N36" t="n">
        <v>0.06889661639233</v>
      </c>
      <c r="O36" t="n">
        <v>867.095868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PNP_16T_02-11-2020</t>
        </is>
      </c>
      <c r="AB36" t="inlineStr">
        <is>
          <t>PNCP_2T_10-02-2020</t>
        </is>
      </c>
      <c r="AC36" t="inlineStr">
        <is>
          <t>PNCP_4T_30-04-2013</t>
        </is>
      </c>
      <c r="AD36" t="inlineStr">
        <is>
          <t>CHARRUA 220</t>
        </is>
      </c>
      <c r="AE36" t="n">
        <v>100.646</v>
      </c>
      <c r="AF36" t="n">
        <v>1.080821157758461</v>
      </c>
      <c r="AG36" t="n">
        <v>108.7803262437581</v>
      </c>
      <c r="AH36" t="n">
        <v>779.3099999999999</v>
      </c>
      <c r="AI36" t="n">
        <v>0.879</v>
      </c>
      <c r="AJ36" t="n">
        <v>74.51599092357533</v>
      </c>
      <c r="AK36" t="n">
        <v>0.9312</v>
      </c>
      <c r="AL36" t="n">
        <v>69.389</v>
      </c>
      <c r="AM36" t="n">
        <v>8.9176</v>
      </c>
      <c r="AN36" t="n">
        <v>9.638330756426855</v>
      </c>
      <c r="AO36" t="n">
        <v>0.804</v>
      </c>
      <c r="AP36" t="n">
        <v>6039.043023599974</v>
      </c>
      <c r="AQ36" t="n">
        <v>1.118773062730627</v>
      </c>
      <c r="AR36" t="n">
        <v>6756.3187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CHARRUA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0.8997000000000001</v>
      </c>
      <c r="BE36" t="n">
        <v>71.158</v>
      </c>
      <c r="BF36" t="n">
        <v>8.9176</v>
      </c>
      <c r="BG36" t="n">
        <v>0.77</v>
      </c>
      <c r="BH36" t="n">
        <v>5962.380796939026</v>
      </c>
      <c r="BI36" t="n">
        <v>1.026176199261993</v>
      </c>
      <c r="BJ36" t="n">
        <v>6118.4533</v>
      </c>
    </row>
    <row r="37">
      <c r="A37" t="n">
        <v>2697</v>
      </c>
      <c r="B37" t="inlineStr">
        <is>
          <t>01-03-2021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SUM_CEC_A</t>
        </is>
      </c>
      <c r="G37" t="inlineStr">
        <is>
          <t>A</t>
        </is>
      </c>
      <c r="H37" t="inlineStr">
        <is>
          <t>CEC</t>
        </is>
      </c>
      <c r="I37" t="inlineStr">
        <is>
          <t>CCURQUINBLOQA</t>
        </is>
      </c>
      <c r="J37" t="inlineStr">
        <is>
          <t>QUINTA</t>
        </is>
      </c>
      <c r="K37" t="n">
        <v>-12585.46374255</v>
      </c>
      <c r="L37" t="inlineStr">
        <is>
          <t>QUINTA</t>
        </is>
      </c>
      <c r="M37" t="inlineStr">
        <is>
          <t>ITAHUE</t>
        </is>
      </c>
      <c r="N37" t="n">
        <v>0.70986919705586</v>
      </c>
      <c r="O37" t="n">
        <v>8934.033041000001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PNP_16T_02-11-2020</t>
        </is>
      </c>
      <c r="AB37" t="inlineStr">
        <is>
          <t>PNCP_2T_10-02-2020</t>
        </is>
      </c>
      <c r="AC37" t="inlineStr">
        <is>
          <t>PNCP_4T_30-04-2013</t>
        </is>
      </c>
      <c r="AD37" t="inlineStr">
        <is>
          <t>ITAHUE 220</t>
        </is>
      </c>
      <c r="AE37" t="n">
        <v>100.646</v>
      </c>
      <c r="AF37" t="n">
        <v>1.080821157758461</v>
      </c>
      <c r="AG37" t="n">
        <v>108.7803262437581</v>
      </c>
      <c r="AH37" t="n">
        <v>779.3099999999999</v>
      </c>
      <c r="AI37" t="n">
        <v>0.879</v>
      </c>
      <c r="AJ37" t="n">
        <v>74.51599092357533</v>
      </c>
      <c r="AK37" t="n">
        <v>0.9327</v>
      </c>
      <c r="AL37" t="n">
        <v>69.501</v>
      </c>
      <c r="AM37" t="n">
        <v>8.9176</v>
      </c>
      <c r="AN37" t="n">
        <v>9.638330756426855</v>
      </c>
      <c r="AO37" t="n">
        <v>0.804</v>
      </c>
      <c r="AP37" t="n">
        <v>6039.043023599974</v>
      </c>
      <c r="AQ37" t="n">
        <v>1.016406890894175</v>
      </c>
      <c r="AR37" t="n">
        <v>6138.1249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ITAHUE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0.9182</v>
      </c>
      <c r="BE37" t="n">
        <v>72.621</v>
      </c>
      <c r="BF37" t="n">
        <v>8.9176</v>
      </c>
      <c r="BG37" t="n">
        <v>0.77</v>
      </c>
      <c r="BH37" t="n">
        <v>5962.380796939026</v>
      </c>
      <c r="BI37" t="n">
        <v>0.9487284659557015</v>
      </c>
      <c r="BJ37" t="n">
        <v>5656.6804</v>
      </c>
    </row>
    <row r="38">
      <c r="A38" t="n">
        <v>2699</v>
      </c>
      <c r="B38" t="inlineStr">
        <is>
          <t>01-03-2021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SUM_CEC_A</t>
        </is>
      </c>
      <c r="G38" t="inlineStr">
        <is>
          <t>A</t>
        </is>
      </c>
      <c r="H38" t="inlineStr">
        <is>
          <t>CEC</t>
        </is>
      </c>
      <c r="I38" t="inlineStr">
        <is>
          <t>CCURQUINBLOQA</t>
        </is>
      </c>
      <c r="J38" t="inlineStr">
        <is>
          <t>QUINTA</t>
        </is>
      </c>
      <c r="K38" t="n">
        <v>-12585.46374255</v>
      </c>
      <c r="L38" t="inlineStr">
        <is>
          <t>QUINTA</t>
        </is>
      </c>
      <c r="M38" t="inlineStr">
        <is>
          <t>RAPEL</t>
        </is>
      </c>
      <c r="N38" t="n">
        <v>0.0014965642882</v>
      </c>
      <c r="O38" t="n">
        <v>18.834956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PNP_16T_02-11-2020</t>
        </is>
      </c>
      <c r="AB38" t="inlineStr">
        <is>
          <t>PNCP_2T_10-02-2020</t>
        </is>
      </c>
      <c r="AC38" t="inlineStr">
        <is>
          <t>PNCP_4T_30-04-2013</t>
        </is>
      </c>
      <c r="AD38" t="inlineStr">
        <is>
          <t>RAPEL 220</t>
        </is>
      </c>
      <c r="AE38" t="n">
        <v>100.646</v>
      </c>
      <c r="AF38" t="n">
        <v>1.080821157758461</v>
      </c>
      <c r="AG38" t="n">
        <v>108.7803262437581</v>
      </c>
      <c r="AH38" t="n">
        <v>779.3099999999999</v>
      </c>
      <c r="AI38" t="n">
        <v>0.879</v>
      </c>
      <c r="AJ38" t="n">
        <v>74.51599092357533</v>
      </c>
      <c r="AK38" t="n">
        <v>0.9638</v>
      </c>
      <c r="AL38" t="n">
        <v>71.819</v>
      </c>
      <c r="AM38" t="n">
        <v>8.9176</v>
      </c>
      <c r="AN38" t="n">
        <v>9.638330756426855</v>
      </c>
      <c r="AO38" t="n">
        <v>0.804</v>
      </c>
      <c r="AP38" t="n">
        <v>6039.043023599974</v>
      </c>
      <c r="AQ38" t="n">
        <v>0.9369954715495176</v>
      </c>
      <c r="AR38" t="n">
        <v>5658.556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RAPEL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0.9915</v>
      </c>
      <c r="BE38" t="n">
        <v>78.419</v>
      </c>
      <c r="BF38" t="n">
        <v>8.9176</v>
      </c>
      <c r="BG38" t="n">
        <v>0.77</v>
      </c>
      <c r="BH38" t="n">
        <v>5962.380796939026</v>
      </c>
      <c r="BI38" t="n">
        <v>0.985233313644418</v>
      </c>
      <c r="BJ38" t="n">
        <v>5874.3362</v>
      </c>
    </row>
    <row r="39">
      <c r="A39" t="n">
        <v>5681</v>
      </c>
      <c r="B39" t="inlineStr">
        <is>
          <t>01-03-2021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SUM_CEC_A</t>
        </is>
      </c>
      <c r="G39" t="inlineStr">
        <is>
          <t>A</t>
        </is>
      </c>
      <c r="H39" t="inlineStr">
        <is>
          <t>CEC</t>
        </is>
      </c>
      <c r="I39" t="inlineStr">
        <is>
          <t>CCURTENOBLOQA</t>
        </is>
      </c>
      <c r="J39" t="inlineStr">
        <is>
          <t>TENO</t>
        </is>
      </c>
      <c r="K39" t="n">
        <v>-18721.94991866</v>
      </c>
      <c r="L39" t="inlineStr">
        <is>
          <t>TENO</t>
        </is>
      </c>
      <c r="M39" t="inlineStr">
        <is>
          <t>ALTO JAHUEL</t>
        </is>
      </c>
      <c r="N39" t="n">
        <v>0.2634387057414</v>
      </c>
      <c r="O39" t="n">
        <v>4932.086256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PNP_16T_02-11-2020</t>
        </is>
      </c>
      <c r="AB39" t="inlineStr">
        <is>
          <t>PNCP_2T_10-02-2020</t>
        </is>
      </c>
      <c r="AC39" t="inlineStr">
        <is>
          <t>PNCP_4T_30-04-2013</t>
        </is>
      </c>
      <c r="AD39" t="inlineStr">
        <is>
          <t>ALTO JAHUEL 220</t>
        </is>
      </c>
      <c r="AE39" t="n">
        <v>100.646</v>
      </c>
      <c r="AF39" t="n">
        <v>1.080821157758461</v>
      </c>
      <c r="AG39" t="n">
        <v>108.7803262437581</v>
      </c>
      <c r="AH39" t="n">
        <v>779.3099999999999</v>
      </c>
      <c r="AI39" t="n">
        <v>0.879</v>
      </c>
      <c r="AJ39" t="n">
        <v>74.51599092357533</v>
      </c>
      <c r="AK39" t="n">
        <v>0.976</v>
      </c>
      <c r="AL39" t="n">
        <v>72.72799999999999</v>
      </c>
      <c r="AM39" t="n">
        <v>8.9176</v>
      </c>
      <c r="AN39" t="n">
        <v>9.638330756426855</v>
      </c>
      <c r="AO39" t="n">
        <v>0.804</v>
      </c>
      <c r="AP39" t="n">
        <v>6039.043023599974</v>
      </c>
      <c r="AQ39" t="n">
        <v>0.9955361571272692</v>
      </c>
      <c r="AR39" t="n">
        <v>6012.0857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ALTO JAHUEL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0.9752999999999999</v>
      </c>
      <c r="BE39" t="n">
        <v>77.137</v>
      </c>
      <c r="BF39" t="n">
        <v>8.9176</v>
      </c>
      <c r="BG39" t="n">
        <v>0.77</v>
      </c>
      <c r="BH39" t="n">
        <v>5962.380796939026</v>
      </c>
      <c r="BI39" t="n">
        <v>0.9846245412161493</v>
      </c>
      <c r="BJ39" t="n">
        <v>5870.7065</v>
      </c>
    </row>
    <row r="40">
      <c r="A40" t="n">
        <v>5683</v>
      </c>
      <c r="B40" t="inlineStr">
        <is>
          <t>01-03-2021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SUM_CEC_A</t>
        </is>
      </c>
      <c r="G40" t="inlineStr">
        <is>
          <t>A</t>
        </is>
      </c>
      <c r="H40" t="inlineStr">
        <is>
          <t>CEC</t>
        </is>
      </c>
      <c r="I40" t="inlineStr">
        <is>
          <t>CCURTENOBLOQA</t>
        </is>
      </c>
      <c r="J40" t="inlineStr">
        <is>
          <t>TENO</t>
        </is>
      </c>
      <c r="K40" t="n">
        <v>-18721.94991866</v>
      </c>
      <c r="L40" t="inlineStr">
        <is>
          <t>TENO</t>
        </is>
      </c>
      <c r="M40" t="inlineStr">
        <is>
          <t>CHARRUA</t>
        </is>
      </c>
      <c r="N40" t="n">
        <v>0.07126242968347</v>
      </c>
      <c r="O40" t="n">
        <v>1334.17164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PNP_16T_02-11-2020</t>
        </is>
      </c>
      <c r="AB40" t="inlineStr">
        <is>
          <t>PNCP_2T_10-02-2020</t>
        </is>
      </c>
      <c r="AC40" t="inlineStr">
        <is>
          <t>PNCP_4T_30-04-2013</t>
        </is>
      </c>
      <c r="AD40" t="inlineStr">
        <is>
          <t>CHARRUA 220</t>
        </is>
      </c>
      <c r="AE40" t="n">
        <v>100.646</v>
      </c>
      <c r="AF40" t="n">
        <v>1.080821157758461</v>
      </c>
      <c r="AG40" t="n">
        <v>108.7803262437581</v>
      </c>
      <c r="AH40" t="n">
        <v>779.3099999999999</v>
      </c>
      <c r="AI40" t="n">
        <v>0.879</v>
      </c>
      <c r="AJ40" t="n">
        <v>74.51599092357533</v>
      </c>
      <c r="AK40" t="n">
        <v>0.9312</v>
      </c>
      <c r="AL40" t="n">
        <v>69.389</v>
      </c>
      <c r="AM40" t="n">
        <v>8.9176</v>
      </c>
      <c r="AN40" t="n">
        <v>9.638330756426855</v>
      </c>
      <c r="AO40" t="n">
        <v>0.804</v>
      </c>
      <c r="AP40" t="n">
        <v>6039.043023599974</v>
      </c>
      <c r="AQ40" t="n">
        <v>1.118773062730627</v>
      </c>
      <c r="AR40" t="n">
        <v>6756.3187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CHARRUA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0.8997000000000001</v>
      </c>
      <c r="BE40" t="n">
        <v>71.158</v>
      </c>
      <c r="BF40" t="n">
        <v>8.9176</v>
      </c>
      <c r="BG40" t="n">
        <v>0.77</v>
      </c>
      <c r="BH40" t="n">
        <v>5962.380796939026</v>
      </c>
      <c r="BI40" t="n">
        <v>1.026176199261993</v>
      </c>
      <c r="BJ40" t="n">
        <v>6118.4533</v>
      </c>
    </row>
    <row r="41">
      <c r="A41" t="n">
        <v>5685</v>
      </c>
      <c r="B41" t="inlineStr">
        <is>
          <t>01-03-2021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SUM_CEC_A</t>
        </is>
      </c>
      <c r="G41" t="inlineStr">
        <is>
          <t>A</t>
        </is>
      </c>
      <c r="H41" t="inlineStr">
        <is>
          <t>CEC</t>
        </is>
      </c>
      <c r="I41" t="inlineStr">
        <is>
          <t>CCURTENOBLOQA</t>
        </is>
      </c>
      <c r="J41" t="inlineStr">
        <is>
          <t>TENO</t>
        </is>
      </c>
      <c r="K41" t="n">
        <v>-18721.94991866</v>
      </c>
      <c r="L41" t="inlineStr">
        <is>
          <t>TENO</t>
        </is>
      </c>
      <c r="M41" t="inlineStr">
        <is>
          <t>ITAHUE</t>
        </is>
      </c>
      <c r="N41" t="n">
        <v>0.74738783869542</v>
      </c>
      <c r="O41" t="n">
        <v>13992.557686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PNP_16T_02-11-2020</t>
        </is>
      </c>
      <c r="AB41" t="inlineStr">
        <is>
          <t>PNCP_2T_10-02-2020</t>
        </is>
      </c>
      <c r="AC41" t="inlineStr">
        <is>
          <t>PNCP_4T_30-04-2013</t>
        </is>
      </c>
      <c r="AD41" t="inlineStr">
        <is>
          <t>ITAHUE 220</t>
        </is>
      </c>
      <c r="AE41" t="n">
        <v>100.646</v>
      </c>
      <c r="AF41" t="n">
        <v>1.080821157758461</v>
      </c>
      <c r="AG41" t="n">
        <v>108.7803262437581</v>
      </c>
      <c r="AH41" t="n">
        <v>779.3099999999999</v>
      </c>
      <c r="AI41" t="n">
        <v>0.879</v>
      </c>
      <c r="AJ41" t="n">
        <v>74.51599092357533</v>
      </c>
      <c r="AK41" t="n">
        <v>0.9327</v>
      </c>
      <c r="AL41" t="n">
        <v>69.501</v>
      </c>
      <c r="AM41" t="n">
        <v>8.9176</v>
      </c>
      <c r="AN41" t="n">
        <v>9.638330756426855</v>
      </c>
      <c r="AO41" t="n">
        <v>0.804</v>
      </c>
      <c r="AP41" t="n">
        <v>6039.043023599974</v>
      </c>
      <c r="AQ41" t="n">
        <v>1.016406890894175</v>
      </c>
      <c r="AR41" t="n">
        <v>6138.1249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ITAHUE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0.9182</v>
      </c>
      <c r="BE41" t="n">
        <v>72.621</v>
      </c>
      <c r="BF41" t="n">
        <v>8.9176</v>
      </c>
      <c r="BG41" t="n">
        <v>0.77</v>
      </c>
      <c r="BH41" t="n">
        <v>5962.380796939026</v>
      </c>
      <c r="BI41" t="n">
        <v>0.9487284659557015</v>
      </c>
      <c r="BJ41" t="n">
        <v>5656.6804</v>
      </c>
    </row>
    <row r="42">
      <c r="A42" t="n">
        <v>5687</v>
      </c>
      <c r="B42" t="inlineStr">
        <is>
          <t>01-03-2021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SUM_CEC_A</t>
        </is>
      </c>
      <c r="G42" t="inlineStr">
        <is>
          <t>A</t>
        </is>
      </c>
      <c r="H42" t="inlineStr">
        <is>
          <t>CEC</t>
        </is>
      </c>
      <c r="I42" t="inlineStr">
        <is>
          <t>CCURTENOBLOQA</t>
        </is>
      </c>
      <c r="J42" t="inlineStr">
        <is>
          <t>TENO</t>
        </is>
      </c>
      <c r="K42" t="n">
        <v>-18721.94991866</v>
      </c>
      <c r="L42" t="inlineStr">
        <is>
          <t>TENO</t>
        </is>
      </c>
      <c r="M42" t="inlineStr">
        <is>
          <t>MELIPILLA</t>
        </is>
      </c>
      <c r="N42" t="n">
        <v>0.00308071516317</v>
      </c>
      <c r="O42" t="n">
        <v>57.676995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PNP_16T_02-11-2020</t>
        </is>
      </c>
      <c r="AB42" t="inlineStr">
        <is>
          <t>PNCP_2T_10-02-2020</t>
        </is>
      </c>
      <c r="AC42" t="inlineStr">
        <is>
          <t>PNCP_4T_30-04-2013</t>
        </is>
      </c>
      <c r="AD42" t="inlineStr">
        <is>
          <t>MELIPILLA 220</t>
        </is>
      </c>
      <c r="AE42" t="n">
        <v>100.646</v>
      </c>
      <c r="AF42" t="n">
        <v>1.080821157758461</v>
      </c>
      <c r="AG42" t="n">
        <v>108.7803262437581</v>
      </c>
      <c r="AH42" t="n">
        <v>779.3099999999999</v>
      </c>
      <c r="AI42" t="n">
        <v>0.879</v>
      </c>
      <c r="AJ42" t="n">
        <v>74.51599092357533</v>
      </c>
      <c r="AK42" t="n">
        <v>0.9899</v>
      </c>
      <c r="AL42" t="n">
        <v>73.76300000000001</v>
      </c>
      <c r="AM42" t="n">
        <v>8.9176</v>
      </c>
      <c r="AN42" t="n">
        <v>9.638330756426855</v>
      </c>
      <c r="AO42" t="n">
        <v>0.804</v>
      </c>
      <c r="AP42" t="n">
        <v>6039.043023599974</v>
      </c>
      <c r="AQ42" t="n">
        <v>0.9919953143303397</v>
      </c>
      <c r="AR42" t="n">
        <v>5990.7024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MELIPILLA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0.9938</v>
      </c>
      <c r="BE42" t="n">
        <v>78.59999999999999</v>
      </c>
      <c r="BF42" t="n">
        <v>8.9176</v>
      </c>
      <c r="BG42" t="n">
        <v>0.77</v>
      </c>
      <c r="BH42" t="n">
        <v>5962.380796939026</v>
      </c>
      <c r="BI42" t="n">
        <v>0.9841858648965248</v>
      </c>
      <c r="BJ42" t="n">
        <v>5868.0909</v>
      </c>
    </row>
    <row r="43">
      <c r="A43" t="n">
        <v>5689</v>
      </c>
      <c r="B43" t="inlineStr">
        <is>
          <t>01-03-2021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SUM_CEC_A</t>
        </is>
      </c>
      <c r="G43" t="inlineStr">
        <is>
          <t>A</t>
        </is>
      </c>
      <c r="H43" t="inlineStr">
        <is>
          <t>CEC</t>
        </is>
      </c>
      <c r="I43" t="inlineStr">
        <is>
          <t>CCURTENOBLOQA</t>
        </is>
      </c>
      <c r="J43" t="inlineStr">
        <is>
          <t>TENO</t>
        </is>
      </c>
      <c r="K43" t="n">
        <v>-18721.94991866</v>
      </c>
      <c r="L43" t="inlineStr">
        <is>
          <t>TENO</t>
        </is>
      </c>
      <c r="M43" t="inlineStr">
        <is>
          <t>RAPEL</t>
        </is>
      </c>
      <c r="N43" t="n">
        <v>0.0025360775708</v>
      </c>
      <c r="O43" t="n">
        <v>47.480317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PNP_16T_02-11-2020</t>
        </is>
      </c>
      <c r="AB43" t="inlineStr">
        <is>
          <t>PNCP_2T_10-02-2020</t>
        </is>
      </c>
      <c r="AC43" t="inlineStr">
        <is>
          <t>PNCP_4T_30-04-2013</t>
        </is>
      </c>
      <c r="AD43" t="inlineStr">
        <is>
          <t>RAPEL 220</t>
        </is>
      </c>
      <c r="AE43" t="n">
        <v>100.646</v>
      </c>
      <c r="AF43" t="n">
        <v>1.080821157758461</v>
      </c>
      <c r="AG43" t="n">
        <v>108.7803262437581</v>
      </c>
      <c r="AH43" t="n">
        <v>779.3099999999999</v>
      </c>
      <c r="AI43" t="n">
        <v>0.879</v>
      </c>
      <c r="AJ43" t="n">
        <v>74.51599092357533</v>
      </c>
      <c r="AK43" t="n">
        <v>0.9638</v>
      </c>
      <c r="AL43" t="n">
        <v>71.819</v>
      </c>
      <c r="AM43" t="n">
        <v>8.9176</v>
      </c>
      <c r="AN43" t="n">
        <v>9.638330756426855</v>
      </c>
      <c r="AO43" t="n">
        <v>0.804</v>
      </c>
      <c r="AP43" t="n">
        <v>6039.043023599974</v>
      </c>
      <c r="AQ43" t="n">
        <v>0.9369954715495176</v>
      </c>
      <c r="AR43" t="n">
        <v>5658.556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RAPEL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0.9915</v>
      </c>
      <c r="BE43" t="n">
        <v>78.419</v>
      </c>
      <c r="BF43" t="n">
        <v>8.9176</v>
      </c>
      <c r="BG43" t="n">
        <v>0.77</v>
      </c>
      <c r="BH43" t="n">
        <v>5962.380796939026</v>
      </c>
      <c r="BI43" t="n">
        <v>0.985233313644418</v>
      </c>
      <c r="BJ43" t="n">
        <v>5874.3362</v>
      </c>
    </row>
    <row r="44">
      <c r="A44" t="n">
        <v>3016</v>
      </c>
      <c r="B44" t="inlineStr">
        <is>
          <t>01-10-2020</t>
        </is>
      </c>
      <c r="C44" t="n">
        <v>2020</v>
      </c>
      <c r="D44" t="n">
        <v>1</v>
      </c>
      <c r="E44" t="inlineStr">
        <is>
          <t>SAN_JUAN_LAP</t>
        </is>
      </c>
      <c r="F44" t="inlineStr">
        <is>
          <t>SUM_CEC_A</t>
        </is>
      </c>
      <c r="G44" t="inlineStr">
        <is>
          <t>A</t>
        </is>
      </c>
      <c r="H44" t="inlineStr">
        <is>
          <t>CEC</t>
        </is>
      </c>
      <c r="I44" t="inlineStr">
        <is>
          <t>CCURCURIBLOQA</t>
        </is>
      </c>
      <c r="J44" t="inlineStr">
        <is>
          <t>CURICO</t>
        </is>
      </c>
      <c r="K44" t="n">
        <v>-47128.69145081</v>
      </c>
      <c r="L44" t="inlineStr">
        <is>
          <t>CURICO</t>
        </is>
      </c>
      <c r="M44" t="inlineStr">
        <is>
          <t>ALTO JAHUEL</t>
        </is>
      </c>
      <c r="N44" t="n">
        <v>0.24824931095561</v>
      </c>
      <c r="O44" t="n">
        <v>11699.665179</v>
      </c>
      <c r="P44" t="inlineStr">
        <is>
          <t>BS2A</t>
        </is>
      </c>
      <c r="Q44" t="n">
        <v>2</v>
      </c>
      <c r="V44" t="n">
        <v>713834.323</v>
      </c>
      <c r="W44" t="n">
        <v>2</v>
      </c>
      <c r="X44" t="n">
        <v>2.33481e-07</v>
      </c>
      <c r="Y44" t="n">
        <v>0.333334</v>
      </c>
      <c r="Z44" t="n">
        <v>3899.896193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ALTO JAHUEL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0.9827</v>
      </c>
      <c r="AL44" t="n">
        <v>64.46599999999999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0.9936514234698939</v>
      </c>
      <c r="AR44" t="n">
        <v>6026.4158</v>
      </c>
      <c r="AS44" t="n">
        <v>251410.707977938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ALTO JAHUEL 220</t>
        </is>
      </c>
      <c r="AX44" t="n">
        <v>100.646</v>
      </c>
      <c r="AY44" t="n">
        <v>1.080821157758461</v>
      </c>
      <c r="AZ44" t="n">
        <v>108.7803262437581</v>
      </c>
      <c r="BA44" t="n">
        <v>779.3099999999999</v>
      </c>
      <c r="BB44" t="n">
        <v>0.879</v>
      </c>
      <c r="BC44" t="n">
        <v>74.51599092357533</v>
      </c>
      <c r="BD44" t="n">
        <v>0.976</v>
      </c>
      <c r="BE44" t="n">
        <v>72.72799999999999</v>
      </c>
      <c r="BF44" t="n">
        <v>8.9176</v>
      </c>
      <c r="BG44" t="n">
        <v>0.804</v>
      </c>
      <c r="BH44" t="n">
        <v>6039.043023599974</v>
      </c>
      <c r="BI44" t="n">
        <v>0.9955361571272692</v>
      </c>
      <c r="BJ44" t="n">
        <v>6012.0857</v>
      </c>
      <c r="BK44" t="n">
        <v>283631.650324504</v>
      </c>
    </row>
    <row r="45">
      <c r="A45" t="n">
        <v>3018</v>
      </c>
      <c r="B45" t="inlineStr">
        <is>
          <t>01-10-2020</t>
        </is>
      </c>
      <c r="C45" t="n">
        <v>2020</v>
      </c>
      <c r="D45" t="n">
        <v>1</v>
      </c>
      <c r="E45" t="inlineStr">
        <is>
          <t>SAN_JUAN_LAP</t>
        </is>
      </c>
      <c r="F45" t="inlineStr">
        <is>
          <t>SUM_CEC_A</t>
        </is>
      </c>
      <c r="G45" t="inlineStr">
        <is>
          <t>A</t>
        </is>
      </c>
      <c r="H45" t="inlineStr">
        <is>
          <t>CEC</t>
        </is>
      </c>
      <c r="I45" t="inlineStr">
        <is>
          <t>CCURCURIBLOQA</t>
        </is>
      </c>
      <c r="J45" t="inlineStr">
        <is>
          <t>CURICO</t>
        </is>
      </c>
      <c r="K45" t="n">
        <v>-47128.69145081</v>
      </c>
      <c r="L45" t="inlineStr">
        <is>
          <t>CURICO</t>
        </is>
      </c>
      <c r="M45" t="inlineStr">
        <is>
          <t>CHARRUA</t>
        </is>
      </c>
      <c r="N45" t="n">
        <v>0.07754004789224</v>
      </c>
      <c r="O45" t="n">
        <v>3654.360992</v>
      </c>
      <c r="P45" t="inlineStr">
        <is>
          <t>BS2A</t>
        </is>
      </c>
      <c r="Q45" t="n">
        <v>2</v>
      </c>
      <c r="V45" t="n">
        <v>713834.323</v>
      </c>
      <c r="W45" t="n">
        <v>2</v>
      </c>
      <c r="X45" t="n">
        <v>2.33481e-07</v>
      </c>
      <c r="Y45" t="n">
        <v>0.333334</v>
      </c>
      <c r="Z45" t="n">
        <v>1218.122767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CHARRUA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0.9350000000000001</v>
      </c>
      <c r="AL45" t="n">
        <v>61.337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1.096171586715867</v>
      </c>
      <c r="AR45" t="n">
        <v>6648.1923</v>
      </c>
      <c r="AS45" t="n">
        <v>74715.99615947901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CHARRUA 220</t>
        </is>
      </c>
      <c r="AX45" t="n">
        <v>100.646</v>
      </c>
      <c r="AY45" t="n">
        <v>1.080821157758461</v>
      </c>
      <c r="AZ45" t="n">
        <v>108.7803262437581</v>
      </c>
      <c r="BA45" t="n">
        <v>779.3099999999999</v>
      </c>
      <c r="BB45" t="n">
        <v>0.879</v>
      </c>
      <c r="BC45" t="n">
        <v>74.51599092357533</v>
      </c>
      <c r="BD45" t="n">
        <v>0.9312</v>
      </c>
      <c r="BE45" t="n">
        <v>69.389</v>
      </c>
      <c r="BF45" t="n">
        <v>8.9176</v>
      </c>
      <c r="BG45" t="n">
        <v>0.804</v>
      </c>
      <c r="BH45" t="n">
        <v>6039.043023599974</v>
      </c>
      <c r="BI45" t="n">
        <v>1.118773062730627</v>
      </c>
      <c r="BJ45" t="n">
        <v>6756.3187</v>
      </c>
      <c r="BK45" t="n">
        <v>84524.32067936299</v>
      </c>
    </row>
    <row r="46">
      <c r="A46" t="n">
        <v>3020</v>
      </c>
      <c r="B46" t="inlineStr">
        <is>
          <t>01-10-2020</t>
        </is>
      </c>
      <c r="C46" t="n">
        <v>2020</v>
      </c>
      <c r="D46" t="n">
        <v>1</v>
      </c>
      <c r="E46" t="inlineStr">
        <is>
          <t>SAN_JUAN_LAP</t>
        </is>
      </c>
      <c r="F46" t="inlineStr">
        <is>
          <t>SUM_CEC_A</t>
        </is>
      </c>
      <c r="G46" t="inlineStr">
        <is>
          <t>A</t>
        </is>
      </c>
      <c r="H46" t="inlineStr">
        <is>
          <t>CEC</t>
        </is>
      </c>
      <c r="I46" t="inlineStr">
        <is>
          <t>CCURCURIBLOQA</t>
        </is>
      </c>
      <c r="J46" t="inlineStr">
        <is>
          <t>CURICO</t>
        </is>
      </c>
      <c r="K46" t="n">
        <v>-47128.69145081</v>
      </c>
      <c r="L46" t="inlineStr">
        <is>
          <t>CURICO</t>
        </is>
      </c>
      <c r="M46" t="inlineStr">
        <is>
          <t>ITAHUE</t>
        </is>
      </c>
      <c r="N46" t="n">
        <v>0.7397970389905</v>
      </c>
      <c r="O46" t="n">
        <v>34865.666387</v>
      </c>
      <c r="P46" t="inlineStr">
        <is>
          <t>BS2A</t>
        </is>
      </c>
      <c r="Q46" t="n">
        <v>2</v>
      </c>
      <c r="V46" t="n">
        <v>713834.323</v>
      </c>
      <c r="W46" t="n">
        <v>2</v>
      </c>
      <c r="X46" t="n">
        <v>2.33481e-07</v>
      </c>
      <c r="Y46" t="n">
        <v>0.333334</v>
      </c>
      <c r="Z46" t="n">
        <v>11621.912039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ITAHUE 220</t>
        </is>
      </c>
      <c r="AE46" t="n">
        <v>100.646</v>
      </c>
      <c r="AF46" t="n">
        <v>1.072776031070834</v>
      </c>
      <c r="AG46" t="n">
        <v>107.9706164231552</v>
      </c>
      <c r="AH46" t="n">
        <v>694.38</v>
      </c>
      <c r="AI46" t="n">
        <v>0.875</v>
      </c>
      <c r="AJ46" t="n">
        <v>65.60105705292169</v>
      </c>
      <c r="AK46" t="n">
        <v>0.9537</v>
      </c>
      <c r="AL46" t="n">
        <v>62.564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1.007895816242822</v>
      </c>
      <c r="AR46" t="n">
        <v>6112.8068</v>
      </c>
      <c r="AS46" t="n">
        <v>727113.304807996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ITAHUE 220</t>
        </is>
      </c>
      <c r="AX46" t="n">
        <v>100.646</v>
      </c>
      <c r="AY46" t="n">
        <v>1.080821157758461</v>
      </c>
      <c r="AZ46" t="n">
        <v>108.7803262437581</v>
      </c>
      <c r="BA46" t="n">
        <v>779.3099999999999</v>
      </c>
      <c r="BB46" t="n">
        <v>0.879</v>
      </c>
      <c r="BC46" t="n">
        <v>74.51599092357533</v>
      </c>
      <c r="BD46" t="n">
        <v>0.9327</v>
      </c>
      <c r="BE46" t="n">
        <v>69.501</v>
      </c>
      <c r="BF46" t="n">
        <v>8.9176</v>
      </c>
      <c r="BG46" t="n">
        <v>0.804</v>
      </c>
      <c r="BH46" t="n">
        <v>6039.043023599974</v>
      </c>
      <c r="BI46" t="n">
        <v>1.016406890894175</v>
      </c>
      <c r="BJ46" t="n">
        <v>6138.1249</v>
      </c>
      <c r="BK46" t="n">
        <v>807734.5086225391</v>
      </c>
    </row>
    <row r="47">
      <c r="A47" t="n">
        <v>3022</v>
      </c>
      <c r="B47" t="inlineStr">
        <is>
          <t>01-10-2020</t>
        </is>
      </c>
      <c r="C47" t="n">
        <v>2020</v>
      </c>
      <c r="D47" t="n">
        <v>1</v>
      </c>
      <c r="E47" t="inlineStr">
        <is>
          <t>SAN_JUAN_LAP</t>
        </is>
      </c>
      <c r="F47" t="inlineStr">
        <is>
          <t>SUM_CEC_A</t>
        </is>
      </c>
      <c r="G47" t="inlineStr">
        <is>
          <t>A</t>
        </is>
      </c>
      <c r="H47" t="inlineStr">
        <is>
          <t>CEC</t>
        </is>
      </c>
      <c r="I47" t="inlineStr">
        <is>
          <t>CCURCURIBLOQA</t>
        </is>
      </c>
      <c r="J47" t="inlineStr">
        <is>
          <t>CURICO</t>
        </is>
      </c>
      <c r="K47" t="n">
        <v>-47128.69145081</v>
      </c>
      <c r="L47" t="inlineStr">
        <is>
          <t>CURICO</t>
        </is>
      </c>
      <c r="M47" t="inlineStr">
        <is>
          <t>MELIPILLA</t>
        </is>
      </c>
      <c r="N47" t="n">
        <v>0.00290857755967</v>
      </c>
      <c r="O47" t="n">
        <v>137.077454</v>
      </c>
      <c r="P47" t="inlineStr">
        <is>
          <t>BS2A</t>
        </is>
      </c>
      <c r="Q47" t="n">
        <v>2</v>
      </c>
      <c r="V47" t="n">
        <v>713834.323</v>
      </c>
      <c r="W47" t="n">
        <v>2</v>
      </c>
      <c r="X47" t="n">
        <v>2.33481e-07</v>
      </c>
      <c r="Y47" t="n">
        <v>0.333334</v>
      </c>
      <c r="Z47" t="n">
        <v>45.692576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MELIPILLA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1.0179</v>
      </c>
      <c r="AL47" t="n">
        <v>66.77500000000001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0.9897500976181179</v>
      </c>
      <c r="AR47" t="n">
        <v>6002.7545</v>
      </c>
      <c r="AS47" t="n">
        <v>3051.121762400001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MELIPILLA 220</t>
        </is>
      </c>
      <c r="AX47" t="n">
        <v>100.646</v>
      </c>
      <c r="AY47" t="n">
        <v>1.080821157758461</v>
      </c>
      <c r="AZ47" t="n">
        <v>108.7803262437581</v>
      </c>
      <c r="BA47" t="n">
        <v>779.3099999999999</v>
      </c>
      <c r="BB47" t="n">
        <v>0.879</v>
      </c>
      <c r="BC47" t="n">
        <v>74.51599092357533</v>
      </c>
      <c r="BD47" t="n">
        <v>0.9899</v>
      </c>
      <c r="BE47" t="n">
        <v>73.76300000000001</v>
      </c>
      <c r="BF47" t="n">
        <v>8.9176</v>
      </c>
      <c r="BG47" t="n">
        <v>0.804</v>
      </c>
      <c r="BH47" t="n">
        <v>6039.043023599974</v>
      </c>
      <c r="BI47" t="n">
        <v>0.9919953143303397</v>
      </c>
      <c r="BJ47" t="n">
        <v>5990.7024</v>
      </c>
      <c r="BK47" t="n">
        <v>3370.421483488</v>
      </c>
    </row>
    <row r="48">
      <c r="A48" t="n">
        <v>3024</v>
      </c>
      <c r="B48" t="inlineStr">
        <is>
          <t>01-10-2020</t>
        </is>
      </c>
      <c r="C48" t="n">
        <v>2020</v>
      </c>
      <c r="D48" t="n">
        <v>1</v>
      </c>
      <c r="E48" t="inlineStr">
        <is>
          <t>SAN_JUAN_LAP</t>
        </is>
      </c>
      <c r="F48" t="inlineStr">
        <is>
          <t>SUM_CEC_A</t>
        </is>
      </c>
      <c r="G48" t="inlineStr">
        <is>
          <t>A</t>
        </is>
      </c>
      <c r="H48" t="inlineStr">
        <is>
          <t>CEC</t>
        </is>
      </c>
      <c r="I48" t="inlineStr">
        <is>
          <t>CCURCURIBLOQA</t>
        </is>
      </c>
      <c r="J48" t="inlineStr">
        <is>
          <t>CURICO</t>
        </is>
      </c>
      <c r="K48" t="n">
        <v>-47128.69145081</v>
      </c>
      <c r="L48" t="inlineStr">
        <is>
          <t>CURICO</t>
        </is>
      </c>
      <c r="M48" t="inlineStr">
        <is>
          <t>RAPEL</t>
        </is>
      </c>
      <c r="N48" t="n">
        <v>0.0026170694898</v>
      </c>
      <c r="O48" t="n">
        <v>123.33906</v>
      </c>
      <c r="P48" t="inlineStr">
        <is>
          <t>BS2A</t>
        </is>
      </c>
      <c r="Q48" t="n">
        <v>2</v>
      </c>
      <c r="V48" t="n">
        <v>713834.323</v>
      </c>
      <c r="W48" t="n">
        <v>2</v>
      </c>
      <c r="X48" t="n">
        <v>2.33481e-07</v>
      </c>
      <c r="Y48" t="n">
        <v>0.333334</v>
      </c>
      <c r="Z48" t="n">
        <v>41.113102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RAPEL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0.9925</v>
      </c>
      <c r="AL48" t="n">
        <v>65.10899999999999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0.9384721401850759</v>
      </c>
      <c r="AR48" t="n">
        <v>5691.7579</v>
      </c>
      <c r="AS48" t="n">
        <v>2676.832958118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RAPEL 220</t>
        </is>
      </c>
      <c r="AX48" t="n">
        <v>100.646</v>
      </c>
      <c r="AY48" t="n">
        <v>1.080821157758461</v>
      </c>
      <c r="AZ48" t="n">
        <v>108.7803262437581</v>
      </c>
      <c r="BA48" t="n">
        <v>779.3099999999999</v>
      </c>
      <c r="BB48" t="n">
        <v>0.879</v>
      </c>
      <c r="BC48" t="n">
        <v>74.51599092357533</v>
      </c>
      <c r="BD48" t="n">
        <v>0.9638</v>
      </c>
      <c r="BE48" t="n">
        <v>71.819</v>
      </c>
      <c r="BF48" t="n">
        <v>8.9176</v>
      </c>
      <c r="BG48" t="n">
        <v>0.804</v>
      </c>
      <c r="BH48" t="n">
        <v>6039.043023599974</v>
      </c>
      <c r="BI48" t="n">
        <v>0.9369954715495176</v>
      </c>
      <c r="BJ48" t="n">
        <v>5658.556</v>
      </c>
      <c r="BK48" t="n">
        <v>2952.701872538</v>
      </c>
    </row>
    <row r="49">
      <c r="A49" t="n">
        <v>2413</v>
      </c>
      <c r="B49" t="inlineStr">
        <is>
          <t>01-10-2020</t>
        </is>
      </c>
      <c r="C49" t="n">
        <v>2020</v>
      </c>
      <c r="D49" t="n">
        <v>1</v>
      </c>
      <c r="E49" t="inlineStr">
        <is>
          <t>SAN_JUAN_LAP</t>
        </is>
      </c>
      <c r="F49" t="inlineStr">
        <is>
          <t>SUM_CEC_A</t>
        </is>
      </c>
      <c r="G49" t="inlineStr">
        <is>
          <t>A</t>
        </is>
      </c>
      <c r="H49" t="inlineStr">
        <is>
          <t>CEC</t>
        </is>
      </c>
      <c r="I49" t="inlineStr">
        <is>
          <t>CCURQUINBLOQA</t>
        </is>
      </c>
      <c r="J49" t="inlineStr">
        <is>
          <t>QUINTA</t>
        </is>
      </c>
      <c r="K49" t="n">
        <v>-10679.17851591</v>
      </c>
      <c r="L49" t="inlineStr">
        <is>
          <t>QUINTA</t>
        </is>
      </c>
      <c r="M49" t="inlineStr">
        <is>
          <t>ALTO JAHUEL</t>
        </is>
      </c>
      <c r="N49" t="n">
        <v>0.45523813654234</v>
      </c>
      <c r="O49" t="n">
        <v>4861.569327</v>
      </c>
      <c r="P49" t="inlineStr">
        <is>
          <t>BS2A</t>
        </is>
      </c>
      <c r="Q49" t="n">
        <v>2</v>
      </c>
      <c r="V49" t="n">
        <v>713834.323</v>
      </c>
      <c r="W49" t="n">
        <v>2</v>
      </c>
      <c r="X49" t="n">
        <v>2.33481e-07</v>
      </c>
      <c r="Y49" t="n">
        <v>0.333334</v>
      </c>
      <c r="Z49" t="n">
        <v>1620.52635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ALTO JAHUEL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0.9827</v>
      </c>
      <c r="AL49" t="n">
        <v>64.46599999999999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0.9936514234698939</v>
      </c>
      <c r="AR49" t="n">
        <v>6026.4158</v>
      </c>
      <c r="AS49" t="n">
        <v>104468.8516791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ALTO JAHUEL 220</t>
        </is>
      </c>
      <c r="AX49" t="n">
        <v>100.646</v>
      </c>
      <c r="AY49" t="n">
        <v>1.080821157758461</v>
      </c>
      <c r="AZ49" t="n">
        <v>108.7803262437581</v>
      </c>
      <c r="BA49" t="n">
        <v>779.3099999999999</v>
      </c>
      <c r="BB49" t="n">
        <v>0.879</v>
      </c>
      <c r="BC49" t="n">
        <v>74.51599092357533</v>
      </c>
      <c r="BD49" t="n">
        <v>0.976</v>
      </c>
      <c r="BE49" t="n">
        <v>72.72799999999999</v>
      </c>
      <c r="BF49" t="n">
        <v>8.9176</v>
      </c>
      <c r="BG49" t="n">
        <v>0.804</v>
      </c>
      <c r="BH49" t="n">
        <v>6039.043023599974</v>
      </c>
      <c r="BI49" t="n">
        <v>0.9955361571272692</v>
      </c>
      <c r="BJ49" t="n">
        <v>6012.0857</v>
      </c>
      <c r="BK49" t="n">
        <v>117857.6403828</v>
      </c>
    </row>
    <row r="50">
      <c r="A50" t="n">
        <v>2415</v>
      </c>
      <c r="B50" t="inlineStr">
        <is>
          <t>01-10-2020</t>
        </is>
      </c>
      <c r="C50" t="n">
        <v>2020</v>
      </c>
      <c r="D50" t="n">
        <v>1</v>
      </c>
      <c r="E50" t="inlineStr">
        <is>
          <t>SAN_JUAN_LAP</t>
        </is>
      </c>
      <c r="F50" t="inlineStr">
        <is>
          <t>SUM_CEC_A</t>
        </is>
      </c>
      <c r="G50" t="inlineStr">
        <is>
          <t>A</t>
        </is>
      </c>
      <c r="H50" t="inlineStr">
        <is>
          <t>CEC</t>
        </is>
      </c>
      <c r="I50" t="inlineStr">
        <is>
          <t>CCURQUINBLOQA</t>
        </is>
      </c>
      <c r="J50" t="inlineStr">
        <is>
          <t>QUINTA</t>
        </is>
      </c>
      <c r="K50" t="n">
        <v>-10679.17851591</v>
      </c>
      <c r="L50" t="inlineStr">
        <is>
          <t>QUINTA</t>
        </is>
      </c>
      <c r="M50" t="inlineStr">
        <is>
          <t>CHARRUA</t>
        </is>
      </c>
      <c r="N50" t="n">
        <v>0.06889661639233</v>
      </c>
      <c r="O50" t="n">
        <v>735.759266</v>
      </c>
      <c r="P50" t="inlineStr">
        <is>
          <t>BS2A</t>
        </is>
      </c>
      <c r="Q50" t="n">
        <v>2</v>
      </c>
      <c r="V50" t="n">
        <v>713834.323</v>
      </c>
      <c r="W50" t="n">
        <v>2</v>
      </c>
      <c r="X50" t="n">
        <v>2.33481e-07</v>
      </c>
      <c r="Y50" t="n">
        <v>0.333334</v>
      </c>
      <c r="Z50" t="n">
        <v>245.253579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CHARRUA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0.9350000000000001</v>
      </c>
      <c r="AL50" t="n">
        <v>61.337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1.096171586715867</v>
      </c>
      <c r="AR50" t="n">
        <v>6648.1923</v>
      </c>
      <c r="AS50" t="n">
        <v>15043.118775123</v>
      </c>
      <c r="AT50" t="inlineStr">
        <is>
          <t>PNP_16T_02-11-2020</t>
        </is>
      </c>
      <c r="AU50" t="inlineStr">
        <is>
          <t>PNCP_2T_10-02-2020</t>
        </is>
      </c>
      <c r="AV50" t="inlineStr">
        <is>
          <t>PNCP_4T_30-04-2013</t>
        </is>
      </c>
      <c r="AW50" t="inlineStr">
        <is>
          <t>CHARRUA 220</t>
        </is>
      </c>
      <c r="AX50" t="n">
        <v>100.646</v>
      </c>
      <c r="AY50" t="n">
        <v>1.080821157758461</v>
      </c>
      <c r="AZ50" t="n">
        <v>108.7803262437581</v>
      </c>
      <c r="BA50" t="n">
        <v>779.3099999999999</v>
      </c>
      <c r="BB50" t="n">
        <v>0.879</v>
      </c>
      <c r="BC50" t="n">
        <v>74.51599092357533</v>
      </c>
      <c r="BD50" t="n">
        <v>0.9312</v>
      </c>
      <c r="BE50" t="n">
        <v>69.389</v>
      </c>
      <c r="BF50" t="n">
        <v>8.9176</v>
      </c>
      <c r="BG50" t="n">
        <v>0.804</v>
      </c>
      <c r="BH50" t="n">
        <v>6039.043023599974</v>
      </c>
      <c r="BI50" t="n">
        <v>1.118773062730627</v>
      </c>
      <c r="BJ50" t="n">
        <v>6756.3187</v>
      </c>
      <c r="BK50" t="n">
        <v>17017.900593231</v>
      </c>
    </row>
    <row r="51">
      <c r="A51" t="n">
        <v>2417</v>
      </c>
      <c r="B51" t="inlineStr">
        <is>
          <t>01-10-2020</t>
        </is>
      </c>
      <c r="C51" t="n">
        <v>2020</v>
      </c>
      <c r="D51" t="n">
        <v>1</v>
      </c>
      <c r="E51" t="inlineStr">
        <is>
          <t>SAN_JUAN_LAP</t>
        </is>
      </c>
      <c r="F51" t="inlineStr">
        <is>
          <t>SUM_CEC_A</t>
        </is>
      </c>
      <c r="G51" t="inlineStr">
        <is>
          <t>A</t>
        </is>
      </c>
      <c r="H51" t="inlineStr">
        <is>
          <t>CEC</t>
        </is>
      </c>
      <c r="I51" t="inlineStr">
        <is>
          <t>CCURQUINBLOQA</t>
        </is>
      </c>
      <c r="J51" t="inlineStr">
        <is>
          <t>QUINTA</t>
        </is>
      </c>
      <c r="K51" t="n">
        <v>-10679.17851591</v>
      </c>
      <c r="L51" t="inlineStr">
        <is>
          <t>QUINTA</t>
        </is>
      </c>
      <c r="M51" t="inlineStr">
        <is>
          <t>ITAHUE</t>
        </is>
      </c>
      <c r="N51" t="n">
        <v>0.70986919705586</v>
      </c>
      <c r="O51" t="n">
        <v>7580.819878</v>
      </c>
      <c r="P51" t="inlineStr">
        <is>
          <t>BS2A</t>
        </is>
      </c>
      <c r="Q51" t="n">
        <v>2</v>
      </c>
      <c r="V51" t="n">
        <v>713834.323</v>
      </c>
      <c r="W51" t="n">
        <v>2</v>
      </c>
      <c r="X51" t="n">
        <v>2.33481e-07</v>
      </c>
      <c r="Y51" t="n">
        <v>0.333334</v>
      </c>
      <c r="Z51" t="n">
        <v>2526.945013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ITAHUE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0.9537</v>
      </c>
      <c r="AL51" t="n">
        <v>62.564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1.007895816242822</v>
      </c>
      <c r="AR51" t="n">
        <v>6112.8068</v>
      </c>
      <c r="AS51" t="n">
        <v>158095.787793332</v>
      </c>
      <c r="AT51" t="inlineStr">
        <is>
          <t>PNP_16T_02-11-2020</t>
        </is>
      </c>
      <c r="AU51" t="inlineStr">
        <is>
          <t>PNCP_2T_10-02-2020</t>
        </is>
      </c>
      <c r="AV51" t="inlineStr">
        <is>
          <t>PNCP_4T_30-04-2013</t>
        </is>
      </c>
      <c r="AW51" t="inlineStr">
        <is>
          <t>ITAHUE 220</t>
        </is>
      </c>
      <c r="AX51" t="n">
        <v>100.646</v>
      </c>
      <c r="AY51" t="n">
        <v>1.080821157758461</v>
      </c>
      <c r="AZ51" t="n">
        <v>108.7803262437581</v>
      </c>
      <c r="BA51" t="n">
        <v>779.3099999999999</v>
      </c>
      <c r="BB51" t="n">
        <v>0.879</v>
      </c>
      <c r="BC51" t="n">
        <v>74.51599092357533</v>
      </c>
      <c r="BD51" t="n">
        <v>0.9327</v>
      </c>
      <c r="BE51" t="n">
        <v>69.501</v>
      </c>
      <c r="BF51" t="n">
        <v>8.9176</v>
      </c>
      <c r="BG51" t="n">
        <v>0.804</v>
      </c>
      <c r="BH51" t="n">
        <v>6039.043023599974</v>
      </c>
      <c r="BI51" t="n">
        <v>1.016406890894175</v>
      </c>
      <c r="BJ51" t="n">
        <v>6138.1249</v>
      </c>
      <c r="BK51" t="n">
        <v>175625.205348513</v>
      </c>
    </row>
    <row r="52">
      <c r="A52" t="n">
        <v>2419</v>
      </c>
      <c r="B52" t="inlineStr">
        <is>
          <t>01-10-2020</t>
        </is>
      </c>
      <c r="C52" t="n">
        <v>2020</v>
      </c>
      <c r="D52" t="n">
        <v>1</v>
      </c>
      <c r="E52" t="inlineStr">
        <is>
          <t>SAN_JUAN_LAP</t>
        </is>
      </c>
      <c r="F52" t="inlineStr">
        <is>
          <t>SUM_CEC_A</t>
        </is>
      </c>
      <c r="G52" t="inlineStr">
        <is>
          <t>A</t>
        </is>
      </c>
      <c r="H52" t="inlineStr">
        <is>
          <t>CEC</t>
        </is>
      </c>
      <c r="I52" t="inlineStr">
        <is>
          <t>CCURQUINBLOQA</t>
        </is>
      </c>
      <c r="J52" t="inlineStr">
        <is>
          <t>QUINTA</t>
        </is>
      </c>
      <c r="K52" t="n">
        <v>-10679.17851591</v>
      </c>
      <c r="L52" t="inlineStr">
        <is>
          <t>QUINTA</t>
        </is>
      </c>
      <c r="M52" t="inlineStr">
        <is>
          <t>RAPEL</t>
        </is>
      </c>
      <c r="N52" t="n">
        <v>0.0014965642882</v>
      </c>
      <c r="O52" t="n">
        <v>15.982077</v>
      </c>
      <c r="P52" t="inlineStr">
        <is>
          <t>BS2A</t>
        </is>
      </c>
      <c r="Q52" t="n">
        <v>2</v>
      </c>
      <c r="V52" t="n">
        <v>713834.323</v>
      </c>
      <c r="W52" t="n">
        <v>2</v>
      </c>
      <c r="X52" t="n">
        <v>2.33481e-07</v>
      </c>
      <c r="Y52" t="n">
        <v>0.333334</v>
      </c>
      <c r="Z52" t="n">
        <v>5.32737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RAPEL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0.9925</v>
      </c>
      <c r="AL52" t="n">
        <v>65.10899999999999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0.9384721401850759</v>
      </c>
      <c r="AR52" t="n">
        <v>5691.7579</v>
      </c>
      <c r="AS52" t="n">
        <v>346.85973333</v>
      </c>
      <c r="AT52" t="inlineStr">
        <is>
          <t>PNP_16T_02-11-2020</t>
        </is>
      </c>
      <c r="AU52" t="inlineStr">
        <is>
          <t>PNCP_2T_10-02-2020</t>
        </is>
      </c>
      <c r="AV52" t="inlineStr">
        <is>
          <t>PNCP_4T_30-04-2013</t>
        </is>
      </c>
      <c r="AW52" t="inlineStr">
        <is>
          <t>RAPEL 220</t>
        </is>
      </c>
      <c r="AX52" t="n">
        <v>100.646</v>
      </c>
      <c r="AY52" t="n">
        <v>1.080821157758461</v>
      </c>
      <c r="AZ52" t="n">
        <v>108.7803262437581</v>
      </c>
      <c r="BA52" t="n">
        <v>779.3099999999999</v>
      </c>
      <c r="BB52" t="n">
        <v>0.879</v>
      </c>
      <c r="BC52" t="n">
        <v>74.51599092357533</v>
      </c>
      <c r="BD52" t="n">
        <v>0.9638</v>
      </c>
      <c r="BE52" t="n">
        <v>71.819</v>
      </c>
      <c r="BF52" t="n">
        <v>8.9176</v>
      </c>
      <c r="BG52" t="n">
        <v>0.804</v>
      </c>
      <c r="BH52" t="n">
        <v>6039.043023599974</v>
      </c>
      <c r="BI52" t="n">
        <v>0.9369954715495176</v>
      </c>
      <c r="BJ52" t="n">
        <v>5658.556</v>
      </c>
      <c r="BK52" t="n">
        <v>382.60638603</v>
      </c>
    </row>
    <row r="53">
      <c r="A53" t="n">
        <v>4981</v>
      </c>
      <c r="B53" t="inlineStr">
        <is>
          <t>01-10-2020</t>
        </is>
      </c>
      <c r="C53" t="n">
        <v>2020</v>
      </c>
      <c r="D53" t="n">
        <v>1</v>
      </c>
      <c r="E53" t="inlineStr">
        <is>
          <t>SAN_JUAN_LAP</t>
        </is>
      </c>
      <c r="F53" t="inlineStr">
        <is>
          <t>SUM_CEC_A</t>
        </is>
      </c>
      <c r="G53" t="inlineStr">
        <is>
          <t>A</t>
        </is>
      </c>
      <c r="H53" t="inlineStr">
        <is>
          <t>CEC</t>
        </is>
      </c>
      <c r="I53" t="inlineStr">
        <is>
          <t>CCURTENOBLOQA</t>
        </is>
      </c>
      <c r="J53" t="inlineStr">
        <is>
          <t>TENO</t>
        </is>
      </c>
      <c r="K53" t="n">
        <v>-24376.4532065</v>
      </c>
      <c r="L53" t="inlineStr">
        <is>
          <t>TENO</t>
        </is>
      </c>
      <c r="M53" t="inlineStr">
        <is>
          <t>ALTO JAHUEL</t>
        </is>
      </c>
      <c r="N53" t="n">
        <v>0.2634387057414</v>
      </c>
      <c r="O53" t="n">
        <v>6421.701283</v>
      </c>
      <c r="P53" t="inlineStr">
        <is>
          <t>BS2A</t>
        </is>
      </c>
      <c r="Q53" t="n">
        <v>2</v>
      </c>
      <c r="V53" t="n">
        <v>713834.323</v>
      </c>
      <c r="W53" t="n">
        <v>2</v>
      </c>
      <c r="X53" t="n">
        <v>2.33481e-07</v>
      </c>
      <c r="Y53" t="n">
        <v>0.333334</v>
      </c>
      <c r="Z53" t="n">
        <v>2140.571375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ALTO JAHUEL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0.9827</v>
      </c>
      <c r="AL53" t="n">
        <v>64.46599999999999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0.9936514234698939</v>
      </c>
      <c r="AR53" t="n">
        <v>6026.4158</v>
      </c>
      <c r="AS53" t="n">
        <v>137994.07426075</v>
      </c>
      <c r="AT53" t="inlineStr">
        <is>
          <t>PNP_16T_02-11-2020</t>
        </is>
      </c>
      <c r="AU53" t="inlineStr">
        <is>
          <t>PNCP_2T_10-02-2020</t>
        </is>
      </c>
      <c r="AV53" t="inlineStr">
        <is>
          <t>PNCP_4T_30-04-2013</t>
        </is>
      </c>
      <c r="AW53" t="inlineStr">
        <is>
          <t>ALTO JAHUEL 220</t>
        </is>
      </c>
      <c r="AX53" t="n">
        <v>100.646</v>
      </c>
      <c r="AY53" t="n">
        <v>1.080821157758461</v>
      </c>
      <c r="AZ53" t="n">
        <v>108.7803262437581</v>
      </c>
      <c r="BA53" t="n">
        <v>779.3099999999999</v>
      </c>
      <c r="BB53" t="n">
        <v>0.879</v>
      </c>
      <c r="BC53" t="n">
        <v>74.51599092357533</v>
      </c>
      <c r="BD53" t="n">
        <v>0.976</v>
      </c>
      <c r="BE53" t="n">
        <v>72.72799999999999</v>
      </c>
      <c r="BF53" t="n">
        <v>8.9176</v>
      </c>
      <c r="BG53" t="n">
        <v>0.804</v>
      </c>
      <c r="BH53" t="n">
        <v>6039.043023599974</v>
      </c>
      <c r="BI53" t="n">
        <v>0.9955361571272692</v>
      </c>
      <c r="BJ53" t="n">
        <v>6012.0857</v>
      </c>
      <c r="BK53" t="n">
        <v>155679.474961</v>
      </c>
    </row>
    <row r="54">
      <c r="A54" t="n">
        <v>4983</v>
      </c>
      <c r="B54" t="inlineStr">
        <is>
          <t>01-10-2020</t>
        </is>
      </c>
      <c r="C54" t="n">
        <v>2020</v>
      </c>
      <c r="D54" t="n">
        <v>1</v>
      </c>
      <c r="E54" t="inlineStr">
        <is>
          <t>SAN_JUAN_LAP</t>
        </is>
      </c>
      <c r="F54" t="inlineStr">
        <is>
          <t>SUM_CEC_A</t>
        </is>
      </c>
      <c r="G54" t="inlineStr">
        <is>
          <t>A</t>
        </is>
      </c>
      <c r="H54" t="inlineStr">
        <is>
          <t>CEC</t>
        </is>
      </c>
      <c r="I54" t="inlineStr">
        <is>
          <t>CCURTENOBLOQA</t>
        </is>
      </c>
      <c r="J54" t="inlineStr">
        <is>
          <t>TENO</t>
        </is>
      </c>
      <c r="K54" t="n">
        <v>-24376.4532065</v>
      </c>
      <c r="L54" t="inlineStr">
        <is>
          <t>TENO</t>
        </is>
      </c>
      <c r="M54" t="inlineStr">
        <is>
          <t>CHARRUA</t>
        </is>
      </c>
      <c r="N54" t="n">
        <v>0.07126242968347</v>
      </c>
      <c r="O54" t="n">
        <v>1737.125283</v>
      </c>
      <c r="P54" t="inlineStr">
        <is>
          <t>BS2A</t>
        </is>
      </c>
      <c r="Q54" t="n">
        <v>2</v>
      </c>
      <c r="V54" t="n">
        <v>713834.323</v>
      </c>
      <c r="W54" t="n">
        <v>2</v>
      </c>
      <c r="X54" t="n">
        <v>2.33481e-07</v>
      </c>
      <c r="Y54" t="n">
        <v>0.333334</v>
      </c>
      <c r="Z54" t="n">
        <v>579.042919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CHARRUA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0.9350000000000001</v>
      </c>
      <c r="AL54" t="n">
        <v>61.337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1.096171586715867</v>
      </c>
      <c r="AR54" t="n">
        <v>6648.1923</v>
      </c>
      <c r="AS54" t="n">
        <v>35516.755522703</v>
      </c>
      <c r="AT54" t="inlineStr">
        <is>
          <t>PNP_16T_02-11-2020</t>
        </is>
      </c>
      <c r="AU54" t="inlineStr">
        <is>
          <t>PNCP_2T_10-02-2020</t>
        </is>
      </c>
      <c r="AV54" t="inlineStr">
        <is>
          <t>PNCP_4T_30-04-2013</t>
        </is>
      </c>
      <c r="AW54" t="inlineStr">
        <is>
          <t>CHARRUA 220</t>
        </is>
      </c>
      <c r="AX54" t="n">
        <v>100.646</v>
      </c>
      <c r="AY54" t="n">
        <v>1.080821157758461</v>
      </c>
      <c r="AZ54" t="n">
        <v>108.7803262437581</v>
      </c>
      <c r="BA54" t="n">
        <v>779.3099999999999</v>
      </c>
      <c r="BB54" t="n">
        <v>0.879</v>
      </c>
      <c r="BC54" t="n">
        <v>74.51599092357533</v>
      </c>
      <c r="BD54" t="n">
        <v>0.9312</v>
      </c>
      <c r="BE54" t="n">
        <v>69.389</v>
      </c>
      <c r="BF54" t="n">
        <v>8.9176</v>
      </c>
      <c r="BG54" t="n">
        <v>0.804</v>
      </c>
      <c r="BH54" t="n">
        <v>6039.043023599974</v>
      </c>
      <c r="BI54" t="n">
        <v>1.118773062730627</v>
      </c>
      <c r="BJ54" t="n">
        <v>6756.3187</v>
      </c>
      <c r="BK54" t="n">
        <v>40179.209106491</v>
      </c>
    </row>
    <row r="55">
      <c r="A55" t="n">
        <v>4985</v>
      </c>
      <c r="B55" t="inlineStr">
        <is>
          <t>01-10-2020</t>
        </is>
      </c>
      <c r="C55" t="n">
        <v>2020</v>
      </c>
      <c r="D55" t="n">
        <v>1</v>
      </c>
      <c r="E55" t="inlineStr">
        <is>
          <t>SAN_JUAN_LAP</t>
        </is>
      </c>
      <c r="F55" t="inlineStr">
        <is>
          <t>SUM_CEC_A</t>
        </is>
      </c>
      <c r="G55" t="inlineStr">
        <is>
          <t>A</t>
        </is>
      </c>
      <c r="H55" t="inlineStr">
        <is>
          <t>CEC</t>
        </is>
      </c>
      <c r="I55" t="inlineStr">
        <is>
          <t>CCURTENOBLOQA</t>
        </is>
      </c>
      <c r="J55" t="inlineStr">
        <is>
          <t>TENO</t>
        </is>
      </c>
      <c r="K55" t="n">
        <v>-24376.4532065</v>
      </c>
      <c r="L55" t="inlineStr">
        <is>
          <t>TENO</t>
        </is>
      </c>
      <c r="M55" t="inlineStr">
        <is>
          <t>ITAHUE</t>
        </is>
      </c>
      <c r="N55" t="n">
        <v>0.74738783869542</v>
      </c>
      <c r="O55" t="n">
        <v>18218.664677</v>
      </c>
      <c r="P55" t="inlineStr">
        <is>
          <t>BS2A</t>
        </is>
      </c>
      <c r="Q55" t="n">
        <v>2</v>
      </c>
      <c r="V55" t="n">
        <v>713834.323</v>
      </c>
      <c r="W55" t="n">
        <v>2</v>
      </c>
      <c r="X55" t="n">
        <v>2.33481e-07</v>
      </c>
      <c r="Y55" t="n">
        <v>0.333334</v>
      </c>
      <c r="Z55" t="n">
        <v>6072.900371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ITAHUE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0.9537</v>
      </c>
      <c r="AL55" t="n">
        <v>62.564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1.007895816242822</v>
      </c>
      <c r="AR55" t="n">
        <v>6112.8068</v>
      </c>
      <c r="AS55" t="n">
        <v>379944.938811244</v>
      </c>
      <c r="AT55" t="inlineStr">
        <is>
          <t>PNP_16T_02-11-2020</t>
        </is>
      </c>
      <c r="AU55" t="inlineStr">
        <is>
          <t>PNCP_2T_10-02-2020</t>
        </is>
      </c>
      <c r="AV55" t="inlineStr">
        <is>
          <t>PNCP_4T_30-04-2013</t>
        </is>
      </c>
      <c r="AW55" t="inlineStr">
        <is>
          <t>ITAHUE 220</t>
        </is>
      </c>
      <c r="AX55" t="n">
        <v>100.646</v>
      </c>
      <c r="AY55" t="n">
        <v>1.080821157758461</v>
      </c>
      <c r="AZ55" t="n">
        <v>108.7803262437581</v>
      </c>
      <c r="BA55" t="n">
        <v>779.3099999999999</v>
      </c>
      <c r="BB55" t="n">
        <v>0.879</v>
      </c>
      <c r="BC55" t="n">
        <v>74.51599092357533</v>
      </c>
      <c r="BD55" t="n">
        <v>0.9327</v>
      </c>
      <c r="BE55" t="n">
        <v>69.501</v>
      </c>
      <c r="BF55" t="n">
        <v>8.9176</v>
      </c>
      <c r="BG55" t="n">
        <v>0.804</v>
      </c>
      <c r="BH55" t="n">
        <v>6039.043023599974</v>
      </c>
      <c r="BI55" t="n">
        <v>1.016406890894175</v>
      </c>
      <c r="BJ55" t="n">
        <v>6138.1249</v>
      </c>
      <c r="BK55" t="n">
        <v>422072.648684871</v>
      </c>
    </row>
    <row r="56">
      <c r="A56" t="n">
        <v>4987</v>
      </c>
      <c r="B56" t="inlineStr">
        <is>
          <t>01-10-2020</t>
        </is>
      </c>
      <c r="C56" t="n">
        <v>2020</v>
      </c>
      <c r="D56" t="n">
        <v>1</v>
      </c>
      <c r="E56" t="inlineStr">
        <is>
          <t>SAN_JUAN_LAP</t>
        </is>
      </c>
      <c r="F56" t="inlineStr">
        <is>
          <t>SUM_CEC_A</t>
        </is>
      </c>
      <c r="G56" t="inlineStr">
        <is>
          <t>A</t>
        </is>
      </c>
      <c r="H56" t="inlineStr">
        <is>
          <t>CEC</t>
        </is>
      </c>
      <c r="I56" t="inlineStr">
        <is>
          <t>CCURTENOBLOQA</t>
        </is>
      </c>
      <c r="J56" t="inlineStr">
        <is>
          <t>TENO</t>
        </is>
      </c>
      <c r="K56" t="n">
        <v>-24376.4532065</v>
      </c>
      <c r="L56" t="inlineStr">
        <is>
          <t>TENO</t>
        </is>
      </c>
      <c r="M56" t="inlineStr">
        <is>
          <t>MELIPILLA</t>
        </is>
      </c>
      <c r="N56" t="n">
        <v>0.00308071516317</v>
      </c>
      <c r="O56" t="n">
        <v>75.096909</v>
      </c>
      <c r="P56" t="inlineStr">
        <is>
          <t>BS2A</t>
        </is>
      </c>
      <c r="Q56" t="n">
        <v>2</v>
      </c>
      <c r="V56" t="n">
        <v>713834.323</v>
      </c>
      <c r="W56" t="n">
        <v>2</v>
      </c>
      <c r="X56" t="n">
        <v>2.33481e-07</v>
      </c>
      <c r="Y56" t="n">
        <v>0.333334</v>
      </c>
      <c r="Z56" t="n">
        <v>25.032353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MELIPILLA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1.0179</v>
      </c>
      <c r="AL56" t="n">
        <v>66.77500000000001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0.9897500976181179</v>
      </c>
      <c r="AR56" t="n">
        <v>6002.7545</v>
      </c>
      <c r="AS56" t="n">
        <v>1671.535371575</v>
      </c>
      <c r="AT56" t="inlineStr">
        <is>
          <t>PNP_16T_02-11-2020</t>
        </is>
      </c>
      <c r="AU56" t="inlineStr">
        <is>
          <t>PNCP_2T_10-02-2020</t>
        </is>
      </c>
      <c r="AV56" t="inlineStr">
        <is>
          <t>PNCP_4T_30-04-2013</t>
        </is>
      </c>
      <c r="AW56" t="inlineStr">
        <is>
          <t>MELIPILLA 220</t>
        </is>
      </c>
      <c r="AX56" t="n">
        <v>100.646</v>
      </c>
      <c r="AY56" t="n">
        <v>1.080821157758461</v>
      </c>
      <c r="AZ56" t="n">
        <v>108.7803262437581</v>
      </c>
      <c r="BA56" t="n">
        <v>779.3099999999999</v>
      </c>
      <c r="BB56" t="n">
        <v>0.879</v>
      </c>
      <c r="BC56" t="n">
        <v>74.51599092357533</v>
      </c>
      <c r="BD56" t="n">
        <v>0.9899</v>
      </c>
      <c r="BE56" t="n">
        <v>73.76300000000001</v>
      </c>
      <c r="BF56" t="n">
        <v>8.9176</v>
      </c>
      <c r="BG56" t="n">
        <v>0.804</v>
      </c>
      <c r="BH56" t="n">
        <v>6039.043023599974</v>
      </c>
      <c r="BI56" t="n">
        <v>0.9919953143303397</v>
      </c>
      <c r="BJ56" t="n">
        <v>5990.7024</v>
      </c>
      <c r="BK56" t="n">
        <v>1846.461454339</v>
      </c>
    </row>
    <row r="57">
      <c r="A57" t="n">
        <v>4989</v>
      </c>
      <c r="B57" t="inlineStr">
        <is>
          <t>01-10-2020</t>
        </is>
      </c>
      <c r="C57" t="n">
        <v>2020</v>
      </c>
      <c r="D57" t="n">
        <v>1</v>
      </c>
      <c r="E57" t="inlineStr">
        <is>
          <t>SAN_JUAN_LAP</t>
        </is>
      </c>
      <c r="F57" t="inlineStr">
        <is>
          <t>SUM_CEC_A</t>
        </is>
      </c>
      <c r="G57" t="inlineStr">
        <is>
          <t>A</t>
        </is>
      </c>
      <c r="H57" t="inlineStr">
        <is>
          <t>CEC</t>
        </is>
      </c>
      <c r="I57" t="inlineStr">
        <is>
          <t>CCURTENOBLOQA</t>
        </is>
      </c>
      <c r="J57" t="inlineStr">
        <is>
          <t>TENO</t>
        </is>
      </c>
      <c r="K57" t="n">
        <v>-24376.4532065</v>
      </c>
      <c r="L57" t="inlineStr">
        <is>
          <t>TENO</t>
        </is>
      </c>
      <c r="M57" t="inlineStr">
        <is>
          <t>RAPEL</t>
        </is>
      </c>
      <c r="N57" t="n">
        <v>0.0025360775708</v>
      </c>
      <c r="O57" t="n">
        <v>61.820576</v>
      </c>
      <c r="P57" t="inlineStr">
        <is>
          <t>BS2A</t>
        </is>
      </c>
      <c r="Q57" t="n">
        <v>2</v>
      </c>
      <c r="V57" t="n">
        <v>713834.323</v>
      </c>
      <c r="W57" t="n">
        <v>2</v>
      </c>
      <c r="X57" t="n">
        <v>2.33481e-07</v>
      </c>
      <c r="Y57" t="n">
        <v>0.333334</v>
      </c>
      <c r="Z57" t="n">
        <v>20.6069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RAPEL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0.9925</v>
      </c>
      <c r="AL57" t="n">
        <v>65.10899999999999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0.9384721401850759</v>
      </c>
      <c r="AR57" t="n">
        <v>5691.7579</v>
      </c>
      <c r="AS57" t="n">
        <v>1341.6946521</v>
      </c>
      <c r="AT57" t="inlineStr">
        <is>
          <t>PNP_16T_02-11-2020</t>
        </is>
      </c>
      <c r="AU57" t="inlineStr">
        <is>
          <t>PNCP_2T_10-02-2020</t>
        </is>
      </c>
      <c r="AV57" t="inlineStr">
        <is>
          <t>PNCP_4T_30-04-2013</t>
        </is>
      </c>
      <c r="AW57" t="inlineStr">
        <is>
          <t>RAPEL 220</t>
        </is>
      </c>
      <c r="AX57" t="n">
        <v>100.646</v>
      </c>
      <c r="AY57" t="n">
        <v>1.080821157758461</v>
      </c>
      <c r="AZ57" t="n">
        <v>108.7803262437581</v>
      </c>
      <c r="BA57" t="n">
        <v>779.3099999999999</v>
      </c>
      <c r="BB57" t="n">
        <v>0.879</v>
      </c>
      <c r="BC57" t="n">
        <v>74.51599092357533</v>
      </c>
      <c r="BD57" t="n">
        <v>0.9638</v>
      </c>
      <c r="BE57" t="n">
        <v>71.819</v>
      </c>
      <c r="BF57" t="n">
        <v>8.9176</v>
      </c>
      <c r="BG57" t="n">
        <v>0.804</v>
      </c>
      <c r="BH57" t="n">
        <v>6039.043023599974</v>
      </c>
      <c r="BI57" t="n">
        <v>0.9369954715495176</v>
      </c>
      <c r="BJ57" t="n">
        <v>5658.556</v>
      </c>
      <c r="BK57" t="n">
        <v>1479.9669511</v>
      </c>
    </row>
    <row r="58">
      <c r="A58" t="n">
        <v>3086</v>
      </c>
      <c r="B58" t="inlineStr">
        <is>
          <t>01-11-2020</t>
        </is>
      </c>
      <c r="C58" t="n">
        <v>2020</v>
      </c>
      <c r="D58" t="n">
        <v>1</v>
      </c>
      <c r="E58" t="inlineStr">
        <is>
          <t>SAN_JUAN_LAP</t>
        </is>
      </c>
      <c r="F58" t="inlineStr">
        <is>
          <t>SUM_CEC_A</t>
        </is>
      </c>
      <c r="G58" t="inlineStr">
        <is>
          <t>A</t>
        </is>
      </c>
      <c r="H58" t="inlineStr">
        <is>
          <t>CEC</t>
        </is>
      </c>
      <c r="I58" t="inlineStr">
        <is>
          <t>CCURCURIBLOQA</t>
        </is>
      </c>
      <c r="J58" t="inlineStr">
        <is>
          <t>CURICO</t>
        </is>
      </c>
      <c r="K58" t="n">
        <v>-57153.08157324</v>
      </c>
      <c r="L58" t="inlineStr">
        <is>
          <t>CURICO</t>
        </is>
      </c>
      <c r="M58" t="inlineStr">
        <is>
          <t>ALTO JAHUEL</t>
        </is>
      </c>
      <c r="N58" t="n">
        <v>0.24824931095561</v>
      </c>
      <c r="O58" t="n">
        <v>14188.21312</v>
      </c>
      <c r="P58" t="inlineStr">
        <is>
          <t>BS2A</t>
        </is>
      </c>
      <c r="Q58" t="n">
        <v>2</v>
      </c>
      <c r="V58" t="n">
        <v>713834.323</v>
      </c>
      <c r="W58" t="n">
        <v>2</v>
      </c>
      <c r="X58" t="n">
        <v>2.33481e-07</v>
      </c>
      <c r="Y58" t="n">
        <v>0.333334</v>
      </c>
      <c r="Z58" t="n">
        <v>4729.413832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ALTO JAHUEL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0.9827</v>
      </c>
      <c r="AL58" t="n">
        <v>64.46599999999999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0.9936514234698939</v>
      </c>
      <c r="AR58" t="n">
        <v>6026.4158</v>
      </c>
      <c r="AS58" t="n">
        <v>304886.392093712</v>
      </c>
      <c r="AT58" t="inlineStr">
        <is>
          <t>PNP_16T_02-11-2020</t>
        </is>
      </c>
      <c r="AU58" t="inlineStr">
        <is>
          <t>PNCP_2T_10-02-2020</t>
        </is>
      </c>
      <c r="AV58" t="inlineStr">
        <is>
          <t>PNCP_4T_30-04-2013</t>
        </is>
      </c>
      <c r="AW58" t="inlineStr">
        <is>
          <t>ALTO JAHUEL 220</t>
        </is>
      </c>
      <c r="AX58" t="n">
        <v>100.646</v>
      </c>
      <c r="AY58" t="n">
        <v>1.080821157758461</v>
      </c>
      <c r="AZ58" t="n">
        <v>108.7803262437581</v>
      </c>
      <c r="BA58" t="n">
        <v>779.3099999999999</v>
      </c>
      <c r="BB58" t="n">
        <v>0.879</v>
      </c>
      <c r="BC58" t="n">
        <v>74.51599092357533</v>
      </c>
      <c r="BD58" t="n">
        <v>0.976</v>
      </c>
      <c r="BE58" t="n">
        <v>72.72799999999999</v>
      </c>
      <c r="BF58" t="n">
        <v>8.9176</v>
      </c>
      <c r="BG58" t="n">
        <v>0.804</v>
      </c>
      <c r="BH58" t="n">
        <v>6039.043023599974</v>
      </c>
      <c r="BI58" t="n">
        <v>0.9955361571272692</v>
      </c>
      <c r="BJ58" t="n">
        <v>6012.0857</v>
      </c>
      <c r="BK58" t="n">
        <v>343960.809173696</v>
      </c>
    </row>
    <row r="59">
      <c r="A59" t="n">
        <v>3088</v>
      </c>
      <c r="B59" t="inlineStr">
        <is>
          <t>01-11-2020</t>
        </is>
      </c>
      <c r="C59" t="n">
        <v>2020</v>
      </c>
      <c r="D59" t="n">
        <v>1</v>
      </c>
      <c r="E59" t="inlineStr">
        <is>
          <t>SAN_JUAN_LAP</t>
        </is>
      </c>
      <c r="F59" t="inlineStr">
        <is>
          <t>SUM_CEC_A</t>
        </is>
      </c>
      <c r="G59" t="inlineStr">
        <is>
          <t>A</t>
        </is>
      </c>
      <c r="H59" t="inlineStr">
        <is>
          <t>CEC</t>
        </is>
      </c>
      <c r="I59" t="inlineStr">
        <is>
          <t>CCURCURIBLOQA</t>
        </is>
      </c>
      <c r="J59" t="inlineStr">
        <is>
          <t>CURICO</t>
        </is>
      </c>
      <c r="K59" t="n">
        <v>-57153.08157324</v>
      </c>
      <c r="L59" t="inlineStr">
        <is>
          <t>CURICO</t>
        </is>
      </c>
      <c r="M59" t="inlineStr">
        <is>
          <t>CHARRUA</t>
        </is>
      </c>
      <c r="N59" t="n">
        <v>0.07754004789224</v>
      </c>
      <c r="O59" t="n">
        <v>4431.652682</v>
      </c>
      <c r="P59" t="inlineStr">
        <is>
          <t>BS2A</t>
        </is>
      </c>
      <c r="Q59" t="n">
        <v>2</v>
      </c>
      <c r="V59" t="n">
        <v>713834.323</v>
      </c>
      <c r="W59" t="n">
        <v>2</v>
      </c>
      <c r="X59" t="n">
        <v>2.33481e-07</v>
      </c>
      <c r="Y59" t="n">
        <v>0.333334</v>
      </c>
      <c r="Z59" t="n">
        <v>1477.220515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CHARRUA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0.9350000000000001</v>
      </c>
      <c r="AL59" t="n">
        <v>61.337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1.096171586715867</v>
      </c>
      <c r="AR59" t="n">
        <v>6648.1923</v>
      </c>
      <c r="AS59" t="n">
        <v>90608.274728555</v>
      </c>
      <c r="AT59" t="inlineStr">
        <is>
          <t>PNP_16T_02-11-2020</t>
        </is>
      </c>
      <c r="AU59" t="inlineStr">
        <is>
          <t>PNCP_2T_10-02-2020</t>
        </is>
      </c>
      <c r="AV59" t="inlineStr">
        <is>
          <t>PNCP_4T_30-04-2013</t>
        </is>
      </c>
      <c r="AW59" t="inlineStr">
        <is>
          <t>CHARRUA 220</t>
        </is>
      </c>
      <c r="AX59" t="n">
        <v>100.646</v>
      </c>
      <c r="AY59" t="n">
        <v>1.080821157758461</v>
      </c>
      <c r="AZ59" t="n">
        <v>108.7803262437581</v>
      </c>
      <c r="BA59" t="n">
        <v>779.3099999999999</v>
      </c>
      <c r="BB59" t="n">
        <v>0.879</v>
      </c>
      <c r="BC59" t="n">
        <v>74.51599092357533</v>
      </c>
      <c r="BD59" t="n">
        <v>0.9312</v>
      </c>
      <c r="BE59" t="n">
        <v>69.389</v>
      </c>
      <c r="BF59" t="n">
        <v>8.9176</v>
      </c>
      <c r="BG59" t="n">
        <v>0.804</v>
      </c>
      <c r="BH59" t="n">
        <v>6039.043023599974</v>
      </c>
      <c r="BI59" t="n">
        <v>1.118773062730627</v>
      </c>
      <c r="BJ59" t="n">
        <v>6756.3187</v>
      </c>
      <c r="BK59" t="n">
        <v>102502.854315335</v>
      </c>
    </row>
    <row r="60">
      <c r="A60" t="n">
        <v>3090</v>
      </c>
      <c r="B60" t="inlineStr">
        <is>
          <t>01-11-2020</t>
        </is>
      </c>
      <c r="C60" t="n">
        <v>2020</v>
      </c>
      <c r="D60" t="n">
        <v>1</v>
      </c>
      <c r="E60" t="inlineStr">
        <is>
          <t>SAN_JUAN_LAP</t>
        </is>
      </c>
      <c r="F60" t="inlineStr">
        <is>
          <t>SUM_CEC_A</t>
        </is>
      </c>
      <c r="G60" t="inlineStr">
        <is>
          <t>A</t>
        </is>
      </c>
      <c r="H60" t="inlineStr">
        <is>
          <t>CEC</t>
        </is>
      </c>
      <c r="I60" t="inlineStr">
        <is>
          <t>CCURCURIBLOQA</t>
        </is>
      </c>
      <c r="J60" t="inlineStr">
        <is>
          <t>CURICO</t>
        </is>
      </c>
      <c r="K60" t="n">
        <v>-57153.08157324</v>
      </c>
      <c r="L60" t="inlineStr">
        <is>
          <t>CURICO</t>
        </is>
      </c>
      <c r="M60" t="inlineStr">
        <is>
          <t>ITAHUE</t>
        </is>
      </c>
      <c r="N60" t="n">
        <v>0.7397970389905</v>
      </c>
      <c r="O60" t="n">
        <v>42281.680517</v>
      </c>
      <c r="P60" t="inlineStr">
        <is>
          <t>BS2A</t>
        </is>
      </c>
      <c r="Q60" t="n">
        <v>2</v>
      </c>
      <c r="V60" t="n">
        <v>713834.323</v>
      </c>
      <c r="W60" t="n">
        <v>2</v>
      </c>
      <c r="X60" t="n">
        <v>2.33481e-07</v>
      </c>
      <c r="Y60" t="n">
        <v>0.333334</v>
      </c>
      <c r="Z60" t="n">
        <v>14093.921693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ITAHUE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0.9537</v>
      </c>
      <c r="AL60" t="n">
        <v>62.564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1.007895816242822</v>
      </c>
      <c r="AR60" t="n">
        <v>6112.8068</v>
      </c>
      <c r="AS60" t="n">
        <v>881772.116800852</v>
      </c>
      <c r="AT60" t="inlineStr">
        <is>
          <t>PNP_16T_02-11-2020</t>
        </is>
      </c>
      <c r="AU60" t="inlineStr">
        <is>
          <t>PNCP_2T_10-02-2020</t>
        </is>
      </c>
      <c r="AV60" t="inlineStr">
        <is>
          <t>PNCP_4T_30-04-2013</t>
        </is>
      </c>
      <c r="AW60" t="inlineStr">
        <is>
          <t>ITAHUE 220</t>
        </is>
      </c>
      <c r="AX60" t="n">
        <v>100.646</v>
      </c>
      <c r="AY60" t="n">
        <v>1.080821157758461</v>
      </c>
      <c r="AZ60" t="n">
        <v>108.7803262437581</v>
      </c>
      <c r="BA60" t="n">
        <v>779.3099999999999</v>
      </c>
      <c r="BB60" t="n">
        <v>0.879</v>
      </c>
      <c r="BC60" t="n">
        <v>74.51599092357533</v>
      </c>
      <c r="BD60" t="n">
        <v>0.9327</v>
      </c>
      <c r="BE60" t="n">
        <v>69.501</v>
      </c>
      <c r="BF60" t="n">
        <v>8.9176</v>
      </c>
      <c r="BG60" t="n">
        <v>0.804</v>
      </c>
      <c r="BH60" t="n">
        <v>6039.043023599974</v>
      </c>
      <c r="BI60" t="n">
        <v>1.016406890894175</v>
      </c>
      <c r="BJ60" t="n">
        <v>6138.1249</v>
      </c>
      <c r="BK60" t="n">
        <v>979541.6515851931</v>
      </c>
    </row>
    <row r="61">
      <c r="A61" t="n">
        <v>3092</v>
      </c>
      <c r="B61" t="inlineStr">
        <is>
          <t>01-11-2020</t>
        </is>
      </c>
      <c r="C61" t="n">
        <v>2020</v>
      </c>
      <c r="D61" t="n">
        <v>1</v>
      </c>
      <c r="E61" t="inlineStr">
        <is>
          <t>SAN_JUAN_LAP</t>
        </is>
      </c>
      <c r="F61" t="inlineStr">
        <is>
          <t>SUM_CEC_A</t>
        </is>
      </c>
      <c r="G61" t="inlineStr">
        <is>
          <t>A</t>
        </is>
      </c>
      <c r="H61" t="inlineStr">
        <is>
          <t>CEC</t>
        </is>
      </c>
      <c r="I61" t="inlineStr">
        <is>
          <t>CCURCURIBLOQA</t>
        </is>
      </c>
      <c r="J61" t="inlineStr">
        <is>
          <t>CURICO</t>
        </is>
      </c>
      <c r="K61" t="n">
        <v>-57153.08157324</v>
      </c>
      <c r="L61" t="inlineStr">
        <is>
          <t>CURICO</t>
        </is>
      </c>
      <c r="M61" t="inlineStr">
        <is>
          <t>MELIPILLA</t>
        </is>
      </c>
      <c r="N61" t="n">
        <v>0.00290857755967</v>
      </c>
      <c r="O61" t="n">
        <v>166.234171</v>
      </c>
      <c r="P61" t="inlineStr">
        <is>
          <t>BS2A</t>
        </is>
      </c>
      <c r="Q61" t="n">
        <v>2</v>
      </c>
      <c r="V61" t="n">
        <v>713834.323</v>
      </c>
      <c r="W61" t="n">
        <v>2</v>
      </c>
      <c r="X61" t="n">
        <v>2.33481e-07</v>
      </c>
      <c r="Y61" t="n">
        <v>0.333334</v>
      </c>
      <c r="Z61" t="n">
        <v>55.411501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MELIPILLA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1.0179</v>
      </c>
      <c r="AL61" t="n">
        <v>66.77500000000001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0.9897500976181179</v>
      </c>
      <c r="AR61" t="n">
        <v>6002.7545</v>
      </c>
      <c r="AS61" t="n">
        <v>3700.102979275001</v>
      </c>
      <c r="AT61" t="inlineStr">
        <is>
          <t>PNP_16T_02-11-2020</t>
        </is>
      </c>
      <c r="AU61" t="inlineStr">
        <is>
          <t>PNCP_2T_10-02-2020</t>
        </is>
      </c>
      <c r="AV61" t="inlineStr">
        <is>
          <t>PNCP_4T_30-04-2013</t>
        </is>
      </c>
      <c r="AW61" t="inlineStr">
        <is>
          <t>MELIPILLA 220</t>
        </is>
      </c>
      <c r="AX61" t="n">
        <v>100.646</v>
      </c>
      <c r="AY61" t="n">
        <v>1.080821157758461</v>
      </c>
      <c r="AZ61" t="n">
        <v>108.7803262437581</v>
      </c>
      <c r="BA61" t="n">
        <v>779.3099999999999</v>
      </c>
      <c r="BB61" t="n">
        <v>0.879</v>
      </c>
      <c r="BC61" t="n">
        <v>74.51599092357533</v>
      </c>
      <c r="BD61" t="n">
        <v>0.9899</v>
      </c>
      <c r="BE61" t="n">
        <v>73.76300000000001</v>
      </c>
      <c r="BF61" t="n">
        <v>8.9176</v>
      </c>
      <c r="BG61" t="n">
        <v>0.804</v>
      </c>
      <c r="BH61" t="n">
        <v>6039.043023599974</v>
      </c>
      <c r="BI61" t="n">
        <v>0.9919953143303397</v>
      </c>
      <c r="BJ61" t="n">
        <v>5990.7024</v>
      </c>
      <c r="BK61" t="n">
        <v>4087.318548263001</v>
      </c>
    </row>
    <row r="62">
      <c r="A62" t="n">
        <v>3094</v>
      </c>
      <c r="B62" t="inlineStr">
        <is>
          <t>01-11-2020</t>
        </is>
      </c>
      <c r="C62" t="n">
        <v>2020</v>
      </c>
      <c r="D62" t="n">
        <v>1</v>
      </c>
      <c r="E62" t="inlineStr">
        <is>
          <t>SAN_JUAN_LAP</t>
        </is>
      </c>
      <c r="F62" t="inlineStr">
        <is>
          <t>SUM_CEC_A</t>
        </is>
      </c>
      <c r="G62" t="inlineStr">
        <is>
          <t>A</t>
        </is>
      </c>
      <c r="H62" t="inlineStr">
        <is>
          <t>CEC</t>
        </is>
      </c>
      <c r="I62" t="inlineStr">
        <is>
          <t>CCURCURIBLOQA</t>
        </is>
      </c>
      <c r="J62" t="inlineStr">
        <is>
          <t>CURICO</t>
        </is>
      </c>
      <c r="K62" t="n">
        <v>-57153.08157324</v>
      </c>
      <c r="L62" t="inlineStr">
        <is>
          <t>CURICO</t>
        </is>
      </c>
      <c r="M62" t="inlineStr">
        <is>
          <t>RAPEL</t>
        </is>
      </c>
      <c r="N62" t="n">
        <v>0.0026170694898</v>
      </c>
      <c r="O62" t="n">
        <v>149.573586</v>
      </c>
      <c r="P62" t="inlineStr">
        <is>
          <t>BS2A</t>
        </is>
      </c>
      <c r="Q62" t="n">
        <v>2</v>
      </c>
      <c r="V62" t="n">
        <v>713834.323</v>
      </c>
      <c r="W62" t="n">
        <v>2</v>
      </c>
      <c r="X62" t="n">
        <v>2.33481e-07</v>
      </c>
      <c r="Y62" t="n">
        <v>0.333334</v>
      </c>
      <c r="Z62" t="n">
        <v>49.857962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RAPEL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0.9925</v>
      </c>
      <c r="AL62" t="n">
        <v>65.10899999999999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0.9384721401850759</v>
      </c>
      <c r="AR62" t="n">
        <v>5691.7579</v>
      </c>
      <c r="AS62" t="n">
        <v>3246.202047858</v>
      </c>
      <c r="AT62" t="inlineStr">
        <is>
          <t>PNP_16T_02-11-2020</t>
        </is>
      </c>
      <c r="AU62" t="inlineStr">
        <is>
          <t>PNCP_2T_10-02-2020</t>
        </is>
      </c>
      <c r="AV62" t="inlineStr">
        <is>
          <t>PNCP_4T_30-04-2013</t>
        </is>
      </c>
      <c r="AW62" t="inlineStr">
        <is>
          <t>RAPEL 220</t>
        </is>
      </c>
      <c r="AX62" t="n">
        <v>100.646</v>
      </c>
      <c r="AY62" t="n">
        <v>1.080821157758461</v>
      </c>
      <c r="AZ62" t="n">
        <v>108.7803262437581</v>
      </c>
      <c r="BA62" t="n">
        <v>779.3099999999999</v>
      </c>
      <c r="BB62" t="n">
        <v>0.879</v>
      </c>
      <c r="BC62" t="n">
        <v>74.51599092357533</v>
      </c>
      <c r="BD62" t="n">
        <v>0.9638</v>
      </c>
      <c r="BE62" t="n">
        <v>71.819</v>
      </c>
      <c r="BF62" t="n">
        <v>8.9176</v>
      </c>
      <c r="BG62" t="n">
        <v>0.804</v>
      </c>
      <c r="BH62" t="n">
        <v>6039.043023599974</v>
      </c>
      <c r="BI62" t="n">
        <v>0.9369954715495176</v>
      </c>
      <c r="BJ62" t="n">
        <v>5658.556</v>
      </c>
      <c r="BK62" t="n">
        <v>3580.748972878</v>
      </c>
    </row>
    <row r="63">
      <c r="A63" t="n">
        <v>2469</v>
      </c>
      <c r="B63" t="inlineStr">
        <is>
          <t>01-11-2020</t>
        </is>
      </c>
      <c r="C63" t="n">
        <v>2020</v>
      </c>
      <c r="D63" t="n">
        <v>1</v>
      </c>
      <c r="E63" t="inlineStr">
        <is>
          <t>SAN_JUAN_LAP</t>
        </is>
      </c>
      <c r="F63" t="inlineStr">
        <is>
          <t>SUM_CEC_A</t>
        </is>
      </c>
      <c r="G63" t="inlineStr">
        <is>
          <t>A</t>
        </is>
      </c>
      <c r="H63" t="inlineStr">
        <is>
          <t>CEC</t>
        </is>
      </c>
      <c r="I63" t="inlineStr">
        <is>
          <t>CCURQUINBLOQA</t>
        </is>
      </c>
      <c r="J63" t="inlineStr">
        <is>
          <t>QUINTA</t>
        </is>
      </c>
      <c r="K63" t="n">
        <v>-14346.22498585</v>
      </c>
      <c r="L63" t="inlineStr">
        <is>
          <t>QUINTA</t>
        </is>
      </c>
      <c r="M63" t="inlineStr">
        <is>
          <t>ALTO JAHUEL</t>
        </is>
      </c>
      <c r="N63" t="n">
        <v>0.45523813654234</v>
      </c>
      <c r="O63" t="n">
        <v>6530.948729</v>
      </c>
      <c r="P63" t="inlineStr">
        <is>
          <t>BS2A</t>
        </is>
      </c>
      <c r="Q63" t="n">
        <v>2</v>
      </c>
      <c r="V63" t="n">
        <v>713834.323</v>
      </c>
      <c r="W63" t="n">
        <v>2</v>
      </c>
      <c r="X63" t="n">
        <v>2.33481e-07</v>
      </c>
      <c r="Y63" t="n">
        <v>0.333334</v>
      </c>
      <c r="Z63" t="n">
        <v>2176.987264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ALTO JAHUEL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0.9827</v>
      </c>
      <c r="AL63" t="n">
        <v>64.46599999999999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0.9936514234698939</v>
      </c>
      <c r="AR63" t="n">
        <v>6026.4158</v>
      </c>
      <c r="AS63" t="n">
        <v>140341.660961024</v>
      </c>
      <c r="AT63" t="inlineStr">
        <is>
          <t>PNP_16T_02-11-2020</t>
        </is>
      </c>
      <c r="AU63" t="inlineStr">
        <is>
          <t>PNCP_2T_10-02-2020</t>
        </is>
      </c>
      <c r="AV63" t="inlineStr">
        <is>
          <t>PNCP_4T_30-04-2013</t>
        </is>
      </c>
      <c r="AW63" t="inlineStr">
        <is>
          <t>ALTO JAHUEL 220</t>
        </is>
      </c>
      <c r="AX63" t="n">
        <v>100.646</v>
      </c>
      <c r="AY63" t="n">
        <v>1.080821157758461</v>
      </c>
      <c r="AZ63" t="n">
        <v>108.7803262437581</v>
      </c>
      <c r="BA63" t="n">
        <v>779.3099999999999</v>
      </c>
      <c r="BB63" t="n">
        <v>0.879</v>
      </c>
      <c r="BC63" t="n">
        <v>74.51599092357533</v>
      </c>
      <c r="BD63" t="n">
        <v>0.976</v>
      </c>
      <c r="BE63" t="n">
        <v>72.72799999999999</v>
      </c>
      <c r="BF63" t="n">
        <v>8.9176</v>
      </c>
      <c r="BG63" t="n">
        <v>0.804</v>
      </c>
      <c r="BH63" t="n">
        <v>6039.043023599974</v>
      </c>
      <c r="BI63" t="n">
        <v>0.9955361571272692</v>
      </c>
      <c r="BJ63" t="n">
        <v>6012.0857</v>
      </c>
      <c r="BK63" t="n">
        <v>158327.929736192</v>
      </c>
    </row>
    <row r="64">
      <c r="A64" t="n">
        <v>2471</v>
      </c>
      <c r="B64" t="inlineStr">
        <is>
          <t>01-11-2020</t>
        </is>
      </c>
      <c r="C64" t="n">
        <v>2020</v>
      </c>
      <c r="D64" t="n">
        <v>1</v>
      </c>
      <c r="E64" t="inlineStr">
        <is>
          <t>SAN_JUAN_LAP</t>
        </is>
      </c>
      <c r="F64" t="inlineStr">
        <is>
          <t>SUM_CEC_A</t>
        </is>
      </c>
      <c r="G64" t="inlineStr">
        <is>
          <t>A</t>
        </is>
      </c>
      <c r="H64" t="inlineStr">
        <is>
          <t>CEC</t>
        </is>
      </c>
      <c r="I64" t="inlineStr">
        <is>
          <t>CCURQUINBLOQA</t>
        </is>
      </c>
      <c r="J64" t="inlineStr">
        <is>
          <t>QUINTA</t>
        </is>
      </c>
      <c r="K64" t="n">
        <v>-14346.22498585</v>
      </c>
      <c r="L64" t="inlineStr">
        <is>
          <t>QUINTA</t>
        </is>
      </c>
      <c r="M64" t="inlineStr">
        <is>
          <t>CHARRUA</t>
        </is>
      </c>
      <c r="N64" t="n">
        <v>0.06889661639233</v>
      </c>
      <c r="O64" t="n">
        <v>988.4063599999999</v>
      </c>
      <c r="P64" t="inlineStr">
        <is>
          <t>BS2A</t>
        </is>
      </c>
      <c r="Q64" t="n">
        <v>2</v>
      </c>
      <c r="V64" t="n">
        <v>713834.323</v>
      </c>
      <c r="W64" t="n">
        <v>2</v>
      </c>
      <c r="X64" t="n">
        <v>2.33481e-07</v>
      </c>
      <c r="Y64" t="n">
        <v>0.333334</v>
      </c>
      <c r="Z64" t="n">
        <v>329.469446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CHARRUA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0.9350000000000001</v>
      </c>
      <c r="AL64" t="n">
        <v>61.337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1.096171586715867</v>
      </c>
      <c r="AR64" t="n">
        <v>6648.1923</v>
      </c>
      <c r="AS64" t="n">
        <v>20208.667409302</v>
      </c>
      <c r="AT64" t="inlineStr">
        <is>
          <t>PNP_16T_02-11-2020</t>
        </is>
      </c>
      <c r="AU64" t="inlineStr">
        <is>
          <t>PNCP_2T_10-02-2020</t>
        </is>
      </c>
      <c r="AV64" t="inlineStr">
        <is>
          <t>PNCP_4T_30-04-2013</t>
        </is>
      </c>
      <c r="AW64" t="inlineStr">
        <is>
          <t>CHARRUA 220</t>
        </is>
      </c>
      <c r="AX64" t="n">
        <v>100.646</v>
      </c>
      <c r="AY64" t="n">
        <v>1.080821157758461</v>
      </c>
      <c r="AZ64" t="n">
        <v>108.7803262437581</v>
      </c>
      <c r="BA64" t="n">
        <v>779.3099999999999</v>
      </c>
      <c r="BB64" t="n">
        <v>0.879</v>
      </c>
      <c r="BC64" t="n">
        <v>74.51599092357533</v>
      </c>
      <c r="BD64" t="n">
        <v>0.9312</v>
      </c>
      <c r="BE64" t="n">
        <v>69.389</v>
      </c>
      <c r="BF64" t="n">
        <v>8.9176</v>
      </c>
      <c r="BG64" t="n">
        <v>0.804</v>
      </c>
      <c r="BH64" t="n">
        <v>6039.043023599974</v>
      </c>
      <c r="BI64" t="n">
        <v>1.118773062730627</v>
      </c>
      <c r="BJ64" t="n">
        <v>6756.3187</v>
      </c>
      <c r="BK64" t="n">
        <v>22861.555388494</v>
      </c>
    </row>
    <row r="65">
      <c r="A65" t="n">
        <v>2473</v>
      </c>
      <c r="B65" t="inlineStr">
        <is>
          <t>01-11-2020</t>
        </is>
      </c>
      <c r="C65" t="n">
        <v>2020</v>
      </c>
      <c r="D65" t="n">
        <v>1</v>
      </c>
      <c r="E65" t="inlineStr">
        <is>
          <t>SAN_JUAN_LAP</t>
        </is>
      </c>
      <c r="F65" t="inlineStr">
        <is>
          <t>SUM_CEC_A</t>
        </is>
      </c>
      <c r="G65" t="inlineStr">
        <is>
          <t>A</t>
        </is>
      </c>
      <c r="H65" t="inlineStr">
        <is>
          <t>CEC</t>
        </is>
      </c>
      <c r="I65" t="inlineStr">
        <is>
          <t>CCURQUINBLOQA</t>
        </is>
      </c>
      <c r="J65" t="inlineStr">
        <is>
          <t>QUINTA</t>
        </is>
      </c>
      <c r="K65" t="n">
        <v>-14346.22498585</v>
      </c>
      <c r="L65" t="inlineStr">
        <is>
          <t>QUINTA</t>
        </is>
      </c>
      <c r="M65" t="inlineStr">
        <is>
          <t>ITAHUE</t>
        </is>
      </c>
      <c r="N65" t="n">
        <v>0.70986919705586</v>
      </c>
      <c r="O65" t="n">
        <v>10183.943211</v>
      </c>
      <c r="P65" t="inlineStr">
        <is>
          <t>BS2A</t>
        </is>
      </c>
      <c r="Q65" t="n">
        <v>2</v>
      </c>
      <c r="V65" t="n">
        <v>713834.323</v>
      </c>
      <c r="W65" t="n">
        <v>2</v>
      </c>
      <c r="X65" t="n">
        <v>2.33481e-07</v>
      </c>
      <c r="Y65" t="n">
        <v>0.333334</v>
      </c>
      <c r="Z65" t="n">
        <v>3394.654526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ITAHUE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0.9537</v>
      </c>
      <c r="AL65" t="n">
        <v>62.564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1.007895816242822</v>
      </c>
      <c r="AR65" t="n">
        <v>6112.8068</v>
      </c>
      <c r="AS65" t="n">
        <v>212383.165764664</v>
      </c>
      <c r="AT65" t="inlineStr">
        <is>
          <t>PNP_16T_02-11-2020</t>
        </is>
      </c>
      <c r="AU65" t="inlineStr">
        <is>
          <t>PNCP_2T_10-02-2020</t>
        </is>
      </c>
      <c r="AV65" t="inlineStr">
        <is>
          <t>PNCP_4T_30-04-2013</t>
        </is>
      </c>
      <c r="AW65" t="inlineStr">
        <is>
          <t>ITAHUE 220</t>
        </is>
      </c>
      <c r="AX65" t="n">
        <v>100.646</v>
      </c>
      <c r="AY65" t="n">
        <v>1.080821157758461</v>
      </c>
      <c r="AZ65" t="n">
        <v>108.7803262437581</v>
      </c>
      <c r="BA65" t="n">
        <v>779.3099999999999</v>
      </c>
      <c r="BB65" t="n">
        <v>0.879</v>
      </c>
      <c r="BC65" t="n">
        <v>74.51599092357533</v>
      </c>
      <c r="BD65" t="n">
        <v>0.9327</v>
      </c>
      <c r="BE65" t="n">
        <v>69.501</v>
      </c>
      <c r="BF65" t="n">
        <v>8.9176</v>
      </c>
      <c r="BG65" t="n">
        <v>0.804</v>
      </c>
      <c r="BH65" t="n">
        <v>6039.043023599974</v>
      </c>
      <c r="BI65" t="n">
        <v>1.016406890894175</v>
      </c>
      <c r="BJ65" t="n">
        <v>6138.1249</v>
      </c>
      <c r="BK65" t="n">
        <v>235931.884211526</v>
      </c>
    </row>
    <row r="66">
      <c r="A66" t="n">
        <v>2475</v>
      </c>
      <c r="B66" t="inlineStr">
        <is>
          <t>01-11-2020</t>
        </is>
      </c>
      <c r="C66" t="n">
        <v>2020</v>
      </c>
      <c r="D66" t="n">
        <v>1</v>
      </c>
      <c r="E66" t="inlineStr">
        <is>
          <t>SAN_JUAN_LAP</t>
        </is>
      </c>
      <c r="F66" t="inlineStr">
        <is>
          <t>SUM_CEC_A</t>
        </is>
      </c>
      <c r="G66" t="inlineStr">
        <is>
          <t>A</t>
        </is>
      </c>
      <c r="H66" t="inlineStr">
        <is>
          <t>CEC</t>
        </is>
      </c>
      <c r="I66" t="inlineStr">
        <is>
          <t>CCURQUINBLOQA</t>
        </is>
      </c>
      <c r="J66" t="inlineStr">
        <is>
          <t>QUINTA</t>
        </is>
      </c>
      <c r="K66" t="n">
        <v>-14346.22498585</v>
      </c>
      <c r="L66" t="inlineStr">
        <is>
          <t>QUINTA</t>
        </is>
      </c>
      <c r="M66" t="inlineStr">
        <is>
          <t>RAPEL</t>
        </is>
      </c>
      <c r="N66" t="n">
        <v>0.0014965642882</v>
      </c>
      <c r="O66" t="n">
        <v>21.470048</v>
      </c>
      <c r="P66" t="inlineStr">
        <is>
          <t>BS2A</t>
        </is>
      </c>
      <c r="Q66" t="n">
        <v>2</v>
      </c>
      <c r="V66" t="n">
        <v>713834.323</v>
      </c>
      <c r="W66" t="n">
        <v>2</v>
      </c>
      <c r="X66" t="n">
        <v>2.33481e-07</v>
      </c>
      <c r="Y66" t="n">
        <v>0.333334</v>
      </c>
      <c r="Z66" t="n">
        <v>7.156697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RAPEL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0.9925</v>
      </c>
      <c r="AL66" t="n">
        <v>65.10899999999999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0.9384721401850759</v>
      </c>
      <c r="AR66" t="n">
        <v>5691.7579</v>
      </c>
      <c r="AS66" t="n">
        <v>465.965384973</v>
      </c>
      <c r="AT66" t="inlineStr">
        <is>
          <t>PNP_16T_02-11-2020</t>
        </is>
      </c>
      <c r="AU66" t="inlineStr">
        <is>
          <t>PNCP_2T_10-02-2020</t>
        </is>
      </c>
      <c r="AV66" t="inlineStr">
        <is>
          <t>PNCP_4T_30-04-2013</t>
        </is>
      </c>
      <c r="AW66" t="inlineStr">
        <is>
          <t>RAPEL 220</t>
        </is>
      </c>
      <c r="AX66" t="n">
        <v>100.646</v>
      </c>
      <c r="AY66" t="n">
        <v>1.080821157758461</v>
      </c>
      <c r="AZ66" t="n">
        <v>108.7803262437581</v>
      </c>
      <c r="BA66" t="n">
        <v>779.3099999999999</v>
      </c>
      <c r="BB66" t="n">
        <v>0.879</v>
      </c>
      <c r="BC66" t="n">
        <v>74.51599092357533</v>
      </c>
      <c r="BD66" t="n">
        <v>0.9638</v>
      </c>
      <c r="BE66" t="n">
        <v>71.819</v>
      </c>
      <c r="BF66" t="n">
        <v>8.9176</v>
      </c>
      <c r="BG66" t="n">
        <v>0.804</v>
      </c>
      <c r="BH66" t="n">
        <v>6039.043023599974</v>
      </c>
      <c r="BI66" t="n">
        <v>0.9369954715495176</v>
      </c>
      <c r="BJ66" t="n">
        <v>5658.556</v>
      </c>
      <c r="BK66" t="n">
        <v>513.986821843</v>
      </c>
    </row>
    <row r="67">
      <c r="A67" t="n">
        <v>5121</v>
      </c>
      <c r="B67" t="inlineStr">
        <is>
          <t>01-11-2020</t>
        </is>
      </c>
      <c r="C67" t="n">
        <v>2020</v>
      </c>
      <c r="D67" t="n">
        <v>1</v>
      </c>
      <c r="E67" t="inlineStr">
        <is>
          <t>SAN_JUAN_LAP</t>
        </is>
      </c>
      <c r="F67" t="inlineStr">
        <is>
          <t>SUM_CEC_A</t>
        </is>
      </c>
      <c r="G67" t="inlineStr">
        <is>
          <t>A</t>
        </is>
      </c>
      <c r="H67" t="inlineStr">
        <is>
          <t>CEC</t>
        </is>
      </c>
      <c r="I67" t="inlineStr">
        <is>
          <t>CCURTENOBLOQA</t>
        </is>
      </c>
      <c r="J67" t="inlineStr">
        <is>
          <t>TENO</t>
        </is>
      </c>
      <c r="K67" t="n">
        <v>-24249.51255498</v>
      </c>
      <c r="L67" t="inlineStr">
        <is>
          <t>TENO</t>
        </is>
      </c>
      <c r="M67" t="inlineStr">
        <is>
          <t>ALTO JAHUEL</t>
        </is>
      </c>
      <c r="N67" t="n">
        <v>0.2634387057414</v>
      </c>
      <c r="O67" t="n">
        <v>6388.260202</v>
      </c>
      <c r="P67" t="inlineStr">
        <is>
          <t>BS2A</t>
        </is>
      </c>
      <c r="Q67" t="n">
        <v>2</v>
      </c>
      <c r="V67" t="n">
        <v>713834.323</v>
      </c>
      <c r="W67" t="n">
        <v>2</v>
      </c>
      <c r="X67" t="n">
        <v>2.33481e-07</v>
      </c>
      <c r="Y67" t="n">
        <v>0.333334</v>
      </c>
      <c r="Z67" t="n">
        <v>2129.424326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ALTO JAHUEL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0.9827</v>
      </c>
      <c r="AL67" t="n">
        <v>64.46599999999999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0.9936514234698939</v>
      </c>
      <c r="AR67" t="n">
        <v>6026.4158</v>
      </c>
      <c r="AS67" t="n">
        <v>137275.468599916</v>
      </c>
      <c r="AT67" t="inlineStr">
        <is>
          <t>PNP_16T_02-11-2020</t>
        </is>
      </c>
      <c r="AU67" t="inlineStr">
        <is>
          <t>PNCP_2T_10-02-2020</t>
        </is>
      </c>
      <c r="AV67" t="inlineStr">
        <is>
          <t>PNCP_4T_30-04-2013</t>
        </is>
      </c>
      <c r="AW67" t="inlineStr">
        <is>
          <t>ALTO JAHUEL 220</t>
        </is>
      </c>
      <c r="AX67" t="n">
        <v>100.646</v>
      </c>
      <c r="AY67" t="n">
        <v>1.080821157758461</v>
      </c>
      <c r="AZ67" t="n">
        <v>108.7803262437581</v>
      </c>
      <c r="BA67" t="n">
        <v>779.3099999999999</v>
      </c>
      <c r="BB67" t="n">
        <v>0.879</v>
      </c>
      <c r="BC67" t="n">
        <v>74.51599092357533</v>
      </c>
      <c r="BD67" t="n">
        <v>0.976</v>
      </c>
      <c r="BE67" t="n">
        <v>72.72799999999999</v>
      </c>
      <c r="BF67" t="n">
        <v>8.9176</v>
      </c>
      <c r="BG67" t="n">
        <v>0.804</v>
      </c>
      <c r="BH67" t="n">
        <v>6039.043023599974</v>
      </c>
      <c r="BI67" t="n">
        <v>0.9955361571272692</v>
      </c>
      <c r="BJ67" t="n">
        <v>6012.0857</v>
      </c>
      <c r="BK67" t="n">
        <v>154868.772381328</v>
      </c>
    </row>
    <row r="68">
      <c r="A68" t="n">
        <v>5123</v>
      </c>
      <c r="B68" t="inlineStr">
        <is>
          <t>01-11-2020</t>
        </is>
      </c>
      <c r="C68" t="n">
        <v>2020</v>
      </c>
      <c r="D68" t="n">
        <v>1</v>
      </c>
      <c r="E68" t="inlineStr">
        <is>
          <t>SAN_JUAN_LAP</t>
        </is>
      </c>
      <c r="F68" t="inlineStr">
        <is>
          <t>SUM_CEC_A</t>
        </is>
      </c>
      <c r="G68" t="inlineStr">
        <is>
          <t>A</t>
        </is>
      </c>
      <c r="H68" t="inlineStr">
        <is>
          <t>CEC</t>
        </is>
      </c>
      <c r="I68" t="inlineStr">
        <is>
          <t>CCURTENOBLOQA</t>
        </is>
      </c>
      <c r="J68" t="inlineStr">
        <is>
          <t>TENO</t>
        </is>
      </c>
      <c r="K68" t="n">
        <v>-24249.51255498</v>
      </c>
      <c r="L68" t="inlineStr">
        <is>
          <t>TENO</t>
        </is>
      </c>
      <c r="M68" t="inlineStr">
        <is>
          <t>CHARRUA</t>
        </is>
      </c>
      <c r="N68" t="n">
        <v>0.07126242968347</v>
      </c>
      <c r="O68" t="n">
        <v>1728.079183</v>
      </c>
      <c r="P68" t="inlineStr">
        <is>
          <t>BS2A</t>
        </is>
      </c>
      <c r="Q68" t="n">
        <v>2</v>
      </c>
      <c r="V68" t="n">
        <v>713834.323</v>
      </c>
      <c r="W68" t="n">
        <v>2</v>
      </c>
      <c r="X68" t="n">
        <v>2.33481e-07</v>
      </c>
      <c r="Y68" t="n">
        <v>0.333334</v>
      </c>
      <c r="Z68" t="n">
        <v>576.027546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CHARRUA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0.9350000000000001</v>
      </c>
      <c r="AL68" t="n">
        <v>61.337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1.096171586715867</v>
      </c>
      <c r="AR68" t="n">
        <v>6648.1923</v>
      </c>
      <c r="AS68" t="n">
        <v>35331.801589002</v>
      </c>
      <c r="AT68" t="inlineStr">
        <is>
          <t>PNP_16T_02-11-2020</t>
        </is>
      </c>
      <c r="AU68" t="inlineStr">
        <is>
          <t>PNCP_2T_10-02-2020</t>
        </is>
      </c>
      <c r="AV68" t="inlineStr">
        <is>
          <t>PNCP_4T_30-04-2013</t>
        </is>
      </c>
      <c r="AW68" t="inlineStr">
        <is>
          <t>CHARRUA 220</t>
        </is>
      </c>
      <c r="AX68" t="n">
        <v>100.646</v>
      </c>
      <c r="AY68" t="n">
        <v>1.080821157758461</v>
      </c>
      <c r="AZ68" t="n">
        <v>108.7803262437581</v>
      </c>
      <c r="BA68" t="n">
        <v>779.3099999999999</v>
      </c>
      <c r="BB68" t="n">
        <v>0.879</v>
      </c>
      <c r="BC68" t="n">
        <v>74.51599092357533</v>
      </c>
      <c r="BD68" t="n">
        <v>0.9312</v>
      </c>
      <c r="BE68" t="n">
        <v>69.389</v>
      </c>
      <c r="BF68" t="n">
        <v>8.9176</v>
      </c>
      <c r="BG68" t="n">
        <v>0.804</v>
      </c>
      <c r="BH68" t="n">
        <v>6039.043023599974</v>
      </c>
      <c r="BI68" t="n">
        <v>1.118773062730627</v>
      </c>
      <c r="BJ68" t="n">
        <v>6756.3187</v>
      </c>
      <c r="BK68" t="n">
        <v>39969.975389394</v>
      </c>
    </row>
    <row r="69">
      <c r="A69" t="n">
        <v>5125</v>
      </c>
      <c r="B69" t="inlineStr">
        <is>
          <t>01-11-2020</t>
        </is>
      </c>
      <c r="C69" t="n">
        <v>2020</v>
      </c>
      <c r="D69" t="n">
        <v>1</v>
      </c>
      <c r="E69" t="inlineStr">
        <is>
          <t>SAN_JUAN_LAP</t>
        </is>
      </c>
      <c r="F69" t="inlineStr">
        <is>
          <t>SUM_CEC_A</t>
        </is>
      </c>
      <c r="G69" t="inlineStr">
        <is>
          <t>A</t>
        </is>
      </c>
      <c r="H69" t="inlineStr">
        <is>
          <t>CEC</t>
        </is>
      </c>
      <c r="I69" t="inlineStr">
        <is>
          <t>CCURTENOBLOQA</t>
        </is>
      </c>
      <c r="J69" t="inlineStr">
        <is>
          <t>TENO</t>
        </is>
      </c>
      <c r="K69" t="n">
        <v>-24249.51255498</v>
      </c>
      <c r="L69" t="inlineStr">
        <is>
          <t>TENO</t>
        </is>
      </c>
      <c r="M69" t="inlineStr">
        <is>
          <t>ITAHUE</t>
        </is>
      </c>
      <c r="N69" t="n">
        <v>0.74738783869542</v>
      </c>
      <c r="O69" t="n">
        <v>18123.790778</v>
      </c>
      <c r="P69" t="inlineStr">
        <is>
          <t>BS2A</t>
        </is>
      </c>
      <c r="Q69" t="n">
        <v>2</v>
      </c>
      <c r="V69" t="n">
        <v>713834.323</v>
      </c>
      <c r="W69" t="n">
        <v>2</v>
      </c>
      <c r="X69" t="n">
        <v>2.33481e-07</v>
      </c>
      <c r="Y69" t="n">
        <v>0.333334</v>
      </c>
      <c r="Z69" t="n">
        <v>6041.275675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ITAHUE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0.9537</v>
      </c>
      <c r="AL69" t="n">
        <v>62.564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1.007895816242822</v>
      </c>
      <c r="AR69" t="n">
        <v>6112.8068</v>
      </c>
      <c r="AS69" t="n">
        <v>377966.3713307</v>
      </c>
      <c r="AT69" t="inlineStr">
        <is>
          <t>PNP_16T_02-11-2020</t>
        </is>
      </c>
      <c r="AU69" t="inlineStr">
        <is>
          <t>PNCP_2T_10-02-2020</t>
        </is>
      </c>
      <c r="AV69" t="inlineStr">
        <is>
          <t>PNCP_4T_30-04-2013</t>
        </is>
      </c>
      <c r="AW69" t="inlineStr">
        <is>
          <t>ITAHUE 220</t>
        </is>
      </c>
      <c r="AX69" t="n">
        <v>100.646</v>
      </c>
      <c r="AY69" t="n">
        <v>1.080821157758461</v>
      </c>
      <c r="AZ69" t="n">
        <v>108.7803262437581</v>
      </c>
      <c r="BA69" t="n">
        <v>779.3099999999999</v>
      </c>
      <c r="BB69" t="n">
        <v>0.879</v>
      </c>
      <c r="BC69" t="n">
        <v>74.51599092357533</v>
      </c>
      <c r="BD69" t="n">
        <v>0.9327</v>
      </c>
      <c r="BE69" t="n">
        <v>69.501</v>
      </c>
      <c r="BF69" t="n">
        <v>8.9176</v>
      </c>
      <c r="BG69" t="n">
        <v>0.804</v>
      </c>
      <c r="BH69" t="n">
        <v>6039.043023599974</v>
      </c>
      <c r="BI69" t="n">
        <v>1.016406890894175</v>
      </c>
      <c r="BJ69" t="n">
        <v>6138.1249</v>
      </c>
      <c r="BK69" t="n">
        <v>419874.700688175</v>
      </c>
    </row>
    <row r="70">
      <c r="A70" t="n">
        <v>5127</v>
      </c>
      <c r="B70" t="inlineStr">
        <is>
          <t>01-11-2020</t>
        </is>
      </c>
      <c r="C70" t="n">
        <v>2020</v>
      </c>
      <c r="D70" t="n">
        <v>1</v>
      </c>
      <c r="E70" t="inlineStr">
        <is>
          <t>SAN_JUAN_LAP</t>
        </is>
      </c>
      <c r="F70" t="inlineStr">
        <is>
          <t>SUM_CEC_A</t>
        </is>
      </c>
      <c r="G70" t="inlineStr">
        <is>
          <t>A</t>
        </is>
      </c>
      <c r="H70" t="inlineStr">
        <is>
          <t>CEC</t>
        </is>
      </c>
      <c r="I70" t="inlineStr">
        <is>
          <t>CCURTENOBLOQA</t>
        </is>
      </c>
      <c r="J70" t="inlineStr">
        <is>
          <t>TENO</t>
        </is>
      </c>
      <c r="K70" t="n">
        <v>-24249.51255498</v>
      </c>
      <c r="L70" t="inlineStr">
        <is>
          <t>TENO</t>
        </is>
      </c>
      <c r="M70" t="inlineStr">
        <is>
          <t>MELIPILLA</t>
        </is>
      </c>
      <c r="N70" t="n">
        <v>0.00308071516317</v>
      </c>
      <c r="O70" t="n">
        <v>74.70584100000001</v>
      </c>
      <c r="P70" t="inlineStr">
        <is>
          <t>BS2A</t>
        </is>
      </c>
      <c r="Q70" t="n">
        <v>2</v>
      </c>
      <c r="V70" t="n">
        <v>713834.323</v>
      </c>
      <c r="W70" t="n">
        <v>2</v>
      </c>
      <c r="X70" t="n">
        <v>2.33481e-07</v>
      </c>
      <c r="Y70" t="n">
        <v>0.333334</v>
      </c>
      <c r="Z70" t="n">
        <v>24.901997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MELIPILLA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1.0179</v>
      </c>
      <c r="AL70" t="n">
        <v>66.77500000000001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0.9897500976181179</v>
      </c>
      <c r="AR70" t="n">
        <v>6002.7545</v>
      </c>
      <c r="AS70" t="n">
        <v>1662.830849675</v>
      </c>
      <c r="AT70" t="inlineStr">
        <is>
          <t>PNP_16T_02-11-2020</t>
        </is>
      </c>
      <c r="AU70" t="inlineStr">
        <is>
          <t>PNCP_2T_10-02-2020</t>
        </is>
      </c>
      <c r="AV70" t="inlineStr">
        <is>
          <t>PNCP_4T_30-04-2013</t>
        </is>
      </c>
      <c r="AW70" t="inlineStr">
        <is>
          <t>MELIPILLA 220</t>
        </is>
      </c>
      <c r="AX70" t="n">
        <v>100.646</v>
      </c>
      <c r="AY70" t="n">
        <v>1.080821157758461</v>
      </c>
      <c r="AZ70" t="n">
        <v>108.7803262437581</v>
      </c>
      <c r="BA70" t="n">
        <v>779.3099999999999</v>
      </c>
      <c r="BB70" t="n">
        <v>0.879</v>
      </c>
      <c r="BC70" t="n">
        <v>74.51599092357533</v>
      </c>
      <c r="BD70" t="n">
        <v>0.9899</v>
      </c>
      <c r="BE70" t="n">
        <v>73.76300000000001</v>
      </c>
      <c r="BF70" t="n">
        <v>8.9176</v>
      </c>
      <c r="BG70" t="n">
        <v>0.804</v>
      </c>
      <c r="BH70" t="n">
        <v>6039.043023599974</v>
      </c>
      <c r="BI70" t="n">
        <v>0.9919953143303397</v>
      </c>
      <c r="BJ70" t="n">
        <v>5990.7024</v>
      </c>
      <c r="BK70" t="n">
        <v>1836.846004711</v>
      </c>
    </row>
    <row r="71">
      <c r="A71" t="n">
        <v>5129</v>
      </c>
      <c r="B71" t="inlineStr">
        <is>
          <t>01-11-2020</t>
        </is>
      </c>
      <c r="C71" t="n">
        <v>2020</v>
      </c>
      <c r="D71" t="n">
        <v>1</v>
      </c>
      <c r="E71" t="inlineStr">
        <is>
          <t>SAN_JUAN_LAP</t>
        </is>
      </c>
      <c r="F71" t="inlineStr">
        <is>
          <t>SUM_CEC_A</t>
        </is>
      </c>
      <c r="G71" t="inlineStr">
        <is>
          <t>A</t>
        </is>
      </c>
      <c r="H71" t="inlineStr">
        <is>
          <t>CEC</t>
        </is>
      </c>
      <c r="I71" t="inlineStr">
        <is>
          <t>CCURTENOBLOQA</t>
        </is>
      </c>
      <c r="J71" t="inlineStr">
        <is>
          <t>TENO</t>
        </is>
      </c>
      <c r="K71" t="n">
        <v>-24249.51255498</v>
      </c>
      <c r="L71" t="inlineStr">
        <is>
          <t>TENO</t>
        </is>
      </c>
      <c r="M71" t="inlineStr">
        <is>
          <t>RAPEL</t>
        </is>
      </c>
      <c r="N71" t="n">
        <v>0.0025360775708</v>
      </c>
      <c r="O71" t="n">
        <v>61.498645</v>
      </c>
      <c r="P71" t="inlineStr">
        <is>
          <t>BS2A</t>
        </is>
      </c>
      <c r="Q71" t="n">
        <v>2</v>
      </c>
      <c r="V71" t="n">
        <v>713834.323</v>
      </c>
      <c r="W71" t="n">
        <v>2</v>
      </c>
      <c r="X71" t="n">
        <v>2.33481e-07</v>
      </c>
      <c r="Y71" t="n">
        <v>0.333334</v>
      </c>
      <c r="Z71" t="n">
        <v>20.499589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RAPEL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0.9925</v>
      </c>
      <c r="AL71" t="n">
        <v>65.10899999999999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0.9384721401850759</v>
      </c>
      <c r="AR71" t="n">
        <v>5691.7579</v>
      </c>
      <c r="AS71" t="n">
        <v>1334.707740201</v>
      </c>
      <c r="AT71" t="inlineStr">
        <is>
          <t>PNP_16T_02-11-2020</t>
        </is>
      </c>
      <c r="AU71" t="inlineStr">
        <is>
          <t>PNCP_2T_10-02-2020</t>
        </is>
      </c>
      <c r="AV71" t="inlineStr">
        <is>
          <t>PNCP_4T_30-04-2013</t>
        </is>
      </c>
      <c r="AW71" t="inlineStr">
        <is>
          <t>RAPEL 220</t>
        </is>
      </c>
      <c r="AX71" t="n">
        <v>100.646</v>
      </c>
      <c r="AY71" t="n">
        <v>1.080821157758461</v>
      </c>
      <c r="AZ71" t="n">
        <v>108.7803262437581</v>
      </c>
      <c r="BA71" t="n">
        <v>779.3099999999999</v>
      </c>
      <c r="BB71" t="n">
        <v>0.879</v>
      </c>
      <c r="BC71" t="n">
        <v>74.51599092357533</v>
      </c>
      <c r="BD71" t="n">
        <v>0.9638</v>
      </c>
      <c r="BE71" t="n">
        <v>71.819</v>
      </c>
      <c r="BF71" t="n">
        <v>8.9176</v>
      </c>
      <c r="BG71" t="n">
        <v>0.804</v>
      </c>
      <c r="BH71" t="n">
        <v>6039.043023599974</v>
      </c>
      <c r="BI71" t="n">
        <v>0.9369954715495176</v>
      </c>
      <c r="BJ71" t="n">
        <v>5658.556</v>
      </c>
      <c r="BK71" t="n">
        <v>1472.259982391</v>
      </c>
    </row>
    <row r="72">
      <c r="A72" t="n">
        <v>3156</v>
      </c>
      <c r="B72" t="inlineStr">
        <is>
          <t>01-12-2020</t>
        </is>
      </c>
      <c r="C72" t="n">
        <v>2020</v>
      </c>
      <c r="D72" t="n">
        <v>1</v>
      </c>
      <c r="E72" t="inlineStr">
        <is>
          <t>SAN_JUAN_LAP</t>
        </is>
      </c>
      <c r="F72" t="inlineStr">
        <is>
          <t>SUM_CEC_A</t>
        </is>
      </c>
      <c r="G72" t="inlineStr">
        <is>
          <t>A</t>
        </is>
      </c>
      <c r="H72" t="inlineStr">
        <is>
          <t>CEC</t>
        </is>
      </c>
      <c r="I72" t="inlineStr">
        <is>
          <t>CCURCURIBLOQA</t>
        </is>
      </c>
      <c r="J72" t="inlineStr">
        <is>
          <t>CURICO</t>
        </is>
      </c>
      <c r="K72" t="n">
        <v>-74602.20659452</v>
      </c>
      <c r="L72" t="inlineStr">
        <is>
          <t>CURICO</t>
        </is>
      </c>
      <c r="M72" t="inlineStr">
        <is>
          <t>ALTO JAHUEL</t>
        </is>
      </c>
      <c r="N72" t="n">
        <v>0.24824931095561</v>
      </c>
      <c r="O72" t="n">
        <v>18519.946383</v>
      </c>
      <c r="P72" t="inlineStr">
        <is>
          <t>BS2A</t>
        </is>
      </c>
      <c r="Q72" t="n">
        <v>2</v>
      </c>
      <c r="V72" t="n">
        <v>713834.323</v>
      </c>
      <c r="W72" t="n">
        <v>2</v>
      </c>
      <c r="X72" t="n">
        <v>2.33481e-07</v>
      </c>
      <c r="Y72" t="n">
        <v>0.333334</v>
      </c>
      <c r="Z72" t="n">
        <v>6173.327808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ALTO JAHUEL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0.9827</v>
      </c>
      <c r="AL72" t="n">
        <v>64.46599999999999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0.9936514234698939</v>
      </c>
      <c r="AR72" t="n">
        <v>6026.4158</v>
      </c>
      <c r="AS72" t="n">
        <v>397969.750470528</v>
      </c>
      <c r="AT72" t="inlineStr">
        <is>
          <t>PNP_16T_02-11-2020</t>
        </is>
      </c>
      <c r="AU72" t="inlineStr">
        <is>
          <t>PNCP_2T_10-02-2020</t>
        </is>
      </c>
      <c r="AV72" t="inlineStr">
        <is>
          <t>PNCP_4T_30-04-2013</t>
        </is>
      </c>
      <c r="AW72" t="inlineStr">
        <is>
          <t>ALTO JAHUEL 220</t>
        </is>
      </c>
      <c r="AX72" t="n">
        <v>100.646</v>
      </c>
      <c r="AY72" t="n">
        <v>1.080821157758461</v>
      </c>
      <c r="AZ72" t="n">
        <v>108.7803262437581</v>
      </c>
      <c r="BA72" t="n">
        <v>779.3099999999999</v>
      </c>
      <c r="BB72" t="n">
        <v>0.879</v>
      </c>
      <c r="BC72" t="n">
        <v>74.51599092357533</v>
      </c>
      <c r="BD72" t="n">
        <v>0.976</v>
      </c>
      <c r="BE72" t="n">
        <v>72.72799999999999</v>
      </c>
      <c r="BF72" t="n">
        <v>8.9176</v>
      </c>
      <c r="BG72" t="n">
        <v>0.804</v>
      </c>
      <c r="BH72" t="n">
        <v>6039.043023599974</v>
      </c>
      <c r="BI72" t="n">
        <v>0.9955361571272692</v>
      </c>
      <c r="BJ72" t="n">
        <v>6012.0857</v>
      </c>
      <c r="BK72" t="n">
        <v>448973.784820224</v>
      </c>
    </row>
    <row r="73">
      <c r="A73" t="n">
        <v>3158</v>
      </c>
      <c r="B73" t="inlineStr">
        <is>
          <t>01-12-2020</t>
        </is>
      </c>
      <c r="C73" t="n">
        <v>2020</v>
      </c>
      <c r="D73" t="n">
        <v>1</v>
      </c>
      <c r="E73" t="inlineStr">
        <is>
          <t>SAN_JUAN_LAP</t>
        </is>
      </c>
      <c r="F73" t="inlineStr">
        <is>
          <t>SUM_CEC_A</t>
        </is>
      </c>
      <c r="G73" t="inlineStr">
        <is>
          <t>A</t>
        </is>
      </c>
      <c r="H73" t="inlineStr">
        <is>
          <t>CEC</t>
        </is>
      </c>
      <c r="I73" t="inlineStr">
        <is>
          <t>CCURCURIBLOQA</t>
        </is>
      </c>
      <c r="J73" t="inlineStr">
        <is>
          <t>CURICO</t>
        </is>
      </c>
      <c r="K73" t="n">
        <v>-74602.20659452</v>
      </c>
      <c r="L73" t="inlineStr">
        <is>
          <t>CURICO</t>
        </is>
      </c>
      <c r="M73" t="inlineStr">
        <is>
          <t>CHARRUA</t>
        </is>
      </c>
      <c r="N73" t="n">
        <v>0.07754004789224</v>
      </c>
      <c r="O73" t="n">
        <v>5784.658672</v>
      </c>
      <c r="P73" t="inlineStr">
        <is>
          <t>BS2A</t>
        </is>
      </c>
      <c r="Q73" t="n">
        <v>2</v>
      </c>
      <c r="V73" t="n">
        <v>713834.323</v>
      </c>
      <c r="W73" t="n">
        <v>2</v>
      </c>
      <c r="X73" t="n">
        <v>2.33481e-07</v>
      </c>
      <c r="Y73" t="n">
        <v>0.333334</v>
      </c>
      <c r="Z73" t="n">
        <v>1928.223414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CHARRUA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0.9350000000000001</v>
      </c>
      <c r="AL73" t="n">
        <v>61.337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1.096171586715867</v>
      </c>
      <c r="AR73" t="n">
        <v>6648.1923</v>
      </c>
      <c r="AS73" t="n">
        <v>118271.439544518</v>
      </c>
      <c r="AT73" t="inlineStr">
        <is>
          <t>PNP_16T_02-11-2020</t>
        </is>
      </c>
      <c r="AU73" t="inlineStr">
        <is>
          <t>PNCP_2T_10-02-2020</t>
        </is>
      </c>
      <c r="AV73" t="inlineStr">
        <is>
          <t>PNCP_4T_30-04-2013</t>
        </is>
      </c>
      <c r="AW73" t="inlineStr">
        <is>
          <t>CHARRUA 220</t>
        </is>
      </c>
      <c r="AX73" t="n">
        <v>100.646</v>
      </c>
      <c r="AY73" t="n">
        <v>1.080821157758461</v>
      </c>
      <c r="AZ73" t="n">
        <v>108.7803262437581</v>
      </c>
      <c r="BA73" t="n">
        <v>779.3099999999999</v>
      </c>
      <c r="BB73" t="n">
        <v>0.879</v>
      </c>
      <c r="BC73" t="n">
        <v>74.51599092357533</v>
      </c>
      <c r="BD73" t="n">
        <v>0.9312</v>
      </c>
      <c r="BE73" t="n">
        <v>69.389</v>
      </c>
      <c r="BF73" t="n">
        <v>8.9176</v>
      </c>
      <c r="BG73" t="n">
        <v>0.804</v>
      </c>
      <c r="BH73" t="n">
        <v>6039.043023599974</v>
      </c>
      <c r="BI73" t="n">
        <v>1.118773062730627</v>
      </c>
      <c r="BJ73" t="n">
        <v>6756.3187</v>
      </c>
      <c r="BK73" t="n">
        <v>133797.494474046</v>
      </c>
    </row>
    <row r="74">
      <c r="A74" t="n">
        <v>3160</v>
      </c>
      <c r="B74" t="inlineStr">
        <is>
          <t>01-12-2020</t>
        </is>
      </c>
      <c r="C74" t="n">
        <v>2020</v>
      </c>
      <c r="D74" t="n">
        <v>1</v>
      </c>
      <c r="E74" t="inlineStr">
        <is>
          <t>SAN_JUAN_LAP</t>
        </is>
      </c>
      <c r="F74" t="inlineStr">
        <is>
          <t>SUM_CEC_A</t>
        </is>
      </c>
      <c r="G74" t="inlineStr">
        <is>
          <t>A</t>
        </is>
      </c>
      <c r="H74" t="inlineStr">
        <is>
          <t>CEC</t>
        </is>
      </c>
      <c r="I74" t="inlineStr">
        <is>
          <t>CCURCURIBLOQA</t>
        </is>
      </c>
      <c r="J74" t="inlineStr">
        <is>
          <t>CURICO</t>
        </is>
      </c>
      <c r="K74" t="n">
        <v>-74602.20659452</v>
      </c>
      <c r="L74" t="inlineStr">
        <is>
          <t>CURICO</t>
        </is>
      </c>
      <c r="M74" t="inlineStr">
        <is>
          <t>ITAHUE</t>
        </is>
      </c>
      <c r="N74" t="n">
        <v>0.7397970389905</v>
      </c>
      <c r="O74" t="n">
        <v>55190.491541</v>
      </c>
      <c r="P74" t="inlineStr">
        <is>
          <t>BS2A</t>
        </is>
      </c>
      <c r="Q74" t="n">
        <v>2</v>
      </c>
      <c r="V74" t="n">
        <v>713834.323</v>
      </c>
      <c r="W74" t="n">
        <v>2</v>
      </c>
      <c r="X74" t="n">
        <v>2.33481e-07</v>
      </c>
      <c r="Y74" t="n">
        <v>0.333334</v>
      </c>
      <c r="Z74" t="n">
        <v>18396.867307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ITAHUE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0.9537</v>
      </c>
      <c r="AL74" t="n">
        <v>62.564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1.007895816242822</v>
      </c>
      <c r="AR74" t="n">
        <v>6112.8068</v>
      </c>
      <c r="AS74" t="n">
        <v>1150981.606195148</v>
      </c>
      <c r="AT74" t="inlineStr">
        <is>
          <t>PNP_16T_02-11-2020</t>
        </is>
      </c>
      <c r="AU74" t="inlineStr">
        <is>
          <t>PNCP_2T_10-02-2020</t>
        </is>
      </c>
      <c r="AV74" t="inlineStr">
        <is>
          <t>PNCP_4T_30-04-2013</t>
        </is>
      </c>
      <c r="AW74" t="inlineStr">
        <is>
          <t>ITAHUE 220</t>
        </is>
      </c>
      <c r="AX74" t="n">
        <v>100.646</v>
      </c>
      <c r="AY74" t="n">
        <v>1.080821157758461</v>
      </c>
      <c r="AZ74" t="n">
        <v>108.7803262437581</v>
      </c>
      <c r="BA74" t="n">
        <v>779.3099999999999</v>
      </c>
      <c r="BB74" t="n">
        <v>0.879</v>
      </c>
      <c r="BC74" t="n">
        <v>74.51599092357533</v>
      </c>
      <c r="BD74" t="n">
        <v>0.9327</v>
      </c>
      <c r="BE74" t="n">
        <v>69.501</v>
      </c>
      <c r="BF74" t="n">
        <v>8.9176</v>
      </c>
      <c r="BG74" t="n">
        <v>0.804</v>
      </c>
      <c r="BH74" t="n">
        <v>6039.043023599974</v>
      </c>
      <c r="BI74" t="n">
        <v>1.016406890894175</v>
      </c>
      <c r="BJ74" t="n">
        <v>6138.1249</v>
      </c>
      <c r="BK74" t="n">
        <v>1278600.674703807</v>
      </c>
    </row>
    <row r="75">
      <c r="A75" t="n">
        <v>3162</v>
      </c>
      <c r="B75" t="inlineStr">
        <is>
          <t>01-12-2020</t>
        </is>
      </c>
      <c r="C75" t="n">
        <v>2020</v>
      </c>
      <c r="D75" t="n">
        <v>1</v>
      </c>
      <c r="E75" t="inlineStr">
        <is>
          <t>SAN_JUAN_LAP</t>
        </is>
      </c>
      <c r="F75" t="inlineStr">
        <is>
          <t>SUM_CEC_A</t>
        </is>
      </c>
      <c r="G75" t="inlineStr">
        <is>
          <t>A</t>
        </is>
      </c>
      <c r="H75" t="inlineStr">
        <is>
          <t>CEC</t>
        </is>
      </c>
      <c r="I75" t="inlineStr">
        <is>
          <t>CCURCURIBLOQA</t>
        </is>
      </c>
      <c r="J75" t="inlineStr">
        <is>
          <t>CURICO</t>
        </is>
      </c>
      <c r="K75" t="n">
        <v>-74602.20659452</v>
      </c>
      <c r="L75" t="inlineStr">
        <is>
          <t>CURICO</t>
        </is>
      </c>
      <c r="M75" t="inlineStr">
        <is>
          <t>MELIPILLA</t>
        </is>
      </c>
      <c r="N75" t="n">
        <v>0.00290857755967</v>
      </c>
      <c r="O75" t="n">
        <v>216.986304</v>
      </c>
      <c r="P75" t="inlineStr">
        <is>
          <t>BS2A</t>
        </is>
      </c>
      <c r="Q75" t="n">
        <v>2</v>
      </c>
      <c r="V75" t="n">
        <v>713834.323</v>
      </c>
      <c r="W75" t="n">
        <v>2</v>
      </c>
      <c r="X75" t="n">
        <v>2.33481e-07</v>
      </c>
      <c r="Y75" t="n">
        <v>0.333334</v>
      </c>
      <c r="Z75" t="n">
        <v>72.328913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MELIPILLA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1.0179</v>
      </c>
      <c r="AL75" t="n">
        <v>66.77500000000001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0.9897500976181179</v>
      </c>
      <c r="AR75" t="n">
        <v>6002.7545</v>
      </c>
      <c r="AS75" t="n">
        <v>4829.763165575</v>
      </c>
      <c r="AT75" t="inlineStr">
        <is>
          <t>PNP_16T_02-11-2020</t>
        </is>
      </c>
      <c r="AU75" t="inlineStr">
        <is>
          <t>PNCP_2T_10-02-2020</t>
        </is>
      </c>
      <c r="AV75" t="inlineStr">
        <is>
          <t>PNCP_4T_30-04-2013</t>
        </is>
      </c>
      <c r="AW75" t="inlineStr">
        <is>
          <t>MELIPILLA 220</t>
        </is>
      </c>
      <c r="AX75" t="n">
        <v>100.646</v>
      </c>
      <c r="AY75" t="n">
        <v>1.080821157758461</v>
      </c>
      <c r="AZ75" t="n">
        <v>108.7803262437581</v>
      </c>
      <c r="BA75" t="n">
        <v>779.3099999999999</v>
      </c>
      <c r="BB75" t="n">
        <v>0.879</v>
      </c>
      <c r="BC75" t="n">
        <v>74.51599092357533</v>
      </c>
      <c r="BD75" t="n">
        <v>0.9899</v>
      </c>
      <c r="BE75" t="n">
        <v>73.76300000000001</v>
      </c>
      <c r="BF75" t="n">
        <v>8.9176</v>
      </c>
      <c r="BG75" t="n">
        <v>0.804</v>
      </c>
      <c r="BH75" t="n">
        <v>6039.043023599974</v>
      </c>
      <c r="BI75" t="n">
        <v>0.9919953143303397</v>
      </c>
      <c r="BJ75" t="n">
        <v>5990.7024</v>
      </c>
      <c r="BK75" t="n">
        <v>5335.197609619</v>
      </c>
    </row>
    <row r="76">
      <c r="A76" t="n">
        <v>3164</v>
      </c>
      <c r="B76" t="inlineStr">
        <is>
          <t>01-12-2020</t>
        </is>
      </c>
      <c r="C76" t="n">
        <v>2020</v>
      </c>
      <c r="D76" t="n">
        <v>1</v>
      </c>
      <c r="E76" t="inlineStr">
        <is>
          <t>SAN_JUAN_LAP</t>
        </is>
      </c>
      <c r="F76" t="inlineStr">
        <is>
          <t>SUM_CEC_A</t>
        </is>
      </c>
      <c r="G76" t="inlineStr">
        <is>
          <t>A</t>
        </is>
      </c>
      <c r="H76" t="inlineStr">
        <is>
          <t>CEC</t>
        </is>
      </c>
      <c r="I76" t="inlineStr">
        <is>
          <t>CCURCURIBLOQA</t>
        </is>
      </c>
      <c r="J76" t="inlineStr">
        <is>
          <t>CURICO</t>
        </is>
      </c>
      <c r="K76" t="n">
        <v>-74602.20659452</v>
      </c>
      <c r="L76" t="inlineStr">
        <is>
          <t>CURICO</t>
        </is>
      </c>
      <c r="M76" t="inlineStr">
        <is>
          <t>RAPEL</t>
        </is>
      </c>
      <c r="N76" t="n">
        <v>0.0026170694898</v>
      </c>
      <c r="O76" t="n">
        <v>195.239159</v>
      </c>
      <c r="P76" t="inlineStr">
        <is>
          <t>BS2A</t>
        </is>
      </c>
      <c r="Q76" t="n">
        <v>2</v>
      </c>
      <c r="V76" t="n">
        <v>713834.323</v>
      </c>
      <c r="W76" t="n">
        <v>2</v>
      </c>
      <c r="X76" t="n">
        <v>2.33481e-07</v>
      </c>
      <c r="Y76" t="n">
        <v>0.333334</v>
      </c>
      <c r="Z76" t="n">
        <v>65.07984999999999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RAPEL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0.9925</v>
      </c>
      <c r="AL76" t="n">
        <v>65.10899999999999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0.9384721401850759</v>
      </c>
      <c r="AR76" t="n">
        <v>5691.7579</v>
      </c>
      <c r="AS76" t="n">
        <v>4237.28395365</v>
      </c>
      <c r="AT76" t="inlineStr">
        <is>
          <t>PNP_16T_02-11-2020</t>
        </is>
      </c>
      <c r="AU76" t="inlineStr">
        <is>
          <t>PNCP_2T_10-02-2020</t>
        </is>
      </c>
      <c r="AV76" t="inlineStr">
        <is>
          <t>PNCP_4T_30-04-2013</t>
        </is>
      </c>
      <c r="AW76" t="inlineStr">
        <is>
          <t>RAPEL 220</t>
        </is>
      </c>
      <c r="AX76" t="n">
        <v>100.646</v>
      </c>
      <c r="AY76" t="n">
        <v>1.080821157758461</v>
      </c>
      <c r="AZ76" t="n">
        <v>108.7803262437581</v>
      </c>
      <c r="BA76" t="n">
        <v>779.3099999999999</v>
      </c>
      <c r="BB76" t="n">
        <v>0.879</v>
      </c>
      <c r="BC76" t="n">
        <v>74.51599092357533</v>
      </c>
      <c r="BD76" t="n">
        <v>0.9638</v>
      </c>
      <c r="BE76" t="n">
        <v>71.819</v>
      </c>
      <c r="BF76" t="n">
        <v>8.9176</v>
      </c>
      <c r="BG76" t="n">
        <v>0.804</v>
      </c>
      <c r="BH76" t="n">
        <v>6039.043023599974</v>
      </c>
      <c r="BI76" t="n">
        <v>0.9369954715495176</v>
      </c>
      <c r="BJ76" t="n">
        <v>5658.556</v>
      </c>
      <c r="BK76" t="n">
        <v>4673.969747149999</v>
      </c>
    </row>
    <row r="77">
      <c r="A77" t="n">
        <v>2525</v>
      </c>
      <c r="B77" t="inlineStr">
        <is>
          <t>01-12-2020</t>
        </is>
      </c>
      <c r="C77" t="n">
        <v>2020</v>
      </c>
      <c r="D77" t="n">
        <v>1</v>
      </c>
      <c r="E77" t="inlineStr">
        <is>
          <t>SAN_JUAN_LAP</t>
        </is>
      </c>
      <c r="F77" t="inlineStr">
        <is>
          <t>SUM_CEC_A</t>
        </is>
      </c>
      <c r="G77" t="inlineStr">
        <is>
          <t>A</t>
        </is>
      </c>
      <c r="H77" t="inlineStr">
        <is>
          <t>CEC</t>
        </is>
      </c>
      <c r="I77" t="inlineStr">
        <is>
          <t>CCURQUINBLOQA</t>
        </is>
      </c>
      <c r="J77" t="inlineStr">
        <is>
          <t>QUINTA</t>
        </is>
      </c>
      <c r="K77" t="n">
        <v>-21043.80846539</v>
      </c>
      <c r="L77" t="inlineStr">
        <is>
          <t>QUINTA</t>
        </is>
      </c>
      <c r="M77" t="inlineStr">
        <is>
          <t>ALTO JAHUEL</t>
        </is>
      </c>
      <c r="N77" t="n">
        <v>0.45523813654234</v>
      </c>
      <c r="O77" t="n">
        <v>9579.944152</v>
      </c>
      <c r="P77" t="inlineStr">
        <is>
          <t>BS2A</t>
        </is>
      </c>
      <c r="Q77" t="n">
        <v>2</v>
      </c>
      <c r="V77" t="n">
        <v>713834.323</v>
      </c>
      <c r="W77" t="n">
        <v>2</v>
      </c>
      <c r="X77" t="n">
        <v>2.33481e-07</v>
      </c>
      <c r="Y77" t="n">
        <v>0.333334</v>
      </c>
      <c r="Z77" t="n">
        <v>3193.321104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ALTO JAHUEL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0.9827</v>
      </c>
      <c r="AL77" t="n">
        <v>64.46599999999999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0.9936514234698939</v>
      </c>
      <c r="AR77" t="n">
        <v>6026.4158</v>
      </c>
      <c r="AS77" t="n">
        <v>205860.638290464</v>
      </c>
      <c r="AT77" t="inlineStr">
        <is>
          <t>PNP_16T_02-11-2020</t>
        </is>
      </c>
      <c r="AU77" t="inlineStr">
        <is>
          <t>PNCP_2T_10-02-2020</t>
        </is>
      </c>
      <c r="AV77" t="inlineStr">
        <is>
          <t>PNCP_4T_30-04-2013</t>
        </is>
      </c>
      <c r="AW77" t="inlineStr">
        <is>
          <t>ALTO JAHUEL 220</t>
        </is>
      </c>
      <c r="AX77" t="n">
        <v>100.646</v>
      </c>
      <c r="AY77" t="n">
        <v>1.080821157758461</v>
      </c>
      <c r="AZ77" t="n">
        <v>108.7803262437581</v>
      </c>
      <c r="BA77" t="n">
        <v>779.3099999999999</v>
      </c>
      <c r="BB77" t="n">
        <v>0.879</v>
      </c>
      <c r="BC77" t="n">
        <v>74.51599092357533</v>
      </c>
      <c r="BD77" t="n">
        <v>0.976</v>
      </c>
      <c r="BE77" t="n">
        <v>72.72799999999999</v>
      </c>
      <c r="BF77" t="n">
        <v>8.9176</v>
      </c>
      <c r="BG77" t="n">
        <v>0.804</v>
      </c>
      <c r="BH77" t="n">
        <v>6039.043023599974</v>
      </c>
      <c r="BI77" t="n">
        <v>0.9955361571272692</v>
      </c>
      <c r="BJ77" t="n">
        <v>6012.0857</v>
      </c>
      <c r="BK77" t="n">
        <v>232243.857251712</v>
      </c>
    </row>
    <row r="78">
      <c r="A78" t="n">
        <v>2527</v>
      </c>
      <c r="B78" t="inlineStr">
        <is>
          <t>01-12-2020</t>
        </is>
      </c>
      <c r="C78" t="n">
        <v>2020</v>
      </c>
      <c r="D78" t="n">
        <v>1</v>
      </c>
      <c r="E78" t="inlineStr">
        <is>
          <t>SAN_JUAN_LAP</t>
        </is>
      </c>
      <c r="F78" t="inlineStr">
        <is>
          <t>SUM_CEC_A</t>
        </is>
      </c>
      <c r="G78" t="inlineStr">
        <is>
          <t>A</t>
        </is>
      </c>
      <c r="H78" t="inlineStr">
        <is>
          <t>CEC</t>
        </is>
      </c>
      <c r="I78" t="inlineStr">
        <is>
          <t>CCURQUINBLOQA</t>
        </is>
      </c>
      <c r="J78" t="inlineStr">
        <is>
          <t>QUINTA</t>
        </is>
      </c>
      <c r="K78" t="n">
        <v>-21043.80846539</v>
      </c>
      <c r="L78" t="inlineStr">
        <is>
          <t>QUINTA</t>
        </is>
      </c>
      <c r="M78" t="inlineStr">
        <is>
          <t>CHARRUA</t>
        </is>
      </c>
      <c r="N78" t="n">
        <v>0.06889661639233</v>
      </c>
      <c r="O78" t="n">
        <v>1449.847199</v>
      </c>
      <c r="P78" t="inlineStr">
        <is>
          <t>BS2A</t>
        </is>
      </c>
      <c r="Q78" t="n">
        <v>2</v>
      </c>
      <c r="V78" t="n">
        <v>713834.323</v>
      </c>
      <c r="W78" t="n">
        <v>2</v>
      </c>
      <c r="X78" t="n">
        <v>2.33481e-07</v>
      </c>
      <c r="Y78" t="n">
        <v>0.333334</v>
      </c>
      <c r="Z78" t="n">
        <v>483.283366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CHARRUA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0.9350000000000001</v>
      </c>
      <c r="AL78" t="n">
        <v>61.337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1.096171586715867</v>
      </c>
      <c r="AR78" t="n">
        <v>6648.1923</v>
      </c>
      <c r="AS78" t="n">
        <v>29643.151820342</v>
      </c>
      <c r="AT78" t="inlineStr">
        <is>
          <t>PNP_16T_02-11-2020</t>
        </is>
      </c>
      <c r="AU78" t="inlineStr">
        <is>
          <t>PNCP_2T_10-02-2020</t>
        </is>
      </c>
      <c r="AV78" t="inlineStr">
        <is>
          <t>PNCP_4T_30-04-2013</t>
        </is>
      </c>
      <c r="AW78" t="inlineStr">
        <is>
          <t>CHARRUA 220</t>
        </is>
      </c>
      <c r="AX78" t="n">
        <v>100.646</v>
      </c>
      <c r="AY78" t="n">
        <v>1.080821157758461</v>
      </c>
      <c r="AZ78" t="n">
        <v>108.7803262437581</v>
      </c>
      <c r="BA78" t="n">
        <v>779.3099999999999</v>
      </c>
      <c r="BB78" t="n">
        <v>0.879</v>
      </c>
      <c r="BC78" t="n">
        <v>74.51599092357533</v>
      </c>
      <c r="BD78" t="n">
        <v>0.9312</v>
      </c>
      <c r="BE78" t="n">
        <v>69.389</v>
      </c>
      <c r="BF78" t="n">
        <v>8.9176</v>
      </c>
      <c r="BG78" t="n">
        <v>0.804</v>
      </c>
      <c r="BH78" t="n">
        <v>6039.043023599974</v>
      </c>
      <c r="BI78" t="n">
        <v>1.118773062730627</v>
      </c>
      <c r="BJ78" t="n">
        <v>6756.3187</v>
      </c>
      <c r="BK78" t="n">
        <v>33534.549483374</v>
      </c>
    </row>
    <row r="79">
      <c r="A79" t="n">
        <v>2529</v>
      </c>
      <c r="B79" t="inlineStr">
        <is>
          <t>01-12-2020</t>
        </is>
      </c>
      <c r="C79" t="n">
        <v>2020</v>
      </c>
      <c r="D79" t="n">
        <v>1</v>
      </c>
      <c r="E79" t="inlineStr">
        <is>
          <t>SAN_JUAN_LAP</t>
        </is>
      </c>
      <c r="F79" t="inlineStr">
        <is>
          <t>SUM_CEC_A</t>
        </is>
      </c>
      <c r="G79" t="inlineStr">
        <is>
          <t>A</t>
        </is>
      </c>
      <c r="H79" t="inlineStr">
        <is>
          <t>CEC</t>
        </is>
      </c>
      <c r="I79" t="inlineStr">
        <is>
          <t>CCURQUINBLOQA</t>
        </is>
      </c>
      <c r="J79" t="inlineStr">
        <is>
          <t>QUINTA</t>
        </is>
      </c>
      <c r="K79" t="n">
        <v>-21043.80846539</v>
      </c>
      <c r="L79" t="inlineStr">
        <is>
          <t>QUINTA</t>
        </is>
      </c>
      <c r="M79" t="inlineStr">
        <is>
          <t>ITAHUE</t>
        </is>
      </c>
      <c r="N79" t="n">
        <v>0.70986919705586</v>
      </c>
      <c r="O79" t="n">
        <v>14938.351418</v>
      </c>
      <c r="P79" t="inlineStr">
        <is>
          <t>BS2A</t>
        </is>
      </c>
      <c r="Q79" t="n">
        <v>2</v>
      </c>
      <c r="V79" t="n">
        <v>713834.323</v>
      </c>
      <c r="W79" t="n">
        <v>2</v>
      </c>
      <c r="X79" t="n">
        <v>2.33481e-07</v>
      </c>
      <c r="Y79" t="n">
        <v>0.333334</v>
      </c>
      <c r="Z79" t="n">
        <v>4979.460432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ITAHUE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0.9537</v>
      </c>
      <c r="AL79" t="n">
        <v>62.564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1.007895816242822</v>
      </c>
      <c r="AR79" t="n">
        <v>6112.8068</v>
      </c>
      <c r="AS79" t="n">
        <v>311534.962467648</v>
      </c>
      <c r="AT79" t="inlineStr">
        <is>
          <t>PNP_16T_02-11-2020</t>
        </is>
      </c>
      <c r="AU79" t="inlineStr">
        <is>
          <t>PNCP_2T_10-02-2020</t>
        </is>
      </c>
      <c r="AV79" t="inlineStr">
        <is>
          <t>PNCP_4T_30-04-2013</t>
        </is>
      </c>
      <c r="AW79" t="inlineStr">
        <is>
          <t>ITAHUE 220</t>
        </is>
      </c>
      <c r="AX79" t="n">
        <v>100.646</v>
      </c>
      <c r="AY79" t="n">
        <v>1.080821157758461</v>
      </c>
      <c r="AZ79" t="n">
        <v>108.7803262437581</v>
      </c>
      <c r="BA79" t="n">
        <v>779.3099999999999</v>
      </c>
      <c r="BB79" t="n">
        <v>0.879</v>
      </c>
      <c r="BC79" t="n">
        <v>74.51599092357533</v>
      </c>
      <c r="BD79" t="n">
        <v>0.9327</v>
      </c>
      <c r="BE79" t="n">
        <v>69.501</v>
      </c>
      <c r="BF79" t="n">
        <v>8.9176</v>
      </c>
      <c r="BG79" t="n">
        <v>0.804</v>
      </c>
      <c r="BH79" t="n">
        <v>6039.043023599974</v>
      </c>
      <c r="BI79" t="n">
        <v>1.016406890894175</v>
      </c>
      <c r="BJ79" t="n">
        <v>6138.1249</v>
      </c>
      <c r="BK79" t="n">
        <v>346077.479484432</v>
      </c>
    </row>
    <row r="80">
      <c r="A80" t="n">
        <v>2531</v>
      </c>
      <c r="B80" t="inlineStr">
        <is>
          <t>01-12-2020</t>
        </is>
      </c>
      <c r="C80" t="n">
        <v>2020</v>
      </c>
      <c r="D80" t="n">
        <v>1</v>
      </c>
      <c r="E80" t="inlineStr">
        <is>
          <t>SAN_JUAN_LAP</t>
        </is>
      </c>
      <c r="F80" t="inlineStr">
        <is>
          <t>SUM_CEC_A</t>
        </is>
      </c>
      <c r="G80" t="inlineStr">
        <is>
          <t>A</t>
        </is>
      </c>
      <c r="H80" t="inlineStr">
        <is>
          <t>CEC</t>
        </is>
      </c>
      <c r="I80" t="inlineStr">
        <is>
          <t>CCURQUINBLOQA</t>
        </is>
      </c>
      <c r="J80" t="inlineStr">
        <is>
          <t>QUINTA</t>
        </is>
      </c>
      <c r="K80" t="n">
        <v>-21043.80846539</v>
      </c>
      <c r="L80" t="inlineStr">
        <is>
          <t>QUINTA</t>
        </is>
      </c>
      <c r="M80" t="inlineStr">
        <is>
          <t>RAPEL</t>
        </is>
      </c>
      <c r="N80" t="n">
        <v>0.0014965642882</v>
      </c>
      <c r="O80" t="n">
        <v>31.493412</v>
      </c>
      <c r="P80" t="inlineStr">
        <is>
          <t>BS2A</t>
        </is>
      </c>
      <c r="Q80" t="n">
        <v>2</v>
      </c>
      <c r="V80" t="n">
        <v>713834.323</v>
      </c>
      <c r="W80" t="n">
        <v>2</v>
      </c>
      <c r="X80" t="n">
        <v>2.33481e-07</v>
      </c>
      <c r="Y80" t="n">
        <v>0.333334</v>
      </c>
      <c r="Z80" t="n">
        <v>10.497825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0.9925</v>
      </c>
      <c r="AL80" t="n">
        <v>65.10899999999999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S80" t="n">
        <v>683.502887925</v>
      </c>
      <c r="AT80" t="inlineStr">
        <is>
          <t>PNP_16T_02-11-2020</t>
        </is>
      </c>
      <c r="AU80" t="inlineStr">
        <is>
          <t>PNCP_2T_10-02-2020</t>
        </is>
      </c>
      <c r="AV80" t="inlineStr">
        <is>
          <t>PNCP_4T_30-04-2013</t>
        </is>
      </c>
      <c r="AW80" t="inlineStr">
        <is>
          <t>RAPEL 220</t>
        </is>
      </c>
      <c r="AX80" t="n">
        <v>100.646</v>
      </c>
      <c r="AY80" t="n">
        <v>1.080821157758461</v>
      </c>
      <c r="AZ80" t="n">
        <v>108.7803262437581</v>
      </c>
      <c r="BA80" t="n">
        <v>779.3099999999999</v>
      </c>
      <c r="BB80" t="n">
        <v>0.879</v>
      </c>
      <c r="BC80" t="n">
        <v>74.51599092357533</v>
      </c>
      <c r="BD80" t="n">
        <v>0.9638</v>
      </c>
      <c r="BE80" t="n">
        <v>71.819</v>
      </c>
      <c r="BF80" t="n">
        <v>8.9176</v>
      </c>
      <c r="BG80" t="n">
        <v>0.804</v>
      </c>
      <c r="BH80" t="n">
        <v>6039.043023599974</v>
      </c>
      <c r="BI80" t="n">
        <v>0.9369954715495176</v>
      </c>
      <c r="BJ80" t="n">
        <v>5658.556</v>
      </c>
      <c r="BK80" t="n">
        <v>753.9432936750001</v>
      </c>
    </row>
    <row r="81">
      <c r="A81" t="n">
        <v>5261</v>
      </c>
      <c r="B81" t="inlineStr">
        <is>
          <t>01-12-2020</t>
        </is>
      </c>
      <c r="C81" t="n">
        <v>2020</v>
      </c>
      <c r="D81" t="n">
        <v>1</v>
      </c>
      <c r="E81" t="inlineStr">
        <is>
          <t>SAN_JUAN_LAP</t>
        </is>
      </c>
      <c r="F81" t="inlineStr">
        <is>
          <t>SUM_CEC_A</t>
        </is>
      </c>
      <c r="G81" t="inlineStr">
        <is>
          <t>A</t>
        </is>
      </c>
      <c r="H81" t="inlineStr">
        <is>
          <t>CEC</t>
        </is>
      </c>
      <c r="I81" t="inlineStr">
        <is>
          <t>CCURTENOBLOQA</t>
        </is>
      </c>
      <c r="J81" t="inlineStr">
        <is>
          <t>TENO</t>
        </is>
      </c>
      <c r="K81" t="n">
        <v>-22217.03270997</v>
      </c>
      <c r="L81" t="inlineStr">
        <is>
          <t>TENO</t>
        </is>
      </c>
      <c r="M81" t="inlineStr">
        <is>
          <t>ALTO JAHUEL</t>
        </is>
      </c>
      <c r="N81" t="n">
        <v>0.2634387057414</v>
      </c>
      <c r="O81" t="n">
        <v>5852.826343</v>
      </c>
      <c r="P81" t="inlineStr">
        <is>
          <t>BS2A</t>
        </is>
      </c>
      <c r="Q81" t="n">
        <v>2</v>
      </c>
      <c r="V81" t="n">
        <v>713834.323</v>
      </c>
      <c r="W81" t="n">
        <v>2</v>
      </c>
      <c r="X81" t="n">
        <v>2.33481e-07</v>
      </c>
      <c r="Y81" t="n">
        <v>0.333334</v>
      </c>
      <c r="Z81" t="n">
        <v>1950.946016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ALTO JAHUEL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0.9827</v>
      </c>
      <c r="AL81" t="n">
        <v>64.46599999999999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0.9936514234698939</v>
      </c>
      <c r="AR81" t="n">
        <v>6026.4158</v>
      </c>
      <c r="AS81" t="n">
        <v>125769.685867456</v>
      </c>
      <c r="AT81" t="inlineStr">
        <is>
          <t>PNP_16T_02-11-2020</t>
        </is>
      </c>
      <c r="AU81" t="inlineStr">
        <is>
          <t>PNCP_2T_10-02-2020</t>
        </is>
      </c>
      <c r="AV81" t="inlineStr">
        <is>
          <t>PNCP_4T_30-04-2013</t>
        </is>
      </c>
      <c r="AW81" t="inlineStr">
        <is>
          <t>ALTO JAHUEL 220</t>
        </is>
      </c>
      <c r="AX81" t="n">
        <v>100.646</v>
      </c>
      <c r="AY81" t="n">
        <v>1.080821157758461</v>
      </c>
      <c r="AZ81" t="n">
        <v>108.7803262437581</v>
      </c>
      <c r="BA81" t="n">
        <v>779.3099999999999</v>
      </c>
      <c r="BB81" t="n">
        <v>0.879</v>
      </c>
      <c r="BC81" t="n">
        <v>74.51599092357533</v>
      </c>
      <c r="BD81" t="n">
        <v>0.976</v>
      </c>
      <c r="BE81" t="n">
        <v>72.72799999999999</v>
      </c>
      <c r="BF81" t="n">
        <v>8.9176</v>
      </c>
      <c r="BG81" t="n">
        <v>0.804</v>
      </c>
      <c r="BH81" t="n">
        <v>6039.043023599974</v>
      </c>
      <c r="BI81" t="n">
        <v>0.9955361571272692</v>
      </c>
      <c r="BJ81" t="n">
        <v>6012.0857</v>
      </c>
      <c r="BK81" t="n">
        <v>141888.401851648</v>
      </c>
    </row>
    <row r="82">
      <c r="A82" t="n">
        <v>5263</v>
      </c>
      <c r="B82" t="inlineStr">
        <is>
          <t>01-12-2020</t>
        </is>
      </c>
      <c r="C82" t="n">
        <v>2020</v>
      </c>
      <c r="D82" t="n">
        <v>1</v>
      </c>
      <c r="E82" t="inlineStr">
        <is>
          <t>SAN_JUAN_LAP</t>
        </is>
      </c>
      <c r="F82" t="inlineStr">
        <is>
          <t>SUM_CEC_A</t>
        </is>
      </c>
      <c r="G82" t="inlineStr">
        <is>
          <t>A</t>
        </is>
      </c>
      <c r="H82" t="inlineStr">
        <is>
          <t>CEC</t>
        </is>
      </c>
      <c r="I82" t="inlineStr">
        <is>
          <t>CCURTENOBLOQA</t>
        </is>
      </c>
      <c r="J82" t="inlineStr">
        <is>
          <t>TENO</t>
        </is>
      </c>
      <c r="K82" t="n">
        <v>-22217.03270997</v>
      </c>
      <c r="L82" t="inlineStr">
        <is>
          <t>TENO</t>
        </is>
      </c>
      <c r="M82" t="inlineStr">
        <is>
          <t>CHARRUA</t>
        </is>
      </c>
      <c r="N82" t="n">
        <v>0.07126242968347</v>
      </c>
      <c r="O82" t="n">
        <v>1583.239731</v>
      </c>
      <c r="P82" t="inlineStr">
        <is>
          <t>BS2A</t>
        </is>
      </c>
      <c r="Q82" t="n">
        <v>2</v>
      </c>
      <c r="V82" t="n">
        <v>713834.323</v>
      </c>
      <c r="W82" t="n">
        <v>2</v>
      </c>
      <c r="X82" t="n">
        <v>2.33481e-07</v>
      </c>
      <c r="Y82" t="n">
        <v>0.333334</v>
      </c>
      <c r="Z82" t="n">
        <v>527.747632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CHARRUA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0.9350000000000001</v>
      </c>
      <c r="AL82" t="n">
        <v>61.337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1.096171586715867</v>
      </c>
      <c r="AR82" t="n">
        <v>6648.1923</v>
      </c>
      <c r="AS82" t="n">
        <v>32370.456503984</v>
      </c>
      <c r="AT82" t="inlineStr">
        <is>
          <t>PNP_16T_02-11-2020</t>
        </is>
      </c>
      <c r="AU82" t="inlineStr">
        <is>
          <t>PNCP_2T_10-02-2020</t>
        </is>
      </c>
      <c r="AV82" t="inlineStr">
        <is>
          <t>PNCP_4T_30-04-2013</t>
        </is>
      </c>
      <c r="AW82" t="inlineStr">
        <is>
          <t>CHARRUA 220</t>
        </is>
      </c>
      <c r="AX82" t="n">
        <v>100.646</v>
      </c>
      <c r="AY82" t="n">
        <v>1.080821157758461</v>
      </c>
      <c r="AZ82" t="n">
        <v>108.7803262437581</v>
      </c>
      <c r="BA82" t="n">
        <v>779.3099999999999</v>
      </c>
      <c r="BB82" t="n">
        <v>0.879</v>
      </c>
      <c r="BC82" t="n">
        <v>74.51599092357533</v>
      </c>
      <c r="BD82" t="n">
        <v>0.9312</v>
      </c>
      <c r="BE82" t="n">
        <v>69.389</v>
      </c>
      <c r="BF82" t="n">
        <v>8.9176</v>
      </c>
      <c r="BG82" t="n">
        <v>0.804</v>
      </c>
      <c r="BH82" t="n">
        <v>6039.043023599974</v>
      </c>
      <c r="BI82" t="n">
        <v>1.118773062730627</v>
      </c>
      <c r="BJ82" t="n">
        <v>6756.3187</v>
      </c>
      <c r="BK82" t="n">
        <v>36619.880436848</v>
      </c>
    </row>
    <row r="83">
      <c r="A83" t="n">
        <v>5265</v>
      </c>
      <c r="B83" t="inlineStr">
        <is>
          <t>01-12-2020</t>
        </is>
      </c>
      <c r="C83" t="n">
        <v>2020</v>
      </c>
      <c r="D83" t="n">
        <v>1</v>
      </c>
      <c r="E83" t="inlineStr">
        <is>
          <t>SAN_JUAN_LAP</t>
        </is>
      </c>
      <c r="F83" t="inlineStr">
        <is>
          <t>SUM_CEC_A</t>
        </is>
      </c>
      <c r="G83" t="inlineStr">
        <is>
          <t>A</t>
        </is>
      </c>
      <c r="H83" t="inlineStr">
        <is>
          <t>CEC</t>
        </is>
      </c>
      <c r="I83" t="inlineStr">
        <is>
          <t>CCURTENOBLOQA</t>
        </is>
      </c>
      <c r="J83" t="inlineStr">
        <is>
          <t>TENO</t>
        </is>
      </c>
      <c r="K83" t="n">
        <v>-22217.03270997</v>
      </c>
      <c r="L83" t="inlineStr">
        <is>
          <t>TENO</t>
        </is>
      </c>
      <c r="M83" t="inlineStr">
        <is>
          <t>ITAHUE</t>
        </is>
      </c>
      <c r="N83" t="n">
        <v>0.74738783869542</v>
      </c>
      <c r="O83" t="n">
        <v>16604.740059</v>
      </c>
      <c r="P83" t="inlineStr">
        <is>
          <t>BS2A</t>
        </is>
      </c>
      <c r="Q83" t="n">
        <v>2</v>
      </c>
      <c r="V83" t="n">
        <v>713834.323</v>
      </c>
      <c r="W83" t="n">
        <v>2</v>
      </c>
      <c r="X83" t="n">
        <v>2.33481e-07</v>
      </c>
      <c r="Y83" t="n">
        <v>0.333334</v>
      </c>
      <c r="Z83" t="n">
        <v>5534.924423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ITAHUE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0.9537</v>
      </c>
      <c r="AL83" t="n">
        <v>62.564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1.007895816242822</v>
      </c>
      <c r="AR83" t="n">
        <v>6112.8068</v>
      </c>
      <c r="AS83" t="n">
        <v>346287.011600572</v>
      </c>
      <c r="AT83" t="inlineStr">
        <is>
          <t>PNP_16T_02-11-2020</t>
        </is>
      </c>
      <c r="AU83" t="inlineStr">
        <is>
          <t>PNCP_2T_10-02-2020</t>
        </is>
      </c>
      <c r="AV83" t="inlineStr">
        <is>
          <t>PNCP_4T_30-04-2013</t>
        </is>
      </c>
      <c r="AW83" t="inlineStr">
        <is>
          <t>ITAHUE 220</t>
        </is>
      </c>
      <c r="AX83" t="n">
        <v>100.646</v>
      </c>
      <c r="AY83" t="n">
        <v>1.080821157758461</v>
      </c>
      <c r="AZ83" t="n">
        <v>108.7803262437581</v>
      </c>
      <c r="BA83" t="n">
        <v>779.3099999999999</v>
      </c>
      <c r="BB83" t="n">
        <v>0.879</v>
      </c>
      <c r="BC83" t="n">
        <v>74.51599092357533</v>
      </c>
      <c r="BD83" t="n">
        <v>0.9327</v>
      </c>
      <c r="BE83" t="n">
        <v>69.501</v>
      </c>
      <c r="BF83" t="n">
        <v>8.9176</v>
      </c>
      <c r="BG83" t="n">
        <v>0.804</v>
      </c>
      <c r="BH83" t="n">
        <v>6039.043023599974</v>
      </c>
      <c r="BI83" t="n">
        <v>1.016406890894175</v>
      </c>
      <c r="BJ83" t="n">
        <v>6138.1249</v>
      </c>
      <c r="BK83" t="n">
        <v>384682.7823229231</v>
      </c>
    </row>
    <row r="84">
      <c r="A84" t="n">
        <v>5267</v>
      </c>
      <c r="B84" t="inlineStr">
        <is>
          <t>01-12-2020</t>
        </is>
      </c>
      <c r="C84" t="n">
        <v>2020</v>
      </c>
      <c r="D84" t="n">
        <v>1</v>
      </c>
      <c r="E84" t="inlineStr">
        <is>
          <t>SAN_JUAN_LAP</t>
        </is>
      </c>
      <c r="F84" t="inlineStr">
        <is>
          <t>SUM_CEC_A</t>
        </is>
      </c>
      <c r="G84" t="inlineStr">
        <is>
          <t>A</t>
        </is>
      </c>
      <c r="H84" t="inlineStr">
        <is>
          <t>CEC</t>
        </is>
      </c>
      <c r="I84" t="inlineStr">
        <is>
          <t>CCURTENOBLOQA</t>
        </is>
      </c>
      <c r="J84" t="inlineStr">
        <is>
          <t>TENO</t>
        </is>
      </c>
      <c r="K84" t="n">
        <v>-22217.03270997</v>
      </c>
      <c r="L84" t="inlineStr">
        <is>
          <t>TENO</t>
        </is>
      </c>
      <c r="M84" t="inlineStr">
        <is>
          <t>MELIPILLA</t>
        </is>
      </c>
      <c r="N84" t="n">
        <v>0.00308071516317</v>
      </c>
      <c r="O84" t="n">
        <v>68.44435</v>
      </c>
      <c r="P84" t="inlineStr">
        <is>
          <t>BS2A</t>
        </is>
      </c>
      <c r="Q84" t="n">
        <v>2</v>
      </c>
      <c r="V84" t="n">
        <v>713834.323</v>
      </c>
      <c r="W84" t="n">
        <v>2</v>
      </c>
      <c r="X84" t="n">
        <v>2.33481e-07</v>
      </c>
      <c r="Y84" t="n">
        <v>0.333334</v>
      </c>
      <c r="Z84" t="n">
        <v>22.814829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MELIPILLA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1.0179</v>
      </c>
      <c r="AL84" t="n">
        <v>66.77500000000001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0.9897500976181179</v>
      </c>
      <c r="AR84" t="n">
        <v>6002.7545</v>
      </c>
      <c r="AS84" t="n">
        <v>1523.460206475</v>
      </c>
      <c r="AT84" t="inlineStr">
        <is>
          <t>PNP_16T_02-11-2020</t>
        </is>
      </c>
      <c r="AU84" t="inlineStr">
        <is>
          <t>PNCP_2T_10-02-2020</t>
        </is>
      </c>
      <c r="AV84" t="inlineStr">
        <is>
          <t>PNCP_4T_30-04-2013</t>
        </is>
      </c>
      <c r="AW84" t="inlineStr">
        <is>
          <t>MELIPILLA 220</t>
        </is>
      </c>
      <c r="AX84" t="n">
        <v>100.646</v>
      </c>
      <c r="AY84" t="n">
        <v>1.080821157758461</v>
      </c>
      <c r="AZ84" t="n">
        <v>108.7803262437581</v>
      </c>
      <c r="BA84" t="n">
        <v>779.3099999999999</v>
      </c>
      <c r="BB84" t="n">
        <v>0.879</v>
      </c>
      <c r="BC84" t="n">
        <v>74.51599092357533</v>
      </c>
      <c r="BD84" t="n">
        <v>0.9899</v>
      </c>
      <c r="BE84" t="n">
        <v>73.76300000000001</v>
      </c>
      <c r="BF84" t="n">
        <v>8.9176</v>
      </c>
      <c r="BG84" t="n">
        <v>0.804</v>
      </c>
      <c r="BH84" t="n">
        <v>6039.043023599974</v>
      </c>
      <c r="BI84" t="n">
        <v>0.9919953143303397</v>
      </c>
      <c r="BJ84" t="n">
        <v>5990.7024</v>
      </c>
      <c r="BK84" t="n">
        <v>1682.890231527</v>
      </c>
    </row>
    <row r="85">
      <c r="A85" t="n">
        <v>5269</v>
      </c>
      <c r="B85" t="inlineStr">
        <is>
          <t>01-12-2020</t>
        </is>
      </c>
      <c r="C85" t="n">
        <v>2020</v>
      </c>
      <c r="D85" t="n">
        <v>1</v>
      </c>
      <c r="E85" t="inlineStr">
        <is>
          <t>SAN_JUAN_LAP</t>
        </is>
      </c>
      <c r="F85" t="inlineStr">
        <is>
          <t>SUM_CEC_A</t>
        </is>
      </c>
      <c r="G85" t="inlineStr">
        <is>
          <t>A</t>
        </is>
      </c>
      <c r="H85" t="inlineStr">
        <is>
          <t>CEC</t>
        </is>
      </c>
      <c r="I85" t="inlineStr">
        <is>
          <t>CCURTENOBLOQA</t>
        </is>
      </c>
      <c r="J85" t="inlineStr">
        <is>
          <t>TENO</t>
        </is>
      </c>
      <c r="K85" t="n">
        <v>-22217.03270997</v>
      </c>
      <c r="L85" t="inlineStr">
        <is>
          <t>TENO</t>
        </is>
      </c>
      <c r="M85" t="inlineStr">
        <is>
          <t>RAPEL</t>
        </is>
      </c>
      <c r="N85" t="n">
        <v>0.0025360775708</v>
      </c>
      <c r="O85" t="n">
        <v>56.344118</v>
      </c>
      <c r="P85" t="inlineStr">
        <is>
          <t>BS2A</t>
        </is>
      </c>
      <c r="Q85" t="n">
        <v>2</v>
      </c>
      <c r="V85" t="n">
        <v>713834.323</v>
      </c>
      <c r="W85" t="n">
        <v>2</v>
      </c>
      <c r="X85" t="n">
        <v>2.33481e-07</v>
      </c>
      <c r="Y85" t="n">
        <v>0.333334</v>
      </c>
      <c r="Z85" t="n">
        <v>18.78141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RAPEL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0.9925</v>
      </c>
      <c r="AL85" t="n">
        <v>65.10899999999999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0.9384721401850759</v>
      </c>
      <c r="AR85" t="n">
        <v>5691.7579</v>
      </c>
      <c r="AS85" t="n">
        <v>1222.83882369</v>
      </c>
      <c r="AT85" t="inlineStr">
        <is>
          <t>PNP_16T_02-11-2020</t>
        </is>
      </c>
      <c r="AU85" t="inlineStr">
        <is>
          <t>PNCP_2T_10-02-2020</t>
        </is>
      </c>
      <c r="AV85" t="inlineStr">
        <is>
          <t>PNCP_4T_30-04-2013</t>
        </is>
      </c>
      <c r="AW85" t="inlineStr">
        <is>
          <t>RAPEL 220</t>
        </is>
      </c>
      <c r="AX85" t="n">
        <v>100.646</v>
      </c>
      <c r="AY85" t="n">
        <v>1.080821157758461</v>
      </c>
      <c r="AZ85" t="n">
        <v>108.7803262437581</v>
      </c>
      <c r="BA85" t="n">
        <v>779.3099999999999</v>
      </c>
      <c r="BB85" t="n">
        <v>0.879</v>
      </c>
      <c r="BC85" t="n">
        <v>74.51599092357533</v>
      </c>
      <c r="BD85" t="n">
        <v>0.9638</v>
      </c>
      <c r="BE85" t="n">
        <v>71.819</v>
      </c>
      <c r="BF85" t="n">
        <v>8.9176</v>
      </c>
      <c r="BG85" t="n">
        <v>0.804</v>
      </c>
      <c r="BH85" t="n">
        <v>6039.043023599974</v>
      </c>
      <c r="BI85" t="n">
        <v>0.9369954715495176</v>
      </c>
      <c r="BJ85" t="n">
        <v>5658.556</v>
      </c>
      <c r="BK85" t="n">
        <v>1348.86208479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SUM_CEC_A</t>
        </is>
      </c>
      <c r="G2" t="inlineStr">
        <is>
          <t>A</t>
        </is>
      </c>
      <c r="H2" t="inlineStr">
        <is>
          <t>CEC</t>
        </is>
      </c>
      <c r="I2" t="inlineStr">
        <is>
          <t>CCURCURIBLOQA</t>
        </is>
      </c>
      <c r="J2" t="inlineStr">
        <is>
          <t>CURICO</t>
        </is>
      </c>
      <c r="M2" t="n">
        <v>61394.96077296</v>
      </c>
      <c r="N2" t="inlineStr">
        <is>
          <t>CURICO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SUM_CEC_A</t>
        </is>
      </c>
      <c r="G3" t="inlineStr">
        <is>
          <t>A</t>
        </is>
      </c>
      <c r="H3" t="inlineStr">
        <is>
          <t>CEC</t>
        </is>
      </c>
      <c r="I3" t="inlineStr">
        <is>
          <t>CCURQUINBLOQA</t>
        </is>
      </c>
      <c r="J3" t="inlineStr">
        <is>
          <t>QUINTA</t>
        </is>
      </c>
      <c r="M3" t="n">
        <v>18253.10700564</v>
      </c>
      <c r="N3" t="inlineStr">
        <is>
          <t>QUINTA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SUM_CEC_A</t>
        </is>
      </c>
      <c r="G4" t="inlineStr">
        <is>
          <t>A</t>
        </is>
      </c>
      <c r="H4" t="inlineStr">
        <is>
          <t>CEC</t>
        </is>
      </c>
      <c r="I4" t="inlineStr">
        <is>
          <t>CCURTENOBLOQA</t>
        </is>
      </c>
      <c r="J4" t="inlineStr">
        <is>
          <t>TENO</t>
        </is>
      </c>
      <c r="M4" t="n">
        <v>15402.64935687</v>
      </c>
      <c r="N4" t="inlineStr">
        <is>
          <t>TENO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SUM_CEC_A</t>
        </is>
      </c>
      <c r="G5" t="inlineStr">
        <is>
          <t>A</t>
        </is>
      </c>
      <c r="H5" t="inlineStr">
        <is>
          <t>CEC</t>
        </is>
      </c>
      <c r="I5" t="inlineStr">
        <is>
          <t>CCURCURIBLOQA</t>
        </is>
      </c>
      <c r="J5" t="inlineStr">
        <is>
          <t>CURICO</t>
        </is>
      </c>
      <c r="M5" t="n">
        <v>45746.66620336</v>
      </c>
      <c r="N5" t="inlineStr">
        <is>
          <t>CURICO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01-02-2021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SUM_CEC_A</t>
        </is>
      </c>
      <c r="G6" t="inlineStr">
        <is>
          <t>A</t>
        </is>
      </c>
      <c r="H6" t="inlineStr">
        <is>
          <t>CEC</t>
        </is>
      </c>
      <c r="I6" t="inlineStr">
        <is>
          <t>CCURQUINBLOQA</t>
        </is>
      </c>
      <c r="J6" t="inlineStr">
        <is>
          <t>QUINTA</t>
        </is>
      </c>
      <c r="M6" t="n">
        <v>11492.28925067</v>
      </c>
      <c r="N6" t="inlineStr">
        <is>
          <t>QUINTA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01-02-2021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SUM_CEC_A</t>
        </is>
      </c>
      <c r="G7" t="inlineStr">
        <is>
          <t>A</t>
        </is>
      </c>
      <c r="H7" t="inlineStr">
        <is>
          <t>CEC</t>
        </is>
      </c>
      <c r="I7" t="inlineStr">
        <is>
          <t>CCURTENOBLOQA</t>
        </is>
      </c>
      <c r="J7" t="inlineStr">
        <is>
          <t>TENO</t>
        </is>
      </c>
      <c r="M7" t="n">
        <v>10472.89638524</v>
      </c>
      <c r="N7" t="inlineStr">
        <is>
          <t>TENO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01-03-2021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SUM_CEC_A</t>
        </is>
      </c>
      <c r="G8" t="inlineStr">
        <is>
          <t>A</t>
        </is>
      </c>
      <c r="H8" t="inlineStr">
        <is>
          <t>CEC</t>
        </is>
      </c>
      <c r="I8" t="inlineStr">
        <is>
          <t>CCURCURIBLOQA</t>
        </is>
      </c>
      <c r="J8" t="inlineStr">
        <is>
          <t>CURICO</t>
        </is>
      </c>
      <c r="M8" t="n">
        <v>52103.96309546</v>
      </c>
      <c r="N8" t="inlineStr">
        <is>
          <t>CURICO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01-03-2021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SUM_CEC_A</t>
        </is>
      </c>
      <c r="G9" t="inlineStr">
        <is>
          <t>A</t>
        </is>
      </c>
      <c r="H9" t="inlineStr">
        <is>
          <t>CEC</t>
        </is>
      </c>
      <c r="I9" t="inlineStr">
        <is>
          <t>CCURQUINBLOQA</t>
        </is>
      </c>
      <c r="J9" t="inlineStr">
        <is>
          <t>QUINTA</t>
        </is>
      </c>
      <c r="M9" t="n">
        <v>12585.46374255</v>
      </c>
      <c r="N9" t="inlineStr">
        <is>
          <t>QUINTA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01-03-2021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SUM_CEC_A</t>
        </is>
      </c>
      <c r="G10" t="inlineStr">
        <is>
          <t>A</t>
        </is>
      </c>
      <c r="H10" t="inlineStr">
        <is>
          <t>CEC</t>
        </is>
      </c>
      <c r="I10" t="inlineStr">
        <is>
          <t>CCURTENOBLOQA</t>
        </is>
      </c>
      <c r="J10" t="inlineStr">
        <is>
          <t>TENO</t>
        </is>
      </c>
      <c r="M10" t="n">
        <v>18721.94991866</v>
      </c>
      <c r="N10" t="inlineStr">
        <is>
          <t>TENO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01-10-2020</t>
        </is>
      </c>
      <c r="C11" t="n">
        <v>2020</v>
      </c>
      <c r="D11" t="n">
        <v>1</v>
      </c>
      <c r="E11" t="inlineStr">
        <is>
          <t>SAN_JUAN_LAP</t>
        </is>
      </c>
      <c r="F11" t="inlineStr">
        <is>
          <t>SUM_CEC_A</t>
        </is>
      </c>
      <c r="G11" t="inlineStr">
        <is>
          <t>A</t>
        </is>
      </c>
      <c r="H11" t="inlineStr">
        <is>
          <t>CEC</t>
        </is>
      </c>
      <c r="I11" t="inlineStr">
        <is>
          <t>CCURCURIBLOQA</t>
        </is>
      </c>
      <c r="J11" t="inlineStr">
        <is>
          <t>CURICO</t>
        </is>
      </c>
      <c r="K11" t="n">
        <v>15709.5952360643</v>
      </c>
      <c r="L11" t="n">
        <v>0.333334</v>
      </c>
      <c r="M11" t="n">
        <v>47128.69145081</v>
      </c>
      <c r="N11" t="inlineStr">
        <is>
          <t>CURICO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01-10-2020</t>
        </is>
      </c>
      <c r="C12" t="n">
        <v>2020</v>
      </c>
      <c r="D12" t="n">
        <v>1</v>
      </c>
      <c r="E12" t="inlineStr">
        <is>
          <t>SAN_JUAN_LAP</t>
        </is>
      </c>
      <c r="F12" t="inlineStr">
        <is>
          <t>SUM_CEC_A</t>
        </is>
      </c>
      <c r="G12" t="inlineStr">
        <is>
          <t>A</t>
        </is>
      </c>
      <c r="H12" t="inlineStr">
        <is>
          <t>CEC</t>
        </is>
      </c>
      <c r="I12" t="inlineStr">
        <is>
          <t>CCURQUINBLOQA</t>
        </is>
      </c>
      <c r="J12" t="inlineStr">
        <is>
          <t>QUINTA</t>
        </is>
      </c>
      <c r="K12" t="n">
        <v>3559.733291422344</v>
      </c>
      <c r="L12" t="n">
        <v>0.333334</v>
      </c>
      <c r="M12" t="n">
        <v>10679.17851591</v>
      </c>
      <c r="N12" t="inlineStr">
        <is>
          <t>QUINTA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01-10-2020</t>
        </is>
      </c>
      <c r="C13" t="n">
        <v>2020</v>
      </c>
      <c r="D13" t="n">
        <v>1</v>
      </c>
      <c r="E13" t="inlineStr">
        <is>
          <t>SAN_JUAN_LAP</t>
        </is>
      </c>
      <c r="F13" t="inlineStr">
        <is>
          <t>SUM_CEC_A</t>
        </is>
      </c>
      <c r="G13" t="inlineStr">
        <is>
          <t>A</t>
        </is>
      </c>
      <c r="H13" t="inlineStr">
        <is>
          <t>CEC</t>
        </is>
      </c>
      <c r="I13" t="inlineStr">
        <is>
          <t>CCURTENOBLOQA</t>
        </is>
      </c>
      <c r="J13" t="inlineStr">
        <is>
          <t>TENO</t>
        </is>
      </c>
      <c r="K13" t="n">
        <v>8125.500653135471</v>
      </c>
      <c r="L13" t="n">
        <v>0.333334</v>
      </c>
      <c r="M13" t="n">
        <v>24376.4532065</v>
      </c>
      <c r="N13" t="inlineStr">
        <is>
          <t>TENO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01-11-2020</t>
        </is>
      </c>
      <c r="C14" t="n">
        <v>2020</v>
      </c>
      <c r="D14" t="n">
        <v>1</v>
      </c>
      <c r="E14" t="inlineStr">
        <is>
          <t>SAN_JUAN_LAP</t>
        </is>
      </c>
      <c r="F14" t="inlineStr">
        <is>
          <t>SUM_CEC_A</t>
        </is>
      </c>
      <c r="G14" t="inlineStr">
        <is>
          <t>A</t>
        </is>
      </c>
      <c r="H14" t="inlineStr">
        <is>
          <t>CEC</t>
        </is>
      </c>
      <c r="I14" t="inlineStr">
        <is>
          <t>CCURCURIBLOQA</t>
        </is>
      </c>
      <c r="J14" t="inlineStr">
        <is>
          <t>CURICO</t>
        </is>
      </c>
      <c r="K14" t="n">
        <v>19051.06529313438</v>
      </c>
      <c r="L14" t="n">
        <v>0.333334</v>
      </c>
      <c r="M14" t="n">
        <v>57153.08157324</v>
      </c>
      <c r="N14" t="inlineStr">
        <is>
          <t>CURICO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01-11-2020</t>
        </is>
      </c>
      <c r="C15" t="n">
        <v>2020</v>
      </c>
      <c r="D15" t="n">
        <v>1</v>
      </c>
      <c r="E15" t="inlineStr">
        <is>
          <t>SAN_JUAN_LAP</t>
        </is>
      </c>
      <c r="F15" t="inlineStr">
        <is>
          <t>SUM_CEC_A</t>
        </is>
      </c>
      <c r="G15" t="inlineStr">
        <is>
          <t>A</t>
        </is>
      </c>
      <c r="H15" t="inlineStr">
        <is>
          <t>CEC</t>
        </is>
      </c>
      <c r="I15" t="inlineStr">
        <is>
          <t>CCURQUINBLOQA</t>
        </is>
      </c>
      <c r="J15" t="inlineStr">
        <is>
          <t>QUINTA</t>
        </is>
      </c>
      <c r="K15" t="n">
        <v>4782.084559433324</v>
      </c>
      <c r="L15" t="n">
        <v>0.333334</v>
      </c>
      <c r="M15" t="n">
        <v>14346.22498585</v>
      </c>
      <c r="N15" t="inlineStr">
        <is>
          <t>QUINTA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01-11-2020</t>
        </is>
      </c>
      <c r="C16" t="n">
        <v>2020</v>
      </c>
      <c r="D16" t="n">
        <v>1</v>
      </c>
      <c r="E16" t="inlineStr">
        <is>
          <t>SAN_JUAN_LAP</t>
        </is>
      </c>
      <c r="F16" t="inlineStr">
        <is>
          <t>SUM_CEC_A</t>
        </is>
      </c>
      <c r="G16" t="inlineStr">
        <is>
          <t>A</t>
        </is>
      </c>
      <c r="H16" t="inlineStr">
        <is>
          <t>CEC</t>
        </is>
      </c>
      <c r="I16" t="inlineStr">
        <is>
          <t>CCURTENOBLOQA</t>
        </is>
      </c>
      <c r="J16" t="inlineStr">
        <is>
          <t>TENO</t>
        </is>
      </c>
      <c r="K16" t="n">
        <v>8083.187018001704</v>
      </c>
      <c r="L16" t="n">
        <v>0.333334</v>
      </c>
      <c r="M16" t="n">
        <v>24249.51255498</v>
      </c>
      <c r="N16" t="inlineStr">
        <is>
          <t>TENO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01-12-2020</t>
        </is>
      </c>
      <c r="C17" t="n">
        <v>2020</v>
      </c>
      <c r="D17" t="n">
        <v>1</v>
      </c>
      <c r="E17" t="inlineStr">
        <is>
          <t>SAN_JUAN_LAP</t>
        </is>
      </c>
      <c r="F17" t="inlineStr">
        <is>
          <t>SUM_CEC_A</t>
        </is>
      </c>
      <c r="G17" t="inlineStr">
        <is>
          <t>A</t>
        </is>
      </c>
      <c r="H17" t="inlineStr">
        <is>
          <t>CEC</t>
        </is>
      </c>
      <c r="I17" t="inlineStr">
        <is>
          <t>CCURCURIBLOQA</t>
        </is>
      </c>
      <c r="J17" t="inlineStr">
        <is>
          <t>CURICO</t>
        </is>
      </c>
      <c r="K17" t="n">
        <v>24867.45193297773</v>
      </c>
      <c r="L17" t="n">
        <v>0.333334</v>
      </c>
      <c r="M17" t="n">
        <v>74602.20659452</v>
      </c>
      <c r="N17" t="inlineStr">
        <is>
          <t>CURICO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01-12-2020</t>
        </is>
      </c>
      <c r="C18" t="n">
        <v>2020</v>
      </c>
      <c r="D18" t="n">
        <v>1</v>
      </c>
      <c r="E18" t="inlineStr">
        <is>
          <t>SAN_JUAN_LAP</t>
        </is>
      </c>
      <c r="F18" t="inlineStr">
        <is>
          <t>SUM_CEC_A</t>
        </is>
      </c>
      <c r="G18" t="inlineStr">
        <is>
          <t>A</t>
        </is>
      </c>
      <c r="H18" t="inlineStr">
        <is>
          <t>CEC</t>
        </is>
      </c>
      <c r="I18" t="inlineStr">
        <is>
          <t>CCURQUINBLOQA</t>
        </is>
      </c>
      <c r="J18" t="inlineStr">
        <is>
          <t>QUINTA</t>
        </is>
      </c>
      <c r="K18" t="n">
        <v>7014.616851002311</v>
      </c>
      <c r="L18" t="n">
        <v>0.333334</v>
      </c>
      <c r="M18" t="n">
        <v>21043.80846539</v>
      </c>
      <c r="N18" t="inlineStr">
        <is>
          <t>QUINTA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01-12-2020</t>
        </is>
      </c>
      <c r="C19" t="n">
        <v>2020</v>
      </c>
      <c r="D19" t="n">
        <v>1</v>
      </c>
      <c r="E19" t="inlineStr">
        <is>
          <t>SAN_JUAN_LAP</t>
        </is>
      </c>
      <c r="F19" t="inlineStr">
        <is>
          <t>SUM_CEC_A</t>
        </is>
      </c>
      <c r="G19" t="inlineStr">
        <is>
          <t>A</t>
        </is>
      </c>
      <c r="H19" t="inlineStr">
        <is>
          <t>CEC</t>
        </is>
      </c>
      <c r="I19" t="inlineStr">
        <is>
          <t>CCURTENOBLOQA</t>
        </is>
      </c>
      <c r="J19" t="inlineStr">
        <is>
          <t>TENO</t>
        </is>
      </c>
      <c r="K19" t="n">
        <v>7405.69238134514</v>
      </c>
      <c r="L19" t="n">
        <v>0.333334</v>
      </c>
      <c r="M19" t="n">
        <v>22217.03270997</v>
      </c>
      <c r="N19" t="inlineStr">
        <is>
          <t>TENO</t>
        </is>
      </c>
      <c r="O19" t="inlineStr">
        <is>
          <t>BS2A</t>
        </is>
      </c>
      <c r="P19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2022-04-25T17:54:07Z</dcterms:created>
  <dcterms:modified xmlns:dcterms="http://purl.org/dc/terms/" xmlns:xsi="http://www.w3.org/2001/XMLSchema-instance" xsi:type="dcterms:W3CDTF">2022-04-25T17:54:07Z</dcterms:modified>
</cp:coreProperties>
</file>