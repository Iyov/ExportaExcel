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README" sheetId="1" state="visible" r:id="rId1"/>
    <sheet name="ReliquidacionEFACT" sheetId="2" state="visible" r:id="rId2"/>
    <sheet name="ResumenRetiros" sheetId="3" state="visible" r:id="rId3"/>
    <sheet name="FACT_EMITIDA" sheetId="4" state="visible" r:id="rId4"/>
    <sheet name="SIGGE_E" sheetId="5" state="visible" r:id="rId5"/>
    <sheet name="SIGGE_P" sheetId="6" state="visible" r:id="rId6"/>
    <sheet name="EFACT_CNE" sheetId="7" state="visible" r:id="rId7"/>
    <sheet name="EfactCNE_BT" sheetId="8" state="visible" r:id="rId8"/>
    <sheet name="CEN_Energia" sheetId="9" state="visible" r:id="rId9"/>
    <sheet name="CEN_Potencia" sheetId="10" state="visible" r:id="rId10"/>
    <sheet name="CEN_EnergiaBT" sheetId="11" state="visible" r:id="rId11"/>
    <sheet name="EFACT_EST_CEN" sheetId="12" state="visible" r:id="rId12"/>
    <sheet name="SIN_DATA" sheetId="13" state="visible" r:id="rId13"/>
    <sheet name="INTERES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H:MM:SS"/>
    <numFmt numFmtId="165" formatCode="DD-MM-YYYY"/>
    <numFmt numFmtId="166" formatCode="#,##0.0000"/>
    <numFmt numFmtId="167" formatCode="#,##0.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9BBB59"/>
        <bgColor rgb="009BBB59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393939"/>
      </left>
      <right style="thin">
        <color rgb="00393939"/>
      </right>
      <top style="thin">
        <color rgb="00393939"/>
      </top>
      <bottom style="thin">
        <color rgb="00393939"/>
      </bottom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0" fontId="3" fillId="2" borderId="2" pivotButton="0" quotePrefix="0" xfId="0"/>
    <xf numFmtId="165" fontId="0" fillId="0" borderId="0" pivotButton="0" quotePrefix="0" xfId="0"/>
    <xf numFmtId="4" fontId="0" fillId="0" borderId="0" pivotButton="0" quotePrefix="0" xfId="0"/>
    <xf numFmtId="166" fontId="0" fillId="0" borderId="0" pivotButton="0" quotePrefix="0" xfId="0"/>
    <xf numFmtId="167" fontId="4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 /><Relationship Type="http://schemas.openxmlformats.org/officeDocument/2006/relationships/hyperlink" Target="https://www.bcn.cl/leychile/navegar?idNorma=1093605" TargetMode="External" Id="rId2" /><Relationship Type="http://schemas.openxmlformats.org/officeDocument/2006/relationships/hyperlink" Target="https://www.diariooficial.interior.gob.cl/publicaciones/2017/09/15/41861/01/1272697.pdf" TargetMode="External" Id="rId3" /><Relationship Type="http://schemas.openxmlformats.org/officeDocument/2006/relationships/hyperlink" Target="https://www.diariooficial.interior.gob.cl/publicaciones/2017/09/15/41861/01/1272697.pdf" TargetMode="External" Id="rId4" /><Relationship Type="http://schemas.openxmlformats.org/officeDocument/2006/relationships/hyperlink" Target="https://www.diariooficial.interior.gob.cl/publicaciones/2018/03/15/42008/01/1366088.pdf" TargetMode="External" Id="rId5" /><Relationship Type="http://schemas.openxmlformats.org/officeDocument/2006/relationships/hyperlink" Target="https://www.diariooficial.interior.gob.cl/publicaciones/2018/09/15/42159/01/1465375.pdf" TargetMode="External" Id="rId6" /><Relationship Type="http://schemas.openxmlformats.org/officeDocument/2006/relationships/hyperlink" Target="https://www.diariooficial.interior.gob.cl/publicaciones/2019/04/15/42331/01/1576341.pdf" TargetMode="External" Id="rId7" /><Relationship Type="http://schemas.openxmlformats.org/officeDocument/2006/relationships/hyperlink" Target="https://www.diariooficial.interior.gob.cl/publicaciones/2020/10/15/42780/01/1830437.pdf" TargetMode="External" Id="rId8" /><Relationship Type="http://schemas.openxmlformats.org/officeDocument/2006/relationships/hyperlink" Target="https://www.diariooficial.interior.gob.cl/publicaciones/2021/03/15/42905/01/1910115.pdf" TargetMode="External" Id="rId9" /><Relationship Type="http://schemas.openxmlformats.org/officeDocument/2006/relationships/hyperlink" Target="https://www.diariooficial.interior.gob.cl/publicaciones/2021/05/14/42954/01/1943780.pdf" TargetMode="External" Id="rId1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(kWh)</t>
        </is>
      </c>
      <c r="E8" s="4" t="inlineStr">
        <is>
          <t>Monto Energía ($)</t>
        </is>
      </c>
      <c r="F8" s="4" t="inlineStr">
        <is>
          <t>$/kWh</t>
        </is>
      </c>
      <c r="G8" s="4" t="inlineStr">
        <is>
          <t>Potencia (kW)</t>
        </is>
      </c>
      <c r="H8" s="4" t="inlineStr">
        <is>
          <t>Monto Potencia ($)</t>
        </is>
      </c>
      <c r="I8" s="4" t="inlineStr">
        <is>
          <t>$/kW-mes</t>
        </is>
      </c>
      <c r="J8" s="4" t="inlineStr">
        <is>
          <t>Monto Total ($)</t>
        </is>
      </c>
      <c r="K8" s="4" t="n"/>
      <c r="L8" s="4" t="inlineStr">
        <is>
          <t>ORIGEN DATA</t>
        </is>
      </c>
      <c r="M8" s="4" t="inlineStr">
        <is>
          <t>Energía (kWh)</t>
        </is>
      </c>
      <c r="N8" s="4" t="inlineStr">
        <is>
          <t>Monto Energía ($)</t>
        </is>
      </c>
      <c r="O8" s="4" t="inlineStr">
        <is>
          <t>$/kWh</t>
        </is>
      </c>
      <c r="P8" s="4" t="inlineStr">
        <is>
          <t>Potencia (kW)</t>
        </is>
      </c>
      <c r="Q8" s="4" t="inlineStr">
        <is>
          <t>Monto Potencia ($)</t>
        </is>
      </c>
      <c r="R8" s="4" t="inlineStr">
        <is>
          <t>$/kW-mes</t>
        </is>
      </c>
      <c r="S8" s="4" t="inlineStr">
        <is>
          <t>Monto Total ($)</t>
        </is>
      </c>
      <c r="T8" s="4" t="n"/>
      <c r="U8" s="4" t="inlineStr">
        <is>
          <t>Mes</t>
        </is>
      </c>
      <c r="V8" s="4" t="inlineStr">
        <is>
          <t>Reliquidación mensual ($)</t>
        </is>
      </c>
      <c r="W8" s="4" t="inlineStr">
        <is>
          <t>Decreto PNP Reliquidación</t>
        </is>
      </c>
      <c r="X8" s="4" t="inlineStr">
        <is>
          <t>Fecha publicación Diario Oficial</t>
        </is>
      </c>
      <c r="Y8" s="4" t="inlineStr">
        <is>
          <t>Interés Anual</t>
        </is>
      </c>
      <c r="Z8" s="4" t="inlineStr">
        <is>
          <t>Fecha Facturación</t>
        </is>
      </c>
      <c r="AA8" s="4" t="inlineStr">
        <is>
          <t>Fecha Reliquidación</t>
        </is>
      </c>
      <c r="AB8" s="4" t="inlineStr">
        <is>
          <t>N° de días de intereses</t>
        </is>
      </c>
      <c r="AC8" s="4" t="inlineStr">
        <is>
          <t>Interés total según n° de días</t>
        </is>
      </c>
      <c r="AD8" s="4" t="inlineStr">
        <is>
          <t>Intereses ($)</t>
        </is>
      </c>
      <c r="AE8" s="4" t="inlineStr">
        <is>
          <t>Reliquidación Total ($)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 s="6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 s="7">
        <f>(1+Y9)^(AB9/360)-1</f>
        <v/>
      </c>
      <c r="AD9" s="7">
        <f>(AC9*V9)</f>
        <v/>
      </c>
      <c r="AE9" s="8">
        <f>(V9+AD9)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 s="6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 s="7">
        <f>(1+Y10)^(AB10/360)-1</f>
        <v/>
      </c>
      <c r="AD10" s="7">
        <f>(AC10*V10)</f>
        <v/>
      </c>
      <c r="AE10" s="8">
        <f>(V10+AD10)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 s="6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 s="7">
        <f>(1+Y11)^(AB11/360)-1</f>
        <v/>
      </c>
      <c r="AD11" s="7">
        <f>(AC11*V11)</f>
        <v/>
      </c>
      <c r="AE11" s="8">
        <f>(V11+AD11)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 s="6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 s="7">
        <f>(1+Y12)^(AB12/360)-1</f>
        <v/>
      </c>
      <c r="AD12" s="7">
        <f>(AC12*V12)</f>
        <v/>
      </c>
      <c r="AE12" s="8">
        <f>(V12+AD12)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 s="6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 s="7">
        <f>(1+Y13)^(AB13/360)-1</f>
        <v/>
      </c>
      <c r="AD13" s="7">
        <f>(AC13*V13)</f>
        <v/>
      </c>
      <c r="AE13" s="8">
        <f>(V13+AD13)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 s="6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 s="7">
        <f>(1+Y14)^(AB14/360)-1</f>
        <v/>
      </c>
      <c r="AD14" s="7">
        <f>(AC14*V14)</f>
        <v/>
      </c>
      <c r="AE14" s="8">
        <f>(V14+AD14)</f>
        <v/>
      </c>
    </row>
    <row r="15">
      <c r="AD15" t="inlineStr">
        <is>
          <t>Reliquidación</t>
        </is>
      </c>
      <c r="AE15" s="8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4" customWidth="1" min="3" max="3"/>
    <col width="26" customWidth="1" min="4" max="4"/>
    <col width="26" customWidth="1" min="5" max="5"/>
    <col width="30" customWidth="1" min="6" max="6"/>
    <col width="30" customWidth="1" min="7" max="7"/>
    <col width="30" customWidth="1" min="8" max="8"/>
  </cols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SOCOEPA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s="4" t="inlineStr">
        <is>
          <t>ID</t>
        </is>
      </c>
      <c r="B8" s="4" t="inlineStr">
        <is>
          <t>MES</t>
        </is>
      </c>
      <c r="C8" s="4" t="inlineStr">
        <is>
          <t>ORIGEN DATA</t>
        </is>
      </c>
      <c r="D8" s="4" t="inlineStr">
        <is>
          <t>Energía SIGGE (kWh)</t>
        </is>
      </c>
      <c r="E8" s="4" t="inlineStr">
        <is>
          <t>Energía EFACT AT (kWh)</t>
        </is>
      </c>
      <c r="F8" s="4" t="inlineStr">
        <is>
          <t>Energía EFACT BT (kWh)</t>
        </is>
      </c>
      <c r="G8" s="4" t="inlineStr">
        <is>
          <t>Energía Coordinador AT (kWh)</t>
        </is>
      </c>
      <c r="H8" s="4" t="inlineStr">
        <is>
          <t>Energía Coordinador BT (kWh)</t>
        </is>
      </c>
    </row>
    <row r="9">
      <c r="A9" t="n">
        <v>9</v>
      </c>
      <c r="B9" s="5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5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5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5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5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5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1</v>
      </c>
      <c r="R3" t="inlineStr">
        <is>
          <t>B.BLANCO 220</t>
        </is>
      </c>
      <c r="S3" t="n">
        <v>3146.500682</v>
      </c>
      <c r="T3" t="n">
        <v>229905</v>
      </c>
      <c r="W3" t="n">
        <v>73.06699999999999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2</v>
      </c>
      <c r="R4" t="inlineStr">
        <is>
          <t>MELIPULLI 220</t>
        </is>
      </c>
      <c r="U4" t="n">
        <v>0</v>
      </c>
      <c r="V4" t="n">
        <v>0</v>
      </c>
      <c r="W4" t="n">
        <v>5566.808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2021</t>
        </is>
      </c>
      <c r="G5" t="inlineStr">
        <is>
          <t>2021-11-17 11:53:12</t>
        </is>
      </c>
      <c r="H5" t="n">
        <v>33</v>
      </c>
      <c r="I5" t="n">
        <v>22202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2</v>
      </c>
      <c r="R5" t="inlineStr">
        <is>
          <t>MELIPULLI 220</t>
        </is>
      </c>
      <c r="S5" t="n">
        <v>50.30047</v>
      </c>
      <c r="T5" t="n">
        <v>3801</v>
      </c>
      <c r="W5" t="n">
        <v>75.559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2021</t>
        </is>
      </c>
      <c r="G6" t="inlineStr">
        <is>
          <t>2021-11-17 11:53:12</t>
        </is>
      </c>
      <c r="H6" t="n">
        <v>33</v>
      </c>
      <c r="I6" t="n">
        <v>22202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3</v>
      </c>
      <c r="R6" t="inlineStr">
        <is>
          <t>VALDIVIA 220</t>
        </is>
      </c>
      <c r="U6" t="n">
        <v>16</v>
      </c>
      <c r="V6" t="n">
        <v>90950</v>
      </c>
      <c r="W6" t="n">
        <v>5684.37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2021</t>
        </is>
      </c>
      <c r="G7" t="inlineStr">
        <is>
          <t>2021-11-17 11:53:12</t>
        </is>
      </c>
      <c r="H7" t="n">
        <v>33</v>
      </c>
      <c r="I7" t="n">
        <v>22202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7274.060976</v>
      </c>
      <c r="T7" t="n">
        <v>533014</v>
      </c>
      <c r="W7" t="n">
        <v>73.276</v>
      </c>
    </row>
    <row r="8">
      <c r="A8" t="inlineStr">
        <is>
          <t>2022-01-01</t>
        </is>
      </c>
      <c r="B8" t="inlineStr">
        <is>
          <t>01-01-2022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ene 2022</t>
        </is>
      </c>
      <c r="G8" t="inlineStr">
        <is>
          <t>2022-02-18 15:35:04</t>
        </is>
      </c>
      <c r="H8" t="n">
        <v>33</v>
      </c>
      <c r="I8" t="n">
        <v>23340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6.873972</v>
      </c>
      <c r="V8" t="n">
        <v>35905</v>
      </c>
      <c r="W8" t="n">
        <v>5223.261</v>
      </c>
    </row>
    <row r="9">
      <c r="A9" t="inlineStr">
        <is>
          <t>2022-01-01</t>
        </is>
      </c>
      <c r="B9" t="inlineStr">
        <is>
          <t>01-01-2022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ene 2022</t>
        </is>
      </c>
      <c r="G9" t="inlineStr">
        <is>
          <t>2022-02-18 15:35:04</t>
        </is>
      </c>
      <c r="H9" t="n">
        <v>33</v>
      </c>
      <c r="I9" t="n">
        <v>23340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1</v>
      </c>
      <c r="R9" t="inlineStr">
        <is>
          <t>B.BLANCO 220</t>
        </is>
      </c>
      <c r="S9" t="n">
        <v>5110.865095</v>
      </c>
      <c r="T9" t="n">
        <v>373436</v>
      </c>
      <c r="W9" t="n">
        <v>73.06699999999999</v>
      </c>
    </row>
    <row r="10">
      <c r="A10" t="inlineStr">
        <is>
          <t>2022-01-01</t>
        </is>
      </c>
      <c r="B10" t="inlineStr">
        <is>
          <t>01-01-2022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ene 2022</t>
        </is>
      </c>
      <c r="G10" t="inlineStr">
        <is>
          <t>2022-02-18 15:35:04</t>
        </is>
      </c>
      <c r="H10" t="n">
        <v>33</v>
      </c>
      <c r="I10" t="n">
        <v>23340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2</v>
      </c>
      <c r="R10" t="inlineStr">
        <is>
          <t>MELIPULLI 220</t>
        </is>
      </c>
      <c r="U10" t="n">
        <v>0.140381</v>
      </c>
      <c r="V10" t="n">
        <v>781</v>
      </c>
      <c r="W10" t="n">
        <v>5566.808</v>
      </c>
    </row>
    <row r="11">
      <c r="A11" t="inlineStr">
        <is>
          <t>2022-01-01</t>
        </is>
      </c>
      <c r="B11" t="inlineStr">
        <is>
          <t>01-01-2022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ene 2022</t>
        </is>
      </c>
      <c r="G11" t="inlineStr">
        <is>
          <t>2022-02-18 15:35:04</t>
        </is>
      </c>
      <c r="H11" t="n">
        <v>33</v>
      </c>
      <c r="I11" t="n">
        <v>23340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2</v>
      </c>
      <c r="R11" t="inlineStr">
        <is>
          <t>MELIPULLI 220</t>
        </is>
      </c>
      <c r="S11" t="n">
        <v>104.261837</v>
      </c>
      <c r="T11" t="n">
        <v>7878</v>
      </c>
      <c r="W11" t="n">
        <v>75.559</v>
      </c>
    </row>
    <row r="12">
      <c r="A12" t="inlineStr">
        <is>
          <t>2022-01-01</t>
        </is>
      </c>
      <c r="B12" t="inlineStr">
        <is>
          <t>01-01-2022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ene 2022</t>
        </is>
      </c>
      <c r="G12" t="inlineStr">
        <is>
          <t>2022-02-18 15:35:04</t>
        </is>
      </c>
      <c r="H12" t="n">
        <v>33</v>
      </c>
      <c r="I12" t="n">
        <v>23340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3</v>
      </c>
      <c r="R12" t="inlineStr">
        <is>
          <t>VALDIVIA 220</t>
        </is>
      </c>
      <c r="U12" t="n">
        <v>14.865647</v>
      </c>
      <c r="V12" t="n">
        <v>84502</v>
      </c>
      <c r="W12" t="n">
        <v>5684.37</v>
      </c>
    </row>
    <row r="13">
      <c r="A13" t="inlineStr">
        <is>
          <t>2022-01-01</t>
        </is>
      </c>
      <c r="B13" t="inlineStr">
        <is>
          <t>01-01-2022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ene 2022</t>
        </is>
      </c>
      <c r="G13" t="inlineStr">
        <is>
          <t>2022-02-18 15:35:04</t>
        </is>
      </c>
      <c r="H13" t="n">
        <v>33</v>
      </c>
      <c r="I13" t="n">
        <v>23340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10902.754212</v>
      </c>
      <c r="T13" t="n">
        <v>798910</v>
      </c>
      <c r="W13" t="n">
        <v>73.276</v>
      </c>
    </row>
    <row r="14">
      <c r="A14" t="inlineStr">
        <is>
          <t>2022-02-01</t>
        </is>
      </c>
      <c r="B14" t="inlineStr">
        <is>
          <t>01-02-2022</t>
        </is>
      </c>
      <c r="C14" t="inlineStr">
        <is>
          <t>Licitación Caren y Socoepa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feb 2022</t>
        </is>
      </c>
      <c r="G14" t="inlineStr">
        <is>
          <t>2022-03-09 14:58:20</t>
        </is>
      </c>
      <c r="H14" t="n">
        <v>33</v>
      </c>
      <c r="I14" t="n">
        <v>23691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SOCOEPA</t>
        </is>
      </c>
      <c r="O14" t="inlineStr">
        <is>
          <t>2013/03-2</t>
        </is>
      </c>
      <c r="P14" t="inlineStr">
        <is>
          <t>SOCOEPA</t>
        </is>
      </c>
      <c r="Q14" t="n">
        <v>1</v>
      </c>
      <c r="R14" t="inlineStr">
        <is>
          <t>B.BLANCO 220</t>
        </is>
      </c>
      <c r="U14" t="n">
        <v>6.746403</v>
      </c>
      <c r="V14" t="n">
        <v>35238</v>
      </c>
      <c r="W14" t="n">
        <v>5223.261</v>
      </c>
    </row>
    <row r="15">
      <c r="A15" t="inlineStr">
        <is>
          <t>2022-02-01</t>
        </is>
      </c>
      <c r="B15" t="inlineStr">
        <is>
          <t>01-02-2022</t>
        </is>
      </c>
      <c r="C15" t="inlineStr">
        <is>
          <t>Licitación Caren y Socoepa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feb 2022</t>
        </is>
      </c>
      <c r="G15" t="inlineStr">
        <is>
          <t>2022-03-09 14:58:20</t>
        </is>
      </c>
      <c r="H15" t="n">
        <v>33</v>
      </c>
      <c r="I15" t="n">
        <v>23691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SOCOEPA</t>
        </is>
      </c>
      <c r="O15" t="inlineStr">
        <is>
          <t>2013/03-2</t>
        </is>
      </c>
      <c r="P15" t="inlineStr">
        <is>
          <t>SOCOEPA</t>
        </is>
      </c>
      <c r="Q15" t="n">
        <v>1</v>
      </c>
      <c r="R15" t="inlineStr">
        <is>
          <t>B.BLANCO 220</t>
        </is>
      </c>
      <c r="S15" t="n">
        <v>4932.168584</v>
      </c>
      <c r="T15" t="n">
        <v>360379</v>
      </c>
      <c r="W15" t="n">
        <v>73.06699999999999</v>
      </c>
    </row>
    <row r="16">
      <c r="A16" t="inlineStr">
        <is>
          <t>2022-02-01</t>
        </is>
      </c>
      <c r="B16" t="inlineStr">
        <is>
          <t>01-02-2022</t>
        </is>
      </c>
      <c r="C16" t="inlineStr">
        <is>
          <t>Licitación Caren y Socoepa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feb 2022</t>
        </is>
      </c>
      <c r="G16" t="inlineStr">
        <is>
          <t>2022-03-09 14:58:20</t>
        </is>
      </c>
      <c r="H16" t="n">
        <v>33</v>
      </c>
      <c r="I16" t="n">
        <v>23691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SOCOEPA</t>
        </is>
      </c>
      <c r="O16" t="inlineStr">
        <is>
          <t>2013/03-2</t>
        </is>
      </c>
      <c r="P16" t="inlineStr">
        <is>
          <t>SOCOEPA</t>
        </is>
      </c>
      <c r="Q16" t="n">
        <v>2</v>
      </c>
      <c r="R16" t="inlineStr">
        <is>
          <t>MELIPULLI 220</t>
        </is>
      </c>
      <c r="U16" t="n">
        <v>0.138081</v>
      </c>
      <c r="V16" t="n">
        <v>769</v>
      </c>
      <c r="W16" t="n">
        <v>5566.808</v>
      </c>
    </row>
    <row r="17">
      <c r="A17" t="inlineStr">
        <is>
          <t>2022-02-01</t>
        </is>
      </c>
      <c r="B17" t="inlineStr">
        <is>
          <t>01-02-2022</t>
        </is>
      </c>
      <c r="C17" t="inlineStr">
        <is>
          <t>Licitación Caren y Socoepa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feb 2022</t>
        </is>
      </c>
      <c r="G17" t="inlineStr">
        <is>
          <t>2022-03-09 14:58:20</t>
        </is>
      </c>
      <c r="H17" t="n">
        <v>33</v>
      </c>
      <c r="I17" t="n">
        <v>23691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SOCOEPA</t>
        </is>
      </c>
      <c r="O17" t="inlineStr">
        <is>
          <t>2013/03-2</t>
        </is>
      </c>
      <c r="P17" t="inlineStr">
        <is>
          <t>SOCOEPA</t>
        </is>
      </c>
      <c r="Q17" t="n">
        <v>2</v>
      </c>
      <c r="R17" t="inlineStr">
        <is>
          <t>MELIPULLI 220</t>
        </is>
      </c>
      <c r="S17" t="n">
        <v>100.874662</v>
      </c>
      <c r="T17" t="n">
        <v>7622</v>
      </c>
      <c r="W17" t="n">
        <v>75.559</v>
      </c>
    </row>
    <row r="18">
      <c r="A18" t="inlineStr">
        <is>
          <t>2022-02-01</t>
        </is>
      </c>
      <c r="B18" t="inlineStr">
        <is>
          <t>01-02-2022</t>
        </is>
      </c>
      <c r="C18" t="inlineStr">
        <is>
          <t>Licitación Caren y Socoepa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feb 2022</t>
        </is>
      </c>
      <c r="G18" t="inlineStr">
        <is>
          <t>2022-03-09 14:58:20</t>
        </is>
      </c>
      <c r="H18" t="n">
        <v>33</v>
      </c>
      <c r="I18" t="n">
        <v>23691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SOCOEPA</t>
        </is>
      </c>
      <c r="O18" t="inlineStr">
        <is>
          <t>2013/03-2</t>
        </is>
      </c>
      <c r="P18" t="inlineStr">
        <is>
          <t>SOCOEPA</t>
        </is>
      </c>
      <c r="Q18" t="n">
        <v>3</v>
      </c>
      <c r="R18" t="inlineStr">
        <is>
          <t>VALDIVIA 220</t>
        </is>
      </c>
      <c r="U18" t="n">
        <v>14.995517</v>
      </c>
      <c r="V18" t="n">
        <v>85240</v>
      </c>
      <c r="W18" t="n">
        <v>5684.37</v>
      </c>
    </row>
    <row r="19">
      <c r="A19" t="inlineStr">
        <is>
          <t>2022-02-01</t>
        </is>
      </c>
      <c r="B19" t="inlineStr">
        <is>
          <t>01-02-2022</t>
        </is>
      </c>
      <c r="C19" t="inlineStr">
        <is>
          <t>Licitación Caren y Socoepa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feb 2022</t>
        </is>
      </c>
      <c r="G19" t="inlineStr">
        <is>
          <t>2022-03-09 14:58:20</t>
        </is>
      </c>
      <c r="H19" t="n">
        <v>33</v>
      </c>
      <c r="I19" t="n">
        <v>23691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SOCOEPA</t>
        </is>
      </c>
      <c r="O19" t="inlineStr">
        <is>
          <t>2013/03-2</t>
        </is>
      </c>
      <c r="P19" t="inlineStr">
        <is>
          <t>SOCOEPA</t>
        </is>
      </c>
      <c r="Q19" t="n">
        <v>3</v>
      </c>
      <c r="R19" t="inlineStr">
        <is>
          <t>VALDIVIA 220</t>
        </is>
      </c>
      <c r="S19" t="n">
        <v>10864.909866</v>
      </c>
      <c r="T19" t="n">
        <v>796137</v>
      </c>
      <c r="W19" t="n">
        <v>73.276</v>
      </c>
    </row>
    <row r="20">
      <c r="A20" t="inlineStr">
        <is>
          <t>2022-03-01</t>
        </is>
      </c>
      <c r="B20" t="inlineStr">
        <is>
          <t>01-03-2022</t>
        </is>
      </c>
      <c r="C20" t="inlineStr">
        <is>
          <t>Licitación Caren y Socoepa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mar 2022</t>
        </is>
      </c>
      <c r="G20" t="inlineStr">
        <is>
          <t>2022-04-08 16:46:18</t>
        </is>
      </c>
      <c r="H20" t="n">
        <v>33</v>
      </c>
      <c r="I20" t="n">
        <v>24413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SOCOEPA</t>
        </is>
      </c>
      <c r="O20" t="inlineStr">
        <is>
          <t>2013/03-2</t>
        </is>
      </c>
      <c r="P20" t="inlineStr">
        <is>
          <t>SOCOEPA</t>
        </is>
      </c>
      <c r="Q20" t="n">
        <v>1</v>
      </c>
      <c r="R20" t="inlineStr">
        <is>
          <t>B.BLANCO 220</t>
        </is>
      </c>
      <c r="U20" t="n">
        <v>6.512886</v>
      </c>
      <c r="V20" t="n">
        <v>34019</v>
      </c>
      <c r="W20" t="n">
        <v>5223.261</v>
      </c>
    </row>
    <row r="21">
      <c r="A21" t="inlineStr">
        <is>
          <t>2022-03-01</t>
        </is>
      </c>
      <c r="B21" t="inlineStr">
        <is>
          <t>01-03-2022</t>
        </is>
      </c>
      <c r="C21" t="inlineStr">
        <is>
          <t>Licitación Caren y Socoepa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mar 2022</t>
        </is>
      </c>
      <c r="G21" t="inlineStr">
        <is>
          <t>2022-04-08 16:46:18</t>
        </is>
      </c>
      <c r="H21" t="n">
        <v>33</v>
      </c>
      <c r="I21" t="n">
        <v>24413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SOCOEPA</t>
        </is>
      </c>
      <c r="O21" t="inlineStr">
        <is>
          <t>2013/03-2</t>
        </is>
      </c>
      <c r="P21" t="inlineStr">
        <is>
          <t>SOCOEPA</t>
        </is>
      </c>
      <c r="Q21" t="n">
        <v>1</v>
      </c>
      <c r="R21" t="inlineStr">
        <is>
          <t>B.BLANCO 220</t>
        </is>
      </c>
      <c r="S21" t="n">
        <v>3838.754158</v>
      </c>
      <c r="T21" t="n">
        <v>280486</v>
      </c>
      <c r="W21" t="n">
        <v>73.06699999999999</v>
      </c>
    </row>
    <row r="22">
      <c r="A22" t="inlineStr">
        <is>
          <t>2022-03-01</t>
        </is>
      </c>
      <c r="B22" t="inlineStr">
        <is>
          <t>01-03-2022</t>
        </is>
      </c>
      <c r="C22" t="inlineStr">
        <is>
          <t>Licitación Caren y Socoepa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mar 2022</t>
        </is>
      </c>
      <c r="G22" t="inlineStr">
        <is>
          <t>2022-04-08 16:46:18</t>
        </is>
      </c>
      <c r="H22" t="n">
        <v>33</v>
      </c>
      <c r="I22" t="n">
        <v>24413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SOCOEPA</t>
        </is>
      </c>
      <c r="O22" t="inlineStr">
        <is>
          <t>2013/03-2</t>
        </is>
      </c>
      <c r="P22" t="inlineStr">
        <is>
          <t>SOCOEPA</t>
        </is>
      </c>
      <c r="Q22" t="n">
        <v>2</v>
      </c>
      <c r="R22" t="inlineStr">
        <is>
          <t>MELIPULLI 220</t>
        </is>
      </c>
      <c r="U22" t="n">
        <v>0.133871</v>
      </c>
      <c r="V22" t="n">
        <v>745</v>
      </c>
      <c r="W22" t="n">
        <v>5566.808</v>
      </c>
    </row>
    <row r="23">
      <c r="A23" t="inlineStr">
        <is>
          <t>2022-03-01</t>
        </is>
      </c>
      <c r="B23" t="inlineStr">
        <is>
          <t>01-03-2022</t>
        </is>
      </c>
      <c r="C23" t="inlineStr">
        <is>
          <t>Licitación Caren y Socoepa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mar 2022</t>
        </is>
      </c>
      <c r="G23" t="inlineStr">
        <is>
          <t>2022-04-08 16:46:18</t>
        </is>
      </c>
      <c r="H23" t="n">
        <v>33</v>
      </c>
      <c r="I23" t="n">
        <v>24413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SOCOEPA</t>
        </is>
      </c>
      <c r="O23" t="inlineStr">
        <is>
          <t>2013/03-2</t>
        </is>
      </c>
      <c r="P23" t="inlineStr">
        <is>
          <t>SOCOEPA</t>
        </is>
      </c>
      <c r="Q23" t="n">
        <v>2</v>
      </c>
      <c r="R23" t="inlineStr">
        <is>
          <t>MELIPULLI 220</t>
        </is>
      </c>
      <c r="S23" t="n">
        <v>78.804877</v>
      </c>
      <c r="T23" t="n">
        <v>5954</v>
      </c>
      <c r="W23" t="n">
        <v>75.559</v>
      </c>
    </row>
    <row r="24">
      <c r="A24" t="inlineStr">
        <is>
          <t>2022-03-01</t>
        </is>
      </c>
      <c r="B24" t="inlineStr">
        <is>
          <t>01-03-2022</t>
        </is>
      </c>
      <c r="C24" t="inlineStr">
        <is>
          <t>Licitación Caren y Socoepa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mar 2022</t>
        </is>
      </c>
      <c r="G24" t="inlineStr">
        <is>
          <t>2022-04-08 16:46:18</t>
        </is>
      </c>
      <c r="H24" t="n">
        <v>33</v>
      </c>
      <c r="I24" t="n">
        <v>24413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SOCOEPA</t>
        </is>
      </c>
      <c r="O24" t="inlineStr">
        <is>
          <t>2013/03-2</t>
        </is>
      </c>
      <c r="P24" t="inlineStr">
        <is>
          <t>SOCOEPA</t>
        </is>
      </c>
      <c r="Q24" t="n">
        <v>3</v>
      </c>
      <c r="R24" t="inlineStr">
        <is>
          <t>VALDIVIA 220</t>
        </is>
      </c>
      <c r="U24" t="n">
        <v>15.233243</v>
      </c>
      <c r="V24" t="n">
        <v>86591</v>
      </c>
      <c r="W24" t="n">
        <v>5684.37</v>
      </c>
    </row>
    <row r="25">
      <c r="A25" t="inlineStr">
        <is>
          <t>2022-03-01</t>
        </is>
      </c>
      <c r="B25" t="inlineStr">
        <is>
          <t>01-03-2022</t>
        </is>
      </c>
      <c r="C25" t="inlineStr">
        <is>
          <t>Licitación Caren y Socoepa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mar 2022</t>
        </is>
      </c>
      <c r="G25" t="inlineStr">
        <is>
          <t>2022-04-08 16:46:18</t>
        </is>
      </c>
      <c r="H25" t="n">
        <v>33</v>
      </c>
      <c r="I25" t="n">
        <v>24413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SOCOEPA</t>
        </is>
      </c>
      <c r="O25" t="inlineStr">
        <is>
          <t>2013/03-2</t>
        </is>
      </c>
      <c r="P25" t="inlineStr">
        <is>
          <t>SOCOEPA</t>
        </is>
      </c>
      <c r="Q25" t="n">
        <v>3</v>
      </c>
      <c r="R25" t="inlineStr">
        <is>
          <t>VALDIVIA 220</t>
        </is>
      </c>
      <c r="S25" t="n">
        <v>8846.051067</v>
      </c>
      <c r="T25" t="n">
        <v>648203</v>
      </c>
      <c r="W25" t="n">
        <v>73.276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S2" t="n">
        <v>3146.500682</v>
      </c>
      <c r="T2" t="n">
        <v>229905</v>
      </c>
      <c r="W2" t="n">
        <v>73.06699999999999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S3" t="n">
        <v>50.30047</v>
      </c>
      <c r="T3" t="n">
        <v>3801</v>
      </c>
      <c r="W3" t="n">
        <v>75.559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S4" t="n">
        <v>7274.060976</v>
      </c>
      <c r="T4" t="n">
        <v>533014</v>
      </c>
      <c r="W4" t="n">
        <v>73.276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Socoepa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ene 2022</t>
        </is>
      </c>
      <c r="G5" t="inlineStr">
        <is>
          <t>2022-02-18 15:35:04</t>
        </is>
      </c>
      <c r="H5" t="n">
        <v>33</v>
      </c>
      <c r="I5" t="n">
        <v>23340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S5" t="n">
        <v>5110.865095</v>
      </c>
      <c r="T5" t="n">
        <v>373436</v>
      </c>
      <c r="W5" t="n">
        <v>73.06699999999999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Socoepa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ene 2022</t>
        </is>
      </c>
      <c r="G6" t="inlineStr">
        <is>
          <t>2022-02-18 15:35:04</t>
        </is>
      </c>
      <c r="H6" t="n">
        <v>33</v>
      </c>
      <c r="I6" t="n">
        <v>23340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S6" t="n">
        <v>104.261837</v>
      </c>
      <c r="T6" t="n">
        <v>7878</v>
      </c>
      <c r="W6" t="n">
        <v>75.559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Socoepa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ene 2022</t>
        </is>
      </c>
      <c r="G7" t="inlineStr">
        <is>
          <t>2022-02-18 15:35:04</t>
        </is>
      </c>
      <c r="H7" t="n">
        <v>33</v>
      </c>
      <c r="I7" t="n">
        <v>23340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S7" t="n">
        <v>10902.754212</v>
      </c>
      <c r="T7" t="n">
        <v>798910</v>
      </c>
      <c r="W7" t="n">
        <v>73.276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Socoepa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feb 2022</t>
        </is>
      </c>
      <c r="G8" t="inlineStr">
        <is>
          <t>2022-03-09 14:58:20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S8" t="n">
        <v>4932.168584</v>
      </c>
      <c r="T8" t="n">
        <v>360379</v>
      </c>
      <c r="W8" t="n">
        <v>73.06699999999999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Socoepa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feb 2022</t>
        </is>
      </c>
      <c r="G9" t="inlineStr">
        <is>
          <t>2022-03-09 14:58:20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S9" t="n">
        <v>100.874662</v>
      </c>
      <c r="T9" t="n">
        <v>7622</v>
      </c>
      <c r="W9" t="n">
        <v>75.559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Socoepa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feb 2022</t>
        </is>
      </c>
      <c r="G10" t="inlineStr">
        <is>
          <t>2022-03-09 14:58:20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S10" t="n">
        <v>10864.909866</v>
      </c>
      <c r="T10" t="n">
        <v>796137</v>
      </c>
      <c r="W10" t="n">
        <v>73.276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Caren y Socoepa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mar 2022</t>
        </is>
      </c>
      <c r="G11" t="inlineStr">
        <is>
          <t>2022-04-08 16:46:18</t>
        </is>
      </c>
      <c r="H11" t="n">
        <v>33</v>
      </c>
      <c r="I11" t="n">
        <v>24413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S11" t="n">
        <v>3838.754158</v>
      </c>
      <c r="T11" t="n">
        <v>280486</v>
      </c>
      <c r="W11" t="n">
        <v>73.06699999999999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Caren y Socoepa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mar 2022</t>
        </is>
      </c>
      <c r="G12" t="inlineStr">
        <is>
          <t>2022-04-08 16:46:18</t>
        </is>
      </c>
      <c r="H12" t="n">
        <v>33</v>
      </c>
      <c r="I12" t="n">
        <v>24413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S12" t="n">
        <v>78.804877</v>
      </c>
      <c r="T12" t="n">
        <v>5954</v>
      </c>
      <c r="W12" t="n">
        <v>75.559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Caren y Socoepa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mar 2022</t>
        </is>
      </c>
      <c r="G13" t="inlineStr">
        <is>
          <t>2022-04-08 16:46:18</t>
        </is>
      </c>
      <c r="H13" t="n">
        <v>33</v>
      </c>
      <c r="I13" t="n">
        <v>24413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S13" t="n">
        <v>8846.051067</v>
      </c>
      <c r="T13" t="n">
        <v>648203</v>
      </c>
      <c r="W13" t="n">
        <v>73.276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NombreComprador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Socoepa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2021</t>
        </is>
      </c>
      <c r="G2" t="inlineStr">
        <is>
          <t>2021-11-17 11:53:12</t>
        </is>
      </c>
      <c r="H2" t="n">
        <v>33</v>
      </c>
      <c r="I2" t="n">
        <v>22202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SOCOEPA</t>
        </is>
      </c>
      <c r="O2" t="inlineStr">
        <is>
          <t>2013/03-2</t>
        </is>
      </c>
      <c r="P2" t="inlineStr">
        <is>
          <t>SOCOEPA</t>
        </is>
      </c>
      <c r="Q2" t="n">
        <v>1</v>
      </c>
      <c r="R2" t="inlineStr">
        <is>
          <t>B.BLANCO 220</t>
        </is>
      </c>
      <c r="U2" t="n">
        <v>7</v>
      </c>
      <c r="V2" t="n">
        <v>36563</v>
      </c>
      <c r="W2" t="n">
        <v>5223.261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Socoepa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2021</t>
        </is>
      </c>
      <c r="G3" t="inlineStr">
        <is>
          <t>2021-11-17 11:53:12</t>
        </is>
      </c>
      <c r="H3" t="n">
        <v>33</v>
      </c>
      <c r="I3" t="n">
        <v>22202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SOCOEPA</t>
        </is>
      </c>
      <c r="O3" t="inlineStr">
        <is>
          <t>2013/03-2</t>
        </is>
      </c>
      <c r="P3" t="inlineStr">
        <is>
          <t>SOCOEPA</t>
        </is>
      </c>
      <c r="Q3" t="n">
        <v>2</v>
      </c>
      <c r="R3" t="inlineStr">
        <is>
          <t>MELIPULLI 220</t>
        </is>
      </c>
      <c r="U3" t="n">
        <v>0</v>
      </c>
      <c r="V3" t="n">
        <v>0</v>
      </c>
      <c r="W3" t="n">
        <v>5566.808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Socoepa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2021</t>
        </is>
      </c>
      <c r="G4" t="inlineStr">
        <is>
          <t>2021-11-17 11:53:12</t>
        </is>
      </c>
      <c r="H4" t="n">
        <v>33</v>
      </c>
      <c r="I4" t="n">
        <v>22202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SOCOEPA</t>
        </is>
      </c>
      <c r="O4" t="inlineStr">
        <is>
          <t>2013/03-2</t>
        </is>
      </c>
      <c r="P4" t="inlineStr">
        <is>
          <t>SOCOEPA</t>
        </is>
      </c>
      <c r="Q4" t="n">
        <v>3</v>
      </c>
      <c r="R4" t="inlineStr">
        <is>
          <t>VALDIVIA 220</t>
        </is>
      </c>
      <c r="U4" t="n">
        <v>16</v>
      </c>
      <c r="V4" t="n">
        <v>90950</v>
      </c>
      <c r="W4" t="n">
        <v>5684.37</v>
      </c>
    </row>
    <row r="5">
      <c r="A5" t="inlineStr">
        <is>
          <t>2022-01-01</t>
        </is>
      </c>
      <c r="B5" t="inlineStr">
        <is>
          <t>01-01-2022</t>
        </is>
      </c>
      <c r="C5" t="inlineStr">
        <is>
          <t>Licitación Caren y Socoepa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ene 2022</t>
        </is>
      </c>
      <c r="G5" t="inlineStr">
        <is>
          <t>2022-02-18 15:35:04</t>
        </is>
      </c>
      <c r="H5" t="n">
        <v>33</v>
      </c>
      <c r="I5" t="n">
        <v>23340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SOCOEPA</t>
        </is>
      </c>
      <c r="O5" t="inlineStr">
        <is>
          <t>2013/03-2</t>
        </is>
      </c>
      <c r="P5" t="inlineStr">
        <is>
          <t>SOCOEPA</t>
        </is>
      </c>
      <c r="Q5" t="n">
        <v>1</v>
      </c>
      <c r="R5" t="inlineStr">
        <is>
          <t>B.BLANCO 220</t>
        </is>
      </c>
      <c r="U5" t="n">
        <v>6.873972</v>
      </c>
      <c r="V5" t="n">
        <v>35905</v>
      </c>
      <c r="W5" t="n">
        <v>5223.261</v>
      </c>
    </row>
    <row r="6">
      <c r="A6" t="inlineStr">
        <is>
          <t>2022-01-01</t>
        </is>
      </c>
      <c r="B6" t="inlineStr">
        <is>
          <t>01-01-2022</t>
        </is>
      </c>
      <c r="C6" t="inlineStr">
        <is>
          <t>Licitación Caren y Socoepa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ene 2022</t>
        </is>
      </c>
      <c r="G6" t="inlineStr">
        <is>
          <t>2022-02-18 15:35:04</t>
        </is>
      </c>
      <c r="H6" t="n">
        <v>33</v>
      </c>
      <c r="I6" t="n">
        <v>23340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SOCOEPA</t>
        </is>
      </c>
      <c r="O6" t="inlineStr">
        <is>
          <t>2013/03-2</t>
        </is>
      </c>
      <c r="P6" t="inlineStr">
        <is>
          <t>SOCOEPA</t>
        </is>
      </c>
      <c r="Q6" t="n">
        <v>2</v>
      </c>
      <c r="R6" t="inlineStr">
        <is>
          <t>MELIPULLI 220</t>
        </is>
      </c>
      <c r="U6" t="n">
        <v>0.140381</v>
      </c>
      <c r="V6" t="n">
        <v>781</v>
      </c>
      <c r="W6" t="n">
        <v>5566.808</v>
      </c>
    </row>
    <row r="7">
      <c r="A7" t="inlineStr">
        <is>
          <t>2022-01-01</t>
        </is>
      </c>
      <c r="B7" t="inlineStr">
        <is>
          <t>01-01-2022</t>
        </is>
      </c>
      <c r="C7" t="inlineStr">
        <is>
          <t>Licitación Caren y Socoepa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ene 2022</t>
        </is>
      </c>
      <c r="G7" t="inlineStr">
        <is>
          <t>2022-02-18 15:35:04</t>
        </is>
      </c>
      <c r="H7" t="n">
        <v>33</v>
      </c>
      <c r="I7" t="n">
        <v>23340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SOCOEPA</t>
        </is>
      </c>
      <c r="O7" t="inlineStr">
        <is>
          <t>2013/03-2</t>
        </is>
      </c>
      <c r="P7" t="inlineStr">
        <is>
          <t>SOCOEPA</t>
        </is>
      </c>
      <c r="Q7" t="n">
        <v>3</v>
      </c>
      <c r="R7" t="inlineStr">
        <is>
          <t>VALDIVIA 220</t>
        </is>
      </c>
      <c r="U7" t="n">
        <v>14.865647</v>
      </c>
      <c r="V7" t="n">
        <v>84502</v>
      </c>
      <c r="W7" t="n">
        <v>5684.37</v>
      </c>
    </row>
    <row r="8">
      <c r="A8" t="inlineStr">
        <is>
          <t>2022-02-01</t>
        </is>
      </c>
      <c r="B8" t="inlineStr">
        <is>
          <t>01-02-2022</t>
        </is>
      </c>
      <c r="C8" t="inlineStr">
        <is>
          <t>Licitación Caren y Socoepa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feb 2022</t>
        </is>
      </c>
      <c r="G8" t="inlineStr">
        <is>
          <t>2022-03-09 14:58:20</t>
        </is>
      </c>
      <c r="H8" t="n">
        <v>33</v>
      </c>
      <c r="I8" t="n">
        <v>23691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SOCOEPA</t>
        </is>
      </c>
      <c r="O8" t="inlineStr">
        <is>
          <t>2013/03-2</t>
        </is>
      </c>
      <c r="P8" t="inlineStr">
        <is>
          <t>SOCOEPA</t>
        </is>
      </c>
      <c r="Q8" t="n">
        <v>1</v>
      </c>
      <c r="R8" t="inlineStr">
        <is>
          <t>B.BLANCO 220</t>
        </is>
      </c>
      <c r="U8" t="n">
        <v>6.746403</v>
      </c>
      <c r="V8" t="n">
        <v>35238</v>
      </c>
      <c r="W8" t="n">
        <v>5223.261</v>
      </c>
    </row>
    <row r="9">
      <c r="A9" t="inlineStr">
        <is>
          <t>2022-02-01</t>
        </is>
      </c>
      <c r="B9" t="inlineStr">
        <is>
          <t>01-02-2022</t>
        </is>
      </c>
      <c r="C9" t="inlineStr">
        <is>
          <t>Licitación Caren y Socoepa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feb 2022</t>
        </is>
      </c>
      <c r="G9" t="inlineStr">
        <is>
          <t>2022-03-09 14:58:20</t>
        </is>
      </c>
      <c r="H9" t="n">
        <v>33</v>
      </c>
      <c r="I9" t="n">
        <v>23691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SOCOEPA</t>
        </is>
      </c>
      <c r="O9" t="inlineStr">
        <is>
          <t>2013/03-2</t>
        </is>
      </c>
      <c r="P9" t="inlineStr">
        <is>
          <t>SOCOEPA</t>
        </is>
      </c>
      <c r="Q9" t="n">
        <v>2</v>
      </c>
      <c r="R9" t="inlineStr">
        <is>
          <t>MELIPULLI 220</t>
        </is>
      </c>
      <c r="U9" t="n">
        <v>0.138081</v>
      </c>
      <c r="V9" t="n">
        <v>769</v>
      </c>
      <c r="W9" t="n">
        <v>5566.808</v>
      </c>
    </row>
    <row r="10">
      <c r="A10" t="inlineStr">
        <is>
          <t>2022-02-01</t>
        </is>
      </c>
      <c r="B10" t="inlineStr">
        <is>
          <t>01-02-2022</t>
        </is>
      </c>
      <c r="C10" t="inlineStr">
        <is>
          <t>Licitación Caren y Socoepa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feb 2022</t>
        </is>
      </c>
      <c r="G10" t="inlineStr">
        <is>
          <t>2022-03-09 14:58:20</t>
        </is>
      </c>
      <c r="H10" t="n">
        <v>33</v>
      </c>
      <c r="I10" t="n">
        <v>23691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SOCOEPA</t>
        </is>
      </c>
      <c r="O10" t="inlineStr">
        <is>
          <t>2013/03-2</t>
        </is>
      </c>
      <c r="P10" t="inlineStr">
        <is>
          <t>SOCOEPA</t>
        </is>
      </c>
      <c r="Q10" t="n">
        <v>3</v>
      </c>
      <c r="R10" t="inlineStr">
        <is>
          <t>VALDIVIA 220</t>
        </is>
      </c>
      <c r="U10" t="n">
        <v>14.995517</v>
      </c>
      <c r="V10" t="n">
        <v>85240</v>
      </c>
      <c r="W10" t="n">
        <v>5684.37</v>
      </c>
    </row>
    <row r="11">
      <c r="A11" t="inlineStr">
        <is>
          <t>2022-03-01</t>
        </is>
      </c>
      <c r="B11" t="inlineStr">
        <is>
          <t>01-03-2022</t>
        </is>
      </c>
      <c r="C11" t="inlineStr">
        <is>
          <t>Licitación Caren y Socoepa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mar 2022</t>
        </is>
      </c>
      <c r="G11" t="inlineStr">
        <is>
          <t>2022-04-08 16:46:18</t>
        </is>
      </c>
      <c r="H11" t="n">
        <v>33</v>
      </c>
      <c r="I11" t="n">
        <v>24413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SOCOEPA</t>
        </is>
      </c>
      <c r="O11" t="inlineStr">
        <is>
          <t>2013/03-2</t>
        </is>
      </c>
      <c r="P11" t="inlineStr">
        <is>
          <t>SOCOEPA</t>
        </is>
      </c>
      <c r="Q11" t="n">
        <v>1</v>
      </c>
      <c r="R11" t="inlineStr">
        <is>
          <t>B.BLANCO 220</t>
        </is>
      </c>
      <c r="U11" t="n">
        <v>6.512886</v>
      </c>
      <c r="V11" t="n">
        <v>34019</v>
      </c>
      <c r="W11" t="n">
        <v>5223.261</v>
      </c>
    </row>
    <row r="12">
      <c r="A12" t="inlineStr">
        <is>
          <t>2022-03-01</t>
        </is>
      </c>
      <c r="B12" t="inlineStr">
        <is>
          <t>01-03-2022</t>
        </is>
      </c>
      <c r="C12" t="inlineStr">
        <is>
          <t>Licitación Caren y Socoepa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mar 2022</t>
        </is>
      </c>
      <c r="G12" t="inlineStr">
        <is>
          <t>2022-04-08 16:46:18</t>
        </is>
      </c>
      <c r="H12" t="n">
        <v>33</v>
      </c>
      <c r="I12" t="n">
        <v>24413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SOCOEPA</t>
        </is>
      </c>
      <c r="O12" t="inlineStr">
        <is>
          <t>2013/03-2</t>
        </is>
      </c>
      <c r="P12" t="inlineStr">
        <is>
          <t>SOCOEPA</t>
        </is>
      </c>
      <c r="Q12" t="n">
        <v>2</v>
      </c>
      <c r="R12" t="inlineStr">
        <is>
          <t>MELIPULLI 220</t>
        </is>
      </c>
      <c r="U12" t="n">
        <v>0.133871</v>
      </c>
      <c r="V12" t="n">
        <v>745</v>
      </c>
      <c r="W12" t="n">
        <v>5566.808</v>
      </c>
    </row>
    <row r="13">
      <c r="A13" t="inlineStr">
        <is>
          <t>2022-03-01</t>
        </is>
      </c>
      <c r="B13" t="inlineStr">
        <is>
          <t>01-03-2022</t>
        </is>
      </c>
      <c r="C13" t="inlineStr">
        <is>
          <t>Licitación Caren y Socoepa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mar 2022</t>
        </is>
      </c>
      <c r="G13" t="inlineStr">
        <is>
          <t>2022-04-08 16:46:18</t>
        </is>
      </c>
      <c r="H13" t="n">
        <v>33</v>
      </c>
      <c r="I13" t="n">
        <v>24413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SOCOEPA</t>
        </is>
      </c>
      <c r="O13" t="inlineStr">
        <is>
          <t>2013/03-2</t>
        </is>
      </c>
      <c r="P13" t="inlineStr">
        <is>
          <t>SOCOEPA</t>
        </is>
      </c>
      <c r="Q13" t="n">
        <v>3</v>
      </c>
      <c r="R13" t="inlineStr">
        <is>
          <t>VALDIVIA 220</t>
        </is>
      </c>
      <c r="U13" t="n">
        <v>15.233243</v>
      </c>
      <c r="V13" t="n">
        <v>86591</v>
      </c>
      <c r="W13" t="n">
        <v>5684.37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Los Lagos 13.8</t>
        </is>
      </c>
      <c r="F2" t="inlineStr">
        <is>
          <t>Socoepa</t>
        </is>
      </c>
      <c r="G2" t="inlineStr">
        <is>
          <t>Socoepa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2013/03_2_BS3_BB_SOCOEPA_Empresa Eléctrica Carén S.A.</t>
        </is>
      </c>
      <c r="K2" t="inlineStr">
        <is>
          <t>Los Lagos 13.8</t>
        </is>
      </c>
      <c r="L2" t="inlineStr">
        <is>
          <t>-1</t>
        </is>
      </c>
      <c r="M2" t="n">
        <v>6978.017585925287</v>
      </c>
      <c r="N2" t="n">
        <v>13.9345499219556</v>
      </c>
      <c r="O2" t="inlineStr">
        <is>
          <t>6</t>
        </is>
      </c>
      <c r="P2" s="2" t="n">
        <v>45041.74145609954</v>
      </c>
      <c r="Q2" t="n">
        <v>6</v>
      </c>
      <c r="R2" t="inlineStr">
        <is>
          <t>MELIPULLI 220</t>
        </is>
      </c>
      <c r="S2" t="n">
        <v>22.39425879141865</v>
      </c>
      <c r="T2" t="n">
        <v>1692.165487824452</v>
      </c>
      <c r="U2" t="n">
        <v>0.04485180940915413</v>
      </c>
      <c r="V2" t="n">
        <v>249.546866857014</v>
      </c>
      <c r="W2" t="inlineStr">
        <is>
          <t>SOCOEPA</t>
        </is>
      </c>
      <c r="X2" t="n">
        <v>80.385605419854</v>
      </c>
      <c r="Y2" t="n">
        <v>1.692165487824452</v>
      </c>
      <c r="Z2" t="n">
        <v>1800.176050877076</v>
      </c>
      <c r="AA2" t="n">
        <v>297.4336911287413</v>
      </c>
      <c r="AB2" t="n">
        <v>249.546866857014</v>
      </c>
      <c r="AC2" t="n">
        <v>297.4336911287413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Los Lagos 13.8</t>
        </is>
      </c>
      <c r="F3" t="inlineStr">
        <is>
          <t>Socoepa</t>
        </is>
      </c>
      <c r="G3" t="inlineStr">
        <is>
          <t>Socoepa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2013/03_2_BS3_BB_SOCOEPA_Empresa Eléctrica Carén S.A.</t>
        </is>
      </c>
      <c r="K3" t="inlineStr">
        <is>
          <t>Los Lagos 13.8</t>
        </is>
      </c>
      <c r="L3" t="inlineStr">
        <is>
          <t>-1</t>
        </is>
      </c>
      <c r="M3" t="n">
        <v>6978.017585925287</v>
      </c>
      <c r="N3" t="n">
        <v>13.9345499219556</v>
      </c>
      <c r="O3" t="inlineStr">
        <is>
          <t>6</t>
        </is>
      </c>
      <c r="P3" s="2" t="n">
        <v>45041.74145609954</v>
      </c>
      <c r="Q3" t="n">
        <v>68</v>
      </c>
      <c r="R3" t="inlineStr">
        <is>
          <t>RAHUE 220</t>
        </is>
      </c>
      <c r="S3" t="n">
        <v>1343.098704802401</v>
      </c>
      <c r="T3" t="n">
        <v>98140.12571322157</v>
      </c>
      <c r="U3" t="n">
        <v>2.689993345462401</v>
      </c>
      <c r="V3" t="n">
        <v>14042.96490677135</v>
      </c>
      <c r="W3" t="inlineStr">
        <is>
          <t>SOCOEPA</t>
        </is>
      </c>
      <c r="X3" t="n">
        <v>77.73396600213302</v>
      </c>
      <c r="Y3" t="n">
        <v>98.14012571322156</v>
      </c>
      <c r="Z3" t="n">
        <v>104404.3890566187</v>
      </c>
      <c r="AA3" t="n">
        <v>16737.74124764166</v>
      </c>
      <c r="AB3" t="n">
        <v>14042.96490677135</v>
      </c>
      <c r="AC3" t="n">
        <v>16737.74124764166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Los Lagos 13.8</t>
        </is>
      </c>
      <c r="F4" t="inlineStr">
        <is>
          <t>Socoepa</t>
        </is>
      </c>
      <c r="G4" t="inlineStr">
        <is>
          <t>Socoepa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2013/03_2_BS3_BB_SOCOEPA_Empresa Eléctrica Carén S.A.</t>
        </is>
      </c>
      <c r="K4" t="inlineStr">
        <is>
          <t>Los Lagos 13.8</t>
        </is>
      </c>
      <c r="L4" t="inlineStr">
        <is>
          <t>-1</t>
        </is>
      </c>
      <c r="M4" t="n">
        <v>6978.017585925287</v>
      </c>
      <c r="N4" t="n">
        <v>13.9345499219556</v>
      </c>
      <c r="O4" t="inlineStr">
        <is>
          <t>6</t>
        </is>
      </c>
      <c r="P4" s="2" t="n">
        <v>45041.74145609954</v>
      </c>
      <c r="Q4" t="n">
        <v>17</v>
      </c>
      <c r="R4" t="inlineStr">
        <is>
          <t>VALDIVIA 220</t>
        </is>
      </c>
      <c r="S4" t="n">
        <v>5743.984371907876</v>
      </c>
      <c r="T4" t="n">
        <v>420913.6251220123</v>
      </c>
      <c r="U4" t="n">
        <v>11.50420269308906</v>
      </c>
      <c r="V4" t="n">
        <v>65358.89953924418</v>
      </c>
      <c r="W4" t="inlineStr">
        <is>
          <t>SOCOEPA</t>
        </is>
      </c>
      <c r="X4" t="n">
        <v>77.956418970675</v>
      </c>
      <c r="Y4" t="n">
        <v>420.9136251220123</v>
      </c>
      <c r="Z4" t="n">
        <v>447780.4522574599</v>
      </c>
      <c r="AA4" t="n">
        <v>77900.95296691798</v>
      </c>
      <c r="AB4" t="n">
        <v>65358.89953924418</v>
      </c>
      <c r="AC4" t="n">
        <v>77900.95296691798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Paillaco 13.8</t>
        </is>
      </c>
      <c r="F5" t="inlineStr">
        <is>
          <t>Socoepa</t>
        </is>
      </c>
      <c r="G5" t="inlineStr">
        <is>
          <t>Socoepa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2013/03_2_BS3_BB_SOCOEPA_Empresa Eléctrica Carén S.A.</t>
        </is>
      </c>
      <c r="K5" t="inlineStr">
        <is>
          <t>Paillaco 13.8</t>
        </is>
      </c>
      <c r="L5" t="inlineStr">
        <is>
          <t>-1</t>
        </is>
      </c>
      <c r="M5" t="n">
        <v>4015.074839532904</v>
      </c>
      <c r="N5" t="n">
        <v>7.110179441365267</v>
      </c>
      <c r="O5" t="inlineStr">
        <is>
          <t>6</t>
        </is>
      </c>
      <c r="P5" s="2" t="n">
        <v>45041.74145609954</v>
      </c>
      <c r="Q5" t="n">
        <v>6</v>
      </c>
      <c r="R5" t="inlineStr">
        <is>
          <t>MELIPULLI 220</t>
        </is>
      </c>
      <c r="S5" t="n">
        <v>30.29355676220558</v>
      </c>
      <c r="T5" t="n">
        <v>2289.055946611571</v>
      </c>
      <c r="U5" t="n">
        <v>0.05380462048519567</v>
      </c>
      <c r="V5" t="n">
        <v>299.3585909105136</v>
      </c>
      <c r="W5" t="inlineStr">
        <is>
          <t>SOCOEPA</t>
        </is>
      </c>
      <c r="X5" t="n">
        <v>80.38560541985403</v>
      </c>
      <c r="Y5" t="n">
        <v>2.289055946611572</v>
      </c>
      <c r="Z5" t="n">
        <v>2435.165900650608</v>
      </c>
      <c r="AA5" t="n">
        <v>356.8040416096705</v>
      </c>
      <c r="AB5" t="n">
        <v>299.3585909105136</v>
      </c>
      <c r="AC5" t="n">
        <v>356.8040416096705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Paillaco 13.8</t>
        </is>
      </c>
      <c r="F6" t="inlineStr">
        <is>
          <t>Socoepa</t>
        </is>
      </c>
      <c r="G6" t="inlineStr">
        <is>
          <t>Socoepa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2013/03_2_BS3_BB_SOCOEPA_Empresa Eléctrica Carén S.A.</t>
        </is>
      </c>
      <c r="K6" t="inlineStr">
        <is>
          <t>Paillaco 13.8</t>
        </is>
      </c>
      <c r="L6" t="inlineStr">
        <is>
          <t>-1</t>
        </is>
      </c>
      <c r="M6" t="n">
        <v>4015.074839532904</v>
      </c>
      <c r="N6" t="n">
        <v>7.110179441365267</v>
      </c>
      <c r="O6" t="inlineStr">
        <is>
          <t>6</t>
        </is>
      </c>
      <c r="P6" s="2" t="n">
        <v>45041.74145609954</v>
      </c>
      <c r="Q6" t="n">
        <v>68</v>
      </c>
      <c r="R6" t="inlineStr">
        <is>
          <t>RAHUE 220</t>
        </is>
      </c>
      <c r="S6" t="n">
        <v>2032.909429519296</v>
      </c>
      <c r="T6" t="n">
        <v>148544.5457308884</v>
      </c>
      <c r="U6" t="n">
        <v>3.610666162268683</v>
      </c>
      <c r="V6" t="n">
        <v>18849.2875985498</v>
      </c>
      <c r="W6" t="inlineStr">
        <is>
          <t>SOCOEPA</t>
        </is>
      </c>
      <c r="X6" t="n">
        <v>77.733966002133</v>
      </c>
      <c r="Y6" t="n">
        <v>148.5445457308884</v>
      </c>
      <c r="Z6" t="n">
        <v>158026.1124796685</v>
      </c>
      <c r="AA6" t="n">
        <v>22466.37377657902</v>
      </c>
      <c r="AB6" t="n">
        <v>18849.2875985498</v>
      </c>
      <c r="AC6" t="n">
        <v>22466.37377657902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Paillaco 13.8</t>
        </is>
      </c>
      <c r="F7" t="inlineStr">
        <is>
          <t>Socoepa</t>
        </is>
      </c>
      <c r="G7" t="inlineStr">
        <is>
          <t>Socoepa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2013/03_2_BS3_BB_SOCOEPA_Empresa Eléctrica Carén S.A.</t>
        </is>
      </c>
      <c r="K7" t="inlineStr">
        <is>
          <t>Paillaco 13.8</t>
        </is>
      </c>
      <c r="L7" t="inlineStr">
        <is>
          <t>-1</t>
        </is>
      </c>
      <c r="M7" t="n">
        <v>4015.074839532904</v>
      </c>
      <c r="N7" t="n">
        <v>7.110179441365267</v>
      </c>
      <c r="O7" t="inlineStr">
        <is>
          <t>6</t>
        </is>
      </c>
      <c r="P7" s="2" t="n">
        <v>45041.74145609954</v>
      </c>
      <c r="Q7" t="n">
        <v>17</v>
      </c>
      <c r="R7" t="inlineStr">
        <is>
          <t>VALDIVIA 220</t>
        </is>
      </c>
      <c r="S7" t="n">
        <v>2027.512352352491</v>
      </c>
      <c r="T7" t="n">
        <v>148574.1462637171</v>
      </c>
      <c r="U7" t="n">
        <v>3.601080371766476</v>
      </c>
      <c r="V7" t="n">
        <v>20458.84069761905</v>
      </c>
      <c r="W7" t="inlineStr">
        <is>
          <t>SOCOEPA</t>
        </is>
      </c>
      <c r="X7" t="n">
        <v>77.95641897067502</v>
      </c>
      <c r="Y7" t="n">
        <v>148.5741462637171</v>
      </c>
      <c r="Z7" t="n">
        <v>158057.6024082096</v>
      </c>
      <c r="AA7" t="n">
        <v>24384.79224984391</v>
      </c>
      <c r="AB7" t="n">
        <v>20458.84069761905</v>
      </c>
      <c r="AC7" t="n">
        <v>24384.79224984391</v>
      </c>
      <c r="AD7" s="2" t="n">
        <v>44470</v>
      </c>
    </row>
    <row r="8">
      <c r="A8" t="n">
        <v>-1</v>
      </c>
      <c r="B8" t="inlineStr">
        <is>
          <t>01-11-2021</t>
        </is>
      </c>
      <c r="C8" t="n">
        <v>2021</v>
      </c>
      <c r="D8" t="n">
        <v>11</v>
      </c>
      <c r="E8" t="inlineStr">
        <is>
          <t>Los Lagos 13.8</t>
        </is>
      </c>
      <c r="F8" t="inlineStr">
        <is>
          <t>Socoepa</t>
        </is>
      </c>
      <c r="G8" t="inlineStr">
        <is>
          <t>Socoepa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2013/03_2_BS3_BB_SOCOEPA_Empresa Eléctrica Carén S.A.</t>
        </is>
      </c>
      <c r="K8" t="inlineStr">
        <is>
          <t>Los Lagos 13.8</t>
        </is>
      </c>
      <c r="L8" t="inlineStr">
        <is>
          <t>-1</t>
        </is>
      </c>
      <c r="M8" t="n">
        <v>5950.318223715631</v>
      </c>
      <c r="N8" t="n">
        <v>11.00724822532041</v>
      </c>
      <c r="O8" t="inlineStr">
        <is>
          <t>6</t>
        </is>
      </c>
      <c r="P8" s="2" t="n">
        <v>45041.74145609954</v>
      </c>
      <c r="Q8" t="n">
        <v>6</v>
      </c>
      <c r="R8" t="inlineStr">
        <is>
          <t>MELIPULLI 220</t>
        </is>
      </c>
      <c r="S8" t="n">
        <v>19.09610638728607</v>
      </c>
      <c r="T8" t="n">
        <v>1442.948948717695</v>
      </c>
      <c r="U8" t="n">
        <v>0.03542956193679737</v>
      </c>
      <c r="V8" t="n">
        <v>197.1232887126246</v>
      </c>
      <c r="W8" t="inlineStr">
        <is>
          <t>SOCOEPA</t>
        </is>
      </c>
      <c r="X8" t="n">
        <v>80.38560541985402</v>
      </c>
      <c r="Y8" t="n">
        <v>1.442948948717696</v>
      </c>
      <c r="Z8" t="n">
        <v>1535.052073103931</v>
      </c>
      <c r="AA8" t="n">
        <v>234.9502845204108</v>
      </c>
      <c r="AB8" t="n">
        <v>197.1232887126246</v>
      </c>
      <c r="AC8" t="n">
        <v>234.9502845204108</v>
      </c>
      <c r="AD8" s="2" t="n">
        <v>44501</v>
      </c>
    </row>
    <row r="9">
      <c r="A9" t="n">
        <v>-1</v>
      </c>
      <c r="B9" t="inlineStr">
        <is>
          <t>01-11-2021</t>
        </is>
      </c>
      <c r="C9" t="n">
        <v>2021</v>
      </c>
      <c r="D9" t="n">
        <v>11</v>
      </c>
      <c r="E9" t="inlineStr">
        <is>
          <t>Los Lagos 13.8</t>
        </is>
      </c>
      <c r="F9" t="inlineStr">
        <is>
          <t>Socoepa</t>
        </is>
      </c>
      <c r="G9" t="inlineStr">
        <is>
          <t>Socoepa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2013/03_2_BS3_BB_SOCOEPA_Empresa Eléctrica Carén S.A.</t>
        </is>
      </c>
      <c r="K9" t="inlineStr">
        <is>
          <t>Los Lagos 13.8</t>
        </is>
      </c>
      <c r="L9" t="inlineStr">
        <is>
          <t>-1</t>
        </is>
      </c>
      <c r="M9" t="n">
        <v>5950.318223715631</v>
      </c>
      <c r="N9" t="n">
        <v>11.00724822532041</v>
      </c>
      <c r="O9" t="inlineStr">
        <is>
          <t>6</t>
        </is>
      </c>
      <c r="P9" s="2" t="n">
        <v>45041.74145609954</v>
      </c>
      <c r="Q9" t="n">
        <v>68</v>
      </c>
      <c r="R9" t="inlineStr">
        <is>
          <t>RAHUE 220</t>
        </is>
      </c>
      <c r="S9" t="n">
        <v>1145.291567558419</v>
      </c>
      <c r="T9" t="n">
        <v>83686.37242860881</v>
      </c>
      <c r="U9" t="n">
        <v>2.124892776860444</v>
      </c>
      <c r="V9" t="n">
        <v>11092.8879234732</v>
      </c>
      <c r="W9" t="inlineStr">
        <is>
          <t>SOCOEPA</t>
        </is>
      </c>
      <c r="X9" t="n">
        <v>77.733966002133</v>
      </c>
      <c r="Y9" t="n">
        <v>83.68637242860881</v>
      </c>
      <c r="Z9" t="n">
        <v>89028.05577511576</v>
      </c>
      <c r="AA9" t="n">
        <v>13221.55890759619</v>
      </c>
      <c r="AB9" t="n">
        <v>11092.8879234732</v>
      </c>
      <c r="AC9" t="n">
        <v>13221.55890759619</v>
      </c>
      <c r="AD9" s="2" t="n">
        <v>44501</v>
      </c>
    </row>
    <row r="10">
      <c r="A10" t="n">
        <v>-1</v>
      </c>
      <c r="B10" t="inlineStr">
        <is>
          <t>01-11-2021</t>
        </is>
      </c>
      <c r="C10" t="n">
        <v>2021</v>
      </c>
      <c r="D10" t="n">
        <v>11</v>
      </c>
      <c r="E10" t="inlineStr">
        <is>
          <t>Los Lagos 13.8</t>
        </is>
      </c>
      <c r="F10" t="inlineStr">
        <is>
          <t>Socoepa</t>
        </is>
      </c>
      <c r="G10" t="inlineStr">
        <is>
          <t>Socoepa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2013/03_2_BS3_BB_SOCOEPA_Empresa Eléctrica Carén S.A.</t>
        </is>
      </c>
      <c r="K10" t="inlineStr">
        <is>
          <t>Los Lagos 13.8</t>
        </is>
      </c>
      <c r="L10" t="inlineStr">
        <is>
          <t>-1</t>
        </is>
      </c>
      <c r="M10" t="n">
        <v>5950.318223715631</v>
      </c>
      <c r="N10" t="n">
        <v>11.00724822532041</v>
      </c>
      <c r="O10" t="inlineStr">
        <is>
          <t>6</t>
        </is>
      </c>
      <c r="P10" s="2" t="n">
        <v>45041.74145609954</v>
      </c>
      <c r="Q10" t="n">
        <v>17</v>
      </c>
      <c r="R10" t="inlineStr">
        <is>
          <t>VALDIVIA 220</t>
        </is>
      </c>
      <c r="S10" t="n">
        <v>4898.029342006757</v>
      </c>
      <c r="T10" t="n">
        <v>358922.8578651701</v>
      </c>
      <c r="U10" t="n">
        <v>9.087456386209524</v>
      </c>
      <c r="V10" t="n">
        <v>51628.62345691573</v>
      </c>
      <c r="W10" t="inlineStr">
        <is>
          <t>SOCOEPA</t>
        </is>
      </c>
      <c r="X10" t="n">
        <v>77.95641897067502</v>
      </c>
      <c r="Y10" t="n">
        <v>358.9228578651701</v>
      </c>
      <c r="Z10" t="n">
        <v>381832.8275161384</v>
      </c>
      <c r="AA10" t="n">
        <v>61535.90400109146</v>
      </c>
      <c r="AB10" t="n">
        <v>51628.62345691573</v>
      </c>
      <c r="AC10" t="n">
        <v>61535.90400109146</v>
      </c>
      <c r="AD10" s="2" t="n">
        <v>44501</v>
      </c>
    </row>
    <row r="11">
      <c r="A11" t="n">
        <v>-1</v>
      </c>
      <c r="B11" t="inlineStr">
        <is>
          <t>01-11-2021</t>
        </is>
      </c>
      <c r="C11" t="n">
        <v>2021</v>
      </c>
      <c r="D11" t="n">
        <v>11</v>
      </c>
      <c r="E11" t="inlineStr">
        <is>
          <t>Paillaco 13.8</t>
        </is>
      </c>
      <c r="F11" t="inlineStr">
        <is>
          <t>Socoepa</t>
        </is>
      </c>
      <c r="G11" t="inlineStr">
        <is>
          <t>Socoepa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2013/03_2_BS3_BB_SOCOEPA_Empresa Eléctrica Carén S.A.</t>
        </is>
      </c>
      <c r="K11" t="inlineStr">
        <is>
          <t>Paillaco 13.8</t>
        </is>
      </c>
      <c r="L11" t="inlineStr">
        <is>
          <t>-1</t>
        </is>
      </c>
      <c r="M11" t="n">
        <v>3796.446630365465</v>
      </c>
      <c r="N11" t="n">
        <v>5.616507922825959</v>
      </c>
      <c r="O11" t="inlineStr">
        <is>
          <t>6</t>
        </is>
      </c>
      <c r="P11" s="2" t="n">
        <v>45041.74145609954</v>
      </c>
      <c r="Q11" t="n">
        <v>6</v>
      </c>
      <c r="R11" t="inlineStr">
        <is>
          <t>MELIPULLI 220</t>
        </is>
      </c>
      <c r="S11" t="n">
        <v>28.64401688339135</v>
      </c>
      <c r="T11" t="n">
        <v>2164.412640498257</v>
      </c>
      <c r="U11" t="n">
        <v>0.04250161050530665</v>
      </c>
      <c r="V11" t="n">
        <v>236.470810825566</v>
      </c>
      <c r="W11" t="inlineStr">
        <is>
          <t>SOCOEPA</t>
        </is>
      </c>
      <c r="X11" t="n">
        <v>80.38560541985402</v>
      </c>
      <c r="Y11" t="n">
        <v>2.164412640498258</v>
      </c>
      <c r="Z11" t="n">
        <v>2302.566638827933</v>
      </c>
      <c r="AA11" t="n">
        <v>281.8484038445363</v>
      </c>
      <c r="AB11" t="n">
        <v>236.470810825566</v>
      </c>
      <c r="AC11" t="n">
        <v>281.8484038445363</v>
      </c>
      <c r="AD11" s="2" t="n">
        <v>44501</v>
      </c>
    </row>
    <row r="12">
      <c r="A12" t="n">
        <v>-1</v>
      </c>
      <c r="B12" t="inlineStr">
        <is>
          <t>01-11-2021</t>
        </is>
      </c>
      <c r="C12" t="n">
        <v>2021</v>
      </c>
      <c r="D12" t="n">
        <v>11</v>
      </c>
      <c r="E12" t="inlineStr">
        <is>
          <t>Paillaco 13.8</t>
        </is>
      </c>
      <c r="F12" t="inlineStr">
        <is>
          <t>Socoepa</t>
        </is>
      </c>
      <c r="G12" t="inlineStr">
        <is>
          <t>Socoepa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2013/03_2_BS3_BB_SOCOEPA_Empresa Eléctrica Carén S.A.</t>
        </is>
      </c>
      <c r="K12" t="inlineStr">
        <is>
          <t>Paillaco 13.8</t>
        </is>
      </c>
      <c r="L12" t="inlineStr">
        <is>
          <t>-1</t>
        </is>
      </c>
      <c r="M12" t="n">
        <v>3796.446630365465</v>
      </c>
      <c r="N12" t="n">
        <v>5.616507922825959</v>
      </c>
      <c r="O12" t="inlineStr">
        <is>
          <t>6</t>
        </is>
      </c>
      <c r="P12" s="2" t="n">
        <v>45041.74145609954</v>
      </c>
      <c r="Q12" t="n">
        <v>68</v>
      </c>
      <c r="R12" t="inlineStr">
        <is>
          <t>RAHUE 220</t>
        </is>
      </c>
      <c r="S12" t="n">
        <v>1922.213772342677</v>
      </c>
      <c r="T12" t="n">
        <v>140456.0220264304</v>
      </c>
      <c r="U12" t="n">
        <v>2.852155177558741</v>
      </c>
      <c r="V12" t="n">
        <v>14889.52198885038</v>
      </c>
      <c r="W12" t="inlineStr">
        <is>
          <t>SOCOEPA</t>
        </is>
      </c>
      <c r="X12" t="n">
        <v>77.73396600213302</v>
      </c>
      <c r="Y12" t="n">
        <v>140.4560220264304</v>
      </c>
      <c r="Z12" t="n">
        <v>149421.3000281175</v>
      </c>
      <c r="AA12" t="n">
        <v>17746.74849684193</v>
      </c>
      <c r="AB12" t="n">
        <v>14889.52198885038</v>
      </c>
      <c r="AC12" t="n">
        <v>17746.74849684193</v>
      </c>
      <c r="AD12" s="2" t="n">
        <v>44501</v>
      </c>
    </row>
    <row r="13">
      <c r="A13" t="n">
        <v>-1</v>
      </c>
      <c r="B13" t="inlineStr">
        <is>
          <t>01-11-2021</t>
        </is>
      </c>
      <c r="C13" t="n">
        <v>2021</v>
      </c>
      <c r="D13" t="n">
        <v>11</v>
      </c>
      <c r="E13" t="inlineStr">
        <is>
          <t>Paillaco 13.8</t>
        </is>
      </c>
      <c r="F13" t="inlineStr">
        <is>
          <t>Socoepa</t>
        </is>
      </c>
      <c r="G13" t="inlineStr">
        <is>
          <t>Socoepa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2013/03_2_BS3_BB_SOCOEPA_Empresa Eléctrica Carén S.A.</t>
        </is>
      </c>
      <c r="K13" t="inlineStr">
        <is>
          <t>Paillaco 13.8</t>
        </is>
      </c>
      <c r="L13" t="inlineStr">
        <is>
          <t>-1</t>
        </is>
      </c>
      <c r="M13" t="n">
        <v>3796.446630365465</v>
      </c>
      <c r="N13" t="n">
        <v>5.616507922825959</v>
      </c>
      <c r="O13" t="inlineStr">
        <is>
          <t>6</t>
        </is>
      </c>
      <c r="P13" s="2" t="n">
        <v>45041.74145609954</v>
      </c>
      <c r="Q13" t="n">
        <v>17</v>
      </c>
      <c r="R13" t="inlineStr">
        <is>
          <t>VALDIVIA 220</t>
        </is>
      </c>
      <c r="S13" t="n">
        <v>1917.110575953411</v>
      </c>
      <c r="T13" t="n">
        <v>140484.010755808</v>
      </c>
      <c r="U13" t="n">
        <v>2.844583122767975</v>
      </c>
      <c r="V13" t="n">
        <v>16160.94809105796</v>
      </c>
      <c r="W13" t="inlineStr">
        <is>
          <t>SOCOEPA</t>
        </is>
      </c>
      <c r="X13" t="n">
        <v>77.95641897067502</v>
      </c>
      <c r="Y13" t="n">
        <v>140.484010755808</v>
      </c>
      <c r="Z13" t="n">
        <v>149451.0752721362</v>
      </c>
      <c r="AA13" t="n">
        <v>19262.15505489626</v>
      </c>
      <c r="AB13" t="n">
        <v>16160.94809105796</v>
      </c>
      <c r="AC13" t="n">
        <v>19262.15505489626</v>
      </c>
      <c r="AD13" s="2" t="n">
        <v>44501</v>
      </c>
    </row>
    <row r="14">
      <c r="A14" t="n">
        <v>-1</v>
      </c>
      <c r="B14" t="inlineStr">
        <is>
          <t>01-12-2021</t>
        </is>
      </c>
      <c r="C14" t="n">
        <v>2021</v>
      </c>
      <c r="D14" t="n">
        <v>12</v>
      </c>
      <c r="E14" t="inlineStr">
        <is>
          <t>Los Lagos 13.8</t>
        </is>
      </c>
      <c r="F14" t="inlineStr">
        <is>
          <t>Socoepa</t>
        </is>
      </c>
      <c r="G14" t="inlineStr">
        <is>
          <t>Socoepa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2013/03_2_BS3_BB_SOCOEPA_Empresa Eléctrica Carén S.A.</t>
        </is>
      </c>
      <c r="K14" t="inlineStr">
        <is>
          <t>Los Lagos 13.8</t>
        </is>
      </c>
      <c r="L14" t="inlineStr">
        <is>
          <t>-1</t>
        </is>
      </c>
      <c r="M14" t="n">
        <v>7264.263620487015</v>
      </c>
      <c r="N14" t="n">
        <v>11.00724822532041</v>
      </c>
      <c r="O14" t="inlineStr">
        <is>
          <t>6</t>
        </is>
      </c>
      <c r="P14" s="2" t="n">
        <v>45041.74145609954</v>
      </c>
      <c r="Q14" t="n">
        <v>6</v>
      </c>
      <c r="R14" t="inlineStr">
        <is>
          <t>MELIPULLI 220</t>
        </is>
      </c>
      <c r="S14" t="n">
        <v>23.31289616902032</v>
      </c>
      <c r="T14" t="n">
        <v>1761.57999627868</v>
      </c>
      <c r="U14" t="n">
        <v>0.03542956193679739</v>
      </c>
      <c r="V14" t="n">
        <v>197.1232887126247</v>
      </c>
      <c r="W14" t="inlineStr">
        <is>
          <t>SOCOEPA</t>
        </is>
      </c>
      <c r="X14" t="n">
        <v>80.385605419854</v>
      </c>
      <c r="Y14" t="n">
        <v>1.76157999627868</v>
      </c>
      <c r="Z14" t="n">
        <v>1874.021272636893</v>
      </c>
      <c r="AA14" t="n">
        <v>234.9502845204109</v>
      </c>
      <c r="AB14" t="n">
        <v>197.1232887126247</v>
      </c>
      <c r="AC14" t="n">
        <v>234.9502845204109</v>
      </c>
      <c r="AD14" s="2" t="n">
        <v>44531</v>
      </c>
    </row>
    <row r="15">
      <c r="A15" t="n">
        <v>-1</v>
      </c>
      <c r="B15" t="inlineStr">
        <is>
          <t>01-12-2021</t>
        </is>
      </c>
      <c r="C15" t="n">
        <v>2021</v>
      </c>
      <c r="D15" t="n">
        <v>12</v>
      </c>
      <c r="E15" t="inlineStr">
        <is>
          <t>Los Lagos 13.8</t>
        </is>
      </c>
      <c r="F15" t="inlineStr">
        <is>
          <t>Socoepa</t>
        </is>
      </c>
      <c r="G15" t="inlineStr">
        <is>
          <t>Socoepa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2013/03_2_BS3_BB_SOCOEPA_Empresa Eléctrica Carén S.A.</t>
        </is>
      </c>
      <c r="K15" t="inlineStr">
        <is>
          <t>Los Lagos 13.8</t>
        </is>
      </c>
      <c r="L15" t="inlineStr">
        <is>
          <t>-1</t>
        </is>
      </c>
      <c r="M15" t="n">
        <v>7264.263620487015</v>
      </c>
      <c r="N15" t="n">
        <v>11.00724822532041</v>
      </c>
      <c r="O15" t="inlineStr">
        <is>
          <t>6</t>
        </is>
      </c>
      <c r="P15" s="2" t="n">
        <v>45041.74145609954</v>
      </c>
      <c r="Q15" t="n">
        <v>68</v>
      </c>
      <c r="R15" t="inlineStr">
        <is>
          <t>RAHUE 220</t>
        </is>
      </c>
      <c r="S15" t="n">
        <v>1398.194105973377</v>
      </c>
      <c r="T15" t="n">
        <v>102165.9427122302</v>
      </c>
      <c r="U15" t="n">
        <v>2.124892776860445</v>
      </c>
      <c r="V15" t="n">
        <v>11092.88792347321</v>
      </c>
      <c r="W15" t="inlineStr">
        <is>
          <t>SOCOEPA</t>
        </is>
      </c>
      <c r="X15" t="n">
        <v>77.733966002133</v>
      </c>
      <c r="Y15" t="n">
        <v>102.1659427122302</v>
      </c>
      <c r="Z15" t="n">
        <v>108687.1730981172</v>
      </c>
      <c r="AA15" t="n">
        <v>13221.55890759619</v>
      </c>
      <c r="AB15" t="n">
        <v>11092.88792347321</v>
      </c>
      <c r="AC15" t="n">
        <v>13221.55890759619</v>
      </c>
      <c r="AD15" s="2" t="n">
        <v>44531</v>
      </c>
    </row>
    <row r="16">
      <c r="A16" t="n">
        <v>-1</v>
      </c>
      <c r="B16" t="inlineStr">
        <is>
          <t>01-12-2021</t>
        </is>
      </c>
      <c r="C16" t="n">
        <v>2021</v>
      </c>
      <c r="D16" t="n">
        <v>12</v>
      </c>
      <c r="E16" t="inlineStr">
        <is>
          <t>Los Lagos 13.8</t>
        </is>
      </c>
      <c r="F16" t="inlineStr">
        <is>
          <t>Socoepa</t>
        </is>
      </c>
      <c r="G16" t="inlineStr">
        <is>
          <t>Socoepa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2013/03_2_BS3_BB_SOCOEPA_Empresa Eléctrica Carén S.A.</t>
        </is>
      </c>
      <c r="K16" t="inlineStr">
        <is>
          <t>Los Lagos 13.8</t>
        </is>
      </c>
      <c r="L16" t="inlineStr">
        <is>
          <t>-1</t>
        </is>
      </c>
      <c r="M16" t="n">
        <v>7264.263620487015</v>
      </c>
      <c r="N16" t="n">
        <v>11.00724822532041</v>
      </c>
      <c r="O16" t="inlineStr">
        <is>
          <t>6</t>
        </is>
      </c>
      <c r="P16" s="2" t="n">
        <v>45041.74145609954</v>
      </c>
      <c r="Q16" t="n">
        <v>17</v>
      </c>
      <c r="R16" t="inlineStr">
        <is>
          <t>VALDIVIA 220</t>
        </is>
      </c>
      <c r="S16" t="n">
        <v>5979.608992911915</v>
      </c>
      <c r="T16" t="n">
        <v>438179.9696963219</v>
      </c>
      <c r="U16" t="n">
        <v>9.08745638620953</v>
      </c>
      <c r="V16" t="n">
        <v>51628.62345691577</v>
      </c>
      <c r="W16" t="inlineStr">
        <is>
          <t>SOCOEPA</t>
        </is>
      </c>
      <c r="X16" t="n">
        <v>77.95641897067502</v>
      </c>
      <c r="Y16" t="n">
        <v>438.1799696963218</v>
      </c>
      <c r="Z16" t="n">
        <v>466148.9039322573</v>
      </c>
      <c r="AA16" t="n">
        <v>61535.90400109151</v>
      </c>
      <c r="AB16" t="n">
        <v>51628.62345691577</v>
      </c>
      <c r="AC16" t="n">
        <v>61535.90400109151</v>
      </c>
      <c r="AD16" s="2" t="n">
        <v>44531</v>
      </c>
    </row>
    <row r="17">
      <c r="A17" t="n">
        <v>-1</v>
      </c>
      <c r="B17" t="inlineStr">
        <is>
          <t>01-12-2021</t>
        </is>
      </c>
      <c r="C17" t="n">
        <v>2021</v>
      </c>
      <c r="D17" t="n">
        <v>12</v>
      </c>
      <c r="E17" t="inlineStr">
        <is>
          <t>Paillaco 13.8</t>
        </is>
      </c>
      <c r="F17" t="inlineStr">
        <is>
          <t>Socoepa</t>
        </is>
      </c>
      <c r="G17" t="inlineStr">
        <is>
          <t>Socoepa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2013/03_2_BS3_BB_SOCOEPA_Empresa Eléctrica Carén S.A.</t>
        </is>
      </c>
      <c r="K17" t="inlineStr">
        <is>
          <t>Paillaco 13.8</t>
        </is>
      </c>
      <c r="L17" t="inlineStr">
        <is>
          <t>-1</t>
        </is>
      </c>
      <c r="M17" t="n">
        <v>5181.534701224401</v>
      </c>
      <c r="N17" t="n">
        <v>5.616507922825961</v>
      </c>
      <c r="O17" t="inlineStr">
        <is>
          <t>6</t>
        </is>
      </c>
      <c r="P17" s="2" t="n">
        <v>45041.74145609954</v>
      </c>
      <c r="Q17" t="n">
        <v>6</v>
      </c>
      <c r="R17" t="inlineStr">
        <is>
          <t>MELIPULLI 220</t>
        </is>
      </c>
      <c r="S17" t="n">
        <v>39.09444328194395</v>
      </c>
      <c r="T17" t="n">
        <v>2954.072662264936</v>
      </c>
      <c r="U17" t="n">
        <v>0.04250161050530666</v>
      </c>
      <c r="V17" t="n">
        <v>236.470810825566</v>
      </c>
      <c r="W17" t="inlineStr">
        <is>
          <t>SOCOEPA</t>
        </is>
      </c>
      <c r="X17" t="n">
        <v>80.38560541985402</v>
      </c>
      <c r="Y17" t="n">
        <v>2.954072662264936</v>
      </c>
      <c r="Z17" t="n">
        <v>3142.630491771209</v>
      </c>
      <c r="AA17" t="n">
        <v>281.8484038445364</v>
      </c>
      <c r="AB17" t="n">
        <v>236.470810825566</v>
      </c>
      <c r="AC17" t="n">
        <v>281.8484038445364</v>
      </c>
      <c r="AD17" s="2" t="n">
        <v>44531</v>
      </c>
    </row>
    <row r="18">
      <c r="A18" t="n">
        <v>-1</v>
      </c>
      <c r="B18" t="inlineStr">
        <is>
          <t>01-12-2021</t>
        </is>
      </c>
      <c r="C18" t="n">
        <v>2021</v>
      </c>
      <c r="D18" t="n">
        <v>12</v>
      </c>
      <c r="E18" t="inlineStr">
        <is>
          <t>Paillaco 13.8</t>
        </is>
      </c>
      <c r="F18" t="inlineStr">
        <is>
          <t>Socoepa</t>
        </is>
      </c>
      <c r="G18" t="inlineStr">
        <is>
          <t>Socoepa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2013/03_2_BS3_BB_SOCOEPA_Empresa Eléctrica Carén S.A.</t>
        </is>
      </c>
      <c r="K18" t="inlineStr">
        <is>
          <t>Paillaco 13.8</t>
        </is>
      </c>
      <c r="L18" t="inlineStr">
        <is>
          <t>-1</t>
        </is>
      </c>
      <c r="M18" t="n">
        <v>5181.534701224401</v>
      </c>
      <c r="N18" t="n">
        <v>5.616507922825961</v>
      </c>
      <c r="O18" t="inlineStr">
        <is>
          <t>6</t>
        </is>
      </c>
      <c r="P18" s="2" t="n">
        <v>45041.74145609954</v>
      </c>
      <c r="Q18" t="n">
        <v>68</v>
      </c>
      <c r="R18" t="inlineStr">
        <is>
          <t>RAHUE 220</t>
        </is>
      </c>
      <c r="S18" t="n">
        <v>2623.510438656223</v>
      </c>
      <c r="T18" t="n">
        <v>191699.7189700592</v>
      </c>
      <c r="U18" t="n">
        <v>2.852155177558742</v>
      </c>
      <c r="V18" t="n">
        <v>14889.52198885039</v>
      </c>
      <c r="W18" t="inlineStr">
        <is>
          <t>SOCOEPA</t>
        </is>
      </c>
      <c r="X18" t="n">
        <v>77.73396600213302</v>
      </c>
      <c r="Y18" t="n">
        <v>191.6997189700592</v>
      </c>
      <c r="Z18" t="n">
        <v>203935.8712447438</v>
      </c>
      <c r="AA18" t="n">
        <v>17746.74849684194</v>
      </c>
      <c r="AB18" t="n">
        <v>14889.52198885039</v>
      </c>
      <c r="AC18" t="n">
        <v>17746.74849684194</v>
      </c>
      <c r="AD18" s="2" t="n">
        <v>44531</v>
      </c>
    </row>
    <row r="19">
      <c r="A19" t="n">
        <v>-1</v>
      </c>
      <c r="B19" t="inlineStr">
        <is>
          <t>01-12-2021</t>
        </is>
      </c>
      <c r="C19" t="n">
        <v>2021</v>
      </c>
      <c r="D19" t="n">
        <v>12</v>
      </c>
      <c r="E19" t="inlineStr">
        <is>
          <t>Paillaco 13.8</t>
        </is>
      </c>
      <c r="F19" t="inlineStr">
        <is>
          <t>Socoepa</t>
        </is>
      </c>
      <c r="G19" t="inlineStr">
        <is>
          <t>Socoepa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2013/03_2_BS3_BB_SOCOEPA_Empresa Eléctrica Carén S.A.</t>
        </is>
      </c>
      <c r="K19" t="inlineStr">
        <is>
          <t>Paillaco 13.8</t>
        </is>
      </c>
      <c r="L19" t="inlineStr">
        <is>
          <t>-1</t>
        </is>
      </c>
      <c r="M19" t="n">
        <v>5181.534701224401</v>
      </c>
      <c r="N19" t="n">
        <v>5.616507922825961</v>
      </c>
      <c r="O19" t="inlineStr">
        <is>
          <t>6</t>
        </is>
      </c>
      <c r="P19" s="2" t="n">
        <v>45041.74145609954</v>
      </c>
      <c r="Q19" t="n">
        <v>17</v>
      </c>
      <c r="R19" t="inlineStr">
        <is>
          <t>VALDIVIA 220</t>
        </is>
      </c>
      <c r="S19" t="n">
        <v>2616.5454022017</v>
      </c>
      <c r="T19" t="n">
        <v>191737.9190520393</v>
      </c>
      <c r="U19" t="n">
        <v>2.844583122767975</v>
      </c>
      <c r="V19" t="n">
        <v>16160.94809105796</v>
      </c>
      <c r="W19" t="inlineStr">
        <is>
          <t>SOCOEPA</t>
        </is>
      </c>
      <c r="X19" t="n">
        <v>77.956418970675</v>
      </c>
      <c r="Y19" t="n">
        <v>191.7379190520393</v>
      </c>
      <c r="Z19" t="n">
        <v>203976.5096298291</v>
      </c>
      <c r="AA19" t="n">
        <v>19262.15505489626</v>
      </c>
      <c r="AB19" t="n">
        <v>16160.94809105796</v>
      </c>
      <c r="AC19" t="n">
        <v>19262.15505489626</v>
      </c>
      <c r="AD19" s="2" t="n">
        <v>44531</v>
      </c>
    </row>
    <row r="20">
      <c r="A20" t="n">
        <v>-1</v>
      </c>
      <c r="B20" t="inlineStr">
        <is>
          <t>01-01-2022</t>
        </is>
      </c>
      <c r="C20" t="n">
        <v>2022</v>
      </c>
      <c r="D20" t="n">
        <v>1</v>
      </c>
      <c r="E20" t="inlineStr">
        <is>
          <t>Los Lagos 13.8</t>
        </is>
      </c>
      <c r="F20" t="inlineStr">
        <is>
          <t>Socoepa</t>
        </is>
      </c>
      <c r="G20" t="inlineStr">
        <is>
          <t>Socoepa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2013/03_2_BS3_BB_SOCOEPA_Empresa Eléctrica Carén S.A.</t>
        </is>
      </c>
      <c r="K20" t="inlineStr">
        <is>
          <t>Los Lagos 13.8</t>
        </is>
      </c>
      <c r="L20" t="inlineStr">
        <is>
          <t>-1</t>
        </is>
      </c>
      <c r="M20" t="n">
        <v>9011.719239169845</v>
      </c>
      <c r="N20" t="n">
        <v>13.63174366677494</v>
      </c>
      <c r="O20" t="inlineStr">
        <is>
          <t>6</t>
        </is>
      </c>
      <c r="P20" s="2" t="n">
        <v>45041.74145609954</v>
      </c>
      <c r="Q20" t="n">
        <v>6</v>
      </c>
      <c r="R20" t="inlineStr">
        <is>
          <t>MELIPULLI 220</t>
        </is>
      </c>
      <c r="S20" t="n">
        <v>37.29313644776574</v>
      </c>
      <c r="T20" t="n">
        <v>2700.24320639716</v>
      </c>
      <c r="U20" t="n">
        <v>0.05658067318826395</v>
      </c>
      <c r="V20" t="n">
        <v>325.9861968238342</v>
      </c>
      <c r="W20" t="inlineStr">
        <is>
          <t>SOCOEPA</t>
        </is>
      </c>
      <c r="X20" t="n">
        <v>77.02755598916001</v>
      </c>
      <c r="Y20" t="n">
        <v>2.70024320639716</v>
      </c>
      <c r="Z20" t="n">
        <v>2872.599155741659</v>
      </c>
      <c r="AA20" t="n">
        <v>388.5413549747726</v>
      </c>
      <c r="AB20" t="n">
        <v>325.9861968238342</v>
      </c>
      <c r="AC20" t="n">
        <v>388.5413549747726</v>
      </c>
      <c r="AD20" s="2" t="n">
        <v>44562</v>
      </c>
    </row>
    <row r="21">
      <c r="A21" t="n">
        <v>-1</v>
      </c>
      <c r="B21" t="inlineStr">
        <is>
          <t>01-01-2022</t>
        </is>
      </c>
      <c r="C21" t="n">
        <v>2022</v>
      </c>
      <c r="D21" t="n">
        <v>1</v>
      </c>
      <c r="E21" t="inlineStr">
        <is>
          <t>Los Lagos 13.8</t>
        </is>
      </c>
      <c r="F21" t="inlineStr">
        <is>
          <t>Socoepa</t>
        </is>
      </c>
      <c r="G21" t="inlineStr">
        <is>
          <t>Socoepa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2013/03_2_BS3_BB_SOCOEPA_Empresa Eléctrica Carén S.A.</t>
        </is>
      </c>
      <c r="K21" t="inlineStr">
        <is>
          <t>Los Lagos 13.8</t>
        </is>
      </c>
      <c r="L21" t="inlineStr">
        <is>
          <t>-1</t>
        </is>
      </c>
      <c r="M21" t="n">
        <v>9011.719239169845</v>
      </c>
      <c r="N21" t="n">
        <v>13.63174366677494</v>
      </c>
      <c r="O21" t="inlineStr">
        <is>
          <t>6</t>
        </is>
      </c>
      <c r="P21" s="2" t="n">
        <v>45041.74145609954</v>
      </c>
      <c r="Q21" t="n">
        <v>68</v>
      </c>
      <c r="R21" t="inlineStr">
        <is>
          <t>RAHUE 220</t>
        </is>
      </c>
      <c r="S21" t="n">
        <v>1681.883529896762</v>
      </c>
      <c r="T21" t="n">
        <v>123054.2195401365</v>
      </c>
      <c r="U21" t="n">
        <v>2.551732340322201</v>
      </c>
      <c r="V21" t="n">
        <v>15463.7966974154</v>
      </c>
      <c r="W21" t="inlineStr">
        <is>
          <t>SOCOEPA</t>
        </is>
      </c>
      <c r="X21" t="n">
        <v>77.83460737003</v>
      </c>
      <c r="Y21" t="n">
        <v>123.0542195401365</v>
      </c>
      <c r="Z21" t="n">
        <v>130908.7441916346</v>
      </c>
      <c r="AA21" t="n">
        <v>18431.22371563218</v>
      </c>
      <c r="AB21" t="n">
        <v>15463.7966974154</v>
      </c>
      <c r="AC21" t="n">
        <v>18431.22371563218</v>
      </c>
      <c r="AD21" s="2" t="n">
        <v>44562</v>
      </c>
    </row>
    <row r="22">
      <c r="A22" t="n">
        <v>-1</v>
      </c>
      <c r="B22" t="inlineStr">
        <is>
          <t>01-01-2022</t>
        </is>
      </c>
      <c r="C22" t="n">
        <v>2022</v>
      </c>
      <c r="D22" t="n">
        <v>1</v>
      </c>
      <c r="E22" t="inlineStr">
        <is>
          <t>Los Lagos 13.8</t>
        </is>
      </c>
      <c r="F22" t="inlineStr">
        <is>
          <t>Socoepa</t>
        </is>
      </c>
      <c r="G22" t="inlineStr">
        <is>
          <t>Socoepa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2013/03_2_BS3_BB_SOCOEPA_Empresa Eléctrica Carén S.A.</t>
        </is>
      </c>
      <c r="K22" t="inlineStr">
        <is>
          <t>Los Lagos 13.8</t>
        </is>
      </c>
      <c r="L22" t="inlineStr">
        <is>
          <t>-1</t>
        </is>
      </c>
      <c r="M22" t="n">
        <v>9011.719239169845</v>
      </c>
      <c r="N22" t="n">
        <v>13.63174366677494</v>
      </c>
      <c r="O22" t="inlineStr">
        <is>
          <t>6</t>
        </is>
      </c>
      <c r="P22" s="2" t="n">
        <v>45041.74145609954</v>
      </c>
      <c r="Q22" t="n">
        <v>17</v>
      </c>
      <c r="R22" t="inlineStr">
        <is>
          <t>VALDIVIA 220</t>
        </is>
      </c>
      <c r="S22" t="n">
        <v>7511.797701914319</v>
      </c>
      <c r="T22" t="n">
        <v>555619.605538403</v>
      </c>
      <c r="U22" t="n">
        <v>11.39680411229744</v>
      </c>
      <c r="V22" t="n">
        <v>69673.81622984984</v>
      </c>
      <c r="W22" t="inlineStr">
        <is>
          <t>SOCOEPA</t>
        </is>
      </c>
      <c r="X22" t="n">
        <v>78.68751398781001</v>
      </c>
      <c r="Y22" t="n">
        <v>555.6196055384031</v>
      </c>
      <c r="Z22" t="n">
        <v>591084.686742982</v>
      </c>
      <c r="AA22" t="n">
        <v>83043.88108444557</v>
      </c>
      <c r="AB22" t="n">
        <v>69673.81622984984</v>
      </c>
      <c r="AC22" t="n">
        <v>83043.88108444557</v>
      </c>
      <c r="AD22" s="2" t="n">
        <v>44562</v>
      </c>
    </row>
    <row r="23">
      <c r="A23" t="n">
        <v>-1</v>
      </c>
      <c r="B23" t="inlineStr">
        <is>
          <t>01-01-2022</t>
        </is>
      </c>
      <c r="C23" t="n">
        <v>2022</v>
      </c>
      <c r="D23" t="n">
        <v>1</v>
      </c>
      <c r="E23" t="inlineStr">
        <is>
          <t>Paillaco 13.8</t>
        </is>
      </c>
      <c r="F23" t="inlineStr">
        <is>
          <t>Socoepa</t>
        </is>
      </c>
      <c r="G23" t="inlineStr">
        <is>
          <t>Socoepa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2013/03_2_BS3_BB_SOCOEPA_Empresa Eléctrica Carén S.A.</t>
        </is>
      </c>
      <c r="K23" t="inlineStr">
        <is>
          <t>Paillaco 13.8</t>
        </is>
      </c>
      <c r="L23" t="inlineStr">
        <is>
          <t>-1</t>
        </is>
      </c>
      <c r="M23" t="n">
        <v>6723.328200737138</v>
      </c>
      <c r="N23" t="n">
        <v>6.955670912395126</v>
      </c>
      <c r="O23" t="inlineStr">
        <is>
          <t>6</t>
        </is>
      </c>
      <c r="P23" s="2" t="n">
        <v>45041.74145609954</v>
      </c>
      <c r="Q23" t="n">
        <v>6</v>
      </c>
      <c r="R23" t="inlineStr">
        <is>
          <t>MELIPULLI 220</t>
        </is>
      </c>
      <c r="S23" t="n">
        <v>67.00960292912825</v>
      </c>
      <c r="T23" t="n">
        <v>4851.890784948718</v>
      </c>
      <c r="U23" t="n">
        <v>0.06953239696741118</v>
      </c>
      <c r="V23" t="n">
        <v>400.6067861375854</v>
      </c>
      <c r="W23" t="inlineStr">
        <is>
          <t>SOCOEPA</t>
        </is>
      </c>
      <c r="X23" t="n">
        <v>77.02755598916001</v>
      </c>
      <c r="Y23" t="n">
        <v>4.851890784948719</v>
      </c>
      <c r="Z23" t="n">
        <v>5161.585941434806</v>
      </c>
      <c r="AA23" t="n">
        <v>477.4812707241781</v>
      </c>
      <c r="AB23" t="n">
        <v>400.6067861375854</v>
      </c>
      <c r="AC23" t="n">
        <v>477.4812707241781</v>
      </c>
      <c r="AD23" s="2" t="n">
        <v>44562</v>
      </c>
    </row>
    <row r="24">
      <c r="A24" t="n">
        <v>-1</v>
      </c>
      <c r="B24" t="inlineStr">
        <is>
          <t>01-01-2022</t>
        </is>
      </c>
      <c r="C24" t="n">
        <v>2022</v>
      </c>
      <c r="D24" t="n">
        <v>1</v>
      </c>
      <c r="E24" t="inlineStr">
        <is>
          <t>Paillaco 13.8</t>
        </is>
      </c>
      <c r="F24" t="inlineStr">
        <is>
          <t>Socoepa</t>
        </is>
      </c>
      <c r="G24" t="inlineStr">
        <is>
          <t>Socoepa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2013/03_2_BS3_BB_SOCOEPA_Empresa Eléctrica Carén S.A.</t>
        </is>
      </c>
      <c r="K24" t="inlineStr">
        <is>
          <t>Paillaco 13.8</t>
        </is>
      </c>
      <c r="L24" t="inlineStr">
        <is>
          <t>-1</t>
        </is>
      </c>
      <c r="M24" t="n">
        <v>6723.328200737138</v>
      </c>
      <c r="N24" t="n">
        <v>6.955670912395126</v>
      </c>
      <c r="O24" t="inlineStr">
        <is>
          <t>6</t>
        </is>
      </c>
      <c r="P24" s="2" t="n">
        <v>45041.74145609954</v>
      </c>
      <c r="Q24" t="n">
        <v>68</v>
      </c>
      <c r="R24" t="inlineStr">
        <is>
          <t>RAHUE 220</t>
        </is>
      </c>
      <c r="S24" t="n">
        <v>3428.92201463347</v>
      </c>
      <c r="T24" t="n">
        <v>250875.4707887615</v>
      </c>
      <c r="U24" t="n">
        <v>3.558014915324188</v>
      </c>
      <c r="V24" t="n">
        <v>21561.98690102332</v>
      </c>
      <c r="W24" t="inlineStr">
        <is>
          <t>SOCOEPA</t>
        </is>
      </c>
      <c r="X24" t="n">
        <v>77.83460737003</v>
      </c>
      <c r="Y24" t="n">
        <v>250.8754707887614</v>
      </c>
      <c r="Z24" t="n">
        <v>266888.7987114484</v>
      </c>
      <c r="AA24" t="n">
        <v>25699.62681885974</v>
      </c>
      <c r="AB24" t="n">
        <v>21561.98690102332</v>
      </c>
      <c r="AC24" t="n">
        <v>25699.62681885974</v>
      </c>
      <c r="AD24" s="2" t="n">
        <v>44562</v>
      </c>
    </row>
    <row r="25">
      <c r="A25" t="n">
        <v>-1</v>
      </c>
      <c r="B25" t="inlineStr">
        <is>
          <t>01-01-2022</t>
        </is>
      </c>
      <c r="C25" t="n">
        <v>2022</v>
      </c>
      <c r="D25" t="n">
        <v>1</v>
      </c>
      <c r="E25" t="inlineStr">
        <is>
          <t>Paillaco 13.8</t>
        </is>
      </c>
      <c r="F25" t="inlineStr">
        <is>
          <t>Socoepa</t>
        </is>
      </c>
      <c r="G25" t="inlineStr">
        <is>
          <t>Socoepa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2013/03_2_BS3_BB_SOCOEPA_Empresa Eléctrica Carén S.A.</t>
        </is>
      </c>
      <c r="K25" t="inlineStr">
        <is>
          <t>Paillaco 13.8</t>
        </is>
      </c>
      <c r="L25" t="inlineStr">
        <is>
          <t>-1</t>
        </is>
      </c>
      <c r="M25" t="n">
        <v>6723.328200737138</v>
      </c>
      <c r="N25" t="n">
        <v>6.955670912395126</v>
      </c>
      <c r="O25" t="inlineStr">
        <is>
          <t>6</t>
        </is>
      </c>
      <c r="P25" s="2" t="n">
        <v>45041.74145609954</v>
      </c>
      <c r="Q25" t="n">
        <v>17</v>
      </c>
      <c r="R25" t="inlineStr">
        <is>
          <t>VALDIVIA 220</t>
        </is>
      </c>
      <c r="S25" t="n">
        <v>3390.975158298475</v>
      </c>
      <c r="T25" t="n">
        <v>250817.7608888718</v>
      </c>
      <c r="U25" t="n">
        <v>3.51863942639403</v>
      </c>
      <c r="V25" t="n">
        <v>21511.03365101723</v>
      </c>
      <c r="W25" t="inlineStr">
        <is>
          <t>SOCOEPA</t>
        </is>
      </c>
      <c r="X25" t="n">
        <v>78.68751398780999</v>
      </c>
      <c r="Y25" t="n">
        <v>250.8177608888718</v>
      </c>
      <c r="Z25" t="n">
        <v>266827.4052009275</v>
      </c>
      <c r="AA25" t="n">
        <v>25638.89588917429</v>
      </c>
      <c r="AB25" t="n">
        <v>21511.03365101723</v>
      </c>
      <c r="AC25" t="n">
        <v>25638.89588917429</v>
      </c>
      <c r="AD25" s="2" t="n">
        <v>44562</v>
      </c>
    </row>
    <row r="26">
      <c r="A26" t="n">
        <v>-1</v>
      </c>
      <c r="B26" t="inlineStr">
        <is>
          <t>01-02-2022</t>
        </is>
      </c>
      <c r="C26" t="n">
        <v>2022</v>
      </c>
      <c r="D26" t="n">
        <v>2</v>
      </c>
      <c r="E26" t="inlineStr">
        <is>
          <t>Los Lagos 13.8</t>
        </is>
      </c>
      <c r="F26" t="inlineStr">
        <is>
          <t>Socoepa</t>
        </is>
      </c>
      <c r="G26" t="inlineStr">
        <is>
          <t>Socoepa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2013/03_2_BS3_BB_SOCOEPA_Empresa Eléctrica Carén S.A.</t>
        </is>
      </c>
      <c r="K26" t="inlineStr">
        <is>
          <t>Los Lagos 13.8</t>
        </is>
      </c>
      <c r="L26" t="inlineStr">
        <is>
          <t>-1</t>
        </is>
      </c>
      <c r="M26" t="n">
        <v>9225.70295372526</v>
      </c>
      <c r="N26" t="n">
        <v>13.63174366677493</v>
      </c>
      <c r="O26" t="inlineStr">
        <is>
          <t>6</t>
        </is>
      </c>
      <c r="P26" s="2" t="n">
        <v>45041.74145609954</v>
      </c>
      <c r="Q26" t="n">
        <v>6</v>
      </c>
      <c r="R26" t="inlineStr">
        <is>
          <t>MELIPULLI 220</t>
        </is>
      </c>
      <c r="S26" t="n">
        <v>38.17866379862116</v>
      </c>
      <c r="T26" t="n">
        <v>2764.360613539231</v>
      </c>
      <c r="U26" t="n">
        <v>0.05658067318826392</v>
      </c>
      <c r="V26" t="n">
        <v>325.986196823834</v>
      </c>
      <c r="W26" t="inlineStr">
        <is>
          <t>SOCOEPA</t>
        </is>
      </c>
      <c r="X26" t="n">
        <v>77.02755598916001</v>
      </c>
      <c r="Y26" t="n">
        <v>2.764360613539231</v>
      </c>
      <c r="Z26" t="n">
        <v>2940.809163339607</v>
      </c>
      <c r="AA26" t="n">
        <v>388.5413549747724</v>
      </c>
      <c r="AB26" t="n">
        <v>325.986196823834</v>
      </c>
      <c r="AC26" t="n">
        <v>388.5413549747724</v>
      </c>
      <c r="AD26" s="2" t="n">
        <v>44593</v>
      </c>
    </row>
    <row r="27">
      <c r="A27" t="n">
        <v>-1</v>
      </c>
      <c r="B27" t="inlineStr">
        <is>
          <t>01-02-2022</t>
        </is>
      </c>
      <c r="C27" t="n">
        <v>2022</v>
      </c>
      <c r="D27" t="n">
        <v>2</v>
      </c>
      <c r="E27" t="inlineStr">
        <is>
          <t>Los Lagos 13.8</t>
        </is>
      </c>
      <c r="F27" t="inlineStr">
        <is>
          <t>Socoepa</t>
        </is>
      </c>
      <c r="G27" t="inlineStr">
        <is>
          <t>Socoepa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2013/03_2_BS3_BB_SOCOEPA_Empresa Eléctrica Carén S.A.</t>
        </is>
      </c>
      <c r="K27" t="inlineStr">
        <is>
          <t>Los Lagos 13.8</t>
        </is>
      </c>
      <c r="L27" t="inlineStr">
        <is>
          <t>-1</t>
        </is>
      </c>
      <c r="M27" t="n">
        <v>9225.70295372526</v>
      </c>
      <c r="N27" t="n">
        <v>13.63174366677493</v>
      </c>
      <c r="O27" t="inlineStr">
        <is>
          <t>6</t>
        </is>
      </c>
      <c r="P27" s="2" t="n">
        <v>45041.74145609954</v>
      </c>
      <c r="Q27" t="n">
        <v>68</v>
      </c>
      <c r="R27" t="inlineStr">
        <is>
          <t>RAHUE 220</t>
        </is>
      </c>
      <c r="S27" t="n">
        <v>1721.819936660588</v>
      </c>
      <c r="T27" t="n">
        <v>125976.1480079548</v>
      </c>
      <c r="U27" t="n">
        <v>2.5517323403222</v>
      </c>
      <c r="V27" t="n">
        <v>15463.79669741539</v>
      </c>
      <c r="W27" t="inlineStr">
        <is>
          <t>SOCOEPA</t>
        </is>
      </c>
      <c r="X27" t="n">
        <v>77.83460737003</v>
      </c>
      <c r="Y27" t="n">
        <v>125.9761480079548</v>
      </c>
      <c r="Z27" t="n">
        <v>134017.1787318668</v>
      </c>
      <c r="AA27" t="n">
        <v>18431.22371563216</v>
      </c>
      <c r="AB27" t="n">
        <v>15463.79669741539</v>
      </c>
      <c r="AC27" t="n">
        <v>18431.22371563216</v>
      </c>
      <c r="AD27" s="2" t="n">
        <v>44593</v>
      </c>
    </row>
    <row r="28">
      <c r="A28" t="n">
        <v>-1</v>
      </c>
      <c r="B28" t="inlineStr">
        <is>
          <t>01-02-2022</t>
        </is>
      </c>
      <c r="C28" t="n">
        <v>2022</v>
      </c>
      <c r="D28" t="n">
        <v>2</v>
      </c>
      <c r="E28" t="inlineStr">
        <is>
          <t>Los Lagos 13.8</t>
        </is>
      </c>
      <c r="F28" t="inlineStr">
        <is>
          <t>Socoepa</t>
        </is>
      </c>
      <c r="G28" t="inlineStr">
        <is>
          <t>Socoepa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2013/03_2_BS3_BB_SOCOEPA_Empresa Eléctrica Carén S.A.</t>
        </is>
      </c>
      <c r="K28" t="inlineStr">
        <is>
          <t>Los Lagos 13.8</t>
        </is>
      </c>
      <c r="L28" t="inlineStr">
        <is>
          <t>-1</t>
        </is>
      </c>
      <c r="M28" t="n">
        <v>9225.70295372526</v>
      </c>
      <c r="N28" t="n">
        <v>13.63174366677493</v>
      </c>
      <c r="O28" t="inlineStr">
        <is>
          <t>6</t>
        </is>
      </c>
      <c r="P28" s="2" t="n">
        <v>45041.74145609954</v>
      </c>
      <c r="Q28" t="n">
        <v>17</v>
      </c>
      <c r="R28" t="inlineStr">
        <is>
          <t>VALDIVIA 220</t>
        </is>
      </c>
      <c r="S28" t="n">
        <v>7690.165706130188</v>
      </c>
      <c r="T28" t="n">
        <v>568812.8202755142</v>
      </c>
      <c r="U28" t="n">
        <v>11.39680411229744</v>
      </c>
      <c r="V28" t="n">
        <v>69673.81622984979</v>
      </c>
      <c r="W28" t="inlineStr">
        <is>
          <t>SOCOEPA</t>
        </is>
      </c>
      <c r="X28" t="n">
        <v>78.68751398781001</v>
      </c>
      <c r="Y28" t="n">
        <v>568.8128202755141</v>
      </c>
      <c r="Z28" t="n">
        <v>605120.0215696959</v>
      </c>
      <c r="AA28" t="n">
        <v>83043.88108444553</v>
      </c>
      <c r="AB28" t="n">
        <v>69673.81622984979</v>
      </c>
      <c r="AC28" t="n">
        <v>83043.88108444553</v>
      </c>
      <c r="AD28" s="2" t="n">
        <v>44593</v>
      </c>
    </row>
    <row r="29">
      <c r="A29" t="n">
        <v>-1</v>
      </c>
      <c r="B29" t="inlineStr">
        <is>
          <t>01-02-2022</t>
        </is>
      </c>
      <c r="C29" t="n">
        <v>2022</v>
      </c>
      <c r="D29" t="n">
        <v>2</v>
      </c>
      <c r="E29" t="inlineStr">
        <is>
          <t>Paillaco 13.8</t>
        </is>
      </c>
      <c r="F29" t="inlineStr">
        <is>
          <t>Socoepa</t>
        </is>
      </c>
      <c r="G29" t="inlineStr">
        <is>
          <t>Socoepa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2013/03_2_BS3_BB_SOCOEPA_Empresa Eléctrica Carén S.A.</t>
        </is>
      </c>
      <c r="K29" t="inlineStr">
        <is>
          <t>Paillaco 13.8</t>
        </is>
      </c>
      <c r="L29" t="inlineStr">
        <is>
          <t>-1</t>
        </is>
      </c>
      <c r="M29" t="n">
        <v>6294.640209415194</v>
      </c>
      <c r="N29" t="n">
        <v>6.955670912395127</v>
      </c>
      <c r="O29" t="inlineStr">
        <is>
          <t>6</t>
        </is>
      </c>
      <c r="P29" s="2" t="n">
        <v>45041.74145609954</v>
      </c>
      <c r="Q29" t="n">
        <v>6</v>
      </c>
      <c r="R29" t="inlineStr">
        <is>
          <t>MELIPULLI 220</t>
        </is>
      </c>
      <c r="S29" t="n">
        <v>62.73698507956089</v>
      </c>
      <c r="T29" t="n">
        <v>4542.528032958553</v>
      </c>
      <c r="U29" t="n">
        <v>0.06953239696741118</v>
      </c>
      <c r="V29" t="n">
        <v>400.6067861375854</v>
      </c>
      <c r="W29" t="inlineStr">
        <is>
          <t>SOCOEPA</t>
        </is>
      </c>
      <c r="X29" t="n">
        <v>77.02755598916001</v>
      </c>
      <c r="Y29" t="n">
        <v>4.542528032958553</v>
      </c>
      <c r="Z29" t="n">
        <v>4832.476630806972</v>
      </c>
      <c r="AA29" t="n">
        <v>477.4812707241781</v>
      </c>
      <c r="AB29" t="n">
        <v>400.6067861375854</v>
      </c>
      <c r="AC29" t="n">
        <v>477.4812707241781</v>
      </c>
      <c r="AD29" s="2" t="n">
        <v>44593</v>
      </c>
    </row>
    <row r="30">
      <c r="A30" t="n">
        <v>-1</v>
      </c>
      <c r="B30" t="inlineStr">
        <is>
          <t>01-02-2022</t>
        </is>
      </c>
      <c r="C30" t="n">
        <v>2022</v>
      </c>
      <c r="D30" t="n">
        <v>2</v>
      </c>
      <c r="E30" t="inlineStr">
        <is>
          <t>Paillaco 13.8</t>
        </is>
      </c>
      <c r="F30" t="inlineStr">
        <is>
          <t>Socoepa</t>
        </is>
      </c>
      <c r="G30" t="inlineStr">
        <is>
          <t>Socoepa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2013/03_2_BS3_BB_SOCOEPA_Empresa Eléctrica Carén S.A.</t>
        </is>
      </c>
      <c r="K30" t="inlineStr">
        <is>
          <t>Paillaco 13.8</t>
        </is>
      </c>
      <c r="L30" t="inlineStr">
        <is>
          <t>-1</t>
        </is>
      </c>
      <c r="M30" t="n">
        <v>6294.640209415194</v>
      </c>
      <c r="N30" t="n">
        <v>6.955670912395127</v>
      </c>
      <c r="O30" t="inlineStr">
        <is>
          <t>6</t>
        </is>
      </c>
      <c r="P30" s="2" t="n">
        <v>45041.74145609954</v>
      </c>
      <c r="Q30" t="n">
        <v>68</v>
      </c>
      <c r="R30" t="inlineStr">
        <is>
          <t>RAHUE 220</t>
        </is>
      </c>
      <c r="S30" t="n">
        <v>3210.289568475085</v>
      </c>
      <c r="T30" t="n">
        <v>234879.3304199796</v>
      </c>
      <c r="U30" t="n">
        <v>3.558014915324188</v>
      </c>
      <c r="V30" t="n">
        <v>21561.98690102332</v>
      </c>
      <c r="W30" t="inlineStr">
        <is>
          <t>SOCOEPA</t>
        </is>
      </c>
      <c r="X30" t="n">
        <v>77.83460737003</v>
      </c>
      <c r="Y30" t="n">
        <v>234.8793304199796</v>
      </c>
      <c r="Z30" t="n">
        <v>249871.6281063613</v>
      </c>
      <c r="AA30" t="n">
        <v>25699.62681885974</v>
      </c>
      <c r="AB30" t="n">
        <v>21561.98690102332</v>
      </c>
      <c r="AC30" t="n">
        <v>25699.62681885974</v>
      </c>
      <c r="AD30" s="2" t="n">
        <v>44593</v>
      </c>
    </row>
    <row r="31">
      <c r="A31" t="n">
        <v>-1</v>
      </c>
      <c r="B31" t="inlineStr">
        <is>
          <t>01-02-2022</t>
        </is>
      </c>
      <c r="C31" t="n">
        <v>2022</v>
      </c>
      <c r="D31" t="n">
        <v>2</v>
      </c>
      <c r="E31" t="inlineStr">
        <is>
          <t>Paillaco 13.8</t>
        </is>
      </c>
      <c r="F31" t="inlineStr">
        <is>
          <t>Socoepa</t>
        </is>
      </c>
      <c r="G31" t="inlineStr">
        <is>
          <t>Socoepa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2013/03_2_BS3_BB_SOCOEPA_Empresa Eléctrica Carén S.A.</t>
        </is>
      </c>
      <c r="K31" t="inlineStr">
        <is>
          <t>Paillaco 13.8</t>
        </is>
      </c>
      <c r="L31" t="inlineStr">
        <is>
          <t>-1</t>
        </is>
      </c>
      <c r="M31" t="n">
        <v>6294.640209415194</v>
      </c>
      <c r="N31" t="n">
        <v>6.955670912395127</v>
      </c>
      <c r="O31" t="inlineStr">
        <is>
          <t>6</t>
        </is>
      </c>
      <c r="P31" s="2" t="n">
        <v>45041.74145609954</v>
      </c>
      <c r="Q31" t="n">
        <v>17</v>
      </c>
      <c r="R31" t="inlineStr">
        <is>
          <t>VALDIVIA 220</t>
        </is>
      </c>
      <c r="S31" t="n">
        <v>3174.76225215562</v>
      </c>
      <c r="T31" t="n">
        <v>234825.3001769986</v>
      </c>
      <c r="U31" t="n">
        <v>3.51863942639403</v>
      </c>
      <c r="V31" t="n">
        <v>21511.03365101723</v>
      </c>
      <c r="W31" t="inlineStr">
        <is>
          <t>SOCOEPA</t>
        </is>
      </c>
      <c r="X31" t="n">
        <v>78.68751398780999</v>
      </c>
      <c r="Y31" t="n">
        <v>234.8253001769986</v>
      </c>
      <c r="Z31" t="n">
        <v>249814.1491244666</v>
      </c>
      <c r="AA31" t="n">
        <v>25638.89588917429</v>
      </c>
      <c r="AB31" t="n">
        <v>21511.03365101723</v>
      </c>
      <c r="AC31" t="n">
        <v>25638.89588917429</v>
      </c>
      <c r="AD31" s="2" t="n">
        <v>44593</v>
      </c>
    </row>
    <row r="32">
      <c r="A32" t="n">
        <v>-1</v>
      </c>
      <c r="B32" t="inlineStr">
        <is>
          <t>01-03-2022</t>
        </is>
      </c>
      <c r="C32" t="n">
        <v>2022</v>
      </c>
      <c r="D32" t="n">
        <v>3</v>
      </c>
      <c r="E32" t="inlineStr">
        <is>
          <t>Los Lagos 13.8</t>
        </is>
      </c>
      <c r="F32" t="inlineStr">
        <is>
          <t>Socoepa</t>
        </is>
      </c>
      <c r="G32" t="inlineStr">
        <is>
          <t>Socoepa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2013/03_2_BS3_BB_SOCOEPA_Empresa Eléctrica Carén S.A.</t>
        </is>
      </c>
      <c r="K32" t="inlineStr">
        <is>
          <t>Los Lagos 13.8</t>
        </is>
      </c>
      <c r="L32" t="inlineStr">
        <is>
          <t>-1</t>
        </is>
      </c>
      <c r="M32" t="n">
        <v>7781.06115348214</v>
      </c>
      <c r="N32" t="n">
        <v>13.63174366677494</v>
      </c>
      <c r="O32" t="inlineStr">
        <is>
          <t>6</t>
        </is>
      </c>
      <c r="P32" s="2" t="n">
        <v>45041.74145609954</v>
      </c>
      <c r="Q32" t="n">
        <v>6</v>
      </c>
      <c r="R32" t="inlineStr">
        <is>
          <t>MELIPULLI 220</t>
        </is>
      </c>
      <c r="S32" t="n">
        <v>32.2003124602393</v>
      </c>
      <c r="T32" t="n">
        <v>2331.492688645557</v>
      </c>
      <c r="U32" t="n">
        <v>0.05658067318826395</v>
      </c>
      <c r="V32" t="n">
        <v>325.9861968238342</v>
      </c>
      <c r="W32" t="inlineStr">
        <is>
          <t>SOCOEPA</t>
        </is>
      </c>
      <c r="X32" t="n">
        <v>77.02755598916001</v>
      </c>
      <c r="Y32" t="n">
        <v>2.331492688645557</v>
      </c>
      <c r="Z32" t="n">
        <v>2480.311370899529</v>
      </c>
      <c r="AA32" t="n">
        <v>388.5413549747726</v>
      </c>
      <c r="AB32" t="n">
        <v>325.9861968238342</v>
      </c>
      <c r="AC32" t="n">
        <v>388.5413549747726</v>
      </c>
      <c r="AD32" s="2" t="n">
        <v>44621</v>
      </c>
    </row>
    <row r="33">
      <c r="A33" t="n">
        <v>-1</v>
      </c>
      <c r="B33" t="inlineStr">
        <is>
          <t>01-03-2022</t>
        </is>
      </c>
      <c r="C33" t="n">
        <v>2022</v>
      </c>
      <c r="D33" t="n">
        <v>3</v>
      </c>
      <c r="E33" t="inlineStr">
        <is>
          <t>Los Lagos 13.8</t>
        </is>
      </c>
      <c r="F33" t="inlineStr">
        <is>
          <t>Socoepa</t>
        </is>
      </c>
      <c r="G33" t="inlineStr">
        <is>
          <t>Socoepa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2013/03_2_BS3_BB_SOCOEPA_Empresa Eléctrica Carén S.A.</t>
        </is>
      </c>
      <c r="K33" t="inlineStr">
        <is>
          <t>Los Lagos 13.8</t>
        </is>
      </c>
      <c r="L33" t="inlineStr">
        <is>
          <t>-1</t>
        </is>
      </c>
      <c r="M33" t="n">
        <v>7781.06115348214</v>
      </c>
      <c r="N33" t="n">
        <v>13.63174366677494</v>
      </c>
      <c r="O33" t="inlineStr">
        <is>
          <t>6</t>
        </is>
      </c>
      <c r="P33" s="2" t="n">
        <v>45041.74145609954</v>
      </c>
      <c r="Q33" t="n">
        <v>68</v>
      </c>
      <c r="R33" t="inlineStr">
        <is>
          <t>RAHUE 220</t>
        </is>
      </c>
      <c r="S33" t="n">
        <v>1452.202210459307</v>
      </c>
      <c r="T33" t="n">
        <v>106249.6935406104</v>
      </c>
      <c r="U33" t="n">
        <v>2.551732340322201</v>
      </c>
      <c r="V33" t="n">
        <v>15463.7966974154</v>
      </c>
      <c r="W33" t="inlineStr">
        <is>
          <t>SOCOEPA</t>
        </is>
      </c>
      <c r="X33" t="n">
        <v>77.83460737003001</v>
      </c>
      <c r="Y33" t="n">
        <v>106.2496935406105</v>
      </c>
      <c r="Z33" t="n">
        <v>113031.5888729898</v>
      </c>
      <c r="AA33" t="n">
        <v>18431.22371563218</v>
      </c>
      <c r="AB33" t="n">
        <v>15463.7966974154</v>
      </c>
      <c r="AC33" t="n">
        <v>18431.22371563218</v>
      </c>
      <c r="AD33" s="2" t="n">
        <v>44621</v>
      </c>
    </row>
    <row r="34">
      <c r="A34" t="n">
        <v>-1</v>
      </c>
      <c r="B34" t="inlineStr">
        <is>
          <t>01-03-2022</t>
        </is>
      </c>
      <c r="C34" t="n">
        <v>2022</v>
      </c>
      <c r="D34" t="n">
        <v>3</v>
      </c>
      <c r="E34" t="inlineStr">
        <is>
          <t>Los Lagos 13.8</t>
        </is>
      </c>
      <c r="F34" t="inlineStr">
        <is>
          <t>Socoepa</t>
        </is>
      </c>
      <c r="G34" t="inlineStr">
        <is>
          <t>Socoepa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2013/03_2_BS3_BB_SOCOEPA_Empresa Eléctrica Carén S.A.</t>
        </is>
      </c>
      <c r="K34" t="inlineStr">
        <is>
          <t>Los Lagos 13.8</t>
        </is>
      </c>
      <c r="L34" t="inlineStr">
        <is>
          <t>-1</t>
        </is>
      </c>
      <c r="M34" t="n">
        <v>7781.06115348214</v>
      </c>
      <c r="N34" t="n">
        <v>13.63174366677494</v>
      </c>
      <c r="O34" t="inlineStr">
        <is>
          <t>6</t>
        </is>
      </c>
      <c r="P34" s="2" t="n">
        <v>45041.74145609954</v>
      </c>
      <c r="Q34" t="n">
        <v>17</v>
      </c>
      <c r="R34" t="inlineStr">
        <is>
          <t>VALDIVIA 220</t>
        </is>
      </c>
      <c r="S34" t="n">
        <v>6485.971848426815</v>
      </c>
      <c r="T34" t="n">
        <v>479743.1005147693</v>
      </c>
      <c r="U34" t="n">
        <v>11.39680411229744</v>
      </c>
      <c r="V34" t="n">
        <v>69673.81622984984</v>
      </c>
      <c r="W34" t="inlineStr">
        <is>
          <t>SOCOEPA</t>
        </is>
      </c>
      <c r="X34" t="n">
        <v>78.68751398781001</v>
      </c>
      <c r="Y34" t="n">
        <v>479.7431005147693</v>
      </c>
      <c r="Z34" t="n">
        <v>510365.0005476269</v>
      </c>
      <c r="AA34" t="n">
        <v>83043.88108444557</v>
      </c>
      <c r="AB34" t="n">
        <v>69673.81622984984</v>
      </c>
      <c r="AC34" t="n">
        <v>83043.88108444557</v>
      </c>
      <c r="AD34" s="2" t="n">
        <v>44621</v>
      </c>
    </row>
    <row r="35">
      <c r="A35" t="n">
        <v>-1</v>
      </c>
      <c r="B35" t="inlineStr">
        <is>
          <t>01-03-2022</t>
        </is>
      </c>
      <c r="C35" t="n">
        <v>2022</v>
      </c>
      <c r="D35" t="n">
        <v>3</v>
      </c>
      <c r="E35" t="inlineStr">
        <is>
          <t>Paillaco 13.8</t>
        </is>
      </c>
      <c r="F35" t="inlineStr">
        <is>
          <t>Socoepa</t>
        </is>
      </c>
      <c r="G35" t="inlineStr">
        <is>
          <t>Socoepa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2013/03_2_BS3_BB_SOCOEPA_Empresa Eléctrica Carén S.A.</t>
        </is>
      </c>
      <c r="K35" t="inlineStr">
        <is>
          <t>Paillaco 13.8</t>
        </is>
      </c>
      <c r="L35" t="inlineStr">
        <is>
          <t>-1</t>
        </is>
      </c>
      <c r="M35" t="n">
        <v>4679.386263574002</v>
      </c>
      <c r="N35" t="n">
        <v>6.955670912395127</v>
      </c>
      <c r="O35" t="inlineStr">
        <is>
          <t>6</t>
        </is>
      </c>
      <c r="P35" s="2" t="n">
        <v>45041.74145609954</v>
      </c>
      <c r="Q35" t="n">
        <v>6</v>
      </c>
      <c r="R35" t="inlineStr">
        <is>
          <t>MELIPULLI 220</t>
        </is>
      </c>
      <c r="S35" t="n">
        <v>46.63818366619856</v>
      </c>
      <c r="T35" t="n">
        <v>3376.879785365987</v>
      </c>
      <c r="U35" t="n">
        <v>0.06953239696741118</v>
      </c>
      <c r="V35" t="n">
        <v>400.6067861375854</v>
      </c>
      <c r="W35" t="inlineStr">
        <is>
          <t>SOCOEPA</t>
        </is>
      </c>
      <c r="X35" t="n">
        <v>77.02755598916001</v>
      </c>
      <c r="Y35" t="n">
        <v>3.376879785365987</v>
      </c>
      <c r="Z35" t="n">
        <v>3592.425303580837</v>
      </c>
      <c r="AA35" t="n">
        <v>477.4812707241781</v>
      </c>
      <c r="AB35" t="n">
        <v>400.6067861375854</v>
      </c>
      <c r="AC35" t="n">
        <v>477.4812707241781</v>
      </c>
      <c r="AD35" s="2" t="n">
        <v>44621</v>
      </c>
    </row>
    <row r="36">
      <c r="A36" t="n">
        <v>-1</v>
      </c>
      <c r="B36" t="inlineStr">
        <is>
          <t>01-03-2022</t>
        </is>
      </c>
      <c r="C36" t="n">
        <v>2022</v>
      </c>
      <c r="D36" t="n">
        <v>3</v>
      </c>
      <c r="E36" t="inlineStr">
        <is>
          <t>Paillaco 13.8</t>
        </is>
      </c>
      <c r="F36" t="inlineStr">
        <is>
          <t>Socoepa</t>
        </is>
      </c>
      <c r="G36" t="inlineStr">
        <is>
          <t>Socoepa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2013/03_2_BS3_BB_SOCOEPA_Empresa Eléctrica Carén S.A.</t>
        </is>
      </c>
      <c r="K36" t="inlineStr">
        <is>
          <t>Paillaco 13.8</t>
        </is>
      </c>
      <c r="L36" t="inlineStr">
        <is>
          <t>-1</t>
        </is>
      </c>
      <c r="M36" t="n">
        <v>4679.386263574002</v>
      </c>
      <c r="N36" t="n">
        <v>6.955670912395127</v>
      </c>
      <c r="O36" t="inlineStr">
        <is>
          <t>6</t>
        </is>
      </c>
      <c r="P36" s="2" t="n">
        <v>45041.74145609954</v>
      </c>
      <c r="Q36" t="n">
        <v>68</v>
      </c>
      <c r="R36" t="inlineStr">
        <is>
          <t>RAHUE 220</t>
        </is>
      </c>
      <c r="S36" t="n">
        <v>2386.504138290195</v>
      </c>
      <c r="T36" t="n">
        <v>174607.4558353229</v>
      </c>
      <c r="U36" t="n">
        <v>3.558014915324188</v>
      </c>
      <c r="V36" t="n">
        <v>21561.98690102332</v>
      </c>
      <c r="W36" t="inlineStr">
        <is>
          <t>SOCOEPA</t>
        </is>
      </c>
      <c r="X36" t="n">
        <v>77.83460737003</v>
      </c>
      <c r="Y36" t="n">
        <v>174.607455835323</v>
      </c>
      <c r="Z36" t="n">
        <v>185752.6125907691</v>
      </c>
      <c r="AA36" t="n">
        <v>25699.62681885974</v>
      </c>
      <c r="AB36" t="n">
        <v>21561.98690102332</v>
      </c>
      <c r="AC36" t="n">
        <v>25699.62681885974</v>
      </c>
      <c r="AD36" s="2" t="n">
        <v>44621</v>
      </c>
    </row>
    <row r="37">
      <c r="A37" t="n">
        <v>-1</v>
      </c>
      <c r="B37" t="inlineStr">
        <is>
          <t>01-03-2022</t>
        </is>
      </c>
      <c r="C37" t="n">
        <v>2022</v>
      </c>
      <c r="D37" t="n">
        <v>3</v>
      </c>
      <c r="E37" t="inlineStr">
        <is>
          <t>Paillaco 13.8</t>
        </is>
      </c>
      <c r="F37" t="inlineStr">
        <is>
          <t>Socoepa</t>
        </is>
      </c>
      <c r="G37" t="inlineStr">
        <is>
          <t>Socoepa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2013/03_2_BS3_BB_SOCOEPA_Empresa Eléctrica Carén S.A.</t>
        </is>
      </c>
      <c r="K37" t="inlineStr">
        <is>
          <t>Paillaco 13.8</t>
        </is>
      </c>
      <c r="L37" t="inlineStr">
        <is>
          <t>-1</t>
        </is>
      </c>
      <c r="M37" t="n">
        <v>4679.386263574002</v>
      </c>
      <c r="N37" t="n">
        <v>6.955670912395127</v>
      </c>
      <c r="O37" t="inlineStr">
        <is>
          <t>6</t>
        </is>
      </c>
      <c r="P37" s="2" t="n">
        <v>45041.74145609954</v>
      </c>
      <c r="Q37" t="n">
        <v>17</v>
      </c>
      <c r="R37" t="inlineStr">
        <is>
          <t>VALDIVIA 220</t>
        </is>
      </c>
      <c r="S37" t="n">
        <v>2360.093409410364</v>
      </c>
      <c r="T37" t="n">
        <v>174567.2901755853</v>
      </c>
      <c r="U37" t="n">
        <v>3.51863942639403</v>
      </c>
      <c r="V37" t="n">
        <v>21511.03365101723</v>
      </c>
      <c r="W37" t="inlineStr">
        <is>
          <t>SOCOEPA</t>
        </is>
      </c>
      <c r="X37" t="n">
        <v>78.68751398781001</v>
      </c>
      <c r="Y37" t="n">
        <v>174.5672901755852</v>
      </c>
      <c r="Z37" t="n">
        <v>185709.8831655162</v>
      </c>
      <c r="AA37" t="n">
        <v>25638.89588917429</v>
      </c>
      <c r="AB37" t="n">
        <v>21511.03365101723</v>
      </c>
      <c r="AC37" t="n">
        <v>25638.89588917429</v>
      </c>
      <c r="AD37" s="2" t="n">
        <v>44621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ref="G2" r:id="rId1"/>
    <hyperlink ref="G3" r:id="rId2"/>
    <hyperlink ref="G4" r:id="rId3"/>
    <hyperlink ref="G5" r:id="rId4"/>
    <hyperlink ref="G6" r:id="rId5"/>
    <hyperlink ref="G7" r:id="rId6"/>
    <hyperlink ref="G8" r:id="rId7"/>
    <hyperlink ref="G9" r:id="rId8"/>
    <hyperlink ref="G10" r:id="rId9"/>
    <hyperlink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2023-04-25T21:47:42Z</dcterms:created>
  <dcterms:modified xsi:type="dcterms:W3CDTF">2023-04-25T21:47:42Z</dcterms:modified>
</cp:coreProperties>
</file>