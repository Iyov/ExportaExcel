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README" sheetId="1" state="visible" r:id="rId1"/>
    <sheet xmlns:r="http://schemas.openxmlformats.org/officeDocument/2006/relationships" name="ReliquidacionEFACT" sheetId="2" state="visible" r:id="rId2"/>
    <sheet xmlns:r="http://schemas.openxmlformats.org/officeDocument/2006/relationships" name="ResumenRetiros" sheetId="3" state="visible" r:id="rId3"/>
    <sheet xmlns:r="http://schemas.openxmlformats.org/officeDocument/2006/relationships" name="FactRealE" sheetId="4" state="visible" r:id="rId4"/>
    <sheet xmlns:r="http://schemas.openxmlformats.org/officeDocument/2006/relationships" name="FactRealP" sheetId="5" state="visible" r:id="rId5"/>
    <sheet xmlns:r="http://schemas.openxmlformats.org/officeDocument/2006/relationships" name="FACT_EMITIDA" sheetId="6" state="visible" r:id="rId6"/>
    <sheet xmlns:r="http://schemas.openxmlformats.org/officeDocument/2006/relationships" name="SIGGE_E" sheetId="7" state="visible" r:id="rId7"/>
    <sheet xmlns:r="http://schemas.openxmlformats.org/officeDocument/2006/relationships" name="SIGGE_P" sheetId="8" state="visible" r:id="rId8"/>
    <sheet xmlns:r="http://schemas.openxmlformats.org/officeDocument/2006/relationships" name="EFACT_CNE" sheetId="9" state="visible" r:id="rId9"/>
    <sheet xmlns:r="http://schemas.openxmlformats.org/officeDocument/2006/relationships" name="EfactCNE_BT" sheetId="10" state="visible" r:id="rId10"/>
    <sheet xmlns:r="http://schemas.openxmlformats.org/officeDocument/2006/relationships" name="CEN_Energia" sheetId="11" state="visible" r:id="rId11"/>
    <sheet xmlns:r="http://schemas.openxmlformats.org/officeDocument/2006/relationships" name="CEN_Potencia" sheetId="12" state="visible" r:id="rId12"/>
    <sheet xmlns:r="http://schemas.openxmlformats.org/officeDocument/2006/relationships" name="CEN_EnergiaBT" sheetId="13" state="visible" r:id="rId13"/>
    <sheet xmlns:r="http://schemas.openxmlformats.org/officeDocument/2006/relationships" name="EFACT_EST_CEN" sheetId="14" state="visible" r:id="rId14"/>
    <sheet xmlns:r="http://schemas.openxmlformats.org/officeDocument/2006/relationships" name="SIN_DATA" sheetId="15" state="visible" r:id="rId15"/>
    <sheet xmlns:r="http://schemas.openxmlformats.org/officeDocument/2006/relationships" name="INTERESES" sheetId="16" state="visible" r:id="rId16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H:MM:SS"/>
    <numFmt numFmtId="165" formatCode="DD-MM-YYYY"/>
  </numFmts>
  <fonts count="3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  <font>
      <name val="Calibri"/>
      <family val="2"/>
      <color theme="10"/>
      <sz val="11"/>
      <u val="single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2" fillId="0" borderId="0" applyAlignment="1" applyProtection="1">
      <alignment vertical="top"/>
      <protection locked="0" hidden="0"/>
    </xf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4" fontId="0" fillId="0" borderId="0" pivotButton="0" quotePrefix="0" xfId="0"/>
    <xf numFmtId="0" fontId="2" fillId="0" borderId="0" pivotButton="0" quotePrefix="0" xfId="1"/>
    <xf numFmtId="165" fontId="0" fillId="0" borderId="0" pivotButton="0" quotePrefix="0" xfId="0"/>
  </cellXfs>
  <cellStyles count="2">
    <cellStyle name="Normal" xfId="0" builtinId="0"/>
    <cellStyle name="Hyperlink" xfId="1" builtinId="8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styles" Target="styles.xml" Id="rId17"/><Relationship Type="http://schemas.openxmlformats.org/officeDocument/2006/relationships/theme" Target="theme/theme1.xml" Id="rId1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6.xml.rels><Relationships xmlns="http://schemas.openxmlformats.org/package/2006/relationships"><Relationship Type="http://schemas.openxmlformats.org/officeDocument/2006/relationships/hyperlink" Target="https://www.bcn.cl/leychile/navegar?idNorma=1092549" TargetMode="External" Id="rId1"/><Relationship Type="http://schemas.openxmlformats.org/officeDocument/2006/relationships/hyperlink" Target="https://www.bcn.cl/leychile/navegar?idNorma=1093605" TargetMode="External" Id="rId2"/><Relationship Type="http://schemas.openxmlformats.org/officeDocument/2006/relationships/hyperlink" Target="https://www.diariooficial.interior.gob.cl/publicaciones/2017/09/15/41861/01/1272697.pdf" TargetMode="External" Id="rId3"/><Relationship Type="http://schemas.openxmlformats.org/officeDocument/2006/relationships/hyperlink" Target="https://www.diariooficial.interior.gob.cl/publicaciones/2017/09/15/41861/01/1272697.pdf" TargetMode="External" Id="rId4"/><Relationship Type="http://schemas.openxmlformats.org/officeDocument/2006/relationships/hyperlink" Target="https://www.diariooficial.interior.gob.cl/publicaciones/2018/03/15/42008/01/1366088.pdf" TargetMode="External" Id="rId5"/><Relationship Type="http://schemas.openxmlformats.org/officeDocument/2006/relationships/hyperlink" Target="https://www.diariooficial.interior.gob.cl/publicaciones/2018/09/15/42159/01/1465375.pdf" TargetMode="External" Id="rId6"/><Relationship Type="http://schemas.openxmlformats.org/officeDocument/2006/relationships/hyperlink" Target="https://www.diariooficial.interior.gob.cl/publicaciones/2019/04/15/42331/01/1576341.pdf" TargetMode="External" Id="rId7"/><Relationship Type="http://schemas.openxmlformats.org/officeDocument/2006/relationships/hyperlink" Target="https://www.diariooficial.interior.gob.cl/publicaciones/2020/10/15/42780/01/1830437.pdf" TargetMode="External" Id="rId8"/><Relationship Type="http://schemas.openxmlformats.org/officeDocument/2006/relationships/hyperlink" Target="https://www.diariooficial.interior.gob.cl/publicaciones/2021/03/15/42905/01/1910115.pdf" TargetMode="External" Id="rId9"/><Relationship Type="http://schemas.openxmlformats.org/officeDocument/2006/relationships/hyperlink" Target="https://www.diariooficial.interior.gob.cl/publicaciones/2021/05/14/42954/01/1943780.pdf" TargetMode="External" Id="rId10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tabSelected="1" workbookViewId="0">
      <selection activeCell="A1" sqref="A1"/>
    </sheetView>
  </sheetViews>
  <sheetFormatPr baseColWidth="8" defaultRowHeight="15"/>
  <sheetData>
    <row r="1">
      <c r="A1" s="1" t="inlineStr">
        <is>
          <t>Hoja</t>
        </is>
      </c>
      <c r="B1" s="1" t="inlineStr">
        <is>
          <t>Descripción</t>
        </is>
      </c>
    </row>
    <row r="2">
      <c r="A2" t="inlineStr">
        <is>
          <t>EFACT_CNE</t>
        </is>
      </c>
      <c r="B2" t="inlineStr">
        <is>
          <t>Información de facturación definitiva proveniente de los archivos EFACT publicados por la CNE en los Decretos de Precio de Nudo</t>
        </is>
      </c>
    </row>
    <row r="3">
      <c r="A3" t="inlineStr">
        <is>
          <t>FACT_EMITIDA</t>
        </is>
      </c>
      <c r="B3" t="inlineStr">
        <is>
          <t>Información de facturación real desde PDFs y sistema SIGGE (gestión facturación electrónica)</t>
        </is>
      </c>
    </row>
    <row r="4">
      <c r="A4" t="inlineStr">
        <is>
          <t>SIGGE_E</t>
        </is>
      </c>
      <c r="B4" t="inlineStr">
        <is>
          <t>Información de facturación real de Energía desde PDFs y sistema SIGGE (gestión facturación electrónica)</t>
        </is>
      </c>
    </row>
    <row r="5">
      <c r="A5" t="inlineStr">
        <is>
          <t>SIGGE_P</t>
        </is>
      </c>
      <c r="B5" t="inlineStr">
        <is>
          <t>Información de facturación real de Potencia desde PDFs y sistema SIGGE (gestión facturación electrónica)</t>
        </is>
      </c>
    </row>
    <row r="6">
      <c r="A6" t="inlineStr">
        <is>
          <t>FACT_EST_EFACT</t>
        </is>
      </c>
      <c r="B6" t="inlineStr">
        <is>
          <t>Estimación de facturación emitida en base a información de los EFACT Decretos Precios de Nudo</t>
        </is>
      </c>
    </row>
    <row r="7">
      <c r="A7" t="inlineStr">
        <is>
          <t>FACT_EST_CEN</t>
        </is>
      </c>
      <c r="B7" t="inlineStr">
        <is>
          <t>Estimación de la facturación emitida en base a los balances mensuales publicados por el Coordinador</t>
        </is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E18"/>
  <sheetViews>
    <sheetView workbookViewId="0">
      <selection activeCell="A1" sqref="A1"/>
    </sheetView>
  </sheetViews>
  <sheetFormatPr baseColWidth="8" defaultRowHeight="15"/>
  <sheetData>
    <row r="1">
      <c r="A1" s="1" t="inlineStr"/>
      <c r="B1" s="1" t="inlineStr"/>
      <c r="C1" s="1" t="inlineStr"/>
      <c r="D1" s="1" t="inlineStr"/>
      <c r="E1" s="1" t="inlineStr"/>
      <c r="F1" s="1" t="inlineStr"/>
      <c r="G1" s="1" t="inlineStr"/>
      <c r="H1" s="1" t="inlineStr"/>
      <c r="I1" s="1" t="inlineStr"/>
      <c r="J1" s="1" t="inlineStr"/>
      <c r="K1" s="1" t="inlineStr"/>
      <c r="L1" s="1" t="inlineStr"/>
      <c r="M1" s="1" t="inlineStr"/>
      <c r="N1" s="1" t="inlineStr"/>
      <c r="O1" s="1" t="inlineStr"/>
      <c r="P1" s="1" t="inlineStr"/>
      <c r="Q1" s="1" t="inlineStr"/>
      <c r="R1" s="1" t="inlineStr"/>
      <c r="S1" s="1" t="inlineStr"/>
      <c r="T1" s="1" t="inlineStr"/>
      <c r="U1" s="1" t="inlineStr"/>
      <c r="V1" s="1" t="inlineStr"/>
      <c r="W1" s="1" t="inlineStr"/>
      <c r="X1" s="1" t="inlineStr"/>
      <c r="Y1" s="1" t="inlineStr"/>
      <c r="Z1" s="1" t="inlineStr"/>
      <c r="AA1" s="1" t="inlineStr"/>
      <c r="AB1" s="1" t="inlineStr"/>
      <c r="AC1" s="1" t="inlineStr"/>
      <c r="AD1" s="1" t="inlineStr"/>
      <c r="AE1" s="1" t="inlineStr"/>
    </row>
    <row r="2">
      <c r="A2" t="inlineStr">
        <is>
          <t>Generador</t>
        </is>
      </c>
      <c r="B2" t="inlineStr">
        <is>
          <t>Caren</t>
        </is>
      </c>
    </row>
    <row r="3">
      <c r="A3" t="inlineStr">
        <is>
          <t>Distribuidor</t>
        </is>
      </c>
      <c r="B3" t="inlineStr">
        <is>
          <t>SAESA</t>
        </is>
      </c>
    </row>
    <row r="4">
      <c r="A4" t="inlineStr">
        <is>
          <t>Licitacion</t>
        </is>
      </c>
      <c r="B4" t="inlineStr">
        <is>
          <t>2013/03-2° Llamado</t>
        </is>
      </c>
    </row>
    <row r="5">
      <c r="A5" t="inlineStr">
        <is>
          <t>Bloque</t>
        </is>
      </c>
      <c r="B5" t="inlineStr">
        <is>
          <t>BS1A</t>
        </is>
      </c>
    </row>
    <row r="7">
      <c r="C7" t="inlineStr">
        <is>
          <t>LO QUE SE FACTURÓ</t>
        </is>
      </c>
      <c r="L7" t="inlineStr">
        <is>
          <t>LO QUE SE DEBIÓ HABER FACTURADO</t>
        </is>
      </c>
      <c r="U7" t="inlineStr">
        <is>
          <t>RELQUIDACIÓN Y CÁLCULO INTERESES</t>
        </is>
      </c>
    </row>
    <row r="8">
      <c r="A8" t="inlineStr">
        <is>
          <t>ID</t>
        </is>
      </c>
      <c r="B8" t="inlineStr">
        <is>
          <t>MES</t>
        </is>
      </c>
      <c r="C8" t="inlineStr">
        <is>
          <t>ORIGEN DATA</t>
        </is>
      </c>
      <c r="D8" t="inlineStr">
        <is>
          <t>Energía (kWh)</t>
        </is>
      </c>
      <c r="E8" t="inlineStr">
        <is>
          <t>Monto Energía ($)</t>
        </is>
      </c>
      <c r="F8" t="inlineStr">
        <is>
          <t>$/kWh</t>
        </is>
      </c>
      <c r="G8" t="inlineStr">
        <is>
          <t>Potencia (kW)</t>
        </is>
      </c>
      <c r="H8" t="inlineStr">
        <is>
          <t>Monto Potencia ($)</t>
        </is>
      </c>
      <c r="I8" t="inlineStr">
        <is>
          <t>$/kW-mes</t>
        </is>
      </c>
      <c r="J8" t="inlineStr">
        <is>
          <t>Monto Total ($)</t>
        </is>
      </c>
      <c r="L8" t="inlineStr">
        <is>
          <t>ORIGEN DATA</t>
        </is>
      </c>
      <c r="M8" t="inlineStr">
        <is>
          <t>Energía (kWh)</t>
        </is>
      </c>
      <c r="N8" t="inlineStr">
        <is>
          <t>Monto Energía ($)</t>
        </is>
      </c>
      <c r="O8" t="inlineStr">
        <is>
          <t>$/kWh</t>
        </is>
      </c>
      <c r="P8" t="inlineStr">
        <is>
          <t>Potencia (kW)</t>
        </is>
      </c>
      <c r="Q8" t="inlineStr">
        <is>
          <t>Monto Potencia ($)</t>
        </is>
      </c>
      <c r="R8" t="inlineStr">
        <is>
          <t>$/kW-mes</t>
        </is>
      </c>
      <c r="S8" t="inlineStr">
        <is>
          <t>Monto Total ($)</t>
        </is>
      </c>
      <c r="U8" t="inlineStr">
        <is>
          <t>Mes</t>
        </is>
      </c>
      <c r="V8" t="inlineStr">
        <is>
          <t>Reliquidación mensual ($)</t>
        </is>
      </c>
      <c r="W8" t="inlineStr">
        <is>
          <t>Decreto PNP Reliquidación</t>
        </is>
      </c>
      <c r="X8" t="inlineStr">
        <is>
          <t>Fecha publicación Diario Oficial</t>
        </is>
      </c>
      <c r="Y8" t="inlineStr">
        <is>
          <t>Interés Anual</t>
        </is>
      </c>
      <c r="Z8" t="inlineStr">
        <is>
          <t>Fecha Facturación</t>
        </is>
      </c>
      <c r="AA8" t="inlineStr">
        <is>
          <t>Fecha Reliquidación</t>
        </is>
      </c>
      <c r="AB8" t="inlineStr">
        <is>
          <t>N° de días de intereses</t>
        </is>
      </c>
      <c r="AC8" t="inlineStr">
        <is>
          <t>Interés total según n° de días</t>
        </is>
      </c>
      <c r="AD8" t="inlineStr">
        <is>
          <t>Intereses ($)</t>
        </is>
      </c>
      <c r="AE8" t="inlineStr">
        <is>
          <t>Reliquidación Total ($)</t>
        </is>
      </c>
    </row>
    <row r="9">
      <c r="A9" t="n">
        <v>9</v>
      </c>
      <c r="B9" s="4" t="n">
        <v>44105</v>
      </c>
      <c r="C9" t="inlineStr">
        <is>
          <t>FACT_EMITIDA</t>
        </is>
      </c>
      <c r="D9">
        <f>SUMIF(SIGGE_E!B:B,ReliquidacionEFACT!B9,SIGGE_E!S:S)</f>
        <v/>
      </c>
      <c r="E9">
        <f>SUMIF(SIGGE_E!B:B,ReliquidacionEFACT!B9,SIGGE_E!T:T)</f>
        <v/>
      </c>
      <c r="F9">
        <f>IFERROR((E9/D9),0)</f>
        <v/>
      </c>
      <c r="G9">
        <f>SUMIF(SIGGE_P!B:B,ReliquidacionEFACT!B9,SIGGE_P!U:U)</f>
        <v/>
      </c>
      <c r="H9">
        <f>SUMIF(SIGGE_P!B:B,ReliquidacionEFACT!B9,SIGGE_P!V:V)</f>
        <v/>
      </c>
      <c r="I9">
        <f>IFERROR((H9/G9),0)</f>
        <v/>
      </c>
      <c r="J9">
        <f>(E9+H9)</f>
        <v/>
      </c>
      <c r="L9" t="inlineStr">
        <is>
          <t>EFACT_CNE</t>
        </is>
      </c>
      <c r="M9">
        <f>SUMIF(EFACT_CNE!B:B,ReliquidacionEFACT!B9,EFACT_CNE!S:S)</f>
        <v/>
      </c>
      <c r="N9">
        <f>SUMIF(EFACT_CNE!B:B,ReliquidacionEFACT!B9,EFACT_CNE!T:T)</f>
        <v/>
      </c>
      <c r="O9">
        <f>IFERROR((N9/M9),0)</f>
        <v/>
      </c>
      <c r="P9">
        <f>SUMIF(EFACT_CNE!B:B,ReliquidacionEFACT!B9,EFACT_CNE!U:U)</f>
        <v/>
      </c>
      <c r="Q9">
        <f>SUMIF(EFACT_CNE!B:B,ReliquidacionEFACT!B9,EFACT_CNE!V:V)</f>
        <v/>
      </c>
      <c r="R9">
        <f>IFERROR((Q9/P9),0)</f>
        <v/>
      </c>
      <c r="S9">
        <f>(N9+Q9)</f>
        <v/>
      </c>
      <c r="U9" s="2" t="n">
        <v>44105</v>
      </c>
      <c r="V9">
        <f>(S9-J9)</f>
        <v/>
      </c>
      <c r="W9" t="inlineStr">
        <is>
          <t>PNP_8T</t>
        </is>
      </c>
      <c r="X9" s="2" t="n">
        <v>44600</v>
      </c>
      <c r="Y9" t="n">
        <v>0.0328</v>
      </c>
      <c r="Z9" s="2" t="n">
        <v>44129</v>
      </c>
      <c r="AA9" s="2" t="n">
        <v>44651</v>
      </c>
      <c r="AB9">
        <f>(AA9-Z9)</f>
        <v/>
      </c>
      <c r="AC9">
        <f>(1+Y9)^(AB9/360)-1</f>
        <v/>
      </c>
      <c r="AD9">
        <f>(AC9*V9)</f>
        <v/>
      </c>
      <c r="AE9">
        <f>(V9+AD9)</f>
        <v/>
      </c>
    </row>
    <row r="10">
      <c r="A10" t="n">
        <v>10</v>
      </c>
      <c r="B10" s="4" t="n">
        <v>44136</v>
      </c>
      <c r="C10" t="inlineStr">
        <is>
          <t>FACT_EMITIDA</t>
        </is>
      </c>
      <c r="D10">
        <f>SUMIF(SIGGE_E!B:B,ReliquidacionEFACT!B10,SIGGE_E!S:S)</f>
        <v/>
      </c>
      <c r="E10">
        <f>SUMIF(SIGGE_E!B:B,ReliquidacionEFACT!B10,SIGGE_E!T:T)</f>
        <v/>
      </c>
      <c r="F10">
        <f>IFERROR((E10/D10),0)</f>
        <v/>
      </c>
      <c r="G10">
        <f>SUMIF(SIGGE_P!B:B,ReliquidacionEFACT!B10,SIGGE_P!U:U)</f>
        <v/>
      </c>
      <c r="H10">
        <f>SUMIF(SIGGE_P!B:B,ReliquidacionEFACT!B10,SIGGE_P!V:V)</f>
        <v/>
      </c>
      <c r="I10">
        <f>IFERROR((H10/G10),0)</f>
        <v/>
      </c>
      <c r="J10">
        <f>(E10+H10)</f>
        <v/>
      </c>
      <c r="L10" t="inlineStr">
        <is>
          <t>EFACT_CNE</t>
        </is>
      </c>
      <c r="M10">
        <f>SUMIF(EFACT_CNE!B:B,ReliquidacionEFACT!B10,EFACT_CNE!S:S)</f>
        <v/>
      </c>
      <c r="N10">
        <f>SUMIF(EFACT_CNE!B:B,ReliquidacionEFACT!B10,EFACT_CNE!T:T)</f>
        <v/>
      </c>
      <c r="O10">
        <f>IFERROR((N10/M10),0)</f>
        <v/>
      </c>
      <c r="P10">
        <f>SUMIF(EFACT_CNE!B:B,ReliquidacionEFACT!B10,EFACT_CNE!U:U)</f>
        <v/>
      </c>
      <c r="Q10">
        <f>SUMIF(EFACT_CNE!B:B,ReliquidacionEFACT!B10,EFACT_CNE!V:V)</f>
        <v/>
      </c>
      <c r="R10">
        <f>IFERROR((Q10/P10),0)</f>
        <v/>
      </c>
      <c r="S10">
        <f>(N10+Q10)</f>
        <v/>
      </c>
      <c r="U10" s="2" t="n">
        <v>44136</v>
      </c>
      <c r="V10">
        <f>(S10-J10)</f>
        <v/>
      </c>
      <c r="W10" t="inlineStr">
        <is>
          <t>PNP_8T</t>
        </is>
      </c>
      <c r="X10" s="2" t="n">
        <v>44600</v>
      </c>
      <c r="Y10" t="n">
        <v>0.0328</v>
      </c>
      <c r="Z10" s="2" t="n">
        <v>44160</v>
      </c>
      <c r="AA10" s="2" t="n">
        <v>44651</v>
      </c>
      <c r="AB10">
        <f>(AA10-Z10)</f>
        <v/>
      </c>
      <c r="AC10">
        <f>(1+Y10)^(AB10/360)-1</f>
        <v/>
      </c>
      <c r="AD10">
        <f>(AC10*V10)</f>
        <v/>
      </c>
      <c r="AE10">
        <f>(V10+AD10)</f>
        <v/>
      </c>
    </row>
    <row r="11">
      <c r="A11" t="n">
        <v>11</v>
      </c>
      <c r="B11" s="4" t="n">
        <v>44166</v>
      </c>
      <c r="C11" t="inlineStr">
        <is>
          <t>FACT_EMITIDA</t>
        </is>
      </c>
      <c r="D11">
        <f>SUMIF(SIGGE_E!B:B,ReliquidacionEFACT!B11,SIGGE_E!S:S)</f>
        <v/>
      </c>
      <c r="E11">
        <f>SUMIF(SIGGE_E!B:B,ReliquidacionEFACT!B11,SIGGE_E!T:T)</f>
        <v/>
      </c>
      <c r="F11">
        <f>IFERROR((E11/D11),0)</f>
        <v/>
      </c>
      <c r="G11">
        <f>SUMIF(SIGGE_P!B:B,ReliquidacionEFACT!B11,SIGGE_P!U:U)</f>
        <v/>
      </c>
      <c r="H11">
        <f>SUMIF(SIGGE_P!B:B,ReliquidacionEFACT!B11,SIGGE_P!V:V)</f>
        <v/>
      </c>
      <c r="I11">
        <f>IFERROR((H11/G11),0)</f>
        <v/>
      </c>
      <c r="J11">
        <f>(E11+H11)</f>
        <v/>
      </c>
      <c r="L11" t="inlineStr">
        <is>
          <t>EFACT_CNE</t>
        </is>
      </c>
      <c r="M11">
        <f>SUMIF(EFACT_CNE!B:B,ReliquidacionEFACT!B11,EFACT_CNE!S:S)</f>
        <v/>
      </c>
      <c r="N11">
        <f>SUMIF(EFACT_CNE!B:B,ReliquidacionEFACT!B11,EFACT_CNE!T:T)</f>
        <v/>
      </c>
      <c r="O11">
        <f>IFERROR((N11/M11),0)</f>
        <v/>
      </c>
      <c r="P11">
        <f>SUMIF(EFACT_CNE!B:B,ReliquidacionEFACT!B11,EFACT_CNE!U:U)</f>
        <v/>
      </c>
      <c r="Q11">
        <f>SUMIF(EFACT_CNE!B:B,ReliquidacionEFACT!B11,EFACT_CNE!V:V)</f>
        <v/>
      </c>
      <c r="R11">
        <f>IFERROR((Q11/P11),0)</f>
        <v/>
      </c>
      <c r="S11">
        <f>(N11+Q11)</f>
        <v/>
      </c>
      <c r="U11" s="2" t="n">
        <v>44166</v>
      </c>
      <c r="V11">
        <f>(S11-J11)</f>
        <v/>
      </c>
      <c r="W11" t="inlineStr">
        <is>
          <t>PNP_8T</t>
        </is>
      </c>
      <c r="X11" s="2" t="n">
        <v>44600</v>
      </c>
      <c r="Y11" t="n">
        <v>0.0328</v>
      </c>
      <c r="Z11" s="2" t="n">
        <v>44190</v>
      </c>
      <c r="AA11" s="2" t="n">
        <v>44651</v>
      </c>
      <c r="AB11">
        <f>(AA11-Z11)</f>
        <v/>
      </c>
      <c r="AC11">
        <f>(1+Y11)^(AB11/360)-1</f>
        <v/>
      </c>
      <c r="AD11">
        <f>(AC11*V11)</f>
        <v/>
      </c>
      <c r="AE11">
        <f>(V11+AD11)</f>
        <v/>
      </c>
    </row>
    <row r="12">
      <c r="A12" t="n">
        <v>12</v>
      </c>
      <c r="B12" s="4" t="n">
        <v>44197</v>
      </c>
      <c r="C12" t="inlineStr">
        <is>
          <t>FACT_EMITIDA</t>
        </is>
      </c>
      <c r="D12">
        <f>SUMIF(SIGGE_E!B:B,ReliquidacionEFACT!B12,SIGGE_E!S:S)</f>
        <v/>
      </c>
      <c r="E12">
        <f>SUMIF(SIGGE_E!B:B,ReliquidacionEFACT!B12,SIGGE_E!T:T)</f>
        <v/>
      </c>
      <c r="F12">
        <f>IFERROR((E12/D12),0)</f>
        <v/>
      </c>
      <c r="G12">
        <f>SUMIF(SIGGE_P!B:B,ReliquidacionEFACT!B12,SIGGE_P!U:U)</f>
        <v/>
      </c>
      <c r="H12">
        <f>SUMIF(SIGGE_P!B:B,ReliquidacionEFACT!B12,SIGGE_P!V:V)</f>
        <v/>
      </c>
      <c r="I12">
        <f>IFERROR((H12/G12),0)</f>
        <v/>
      </c>
      <c r="J12">
        <f>(E12+H12)</f>
        <v/>
      </c>
      <c r="L12" t="inlineStr">
        <is>
          <t>EFACT_CNE</t>
        </is>
      </c>
      <c r="M12">
        <f>SUMIF(EFACT_CNE!B:B,ReliquidacionEFACT!B12,EFACT_CNE!S:S)</f>
        <v/>
      </c>
      <c r="N12">
        <f>SUMIF(EFACT_CNE!B:B,ReliquidacionEFACT!B12,EFACT_CNE!T:T)</f>
        <v/>
      </c>
      <c r="O12">
        <f>IFERROR((N12/M12),0)</f>
        <v/>
      </c>
      <c r="P12">
        <f>SUMIF(EFACT_CNE!B:B,ReliquidacionEFACT!B12,EFACT_CNE!U:U)</f>
        <v/>
      </c>
      <c r="Q12">
        <f>SUMIF(EFACT_CNE!B:B,ReliquidacionEFACT!B12,EFACT_CNE!V:V)</f>
        <v/>
      </c>
      <c r="R12">
        <f>IFERROR((Q12/P12),0)</f>
        <v/>
      </c>
      <c r="S12">
        <f>(N12+Q12)</f>
        <v/>
      </c>
      <c r="U12" s="2" t="n">
        <v>44197</v>
      </c>
      <c r="V12">
        <f>(S12-J12)</f>
        <v/>
      </c>
      <c r="W12" t="inlineStr">
        <is>
          <t>PNP_8T</t>
        </is>
      </c>
      <c r="X12" s="2" t="n">
        <v>44600</v>
      </c>
      <c r="Y12" t="n">
        <v>0.0328</v>
      </c>
      <c r="Z12" s="2" t="n">
        <v>44221</v>
      </c>
      <c r="AA12" s="2" t="n">
        <v>44651</v>
      </c>
      <c r="AB12">
        <f>(AA12-Z12)</f>
        <v/>
      </c>
      <c r="AC12">
        <f>(1+Y12)^(AB12/360)-1</f>
        <v/>
      </c>
      <c r="AD12">
        <f>(AC12*V12)</f>
        <v/>
      </c>
      <c r="AE12">
        <f>(V12+AD12)</f>
        <v/>
      </c>
    </row>
    <row r="13">
      <c r="A13" t="n">
        <v>13</v>
      </c>
      <c r="B13" s="4" t="n">
        <v>44228</v>
      </c>
      <c r="C13" t="inlineStr">
        <is>
          <t>FACT_EMITIDA</t>
        </is>
      </c>
      <c r="D13">
        <f>SUMIF(SIGGE_E!B:B,ReliquidacionEFACT!B13,SIGGE_E!S:S)</f>
        <v/>
      </c>
      <c r="E13">
        <f>SUMIF(SIGGE_E!B:B,ReliquidacionEFACT!B13,SIGGE_E!T:T)</f>
        <v/>
      </c>
      <c r="F13">
        <f>IFERROR((E13/D13),0)</f>
        <v/>
      </c>
      <c r="G13">
        <f>SUMIF(SIGGE_P!B:B,ReliquidacionEFACT!B13,SIGGE_P!U:U)</f>
        <v/>
      </c>
      <c r="H13">
        <f>SUMIF(SIGGE_P!B:B,ReliquidacionEFACT!B13,SIGGE_P!V:V)</f>
        <v/>
      </c>
      <c r="I13">
        <f>IFERROR((H13/G13),0)</f>
        <v/>
      </c>
      <c r="J13">
        <f>(E13+H13)</f>
        <v/>
      </c>
      <c r="L13" t="inlineStr">
        <is>
          <t>EFACT_CNE</t>
        </is>
      </c>
      <c r="M13">
        <f>SUMIF(EFACT_CNE!B:B,ReliquidacionEFACT!B13,EFACT_CNE!S:S)</f>
        <v/>
      </c>
      <c r="N13">
        <f>SUMIF(EFACT_CNE!B:B,ReliquidacionEFACT!B13,EFACT_CNE!T:T)</f>
        <v/>
      </c>
      <c r="O13">
        <f>IFERROR((N13/M13),0)</f>
        <v/>
      </c>
      <c r="P13">
        <f>SUMIF(EFACT_CNE!B:B,ReliquidacionEFACT!B13,EFACT_CNE!U:U)</f>
        <v/>
      </c>
      <c r="Q13">
        <f>SUMIF(EFACT_CNE!B:B,ReliquidacionEFACT!B13,EFACT_CNE!V:V)</f>
        <v/>
      </c>
      <c r="R13">
        <f>IFERROR((Q13/P13),0)</f>
        <v/>
      </c>
      <c r="S13">
        <f>(N13+Q13)</f>
        <v/>
      </c>
      <c r="U13" s="2" t="n">
        <v>44228</v>
      </c>
      <c r="V13">
        <f>(S13-J13)</f>
        <v/>
      </c>
      <c r="W13" t="inlineStr">
        <is>
          <t>PNP_8T</t>
        </is>
      </c>
      <c r="X13" s="2" t="n">
        <v>44600</v>
      </c>
      <c r="Y13" t="n">
        <v>0.0328</v>
      </c>
      <c r="Z13" s="2" t="n">
        <v>44252</v>
      </c>
      <c r="AA13" s="2" t="n">
        <v>44651</v>
      </c>
      <c r="AB13">
        <f>(AA13-Z13)</f>
        <v/>
      </c>
      <c r="AC13">
        <f>(1+Y13)^(AB13/360)-1</f>
        <v/>
      </c>
      <c r="AD13">
        <f>(AC13*V13)</f>
        <v/>
      </c>
      <c r="AE13">
        <f>(V13+AD13)</f>
        <v/>
      </c>
    </row>
    <row r="14">
      <c r="A14" t="n">
        <v>14</v>
      </c>
      <c r="B14" s="4" t="n">
        <v>44256</v>
      </c>
      <c r="C14" t="inlineStr">
        <is>
          <t>FACT_EMITIDA</t>
        </is>
      </c>
      <c r="D14">
        <f>SUMIF(SIGGE_E!B:B,ReliquidacionEFACT!B14,SIGGE_E!S:S)</f>
        <v/>
      </c>
      <c r="E14">
        <f>SUMIF(SIGGE_E!B:B,ReliquidacionEFACT!B14,SIGGE_E!T:T)</f>
        <v/>
      </c>
      <c r="F14">
        <f>IFERROR((E14/D14),0)</f>
        <v/>
      </c>
      <c r="G14">
        <f>SUMIF(SIGGE_P!B:B,ReliquidacionEFACT!B14,SIGGE_P!U:U)</f>
        <v/>
      </c>
      <c r="H14">
        <f>SUMIF(SIGGE_P!B:B,ReliquidacionEFACT!B14,SIGGE_P!V:V)</f>
        <v/>
      </c>
      <c r="I14">
        <f>IFERROR((H14/G14),0)</f>
        <v/>
      </c>
      <c r="J14">
        <f>(E14+H14)</f>
        <v/>
      </c>
      <c r="L14" t="inlineStr">
        <is>
          <t>EFACT_CNE</t>
        </is>
      </c>
      <c r="M14">
        <f>SUMIF(EFACT_CNE!B:B,ReliquidacionEFACT!B14,EFACT_CNE!S:S)</f>
        <v/>
      </c>
      <c r="N14">
        <f>SUMIF(EFACT_CNE!B:B,ReliquidacionEFACT!B14,EFACT_CNE!T:T)</f>
        <v/>
      </c>
      <c r="O14">
        <f>IFERROR((N14/M14),0)</f>
        <v/>
      </c>
      <c r="P14">
        <f>SUMIF(EFACT_CNE!B:B,ReliquidacionEFACT!B14,EFACT_CNE!U:U)</f>
        <v/>
      </c>
      <c r="Q14">
        <f>SUMIF(EFACT_CNE!B:B,ReliquidacionEFACT!B14,EFACT_CNE!V:V)</f>
        <v/>
      </c>
      <c r="R14">
        <f>IFERROR((Q14/P14),0)</f>
        <v/>
      </c>
      <c r="S14">
        <f>(N14+Q14)</f>
        <v/>
      </c>
      <c r="U14" s="2" t="n">
        <v>44256</v>
      </c>
      <c r="V14">
        <f>(S14-J14)</f>
        <v/>
      </c>
      <c r="W14" t="inlineStr">
        <is>
          <t>PNP_8T</t>
        </is>
      </c>
      <c r="X14" s="2" t="n">
        <v>44600</v>
      </c>
      <c r="Y14" t="n">
        <v>0.0328</v>
      </c>
      <c r="Z14" s="2" t="n">
        <v>44280</v>
      </c>
      <c r="AA14" s="2" t="n">
        <v>44651</v>
      </c>
      <c r="AB14">
        <f>(AA14-Z14)</f>
        <v/>
      </c>
      <c r="AC14">
        <f>(1+Y14)^(AB14/360)-1</f>
        <v/>
      </c>
      <c r="AD14">
        <f>(AC14*V14)</f>
        <v/>
      </c>
      <c r="AE14">
        <f>(V14+AD14)</f>
        <v/>
      </c>
    </row>
    <row r="15">
      <c r="AD15" t="inlineStr">
        <is>
          <t>Reliquidación</t>
        </is>
      </c>
      <c r="AE15">
        <f>SUM(AE9:AE14)</f>
        <v/>
      </c>
    </row>
    <row r="17">
      <c r="AC17" t="inlineStr">
        <is>
          <t>Montos a favor</t>
        </is>
      </c>
      <c r="AD17" t="inlineStr">
        <is>
          <t>LAP emite factura</t>
        </is>
      </c>
    </row>
    <row r="18">
      <c r="AC18" t="inlineStr">
        <is>
          <t>Montos en contra</t>
        </is>
      </c>
      <c r="AD18" t="inlineStr">
        <is>
          <t>LAP emite nota de crédito</t>
        </is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E15"/>
  <sheetViews>
    <sheetView workbookViewId="0">
      <selection activeCell="A1" sqref="A1"/>
    </sheetView>
  </sheetViews>
  <sheetFormatPr baseColWidth="8" defaultRowHeight="15"/>
  <sheetData>
    <row r="1">
      <c r="A1" s="1" t="inlineStr"/>
      <c r="B1" s="1" t="inlineStr"/>
      <c r="C1" s="1" t="inlineStr"/>
      <c r="D1" s="1" t="inlineStr"/>
      <c r="E1" s="1" t="inlineStr"/>
      <c r="F1" s="1" t="inlineStr"/>
      <c r="G1" s="1" t="inlineStr"/>
      <c r="H1" s="1" t="inlineStr"/>
      <c r="I1" t="inlineStr"/>
      <c r="J1" t="inlineStr"/>
      <c r="K1" t="inlineStr"/>
      <c r="L1" t="inlineStr"/>
      <c r="M1" t="inlineStr"/>
      <c r="N1" t="inlineStr"/>
      <c r="O1" t="inlineStr"/>
      <c r="P1" t="inlineStr"/>
      <c r="Q1" t="inlineStr"/>
      <c r="R1" t="inlineStr"/>
      <c r="S1" t="inlineStr"/>
      <c r="T1" t="inlineStr"/>
      <c r="U1" t="inlineStr"/>
      <c r="V1" t="inlineStr"/>
      <c r="W1" t="inlineStr"/>
      <c r="X1" t="inlineStr"/>
      <c r="Y1" t="inlineStr"/>
      <c r="Z1" t="inlineStr"/>
      <c r="AA1" t="inlineStr"/>
      <c r="AB1" t="inlineStr"/>
      <c r="AC1" t="inlineStr"/>
      <c r="AD1" t="inlineStr"/>
      <c r="AE1" t="inlineStr"/>
    </row>
    <row r="2">
      <c r="A2" t="inlineStr">
        <is>
          <t>Generador</t>
        </is>
      </c>
      <c r="B2" t="inlineStr">
        <is>
          <t>Caren</t>
        </is>
      </c>
    </row>
    <row r="3">
      <c r="A3" t="inlineStr">
        <is>
          <t>Distribuidor</t>
        </is>
      </c>
      <c r="B3" t="inlineStr">
        <is>
          <t>SAESA</t>
        </is>
      </c>
    </row>
    <row r="4">
      <c r="A4" t="inlineStr">
        <is>
          <t>Licitacion</t>
        </is>
      </c>
      <c r="B4" t="inlineStr">
        <is>
          <t>2013/03-2° Llamado</t>
        </is>
      </c>
    </row>
    <row r="5">
      <c r="A5" t="inlineStr">
        <is>
          <t>Bloque</t>
        </is>
      </c>
      <c r="B5" t="inlineStr">
        <is>
          <t>BS1A</t>
        </is>
      </c>
    </row>
    <row r="8">
      <c r="A8" t="inlineStr">
        <is>
          <t>ID</t>
        </is>
      </c>
      <c r="B8" t="inlineStr">
        <is>
          <t>MES</t>
        </is>
      </c>
      <c r="C8" t="inlineStr">
        <is>
          <t>ORIGEN DATA</t>
        </is>
      </c>
      <c r="D8" t="inlineStr">
        <is>
          <t>Energía SIGGE (kWh)</t>
        </is>
      </c>
      <c r="E8" t="inlineStr">
        <is>
          <t>Energía EFACT AT (kWh)</t>
        </is>
      </c>
      <c r="F8" t="inlineStr">
        <is>
          <t>Energía EFACT BT (kWh)</t>
        </is>
      </c>
      <c r="G8" t="inlineStr">
        <is>
          <t>Energía Coordinador AT (kWh)</t>
        </is>
      </c>
      <c r="H8" t="inlineStr">
        <is>
          <t>Energía Coordinador BT (kWh)</t>
        </is>
      </c>
    </row>
    <row r="9">
      <c r="A9" t="n">
        <v>9</v>
      </c>
      <c r="B9" s="4" t="n">
        <v>44105</v>
      </c>
      <c r="C9" t="inlineStr">
        <is>
          <t>FACT_EMITIDA</t>
        </is>
      </c>
      <c r="D9">
        <f>SUMIF(SIGGE_E!B:B,ResumenRetiros!B9,SIGGE_E!S:S)</f>
        <v/>
      </c>
      <c r="E9">
        <f>SUMIF(EFACT_CNE!B:B,ResumenRetiros!B9,EFACT_CNE!S:S)</f>
        <v/>
      </c>
      <c r="F9">
        <f>SUMIF(EfactCNE_BT!B:B,ResumenRetiros!B9,EfactCNE_BT!M:M)</f>
        <v/>
      </c>
      <c r="G9">
        <f>SUMIF(CEN_Energia!B:B,ResumenRetiros!B9,CEN_Energia!Z:Z)</f>
        <v/>
      </c>
      <c r="H9">
        <f>SUMIF(CEN_EnergiaBT!B:B,ResumenRetiros!B9,CEN_EnergiaBT!K:K)</f>
        <v/>
      </c>
    </row>
    <row r="10">
      <c r="A10" t="n">
        <v>10</v>
      </c>
      <c r="B10" s="4" t="n">
        <v>44136</v>
      </c>
      <c r="C10" t="inlineStr">
        <is>
          <t>FACT_EMITIDA</t>
        </is>
      </c>
      <c r="D10">
        <f>SUMIF(SIGGE_E!B:B,ResumenRetiros!B10,SIGGE_E!S:S)</f>
        <v/>
      </c>
      <c r="E10">
        <f>SUMIF(EFACT_CNE!B:B,ResumenRetiros!B10,EFACT_CNE!S:S)</f>
        <v/>
      </c>
      <c r="F10">
        <f>SUMIF(EfactCNE_BT!B:B,ResumenRetiros!B10,EfactCNE_BT!M:M)</f>
        <v/>
      </c>
      <c r="G10">
        <f>SUMIF(CEN_Energia!B:B,ResumenRetiros!B10,CEN_Energia!Z:Z)</f>
        <v/>
      </c>
      <c r="H10">
        <f>SUMIF(CEN_EnergiaBT!B:B,ResumenRetiros!B10,CEN_EnergiaBT!K:K)</f>
        <v/>
      </c>
    </row>
    <row r="11">
      <c r="A11" t="n">
        <v>11</v>
      </c>
      <c r="B11" s="4" t="n">
        <v>44166</v>
      </c>
      <c r="C11" t="inlineStr">
        <is>
          <t>FACT_EMITIDA</t>
        </is>
      </c>
      <c r="D11">
        <f>SUMIF(SIGGE_E!B:B,ResumenRetiros!B11,SIGGE_E!S:S)</f>
        <v/>
      </c>
      <c r="E11">
        <f>SUMIF(EFACT_CNE!B:B,ResumenRetiros!B11,EFACT_CNE!S:S)</f>
        <v/>
      </c>
      <c r="F11">
        <f>SUMIF(EfactCNE_BT!B:B,ResumenRetiros!B11,EfactCNE_BT!M:M)</f>
        <v/>
      </c>
      <c r="G11">
        <f>SUMIF(CEN_Energia!B:B,ResumenRetiros!B11,CEN_Energia!Z:Z)</f>
        <v/>
      </c>
      <c r="H11">
        <f>SUMIF(CEN_EnergiaBT!B:B,ResumenRetiros!B11,CEN_EnergiaBT!K:K)</f>
        <v/>
      </c>
    </row>
    <row r="12">
      <c r="A12" t="n">
        <v>12</v>
      </c>
      <c r="B12" s="4" t="n">
        <v>44197</v>
      </c>
      <c r="C12" t="inlineStr">
        <is>
          <t>FACT_EMITIDA</t>
        </is>
      </c>
      <c r="D12">
        <f>SUMIF(SIGGE_E!B:B,ResumenRetiros!B12,SIGGE_E!S:S)</f>
        <v/>
      </c>
      <c r="E12">
        <f>SUMIF(EFACT_CNE!B:B,ResumenRetiros!B12,EFACT_CNE!S:S)</f>
        <v/>
      </c>
      <c r="F12">
        <f>SUMIF(EfactCNE_BT!B:B,ResumenRetiros!B12,EfactCNE_BT!M:M)</f>
        <v/>
      </c>
      <c r="G12">
        <f>SUMIF(CEN_Energia!B:B,ResumenRetiros!B12,CEN_Energia!Z:Z)</f>
        <v/>
      </c>
      <c r="H12">
        <f>SUMIF(CEN_EnergiaBT!B:B,ResumenRetiros!B12,CEN_EnergiaBT!K:K)</f>
        <v/>
      </c>
    </row>
    <row r="13">
      <c r="A13" t="n">
        <v>13</v>
      </c>
      <c r="B13" s="4" t="n">
        <v>44228</v>
      </c>
      <c r="C13" t="inlineStr">
        <is>
          <t>FACT_EMITIDA</t>
        </is>
      </c>
      <c r="D13">
        <f>SUMIF(SIGGE_E!B:B,ResumenRetiros!B13,SIGGE_E!S:S)</f>
        <v/>
      </c>
      <c r="E13">
        <f>SUMIF(EFACT_CNE!B:B,ResumenRetiros!B13,EFACT_CNE!S:S)</f>
        <v/>
      </c>
      <c r="F13">
        <f>SUMIF(EfactCNE_BT!B:B,ResumenRetiros!B13,EfactCNE_BT!M:M)</f>
        <v/>
      </c>
      <c r="G13">
        <f>SUMIF(CEN_Energia!B:B,ResumenRetiros!B13,CEN_Energia!Z:Z)</f>
        <v/>
      </c>
      <c r="H13">
        <f>SUMIF(CEN_EnergiaBT!B:B,ResumenRetiros!B13,CEN_EnergiaBT!K:K)</f>
        <v/>
      </c>
    </row>
    <row r="14">
      <c r="A14" t="n">
        <v>14</v>
      </c>
      <c r="B14" s="4" t="n">
        <v>44256</v>
      </c>
      <c r="C14" t="inlineStr">
        <is>
          <t>FACT_EMITIDA</t>
        </is>
      </c>
      <c r="D14">
        <f>SUMIF(SIGGE_E!B:B,ResumenRetiros!B14,SIGGE_E!S:S)</f>
        <v/>
      </c>
      <c r="E14">
        <f>SUMIF(EFACT_CNE!B:B,ResumenRetiros!B14,EFACT_CNE!S:S)</f>
        <v/>
      </c>
      <c r="F14">
        <f>SUMIF(EfactCNE_BT!B:B,ResumenRetiros!B14,EfactCNE_BT!M:M)</f>
        <v/>
      </c>
      <c r="G14">
        <f>SUMIF(CEN_Energia!B:B,ResumenRetiros!B14,CEN_Energia!Z:Z)</f>
        <v/>
      </c>
      <c r="H14">
        <f>SUMIF(CEN_EnergiaBT!B:B,ResumenRetiros!B14,CEN_EnergiaBT!K:K)</f>
        <v/>
      </c>
    </row>
    <row r="15">
      <c r="D15">
        <f>SUM(D9:D14)</f>
        <v/>
      </c>
      <c r="E15">
        <f>SUM(E9:E14)</f>
        <v/>
      </c>
      <c r="F15">
        <f>SUM(F9:F14)</f>
        <v/>
      </c>
      <c r="G15">
        <f>SUM(G9:G14)</f>
        <v/>
      </c>
      <c r="H15">
        <f>SUM(H9:H14)</f>
        <v/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M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Empresa</t>
        </is>
      </c>
      <c r="B1" s="1" t="inlineStr">
        <is>
          <t>MesDevengado</t>
        </is>
      </c>
      <c r="C1" s="1" t="inlineStr">
        <is>
          <t>IdAgrupacion</t>
        </is>
      </c>
      <c r="D1" s="1" t="inlineStr">
        <is>
          <t>NomAgrupacion</t>
        </is>
      </c>
      <c r="E1" s="1" t="inlineStr">
        <is>
          <t>Bloque</t>
        </is>
      </c>
      <c r="F1" s="1" t="inlineStr">
        <is>
          <t>NombreCliente</t>
        </is>
      </c>
      <c r="G1" s="1" t="inlineStr">
        <is>
          <t>FechaDeContabilizacion</t>
        </is>
      </c>
      <c r="H1" s="1" t="inlineStr">
        <is>
          <t>PrefijoFolio</t>
        </is>
      </c>
      <c r="I1" s="1" t="inlineStr">
        <is>
          <t>CuentaDeMayor</t>
        </is>
      </c>
      <c r="J1" s="1" t="inlineStr">
        <is>
          <t>CodigoDeArticulo</t>
        </is>
      </c>
      <c r="K1" s="1" t="inlineStr">
        <is>
          <t>NumDeFolio</t>
        </is>
      </c>
      <c r="L1" s="1" t="inlineStr">
        <is>
          <t>MontoCLP</t>
        </is>
      </c>
      <c r="M1" s="1" t="inlineStr">
        <is>
          <t>TotalUSD</t>
        </is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M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Empresa</t>
        </is>
      </c>
      <c r="B1" s="1" t="inlineStr">
        <is>
          <t>MesDevengado</t>
        </is>
      </c>
      <c r="C1" s="1" t="inlineStr">
        <is>
          <t>IdAgrupacion</t>
        </is>
      </c>
      <c r="D1" s="1" t="inlineStr">
        <is>
          <t>NomAgrupacion</t>
        </is>
      </c>
      <c r="E1" s="1" t="inlineStr">
        <is>
          <t>Bloque</t>
        </is>
      </c>
      <c r="F1" s="1" t="inlineStr">
        <is>
          <t>NombreCliente</t>
        </is>
      </c>
      <c r="G1" s="1" t="inlineStr">
        <is>
          <t>FechaDeContabilizacion</t>
        </is>
      </c>
      <c r="H1" s="1" t="inlineStr">
        <is>
          <t>PrefijoFolio</t>
        </is>
      </c>
      <c r="I1" s="1" t="inlineStr">
        <is>
          <t>CuentaDeMayor</t>
        </is>
      </c>
      <c r="J1" s="1" t="inlineStr">
        <is>
          <t>CodigoDeArticulo</t>
        </is>
      </c>
      <c r="K1" s="1" t="inlineStr">
        <is>
          <t>NumDeFolio</t>
        </is>
      </c>
      <c r="L1" s="1" t="inlineStr">
        <is>
          <t>MontoCLP</t>
        </is>
      </c>
      <c r="M1" s="1" t="inlineStr">
        <is>
          <t>TotalUSD</t>
        </is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W1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Periodo</t>
        </is>
      </c>
      <c r="B1" s="1" t="inlineStr">
        <is>
          <t>MesDevengado</t>
        </is>
      </c>
      <c r="C1" s="1" t="inlineStr">
        <is>
          <t>Nombre</t>
        </is>
      </c>
      <c r="D1" s="1" t="inlineStr">
        <is>
          <t>Concepto</t>
        </is>
      </c>
      <c r="E1" s="1" t="inlineStr">
        <is>
          <t>Agrupacion</t>
        </is>
      </c>
      <c r="F1" s="1" t="inlineStr">
        <is>
          <t>Glosa</t>
        </is>
      </c>
      <c r="G1" s="1" t="inlineStr">
        <is>
          <t>FechaCarga</t>
        </is>
      </c>
      <c r="H1" s="1" t="inlineStr">
        <is>
          <t>TipoDocumento</t>
        </is>
      </c>
      <c r="I1" s="1" t="inlineStr">
        <is>
          <t>Folio</t>
        </is>
      </c>
      <c r="J1" s="1" t="inlineStr">
        <is>
          <t>Vendedor</t>
        </is>
      </c>
      <c r="K1" s="1" t="inlineStr">
        <is>
          <t>Comprador</t>
        </is>
      </c>
      <c r="L1" s="1" t="inlineStr">
        <is>
          <t>Bloque</t>
        </is>
      </c>
      <c r="M1" s="1" t="inlineStr">
        <is>
          <t>Empresa</t>
        </is>
      </c>
      <c r="N1" s="1" t="inlineStr">
        <is>
          <t>ClaveEEDD</t>
        </is>
      </c>
      <c r="O1" s="1" t="inlineStr">
        <is>
          <t>Licitacion</t>
        </is>
      </c>
      <c r="P1" s="1" t="inlineStr">
        <is>
          <t>NomAgrupacion</t>
        </is>
      </c>
      <c r="Q1" s="1" t="inlineStr">
        <is>
          <t>Num</t>
        </is>
      </c>
      <c r="R1" s="1" t="inlineStr">
        <is>
          <t>Barra</t>
        </is>
      </c>
      <c r="S1" s="1" t="inlineStr">
        <is>
          <t>Energia</t>
        </is>
      </c>
      <c r="T1" s="1" t="inlineStr">
        <is>
          <t>MontoEnergia</t>
        </is>
      </c>
      <c r="U1" s="1" t="inlineStr">
        <is>
          <t>Potencia</t>
        </is>
      </c>
      <c r="V1" s="1" t="inlineStr">
        <is>
          <t>MontoPotencia</t>
        </is>
      </c>
      <c r="W1" s="1" t="inlineStr">
        <is>
          <t>Precio</t>
        </is>
      </c>
    </row>
    <row r="2">
      <c r="A2" t="inlineStr">
        <is>
          <t>01-10-2020</t>
        </is>
      </c>
      <c r="B2" t="inlineStr">
        <is>
          <t>01-10-2020</t>
        </is>
      </c>
      <c r="C2" t="inlineStr">
        <is>
          <t>Licitación Caren y Saesa (SIC 2013/03-2) BS1A</t>
        </is>
      </c>
      <c r="D2" t="inlineStr">
        <is>
          <t>Potencia Licitaciones</t>
        </is>
      </c>
      <c r="E2" t="inlineStr">
        <is>
          <t>Potencia</t>
        </is>
      </c>
      <c r="F2" t="inlineStr">
        <is>
          <t>Lic. SIC 2013/03-2 bloques BS1A: Potencia oct 2020</t>
        </is>
      </c>
      <c r="G2" t="inlineStr">
        <is>
          <t>2020-11-12 17:18:17</t>
        </is>
      </c>
      <c r="H2" t="n">
        <v>33</v>
      </c>
      <c r="I2" t="n">
        <v>16500</v>
      </c>
      <c r="J2" t="inlineStr">
        <is>
          <t>s</t>
        </is>
      </c>
      <c r="K2" t="inlineStr">
        <is>
          <t>s</t>
        </is>
      </c>
      <c r="L2" t="inlineStr">
        <is>
          <t>BS1A</t>
        </is>
      </c>
      <c r="M2" t="inlineStr">
        <is>
          <t>Caren</t>
        </is>
      </c>
      <c r="N2" t="inlineStr">
        <is>
          <t>Saesa</t>
        </is>
      </c>
      <c r="O2" t="inlineStr">
        <is>
          <t>2013/03-2</t>
        </is>
      </c>
      <c r="P2" t="inlineStr">
        <is>
          <t>SAESA</t>
        </is>
      </c>
      <c r="Q2" t="n">
        <v>1</v>
      </c>
      <c r="R2" t="inlineStr">
        <is>
          <t>B.BLANCO 220</t>
        </is>
      </c>
      <c r="U2" t="n">
        <v>0</v>
      </c>
      <c r="V2" t="n">
        <v>0</v>
      </c>
      <c r="W2" t="n">
        <v>5361.29962</v>
      </c>
    </row>
    <row r="3">
      <c r="A3" t="inlineStr">
        <is>
          <t>01-10-2020</t>
        </is>
      </c>
      <c r="B3" t="inlineStr">
        <is>
          <t>01-10-2020</t>
        </is>
      </c>
      <c r="C3" t="inlineStr">
        <is>
          <t>Licitación Caren y Saesa (SIC 2013/03-2) BS1A</t>
        </is>
      </c>
      <c r="D3" t="inlineStr">
        <is>
          <t>Energia Licitaciones</t>
        </is>
      </c>
      <c r="E3" t="inlineStr">
        <is>
          <t>Energía</t>
        </is>
      </c>
      <c r="F3" t="inlineStr">
        <is>
          <t>Lic. SIC 2013/03-2 bloques BS1A: Energía oct 2020</t>
        </is>
      </c>
      <c r="G3" t="inlineStr">
        <is>
          <t>2020-11-12 17:18:17</t>
        </is>
      </c>
      <c r="H3" t="n">
        <v>33</v>
      </c>
      <c r="I3" t="n">
        <v>16500</v>
      </c>
      <c r="J3" t="inlineStr">
        <is>
          <t>s</t>
        </is>
      </c>
      <c r="K3" t="inlineStr">
        <is>
          <t>s</t>
        </is>
      </c>
      <c r="L3" t="inlineStr">
        <is>
          <t>BS1A</t>
        </is>
      </c>
      <c r="M3" t="inlineStr">
        <is>
          <t>Caren</t>
        </is>
      </c>
      <c r="N3" t="inlineStr">
        <is>
          <t>Saesa</t>
        </is>
      </c>
      <c r="O3" t="inlineStr">
        <is>
          <t>2013/03-2</t>
        </is>
      </c>
      <c r="P3" t="inlineStr">
        <is>
          <t>SAESA</t>
        </is>
      </c>
      <c r="Q3" t="n">
        <v>1</v>
      </c>
      <c r="R3" t="inlineStr">
        <is>
          <t>B.BLANCO 220</t>
        </is>
      </c>
      <c r="S3" t="n">
        <v>19856.844683</v>
      </c>
      <c r="T3" t="n">
        <v>1241927</v>
      </c>
      <c r="W3" t="n">
        <v>62.54405</v>
      </c>
    </row>
    <row r="4">
      <c r="A4" t="inlineStr">
        <is>
          <t>01-10-2020</t>
        </is>
      </c>
      <c r="B4" t="inlineStr">
        <is>
          <t>01-10-2020</t>
        </is>
      </c>
      <c r="C4" t="inlineStr">
        <is>
          <t>Licitación Caren y Saesa (SIC 2013/03-2) BS1A</t>
        </is>
      </c>
      <c r="D4" t="inlineStr">
        <is>
          <t>Potencia Licitaciones</t>
        </is>
      </c>
      <c r="E4" t="inlineStr">
        <is>
          <t>Potencia</t>
        </is>
      </c>
      <c r="F4" t="inlineStr">
        <is>
          <t>Lic. SIC 2013/03-2 bloques BS1A: Potencia oct 2020</t>
        </is>
      </c>
      <c r="G4" t="inlineStr">
        <is>
          <t>2020-11-12 17:18:17</t>
        </is>
      </c>
      <c r="H4" t="n">
        <v>33</v>
      </c>
      <c r="I4" t="n">
        <v>16500</v>
      </c>
      <c r="J4" t="inlineStr">
        <is>
          <t>s</t>
        </is>
      </c>
      <c r="K4" t="inlineStr">
        <is>
          <t>s</t>
        </is>
      </c>
      <c r="L4" t="inlineStr">
        <is>
          <t>BS1A</t>
        </is>
      </c>
      <c r="M4" t="inlineStr">
        <is>
          <t>Caren</t>
        </is>
      </c>
      <c r="N4" t="inlineStr">
        <is>
          <t>Saesa</t>
        </is>
      </c>
      <c r="O4" t="inlineStr">
        <is>
          <t>2013/03-2</t>
        </is>
      </c>
      <c r="P4" t="inlineStr">
        <is>
          <t>SAESA</t>
        </is>
      </c>
      <c r="Q4" t="n">
        <v>2</v>
      </c>
      <c r="R4" t="inlineStr">
        <is>
          <t>CAUTIN 220</t>
        </is>
      </c>
      <c r="U4" t="n">
        <v>0</v>
      </c>
      <c r="V4" t="n">
        <v>0</v>
      </c>
      <c r="W4" t="n">
        <v>5586.99318</v>
      </c>
    </row>
    <row r="5">
      <c r="A5" t="inlineStr">
        <is>
          <t>01-10-2020</t>
        </is>
      </c>
      <c r="B5" t="inlineStr">
        <is>
          <t>01-10-2020</t>
        </is>
      </c>
      <c r="C5" t="inlineStr">
        <is>
          <t>Licitación Caren y Saesa (SIC 2013/03-2) BS1A</t>
        </is>
      </c>
      <c r="D5" t="inlineStr">
        <is>
          <t>Energia Licitaciones</t>
        </is>
      </c>
      <c r="E5" t="inlineStr">
        <is>
          <t>Energía</t>
        </is>
      </c>
      <c r="F5" t="inlineStr">
        <is>
          <t>Lic. SIC 2013/03-2 bloques BS1A: Energía oct 2020</t>
        </is>
      </c>
      <c r="G5" t="inlineStr">
        <is>
          <t>2020-11-12 17:18:17</t>
        </is>
      </c>
      <c r="H5" t="n">
        <v>33</v>
      </c>
      <c r="I5" t="n">
        <v>16500</v>
      </c>
      <c r="J5" t="inlineStr">
        <is>
          <t>s</t>
        </is>
      </c>
      <c r="K5" t="inlineStr">
        <is>
          <t>s</t>
        </is>
      </c>
      <c r="L5" t="inlineStr">
        <is>
          <t>BS1A</t>
        </is>
      </c>
      <c r="M5" t="inlineStr">
        <is>
          <t>Caren</t>
        </is>
      </c>
      <c r="N5" t="inlineStr">
        <is>
          <t>Saesa</t>
        </is>
      </c>
      <c r="O5" t="inlineStr">
        <is>
          <t>2013/03-2</t>
        </is>
      </c>
      <c r="P5" t="inlineStr">
        <is>
          <t>SAESA</t>
        </is>
      </c>
      <c r="Q5" t="n">
        <v>2</v>
      </c>
      <c r="R5" t="inlineStr">
        <is>
          <t>CAUTIN 220</t>
        </is>
      </c>
      <c r="S5" t="n">
        <v>291.303378</v>
      </c>
      <c r="T5" t="n">
        <v>19450</v>
      </c>
      <c r="W5" t="n">
        <v>66.76931999999999</v>
      </c>
    </row>
    <row r="6">
      <c r="A6" t="inlineStr">
        <is>
          <t>01-10-2020</t>
        </is>
      </c>
      <c r="B6" t="inlineStr">
        <is>
          <t>01-10-2020</t>
        </is>
      </c>
      <c r="C6" t="inlineStr">
        <is>
          <t>Licitación Caren y Saesa (SIC 2013/03-2) BS1A</t>
        </is>
      </c>
      <c r="D6" t="inlineStr">
        <is>
          <t>Potencia Licitaciones</t>
        </is>
      </c>
      <c r="E6" t="inlineStr">
        <is>
          <t>Potencia</t>
        </is>
      </c>
      <c r="F6" t="inlineStr">
        <is>
          <t>Lic. SIC 2013/03-2 bloques BS1A: Potencia oct 2020</t>
        </is>
      </c>
      <c r="G6" t="inlineStr">
        <is>
          <t>2020-11-12 17:18:17</t>
        </is>
      </c>
      <c r="H6" t="n">
        <v>33</v>
      </c>
      <c r="I6" t="n">
        <v>16500</v>
      </c>
      <c r="J6" t="inlineStr">
        <is>
          <t>s</t>
        </is>
      </c>
      <c r="K6" t="inlineStr">
        <is>
          <t>s</t>
        </is>
      </c>
      <c r="L6" t="inlineStr">
        <is>
          <t>BS1A</t>
        </is>
      </c>
      <c r="M6" t="inlineStr">
        <is>
          <t>Caren</t>
        </is>
      </c>
      <c r="N6" t="inlineStr">
        <is>
          <t>Saesa</t>
        </is>
      </c>
      <c r="O6" t="inlineStr">
        <is>
          <t>2013/03-2</t>
        </is>
      </c>
      <c r="P6" t="inlineStr">
        <is>
          <t>SAESA</t>
        </is>
      </c>
      <c r="Q6" t="n">
        <v>3</v>
      </c>
      <c r="R6" t="inlineStr">
        <is>
          <t>CHARRUA 220</t>
        </is>
      </c>
      <c r="U6" t="n">
        <v>0</v>
      </c>
      <c r="V6" t="n">
        <v>0</v>
      </c>
      <c r="W6" t="n">
        <v>5767.17722</v>
      </c>
    </row>
    <row r="7">
      <c r="A7" t="inlineStr">
        <is>
          <t>01-10-2020</t>
        </is>
      </c>
      <c r="B7" t="inlineStr">
        <is>
          <t>01-10-2020</t>
        </is>
      </c>
      <c r="C7" t="inlineStr">
        <is>
          <t>Licitación Caren y Saesa (SIC 2013/03-2) BS1A</t>
        </is>
      </c>
      <c r="D7" t="inlineStr">
        <is>
          <t>Energia Licitaciones</t>
        </is>
      </c>
      <c r="E7" t="inlineStr">
        <is>
          <t>Energía</t>
        </is>
      </c>
      <c r="F7" t="inlineStr">
        <is>
          <t>Lic. SIC 2013/03-2 bloques BS1A: Energía oct 2020</t>
        </is>
      </c>
      <c r="G7" t="inlineStr">
        <is>
          <t>2020-11-12 17:18:17</t>
        </is>
      </c>
      <c r="H7" t="n">
        <v>33</v>
      </c>
      <c r="I7" t="n">
        <v>16500</v>
      </c>
      <c r="J7" t="inlineStr">
        <is>
          <t>s</t>
        </is>
      </c>
      <c r="K7" t="inlineStr">
        <is>
          <t>s</t>
        </is>
      </c>
      <c r="L7" t="inlineStr">
        <is>
          <t>BS1A</t>
        </is>
      </c>
      <c r="M7" t="inlineStr">
        <is>
          <t>Caren</t>
        </is>
      </c>
      <c r="N7" t="inlineStr">
        <is>
          <t>Saesa</t>
        </is>
      </c>
      <c r="O7" t="inlineStr">
        <is>
          <t>2013/03-2</t>
        </is>
      </c>
      <c r="P7" t="inlineStr">
        <is>
          <t>SAESA</t>
        </is>
      </c>
      <c r="Q7" t="n">
        <v>3</v>
      </c>
      <c r="R7" t="inlineStr">
        <is>
          <t>CHARRUA 220</t>
        </is>
      </c>
      <c r="S7" t="n">
        <v>8.048712999999999</v>
      </c>
      <c r="T7" t="n">
        <v>545</v>
      </c>
      <c r="W7" t="n">
        <v>67.75496</v>
      </c>
    </row>
    <row r="8">
      <c r="A8" t="inlineStr">
        <is>
          <t>01-10-2020</t>
        </is>
      </c>
      <c r="B8" t="inlineStr">
        <is>
          <t>01-10-2020</t>
        </is>
      </c>
      <c r="C8" t="inlineStr">
        <is>
          <t>Licitación Caren y Saesa (SIC 2013/03-2) BS1A</t>
        </is>
      </c>
      <c r="D8" t="inlineStr">
        <is>
          <t>Potencia Licitaciones</t>
        </is>
      </c>
      <c r="E8" t="inlineStr">
        <is>
          <t>Potencia</t>
        </is>
      </c>
      <c r="F8" t="inlineStr">
        <is>
          <t>Lic. SIC 2013/03-2 bloques BS1A: Potencia oct 2020</t>
        </is>
      </c>
      <c r="G8" t="inlineStr">
        <is>
          <t>2020-11-12 17:18:17</t>
        </is>
      </c>
      <c r="H8" t="n">
        <v>33</v>
      </c>
      <c r="I8" t="n">
        <v>16500</v>
      </c>
      <c r="J8" t="inlineStr">
        <is>
          <t>s</t>
        </is>
      </c>
      <c r="K8" t="inlineStr">
        <is>
          <t>s</t>
        </is>
      </c>
      <c r="L8" t="inlineStr">
        <is>
          <t>BS1A</t>
        </is>
      </c>
      <c r="M8" t="inlineStr">
        <is>
          <t>Caren</t>
        </is>
      </c>
      <c r="N8" t="inlineStr">
        <is>
          <t>Saesa</t>
        </is>
      </c>
      <c r="O8" t="inlineStr">
        <is>
          <t>2013/03-2</t>
        </is>
      </c>
      <c r="P8" t="inlineStr">
        <is>
          <t>SAESA</t>
        </is>
      </c>
      <c r="Q8" t="n">
        <v>4</v>
      </c>
      <c r="R8" t="inlineStr">
        <is>
          <t>CHILOE 220</t>
        </is>
      </c>
      <c r="U8" t="n">
        <v>0</v>
      </c>
      <c r="V8" t="n">
        <v>0</v>
      </c>
      <c r="W8" t="n">
        <v>5447.45077</v>
      </c>
    </row>
    <row r="9">
      <c r="A9" t="inlineStr">
        <is>
          <t>01-10-2020</t>
        </is>
      </c>
      <c r="B9" t="inlineStr">
        <is>
          <t>01-10-2020</t>
        </is>
      </c>
      <c r="C9" t="inlineStr">
        <is>
          <t>Licitación Caren y Saesa (SIC 2013/03-2) BS1A</t>
        </is>
      </c>
      <c r="D9" t="inlineStr">
        <is>
          <t>Energia Licitaciones</t>
        </is>
      </c>
      <c r="E9" t="inlineStr">
        <is>
          <t>Energía</t>
        </is>
      </c>
      <c r="F9" t="inlineStr">
        <is>
          <t>Lic. SIC 2013/03-2 bloques BS1A: Energía oct 2020</t>
        </is>
      </c>
      <c r="G9" t="inlineStr">
        <is>
          <t>2020-11-12 17:18:17</t>
        </is>
      </c>
      <c r="H9" t="n">
        <v>33</v>
      </c>
      <c r="I9" t="n">
        <v>16500</v>
      </c>
      <c r="J9" t="inlineStr">
        <is>
          <t>s</t>
        </is>
      </c>
      <c r="K9" t="inlineStr">
        <is>
          <t>s</t>
        </is>
      </c>
      <c r="L9" t="inlineStr">
        <is>
          <t>BS1A</t>
        </is>
      </c>
      <c r="M9" t="inlineStr">
        <is>
          <t>Caren</t>
        </is>
      </c>
      <c r="N9" t="inlineStr">
        <is>
          <t>Saesa</t>
        </is>
      </c>
      <c r="O9" t="inlineStr">
        <is>
          <t>2013/03-2</t>
        </is>
      </c>
      <c r="P9" t="inlineStr">
        <is>
          <t>SAESA</t>
        </is>
      </c>
      <c r="Q9" t="n">
        <v>4</v>
      </c>
      <c r="R9" t="inlineStr">
        <is>
          <t>CHILOE 220</t>
        </is>
      </c>
      <c r="S9" t="n">
        <v>9800.369229</v>
      </c>
      <c r="T9" t="n">
        <v>632274</v>
      </c>
      <c r="W9" t="n">
        <v>64.51532</v>
      </c>
    </row>
    <row r="10">
      <c r="A10" t="inlineStr">
        <is>
          <t>01-10-2020</t>
        </is>
      </c>
      <c r="B10" t="inlineStr">
        <is>
          <t>01-10-2020</t>
        </is>
      </c>
      <c r="C10" t="inlineStr">
        <is>
          <t>Licitación Caren y Saesa (SIC 2013/03-2) BS1A</t>
        </is>
      </c>
      <c r="D10" t="inlineStr">
        <is>
          <t>Potencia Licitaciones</t>
        </is>
      </c>
      <c r="E10" t="inlineStr">
        <is>
          <t>Potencia</t>
        </is>
      </c>
      <c r="F10" t="inlineStr">
        <is>
          <t>Lic. SIC 2013/03-2 bloques BS1A: Potencia oct 2020</t>
        </is>
      </c>
      <c r="G10" t="inlineStr">
        <is>
          <t>2020-11-12 17:18:17</t>
        </is>
      </c>
      <c r="H10" t="n">
        <v>33</v>
      </c>
      <c r="I10" t="n">
        <v>16500</v>
      </c>
      <c r="J10" t="inlineStr">
        <is>
          <t>s</t>
        </is>
      </c>
      <c r="K10" t="inlineStr">
        <is>
          <t>s</t>
        </is>
      </c>
      <c r="L10" t="inlineStr">
        <is>
          <t>BS1A</t>
        </is>
      </c>
      <c r="M10" t="inlineStr">
        <is>
          <t>Caren</t>
        </is>
      </c>
      <c r="N10" t="inlineStr">
        <is>
          <t>Saesa</t>
        </is>
      </c>
      <c r="O10" t="inlineStr">
        <is>
          <t>2013/03-2</t>
        </is>
      </c>
      <c r="P10" t="inlineStr">
        <is>
          <t>SAESA</t>
        </is>
      </c>
      <c r="Q10" t="n">
        <v>5</v>
      </c>
      <c r="R10" t="inlineStr">
        <is>
          <t>CIRUELOS 220</t>
        </is>
      </c>
      <c r="U10" t="n">
        <v>0</v>
      </c>
      <c r="V10" t="n">
        <v>0</v>
      </c>
      <c r="W10" t="n">
        <v>5522.07614</v>
      </c>
    </row>
    <row r="11">
      <c r="A11" t="inlineStr">
        <is>
          <t>01-10-2020</t>
        </is>
      </c>
      <c r="B11" t="inlineStr">
        <is>
          <t>01-10-2020</t>
        </is>
      </c>
      <c r="C11" t="inlineStr">
        <is>
          <t>Licitación Caren y Saesa (SIC 2013/03-2) BS1A</t>
        </is>
      </c>
      <c r="D11" t="inlineStr">
        <is>
          <t>Energia Licitaciones</t>
        </is>
      </c>
      <c r="E11" t="inlineStr">
        <is>
          <t>Energía</t>
        </is>
      </c>
      <c r="F11" t="inlineStr">
        <is>
          <t>Lic. SIC 2013/03-2 bloques BS1A: Energía oct 2020</t>
        </is>
      </c>
      <c r="G11" t="inlineStr">
        <is>
          <t>2020-11-12 17:18:17</t>
        </is>
      </c>
      <c r="H11" t="n">
        <v>33</v>
      </c>
      <c r="I11" t="n">
        <v>16500</v>
      </c>
      <c r="J11" t="inlineStr">
        <is>
          <t>s</t>
        </is>
      </c>
      <c r="K11" t="inlineStr">
        <is>
          <t>s</t>
        </is>
      </c>
      <c r="L11" t="inlineStr">
        <is>
          <t>BS1A</t>
        </is>
      </c>
      <c r="M11" t="inlineStr">
        <is>
          <t>Caren</t>
        </is>
      </c>
      <c r="N11" t="inlineStr">
        <is>
          <t>Saesa</t>
        </is>
      </c>
      <c r="O11" t="inlineStr">
        <is>
          <t>2013/03-2</t>
        </is>
      </c>
      <c r="P11" t="inlineStr">
        <is>
          <t>SAESA</t>
        </is>
      </c>
      <c r="Q11" t="n">
        <v>5</v>
      </c>
      <c r="R11" t="inlineStr">
        <is>
          <t>CIRUELOS 220</t>
        </is>
      </c>
      <c r="S11" t="n">
        <v>1171.278088</v>
      </c>
      <c r="T11" t="n">
        <v>75914</v>
      </c>
      <c r="W11" t="n">
        <v>64.81294</v>
      </c>
    </row>
    <row r="12">
      <c r="A12" t="inlineStr">
        <is>
          <t>01-10-2020</t>
        </is>
      </c>
      <c r="B12" t="inlineStr">
        <is>
          <t>01-10-2020</t>
        </is>
      </c>
      <c r="C12" t="inlineStr">
        <is>
          <t>Licitación Caren y Saesa (SIC 2013/03-2) BS1A</t>
        </is>
      </c>
      <c r="D12" t="inlineStr">
        <is>
          <t>Potencia Licitaciones</t>
        </is>
      </c>
      <c r="E12" t="inlineStr">
        <is>
          <t>Potencia</t>
        </is>
      </c>
      <c r="F12" t="inlineStr">
        <is>
          <t>Lic. SIC 2013/03-2 bloques BS1A: Potencia oct 2020</t>
        </is>
      </c>
      <c r="G12" t="inlineStr">
        <is>
          <t>2020-11-12 17:18:17</t>
        </is>
      </c>
      <c r="H12" t="n">
        <v>33</v>
      </c>
      <c r="I12" t="n">
        <v>16500</v>
      </c>
      <c r="J12" t="inlineStr">
        <is>
          <t>s</t>
        </is>
      </c>
      <c r="K12" t="inlineStr">
        <is>
          <t>s</t>
        </is>
      </c>
      <c r="L12" t="inlineStr">
        <is>
          <t>BS1A</t>
        </is>
      </c>
      <c r="M12" t="inlineStr">
        <is>
          <t>Caren</t>
        </is>
      </c>
      <c r="N12" t="inlineStr">
        <is>
          <t>Saesa</t>
        </is>
      </c>
      <c r="O12" t="inlineStr">
        <is>
          <t>2013/03-2</t>
        </is>
      </c>
      <c r="P12" t="inlineStr">
        <is>
          <t>SAESA</t>
        </is>
      </c>
      <c r="Q12" t="n">
        <v>6</v>
      </c>
      <c r="R12" t="inlineStr">
        <is>
          <t>D.ALMAGRO 220</t>
        </is>
      </c>
      <c r="U12" t="n">
        <v>0</v>
      </c>
      <c r="V12" t="n">
        <v>0</v>
      </c>
      <c r="W12" t="n">
        <v>5668.2856</v>
      </c>
    </row>
    <row r="13">
      <c r="A13" t="inlineStr">
        <is>
          <t>01-10-2020</t>
        </is>
      </c>
      <c r="B13" t="inlineStr">
        <is>
          <t>01-10-2020</t>
        </is>
      </c>
      <c r="C13" t="inlineStr">
        <is>
          <t>Licitación Caren y Saesa (SIC 2013/03-2) BS1A</t>
        </is>
      </c>
      <c r="D13" t="inlineStr">
        <is>
          <t>Energia Licitaciones</t>
        </is>
      </c>
      <c r="E13" t="inlineStr">
        <is>
          <t>Energía</t>
        </is>
      </c>
      <c r="F13" t="inlineStr">
        <is>
          <t>Lic. SIC 2013/03-2 bloques BS1A: Energía oct 2020</t>
        </is>
      </c>
      <c r="G13" t="inlineStr">
        <is>
          <t>2020-11-12 17:18:17</t>
        </is>
      </c>
      <c r="H13" t="n">
        <v>33</v>
      </c>
      <c r="I13" t="n">
        <v>16500</v>
      </c>
      <c r="J13" t="inlineStr">
        <is>
          <t>s</t>
        </is>
      </c>
      <c r="K13" t="inlineStr">
        <is>
          <t>s</t>
        </is>
      </c>
      <c r="L13" t="inlineStr">
        <is>
          <t>BS1A</t>
        </is>
      </c>
      <c r="M13" t="inlineStr">
        <is>
          <t>Caren</t>
        </is>
      </c>
      <c r="N13" t="inlineStr">
        <is>
          <t>Saesa</t>
        </is>
      </c>
      <c r="O13" t="inlineStr">
        <is>
          <t>2013/03-2</t>
        </is>
      </c>
      <c r="P13" t="inlineStr">
        <is>
          <t>SAESA</t>
        </is>
      </c>
      <c r="Q13" t="n">
        <v>6</v>
      </c>
      <c r="R13" t="inlineStr">
        <is>
          <t>D.ALMAGRO 220</t>
        </is>
      </c>
      <c r="S13" t="n">
        <v>450.250482</v>
      </c>
      <c r="T13" t="n">
        <v>32008</v>
      </c>
      <c r="W13" t="n">
        <v>71.08826000000001</v>
      </c>
    </row>
    <row r="14">
      <c r="A14" t="inlineStr">
        <is>
          <t>01-10-2020</t>
        </is>
      </c>
      <c r="B14" t="inlineStr">
        <is>
          <t>01-10-2020</t>
        </is>
      </c>
      <c r="C14" t="inlineStr">
        <is>
          <t>Licitación Caren y Saesa (SIC 2013/03-2) BS1A</t>
        </is>
      </c>
      <c r="D14" t="inlineStr">
        <is>
          <t>Potencia Licitaciones</t>
        </is>
      </c>
      <c r="E14" t="inlineStr">
        <is>
          <t>Potencia</t>
        </is>
      </c>
      <c r="F14" t="inlineStr">
        <is>
          <t>Lic. SIC 2013/03-2 bloques BS1A: Potencia oct 2020</t>
        </is>
      </c>
      <c r="G14" t="inlineStr">
        <is>
          <t>2020-11-12 17:18:17</t>
        </is>
      </c>
      <c r="H14" t="n">
        <v>33</v>
      </c>
      <c r="I14" t="n">
        <v>16500</v>
      </c>
      <c r="J14" t="inlineStr">
        <is>
          <t>s</t>
        </is>
      </c>
      <c r="K14" t="inlineStr">
        <is>
          <t>s</t>
        </is>
      </c>
      <c r="L14" t="inlineStr">
        <is>
          <t>BS1A</t>
        </is>
      </c>
      <c r="M14" t="inlineStr">
        <is>
          <t>Caren</t>
        </is>
      </c>
      <c r="N14" t="inlineStr">
        <is>
          <t>Saesa</t>
        </is>
      </c>
      <c r="O14" t="inlineStr">
        <is>
          <t>2013/03-2</t>
        </is>
      </c>
      <c r="P14" t="inlineStr">
        <is>
          <t>SAESA</t>
        </is>
      </c>
      <c r="Q14" t="n">
        <v>7</v>
      </c>
      <c r="R14" t="inlineStr">
        <is>
          <t>MELIPULLI 220</t>
        </is>
      </c>
      <c r="U14" t="n">
        <v>0</v>
      </c>
      <c r="V14" t="n">
        <v>0</v>
      </c>
      <c r="W14" t="n">
        <v>5415.90555</v>
      </c>
    </row>
    <row r="15">
      <c r="A15" t="inlineStr">
        <is>
          <t>01-10-2020</t>
        </is>
      </c>
      <c r="B15" t="inlineStr">
        <is>
          <t>01-10-2020</t>
        </is>
      </c>
      <c r="C15" t="inlineStr">
        <is>
          <t>Licitación Caren y Saesa (SIC 2013/03-2) BS1A</t>
        </is>
      </c>
      <c r="D15" t="inlineStr">
        <is>
          <t>Energia Licitaciones</t>
        </is>
      </c>
      <c r="E15" t="inlineStr">
        <is>
          <t>Energía</t>
        </is>
      </c>
      <c r="F15" t="inlineStr">
        <is>
          <t>Lic. SIC 2013/03-2 bloques BS1A: Energía oct 2020</t>
        </is>
      </c>
      <c r="G15" t="inlineStr">
        <is>
          <t>2020-11-12 17:18:17</t>
        </is>
      </c>
      <c r="H15" t="n">
        <v>33</v>
      </c>
      <c r="I15" t="n">
        <v>16500</v>
      </c>
      <c r="J15" t="inlineStr">
        <is>
          <t>s</t>
        </is>
      </c>
      <c r="K15" t="inlineStr">
        <is>
          <t>s</t>
        </is>
      </c>
      <c r="L15" t="inlineStr">
        <is>
          <t>BS1A</t>
        </is>
      </c>
      <c r="M15" t="inlineStr">
        <is>
          <t>Caren</t>
        </is>
      </c>
      <c r="N15" t="inlineStr">
        <is>
          <t>Saesa</t>
        </is>
      </c>
      <c r="O15" t="inlineStr">
        <is>
          <t>2013/03-2</t>
        </is>
      </c>
      <c r="P15" t="inlineStr">
        <is>
          <t>SAESA</t>
        </is>
      </c>
      <c r="Q15" t="n">
        <v>7</v>
      </c>
      <c r="R15" t="inlineStr">
        <is>
          <t>MELIPULLI 220</t>
        </is>
      </c>
      <c r="S15" t="n">
        <v>29626.26486</v>
      </c>
      <c r="T15" t="n">
        <v>1894829</v>
      </c>
      <c r="W15" t="n">
        <v>63.95773</v>
      </c>
    </row>
    <row r="16">
      <c r="A16" t="inlineStr">
        <is>
          <t>01-10-2020</t>
        </is>
      </c>
      <c r="B16" t="inlineStr">
        <is>
          <t>01-10-2020</t>
        </is>
      </c>
      <c r="C16" t="inlineStr">
        <is>
          <t>Licitación Caren y Saesa (SIC 2013/03-2) BS1A</t>
        </is>
      </c>
      <c r="D16" t="inlineStr">
        <is>
          <t>Energia Licitaciones</t>
        </is>
      </c>
      <c r="E16" t="inlineStr">
        <is>
          <t>Energía</t>
        </is>
      </c>
      <c r="F16" t="inlineStr">
        <is>
          <t>Lic. SIC 2013/03-2 bloques BS1A: Energía oct 2020</t>
        </is>
      </c>
      <c r="G16" t="inlineStr">
        <is>
          <t>2020-11-12 17:18:17</t>
        </is>
      </c>
      <c r="H16" t="n">
        <v>33</v>
      </c>
      <c r="I16" t="n">
        <v>16500</v>
      </c>
      <c r="J16" t="inlineStr">
        <is>
          <t>s</t>
        </is>
      </c>
      <c r="K16" t="inlineStr">
        <is>
          <t>s</t>
        </is>
      </c>
      <c r="L16" t="inlineStr">
        <is>
          <t>BS1A</t>
        </is>
      </c>
      <c r="M16" t="inlineStr">
        <is>
          <t>Caren</t>
        </is>
      </c>
      <c r="N16" t="inlineStr">
        <is>
          <t>Saesa</t>
        </is>
      </c>
      <c r="O16" t="inlineStr">
        <is>
          <t>2013/03-2</t>
        </is>
      </c>
      <c r="P16" t="inlineStr">
        <is>
          <t>SAESA</t>
        </is>
      </c>
      <c r="Q16" t="n">
        <v>8</v>
      </c>
      <c r="R16" t="inlineStr">
        <is>
          <t>P.MONTT 220</t>
        </is>
      </c>
      <c r="S16" t="n">
        <v>0</v>
      </c>
      <c r="T16" t="n">
        <v>0</v>
      </c>
      <c r="W16" t="n">
        <v>63.957</v>
      </c>
    </row>
    <row r="17">
      <c r="A17" t="inlineStr">
        <is>
          <t>01-10-2020</t>
        </is>
      </c>
      <c r="B17" t="inlineStr">
        <is>
          <t>01-10-2020</t>
        </is>
      </c>
      <c r="C17" t="inlineStr">
        <is>
          <t>Licitación Caren y Saesa (SIC 2013/03-2) BS1A</t>
        </is>
      </c>
      <c r="D17" t="inlineStr">
        <is>
          <t>Potencia Licitaciones</t>
        </is>
      </c>
      <c r="E17" t="inlineStr">
        <is>
          <t>Potencia</t>
        </is>
      </c>
      <c r="F17" t="inlineStr">
        <is>
          <t>Lic. SIC 2013/03-2 bloques BS1A: Potencia oct 2020</t>
        </is>
      </c>
      <c r="G17" t="inlineStr">
        <is>
          <t>2020-11-12 17:18:17</t>
        </is>
      </c>
      <c r="H17" t="n">
        <v>33</v>
      </c>
      <c r="I17" t="n">
        <v>16500</v>
      </c>
      <c r="J17" t="inlineStr">
        <is>
          <t>s</t>
        </is>
      </c>
      <c r="K17" t="inlineStr">
        <is>
          <t>s</t>
        </is>
      </c>
      <c r="L17" t="inlineStr">
        <is>
          <t>BS1A</t>
        </is>
      </c>
      <c r="M17" t="inlineStr">
        <is>
          <t>Caren</t>
        </is>
      </c>
      <c r="N17" t="inlineStr">
        <is>
          <t>Saesa</t>
        </is>
      </c>
      <c r="O17" t="inlineStr">
        <is>
          <t>2013/03-2</t>
        </is>
      </c>
      <c r="P17" t="inlineStr">
        <is>
          <t>SAESA</t>
        </is>
      </c>
      <c r="Q17" t="n">
        <v>8</v>
      </c>
      <c r="R17" t="inlineStr">
        <is>
          <t>P.MONTT 220</t>
        </is>
      </c>
      <c r="U17" t="n">
        <v>0</v>
      </c>
      <c r="V17" t="n">
        <v>0</v>
      </c>
      <c r="W17" t="n">
        <v>5415.91</v>
      </c>
    </row>
    <row r="18">
      <c r="A18" t="inlineStr">
        <is>
          <t>01-10-2020</t>
        </is>
      </c>
      <c r="B18" t="inlineStr">
        <is>
          <t>01-10-2020</t>
        </is>
      </c>
      <c r="C18" t="inlineStr">
        <is>
          <t>Licitación Caren y Saesa (SIC 2013/03-2) BS1A</t>
        </is>
      </c>
      <c r="D18" t="inlineStr">
        <is>
          <t>Potencia Licitaciones</t>
        </is>
      </c>
      <c r="E18" t="inlineStr">
        <is>
          <t>Potencia</t>
        </is>
      </c>
      <c r="F18" t="inlineStr">
        <is>
          <t>Lic. SIC 2013/03-2 bloques BS1A: Potencia oct 2020</t>
        </is>
      </c>
      <c r="G18" t="inlineStr">
        <is>
          <t>2020-11-12 17:18:17</t>
        </is>
      </c>
      <c r="H18" t="n">
        <v>33</v>
      </c>
      <c r="I18" t="n">
        <v>16500</v>
      </c>
      <c r="J18" t="inlineStr">
        <is>
          <t>s</t>
        </is>
      </c>
      <c r="K18" t="inlineStr">
        <is>
          <t>s</t>
        </is>
      </c>
      <c r="L18" t="inlineStr">
        <is>
          <t>BS1A</t>
        </is>
      </c>
      <c r="M18" t="inlineStr">
        <is>
          <t>Caren</t>
        </is>
      </c>
      <c r="N18" t="inlineStr">
        <is>
          <t>Saesa</t>
        </is>
      </c>
      <c r="O18" t="inlineStr">
        <is>
          <t>2013/03-2</t>
        </is>
      </c>
      <c r="P18" t="inlineStr">
        <is>
          <t>SAESA</t>
        </is>
      </c>
      <c r="Q18" t="n">
        <v>9</v>
      </c>
      <c r="R18" t="inlineStr">
        <is>
          <t>TEMUCO 220</t>
        </is>
      </c>
      <c r="U18" t="n">
        <v>0</v>
      </c>
      <c r="V18" t="n">
        <v>0</v>
      </c>
      <c r="W18" t="n">
        <v>5583.34913</v>
      </c>
    </row>
    <row r="19">
      <c r="A19" t="inlineStr">
        <is>
          <t>01-10-2020</t>
        </is>
      </c>
      <c r="B19" t="inlineStr">
        <is>
          <t>01-10-2020</t>
        </is>
      </c>
      <c r="C19" t="inlineStr">
        <is>
          <t>Licitación Caren y Saesa (SIC 2013/03-2) BS1A</t>
        </is>
      </c>
      <c r="D19" t="inlineStr">
        <is>
          <t>Energia Licitaciones</t>
        </is>
      </c>
      <c r="E19" t="inlineStr">
        <is>
          <t>Energía</t>
        </is>
      </c>
      <c r="F19" t="inlineStr">
        <is>
          <t>Lic. SIC 2013/03-2 bloques BS1A: Energía oct 2020</t>
        </is>
      </c>
      <c r="G19" t="inlineStr">
        <is>
          <t>2020-11-12 17:18:17</t>
        </is>
      </c>
      <c r="H19" t="n">
        <v>33</v>
      </c>
      <c r="I19" t="n">
        <v>16500</v>
      </c>
      <c r="J19" t="inlineStr">
        <is>
          <t>s</t>
        </is>
      </c>
      <c r="K19" t="inlineStr">
        <is>
          <t>s</t>
        </is>
      </c>
      <c r="L19" t="inlineStr">
        <is>
          <t>BS1A</t>
        </is>
      </c>
      <c r="M19" t="inlineStr">
        <is>
          <t>Caren</t>
        </is>
      </c>
      <c r="N19" t="inlineStr">
        <is>
          <t>Saesa</t>
        </is>
      </c>
      <c r="O19" t="inlineStr">
        <is>
          <t>2013/03-2</t>
        </is>
      </c>
      <c r="P19" t="inlineStr">
        <is>
          <t>SAESA</t>
        </is>
      </c>
      <c r="Q19" t="n">
        <v>9</v>
      </c>
      <c r="R19" t="inlineStr">
        <is>
          <t>TEMUCO 220</t>
        </is>
      </c>
      <c r="S19" t="n">
        <v>1543.091043</v>
      </c>
      <c r="T19" t="n">
        <v>102415</v>
      </c>
      <c r="W19" t="n">
        <v>66.37017</v>
      </c>
    </row>
    <row r="20">
      <c r="A20" t="inlineStr">
        <is>
          <t>01-10-2020</t>
        </is>
      </c>
      <c r="B20" t="inlineStr">
        <is>
          <t>01-10-2020</t>
        </is>
      </c>
      <c r="C20" t="inlineStr">
        <is>
          <t>Licitación Caren y Saesa (SIC 2013/03-2) BS1A</t>
        </is>
      </c>
      <c r="D20" t="inlineStr">
        <is>
          <t>Potencia Licitaciones</t>
        </is>
      </c>
      <c r="E20" t="inlineStr">
        <is>
          <t>Potencia</t>
        </is>
      </c>
      <c r="F20" t="inlineStr">
        <is>
          <t>Lic. SIC 2013/03-2 bloques BS1A: Potencia oct 2020</t>
        </is>
      </c>
      <c r="G20" t="inlineStr">
        <is>
          <t>2020-11-12 17:18:17</t>
        </is>
      </c>
      <c r="H20" t="n">
        <v>33</v>
      </c>
      <c r="I20" t="n">
        <v>16500</v>
      </c>
      <c r="J20" t="inlineStr">
        <is>
          <t>s</t>
        </is>
      </c>
      <c r="K20" t="inlineStr">
        <is>
          <t>s</t>
        </is>
      </c>
      <c r="L20" t="inlineStr">
        <is>
          <t>BS1A</t>
        </is>
      </c>
      <c r="M20" t="inlineStr">
        <is>
          <t>Caren</t>
        </is>
      </c>
      <c r="N20" t="inlineStr">
        <is>
          <t>Saesa</t>
        </is>
      </c>
      <c r="O20" t="inlineStr">
        <is>
          <t>2013/03-2</t>
        </is>
      </c>
      <c r="P20" t="inlineStr">
        <is>
          <t>SAESA</t>
        </is>
      </c>
      <c r="Q20" t="n">
        <v>10</v>
      </c>
      <c r="R20" t="inlineStr">
        <is>
          <t>VALDIVIA 220</t>
        </is>
      </c>
      <c r="U20" t="n">
        <v>0</v>
      </c>
      <c r="V20" t="n">
        <v>0</v>
      </c>
      <c r="W20" t="n">
        <v>5670.71496</v>
      </c>
    </row>
    <row r="21">
      <c r="A21" t="inlineStr">
        <is>
          <t>01-10-2020</t>
        </is>
      </c>
      <c r="B21" t="inlineStr">
        <is>
          <t>01-10-2020</t>
        </is>
      </c>
      <c r="C21" t="inlineStr">
        <is>
          <t>Licitación Caren y Saesa (SIC 2013/03-2) BS1A</t>
        </is>
      </c>
      <c r="D21" t="inlineStr">
        <is>
          <t>Energia Licitaciones</t>
        </is>
      </c>
      <c r="E21" t="inlineStr">
        <is>
          <t>Energía</t>
        </is>
      </c>
      <c r="F21" t="inlineStr">
        <is>
          <t>Lic. SIC 2013/03-2 bloques BS1A: Energía oct 2020</t>
        </is>
      </c>
      <c r="G21" t="inlineStr">
        <is>
          <t>2020-11-12 17:18:17</t>
        </is>
      </c>
      <c r="H21" t="n">
        <v>33</v>
      </c>
      <c r="I21" t="n">
        <v>16500</v>
      </c>
      <c r="J21" t="inlineStr">
        <is>
          <t>s</t>
        </is>
      </c>
      <c r="K21" t="inlineStr">
        <is>
          <t>s</t>
        </is>
      </c>
      <c r="L21" t="inlineStr">
        <is>
          <t>BS1A</t>
        </is>
      </c>
      <c r="M21" t="inlineStr">
        <is>
          <t>Caren</t>
        </is>
      </c>
      <c r="N21" t="inlineStr">
        <is>
          <t>Saesa</t>
        </is>
      </c>
      <c r="O21" t="inlineStr">
        <is>
          <t>2013/03-2</t>
        </is>
      </c>
      <c r="P21" t="inlineStr">
        <is>
          <t>SAESA</t>
        </is>
      </c>
      <c r="Q21" t="n">
        <v>10</v>
      </c>
      <c r="R21" t="inlineStr">
        <is>
          <t>VALDIVIA 220</t>
        </is>
      </c>
      <c r="S21" t="n">
        <v>15279.642829</v>
      </c>
      <c r="T21" t="n">
        <v>1010903</v>
      </c>
      <c r="W21" t="n">
        <v>66.16009</v>
      </c>
    </row>
    <row r="22">
      <c r="A22" t="inlineStr">
        <is>
          <t>01-11-2020</t>
        </is>
      </c>
      <c r="B22" t="inlineStr">
        <is>
          <t>01-11-2020</t>
        </is>
      </c>
      <c r="C22" t="inlineStr">
        <is>
          <t>Licitación Caren y Saesa (SIC 2013/03-2) BS1A</t>
        </is>
      </c>
      <c r="D22" t="inlineStr">
        <is>
          <t>Potencia Licitaciones</t>
        </is>
      </c>
      <c r="E22" t="inlineStr">
        <is>
          <t>Potencia</t>
        </is>
      </c>
      <c r="F22" t="inlineStr">
        <is>
          <t>Lic. SIC 2013/03-2 bloques BS1A: Potencia nov 2020</t>
        </is>
      </c>
      <c r="G22" t="inlineStr">
        <is>
          <t>2020-12-22 18:21:41</t>
        </is>
      </c>
      <c r="H22" t="n">
        <v>33</v>
      </c>
      <c r="I22" t="n">
        <v>16768</v>
      </c>
      <c r="J22" t="inlineStr">
        <is>
          <t>s</t>
        </is>
      </c>
      <c r="K22" t="inlineStr">
        <is>
          <t>s</t>
        </is>
      </c>
      <c r="L22" t="inlineStr">
        <is>
          <t>BS1A</t>
        </is>
      </c>
      <c r="M22" t="inlineStr">
        <is>
          <t>Caren</t>
        </is>
      </c>
      <c r="N22" t="inlineStr">
        <is>
          <t>Saesa</t>
        </is>
      </c>
      <c r="O22" t="inlineStr">
        <is>
          <t>2013/03-2</t>
        </is>
      </c>
      <c r="P22" t="inlineStr">
        <is>
          <t>SAESA</t>
        </is>
      </c>
      <c r="Q22" t="n">
        <v>1</v>
      </c>
      <c r="R22" t="inlineStr">
        <is>
          <t>B.BLANCO 220</t>
        </is>
      </c>
      <c r="U22" t="n">
        <v>0</v>
      </c>
      <c r="V22" t="n">
        <v>0</v>
      </c>
      <c r="W22" t="n">
        <v>5361.29962</v>
      </c>
    </row>
    <row r="23">
      <c r="A23" t="inlineStr">
        <is>
          <t>01-11-2020</t>
        </is>
      </c>
      <c r="B23" t="inlineStr">
        <is>
          <t>01-11-2020</t>
        </is>
      </c>
      <c r="C23" t="inlineStr">
        <is>
          <t>Licitación Caren y Saesa (SIC 2013/03-2) BS1A</t>
        </is>
      </c>
      <c r="D23" t="inlineStr">
        <is>
          <t>Energia Licitaciones</t>
        </is>
      </c>
      <c r="E23" t="inlineStr">
        <is>
          <t>Energía</t>
        </is>
      </c>
      <c r="F23" t="inlineStr">
        <is>
          <t>Lic. SIC 2013/03-2 bloques BS1A: Energía nov 2020</t>
        </is>
      </c>
      <c r="G23" t="inlineStr">
        <is>
          <t>2020-12-22 18:21:41</t>
        </is>
      </c>
      <c r="H23" t="n">
        <v>33</v>
      </c>
      <c r="I23" t="n">
        <v>16768</v>
      </c>
      <c r="J23" t="inlineStr">
        <is>
          <t>s</t>
        </is>
      </c>
      <c r="K23" t="inlineStr">
        <is>
          <t>s</t>
        </is>
      </c>
      <c r="L23" t="inlineStr">
        <is>
          <t>BS1A</t>
        </is>
      </c>
      <c r="M23" t="inlineStr">
        <is>
          <t>Caren</t>
        </is>
      </c>
      <c r="N23" t="inlineStr">
        <is>
          <t>Saesa</t>
        </is>
      </c>
      <c r="O23" t="inlineStr">
        <is>
          <t>2013/03-2</t>
        </is>
      </c>
      <c r="P23" t="inlineStr">
        <is>
          <t>SAESA</t>
        </is>
      </c>
      <c r="Q23" t="n">
        <v>1</v>
      </c>
      <c r="R23" t="inlineStr">
        <is>
          <t>B.BLANCO 220</t>
        </is>
      </c>
      <c r="S23" t="n">
        <v>18781.99702</v>
      </c>
      <c r="T23" t="n">
        <v>1174702</v>
      </c>
      <c r="W23" t="n">
        <v>62.54405</v>
      </c>
    </row>
    <row r="24">
      <c r="A24" t="inlineStr">
        <is>
          <t>01-11-2020</t>
        </is>
      </c>
      <c r="B24" t="inlineStr">
        <is>
          <t>01-11-2020</t>
        </is>
      </c>
      <c r="C24" t="inlineStr">
        <is>
          <t>Licitación Caren y Saesa (SIC 2013/03-2) BS1A</t>
        </is>
      </c>
      <c r="D24" t="inlineStr">
        <is>
          <t>Potencia Licitaciones</t>
        </is>
      </c>
      <c r="E24" t="inlineStr">
        <is>
          <t>Potencia</t>
        </is>
      </c>
      <c r="F24" t="inlineStr">
        <is>
          <t>Lic. SIC 2013/03-2 bloques BS1A: Potencia nov 2020</t>
        </is>
      </c>
      <c r="G24" t="inlineStr">
        <is>
          <t>2020-12-22 18:21:41</t>
        </is>
      </c>
      <c r="H24" t="n">
        <v>33</v>
      </c>
      <c r="I24" t="n">
        <v>16768</v>
      </c>
      <c r="J24" t="inlineStr">
        <is>
          <t>s</t>
        </is>
      </c>
      <c r="K24" t="inlineStr">
        <is>
          <t>s</t>
        </is>
      </c>
      <c r="L24" t="inlineStr">
        <is>
          <t>BS1A</t>
        </is>
      </c>
      <c r="M24" t="inlineStr">
        <is>
          <t>Caren</t>
        </is>
      </c>
      <c r="N24" t="inlineStr">
        <is>
          <t>Saesa</t>
        </is>
      </c>
      <c r="O24" t="inlineStr">
        <is>
          <t>2013/03-2</t>
        </is>
      </c>
      <c r="P24" t="inlineStr">
        <is>
          <t>SAESA</t>
        </is>
      </c>
      <c r="Q24" t="n">
        <v>2</v>
      </c>
      <c r="R24" t="inlineStr">
        <is>
          <t>CAUTIN 220</t>
        </is>
      </c>
      <c r="U24" t="n">
        <v>0</v>
      </c>
      <c r="V24" t="n">
        <v>0</v>
      </c>
      <c r="W24" t="n">
        <v>5586.99318</v>
      </c>
    </row>
    <row r="25">
      <c r="A25" t="inlineStr">
        <is>
          <t>01-11-2020</t>
        </is>
      </c>
      <c r="B25" t="inlineStr">
        <is>
          <t>01-11-2020</t>
        </is>
      </c>
      <c r="C25" t="inlineStr">
        <is>
          <t>Licitación Caren y Saesa (SIC 2013/03-2) BS1A</t>
        </is>
      </c>
      <c r="D25" t="inlineStr">
        <is>
          <t>Energia Licitaciones</t>
        </is>
      </c>
      <c r="E25" t="inlineStr">
        <is>
          <t>Energía</t>
        </is>
      </c>
      <c r="F25" t="inlineStr">
        <is>
          <t>Lic. SIC 2013/03-2 bloques BS1A: Energía nov 2020</t>
        </is>
      </c>
      <c r="G25" t="inlineStr">
        <is>
          <t>2020-12-22 18:21:41</t>
        </is>
      </c>
      <c r="H25" t="n">
        <v>33</v>
      </c>
      <c r="I25" t="n">
        <v>16768</v>
      </c>
      <c r="J25" t="inlineStr">
        <is>
          <t>s</t>
        </is>
      </c>
      <c r="K25" t="inlineStr">
        <is>
          <t>s</t>
        </is>
      </c>
      <c r="L25" t="inlineStr">
        <is>
          <t>BS1A</t>
        </is>
      </c>
      <c r="M25" t="inlineStr">
        <is>
          <t>Caren</t>
        </is>
      </c>
      <c r="N25" t="inlineStr">
        <is>
          <t>Saesa</t>
        </is>
      </c>
      <c r="O25" t="inlineStr">
        <is>
          <t>2013/03-2</t>
        </is>
      </c>
      <c r="P25" t="inlineStr">
        <is>
          <t>SAESA</t>
        </is>
      </c>
      <c r="Q25" t="n">
        <v>2</v>
      </c>
      <c r="R25" t="inlineStr">
        <is>
          <t>CAUTIN 220</t>
        </is>
      </c>
      <c r="S25" t="n">
        <v>278.797035</v>
      </c>
      <c r="T25" t="n">
        <v>18615</v>
      </c>
      <c r="W25" t="n">
        <v>66.76931999999999</v>
      </c>
    </row>
    <row r="26">
      <c r="A26" t="inlineStr">
        <is>
          <t>01-11-2020</t>
        </is>
      </c>
      <c r="B26" t="inlineStr">
        <is>
          <t>01-11-2020</t>
        </is>
      </c>
      <c r="C26" t="inlineStr">
        <is>
          <t>Licitación Caren y Saesa (SIC 2013/03-2) BS1A</t>
        </is>
      </c>
      <c r="D26" t="inlineStr">
        <is>
          <t>Potencia Licitaciones</t>
        </is>
      </c>
      <c r="E26" t="inlineStr">
        <is>
          <t>Potencia</t>
        </is>
      </c>
      <c r="F26" t="inlineStr">
        <is>
          <t>Lic. SIC 2013/03-2 bloques BS1A: Potencia nov 2020</t>
        </is>
      </c>
      <c r="G26" t="inlineStr">
        <is>
          <t>2020-12-22 18:21:41</t>
        </is>
      </c>
      <c r="H26" t="n">
        <v>33</v>
      </c>
      <c r="I26" t="n">
        <v>16768</v>
      </c>
      <c r="J26" t="inlineStr">
        <is>
          <t>s</t>
        </is>
      </c>
      <c r="K26" t="inlineStr">
        <is>
          <t>s</t>
        </is>
      </c>
      <c r="L26" t="inlineStr">
        <is>
          <t>BS1A</t>
        </is>
      </c>
      <c r="M26" t="inlineStr">
        <is>
          <t>Caren</t>
        </is>
      </c>
      <c r="N26" t="inlineStr">
        <is>
          <t>Saesa</t>
        </is>
      </c>
      <c r="O26" t="inlineStr">
        <is>
          <t>2013/03-2</t>
        </is>
      </c>
      <c r="P26" t="inlineStr">
        <is>
          <t>SAESA</t>
        </is>
      </c>
      <c r="Q26" t="n">
        <v>3</v>
      </c>
      <c r="R26" t="inlineStr">
        <is>
          <t>CHARRUA 220</t>
        </is>
      </c>
      <c r="U26" t="n">
        <v>0</v>
      </c>
      <c r="V26" t="n">
        <v>0</v>
      </c>
      <c r="W26" t="n">
        <v>5767.17722</v>
      </c>
    </row>
    <row r="27">
      <c r="A27" t="inlineStr">
        <is>
          <t>01-11-2020</t>
        </is>
      </c>
      <c r="B27" t="inlineStr">
        <is>
          <t>01-11-2020</t>
        </is>
      </c>
      <c r="C27" t="inlineStr">
        <is>
          <t>Licitación Caren y Saesa (SIC 2013/03-2) BS1A</t>
        </is>
      </c>
      <c r="D27" t="inlineStr">
        <is>
          <t>Energia Licitaciones</t>
        </is>
      </c>
      <c r="E27" t="inlineStr">
        <is>
          <t>Energía</t>
        </is>
      </c>
      <c r="F27" t="inlineStr">
        <is>
          <t>Lic. SIC 2013/03-2 bloques BS1A: Energía nov 2020</t>
        </is>
      </c>
      <c r="G27" t="inlineStr">
        <is>
          <t>2020-12-22 18:21:41</t>
        </is>
      </c>
      <c r="H27" t="n">
        <v>33</v>
      </c>
      <c r="I27" t="n">
        <v>16768</v>
      </c>
      <c r="J27" t="inlineStr">
        <is>
          <t>s</t>
        </is>
      </c>
      <c r="K27" t="inlineStr">
        <is>
          <t>s</t>
        </is>
      </c>
      <c r="L27" t="inlineStr">
        <is>
          <t>BS1A</t>
        </is>
      </c>
      <c r="M27" t="inlineStr">
        <is>
          <t>Caren</t>
        </is>
      </c>
      <c r="N27" t="inlineStr">
        <is>
          <t>Saesa</t>
        </is>
      </c>
      <c r="O27" t="inlineStr">
        <is>
          <t>2013/03-2</t>
        </is>
      </c>
      <c r="P27" t="inlineStr">
        <is>
          <t>SAESA</t>
        </is>
      </c>
      <c r="Q27" t="n">
        <v>3</v>
      </c>
      <c r="R27" t="inlineStr">
        <is>
          <t>CHARRUA 220</t>
        </is>
      </c>
      <c r="S27" t="n">
        <v>7.703163</v>
      </c>
      <c r="T27" t="n">
        <v>522</v>
      </c>
      <c r="W27" t="n">
        <v>67.75496</v>
      </c>
    </row>
    <row r="28">
      <c r="A28" t="inlineStr">
        <is>
          <t>01-11-2020</t>
        </is>
      </c>
      <c r="B28" t="inlineStr">
        <is>
          <t>01-11-2020</t>
        </is>
      </c>
      <c r="C28" t="inlineStr">
        <is>
          <t>Licitación Caren y Saesa (SIC 2013/03-2) BS1A</t>
        </is>
      </c>
      <c r="D28" t="inlineStr">
        <is>
          <t>Potencia Licitaciones</t>
        </is>
      </c>
      <c r="E28" t="inlineStr">
        <is>
          <t>Potencia</t>
        </is>
      </c>
      <c r="F28" t="inlineStr">
        <is>
          <t>Lic. SIC 2013/03-2 bloques BS1A: Potencia nov 2020</t>
        </is>
      </c>
      <c r="G28" t="inlineStr">
        <is>
          <t>2020-12-22 18:21:41</t>
        </is>
      </c>
      <c r="H28" t="n">
        <v>33</v>
      </c>
      <c r="I28" t="n">
        <v>16768</v>
      </c>
      <c r="J28" t="inlineStr">
        <is>
          <t>s</t>
        </is>
      </c>
      <c r="K28" t="inlineStr">
        <is>
          <t>s</t>
        </is>
      </c>
      <c r="L28" t="inlineStr">
        <is>
          <t>BS1A</t>
        </is>
      </c>
      <c r="M28" t="inlineStr">
        <is>
          <t>Caren</t>
        </is>
      </c>
      <c r="N28" t="inlineStr">
        <is>
          <t>Saesa</t>
        </is>
      </c>
      <c r="O28" t="inlineStr">
        <is>
          <t>2013/03-2</t>
        </is>
      </c>
      <c r="P28" t="inlineStr">
        <is>
          <t>SAESA</t>
        </is>
      </c>
      <c r="Q28" t="n">
        <v>4</v>
      </c>
      <c r="R28" t="inlineStr">
        <is>
          <t>CHILOE 220</t>
        </is>
      </c>
      <c r="U28" t="n">
        <v>0</v>
      </c>
      <c r="V28" t="n">
        <v>0</v>
      </c>
      <c r="W28" t="n">
        <v>5447.45077</v>
      </c>
    </row>
    <row r="29">
      <c r="A29" t="inlineStr">
        <is>
          <t>01-11-2020</t>
        </is>
      </c>
      <c r="B29" t="inlineStr">
        <is>
          <t>01-11-2020</t>
        </is>
      </c>
      <c r="C29" t="inlineStr">
        <is>
          <t>Licitación Caren y Saesa (SIC 2013/03-2) BS1A</t>
        </is>
      </c>
      <c r="D29" t="inlineStr">
        <is>
          <t>Energia Licitaciones</t>
        </is>
      </c>
      <c r="E29" t="inlineStr">
        <is>
          <t>Energía</t>
        </is>
      </c>
      <c r="F29" t="inlineStr">
        <is>
          <t>Lic. SIC 2013/03-2 bloques BS1A: Energía nov 2020</t>
        </is>
      </c>
      <c r="G29" t="inlineStr">
        <is>
          <t>2020-12-22 18:21:41</t>
        </is>
      </c>
      <c r="H29" t="n">
        <v>33</v>
      </c>
      <c r="I29" t="n">
        <v>16768</v>
      </c>
      <c r="J29" t="inlineStr">
        <is>
          <t>s</t>
        </is>
      </c>
      <c r="K29" t="inlineStr">
        <is>
          <t>s</t>
        </is>
      </c>
      <c r="L29" t="inlineStr">
        <is>
          <t>BS1A</t>
        </is>
      </c>
      <c r="M29" t="inlineStr">
        <is>
          <t>Caren</t>
        </is>
      </c>
      <c r="N29" t="inlineStr">
        <is>
          <t>Saesa</t>
        </is>
      </c>
      <c r="O29" t="inlineStr">
        <is>
          <t>2013/03-2</t>
        </is>
      </c>
      <c r="P29" t="inlineStr">
        <is>
          <t>SAESA</t>
        </is>
      </c>
      <c r="Q29" t="n">
        <v>4</v>
      </c>
      <c r="R29" t="inlineStr">
        <is>
          <t>CHILOE 220</t>
        </is>
      </c>
      <c r="S29" t="n">
        <v>9133.839201999999</v>
      </c>
      <c r="T29" t="n">
        <v>589273</v>
      </c>
      <c r="W29" t="n">
        <v>64.51532</v>
      </c>
    </row>
    <row r="30">
      <c r="A30" t="inlineStr">
        <is>
          <t>01-11-2020</t>
        </is>
      </c>
      <c r="B30" t="inlineStr">
        <is>
          <t>01-11-2020</t>
        </is>
      </c>
      <c r="C30" t="inlineStr">
        <is>
          <t>Licitación Caren y Saesa (SIC 2013/03-2) BS1A</t>
        </is>
      </c>
      <c r="D30" t="inlineStr">
        <is>
          <t>Potencia Licitaciones</t>
        </is>
      </c>
      <c r="E30" t="inlineStr">
        <is>
          <t>Potencia</t>
        </is>
      </c>
      <c r="F30" t="inlineStr">
        <is>
          <t>Lic. SIC 2013/03-2 bloques BS1A: Potencia nov 2020</t>
        </is>
      </c>
      <c r="G30" t="inlineStr">
        <is>
          <t>2020-12-22 18:21:41</t>
        </is>
      </c>
      <c r="H30" t="n">
        <v>33</v>
      </c>
      <c r="I30" t="n">
        <v>16768</v>
      </c>
      <c r="J30" t="inlineStr">
        <is>
          <t>s</t>
        </is>
      </c>
      <c r="K30" t="inlineStr">
        <is>
          <t>s</t>
        </is>
      </c>
      <c r="L30" t="inlineStr">
        <is>
          <t>BS1A</t>
        </is>
      </c>
      <c r="M30" t="inlineStr">
        <is>
          <t>Caren</t>
        </is>
      </c>
      <c r="N30" t="inlineStr">
        <is>
          <t>Saesa</t>
        </is>
      </c>
      <c r="O30" t="inlineStr">
        <is>
          <t>2013/03-2</t>
        </is>
      </c>
      <c r="P30" t="inlineStr">
        <is>
          <t>SAESA</t>
        </is>
      </c>
      <c r="Q30" t="n">
        <v>5</v>
      </c>
      <c r="R30" t="inlineStr">
        <is>
          <t>CIRUELOS 220</t>
        </is>
      </c>
      <c r="U30" t="n">
        <v>0</v>
      </c>
      <c r="V30" t="n">
        <v>0</v>
      </c>
      <c r="W30" t="n">
        <v>5522.07614</v>
      </c>
    </row>
    <row r="31">
      <c r="A31" t="inlineStr">
        <is>
          <t>01-11-2020</t>
        </is>
      </c>
      <c r="B31" t="inlineStr">
        <is>
          <t>01-11-2020</t>
        </is>
      </c>
      <c r="C31" t="inlineStr">
        <is>
          <t>Licitación Caren y Saesa (SIC 2013/03-2) BS1A</t>
        </is>
      </c>
      <c r="D31" t="inlineStr">
        <is>
          <t>Energia Licitaciones</t>
        </is>
      </c>
      <c r="E31" t="inlineStr">
        <is>
          <t>Energía</t>
        </is>
      </c>
      <c r="F31" t="inlineStr">
        <is>
          <t>Lic. SIC 2013/03-2 bloques BS1A: Energía nov 2020</t>
        </is>
      </c>
      <c r="G31" t="inlineStr">
        <is>
          <t>2020-12-22 18:21:41</t>
        </is>
      </c>
      <c r="H31" t="n">
        <v>33</v>
      </c>
      <c r="I31" t="n">
        <v>16768</v>
      </c>
      <c r="J31" t="inlineStr">
        <is>
          <t>s</t>
        </is>
      </c>
      <c r="K31" t="inlineStr">
        <is>
          <t>s</t>
        </is>
      </c>
      <c r="L31" t="inlineStr">
        <is>
          <t>BS1A</t>
        </is>
      </c>
      <c r="M31" t="inlineStr">
        <is>
          <t>Caren</t>
        </is>
      </c>
      <c r="N31" t="inlineStr">
        <is>
          <t>Saesa</t>
        </is>
      </c>
      <c r="O31" t="inlineStr">
        <is>
          <t>2013/03-2</t>
        </is>
      </c>
      <c r="P31" t="inlineStr">
        <is>
          <t>SAESA</t>
        </is>
      </c>
      <c r="Q31" t="n">
        <v>5</v>
      </c>
      <c r="R31" t="inlineStr">
        <is>
          <t>CIRUELOS 220</t>
        </is>
      </c>
      <c r="S31" t="n">
        <v>1135.920495</v>
      </c>
      <c r="T31" t="n">
        <v>73622</v>
      </c>
      <c r="W31" t="n">
        <v>64.81294</v>
      </c>
    </row>
    <row r="32">
      <c r="A32" t="inlineStr">
        <is>
          <t>01-11-2020</t>
        </is>
      </c>
      <c r="B32" t="inlineStr">
        <is>
          <t>01-11-2020</t>
        </is>
      </c>
      <c r="C32" t="inlineStr">
        <is>
          <t>Licitación Caren y Saesa (SIC 2013/03-2) BS1A</t>
        </is>
      </c>
      <c r="D32" t="inlineStr">
        <is>
          <t>Potencia Licitaciones</t>
        </is>
      </c>
      <c r="E32" t="inlineStr">
        <is>
          <t>Potencia</t>
        </is>
      </c>
      <c r="F32" t="inlineStr">
        <is>
          <t>Lic. SIC 2013/03-2 bloques BS1A: Potencia nov 2020</t>
        </is>
      </c>
      <c r="G32" t="inlineStr">
        <is>
          <t>2020-12-22 18:21:41</t>
        </is>
      </c>
      <c r="H32" t="n">
        <v>33</v>
      </c>
      <c r="I32" t="n">
        <v>16768</v>
      </c>
      <c r="J32" t="inlineStr">
        <is>
          <t>s</t>
        </is>
      </c>
      <c r="K32" t="inlineStr">
        <is>
          <t>s</t>
        </is>
      </c>
      <c r="L32" t="inlineStr">
        <is>
          <t>BS1A</t>
        </is>
      </c>
      <c r="M32" t="inlineStr">
        <is>
          <t>Caren</t>
        </is>
      </c>
      <c r="N32" t="inlineStr">
        <is>
          <t>Saesa</t>
        </is>
      </c>
      <c r="O32" t="inlineStr">
        <is>
          <t>2013/03-2</t>
        </is>
      </c>
      <c r="P32" t="inlineStr">
        <is>
          <t>SAESA</t>
        </is>
      </c>
      <c r="Q32" t="n">
        <v>6</v>
      </c>
      <c r="R32" t="inlineStr">
        <is>
          <t>D.ALMAGRO 220</t>
        </is>
      </c>
      <c r="U32" t="n">
        <v>0</v>
      </c>
      <c r="V32" t="n">
        <v>0</v>
      </c>
      <c r="W32" t="n">
        <v>5668.2856</v>
      </c>
    </row>
    <row r="33">
      <c r="A33" t="inlineStr">
        <is>
          <t>01-11-2020</t>
        </is>
      </c>
      <c r="B33" t="inlineStr">
        <is>
          <t>01-11-2020</t>
        </is>
      </c>
      <c r="C33" t="inlineStr">
        <is>
          <t>Licitación Caren y Saesa (SIC 2013/03-2) BS1A</t>
        </is>
      </c>
      <c r="D33" t="inlineStr">
        <is>
          <t>Energia Licitaciones</t>
        </is>
      </c>
      <c r="E33" t="inlineStr">
        <is>
          <t>Energía</t>
        </is>
      </c>
      <c r="F33" t="inlineStr">
        <is>
          <t>Lic. SIC 2013/03-2 bloques BS1A: Energía nov 2020</t>
        </is>
      </c>
      <c r="G33" t="inlineStr">
        <is>
          <t>2020-12-22 18:21:41</t>
        </is>
      </c>
      <c r="H33" t="n">
        <v>33</v>
      </c>
      <c r="I33" t="n">
        <v>16768</v>
      </c>
      <c r="J33" t="inlineStr">
        <is>
          <t>s</t>
        </is>
      </c>
      <c r="K33" t="inlineStr">
        <is>
          <t>s</t>
        </is>
      </c>
      <c r="L33" t="inlineStr">
        <is>
          <t>BS1A</t>
        </is>
      </c>
      <c r="M33" t="inlineStr">
        <is>
          <t>Caren</t>
        </is>
      </c>
      <c r="N33" t="inlineStr">
        <is>
          <t>Saesa</t>
        </is>
      </c>
      <c r="O33" t="inlineStr">
        <is>
          <t>2013/03-2</t>
        </is>
      </c>
      <c r="P33" t="inlineStr">
        <is>
          <t>SAESA</t>
        </is>
      </c>
      <c r="Q33" t="n">
        <v>6</v>
      </c>
      <c r="R33" t="inlineStr">
        <is>
          <t>D.ALMAGRO 220</t>
        </is>
      </c>
      <c r="S33" t="n">
        <v>474.601922</v>
      </c>
      <c r="T33" t="n">
        <v>33739</v>
      </c>
      <c r="W33" t="n">
        <v>71.08826000000001</v>
      </c>
    </row>
    <row r="34">
      <c r="A34" t="inlineStr">
        <is>
          <t>01-11-2020</t>
        </is>
      </c>
      <c r="B34" t="inlineStr">
        <is>
          <t>01-11-2020</t>
        </is>
      </c>
      <c r="C34" t="inlineStr">
        <is>
          <t>Licitación Caren y Saesa (SIC 2013/03-2) BS1A</t>
        </is>
      </c>
      <c r="D34" t="inlineStr">
        <is>
          <t>Potencia Licitaciones</t>
        </is>
      </c>
      <c r="E34" t="inlineStr">
        <is>
          <t>Potencia</t>
        </is>
      </c>
      <c r="F34" t="inlineStr">
        <is>
          <t>Lic. SIC 2013/03-2 bloques BS1A: Potencia nov 2020</t>
        </is>
      </c>
      <c r="G34" t="inlineStr">
        <is>
          <t>2020-12-22 18:21:41</t>
        </is>
      </c>
      <c r="H34" t="n">
        <v>33</v>
      </c>
      <c r="I34" t="n">
        <v>16768</v>
      </c>
      <c r="J34" t="inlineStr">
        <is>
          <t>s</t>
        </is>
      </c>
      <c r="K34" t="inlineStr">
        <is>
          <t>s</t>
        </is>
      </c>
      <c r="L34" t="inlineStr">
        <is>
          <t>BS1A</t>
        </is>
      </c>
      <c r="M34" t="inlineStr">
        <is>
          <t>Caren</t>
        </is>
      </c>
      <c r="N34" t="inlineStr">
        <is>
          <t>Saesa</t>
        </is>
      </c>
      <c r="O34" t="inlineStr">
        <is>
          <t>2013/03-2</t>
        </is>
      </c>
      <c r="P34" t="inlineStr">
        <is>
          <t>SAESA</t>
        </is>
      </c>
      <c r="Q34" t="n">
        <v>7</v>
      </c>
      <c r="R34" t="inlineStr">
        <is>
          <t>MELIPULLI 220</t>
        </is>
      </c>
      <c r="U34" t="n">
        <v>0</v>
      </c>
      <c r="V34" t="n">
        <v>0</v>
      </c>
      <c r="W34" t="n">
        <v>5415.90555</v>
      </c>
    </row>
    <row r="35">
      <c r="A35" t="inlineStr">
        <is>
          <t>01-11-2020</t>
        </is>
      </c>
      <c r="B35" t="inlineStr">
        <is>
          <t>01-11-2020</t>
        </is>
      </c>
      <c r="C35" t="inlineStr">
        <is>
          <t>Licitación Caren y Saesa (SIC 2013/03-2) BS1A</t>
        </is>
      </c>
      <c r="D35" t="inlineStr">
        <is>
          <t>Energia Licitaciones</t>
        </is>
      </c>
      <c r="E35" t="inlineStr">
        <is>
          <t>Energía</t>
        </is>
      </c>
      <c r="F35" t="inlineStr">
        <is>
          <t>Lic. SIC 2013/03-2 bloques BS1A: Energía nov 2020</t>
        </is>
      </c>
      <c r="G35" t="inlineStr">
        <is>
          <t>2020-12-22 18:21:41</t>
        </is>
      </c>
      <c r="H35" t="n">
        <v>33</v>
      </c>
      <c r="I35" t="n">
        <v>16768</v>
      </c>
      <c r="J35" t="inlineStr">
        <is>
          <t>s</t>
        </is>
      </c>
      <c r="K35" t="inlineStr">
        <is>
          <t>s</t>
        </is>
      </c>
      <c r="L35" t="inlineStr">
        <is>
          <t>BS1A</t>
        </is>
      </c>
      <c r="M35" t="inlineStr">
        <is>
          <t>Caren</t>
        </is>
      </c>
      <c r="N35" t="inlineStr">
        <is>
          <t>Saesa</t>
        </is>
      </c>
      <c r="O35" t="inlineStr">
        <is>
          <t>2013/03-2</t>
        </is>
      </c>
      <c r="P35" t="inlineStr">
        <is>
          <t>SAESA</t>
        </is>
      </c>
      <c r="Q35" t="n">
        <v>7</v>
      </c>
      <c r="R35" t="inlineStr">
        <is>
          <t>MELIPULLI 220</t>
        </is>
      </c>
      <c r="S35" t="n">
        <v>27555.962063</v>
      </c>
      <c r="T35" t="n">
        <v>1762417</v>
      </c>
      <c r="W35" t="n">
        <v>63.95773</v>
      </c>
    </row>
    <row r="36">
      <c r="A36" t="inlineStr">
        <is>
          <t>01-11-2020</t>
        </is>
      </c>
      <c r="B36" t="inlineStr">
        <is>
          <t>01-11-2020</t>
        </is>
      </c>
      <c r="C36" t="inlineStr">
        <is>
          <t>Licitación Caren y Saesa (SIC 2013/03-2) BS1A</t>
        </is>
      </c>
      <c r="D36" t="inlineStr">
        <is>
          <t>Energia Licitaciones</t>
        </is>
      </c>
      <c r="E36" t="inlineStr">
        <is>
          <t>Energía</t>
        </is>
      </c>
      <c r="F36" t="inlineStr">
        <is>
          <t>Lic. SIC 2013/03-2 bloques BS1A: Energía nov 2020</t>
        </is>
      </c>
      <c r="G36" t="inlineStr">
        <is>
          <t>2020-12-22 18:21:41</t>
        </is>
      </c>
      <c r="H36" t="n">
        <v>33</v>
      </c>
      <c r="I36" t="n">
        <v>16768</v>
      </c>
      <c r="J36" t="inlineStr">
        <is>
          <t>s</t>
        </is>
      </c>
      <c r="K36" t="inlineStr">
        <is>
          <t>s</t>
        </is>
      </c>
      <c r="L36" t="inlineStr">
        <is>
          <t>BS1A</t>
        </is>
      </c>
      <c r="M36" t="inlineStr">
        <is>
          <t>Caren</t>
        </is>
      </c>
      <c r="N36" t="inlineStr">
        <is>
          <t>Saesa</t>
        </is>
      </c>
      <c r="O36" t="inlineStr">
        <is>
          <t>2013/03-2</t>
        </is>
      </c>
      <c r="P36" t="inlineStr">
        <is>
          <t>SAESA</t>
        </is>
      </c>
      <c r="Q36" t="n">
        <v>8</v>
      </c>
      <c r="R36" t="inlineStr">
        <is>
          <t>P.MONTT 220</t>
        </is>
      </c>
      <c r="S36" t="n">
        <v>0</v>
      </c>
      <c r="T36" t="n">
        <v>0</v>
      </c>
      <c r="W36" t="n">
        <v>63.957</v>
      </c>
    </row>
    <row r="37">
      <c r="A37" t="inlineStr">
        <is>
          <t>01-11-2020</t>
        </is>
      </c>
      <c r="B37" t="inlineStr">
        <is>
          <t>01-11-2020</t>
        </is>
      </c>
      <c r="C37" t="inlineStr">
        <is>
          <t>Licitación Caren y Saesa (SIC 2013/03-2) BS1A</t>
        </is>
      </c>
      <c r="D37" t="inlineStr">
        <is>
          <t>Potencia Licitaciones</t>
        </is>
      </c>
      <c r="E37" t="inlineStr">
        <is>
          <t>Potencia</t>
        </is>
      </c>
      <c r="F37" t="inlineStr">
        <is>
          <t>Lic. SIC 2013/03-2 bloques BS1A: Potencia nov 2020</t>
        </is>
      </c>
      <c r="G37" t="inlineStr">
        <is>
          <t>2020-12-22 18:21:41</t>
        </is>
      </c>
      <c r="H37" t="n">
        <v>33</v>
      </c>
      <c r="I37" t="n">
        <v>16768</v>
      </c>
      <c r="J37" t="inlineStr">
        <is>
          <t>s</t>
        </is>
      </c>
      <c r="K37" t="inlineStr">
        <is>
          <t>s</t>
        </is>
      </c>
      <c r="L37" t="inlineStr">
        <is>
          <t>BS1A</t>
        </is>
      </c>
      <c r="M37" t="inlineStr">
        <is>
          <t>Caren</t>
        </is>
      </c>
      <c r="N37" t="inlineStr">
        <is>
          <t>Saesa</t>
        </is>
      </c>
      <c r="O37" t="inlineStr">
        <is>
          <t>2013/03-2</t>
        </is>
      </c>
      <c r="P37" t="inlineStr">
        <is>
          <t>SAESA</t>
        </is>
      </c>
      <c r="Q37" t="n">
        <v>8</v>
      </c>
      <c r="R37" t="inlineStr">
        <is>
          <t>P.MONTT 220</t>
        </is>
      </c>
      <c r="U37" t="n">
        <v>0</v>
      </c>
      <c r="V37" t="n">
        <v>0</v>
      </c>
      <c r="W37" t="n">
        <v>5415.91</v>
      </c>
    </row>
    <row r="38">
      <c r="A38" t="inlineStr">
        <is>
          <t>01-11-2020</t>
        </is>
      </c>
      <c r="B38" t="inlineStr">
        <is>
          <t>01-11-2020</t>
        </is>
      </c>
      <c r="C38" t="inlineStr">
        <is>
          <t>Licitación Caren y Saesa (SIC 2013/03-2) BS1A</t>
        </is>
      </c>
      <c r="D38" t="inlineStr">
        <is>
          <t>Potencia Licitaciones</t>
        </is>
      </c>
      <c r="E38" t="inlineStr">
        <is>
          <t>Potencia</t>
        </is>
      </c>
      <c r="F38" t="inlineStr">
        <is>
          <t>Lic. SIC 2013/03-2 bloques BS1A: Potencia nov 2020</t>
        </is>
      </c>
      <c r="G38" t="inlineStr">
        <is>
          <t>2020-12-22 18:21:41</t>
        </is>
      </c>
      <c r="H38" t="n">
        <v>33</v>
      </c>
      <c r="I38" t="n">
        <v>16768</v>
      </c>
      <c r="J38" t="inlineStr">
        <is>
          <t>s</t>
        </is>
      </c>
      <c r="K38" t="inlineStr">
        <is>
          <t>s</t>
        </is>
      </c>
      <c r="L38" t="inlineStr">
        <is>
          <t>BS1A</t>
        </is>
      </c>
      <c r="M38" t="inlineStr">
        <is>
          <t>Caren</t>
        </is>
      </c>
      <c r="N38" t="inlineStr">
        <is>
          <t>Saesa</t>
        </is>
      </c>
      <c r="O38" t="inlineStr">
        <is>
          <t>2013/03-2</t>
        </is>
      </c>
      <c r="P38" t="inlineStr">
        <is>
          <t>SAESA</t>
        </is>
      </c>
      <c r="Q38" t="n">
        <v>9</v>
      </c>
      <c r="R38" t="inlineStr">
        <is>
          <t>TEMUCO 220</t>
        </is>
      </c>
      <c r="U38" t="n">
        <v>0</v>
      </c>
      <c r="V38" t="n">
        <v>0</v>
      </c>
      <c r="W38" t="n">
        <v>5583.34913</v>
      </c>
    </row>
    <row r="39">
      <c r="A39" t="inlineStr">
        <is>
          <t>01-11-2020</t>
        </is>
      </c>
      <c r="B39" t="inlineStr">
        <is>
          <t>01-11-2020</t>
        </is>
      </c>
      <c r="C39" t="inlineStr">
        <is>
          <t>Licitación Caren y Saesa (SIC 2013/03-2) BS1A</t>
        </is>
      </c>
      <c r="D39" t="inlineStr">
        <is>
          <t>Energia Licitaciones</t>
        </is>
      </c>
      <c r="E39" t="inlineStr">
        <is>
          <t>Energía</t>
        </is>
      </c>
      <c r="F39" t="inlineStr">
        <is>
          <t>Lic. SIC 2013/03-2 bloques BS1A: Energía nov 2020</t>
        </is>
      </c>
      <c r="G39" t="inlineStr">
        <is>
          <t>2020-12-22 18:21:41</t>
        </is>
      </c>
      <c r="H39" t="n">
        <v>33</v>
      </c>
      <c r="I39" t="n">
        <v>16768</v>
      </c>
      <c r="J39" t="inlineStr">
        <is>
          <t>s</t>
        </is>
      </c>
      <c r="K39" t="inlineStr">
        <is>
          <t>s</t>
        </is>
      </c>
      <c r="L39" t="inlineStr">
        <is>
          <t>BS1A</t>
        </is>
      </c>
      <c r="M39" t="inlineStr">
        <is>
          <t>Caren</t>
        </is>
      </c>
      <c r="N39" t="inlineStr">
        <is>
          <t>Saesa</t>
        </is>
      </c>
      <c r="O39" t="inlineStr">
        <is>
          <t>2013/03-2</t>
        </is>
      </c>
      <c r="P39" t="inlineStr">
        <is>
          <t>SAESA</t>
        </is>
      </c>
      <c r="Q39" t="n">
        <v>9</v>
      </c>
      <c r="R39" t="inlineStr">
        <is>
          <t>TEMUCO 220</t>
        </is>
      </c>
      <c r="S39" t="n">
        <v>1476.842494</v>
      </c>
      <c r="T39" t="n">
        <v>98018</v>
      </c>
      <c r="W39" t="n">
        <v>66.37017</v>
      </c>
    </row>
    <row r="40">
      <c r="A40" t="inlineStr">
        <is>
          <t>01-11-2020</t>
        </is>
      </c>
      <c r="B40" t="inlineStr">
        <is>
          <t>01-11-2020</t>
        </is>
      </c>
      <c r="C40" t="inlineStr">
        <is>
          <t>Licitación Caren y Saesa (SIC 2013/03-2) BS1A</t>
        </is>
      </c>
      <c r="D40" t="inlineStr">
        <is>
          <t>Potencia Licitaciones</t>
        </is>
      </c>
      <c r="E40" t="inlineStr">
        <is>
          <t>Potencia</t>
        </is>
      </c>
      <c r="F40" t="inlineStr">
        <is>
          <t>Lic. SIC 2013/03-2 bloques BS1A: Potencia nov 2020</t>
        </is>
      </c>
      <c r="G40" t="inlineStr">
        <is>
          <t>2020-12-22 18:21:41</t>
        </is>
      </c>
      <c r="H40" t="n">
        <v>33</v>
      </c>
      <c r="I40" t="n">
        <v>16768</v>
      </c>
      <c r="J40" t="inlineStr">
        <is>
          <t>s</t>
        </is>
      </c>
      <c r="K40" t="inlineStr">
        <is>
          <t>s</t>
        </is>
      </c>
      <c r="L40" t="inlineStr">
        <is>
          <t>BS1A</t>
        </is>
      </c>
      <c r="M40" t="inlineStr">
        <is>
          <t>Caren</t>
        </is>
      </c>
      <c r="N40" t="inlineStr">
        <is>
          <t>Saesa</t>
        </is>
      </c>
      <c r="O40" t="inlineStr">
        <is>
          <t>2013/03-2</t>
        </is>
      </c>
      <c r="P40" t="inlineStr">
        <is>
          <t>SAESA</t>
        </is>
      </c>
      <c r="Q40" t="n">
        <v>10</v>
      </c>
      <c r="R40" t="inlineStr">
        <is>
          <t>VALDIVIA 220</t>
        </is>
      </c>
      <c r="U40" t="n">
        <v>0</v>
      </c>
      <c r="V40" t="n">
        <v>0</v>
      </c>
      <c r="W40" t="n">
        <v>5670.71496</v>
      </c>
    </row>
    <row r="41">
      <c r="A41" t="inlineStr">
        <is>
          <t>01-11-2020</t>
        </is>
      </c>
      <c r="B41" t="inlineStr">
        <is>
          <t>01-11-2020</t>
        </is>
      </c>
      <c r="C41" t="inlineStr">
        <is>
          <t>Licitación Caren y Saesa (SIC 2013/03-2) BS1A</t>
        </is>
      </c>
      <c r="D41" t="inlineStr">
        <is>
          <t>Energia Licitaciones</t>
        </is>
      </c>
      <c r="E41" t="inlineStr">
        <is>
          <t>Energía</t>
        </is>
      </c>
      <c r="F41" t="inlineStr">
        <is>
          <t>Lic. SIC 2013/03-2 bloques BS1A: Energía nov 2020</t>
        </is>
      </c>
      <c r="G41" t="inlineStr">
        <is>
          <t>2020-12-22 18:21:41</t>
        </is>
      </c>
      <c r="H41" t="n">
        <v>33</v>
      </c>
      <c r="I41" t="n">
        <v>16768</v>
      </c>
      <c r="J41" t="inlineStr">
        <is>
          <t>s</t>
        </is>
      </c>
      <c r="K41" t="inlineStr">
        <is>
          <t>s</t>
        </is>
      </c>
      <c r="L41" t="inlineStr">
        <is>
          <t>BS1A</t>
        </is>
      </c>
      <c r="M41" t="inlineStr">
        <is>
          <t>Caren</t>
        </is>
      </c>
      <c r="N41" t="inlineStr">
        <is>
          <t>Saesa</t>
        </is>
      </c>
      <c r="O41" t="inlineStr">
        <is>
          <t>2013/03-2</t>
        </is>
      </c>
      <c r="P41" t="inlineStr">
        <is>
          <t>SAESA</t>
        </is>
      </c>
      <c r="Q41" t="n">
        <v>10</v>
      </c>
      <c r="R41" t="inlineStr">
        <is>
          <t>VALDIVIA 220</t>
        </is>
      </c>
      <c r="S41" t="n">
        <v>14214.978688</v>
      </c>
      <c r="T41" t="n">
        <v>940464</v>
      </c>
      <c r="W41" t="n">
        <v>66.16009</v>
      </c>
    </row>
    <row r="42">
      <c r="A42" t="inlineStr">
        <is>
          <t>01-12-2020</t>
        </is>
      </c>
      <c r="B42" t="inlineStr">
        <is>
          <t>01-12-2020</t>
        </is>
      </c>
      <c r="C42" t="inlineStr">
        <is>
          <t>Licitación Caren y Saesa (SIC 2013/03-2) BS1A</t>
        </is>
      </c>
      <c r="D42" t="inlineStr">
        <is>
          <t>Potencia Licitaciones</t>
        </is>
      </c>
      <c r="E42" t="inlineStr">
        <is>
          <t>Potencia</t>
        </is>
      </c>
      <c r="F42" t="inlineStr">
        <is>
          <t>Lic. SIC 2013/03-2 bloques BS1A: Potencia dic 2020</t>
        </is>
      </c>
      <c r="G42" t="inlineStr">
        <is>
          <t>2021-01-15 17:46:30</t>
        </is>
      </c>
      <c r="H42" t="n">
        <v>33</v>
      </c>
      <c r="I42" t="n">
        <v>17109</v>
      </c>
      <c r="J42" t="inlineStr">
        <is>
          <t>s</t>
        </is>
      </c>
      <c r="K42" t="inlineStr">
        <is>
          <t>s</t>
        </is>
      </c>
      <c r="L42" t="inlineStr">
        <is>
          <t>BS1A</t>
        </is>
      </c>
      <c r="M42" t="inlineStr">
        <is>
          <t>Caren</t>
        </is>
      </c>
      <c r="N42" t="inlineStr">
        <is>
          <t>Saesa</t>
        </is>
      </c>
      <c r="O42" t="inlineStr">
        <is>
          <t>2013/03-2</t>
        </is>
      </c>
      <c r="P42" t="inlineStr">
        <is>
          <t>SAESA</t>
        </is>
      </c>
      <c r="Q42" t="n">
        <v>1</v>
      </c>
      <c r="R42" t="inlineStr">
        <is>
          <t>B.BLANCO 220</t>
        </is>
      </c>
      <c r="U42" t="n">
        <v>0</v>
      </c>
      <c r="V42" t="n">
        <v>0</v>
      </c>
      <c r="W42" t="n">
        <v>5361.29962</v>
      </c>
    </row>
    <row r="43">
      <c r="A43" t="inlineStr">
        <is>
          <t>01-12-2020</t>
        </is>
      </c>
      <c r="B43" t="inlineStr">
        <is>
          <t>01-12-2020</t>
        </is>
      </c>
      <c r="C43" t="inlineStr">
        <is>
          <t>Licitación Caren y Saesa (SIC 2013/03-2) BS1A</t>
        </is>
      </c>
      <c r="D43" t="inlineStr">
        <is>
          <t>Energia Licitaciones</t>
        </is>
      </c>
      <c r="E43" t="inlineStr">
        <is>
          <t>Energía</t>
        </is>
      </c>
      <c r="F43" t="inlineStr">
        <is>
          <t>Lic. SIC 2013/03-2 bloques BS1A: Energía dic 2020</t>
        </is>
      </c>
      <c r="G43" t="inlineStr">
        <is>
          <t>2021-01-15 17:46:30</t>
        </is>
      </c>
      <c r="H43" t="n">
        <v>33</v>
      </c>
      <c r="I43" t="n">
        <v>17109</v>
      </c>
      <c r="J43" t="inlineStr">
        <is>
          <t>s</t>
        </is>
      </c>
      <c r="K43" t="inlineStr">
        <is>
          <t>s</t>
        </is>
      </c>
      <c r="L43" t="inlineStr">
        <is>
          <t>BS1A</t>
        </is>
      </c>
      <c r="M43" t="inlineStr">
        <is>
          <t>Caren</t>
        </is>
      </c>
      <c r="N43" t="inlineStr">
        <is>
          <t>Saesa</t>
        </is>
      </c>
      <c r="O43" t="inlineStr">
        <is>
          <t>2013/03-2</t>
        </is>
      </c>
      <c r="P43" t="inlineStr">
        <is>
          <t>SAESA</t>
        </is>
      </c>
      <c r="Q43" t="n">
        <v>1</v>
      </c>
      <c r="R43" t="inlineStr">
        <is>
          <t>B.BLANCO 220</t>
        </is>
      </c>
      <c r="S43" t="n">
        <v>19611.892299</v>
      </c>
      <c r="T43" t="n">
        <v>1226607</v>
      </c>
      <c r="W43" t="n">
        <v>62.54405</v>
      </c>
    </row>
    <row r="44">
      <c r="A44" t="inlineStr">
        <is>
          <t>01-12-2020</t>
        </is>
      </c>
      <c r="B44" t="inlineStr">
        <is>
          <t>01-12-2020</t>
        </is>
      </c>
      <c r="C44" t="inlineStr">
        <is>
          <t>Licitación Caren y Saesa (SIC 2013/03-2) BS1A</t>
        </is>
      </c>
      <c r="D44" t="inlineStr">
        <is>
          <t>Potencia Licitaciones</t>
        </is>
      </c>
      <c r="E44" t="inlineStr">
        <is>
          <t>Potencia</t>
        </is>
      </c>
      <c r="F44" t="inlineStr">
        <is>
          <t>Lic. SIC 2013/03-2 bloques BS1A: Potencia dic 2020</t>
        </is>
      </c>
      <c r="G44" t="inlineStr">
        <is>
          <t>2021-01-15 17:46:30</t>
        </is>
      </c>
      <c r="H44" t="n">
        <v>33</v>
      </c>
      <c r="I44" t="n">
        <v>17109</v>
      </c>
      <c r="J44" t="inlineStr">
        <is>
          <t>s</t>
        </is>
      </c>
      <c r="K44" t="inlineStr">
        <is>
          <t>s</t>
        </is>
      </c>
      <c r="L44" t="inlineStr">
        <is>
          <t>BS1A</t>
        </is>
      </c>
      <c r="M44" t="inlineStr">
        <is>
          <t>Caren</t>
        </is>
      </c>
      <c r="N44" t="inlineStr">
        <is>
          <t>Saesa</t>
        </is>
      </c>
      <c r="O44" t="inlineStr">
        <is>
          <t>2013/03-2</t>
        </is>
      </c>
      <c r="P44" t="inlineStr">
        <is>
          <t>SAESA</t>
        </is>
      </c>
      <c r="Q44" t="n">
        <v>2</v>
      </c>
      <c r="R44" t="inlineStr">
        <is>
          <t>CAUTIN 220</t>
        </is>
      </c>
      <c r="U44" t="n">
        <v>0</v>
      </c>
      <c r="V44" t="n">
        <v>0</v>
      </c>
      <c r="W44" t="n">
        <v>5586.99318</v>
      </c>
    </row>
    <row r="45">
      <c r="A45" t="inlineStr">
        <is>
          <t>01-12-2020</t>
        </is>
      </c>
      <c r="B45" t="inlineStr">
        <is>
          <t>01-12-2020</t>
        </is>
      </c>
      <c r="C45" t="inlineStr">
        <is>
          <t>Licitación Caren y Saesa (SIC 2013/03-2) BS1A</t>
        </is>
      </c>
      <c r="D45" t="inlineStr">
        <is>
          <t>Energia Licitaciones</t>
        </is>
      </c>
      <c r="E45" t="inlineStr">
        <is>
          <t>Energía</t>
        </is>
      </c>
      <c r="F45" t="inlineStr">
        <is>
          <t>Lic. SIC 2013/03-2 bloques BS1A: Energía dic 2020</t>
        </is>
      </c>
      <c r="G45" t="inlineStr">
        <is>
          <t>2021-01-15 17:46:30</t>
        </is>
      </c>
      <c r="H45" t="n">
        <v>33</v>
      </c>
      <c r="I45" t="n">
        <v>17109</v>
      </c>
      <c r="J45" t="inlineStr">
        <is>
          <t>s</t>
        </is>
      </c>
      <c r="K45" t="inlineStr">
        <is>
          <t>s</t>
        </is>
      </c>
      <c r="L45" t="inlineStr">
        <is>
          <t>BS1A</t>
        </is>
      </c>
      <c r="M45" t="inlineStr">
        <is>
          <t>Caren</t>
        </is>
      </c>
      <c r="N45" t="inlineStr">
        <is>
          <t>Saesa</t>
        </is>
      </c>
      <c r="O45" t="inlineStr">
        <is>
          <t>2013/03-2</t>
        </is>
      </c>
      <c r="P45" t="inlineStr">
        <is>
          <t>SAESA</t>
        </is>
      </c>
      <c r="Q45" t="n">
        <v>2</v>
      </c>
      <c r="R45" t="inlineStr">
        <is>
          <t>CAUTIN 220</t>
        </is>
      </c>
      <c r="S45" t="n">
        <v>269.173542</v>
      </c>
      <c r="T45" t="n">
        <v>17973</v>
      </c>
      <c r="W45" t="n">
        <v>66.76931999999999</v>
      </c>
    </row>
    <row r="46">
      <c r="A46" t="inlineStr">
        <is>
          <t>01-12-2020</t>
        </is>
      </c>
      <c r="B46" t="inlineStr">
        <is>
          <t>01-12-2020</t>
        </is>
      </c>
      <c r="C46" t="inlineStr">
        <is>
          <t>Licitación Caren y Saesa (SIC 2013/03-2) BS1A</t>
        </is>
      </c>
      <c r="D46" t="inlineStr">
        <is>
          <t>Potencia Licitaciones</t>
        </is>
      </c>
      <c r="E46" t="inlineStr">
        <is>
          <t>Potencia</t>
        </is>
      </c>
      <c r="F46" t="inlineStr">
        <is>
          <t>Lic. SIC 2013/03-2 bloques BS1A: Potencia dic 2020</t>
        </is>
      </c>
      <c r="G46" t="inlineStr">
        <is>
          <t>2021-01-15 17:46:30</t>
        </is>
      </c>
      <c r="H46" t="n">
        <v>33</v>
      </c>
      <c r="I46" t="n">
        <v>17109</v>
      </c>
      <c r="J46" t="inlineStr">
        <is>
          <t>s</t>
        </is>
      </c>
      <c r="K46" t="inlineStr">
        <is>
          <t>s</t>
        </is>
      </c>
      <c r="L46" t="inlineStr">
        <is>
          <t>BS1A</t>
        </is>
      </c>
      <c r="M46" t="inlineStr">
        <is>
          <t>Caren</t>
        </is>
      </c>
      <c r="N46" t="inlineStr">
        <is>
          <t>Saesa</t>
        </is>
      </c>
      <c r="O46" t="inlineStr">
        <is>
          <t>2013/03-2</t>
        </is>
      </c>
      <c r="P46" t="inlineStr">
        <is>
          <t>SAESA</t>
        </is>
      </c>
      <c r="Q46" t="n">
        <v>3</v>
      </c>
      <c r="R46" t="inlineStr">
        <is>
          <t>CHARRUA 220</t>
        </is>
      </c>
      <c r="U46" t="n">
        <v>0</v>
      </c>
      <c r="V46" t="n">
        <v>0</v>
      </c>
      <c r="W46" t="n">
        <v>5767.17722</v>
      </c>
    </row>
    <row r="47">
      <c r="A47" t="inlineStr">
        <is>
          <t>01-12-2020</t>
        </is>
      </c>
      <c r="B47" t="inlineStr">
        <is>
          <t>01-12-2020</t>
        </is>
      </c>
      <c r="C47" t="inlineStr">
        <is>
          <t>Licitación Caren y Saesa (SIC 2013/03-2) BS1A</t>
        </is>
      </c>
      <c r="D47" t="inlineStr">
        <is>
          <t>Energia Licitaciones</t>
        </is>
      </c>
      <c r="E47" t="inlineStr">
        <is>
          <t>Energía</t>
        </is>
      </c>
      <c r="F47" t="inlineStr">
        <is>
          <t>Lic. SIC 2013/03-2 bloques BS1A: Energía dic 2020</t>
        </is>
      </c>
      <c r="G47" t="inlineStr">
        <is>
          <t>2021-01-15 17:46:30</t>
        </is>
      </c>
      <c r="H47" t="n">
        <v>33</v>
      </c>
      <c r="I47" t="n">
        <v>17109</v>
      </c>
      <c r="J47" t="inlineStr">
        <is>
          <t>s</t>
        </is>
      </c>
      <c r="K47" t="inlineStr">
        <is>
          <t>s</t>
        </is>
      </c>
      <c r="L47" t="inlineStr">
        <is>
          <t>BS1A</t>
        </is>
      </c>
      <c r="M47" t="inlineStr">
        <is>
          <t>Caren</t>
        </is>
      </c>
      <c r="N47" t="inlineStr">
        <is>
          <t>Saesa</t>
        </is>
      </c>
      <c r="O47" t="inlineStr">
        <is>
          <t>2013/03-2</t>
        </is>
      </c>
      <c r="P47" t="inlineStr">
        <is>
          <t>SAESA</t>
        </is>
      </c>
      <c r="Q47" t="n">
        <v>3</v>
      </c>
      <c r="R47" t="inlineStr">
        <is>
          <t>CHARRUA 220</t>
        </is>
      </c>
      <c r="S47" t="n">
        <v>7.437265</v>
      </c>
      <c r="T47" t="n">
        <v>504</v>
      </c>
      <c r="W47" t="n">
        <v>67.75496</v>
      </c>
    </row>
    <row r="48">
      <c r="A48" t="inlineStr">
        <is>
          <t>01-12-2020</t>
        </is>
      </c>
      <c r="B48" t="inlineStr">
        <is>
          <t>01-12-2020</t>
        </is>
      </c>
      <c r="C48" t="inlineStr">
        <is>
          <t>Licitación Caren y Saesa (SIC 2013/03-2) BS1A</t>
        </is>
      </c>
      <c r="D48" t="inlineStr">
        <is>
          <t>Potencia Licitaciones</t>
        </is>
      </c>
      <c r="E48" t="inlineStr">
        <is>
          <t>Potencia</t>
        </is>
      </c>
      <c r="F48" t="inlineStr">
        <is>
          <t>Lic. SIC 2013/03-2 bloques BS1A: Potencia dic 2020</t>
        </is>
      </c>
      <c r="G48" t="inlineStr">
        <is>
          <t>2021-01-15 17:46:30</t>
        </is>
      </c>
      <c r="H48" t="n">
        <v>33</v>
      </c>
      <c r="I48" t="n">
        <v>17109</v>
      </c>
      <c r="J48" t="inlineStr">
        <is>
          <t>s</t>
        </is>
      </c>
      <c r="K48" t="inlineStr">
        <is>
          <t>s</t>
        </is>
      </c>
      <c r="L48" t="inlineStr">
        <is>
          <t>BS1A</t>
        </is>
      </c>
      <c r="M48" t="inlineStr">
        <is>
          <t>Caren</t>
        </is>
      </c>
      <c r="N48" t="inlineStr">
        <is>
          <t>Saesa</t>
        </is>
      </c>
      <c r="O48" t="inlineStr">
        <is>
          <t>2013/03-2</t>
        </is>
      </c>
      <c r="P48" t="inlineStr">
        <is>
          <t>SAESA</t>
        </is>
      </c>
      <c r="Q48" t="n">
        <v>4</v>
      </c>
      <c r="R48" t="inlineStr">
        <is>
          <t>CHILOE 220</t>
        </is>
      </c>
      <c r="U48" t="n">
        <v>0</v>
      </c>
      <c r="V48" t="n">
        <v>0</v>
      </c>
      <c r="W48" t="n">
        <v>5447.45077</v>
      </c>
    </row>
    <row r="49">
      <c r="A49" t="inlineStr">
        <is>
          <t>01-12-2020</t>
        </is>
      </c>
      <c r="B49" t="inlineStr">
        <is>
          <t>01-12-2020</t>
        </is>
      </c>
      <c r="C49" t="inlineStr">
        <is>
          <t>Licitación Caren y Saesa (SIC 2013/03-2) BS1A</t>
        </is>
      </c>
      <c r="D49" t="inlineStr">
        <is>
          <t>Energia Licitaciones</t>
        </is>
      </c>
      <c r="E49" t="inlineStr">
        <is>
          <t>Energía</t>
        </is>
      </c>
      <c r="F49" t="inlineStr">
        <is>
          <t>Lic. SIC 2013/03-2 bloques BS1A: Energía dic 2020</t>
        </is>
      </c>
      <c r="G49" t="inlineStr">
        <is>
          <t>2021-01-15 17:46:30</t>
        </is>
      </c>
      <c r="H49" t="n">
        <v>33</v>
      </c>
      <c r="I49" t="n">
        <v>17109</v>
      </c>
      <c r="J49" t="inlineStr">
        <is>
          <t>s</t>
        </is>
      </c>
      <c r="K49" t="inlineStr">
        <is>
          <t>s</t>
        </is>
      </c>
      <c r="L49" t="inlineStr">
        <is>
          <t>BS1A</t>
        </is>
      </c>
      <c r="M49" t="inlineStr">
        <is>
          <t>Caren</t>
        </is>
      </c>
      <c r="N49" t="inlineStr">
        <is>
          <t>Saesa</t>
        </is>
      </c>
      <c r="O49" t="inlineStr">
        <is>
          <t>2013/03-2</t>
        </is>
      </c>
      <c r="P49" t="inlineStr">
        <is>
          <t>SAESA</t>
        </is>
      </c>
      <c r="Q49" t="n">
        <v>4</v>
      </c>
      <c r="R49" t="inlineStr">
        <is>
          <t>CHILOE 220</t>
        </is>
      </c>
      <c r="S49" t="n">
        <v>9706.541175</v>
      </c>
      <c r="T49" t="n">
        <v>626221</v>
      </c>
      <c r="W49" t="n">
        <v>64.51532</v>
      </c>
    </row>
    <row r="50">
      <c r="A50" t="inlineStr">
        <is>
          <t>01-12-2020</t>
        </is>
      </c>
      <c r="B50" t="inlineStr">
        <is>
          <t>01-12-2020</t>
        </is>
      </c>
      <c r="C50" t="inlineStr">
        <is>
          <t>Licitación Caren y Saesa (SIC 2013/03-2) BS1A</t>
        </is>
      </c>
      <c r="D50" t="inlineStr">
        <is>
          <t>Potencia Licitaciones</t>
        </is>
      </c>
      <c r="E50" t="inlineStr">
        <is>
          <t>Potencia</t>
        </is>
      </c>
      <c r="F50" t="inlineStr">
        <is>
          <t>Lic. SIC 2013/03-2 bloques BS1A: Potencia dic 2020</t>
        </is>
      </c>
      <c r="G50" t="inlineStr">
        <is>
          <t>2021-01-15 17:46:30</t>
        </is>
      </c>
      <c r="H50" t="n">
        <v>33</v>
      </c>
      <c r="I50" t="n">
        <v>17109</v>
      </c>
      <c r="J50" t="inlineStr">
        <is>
          <t>s</t>
        </is>
      </c>
      <c r="K50" t="inlineStr">
        <is>
          <t>s</t>
        </is>
      </c>
      <c r="L50" t="inlineStr">
        <is>
          <t>BS1A</t>
        </is>
      </c>
      <c r="M50" t="inlineStr">
        <is>
          <t>Caren</t>
        </is>
      </c>
      <c r="N50" t="inlineStr">
        <is>
          <t>Saesa</t>
        </is>
      </c>
      <c r="O50" t="inlineStr">
        <is>
          <t>2013/03-2</t>
        </is>
      </c>
      <c r="P50" t="inlineStr">
        <is>
          <t>SAESA</t>
        </is>
      </c>
      <c r="Q50" t="n">
        <v>5</v>
      </c>
      <c r="R50" t="inlineStr">
        <is>
          <t>CIRUELOS 220</t>
        </is>
      </c>
      <c r="U50" t="n">
        <v>0</v>
      </c>
      <c r="V50" t="n">
        <v>0</v>
      </c>
      <c r="W50" t="n">
        <v>5522.07614</v>
      </c>
    </row>
    <row r="51">
      <c r="A51" t="inlineStr">
        <is>
          <t>01-12-2020</t>
        </is>
      </c>
      <c r="B51" t="inlineStr">
        <is>
          <t>01-12-2020</t>
        </is>
      </c>
      <c r="C51" t="inlineStr">
        <is>
          <t>Licitación Caren y Saesa (SIC 2013/03-2) BS1A</t>
        </is>
      </c>
      <c r="D51" t="inlineStr">
        <is>
          <t>Energia Licitaciones</t>
        </is>
      </c>
      <c r="E51" t="inlineStr">
        <is>
          <t>Energía</t>
        </is>
      </c>
      <c r="F51" t="inlineStr">
        <is>
          <t>Lic. SIC 2013/03-2 bloques BS1A: Energía dic 2020</t>
        </is>
      </c>
      <c r="G51" t="inlineStr">
        <is>
          <t>2021-01-15 17:46:30</t>
        </is>
      </c>
      <c r="H51" t="n">
        <v>33</v>
      </c>
      <c r="I51" t="n">
        <v>17109</v>
      </c>
      <c r="J51" t="inlineStr">
        <is>
          <t>s</t>
        </is>
      </c>
      <c r="K51" t="inlineStr">
        <is>
          <t>s</t>
        </is>
      </c>
      <c r="L51" t="inlineStr">
        <is>
          <t>BS1A</t>
        </is>
      </c>
      <c r="M51" t="inlineStr">
        <is>
          <t>Caren</t>
        </is>
      </c>
      <c r="N51" t="inlineStr">
        <is>
          <t>Saesa</t>
        </is>
      </c>
      <c r="O51" t="inlineStr">
        <is>
          <t>2013/03-2</t>
        </is>
      </c>
      <c r="P51" t="inlineStr">
        <is>
          <t>SAESA</t>
        </is>
      </c>
      <c r="Q51" t="n">
        <v>5</v>
      </c>
      <c r="R51" t="inlineStr">
        <is>
          <t>CIRUELOS 220</t>
        </is>
      </c>
      <c r="S51" t="n">
        <v>1351.766894</v>
      </c>
      <c r="T51" t="n">
        <v>87612</v>
      </c>
      <c r="W51" t="n">
        <v>64.81294</v>
      </c>
    </row>
    <row r="52">
      <c r="A52" t="inlineStr">
        <is>
          <t>01-12-2020</t>
        </is>
      </c>
      <c r="B52" t="inlineStr">
        <is>
          <t>01-12-2020</t>
        </is>
      </c>
      <c r="C52" t="inlineStr">
        <is>
          <t>Licitación Caren y Saesa (SIC 2013/03-2) BS1A</t>
        </is>
      </c>
      <c r="D52" t="inlineStr">
        <is>
          <t>Potencia Licitaciones</t>
        </is>
      </c>
      <c r="E52" t="inlineStr">
        <is>
          <t>Potencia</t>
        </is>
      </c>
      <c r="F52" t="inlineStr">
        <is>
          <t>Lic. SIC 2013/03-2 bloques BS1A: Potencia dic 2020</t>
        </is>
      </c>
      <c r="G52" t="inlineStr">
        <is>
          <t>2021-01-15 17:46:30</t>
        </is>
      </c>
      <c r="H52" t="n">
        <v>33</v>
      </c>
      <c r="I52" t="n">
        <v>17109</v>
      </c>
      <c r="J52" t="inlineStr">
        <is>
          <t>s</t>
        </is>
      </c>
      <c r="K52" t="inlineStr">
        <is>
          <t>s</t>
        </is>
      </c>
      <c r="L52" t="inlineStr">
        <is>
          <t>BS1A</t>
        </is>
      </c>
      <c r="M52" t="inlineStr">
        <is>
          <t>Caren</t>
        </is>
      </c>
      <c r="N52" t="inlineStr">
        <is>
          <t>Saesa</t>
        </is>
      </c>
      <c r="O52" t="inlineStr">
        <is>
          <t>2013/03-2</t>
        </is>
      </c>
      <c r="P52" t="inlineStr">
        <is>
          <t>SAESA</t>
        </is>
      </c>
      <c r="Q52" t="n">
        <v>6</v>
      </c>
      <c r="R52" t="inlineStr">
        <is>
          <t>D.ALMAGRO 220</t>
        </is>
      </c>
      <c r="U52" t="n">
        <v>0</v>
      </c>
      <c r="V52" t="n">
        <v>0</v>
      </c>
      <c r="W52" t="n">
        <v>5668.2856</v>
      </c>
    </row>
    <row r="53">
      <c r="A53" t="inlineStr">
        <is>
          <t>01-12-2020</t>
        </is>
      </c>
      <c r="B53" t="inlineStr">
        <is>
          <t>01-12-2020</t>
        </is>
      </c>
      <c r="C53" t="inlineStr">
        <is>
          <t>Licitación Caren y Saesa (SIC 2013/03-2) BS1A</t>
        </is>
      </c>
      <c r="D53" t="inlineStr">
        <is>
          <t>Energia Licitaciones</t>
        </is>
      </c>
      <c r="E53" t="inlineStr">
        <is>
          <t>Energía</t>
        </is>
      </c>
      <c r="F53" t="inlineStr">
        <is>
          <t>Lic. SIC 2013/03-2 bloques BS1A: Energía dic 2020</t>
        </is>
      </c>
      <c r="G53" t="inlineStr">
        <is>
          <t>2021-01-15 17:46:30</t>
        </is>
      </c>
      <c r="H53" t="n">
        <v>33</v>
      </c>
      <c r="I53" t="n">
        <v>17109</v>
      </c>
      <c r="J53" t="inlineStr">
        <is>
          <t>s</t>
        </is>
      </c>
      <c r="K53" t="inlineStr">
        <is>
          <t>s</t>
        </is>
      </c>
      <c r="L53" t="inlineStr">
        <is>
          <t>BS1A</t>
        </is>
      </c>
      <c r="M53" t="inlineStr">
        <is>
          <t>Caren</t>
        </is>
      </c>
      <c r="N53" t="inlineStr">
        <is>
          <t>Saesa</t>
        </is>
      </c>
      <c r="O53" t="inlineStr">
        <is>
          <t>2013/03-2</t>
        </is>
      </c>
      <c r="P53" t="inlineStr">
        <is>
          <t>SAESA</t>
        </is>
      </c>
      <c r="Q53" t="n">
        <v>6</v>
      </c>
      <c r="R53" t="inlineStr">
        <is>
          <t>D.ALMAGRO 220</t>
        </is>
      </c>
      <c r="S53" t="n">
        <v>566.298489</v>
      </c>
      <c r="T53" t="n">
        <v>40257</v>
      </c>
      <c r="W53" t="n">
        <v>71.08826000000001</v>
      </c>
    </row>
    <row r="54">
      <c r="A54" t="inlineStr">
        <is>
          <t>01-12-2020</t>
        </is>
      </c>
      <c r="B54" t="inlineStr">
        <is>
          <t>01-12-2020</t>
        </is>
      </c>
      <c r="C54" t="inlineStr">
        <is>
          <t>Licitación Caren y Saesa (SIC 2013/03-2) BS1A</t>
        </is>
      </c>
      <c r="D54" t="inlineStr">
        <is>
          <t>Potencia Licitaciones</t>
        </is>
      </c>
      <c r="E54" t="inlineStr">
        <is>
          <t>Potencia</t>
        </is>
      </c>
      <c r="F54" t="inlineStr">
        <is>
          <t>Lic. SIC 2013/03-2 bloques BS1A: Potencia dic 2020</t>
        </is>
      </c>
      <c r="G54" t="inlineStr">
        <is>
          <t>2021-01-15 17:46:30</t>
        </is>
      </c>
      <c r="H54" t="n">
        <v>33</v>
      </c>
      <c r="I54" t="n">
        <v>17109</v>
      </c>
      <c r="J54" t="inlineStr">
        <is>
          <t>s</t>
        </is>
      </c>
      <c r="K54" t="inlineStr">
        <is>
          <t>s</t>
        </is>
      </c>
      <c r="L54" t="inlineStr">
        <is>
          <t>BS1A</t>
        </is>
      </c>
      <c r="M54" t="inlineStr">
        <is>
          <t>Caren</t>
        </is>
      </c>
      <c r="N54" t="inlineStr">
        <is>
          <t>Saesa</t>
        </is>
      </c>
      <c r="O54" t="inlineStr">
        <is>
          <t>2013/03-2</t>
        </is>
      </c>
      <c r="P54" t="inlineStr">
        <is>
          <t>SAESA</t>
        </is>
      </c>
      <c r="Q54" t="n">
        <v>7</v>
      </c>
      <c r="R54" t="inlineStr">
        <is>
          <t>MELIPULLI 220</t>
        </is>
      </c>
      <c r="U54" t="n">
        <v>0</v>
      </c>
      <c r="V54" t="n">
        <v>0</v>
      </c>
      <c r="W54" t="n">
        <v>5415.90555</v>
      </c>
    </row>
    <row r="55">
      <c r="A55" t="inlineStr">
        <is>
          <t>01-12-2020</t>
        </is>
      </c>
      <c r="B55" t="inlineStr">
        <is>
          <t>01-12-2020</t>
        </is>
      </c>
      <c r="C55" t="inlineStr">
        <is>
          <t>Licitación Caren y Saesa (SIC 2013/03-2) BS1A</t>
        </is>
      </c>
      <c r="D55" t="inlineStr">
        <is>
          <t>Energia Licitaciones</t>
        </is>
      </c>
      <c r="E55" t="inlineStr">
        <is>
          <t>Energía</t>
        </is>
      </c>
      <c r="F55" t="inlineStr">
        <is>
          <t>Lic. SIC 2013/03-2 bloques BS1A: Energía dic 2020</t>
        </is>
      </c>
      <c r="G55" t="inlineStr">
        <is>
          <t>2021-01-15 17:46:30</t>
        </is>
      </c>
      <c r="H55" t="n">
        <v>33</v>
      </c>
      <c r="I55" t="n">
        <v>17109</v>
      </c>
      <c r="J55" t="inlineStr">
        <is>
          <t>s</t>
        </is>
      </c>
      <c r="K55" t="inlineStr">
        <is>
          <t>s</t>
        </is>
      </c>
      <c r="L55" t="inlineStr">
        <is>
          <t>BS1A</t>
        </is>
      </c>
      <c r="M55" t="inlineStr">
        <is>
          <t>Caren</t>
        </is>
      </c>
      <c r="N55" t="inlineStr">
        <is>
          <t>Saesa</t>
        </is>
      </c>
      <c r="O55" t="inlineStr">
        <is>
          <t>2013/03-2</t>
        </is>
      </c>
      <c r="P55" t="inlineStr">
        <is>
          <t>SAESA</t>
        </is>
      </c>
      <c r="Q55" t="n">
        <v>7</v>
      </c>
      <c r="R55" t="inlineStr">
        <is>
          <t>MELIPULLI 220</t>
        </is>
      </c>
      <c r="S55" t="n">
        <v>27557.378944</v>
      </c>
      <c r="T55" t="n">
        <v>1762507</v>
      </c>
      <c r="W55" t="n">
        <v>63.95773</v>
      </c>
    </row>
    <row r="56">
      <c r="A56" t="inlineStr">
        <is>
          <t>01-12-2020</t>
        </is>
      </c>
      <c r="B56" t="inlineStr">
        <is>
          <t>01-12-2020</t>
        </is>
      </c>
      <c r="C56" t="inlineStr">
        <is>
          <t>Licitación Caren y Saesa (SIC 2013/03-2) BS1A</t>
        </is>
      </c>
      <c r="D56" t="inlineStr">
        <is>
          <t>Energia Licitaciones</t>
        </is>
      </c>
      <c r="E56" t="inlineStr">
        <is>
          <t>Energía</t>
        </is>
      </c>
      <c r="F56" t="inlineStr">
        <is>
          <t>Lic. SIC 2013/03-2 bloques BS1A: Energía dic 2020</t>
        </is>
      </c>
      <c r="G56" t="inlineStr">
        <is>
          <t>2021-01-15 17:46:30</t>
        </is>
      </c>
      <c r="H56" t="n">
        <v>33</v>
      </c>
      <c r="I56" t="n">
        <v>17109</v>
      </c>
      <c r="J56" t="inlineStr">
        <is>
          <t>s</t>
        </is>
      </c>
      <c r="K56" t="inlineStr">
        <is>
          <t>s</t>
        </is>
      </c>
      <c r="L56" t="inlineStr">
        <is>
          <t>BS1A</t>
        </is>
      </c>
      <c r="M56" t="inlineStr">
        <is>
          <t>Caren</t>
        </is>
      </c>
      <c r="N56" t="inlineStr">
        <is>
          <t>Saesa</t>
        </is>
      </c>
      <c r="O56" t="inlineStr">
        <is>
          <t>2013/03-2</t>
        </is>
      </c>
      <c r="P56" t="inlineStr">
        <is>
          <t>SAESA</t>
        </is>
      </c>
      <c r="Q56" t="n">
        <v>8</v>
      </c>
      <c r="R56" t="inlineStr">
        <is>
          <t>P.MONTT 220</t>
        </is>
      </c>
      <c r="S56" t="n">
        <v>0</v>
      </c>
      <c r="T56" t="n">
        <v>0</v>
      </c>
      <c r="W56" t="n">
        <v>63.957</v>
      </c>
    </row>
    <row r="57">
      <c r="A57" t="inlineStr">
        <is>
          <t>01-12-2020</t>
        </is>
      </c>
      <c r="B57" t="inlineStr">
        <is>
          <t>01-12-2020</t>
        </is>
      </c>
      <c r="C57" t="inlineStr">
        <is>
          <t>Licitación Caren y Saesa (SIC 2013/03-2) BS1A</t>
        </is>
      </c>
      <c r="D57" t="inlineStr">
        <is>
          <t>Potencia Licitaciones</t>
        </is>
      </c>
      <c r="E57" t="inlineStr">
        <is>
          <t>Potencia</t>
        </is>
      </c>
      <c r="F57" t="inlineStr">
        <is>
          <t>Lic. SIC 2013/03-2 bloques BS1A: Potencia dic 2020</t>
        </is>
      </c>
      <c r="G57" t="inlineStr">
        <is>
          <t>2021-01-15 17:46:30</t>
        </is>
      </c>
      <c r="H57" t="n">
        <v>33</v>
      </c>
      <c r="I57" t="n">
        <v>17109</v>
      </c>
      <c r="J57" t="inlineStr">
        <is>
          <t>s</t>
        </is>
      </c>
      <c r="K57" t="inlineStr">
        <is>
          <t>s</t>
        </is>
      </c>
      <c r="L57" t="inlineStr">
        <is>
          <t>BS1A</t>
        </is>
      </c>
      <c r="M57" t="inlineStr">
        <is>
          <t>Caren</t>
        </is>
      </c>
      <c r="N57" t="inlineStr">
        <is>
          <t>Saesa</t>
        </is>
      </c>
      <c r="O57" t="inlineStr">
        <is>
          <t>2013/03-2</t>
        </is>
      </c>
      <c r="P57" t="inlineStr">
        <is>
          <t>SAESA</t>
        </is>
      </c>
      <c r="Q57" t="n">
        <v>8</v>
      </c>
      <c r="R57" t="inlineStr">
        <is>
          <t>P.MONTT 220</t>
        </is>
      </c>
      <c r="U57" t="n">
        <v>0</v>
      </c>
      <c r="V57" t="n">
        <v>0</v>
      </c>
      <c r="W57" t="n">
        <v>5415.91</v>
      </c>
    </row>
    <row r="58">
      <c r="A58" t="inlineStr">
        <is>
          <t>01-12-2020</t>
        </is>
      </c>
      <c r="B58" t="inlineStr">
        <is>
          <t>01-12-2020</t>
        </is>
      </c>
      <c r="C58" t="inlineStr">
        <is>
          <t>Licitación Caren y Saesa (SIC 2013/03-2) BS1A</t>
        </is>
      </c>
      <c r="D58" t="inlineStr">
        <is>
          <t>Potencia Licitaciones</t>
        </is>
      </c>
      <c r="E58" t="inlineStr">
        <is>
          <t>Potencia</t>
        </is>
      </c>
      <c r="F58" t="inlineStr">
        <is>
          <t>Lic. SIC 2013/03-2 bloques BS1A: Potencia dic 2020</t>
        </is>
      </c>
      <c r="G58" t="inlineStr">
        <is>
          <t>2021-01-15 17:46:30</t>
        </is>
      </c>
      <c r="H58" t="n">
        <v>33</v>
      </c>
      <c r="I58" t="n">
        <v>17109</v>
      </c>
      <c r="J58" t="inlineStr">
        <is>
          <t>s</t>
        </is>
      </c>
      <c r="K58" t="inlineStr">
        <is>
          <t>s</t>
        </is>
      </c>
      <c r="L58" t="inlineStr">
        <is>
          <t>BS1A</t>
        </is>
      </c>
      <c r="M58" t="inlineStr">
        <is>
          <t>Caren</t>
        </is>
      </c>
      <c r="N58" t="inlineStr">
        <is>
          <t>Saesa</t>
        </is>
      </c>
      <c r="O58" t="inlineStr">
        <is>
          <t>2013/03-2</t>
        </is>
      </c>
      <c r="P58" t="inlineStr">
        <is>
          <t>SAESA</t>
        </is>
      </c>
      <c r="Q58" t="n">
        <v>9</v>
      </c>
      <c r="R58" t="inlineStr">
        <is>
          <t>TEMUCO 220</t>
        </is>
      </c>
      <c r="U58" t="n">
        <v>0</v>
      </c>
      <c r="V58" t="n">
        <v>0</v>
      </c>
      <c r="W58" t="n">
        <v>5583.34913</v>
      </c>
    </row>
    <row r="59">
      <c r="A59" t="inlineStr">
        <is>
          <t>01-12-2020</t>
        </is>
      </c>
      <c r="B59" t="inlineStr">
        <is>
          <t>01-12-2020</t>
        </is>
      </c>
      <c r="C59" t="inlineStr">
        <is>
          <t>Licitación Caren y Saesa (SIC 2013/03-2) BS1A</t>
        </is>
      </c>
      <c r="D59" t="inlineStr">
        <is>
          <t>Energia Licitaciones</t>
        </is>
      </c>
      <c r="E59" t="inlineStr">
        <is>
          <t>Energía</t>
        </is>
      </c>
      <c r="F59" t="inlineStr">
        <is>
          <t>Lic. SIC 2013/03-2 bloques BS1A: Energía dic 2020</t>
        </is>
      </c>
      <c r="G59" t="inlineStr">
        <is>
          <t>2021-01-15 17:46:30</t>
        </is>
      </c>
      <c r="H59" t="n">
        <v>33</v>
      </c>
      <c r="I59" t="n">
        <v>17109</v>
      </c>
      <c r="J59" t="inlineStr">
        <is>
          <t>s</t>
        </is>
      </c>
      <c r="K59" t="inlineStr">
        <is>
          <t>s</t>
        </is>
      </c>
      <c r="L59" t="inlineStr">
        <is>
          <t>BS1A</t>
        </is>
      </c>
      <c r="M59" t="inlineStr">
        <is>
          <t>Caren</t>
        </is>
      </c>
      <c r="N59" t="inlineStr">
        <is>
          <t>Saesa</t>
        </is>
      </c>
      <c r="O59" t="inlineStr">
        <is>
          <t>2013/03-2</t>
        </is>
      </c>
      <c r="P59" t="inlineStr">
        <is>
          <t>SAESA</t>
        </is>
      </c>
      <c r="Q59" t="n">
        <v>9</v>
      </c>
      <c r="R59" t="inlineStr">
        <is>
          <t>TEMUCO 220</t>
        </is>
      </c>
      <c r="S59" t="n">
        <v>1425.864968</v>
      </c>
      <c r="T59" t="n">
        <v>94635</v>
      </c>
      <c r="W59" t="n">
        <v>66.37017</v>
      </c>
    </row>
    <row r="60">
      <c r="A60" t="inlineStr">
        <is>
          <t>01-12-2020</t>
        </is>
      </c>
      <c r="B60" t="inlineStr">
        <is>
          <t>01-12-2020</t>
        </is>
      </c>
      <c r="C60" t="inlineStr">
        <is>
          <t>Licitación Caren y Saesa (SIC 2013/03-2) BS1A</t>
        </is>
      </c>
      <c r="D60" t="inlineStr">
        <is>
          <t>Potencia Licitaciones</t>
        </is>
      </c>
      <c r="E60" t="inlineStr">
        <is>
          <t>Potencia</t>
        </is>
      </c>
      <c r="F60" t="inlineStr">
        <is>
          <t>Lic. SIC 2013/03-2 bloques BS1A: Potencia dic 2020</t>
        </is>
      </c>
      <c r="G60" t="inlineStr">
        <is>
          <t>2021-01-15 17:46:30</t>
        </is>
      </c>
      <c r="H60" t="n">
        <v>33</v>
      </c>
      <c r="I60" t="n">
        <v>17109</v>
      </c>
      <c r="J60" t="inlineStr">
        <is>
          <t>s</t>
        </is>
      </c>
      <c r="K60" t="inlineStr">
        <is>
          <t>s</t>
        </is>
      </c>
      <c r="L60" t="inlineStr">
        <is>
          <t>BS1A</t>
        </is>
      </c>
      <c r="M60" t="inlineStr">
        <is>
          <t>Caren</t>
        </is>
      </c>
      <c r="N60" t="inlineStr">
        <is>
          <t>Saesa</t>
        </is>
      </c>
      <c r="O60" t="inlineStr">
        <is>
          <t>2013/03-2</t>
        </is>
      </c>
      <c r="P60" t="inlineStr">
        <is>
          <t>SAESA</t>
        </is>
      </c>
      <c r="Q60" t="n">
        <v>10</v>
      </c>
      <c r="R60" t="inlineStr">
        <is>
          <t>VALDIVIA 220</t>
        </is>
      </c>
      <c r="U60" t="n">
        <v>0</v>
      </c>
      <c r="V60" t="n">
        <v>0</v>
      </c>
      <c r="W60" t="n">
        <v>5670.71496</v>
      </c>
    </row>
    <row r="61">
      <c r="A61" t="inlineStr">
        <is>
          <t>01-12-2020</t>
        </is>
      </c>
      <c r="B61" t="inlineStr">
        <is>
          <t>01-12-2020</t>
        </is>
      </c>
      <c r="C61" t="inlineStr">
        <is>
          <t>Licitación Caren y Saesa (SIC 2013/03-2) BS1A</t>
        </is>
      </c>
      <c r="D61" t="inlineStr">
        <is>
          <t>Energia Licitaciones</t>
        </is>
      </c>
      <c r="E61" t="inlineStr">
        <is>
          <t>Energía</t>
        </is>
      </c>
      <c r="F61" t="inlineStr">
        <is>
          <t>Lic. SIC 2013/03-2 bloques BS1A: Energía dic 2020</t>
        </is>
      </c>
      <c r="G61" t="inlineStr">
        <is>
          <t>2021-01-15 17:46:30</t>
        </is>
      </c>
      <c r="H61" t="n">
        <v>33</v>
      </c>
      <c r="I61" t="n">
        <v>17109</v>
      </c>
      <c r="J61" t="inlineStr">
        <is>
          <t>s</t>
        </is>
      </c>
      <c r="K61" t="inlineStr">
        <is>
          <t>s</t>
        </is>
      </c>
      <c r="L61" t="inlineStr">
        <is>
          <t>BS1A</t>
        </is>
      </c>
      <c r="M61" t="inlineStr">
        <is>
          <t>Caren</t>
        </is>
      </c>
      <c r="N61" t="inlineStr">
        <is>
          <t>Saesa</t>
        </is>
      </c>
      <c r="O61" t="inlineStr">
        <is>
          <t>2013/03-2</t>
        </is>
      </c>
      <c r="P61" t="inlineStr">
        <is>
          <t>SAESA</t>
        </is>
      </c>
      <c r="Q61" t="n">
        <v>10</v>
      </c>
      <c r="R61" t="inlineStr">
        <is>
          <t>VALDIVIA 220</t>
        </is>
      </c>
      <c r="S61" t="n">
        <v>14728.465324</v>
      </c>
      <c r="T61" t="n">
        <v>974437</v>
      </c>
      <c r="W61" t="n">
        <v>66.16009</v>
      </c>
    </row>
    <row r="62">
      <c r="A62" t="inlineStr">
        <is>
          <t>01-01-2021</t>
        </is>
      </c>
      <c r="B62" t="inlineStr">
        <is>
          <t>01-01-2021</t>
        </is>
      </c>
      <c r="C62" t="inlineStr">
        <is>
          <t>Licitación Caren y Saesa (SIC 2013/03-2) BS1A</t>
        </is>
      </c>
      <c r="D62" t="inlineStr">
        <is>
          <t>Potencia Licitaciones</t>
        </is>
      </c>
      <c r="E62" t="inlineStr">
        <is>
          <t>Potencia</t>
        </is>
      </c>
      <c r="F62" t="inlineStr">
        <is>
          <t>Lic. SIC 2013/03-2 bloques BS1A: Potencia ene 2021</t>
        </is>
      </c>
      <c r="G62" t="inlineStr">
        <is>
          <t>2021-02-15 22:01:53</t>
        </is>
      </c>
      <c r="H62" t="n">
        <v>33</v>
      </c>
      <c r="I62" t="n">
        <v>17590</v>
      </c>
      <c r="J62" t="inlineStr">
        <is>
          <t>s</t>
        </is>
      </c>
      <c r="K62" t="inlineStr">
        <is>
          <t>s</t>
        </is>
      </c>
      <c r="L62" t="inlineStr">
        <is>
          <t>BS1A</t>
        </is>
      </c>
      <c r="M62" t="inlineStr">
        <is>
          <t>Caren</t>
        </is>
      </c>
      <c r="N62" t="inlineStr">
        <is>
          <t>Saesa</t>
        </is>
      </c>
      <c r="O62" t="inlineStr">
        <is>
          <t>2013/03-2</t>
        </is>
      </c>
      <c r="P62" t="inlineStr">
        <is>
          <t>SAESA</t>
        </is>
      </c>
      <c r="Q62" t="n">
        <v>1</v>
      </c>
      <c r="R62" t="inlineStr">
        <is>
          <t>B.BLANCO 220</t>
        </is>
      </c>
      <c r="U62" t="n">
        <v>0</v>
      </c>
      <c r="V62" t="n">
        <v>0</v>
      </c>
      <c r="W62" t="n">
        <v>5361.3</v>
      </c>
    </row>
    <row r="63">
      <c r="A63" t="inlineStr">
        <is>
          <t>01-01-2021</t>
        </is>
      </c>
      <c r="B63" t="inlineStr">
        <is>
          <t>01-01-2021</t>
        </is>
      </c>
      <c r="C63" t="inlineStr">
        <is>
          <t>Licitación Caren y Saesa (SIC 2013/03-2) BS1A</t>
        </is>
      </c>
      <c r="D63" t="inlineStr">
        <is>
          <t>Energia Licitaciones</t>
        </is>
      </c>
      <c r="E63" t="inlineStr">
        <is>
          <t>Energía</t>
        </is>
      </c>
      <c r="F63" t="inlineStr">
        <is>
          <t>Lic. SIC 2013/03-2 bloques BS1A: Energía ene 2021</t>
        </is>
      </c>
      <c r="G63" t="inlineStr">
        <is>
          <t>2021-02-15 22:01:53</t>
        </is>
      </c>
      <c r="H63" t="n">
        <v>33</v>
      </c>
      <c r="I63" t="n">
        <v>17590</v>
      </c>
      <c r="J63" t="inlineStr">
        <is>
          <t>s</t>
        </is>
      </c>
      <c r="K63" t="inlineStr">
        <is>
          <t>s</t>
        </is>
      </c>
      <c r="L63" t="inlineStr">
        <is>
          <t>BS1A</t>
        </is>
      </c>
      <c r="M63" t="inlineStr">
        <is>
          <t>Caren</t>
        </is>
      </c>
      <c r="N63" t="inlineStr">
        <is>
          <t>Saesa</t>
        </is>
      </c>
      <c r="O63" t="inlineStr">
        <is>
          <t>2013/03-2</t>
        </is>
      </c>
      <c r="P63" t="inlineStr">
        <is>
          <t>SAESA</t>
        </is>
      </c>
      <c r="Q63" t="n">
        <v>1</v>
      </c>
      <c r="R63" t="inlineStr">
        <is>
          <t>B.BLANCO 220</t>
        </is>
      </c>
      <c r="S63" t="n">
        <v>16785.956451</v>
      </c>
      <c r="T63" t="n">
        <v>1049861</v>
      </c>
      <c r="W63" t="n">
        <v>62.544</v>
      </c>
    </row>
    <row r="64">
      <c r="A64" t="inlineStr">
        <is>
          <t>01-01-2021</t>
        </is>
      </c>
      <c r="B64" t="inlineStr">
        <is>
          <t>01-01-2021</t>
        </is>
      </c>
      <c r="C64" t="inlineStr">
        <is>
          <t>Licitación Caren y Saesa (SIC 2013/03-2) BS1A</t>
        </is>
      </c>
      <c r="D64" t="inlineStr">
        <is>
          <t>Potencia Licitaciones</t>
        </is>
      </c>
      <c r="E64" t="inlineStr">
        <is>
          <t>Potencia</t>
        </is>
      </c>
      <c r="F64" t="inlineStr">
        <is>
          <t>Lic. SIC 2013/03-2 bloques BS1A: Potencia ene 2021</t>
        </is>
      </c>
      <c r="G64" t="inlineStr">
        <is>
          <t>2021-02-15 22:01:53</t>
        </is>
      </c>
      <c r="H64" t="n">
        <v>33</v>
      </c>
      <c r="I64" t="n">
        <v>17590</v>
      </c>
      <c r="J64" t="inlineStr">
        <is>
          <t>s</t>
        </is>
      </c>
      <c r="K64" t="inlineStr">
        <is>
          <t>s</t>
        </is>
      </c>
      <c r="L64" t="inlineStr">
        <is>
          <t>BS1A</t>
        </is>
      </c>
      <c r="M64" t="inlineStr">
        <is>
          <t>Caren</t>
        </is>
      </c>
      <c r="N64" t="inlineStr">
        <is>
          <t>Saesa</t>
        </is>
      </c>
      <c r="O64" t="inlineStr">
        <is>
          <t>2013/03-2</t>
        </is>
      </c>
      <c r="P64" t="inlineStr">
        <is>
          <t>SAESA</t>
        </is>
      </c>
      <c r="Q64" t="n">
        <v>2</v>
      </c>
      <c r="R64" t="inlineStr">
        <is>
          <t>CAUTIN 220</t>
        </is>
      </c>
      <c r="U64" t="n">
        <v>0</v>
      </c>
      <c r="V64" t="n">
        <v>0</v>
      </c>
      <c r="W64" t="n">
        <v>5586.99</v>
      </c>
    </row>
    <row r="65">
      <c r="A65" t="inlineStr">
        <is>
          <t>01-01-2021</t>
        </is>
      </c>
      <c r="B65" t="inlineStr">
        <is>
          <t>01-01-2021</t>
        </is>
      </c>
      <c r="C65" t="inlineStr">
        <is>
          <t>Licitación Caren y Saesa (SIC 2013/03-2) BS1A</t>
        </is>
      </c>
      <c r="D65" t="inlineStr">
        <is>
          <t>Energia Licitaciones</t>
        </is>
      </c>
      <c r="E65" t="inlineStr">
        <is>
          <t>Energía</t>
        </is>
      </c>
      <c r="F65" t="inlineStr">
        <is>
          <t>Lic. SIC 2013/03-2 bloques BS1A: Energía ene 2021</t>
        </is>
      </c>
      <c r="G65" t="inlineStr">
        <is>
          <t>2021-02-15 22:01:53</t>
        </is>
      </c>
      <c r="H65" t="n">
        <v>33</v>
      </c>
      <c r="I65" t="n">
        <v>17590</v>
      </c>
      <c r="J65" t="inlineStr">
        <is>
          <t>s</t>
        </is>
      </c>
      <c r="K65" t="inlineStr">
        <is>
          <t>s</t>
        </is>
      </c>
      <c r="L65" t="inlineStr">
        <is>
          <t>BS1A</t>
        </is>
      </c>
      <c r="M65" t="inlineStr">
        <is>
          <t>Caren</t>
        </is>
      </c>
      <c r="N65" t="inlineStr">
        <is>
          <t>Saesa</t>
        </is>
      </c>
      <c r="O65" t="inlineStr">
        <is>
          <t>2013/03-2</t>
        </is>
      </c>
      <c r="P65" t="inlineStr">
        <is>
          <t>SAESA</t>
        </is>
      </c>
      <c r="Q65" t="n">
        <v>2</v>
      </c>
      <c r="R65" t="inlineStr">
        <is>
          <t>CAUTIN 220</t>
        </is>
      </c>
      <c r="S65" t="n">
        <v>260.282964</v>
      </c>
      <c r="T65" t="n">
        <v>17379</v>
      </c>
      <c r="W65" t="n">
        <v>66.76900000000001</v>
      </c>
    </row>
    <row r="66">
      <c r="A66" t="inlineStr">
        <is>
          <t>01-01-2021</t>
        </is>
      </c>
      <c r="B66" t="inlineStr">
        <is>
          <t>01-01-2021</t>
        </is>
      </c>
      <c r="C66" t="inlineStr">
        <is>
          <t>Licitación Caren y Saesa (SIC 2013/03-2) BS1A</t>
        </is>
      </c>
      <c r="D66" t="inlineStr">
        <is>
          <t>Potencia Licitaciones</t>
        </is>
      </c>
      <c r="E66" t="inlineStr">
        <is>
          <t>Potencia</t>
        </is>
      </c>
      <c r="F66" t="inlineStr">
        <is>
          <t>Lic. SIC 2013/03-2 bloques BS1A: Potencia ene 2021</t>
        </is>
      </c>
      <c r="G66" t="inlineStr">
        <is>
          <t>2021-02-15 22:01:53</t>
        </is>
      </c>
      <c r="H66" t="n">
        <v>33</v>
      </c>
      <c r="I66" t="n">
        <v>17590</v>
      </c>
      <c r="J66" t="inlineStr">
        <is>
          <t>s</t>
        </is>
      </c>
      <c r="K66" t="inlineStr">
        <is>
          <t>s</t>
        </is>
      </c>
      <c r="L66" t="inlineStr">
        <is>
          <t>BS1A</t>
        </is>
      </c>
      <c r="M66" t="inlineStr">
        <is>
          <t>Caren</t>
        </is>
      </c>
      <c r="N66" t="inlineStr">
        <is>
          <t>Saesa</t>
        </is>
      </c>
      <c r="O66" t="inlineStr">
        <is>
          <t>2013/03-2</t>
        </is>
      </c>
      <c r="P66" t="inlineStr">
        <is>
          <t>SAESA</t>
        </is>
      </c>
      <c r="Q66" t="n">
        <v>3</v>
      </c>
      <c r="R66" t="inlineStr">
        <is>
          <t>CHARRUA 220</t>
        </is>
      </c>
      <c r="U66" t="n">
        <v>0</v>
      </c>
      <c r="V66" t="n">
        <v>0</v>
      </c>
      <c r="W66" t="n">
        <v>5767.18</v>
      </c>
    </row>
    <row r="67">
      <c r="A67" t="inlineStr">
        <is>
          <t>01-01-2021</t>
        </is>
      </c>
      <c r="B67" t="inlineStr">
        <is>
          <t>01-01-2021</t>
        </is>
      </c>
      <c r="C67" t="inlineStr">
        <is>
          <t>Licitación Caren y Saesa (SIC 2013/03-2) BS1A</t>
        </is>
      </c>
      <c r="D67" t="inlineStr">
        <is>
          <t>Energia Licitaciones</t>
        </is>
      </c>
      <c r="E67" t="inlineStr">
        <is>
          <t>Energía</t>
        </is>
      </c>
      <c r="F67" t="inlineStr">
        <is>
          <t>Lic. SIC 2013/03-2 bloques BS1A: Energía ene 2021</t>
        </is>
      </c>
      <c r="G67" t="inlineStr">
        <is>
          <t>2021-02-15 22:01:53</t>
        </is>
      </c>
      <c r="H67" t="n">
        <v>33</v>
      </c>
      <c r="I67" t="n">
        <v>17590</v>
      </c>
      <c r="J67" t="inlineStr">
        <is>
          <t>s</t>
        </is>
      </c>
      <c r="K67" t="inlineStr">
        <is>
          <t>s</t>
        </is>
      </c>
      <c r="L67" t="inlineStr">
        <is>
          <t>BS1A</t>
        </is>
      </c>
      <c r="M67" t="inlineStr">
        <is>
          <t>Caren</t>
        </is>
      </c>
      <c r="N67" t="inlineStr">
        <is>
          <t>Saesa</t>
        </is>
      </c>
      <c r="O67" t="inlineStr">
        <is>
          <t>2013/03-2</t>
        </is>
      </c>
      <c r="P67" t="inlineStr">
        <is>
          <t>SAESA</t>
        </is>
      </c>
      <c r="Q67" t="n">
        <v>3</v>
      </c>
      <c r="R67" t="inlineStr">
        <is>
          <t>CHARRUA 220</t>
        </is>
      </c>
      <c r="S67" t="n">
        <v>7.191619</v>
      </c>
      <c r="T67" t="n">
        <v>487</v>
      </c>
      <c r="W67" t="n">
        <v>67.755</v>
      </c>
    </row>
    <row r="68">
      <c r="A68" t="inlineStr">
        <is>
          <t>01-01-2021</t>
        </is>
      </c>
      <c r="B68" t="inlineStr">
        <is>
          <t>01-01-2021</t>
        </is>
      </c>
      <c r="C68" t="inlineStr">
        <is>
          <t>Licitación Caren y Saesa (SIC 2013/03-2) BS1A</t>
        </is>
      </c>
      <c r="D68" t="inlineStr">
        <is>
          <t>Potencia Licitaciones</t>
        </is>
      </c>
      <c r="E68" t="inlineStr">
        <is>
          <t>Potencia</t>
        </is>
      </c>
      <c r="F68" t="inlineStr">
        <is>
          <t>Lic. SIC 2013/03-2 bloques BS1A: Potencia ene 2021</t>
        </is>
      </c>
      <c r="G68" t="inlineStr">
        <is>
          <t>2021-02-15 22:01:53</t>
        </is>
      </c>
      <c r="H68" t="n">
        <v>33</v>
      </c>
      <c r="I68" t="n">
        <v>17590</v>
      </c>
      <c r="J68" t="inlineStr">
        <is>
          <t>s</t>
        </is>
      </c>
      <c r="K68" t="inlineStr">
        <is>
          <t>s</t>
        </is>
      </c>
      <c r="L68" t="inlineStr">
        <is>
          <t>BS1A</t>
        </is>
      </c>
      <c r="M68" t="inlineStr">
        <is>
          <t>Caren</t>
        </is>
      </c>
      <c r="N68" t="inlineStr">
        <is>
          <t>Saesa</t>
        </is>
      </c>
      <c r="O68" t="inlineStr">
        <is>
          <t>2013/03-2</t>
        </is>
      </c>
      <c r="P68" t="inlineStr">
        <is>
          <t>SAESA</t>
        </is>
      </c>
      <c r="Q68" t="n">
        <v>4</v>
      </c>
      <c r="R68" t="inlineStr">
        <is>
          <t>CHILOE 220</t>
        </is>
      </c>
      <c r="U68" t="n">
        <v>0</v>
      </c>
      <c r="V68" t="n">
        <v>0</v>
      </c>
      <c r="W68" t="n">
        <v>5447.45</v>
      </c>
    </row>
    <row r="69">
      <c r="A69" t="inlineStr">
        <is>
          <t>01-01-2021</t>
        </is>
      </c>
      <c r="B69" t="inlineStr">
        <is>
          <t>01-01-2021</t>
        </is>
      </c>
      <c r="C69" t="inlineStr">
        <is>
          <t>Licitación Caren y Saesa (SIC 2013/03-2) BS1A</t>
        </is>
      </c>
      <c r="D69" t="inlineStr">
        <is>
          <t>Energia Licitaciones</t>
        </is>
      </c>
      <c r="E69" t="inlineStr">
        <is>
          <t>Energía</t>
        </is>
      </c>
      <c r="F69" t="inlineStr">
        <is>
          <t>Lic. SIC 2013/03-2 bloques BS1A: Energía ene 2021</t>
        </is>
      </c>
      <c r="G69" t="inlineStr">
        <is>
          <t>2021-02-15 22:01:53</t>
        </is>
      </c>
      <c r="H69" t="n">
        <v>33</v>
      </c>
      <c r="I69" t="n">
        <v>17590</v>
      </c>
      <c r="J69" t="inlineStr">
        <is>
          <t>s</t>
        </is>
      </c>
      <c r="K69" t="inlineStr">
        <is>
          <t>s</t>
        </is>
      </c>
      <c r="L69" t="inlineStr">
        <is>
          <t>BS1A</t>
        </is>
      </c>
      <c r="M69" t="inlineStr">
        <is>
          <t>Caren</t>
        </is>
      </c>
      <c r="N69" t="inlineStr">
        <is>
          <t>Saesa</t>
        </is>
      </c>
      <c r="O69" t="inlineStr">
        <is>
          <t>2013/03-2</t>
        </is>
      </c>
      <c r="P69" t="inlineStr">
        <is>
          <t>SAESA</t>
        </is>
      </c>
      <c r="Q69" t="n">
        <v>4</v>
      </c>
      <c r="R69" t="inlineStr">
        <is>
          <t>CHILOE 220</t>
        </is>
      </c>
      <c r="S69" t="n">
        <v>7889.96286</v>
      </c>
      <c r="T69" t="n">
        <v>509021</v>
      </c>
      <c r="W69" t="n">
        <v>64.515</v>
      </c>
    </row>
    <row r="70">
      <c r="A70" t="inlineStr">
        <is>
          <t>01-01-2021</t>
        </is>
      </c>
      <c r="B70" t="inlineStr">
        <is>
          <t>01-01-2021</t>
        </is>
      </c>
      <c r="C70" t="inlineStr">
        <is>
          <t>Licitación Caren y Saesa (SIC 2013/03-2) BS1A</t>
        </is>
      </c>
      <c r="D70" t="inlineStr">
        <is>
          <t>Potencia Licitaciones</t>
        </is>
      </c>
      <c r="E70" t="inlineStr">
        <is>
          <t>Potencia</t>
        </is>
      </c>
      <c r="F70" t="inlineStr">
        <is>
          <t>Lic. SIC 2013/03-2 bloques BS1A: Potencia ene 2021</t>
        </is>
      </c>
      <c r="G70" t="inlineStr">
        <is>
          <t>2021-02-15 22:01:53</t>
        </is>
      </c>
      <c r="H70" t="n">
        <v>33</v>
      </c>
      <c r="I70" t="n">
        <v>17590</v>
      </c>
      <c r="J70" t="inlineStr">
        <is>
          <t>s</t>
        </is>
      </c>
      <c r="K70" t="inlineStr">
        <is>
          <t>s</t>
        </is>
      </c>
      <c r="L70" t="inlineStr">
        <is>
          <t>BS1A</t>
        </is>
      </c>
      <c r="M70" t="inlineStr">
        <is>
          <t>Caren</t>
        </is>
      </c>
      <c r="N70" t="inlineStr">
        <is>
          <t>Saesa</t>
        </is>
      </c>
      <c r="O70" t="inlineStr">
        <is>
          <t>2013/03-2</t>
        </is>
      </c>
      <c r="P70" t="inlineStr">
        <is>
          <t>SAESA</t>
        </is>
      </c>
      <c r="Q70" t="n">
        <v>5</v>
      </c>
      <c r="R70" t="inlineStr">
        <is>
          <t>CIRUELOS 220</t>
        </is>
      </c>
      <c r="U70" t="n">
        <v>0</v>
      </c>
      <c r="V70" t="n">
        <v>0</v>
      </c>
      <c r="W70" t="n">
        <v>5522.08</v>
      </c>
    </row>
    <row r="71">
      <c r="A71" t="inlineStr">
        <is>
          <t>01-01-2021</t>
        </is>
      </c>
      <c r="B71" t="inlineStr">
        <is>
          <t>01-01-2021</t>
        </is>
      </c>
      <c r="C71" t="inlineStr">
        <is>
          <t>Licitación Caren y Saesa (SIC 2013/03-2) BS1A</t>
        </is>
      </c>
      <c r="D71" t="inlineStr">
        <is>
          <t>Energia Licitaciones</t>
        </is>
      </c>
      <c r="E71" t="inlineStr">
        <is>
          <t>Energía</t>
        </is>
      </c>
      <c r="F71" t="inlineStr">
        <is>
          <t>Lic. SIC 2013/03-2 bloques BS1A: Energía ene 2021</t>
        </is>
      </c>
      <c r="G71" t="inlineStr">
        <is>
          <t>2021-02-15 22:01:53</t>
        </is>
      </c>
      <c r="H71" t="n">
        <v>33</v>
      </c>
      <c r="I71" t="n">
        <v>17590</v>
      </c>
      <c r="J71" t="inlineStr">
        <is>
          <t>s</t>
        </is>
      </c>
      <c r="K71" t="inlineStr">
        <is>
          <t>s</t>
        </is>
      </c>
      <c r="L71" t="inlineStr">
        <is>
          <t>BS1A</t>
        </is>
      </c>
      <c r="M71" t="inlineStr">
        <is>
          <t>Caren</t>
        </is>
      </c>
      <c r="N71" t="inlineStr">
        <is>
          <t>Saesa</t>
        </is>
      </c>
      <c r="O71" t="inlineStr">
        <is>
          <t>2013/03-2</t>
        </is>
      </c>
      <c r="P71" t="inlineStr">
        <is>
          <t>SAESA</t>
        </is>
      </c>
      <c r="Q71" t="n">
        <v>5</v>
      </c>
      <c r="R71" t="inlineStr">
        <is>
          <t>CIRUELOS 220</t>
        </is>
      </c>
      <c r="S71" t="n">
        <v>1044.805774</v>
      </c>
      <c r="T71" t="n">
        <v>67717</v>
      </c>
      <c r="W71" t="n">
        <v>64.813</v>
      </c>
    </row>
    <row r="72">
      <c r="A72" t="inlineStr">
        <is>
          <t>01-01-2021</t>
        </is>
      </c>
      <c r="B72" t="inlineStr">
        <is>
          <t>01-01-2021</t>
        </is>
      </c>
      <c r="C72" t="inlineStr">
        <is>
          <t>Licitación Caren y Saesa (SIC 2013/03-2) BS1A</t>
        </is>
      </c>
      <c r="D72" t="inlineStr">
        <is>
          <t>Potencia Licitaciones</t>
        </is>
      </c>
      <c r="E72" t="inlineStr">
        <is>
          <t>Potencia</t>
        </is>
      </c>
      <c r="F72" t="inlineStr">
        <is>
          <t>Lic. SIC 2013/03-2 bloques BS1A: Potencia ene 2021</t>
        </is>
      </c>
      <c r="G72" t="inlineStr">
        <is>
          <t>2021-02-15 22:01:53</t>
        </is>
      </c>
      <c r="H72" t="n">
        <v>33</v>
      </c>
      <c r="I72" t="n">
        <v>17590</v>
      </c>
      <c r="J72" t="inlineStr">
        <is>
          <t>s</t>
        </is>
      </c>
      <c r="K72" t="inlineStr">
        <is>
          <t>s</t>
        </is>
      </c>
      <c r="L72" t="inlineStr">
        <is>
          <t>BS1A</t>
        </is>
      </c>
      <c r="M72" t="inlineStr">
        <is>
          <t>Caren</t>
        </is>
      </c>
      <c r="N72" t="inlineStr">
        <is>
          <t>Saesa</t>
        </is>
      </c>
      <c r="O72" t="inlineStr">
        <is>
          <t>2013/03-2</t>
        </is>
      </c>
      <c r="P72" t="inlineStr">
        <is>
          <t>SAESA</t>
        </is>
      </c>
      <c r="Q72" t="n">
        <v>6</v>
      </c>
      <c r="R72" t="inlineStr">
        <is>
          <t>D.ALMAGRO 220</t>
        </is>
      </c>
      <c r="U72" t="n">
        <v>0</v>
      </c>
      <c r="V72" t="n">
        <v>0</v>
      </c>
      <c r="W72" t="n">
        <v>5668.29</v>
      </c>
    </row>
    <row r="73">
      <c r="A73" t="inlineStr">
        <is>
          <t>01-01-2021</t>
        </is>
      </c>
      <c r="B73" t="inlineStr">
        <is>
          <t>01-01-2021</t>
        </is>
      </c>
      <c r="C73" t="inlineStr">
        <is>
          <t>Licitación Caren y Saesa (SIC 2013/03-2) BS1A</t>
        </is>
      </c>
      <c r="D73" t="inlineStr">
        <is>
          <t>Energia Licitaciones</t>
        </is>
      </c>
      <c r="E73" t="inlineStr">
        <is>
          <t>Energía</t>
        </is>
      </c>
      <c r="F73" t="inlineStr">
        <is>
          <t>Lic. SIC 2013/03-2 bloques BS1A: Energía ene 2021</t>
        </is>
      </c>
      <c r="G73" t="inlineStr">
        <is>
          <t>2021-02-15 22:01:53</t>
        </is>
      </c>
      <c r="H73" t="n">
        <v>33</v>
      </c>
      <c r="I73" t="n">
        <v>17590</v>
      </c>
      <c r="J73" t="inlineStr">
        <is>
          <t>s</t>
        </is>
      </c>
      <c r="K73" t="inlineStr">
        <is>
          <t>s</t>
        </is>
      </c>
      <c r="L73" t="inlineStr">
        <is>
          <t>BS1A</t>
        </is>
      </c>
      <c r="M73" t="inlineStr">
        <is>
          <t>Caren</t>
        </is>
      </c>
      <c r="N73" t="inlineStr">
        <is>
          <t>Saesa</t>
        </is>
      </c>
      <c r="O73" t="inlineStr">
        <is>
          <t>2013/03-2</t>
        </is>
      </c>
      <c r="P73" t="inlineStr">
        <is>
          <t>SAESA</t>
        </is>
      </c>
      <c r="Q73" t="n">
        <v>6</v>
      </c>
      <c r="R73" t="inlineStr">
        <is>
          <t>D.ALMAGRO 220</t>
        </is>
      </c>
      <c r="S73" t="n">
        <v>501.034468</v>
      </c>
      <c r="T73" t="n">
        <v>35618</v>
      </c>
      <c r="W73" t="n">
        <v>71.08799999999999</v>
      </c>
    </row>
    <row r="74">
      <c r="A74" t="inlineStr">
        <is>
          <t>01-01-2021</t>
        </is>
      </c>
      <c r="B74" t="inlineStr">
        <is>
          <t>01-01-2021</t>
        </is>
      </c>
      <c r="C74" t="inlineStr">
        <is>
          <t>Licitación Caren y Saesa (SIC 2013/03-2) BS1A</t>
        </is>
      </c>
      <c r="D74" t="inlineStr">
        <is>
          <t>Potencia Licitaciones</t>
        </is>
      </c>
      <c r="E74" t="inlineStr">
        <is>
          <t>Potencia</t>
        </is>
      </c>
      <c r="F74" t="inlineStr">
        <is>
          <t>Lic. SIC 2013/03-2 bloques BS1A: Potencia ene 2021</t>
        </is>
      </c>
      <c r="G74" t="inlineStr">
        <is>
          <t>2021-02-15 22:01:53</t>
        </is>
      </c>
      <c r="H74" t="n">
        <v>33</v>
      </c>
      <c r="I74" t="n">
        <v>17590</v>
      </c>
      <c r="J74" t="inlineStr">
        <is>
          <t>s</t>
        </is>
      </c>
      <c r="K74" t="inlineStr">
        <is>
          <t>s</t>
        </is>
      </c>
      <c r="L74" t="inlineStr">
        <is>
          <t>BS1A</t>
        </is>
      </c>
      <c r="M74" t="inlineStr">
        <is>
          <t>Caren</t>
        </is>
      </c>
      <c r="N74" t="inlineStr">
        <is>
          <t>Saesa</t>
        </is>
      </c>
      <c r="O74" t="inlineStr">
        <is>
          <t>2013/03-2</t>
        </is>
      </c>
      <c r="P74" t="inlineStr">
        <is>
          <t>SAESA</t>
        </is>
      </c>
      <c r="Q74" t="n">
        <v>7</v>
      </c>
      <c r="R74" t="inlineStr">
        <is>
          <t>MELIPULLI 220</t>
        </is>
      </c>
      <c r="U74" t="n">
        <v>0</v>
      </c>
      <c r="V74" t="n">
        <v>0</v>
      </c>
      <c r="W74" t="n">
        <v>5415.91</v>
      </c>
    </row>
    <row r="75">
      <c r="A75" t="inlineStr">
        <is>
          <t>01-01-2021</t>
        </is>
      </c>
      <c r="B75" t="inlineStr">
        <is>
          <t>01-01-2021</t>
        </is>
      </c>
      <c r="C75" t="inlineStr">
        <is>
          <t>Licitación Caren y Saesa (SIC 2013/03-2) BS1A</t>
        </is>
      </c>
      <c r="D75" t="inlineStr">
        <is>
          <t>Energia Licitaciones</t>
        </is>
      </c>
      <c r="E75" t="inlineStr">
        <is>
          <t>Energía</t>
        </is>
      </c>
      <c r="F75" t="inlineStr">
        <is>
          <t>Lic. SIC 2013/03-2 bloques BS1A: Energía ene 2021</t>
        </is>
      </c>
      <c r="G75" t="inlineStr">
        <is>
          <t>2021-02-15 22:01:53</t>
        </is>
      </c>
      <c r="H75" t="n">
        <v>33</v>
      </c>
      <c r="I75" t="n">
        <v>17590</v>
      </c>
      <c r="J75" t="inlineStr">
        <is>
          <t>s</t>
        </is>
      </c>
      <c r="K75" t="inlineStr">
        <is>
          <t>s</t>
        </is>
      </c>
      <c r="L75" t="inlineStr">
        <is>
          <t>BS1A</t>
        </is>
      </c>
      <c r="M75" t="inlineStr">
        <is>
          <t>Caren</t>
        </is>
      </c>
      <c r="N75" t="inlineStr">
        <is>
          <t>Saesa</t>
        </is>
      </c>
      <c r="O75" t="inlineStr">
        <is>
          <t>2013/03-2</t>
        </is>
      </c>
      <c r="P75" t="inlineStr">
        <is>
          <t>SAESA</t>
        </is>
      </c>
      <c r="Q75" t="n">
        <v>7</v>
      </c>
      <c r="R75" t="inlineStr">
        <is>
          <t>MELIPULLI 220</t>
        </is>
      </c>
      <c r="S75" t="n">
        <v>22454.209524</v>
      </c>
      <c r="T75" t="n">
        <v>1436126</v>
      </c>
      <c r="W75" t="n">
        <v>63.958</v>
      </c>
    </row>
    <row r="76">
      <c r="A76" t="inlineStr">
        <is>
          <t>01-01-2021</t>
        </is>
      </c>
      <c r="B76" t="inlineStr">
        <is>
          <t>01-01-2021</t>
        </is>
      </c>
      <c r="C76" t="inlineStr">
        <is>
          <t>Licitación Caren y Saesa (SIC 2013/03-2) BS1A</t>
        </is>
      </c>
      <c r="D76" t="inlineStr">
        <is>
          <t>Energia Licitaciones</t>
        </is>
      </c>
      <c r="E76" t="inlineStr">
        <is>
          <t>Energía</t>
        </is>
      </c>
      <c r="F76" t="inlineStr">
        <is>
          <t>Lic. SIC 2013/03-2 bloques BS1A: Energía ene 2021</t>
        </is>
      </c>
      <c r="G76" t="inlineStr">
        <is>
          <t>2021-02-15 22:01:53</t>
        </is>
      </c>
      <c r="H76" t="n">
        <v>33</v>
      </c>
      <c r="I76" t="n">
        <v>17590</v>
      </c>
      <c r="J76" t="inlineStr">
        <is>
          <t>s</t>
        </is>
      </c>
      <c r="K76" t="inlineStr">
        <is>
          <t>s</t>
        </is>
      </c>
      <c r="L76" t="inlineStr">
        <is>
          <t>BS1A</t>
        </is>
      </c>
      <c r="M76" t="inlineStr">
        <is>
          <t>Caren</t>
        </is>
      </c>
      <c r="N76" t="inlineStr">
        <is>
          <t>Saesa</t>
        </is>
      </c>
      <c r="O76" t="inlineStr">
        <is>
          <t>2013/03-2</t>
        </is>
      </c>
      <c r="P76" t="inlineStr">
        <is>
          <t>SAESA</t>
        </is>
      </c>
      <c r="Q76" t="n">
        <v>8</v>
      </c>
      <c r="R76" t="inlineStr">
        <is>
          <t>P.MONTT 220</t>
        </is>
      </c>
      <c r="S76" t="n">
        <v>0</v>
      </c>
      <c r="T76" t="n">
        <v>0</v>
      </c>
      <c r="W76" t="n">
        <v>63.957</v>
      </c>
    </row>
    <row r="77">
      <c r="A77" t="inlineStr">
        <is>
          <t>01-01-2021</t>
        </is>
      </c>
      <c r="B77" t="inlineStr">
        <is>
          <t>01-01-2021</t>
        </is>
      </c>
      <c r="C77" t="inlineStr">
        <is>
          <t>Licitación Caren y Saesa (SIC 2013/03-2) BS1A</t>
        </is>
      </c>
      <c r="D77" t="inlineStr">
        <is>
          <t>Potencia Licitaciones</t>
        </is>
      </c>
      <c r="E77" t="inlineStr">
        <is>
          <t>Potencia</t>
        </is>
      </c>
      <c r="F77" t="inlineStr">
        <is>
          <t>Lic. SIC 2013/03-2 bloques BS1A: Potencia ene 2021</t>
        </is>
      </c>
      <c r="G77" t="inlineStr">
        <is>
          <t>2021-02-15 22:01:53</t>
        </is>
      </c>
      <c r="H77" t="n">
        <v>33</v>
      </c>
      <c r="I77" t="n">
        <v>17590</v>
      </c>
      <c r="J77" t="inlineStr">
        <is>
          <t>s</t>
        </is>
      </c>
      <c r="K77" t="inlineStr">
        <is>
          <t>s</t>
        </is>
      </c>
      <c r="L77" t="inlineStr">
        <is>
          <t>BS1A</t>
        </is>
      </c>
      <c r="M77" t="inlineStr">
        <is>
          <t>Caren</t>
        </is>
      </c>
      <c r="N77" t="inlineStr">
        <is>
          <t>Saesa</t>
        </is>
      </c>
      <c r="O77" t="inlineStr">
        <is>
          <t>2013/03-2</t>
        </is>
      </c>
      <c r="P77" t="inlineStr">
        <is>
          <t>SAESA</t>
        </is>
      </c>
      <c r="Q77" t="n">
        <v>8</v>
      </c>
      <c r="R77" t="inlineStr">
        <is>
          <t>P.MONTT 220</t>
        </is>
      </c>
      <c r="U77" t="n">
        <v>0</v>
      </c>
      <c r="V77" t="n">
        <v>0</v>
      </c>
      <c r="W77" t="n">
        <v>5415.91</v>
      </c>
    </row>
    <row r="78">
      <c r="A78" t="inlineStr">
        <is>
          <t>01-01-2021</t>
        </is>
      </c>
      <c r="B78" t="inlineStr">
        <is>
          <t>01-01-2021</t>
        </is>
      </c>
      <c r="C78" t="inlineStr">
        <is>
          <t>Licitación Caren y Saesa (SIC 2013/03-2) BS1A</t>
        </is>
      </c>
      <c r="D78" t="inlineStr">
        <is>
          <t>Potencia Licitaciones</t>
        </is>
      </c>
      <c r="E78" t="inlineStr">
        <is>
          <t>Potencia</t>
        </is>
      </c>
      <c r="F78" t="inlineStr">
        <is>
          <t>Lic. SIC 2013/03-2 bloques BS1A: Potencia ene 2021</t>
        </is>
      </c>
      <c r="G78" t="inlineStr">
        <is>
          <t>2021-02-15 22:01:53</t>
        </is>
      </c>
      <c r="H78" t="n">
        <v>33</v>
      </c>
      <c r="I78" t="n">
        <v>17590</v>
      </c>
      <c r="J78" t="inlineStr">
        <is>
          <t>s</t>
        </is>
      </c>
      <c r="K78" t="inlineStr">
        <is>
          <t>s</t>
        </is>
      </c>
      <c r="L78" t="inlineStr">
        <is>
          <t>BS1A</t>
        </is>
      </c>
      <c r="M78" t="inlineStr">
        <is>
          <t>Caren</t>
        </is>
      </c>
      <c r="N78" t="inlineStr">
        <is>
          <t>Saesa</t>
        </is>
      </c>
      <c r="O78" t="inlineStr">
        <is>
          <t>2013/03-2</t>
        </is>
      </c>
      <c r="P78" t="inlineStr">
        <is>
          <t>SAESA</t>
        </is>
      </c>
      <c r="Q78" t="n">
        <v>9</v>
      </c>
      <c r="R78" t="inlineStr">
        <is>
          <t>TEMUCO 220</t>
        </is>
      </c>
      <c r="U78" t="n">
        <v>0</v>
      </c>
      <c r="V78" t="n">
        <v>0</v>
      </c>
      <c r="W78" t="n">
        <v>5583.35</v>
      </c>
    </row>
    <row r="79">
      <c r="A79" t="inlineStr">
        <is>
          <t>01-01-2021</t>
        </is>
      </c>
      <c r="B79" t="inlineStr">
        <is>
          <t>01-01-2021</t>
        </is>
      </c>
      <c r="C79" t="inlineStr">
        <is>
          <t>Licitación Caren y Saesa (SIC 2013/03-2) BS1A</t>
        </is>
      </c>
      <c r="D79" t="inlineStr">
        <is>
          <t>Energia Licitaciones</t>
        </is>
      </c>
      <c r="E79" t="inlineStr">
        <is>
          <t>Energía</t>
        </is>
      </c>
      <c r="F79" t="inlineStr">
        <is>
          <t>Lic. SIC 2013/03-2 bloques BS1A: Energía ene 2021</t>
        </is>
      </c>
      <c r="G79" t="inlineStr">
        <is>
          <t>2021-02-15 22:01:53</t>
        </is>
      </c>
      <c r="H79" t="n">
        <v>33</v>
      </c>
      <c r="I79" t="n">
        <v>17590</v>
      </c>
      <c r="J79" t="inlineStr">
        <is>
          <t>s</t>
        </is>
      </c>
      <c r="K79" t="inlineStr">
        <is>
          <t>s</t>
        </is>
      </c>
      <c r="L79" t="inlineStr">
        <is>
          <t>BS1A</t>
        </is>
      </c>
      <c r="M79" t="inlineStr">
        <is>
          <t>Caren</t>
        </is>
      </c>
      <c r="N79" t="inlineStr">
        <is>
          <t>Saesa</t>
        </is>
      </c>
      <c r="O79" t="inlineStr">
        <is>
          <t>2013/03-2</t>
        </is>
      </c>
      <c r="P79" t="inlineStr">
        <is>
          <t>SAESA</t>
        </is>
      </c>
      <c r="Q79" t="n">
        <v>9</v>
      </c>
      <c r="R79" t="inlineStr">
        <is>
          <t>TEMUCO 220</t>
        </is>
      </c>
      <c r="S79" t="n">
        <v>1378.769834</v>
      </c>
      <c r="T79" t="n">
        <v>91509</v>
      </c>
      <c r="W79" t="n">
        <v>66.37</v>
      </c>
    </row>
    <row r="80">
      <c r="A80" t="inlineStr">
        <is>
          <t>01-01-2021</t>
        </is>
      </c>
      <c r="B80" t="inlineStr">
        <is>
          <t>01-01-2021</t>
        </is>
      </c>
      <c r="C80" t="inlineStr">
        <is>
          <t>Licitación Caren y Saesa (SIC 2013/03-2) BS1A</t>
        </is>
      </c>
      <c r="D80" t="inlineStr">
        <is>
          <t>Potencia Licitaciones</t>
        </is>
      </c>
      <c r="E80" t="inlineStr">
        <is>
          <t>Potencia</t>
        </is>
      </c>
      <c r="F80" t="inlineStr">
        <is>
          <t>Lic. SIC 2013/03-2 bloques BS1A: Potencia ene 2021</t>
        </is>
      </c>
      <c r="G80" t="inlineStr">
        <is>
          <t>2021-02-15 22:01:53</t>
        </is>
      </c>
      <c r="H80" t="n">
        <v>33</v>
      </c>
      <c r="I80" t="n">
        <v>17590</v>
      </c>
      <c r="J80" t="inlineStr">
        <is>
          <t>s</t>
        </is>
      </c>
      <c r="K80" t="inlineStr">
        <is>
          <t>s</t>
        </is>
      </c>
      <c r="L80" t="inlineStr">
        <is>
          <t>BS1A</t>
        </is>
      </c>
      <c r="M80" t="inlineStr">
        <is>
          <t>Caren</t>
        </is>
      </c>
      <c r="N80" t="inlineStr">
        <is>
          <t>Saesa</t>
        </is>
      </c>
      <c r="O80" t="inlineStr">
        <is>
          <t>2013/03-2</t>
        </is>
      </c>
      <c r="P80" t="inlineStr">
        <is>
          <t>SAESA</t>
        </is>
      </c>
      <c r="Q80" t="n">
        <v>10</v>
      </c>
      <c r="R80" t="inlineStr">
        <is>
          <t>VALDIVIA 220</t>
        </is>
      </c>
      <c r="U80" t="n">
        <v>0</v>
      </c>
      <c r="V80" t="n">
        <v>0</v>
      </c>
      <c r="W80" t="n">
        <v>5670.71</v>
      </c>
    </row>
    <row r="81">
      <c r="A81" t="inlineStr">
        <is>
          <t>01-01-2021</t>
        </is>
      </c>
      <c r="B81" t="inlineStr">
        <is>
          <t>01-01-2021</t>
        </is>
      </c>
      <c r="C81" t="inlineStr">
        <is>
          <t>Licitación Caren y Saesa (SIC 2013/03-2) BS1A</t>
        </is>
      </c>
      <c r="D81" t="inlineStr">
        <is>
          <t>Energia Licitaciones</t>
        </is>
      </c>
      <c r="E81" t="inlineStr">
        <is>
          <t>Energía</t>
        </is>
      </c>
      <c r="F81" t="inlineStr">
        <is>
          <t>Lic. SIC 2013/03-2 bloques BS1A: Energía ene 2021</t>
        </is>
      </c>
      <c r="G81" t="inlineStr">
        <is>
          <t>2021-02-15 22:01:53</t>
        </is>
      </c>
      <c r="H81" t="n">
        <v>33</v>
      </c>
      <c r="I81" t="n">
        <v>17590</v>
      </c>
      <c r="J81" t="inlineStr">
        <is>
          <t>s</t>
        </is>
      </c>
      <c r="K81" t="inlineStr">
        <is>
          <t>s</t>
        </is>
      </c>
      <c r="L81" t="inlineStr">
        <is>
          <t>BS1A</t>
        </is>
      </c>
      <c r="M81" t="inlineStr">
        <is>
          <t>Caren</t>
        </is>
      </c>
      <c r="N81" t="inlineStr">
        <is>
          <t>Saesa</t>
        </is>
      </c>
      <c r="O81" t="inlineStr">
        <is>
          <t>2013/03-2</t>
        </is>
      </c>
      <c r="P81" t="inlineStr">
        <is>
          <t>SAESA</t>
        </is>
      </c>
      <c r="Q81" t="n">
        <v>10</v>
      </c>
      <c r="R81" t="inlineStr">
        <is>
          <t>VALDIVIA 220</t>
        </is>
      </c>
      <c r="S81" t="n">
        <v>12826.625334</v>
      </c>
      <c r="T81" t="n">
        <v>848610</v>
      </c>
      <c r="W81" t="n">
        <v>66.16</v>
      </c>
    </row>
    <row r="82">
      <c r="A82" t="inlineStr">
        <is>
          <t>01-02-2021</t>
        </is>
      </c>
      <c r="B82" t="inlineStr">
        <is>
          <t>01-02-2021</t>
        </is>
      </c>
      <c r="C82" t="inlineStr">
        <is>
          <t>Licitación Caren y Saesa (SIC 2013/03-2) BS1A</t>
        </is>
      </c>
      <c r="D82" t="inlineStr">
        <is>
          <t>Potencia Licitaciones</t>
        </is>
      </c>
      <c r="E82" t="inlineStr">
        <is>
          <t>Potencia</t>
        </is>
      </c>
      <c r="F82" t="inlineStr">
        <is>
          <t>Lic. SIC 2013/03-2 bloques BS1A: Potencia feb 2021</t>
        </is>
      </c>
      <c r="G82" t="inlineStr">
        <is>
          <t>2021-03-12 18:49:41</t>
        </is>
      </c>
      <c r="H82" t="n">
        <v>33</v>
      </c>
      <c r="I82" t="n">
        <v>17833</v>
      </c>
      <c r="J82" t="inlineStr">
        <is>
          <t>s</t>
        </is>
      </c>
      <c r="K82" t="inlineStr">
        <is>
          <t>s</t>
        </is>
      </c>
      <c r="L82" t="inlineStr">
        <is>
          <t>BS1A</t>
        </is>
      </c>
      <c r="M82" t="inlineStr">
        <is>
          <t>Caren</t>
        </is>
      </c>
      <c r="N82" t="inlineStr">
        <is>
          <t>Saesa</t>
        </is>
      </c>
      <c r="O82" t="inlineStr">
        <is>
          <t>2013/03-2</t>
        </is>
      </c>
      <c r="P82" t="inlineStr">
        <is>
          <t>SAESA</t>
        </is>
      </c>
      <c r="Q82" t="n">
        <v>1</v>
      </c>
      <c r="R82" t="inlineStr">
        <is>
          <t>B.BLANCO 220</t>
        </is>
      </c>
      <c r="U82" t="n">
        <v>0</v>
      </c>
      <c r="V82" t="n">
        <v>0</v>
      </c>
      <c r="W82" t="n">
        <v>5361.3</v>
      </c>
    </row>
    <row r="83">
      <c r="A83" t="inlineStr">
        <is>
          <t>01-02-2021</t>
        </is>
      </c>
      <c r="B83" t="inlineStr">
        <is>
          <t>01-02-2021</t>
        </is>
      </c>
      <c r="C83" t="inlineStr">
        <is>
          <t>Licitación Caren y Saesa (SIC 2013/03-2) BS1A</t>
        </is>
      </c>
      <c r="D83" t="inlineStr">
        <is>
          <t>Energia Licitaciones</t>
        </is>
      </c>
      <c r="E83" t="inlineStr">
        <is>
          <t>Energía</t>
        </is>
      </c>
      <c r="F83" t="inlineStr">
        <is>
          <t>Lic. SIC 2013/03-2 bloques BS1A: Energía feb 2021</t>
        </is>
      </c>
      <c r="G83" t="inlineStr">
        <is>
          <t>2021-03-12 18:49:41</t>
        </is>
      </c>
      <c r="H83" t="n">
        <v>33</v>
      </c>
      <c r="I83" t="n">
        <v>17833</v>
      </c>
      <c r="J83" t="inlineStr">
        <is>
          <t>s</t>
        </is>
      </c>
      <c r="K83" t="inlineStr">
        <is>
          <t>s</t>
        </is>
      </c>
      <c r="L83" t="inlineStr">
        <is>
          <t>BS1A</t>
        </is>
      </c>
      <c r="M83" t="inlineStr">
        <is>
          <t>Caren</t>
        </is>
      </c>
      <c r="N83" t="inlineStr">
        <is>
          <t>Saesa</t>
        </is>
      </c>
      <c r="O83" t="inlineStr">
        <is>
          <t>2013/03-2</t>
        </is>
      </c>
      <c r="P83" t="inlineStr">
        <is>
          <t>SAESA</t>
        </is>
      </c>
      <c r="Q83" t="n">
        <v>1</v>
      </c>
      <c r="R83" t="inlineStr">
        <is>
          <t>B.BLANCO 220</t>
        </is>
      </c>
      <c r="S83" t="n">
        <v>16047.704149</v>
      </c>
      <c r="T83" t="n">
        <v>1003688</v>
      </c>
      <c r="W83" t="n">
        <v>62.544</v>
      </c>
    </row>
    <row r="84">
      <c r="A84" t="inlineStr">
        <is>
          <t>01-02-2021</t>
        </is>
      </c>
      <c r="B84" t="inlineStr">
        <is>
          <t>01-02-2021</t>
        </is>
      </c>
      <c r="C84" t="inlineStr">
        <is>
          <t>Licitación Caren y Saesa (SIC 2013/03-2) BS1A</t>
        </is>
      </c>
      <c r="D84" t="inlineStr">
        <is>
          <t>Potencia Licitaciones</t>
        </is>
      </c>
      <c r="E84" t="inlineStr">
        <is>
          <t>Potencia</t>
        </is>
      </c>
      <c r="F84" t="inlineStr">
        <is>
          <t>Lic. SIC 2013/03-2 bloques BS1A: Potencia feb 2021</t>
        </is>
      </c>
      <c r="G84" t="inlineStr">
        <is>
          <t>2021-03-12 18:49:41</t>
        </is>
      </c>
      <c r="H84" t="n">
        <v>33</v>
      </c>
      <c r="I84" t="n">
        <v>17833</v>
      </c>
      <c r="J84" t="inlineStr">
        <is>
          <t>s</t>
        </is>
      </c>
      <c r="K84" t="inlineStr">
        <is>
          <t>s</t>
        </is>
      </c>
      <c r="L84" t="inlineStr">
        <is>
          <t>BS1A</t>
        </is>
      </c>
      <c r="M84" t="inlineStr">
        <is>
          <t>Caren</t>
        </is>
      </c>
      <c r="N84" t="inlineStr">
        <is>
          <t>Saesa</t>
        </is>
      </c>
      <c r="O84" t="inlineStr">
        <is>
          <t>2013/03-2</t>
        </is>
      </c>
      <c r="P84" t="inlineStr">
        <is>
          <t>SAESA</t>
        </is>
      </c>
      <c r="Q84" t="n">
        <v>2</v>
      </c>
      <c r="R84" t="inlineStr">
        <is>
          <t>CAUTIN 220</t>
        </is>
      </c>
      <c r="U84" t="n">
        <v>0</v>
      </c>
      <c r="V84" t="n">
        <v>0</v>
      </c>
      <c r="W84" t="n">
        <v>5586.99</v>
      </c>
    </row>
    <row r="85">
      <c r="A85" t="inlineStr">
        <is>
          <t>01-02-2021</t>
        </is>
      </c>
      <c r="B85" t="inlineStr">
        <is>
          <t>01-02-2021</t>
        </is>
      </c>
      <c r="C85" t="inlineStr">
        <is>
          <t>Licitación Caren y Saesa (SIC 2013/03-2) BS1A</t>
        </is>
      </c>
      <c r="D85" t="inlineStr">
        <is>
          <t>Energia Licitaciones</t>
        </is>
      </c>
      <c r="E85" t="inlineStr">
        <is>
          <t>Energía</t>
        </is>
      </c>
      <c r="F85" t="inlineStr">
        <is>
          <t>Lic. SIC 2013/03-2 bloques BS1A: Energía feb 2021</t>
        </is>
      </c>
      <c r="G85" t="inlineStr">
        <is>
          <t>2021-03-12 18:49:41</t>
        </is>
      </c>
      <c r="H85" t="n">
        <v>33</v>
      </c>
      <c r="I85" t="n">
        <v>17833</v>
      </c>
      <c r="J85" t="inlineStr">
        <is>
          <t>s</t>
        </is>
      </c>
      <c r="K85" t="inlineStr">
        <is>
          <t>s</t>
        </is>
      </c>
      <c r="L85" t="inlineStr">
        <is>
          <t>BS1A</t>
        </is>
      </c>
      <c r="M85" t="inlineStr">
        <is>
          <t>Caren</t>
        </is>
      </c>
      <c r="N85" t="inlineStr">
        <is>
          <t>Saesa</t>
        </is>
      </c>
      <c r="O85" t="inlineStr">
        <is>
          <t>2013/03-2</t>
        </is>
      </c>
      <c r="P85" t="inlineStr">
        <is>
          <t>SAESA</t>
        </is>
      </c>
      <c r="Q85" t="n">
        <v>2</v>
      </c>
      <c r="R85" t="inlineStr">
        <is>
          <t>CAUTIN 220</t>
        </is>
      </c>
      <c r="S85" t="n">
        <v>259.855867</v>
      </c>
      <c r="T85" t="n">
        <v>17350</v>
      </c>
      <c r="W85" t="n">
        <v>66.76900000000001</v>
      </c>
    </row>
    <row r="86">
      <c r="A86" t="inlineStr">
        <is>
          <t>01-02-2021</t>
        </is>
      </c>
      <c r="B86" t="inlineStr">
        <is>
          <t>01-02-2021</t>
        </is>
      </c>
      <c r="C86" t="inlineStr">
        <is>
          <t>Licitación Caren y Saesa (SIC 2013/03-2) BS1A</t>
        </is>
      </c>
      <c r="D86" t="inlineStr">
        <is>
          <t>Potencia Licitaciones</t>
        </is>
      </c>
      <c r="E86" t="inlineStr">
        <is>
          <t>Potencia</t>
        </is>
      </c>
      <c r="F86" t="inlineStr">
        <is>
          <t>Lic. SIC 2013/03-2 bloques BS1A: Potencia feb 2021</t>
        </is>
      </c>
      <c r="G86" t="inlineStr">
        <is>
          <t>2021-03-12 18:49:41</t>
        </is>
      </c>
      <c r="H86" t="n">
        <v>33</v>
      </c>
      <c r="I86" t="n">
        <v>17833</v>
      </c>
      <c r="J86" t="inlineStr">
        <is>
          <t>s</t>
        </is>
      </c>
      <c r="K86" t="inlineStr">
        <is>
          <t>s</t>
        </is>
      </c>
      <c r="L86" t="inlineStr">
        <is>
          <t>BS1A</t>
        </is>
      </c>
      <c r="M86" t="inlineStr">
        <is>
          <t>Caren</t>
        </is>
      </c>
      <c r="N86" t="inlineStr">
        <is>
          <t>Saesa</t>
        </is>
      </c>
      <c r="O86" t="inlineStr">
        <is>
          <t>2013/03-2</t>
        </is>
      </c>
      <c r="P86" t="inlineStr">
        <is>
          <t>SAESA</t>
        </is>
      </c>
      <c r="Q86" t="n">
        <v>3</v>
      </c>
      <c r="R86" t="inlineStr">
        <is>
          <t>CHARRUA 220</t>
        </is>
      </c>
      <c r="U86" t="n">
        <v>0</v>
      </c>
      <c r="V86" t="n">
        <v>0</v>
      </c>
      <c r="W86" t="n">
        <v>5767.18</v>
      </c>
    </row>
    <row r="87">
      <c r="A87" t="inlineStr">
        <is>
          <t>01-02-2021</t>
        </is>
      </c>
      <c r="B87" t="inlineStr">
        <is>
          <t>01-02-2021</t>
        </is>
      </c>
      <c r="C87" t="inlineStr">
        <is>
          <t>Licitación Caren y Saesa (SIC 2013/03-2) BS1A</t>
        </is>
      </c>
      <c r="D87" t="inlineStr">
        <is>
          <t>Energia Licitaciones</t>
        </is>
      </c>
      <c r="E87" t="inlineStr">
        <is>
          <t>Energía</t>
        </is>
      </c>
      <c r="F87" t="inlineStr">
        <is>
          <t>Lic. SIC 2013/03-2 bloques BS1A: Energía feb 2021</t>
        </is>
      </c>
      <c r="G87" t="inlineStr">
        <is>
          <t>2021-03-12 18:49:41</t>
        </is>
      </c>
      <c r="H87" t="n">
        <v>33</v>
      </c>
      <c r="I87" t="n">
        <v>17833</v>
      </c>
      <c r="J87" t="inlineStr">
        <is>
          <t>s</t>
        </is>
      </c>
      <c r="K87" t="inlineStr">
        <is>
          <t>s</t>
        </is>
      </c>
      <c r="L87" t="inlineStr">
        <is>
          <t>BS1A</t>
        </is>
      </c>
      <c r="M87" t="inlineStr">
        <is>
          <t>Caren</t>
        </is>
      </c>
      <c r="N87" t="inlineStr">
        <is>
          <t>Saesa</t>
        </is>
      </c>
      <c r="O87" t="inlineStr">
        <is>
          <t>2013/03-2</t>
        </is>
      </c>
      <c r="P87" t="inlineStr">
        <is>
          <t>SAESA</t>
        </is>
      </c>
      <c r="Q87" t="n">
        <v>3</v>
      </c>
      <c r="R87" t="inlineStr">
        <is>
          <t>CHARRUA 220</t>
        </is>
      </c>
      <c r="S87" t="n">
        <v>7.179818</v>
      </c>
      <c r="T87" t="n">
        <v>486</v>
      </c>
      <c r="W87" t="n">
        <v>67.755</v>
      </c>
    </row>
    <row r="88">
      <c r="A88" t="inlineStr">
        <is>
          <t>01-02-2021</t>
        </is>
      </c>
      <c r="B88" t="inlineStr">
        <is>
          <t>01-02-2021</t>
        </is>
      </c>
      <c r="C88" t="inlineStr">
        <is>
          <t>Licitación Caren y Saesa (SIC 2013/03-2) BS1A</t>
        </is>
      </c>
      <c r="D88" t="inlineStr">
        <is>
          <t>Potencia Licitaciones</t>
        </is>
      </c>
      <c r="E88" t="inlineStr">
        <is>
          <t>Potencia</t>
        </is>
      </c>
      <c r="F88" t="inlineStr">
        <is>
          <t>Lic. SIC 2013/03-2 bloques BS1A: Potencia feb 2021</t>
        </is>
      </c>
      <c r="G88" t="inlineStr">
        <is>
          <t>2021-03-12 18:49:41</t>
        </is>
      </c>
      <c r="H88" t="n">
        <v>33</v>
      </c>
      <c r="I88" t="n">
        <v>17833</v>
      </c>
      <c r="J88" t="inlineStr">
        <is>
          <t>s</t>
        </is>
      </c>
      <c r="K88" t="inlineStr">
        <is>
          <t>s</t>
        </is>
      </c>
      <c r="L88" t="inlineStr">
        <is>
          <t>BS1A</t>
        </is>
      </c>
      <c r="M88" t="inlineStr">
        <is>
          <t>Caren</t>
        </is>
      </c>
      <c r="N88" t="inlineStr">
        <is>
          <t>Saesa</t>
        </is>
      </c>
      <c r="O88" t="inlineStr">
        <is>
          <t>2013/03-2</t>
        </is>
      </c>
      <c r="P88" t="inlineStr">
        <is>
          <t>SAESA</t>
        </is>
      </c>
      <c r="Q88" t="n">
        <v>4</v>
      </c>
      <c r="R88" t="inlineStr">
        <is>
          <t>CHILOE 220</t>
        </is>
      </c>
      <c r="U88" t="n">
        <v>0</v>
      </c>
      <c r="V88" t="n">
        <v>0</v>
      </c>
      <c r="W88" t="n">
        <v>5447.45</v>
      </c>
    </row>
    <row r="89">
      <c r="A89" t="inlineStr">
        <is>
          <t>01-02-2021</t>
        </is>
      </c>
      <c r="B89" t="inlineStr">
        <is>
          <t>01-02-2021</t>
        </is>
      </c>
      <c r="C89" t="inlineStr">
        <is>
          <t>Licitación Caren y Saesa (SIC 2013/03-2) BS1A</t>
        </is>
      </c>
      <c r="D89" t="inlineStr">
        <is>
          <t>Energia Licitaciones</t>
        </is>
      </c>
      <c r="E89" t="inlineStr">
        <is>
          <t>Energía</t>
        </is>
      </c>
      <c r="F89" t="inlineStr">
        <is>
          <t>Lic. SIC 2013/03-2 bloques BS1A: Energía feb 2021</t>
        </is>
      </c>
      <c r="G89" t="inlineStr">
        <is>
          <t>2021-03-12 18:49:41</t>
        </is>
      </c>
      <c r="H89" t="n">
        <v>33</v>
      </c>
      <c r="I89" t="n">
        <v>17833</v>
      </c>
      <c r="J89" t="inlineStr">
        <is>
          <t>s</t>
        </is>
      </c>
      <c r="K89" t="inlineStr">
        <is>
          <t>s</t>
        </is>
      </c>
      <c r="L89" t="inlineStr">
        <is>
          <t>BS1A</t>
        </is>
      </c>
      <c r="M89" t="inlineStr">
        <is>
          <t>Caren</t>
        </is>
      </c>
      <c r="N89" t="inlineStr">
        <is>
          <t>Saesa</t>
        </is>
      </c>
      <c r="O89" t="inlineStr">
        <is>
          <t>2013/03-2</t>
        </is>
      </c>
      <c r="P89" t="inlineStr">
        <is>
          <t>SAESA</t>
        </is>
      </c>
      <c r="Q89" t="n">
        <v>4</v>
      </c>
      <c r="R89" t="inlineStr">
        <is>
          <t>CHILOE 220</t>
        </is>
      </c>
      <c r="S89" t="n">
        <v>7287.69229</v>
      </c>
      <c r="T89" t="n">
        <v>470165</v>
      </c>
      <c r="W89" t="n">
        <v>64.515</v>
      </c>
    </row>
    <row r="90">
      <c r="A90" t="inlineStr">
        <is>
          <t>01-02-2021</t>
        </is>
      </c>
      <c r="B90" t="inlineStr">
        <is>
          <t>01-02-2021</t>
        </is>
      </c>
      <c r="C90" t="inlineStr">
        <is>
          <t>Licitación Caren y Saesa (SIC 2013/03-2) BS1A</t>
        </is>
      </c>
      <c r="D90" t="inlineStr">
        <is>
          <t>Potencia Licitaciones</t>
        </is>
      </c>
      <c r="E90" t="inlineStr">
        <is>
          <t>Potencia</t>
        </is>
      </c>
      <c r="F90" t="inlineStr">
        <is>
          <t>Lic. SIC 2013/03-2 bloques BS1A: Potencia feb 2021</t>
        </is>
      </c>
      <c r="G90" t="inlineStr">
        <is>
          <t>2021-03-12 18:49:41</t>
        </is>
      </c>
      <c r="H90" t="n">
        <v>33</v>
      </c>
      <c r="I90" t="n">
        <v>17833</v>
      </c>
      <c r="J90" t="inlineStr">
        <is>
          <t>s</t>
        </is>
      </c>
      <c r="K90" t="inlineStr">
        <is>
          <t>s</t>
        </is>
      </c>
      <c r="L90" t="inlineStr">
        <is>
          <t>BS1A</t>
        </is>
      </c>
      <c r="M90" t="inlineStr">
        <is>
          <t>Caren</t>
        </is>
      </c>
      <c r="N90" t="inlineStr">
        <is>
          <t>Saesa</t>
        </is>
      </c>
      <c r="O90" t="inlineStr">
        <is>
          <t>2013/03-2</t>
        </is>
      </c>
      <c r="P90" t="inlineStr">
        <is>
          <t>SAESA</t>
        </is>
      </c>
      <c r="Q90" t="n">
        <v>5</v>
      </c>
      <c r="R90" t="inlineStr">
        <is>
          <t>CIRUELOS 220</t>
        </is>
      </c>
      <c r="U90" t="n">
        <v>0</v>
      </c>
      <c r="V90" t="n">
        <v>0</v>
      </c>
      <c r="W90" t="n">
        <v>5522.08</v>
      </c>
    </row>
    <row r="91">
      <c r="A91" t="inlineStr">
        <is>
          <t>01-02-2021</t>
        </is>
      </c>
      <c r="B91" t="inlineStr">
        <is>
          <t>01-02-2021</t>
        </is>
      </c>
      <c r="C91" t="inlineStr">
        <is>
          <t>Licitación Caren y Saesa (SIC 2013/03-2) BS1A</t>
        </is>
      </c>
      <c r="D91" t="inlineStr">
        <is>
          <t>Energia Licitaciones</t>
        </is>
      </c>
      <c r="E91" t="inlineStr">
        <is>
          <t>Energía</t>
        </is>
      </c>
      <c r="F91" t="inlineStr">
        <is>
          <t>Lic. SIC 2013/03-2 bloques BS1A: Energía feb 2021</t>
        </is>
      </c>
      <c r="G91" t="inlineStr">
        <is>
          <t>2021-03-12 18:49:41</t>
        </is>
      </c>
      <c r="H91" t="n">
        <v>33</v>
      </c>
      <c r="I91" t="n">
        <v>17833</v>
      </c>
      <c r="J91" t="inlineStr">
        <is>
          <t>s</t>
        </is>
      </c>
      <c r="K91" t="inlineStr">
        <is>
          <t>s</t>
        </is>
      </c>
      <c r="L91" t="inlineStr">
        <is>
          <t>BS1A</t>
        </is>
      </c>
      <c r="M91" t="inlineStr">
        <is>
          <t>Caren</t>
        </is>
      </c>
      <c r="N91" t="inlineStr">
        <is>
          <t>Saesa</t>
        </is>
      </c>
      <c r="O91" t="inlineStr">
        <is>
          <t>2013/03-2</t>
        </is>
      </c>
      <c r="P91" t="inlineStr">
        <is>
          <t>SAESA</t>
        </is>
      </c>
      <c r="Q91" t="n">
        <v>5</v>
      </c>
      <c r="R91" t="inlineStr">
        <is>
          <t>CIRUELOS 220</t>
        </is>
      </c>
      <c r="S91" t="n">
        <v>1057.591341</v>
      </c>
      <c r="T91" t="n">
        <v>68546</v>
      </c>
      <c r="W91" t="n">
        <v>64.813</v>
      </c>
    </row>
    <row r="92">
      <c r="A92" t="inlineStr">
        <is>
          <t>01-02-2021</t>
        </is>
      </c>
      <c r="B92" t="inlineStr">
        <is>
          <t>01-02-2021</t>
        </is>
      </c>
      <c r="C92" t="inlineStr">
        <is>
          <t>Licitación Caren y Saesa (SIC 2013/03-2) BS1A</t>
        </is>
      </c>
      <c r="D92" t="inlineStr">
        <is>
          <t>Potencia Licitaciones</t>
        </is>
      </c>
      <c r="E92" t="inlineStr">
        <is>
          <t>Potencia</t>
        </is>
      </c>
      <c r="F92" t="inlineStr">
        <is>
          <t>Lic. SIC 2013/03-2 bloques BS1A: Potencia feb 2021</t>
        </is>
      </c>
      <c r="G92" t="inlineStr">
        <is>
          <t>2021-03-12 18:49:41</t>
        </is>
      </c>
      <c r="H92" t="n">
        <v>33</v>
      </c>
      <c r="I92" t="n">
        <v>17833</v>
      </c>
      <c r="J92" t="inlineStr">
        <is>
          <t>s</t>
        </is>
      </c>
      <c r="K92" t="inlineStr">
        <is>
          <t>s</t>
        </is>
      </c>
      <c r="L92" t="inlineStr">
        <is>
          <t>BS1A</t>
        </is>
      </c>
      <c r="M92" t="inlineStr">
        <is>
          <t>Caren</t>
        </is>
      </c>
      <c r="N92" t="inlineStr">
        <is>
          <t>Saesa</t>
        </is>
      </c>
      <c r="O92" t="inlineStr">
        <is>
          <t>2013/03-2</t>
        </is>
      </c>
      <c r="P92" t="inlineStr">
        <is>
          <t>SAESA</t>
        </is>
      </c>
      <c r="Q92" t="n">
        <v>6</v>
      </c>
      <c r="R92" t="inlineStr">
        <is>
          <t>D.ALMAGRO 220</t>
        </is>
      </c>
      <c r="U92" t="n">
        <v>0</v>
      </c>
      <c r="V92" t="n">
        <v>0</v>
      </c>
      <c r="W92" t="n">
        <v>5668.29</v>
      </c>
    </row>
    <row r="93">
      <c r="A93" t="inlineStr">
        <is>
          <t>01-02-2021</t>
        </is>
      </c>
      <c r="B93" t="inlineStr">
        <is>
          <t>01-02-2021</t>
        </is>
      </c>
      <c r="C93" t="inlineStr">
        <is>
          <t>Licitación Caren y Saesa (SIC 2013/03-2) BS1A</t>
        </is>
      </c>
      <c r="D93" t="inlineStr">
        <is>
          <t>Energia Licitaciones</t>
        </is>
      </c>
      <c r="E93" t="inlineStr">
        <is>
          <t>Energía</t>
        </is>
      </c>
      <c r="F93" t="inlineStr">
        <is>
          <t>Lic. SIC 2013/03-2 bloques BS1A: Energía feb 2021</t>
        </is>
      </c>
      <c r="G93" t="inlineStr">
        <is>
          <t>2021-03-12 18:49:41</t>
        </is>
      </c>
      <c r="H93" t="n">
        <v>33</v>
      </c>
      <c r="I93" t="n">
        <v>17833</v>
      </c>
      <c r="J93" t="inlineStr">
        <is>
          <t>s</t>
        </is>
      </c>
      <c r="K93" t="inlineStr">
        <is>
          <t>s</t>
        </is>
      </c>
      <c r="L93" t="inlineStr">
        <is>
          <t>BS1A</t>
        </is>
      </c>
      <c r="M93" t="inlineStr">
        <is>
          <t>Caren</t>
        </is>
      </c>
      <c r="N93" t="inlineStr">
        <is>
          <t>Saesa</t>
        </is>
      </c>
      <c r="O93" t="inlineStr">
        <is>
          <t>2013/03-2</t>
        </is>
      </c>
      <c r="P93" t="inlineStr">
        <is>
          <t>SAESA</t>
        </is>
      </c>
      <c r="Q93" t="n">
        <v>6</v>
      </c>
      <c r="R93" t="inlineStr">
        <is>
          <t>D.ALMAGRO 220</t>
        </is>
      </c>
      <c r="S93" t="n">
        <v>459.367081</v>
      </c>
      <c r="T93" t="n">
        <v>32655</v>
      </c>
      <c r="W93" t="n">
        <v>71.08799999999999</v>
      </c>
    </row>
    <row r="94">
      <c r="A94" t="inlineStr">
        <is>
          <t>01-02-2021</t>
        </is>
      </c>
      <c r="B94" t="inlineStr">
        <is>
          <t>01-02-2021</t>
        </is>
      </c>
      <c r="C94" t="inlineStr">
        <is>
          <t>Licitación Caren y Saesa (SIC 2013/03-2) BS1A</t>
        </is>
      </c>
      <c r="D94" t="inlineStr">
        <is>
          <t>Potencia Licitaciones</t>
        </is>
      </c>
      <c r="E94" t="inlineStr">
        <is>
          <t>Potencia</t>
        </is>
      </c>
      <c r="F94" t="inlineStr">
        <is>
          <t>Lic. SIC 2013/03-2 bloques BS1A: Potencia feb 2021</t>
        </is>
      </c>
      <c r="G94" t="inlineStr">
        <is>
          <t>2021-03-12 18:49:41</t>
        </is>
      </c>
      <c r="H94" t="n">
        <v>33</v>
      </c>
      <c r="I94" t="n">
        <v>17833</v>
      </c>
      <c r="J94" t="inlineStr">
        <is>
          <t>s</t>
        </is>
      </c>
      <c r="K94" t="inlineStr">
        <is>
          <t>s</t>
        </is>
      </c>
      <c r="L94" t="inlineStr">
        <is>
          <t>BS1A</t>
        </is>
      </c>
      <c r="M94" t="inlineStr">
        <is>
          <t>Caren</t>
        </is>
      </c>
      <c r="N94" t="inlineStr">
        <is>
          <t>Saesa</t>
        </is>
      </c>
      <c r="O94" t="inlineStr">
        <is>
          <t>2013/03-2</t>
        </is>
      </c>
      <c r="P94" t="inlineStr">
        <is>
          <t>SAESA</t>
        </is>
      </c>
      <c r="Q94" t="n">
        <v>7</v>
      </c>
      <c r="R94" t="inlineStr">
        <is>
          <t>MELIPULLI 220</t>
        </is>
      </c>
      <c r="U94" t="n">
        <v>0</v>
      </c>
      <c r="V94" t="n">
        <v>0</v>
      </c>
      <c r="W94" t="n">
        <v>5415.91</v>
      </c>
    </row>
    <row r="95">
      <c r="A95" t="inlineStr">
        <is>
          <t>01-02-2021</t>
        </is>
      </c>
      <c r="B95" t="inlineStr">
        <is>
          <t>01-02-2021</t>
        </is>
      </c>
      <c r="C95" t="inlineStr">
        <is>
          <t>Licitación Caren y Saesa (SIC 2013/03-2) BS1A</t>
        </is>
      </c>
      <c r="D95" t="inlineStr">
        <is>
          <t>Energia Licitaciones</t>
        </is>
      </c>
      <c r="E95" t="inlineStr">
        <is>
          <t>Energía</t>
        </is>
      </c>
      <c r="F95" t="inlineStr">
        <is>
          <t>Lic. SIC 2013/03-2 bloques BS1A: Energía feb 2021</t>
        </is>
      </c>
      <c r="G95" t="inlineStr">
        <is>
          <t>2021-03-12 18:49:41</t>
        </is>
      </c>
      <c r="H95" t="n">
        <v>33</v>
      </c>
      <c r="I95" t="n">
        <v>17833</v>
      </c>
      <c r="J95" t="inlineStr">
        <is>
          <t>s</t>
        </is>
      </c>
      <c r="K95" t="inlineStr">
        <is>
          <t>s</t>
        </is>
      </c>
      <c r="L95" t="inlineStr">
        <is>
          <t>BS1A</t>
        </is>
      </c>
      <c r="M95" t="inlineStr">
        <is>
          <t>Caren</t>
        </is>
      </c>
      <c r="N95" t="inlineStr">
        <is>
          <t>Saesa</t>
        </is>
      </c>
      <c r="O95" t="inlineStr">
        <is>
          <t>2013/03-2</t>
        </is>
      </c>
      <c r="P95" t="inlineStr">
        <is>
          <t>SAESA</t>
        </is>
      </c>
      <c r="Q95" t="n">
        <v>7</v>
      </c>
      <c r="R95" t="inlineStr">
        <is>
          <t>MELIPULLI 220</t>
        </is>
      </c>
      <c r="S95" t="n">
        <v>20556.443797</v>
      </c>
      <c r="T95" t="n">
        <v>1314749</v>
      </c>
      <c r="W95" t="n">
        <v>63.958</v>
      </c>
    </row>
    <row r="96">
      <c r="A96" t="inlineStr">
        <is>
          <t>01-02-2021</t>
        </is>
      </c>
      <c r="B96" t="inlineStr">
        <is>
          <t>01-02-2021</t>
        </is>
      </c>
      <c r="C96" t="inlineStr">
        <is>
          <t>Licitación Caren y Saesa (SIC 2013/03-2) BS1A</t>
        </is>
      </c>
      <c r="D96" t="inlineStr">
        <is>
          <t>Energia Licitaciones</t>
        </is>
      </c>
      <c r="E96" t="inlineStr">
        <is>
          <t>Energía</t>
        </is>
      </c>
      <c r="F96" t="inlineStr">
        <is>
          <t>Lic. SIC 2013/03-2 bloques BS1A: Energía feb 2021</t>
        </is>
      </c>
      <c r="G96" t="inlineStr">
        <is>
          <t>2021-03-12 18:49:41</t>
        </is>
      </c>
      <c r="H96" t="n">
        <v>33</v>
      </c>
      <c r="I96" t="n">
        <v>17833</v>
      </c>
      <c r="J96" t="inlineStr">
        <is>
          <t>s</t>
        </is>
      </c>
      <c r="K96" t="inlineStr">
        <is>
          <t>s</t>
        </is>
      </c>
      <c r="L96" t="inlineStr">
        <is>
          <t>BS1A</t>
        </is>
      </c>
      <c r="M96" t="inlineStr">
        <is>
          <t>Caren</t>
        </is>
      </c>
      <c r="N96" t="inlineStr">
        <is>
          <t>Saesa</t>
        </is>
      </c>
      <c r="O96" t="inlineStr">
        <is>
          <t>2013/03-2</t>
        </is>
      </c>
      <c r="P96" t="inlineStr">
        <is>
          <t>SAESA</t>
        </is>
      </c>
      <c r="Q96" t="n">
        <v>8</v>
      </c>
      <c r="R96" t="inlineStr">
        <is>
          <t>P.MONTT 220</t>
        </is>
      </c>
      <c r="S96" t="n">
        <v>0</v>
      </c>
      <c r="T96" t="n">
        <v>0</v>
      </c>
      <c r="W96" t="n">
        <v>63.957</v>
      </c>
    </row>
    <row r="97">
      <c r="A97" t="inlineStr">
        <is>
          <t>01-02-2021</t>
        </is>
      </c>
      <c r="B97" t="inlineStr">
        <is>
          <t>01-02-2021</t>
        </is>
      </c>
      <c r="C97" t="inlineStr">
        <is>
          <t>Licitación Caren y Saesa (SIC 2013/03-2) BS1A</t>
        </is>
      </c>
      <c r="D97" t="inlineStr">
        <is>
          <t>Potencia Licitaciones</t>
        </is>
      </c>
      <c r="E97" t="inlineStr">
        <is>
          <t>Potencia</t>
        </is>
      </c>
      <c r="F97" t="inlineStr">
        <is>
          <t>Lic. SIC 2013/03-2 bloques BS1A: Potencia feb 2021</t>
        </is>
      </c>
      <c r="G97" t="inlineStr">
        <is>
          <t>2021-03-12 18:49:41</t>
        </is>
      </c>
      <c r="H97" t="n">
        <v>33</v>
      </c>
      <c r="I97" t="n">
        <v>17833</v>
      </c>
      <c r="J97" t="inlineStr">
        <is>
          <t>s</t>
        </is>
      </c>
      <c r="K97" t="inlineStr">
        <is>
          <t>s</t>
        </is>
      </c>
      <c r="L97" t="inlineStr">
        <is>
          <t>BS1A</t>
        </is>
      </c>
      <c r="M97" t="inlineStr">
        <is>
          <t>Caren</t>
        </is>
      </c>
      <c r="N97" t="inlineStr">
        <is>
          <t>Saesa</t>
        </is>
      </c>
      <c r="O97" t="inlineStr">
        <is>
          <t>2013/03-2</t>
        </is>
      </c>
      <c r="P97" t="inlineStr">
        <is>
          <t>SAESA</t>
        </is>
      </c>
      <c r="Q97" t="n">
        <v>8</v>
      </c>
      <c r="R97" t="inlineStr">
        <is>
          <t>P.MONTT 220</t>
        </is>
      </c>
      <c r="U97" t="n">
        <v>0</v>
      </c>
      <c r="V97" t="n">
        <v>0</v>
      </c>
      <c r="W97" t="n">
        <v>5415.91</v>
      </c>
    </row>
    <row r="98">
      <c r="A98" t="inlineStr">
        <is>
          <t>01-02-2021</t>
        </is>
      </c>
      <c r="B98" t="inlineStr">
        <is>
          <t>01-02-2021</t>
        </is>
      </c>
      <c r="C98" t="inlineStr">
        <is>
          <t>Licitación Caren y Saesa (SIC 2013/03-2) BS1A</t>
        </is>
      </c>
      <c r="D98" t="inlineStr">
        <is>
          <t>Potencia Licitaciones</t>
        </is>
      </c>
      <c r="E98" t="inlineStr">
        <is>
          <t>Potencia</t>
        </is>
      </c>
      <c r="F98" t="inlineStr">
        <is>
          <t>Lic. SIC 2013/03-2 bloques BS1A: Potencia feb 2021</t>
        </is>
      </c>
      <c r="G98" t="inlineStr">
        <is>
          <t>2021-03-12 18:49:41</t>
        </is>
      </c>
      <c r="H98" t="n">
        <v>33</v>
      </c>
      <c r="I98" t="n">
        <v>17833</v>
      </c>
      <c r="J98" t="inlineStr">
        <is>
          <t>s</t>
        </is>
      </c>
      <c r="K98" t="inlineStr">
        <is>
          <t>s</t>
        </is>
      </c>
      <c r="L98" t="inlineStr">
        <is>
          <t>BS1A</t>
        </is>
      </c>
      <c r="M98" t="inlineStr">
        <is>
          <t>Caren</t>
        </is>
      </c>
      <c r="N98" t="inlineStr">
        <is>
          <t>Saesa</t>
        </is>
      </c>
      <c r="O98" t="inlineStr">
        <is>
          <t>2013/03-2</t>
        </is>
      </c>
      <c r="P98" t="inlineStr">
        <is>
          <t>SAESA</t>
        </is>
      </c>
      <c r="Q98" t="n">
        <v>9</v>
      </c>
      <c r="R98" t="inlineStr">
        <is>
          <t>TEMUCO 220</t>
        </is>
      </c>
      <c r="U98" t="n">
        <v>0</v>
      </c>
      <c r="V98" t="n">
        <v>0</v>
      </c>
      <c r="W98" t="n">
        <v>5583.35</v>
      </c>
    </row>
    <row r="99">
      <c r="A99" t="inlineStr">
        <is>
          <t>01-02-2021</t>
        </is>
      </c>
      <c r="B99" t="inlineStr">
        <is>
          <t>01-02-2021</t>
        </is>
      </c>
      <c r="C99" t="inlineStr">
        <is>
          <t>Licitación Caren y Saesa (SIC 2013/03-2) BS1A</t>
        </is>
      </c>
      <c r="D99" t="inlineStr">
        <is>
          <t>Energia Licitaciones</t>
        </is>
      </c>
      <c r="E99" t="inlineStr">
        <is>
          <t>Energía</t>
        </is>
      </c>
      <c r="F99" t="inlineStr">
        <is>
          <t>Lic. SIC 2013/03-2 bloques BS1A: Energía feb 2021</t>
        </is>
      </c>
      <c r="G99" t="inlineStr">
        <is>
          <t>2021-03-12 18:49:41</t>
        </is>
      </c>
      <c r="H99" t="n">
        <v>33</v>
      </c>
      <c r="I99" t="n">
        <v>17833</v>
      </c>
      <c r="J99" t="inlineStr">
        <is>
          <t>s</t>
        </is>
      </c>
      <c r="K99" t="inlineStr">
        <is>
          <t>s</t>
        </is>
      </c>
      <c r="L99" t="inlineStr">
        <is>
          <t>BS1A</t>
        </is>
      </c>
      <c r="M99" t="inlineStr">
        <is>
          <t>Caren</t>
        </is>
      </c>
      <c r="N99" t="inlineStr">
        <is>
          <t>Saesa</t>
        </is>
      </c>
      <c r="O99" t="inlineStr">
        <is>
          <t>2013/03-2</t>
        </is>
      </c>
      <c r="P99" t="inlineStr">
        <is>
          <t>SAESA</t>
        </is>
      </c>
      <c r="Q99" t="n">
        <v>9</v>
      </c>
      <c r="R99" t="inlineStr">
        <is>
          <t>TEMUCO 220</t>
        </is>
      </c>
      <c r="S99" t="n">
        <v>1376.507419</v>
      </c>
      <c r="T99" t="n">
        <v>91359</v>
      </c>
      <c r="W99" t="n">
        <v>66.37</v>
      </c>
    </row>
    <row r="100">
      <c r="A100" t="inlineStr">
        <is>
          <t>01-02-2021</t>
        </is>
      </c>
      <c r="B100" t="inlineStr">
        <is>
          <t>01-02-2021</t>
        </is>
      </c>
      <c r="C100" t="inlineStr">
        <is>
          <t>Licitación Caren y Saesa (SIC 2013/03-2) BS1A</t>
        </is>
      </c>
      <c r="D100" t="inlineStr">
        <is>
          <t>Potencia Licitaciones</t>
        </is>
      </c>
      <c r="E100" t="inlineStr">
        <is>
          <t>Potencia</t>
        </is>
      </c>
      <c r="F100" t="inlineStr">
        <is>
          <t>Lic. SIC 2013/03-2 bloques BS1A: Potencia feb 2021</t>
        </is>
      </c>
      <c r="G100" t="inlineStr">
        <is>
          <t>2021-03-12 18:49:41</t>
        </is>
      </c>
      <c r="H100" t="n">
        <v>33</v>
      </c>
      <c r="I100" t="n">
        <v>17833</v>
      </c>
      <c r="J100" t="inlineStr">
        <is>
          <t>s</t>
        </is>
      </c>
      <c r="K100" t="inlineStr">
        <is>
          <t>s</t>
        </is>
      </c>
      <c r="L100" t="inlineStr">
        <is>
          <t>BS1A</t>
        </is>
      </c>
      <c r="M100" t="inlineStr">
        <is>
          <t>Caren</t>
        </is>
      </c>
      <c r="N100" t="inlineStr">
        <is>
          <t>Saesa</t>
        </is>
      </c>
      <c r="O100" t="inlineStr">
        <is>
          <t>2013/03-2</t>
        </is>
      </c>
      <c r="P100" t="inlineStr">
        <is>
          <t>SAESA</t>
        </is>
      </c>
      <c r="Q100" t="n">
        <v>10</v>
      </c>
      <c r="R100" t="inlineStr">
        <is>
          <t>VALDIVIA 220</t>
        </is>
      </c>
      <c r="U100" t="n">
        <v>0</v>
      </c>
      <c r="V100" t="n">
        <v>0</v>
      </c>
      <c r="W100" t="n">
        <v>5670.71</v>
      </c>
    </row>
    <row r="101">
      <c r="A101" t="inlineStr">
        <is>
          <t>01-02-2021</t>
        </is>
      </c>
      <c r="B101" t="inlineStr">
        <is>
          <t>01-02-2021</t>
        </is>
      </c>
      <c r="C101" t="inlineStr">
        <is>
          <t>Licitación Caren y Saesa (SIC 2013/03-2) BS1A</t>
        </is>
      </c>
      <c r="D101" t="inlineStr">
        <is>
          <t>Energia Licitaciones</t>
        </is>
      </c>
      <c r="E101" t="inlineStr">
        <is>
          <t>Energía</t>
        </is>
      </c>
      <c r="F101" t="inlineStr">
        <is>
          <t>Lic. SIC 2013/03-2 bloques BS1A: Energía feb 2021</t>
        </is>
      </c>
      <c r="G101" t="inlineStr">
        <is>
          <t>2021-03-12 18:49:41</t>
        </is>
      </c>
      <c r="H101" t="n">
        <v>33</v>
      </c>
      <c r="I101" t="n">
        <v>17833</v>
      </c>
      <c r="J101" t="inlineStr">
        <is>
          <t>s</t>
        </is>
      </c>
      <c r="K101" t="inlineStr">
        <is>
          <t>s</t>
        </is>
      </c>
      <c r="L101" t="inlineStr">
        <is>
          <t>BS1A</t>
        </is>
      </c>
      <c r="M101" t="inlineStr">
        <is>
          <t>Caren</t>
        </is>
      </c>
      <c r="N101" t="inlineStr">
        <is>
          <t>Saesa</t>
        </is>
      </c>
      <c r="O101" t="inlineStr">
        <is>
          <t>2013/03-2</t>
        </is>
      </c>
      <c r="P101" t="inlineStr">
        <is>
          <t>SAESA</t>
        </is>
      </c>
      <c r="Q101" t="n">
        <v>10</v>
      </c>
      <c r="R101" t="inlineStr">
        <is>
          <t>VALDIVIA 220</t>
        </is>
      </c>
      <c r="S101" t="n">
        <v>12256.292219</v>
      </c>
      <c r="T101" t="n">
        <v>810876</v>
      </c>
      <c r="W101" t="n">
        <v>66.16</v>
      </c>
    </row>
    <row r="102">
      <c r="A102" t="inlineStr">
        <is>
          <t>01-03-2021</t>
        </is>
      </c>
      <c r="B102" t="inlineStr">
        <is>
          <t>01-03-2021</t>
        </is>
      </c>
      <c r="C102" t="inlineStr">
        <is>
          <t>Licitación Caren y Saesa (SIC 2013/03-2) BS1A</t>
        </is>
      </c>
      <c r="D102" t="inlineStr">
        <is>
          <t>Potencia Licitaciones</t>
        </is>
      </c>
      <c r="E102" t="inlineStr">
        <is>
          <t>Potencia</t>
        </is>
      </c>
      <c r="F102" t="inlineStr">
        <is>
          <t>Lic. SIC 2013/03-2 bloques BS1A: Potencia mar 2021</t>
        </is>
      </c>
      <c r="G102" t="inlineStr">
        <is>
          <t>2021-04-14 10:22:12</t>
        </is>
      </c>
      <c r="H102" t="n">
        <v>33</v>
      </c>
      <c r="I102" t="n">
        <v>18465</v>
      </c>
      <c r="J102" t="inlineStr">
        <is>
          <t>s</t>
        </is>
      </c>
      <c r="K102" t="inlineStr">
        <is>
          <t>s</t>
        </is>
      </c>
      <c r="L102" t="inlineStr">
        <is>
          <t>BS1A</t>
        </is>
      </c>
      <c r="M102" t="inlineStr">
        <is>
          <t>Caren</t>
        </is>
      </c>
      <c r="N102" t="inlineStr">
        <is>
          <t>Saesa</t>
        </is>
      </c>
      <c r="O102" t="inlineStr">
        <is>
          <t>2013/03-2</t>
        </is>
      </c>
      <c r="P102" t="inlineStr">
        <is>
          <t>SAESA</t>
        </is>
      </c>
      <c r="Q102" t="n">
        <v>1</v>
      </c>
      <c r="R102" t="inlineStr">
        <is>
          <t>B.BLANCO 220</t>
        </is>
      </c>
      <c r="U102" t="n">
        <v>0</v>
      </c>
      <c r="V102" t="n">
        <v>0</v>
      </c>
      <c r="W102" t="n">
        <v>5374.6</v>
      </c>
    </row>
    <row r="103">
      <c r="A103" t="inlineStr">
        <is>
          <t>01-03-2021</t>
        </is>
      </c>
      <c r="B103" t="inlineStr">
        <is>
          <t>01-03-2021</t>
        </is>
      </c>
      <c r="C103" t="inlineStr">
        <is>
          <t>Licitación Caren y Saesa (SIC 2013/03-2) BS1A</t>
        </is>
      </c>
      <c r="D103" t="inlineStr">
        <is>
          <t>Energia Licitaciones</t>
        </is>
      </c>
      <c r="E103" t="inlineStr">
        <is>
          <t>Energía</t>
        </is>
      </c>
      <c r="F103" t="inlineStr">
        <is>
          <t>Lic. SIC 2013/03-2 bloques BS1A: Energía mar 2021</t>
        </is>
      </c>
      <c r="G103" t="inlineStr">
        <is>
          <t>2021-04-14 10:22:12</t>
        </is>
      </c>
      <c r="H103" t="n">
        <v>33</v>
      </c>
      <c r="I103" t="n">
        <v>18465</v>
      </c>
      <c r="J103" t="inlineStr">
        <is>
          <t>s</t>
        </is>
      </c>
      <c r="K103" t="inlineStr">
        <is>
          <t>s</t>
        </is>
      </c>
      <c r="L103" t="inlineStr">
        <is>
          <t>BS1A</t>
        </is>
      </c>
      <c r="M103" t="inlineStr">
        <is>
          <t>Caren</t>
        </is>
      </c>
      <c r="N103" t="inlineStr">
        <is>
          <t>Saesa</t>
        </is>
      </c>
      <c r="O103" t="inlineStr">
        <is>
          <t>2013/03-2</t>
        </is>
      </c>
      <c r="P103" t="inlineStr">
        <is>
          <t>SAESA</t>
        </is>
      </c>
      <c r="Q103" t="n">
        <v>1</v>
      </c>
      <c r="R103" t="inlineStr">
        <is>
          <t>B.BLANCO 220</t>
        </is>
      </c>
      <c r="S103" t="n">
        <v>17997.390646</v>
      </c>
      <c r="T103" t="n">
        <v>1253392</v>
      </c>
      <c r="W103" t="n">
        <v>69.643</v>
      </c>
    </row>
    <row r="104">
      <c r="A104" t="inlineStr">
        <is>
          <t>01-03-2021</t>
        </is>
      </c>
      <c r="B104" t="inlineStr">
        <is>
          <t>01-03-2021</t>
        </is>
      </c>
      <c r="C104" t="inlineStr">
        <is>
          <t>Licitación Caren y Saesa (SIC 2013/03-2) BS1A</t>
        </is>
      </c>
      <c r="D104" t="inlineStr">
        <is>
          <t>Potencia Licitaciones</t>
        </is>
      </c>
      <c r="E104" t="inlineStr">
        <is>
          <t>Potencia</t>
        </is>
      </c>
      <c r="F104" t="inlineStr">
        <is>
          <t>Lic. SIC 2013/03-2 bloques BS1A: Potencia mar 2021</t>
        </is>
      </c>
      <c r="G104" t="inlineStr">
        <is>
          <t>2021-04-14 10:22:12</t>
        </is>
      </c>
      <c r="H104" t="n">
        <v>33</v>
      </c>
      <c r="I104" t="n">
        <v>18465</v>
      </c>
      <c r="J104" t="inlineStr">
        <is>
          <t>s</t>
        </is>
      </c>
      <c r="K104" t="inlineStr">
        <is>
          <t>s</t>
        </is>
      </c>
      <c r="L104" t="inlineStr">
        <is>
          <t>BS1A</t>
        </is>
      </c>
      <c r="M104" t="inlineStr">
        <is>
          <t>Caren</t>
        </is>
      </c>
      <c r="N104" t="inlineStr">
        <is>
          <t>Saesa</t>
        </is>
      </c>
      <c r="O104" t="inlineStr">
        <is>
          <t>2013/03-2</t>
        </is>
      </c>
      <c r="P104" t="inlineStr">
        <is>
          <t>SAESA</t>
        </is>
      </c>
      <c r="Q104" t="n">
        <v>2</v>
      </c>
      <c r="R104" t="inlineStr">
        <is>
          <t>CAUTIN 220</t>
        </is>
      </c>
      <c r="U104" t="n">
        <v>0</v>
      </c>
      <c r="V104" t="n">
        <v>0</v>
      </c>
      <c r="W104" t="n">
        <v>5766.44</v>
      </c>
    </row>
    <row r="105">
      <c r="A105" t="inlineStr">
        <is>
          <t>01-03-2021</t>
        </is>
      </c>
      <c r="B105" t="inlineStr">
        <is>
          <t>01-03-2021</t>
        </is>
      </c>
      <c r="C105" t="inlineStr">
        <is>
          <t>Licitación Caren y Saesa (SIC 2013/03-2) BS1A</t>
        </is>
      </c>
      <c r="D105" t="inlineStr">
        <is>
          <t>Energia Licitaciones</t>
        </is>
      </c>
      <c r="E105" t="inlineStr">
        <is>
          <t>Energía</t>
        </is>
      </c>
      <c r="F105" t="inlineStr">
        <is>
          <t>Lic. SIC 2013/03-2 bloques BS1A: Energía mar 2021</t>
        </is>
      </c>
      <c r="G105" t="inlineStr">
        <is>
          <t>2021-04-14 10:22:12</t>
        </is>
      </c>
      <c r="H105" t="n">
        <v>33</v>
      </c>
      <c r="I105" t="n">
        <v>18465</v>
      </c>
      <c r="J105" t="inlineStr">
        <is>
          <t>s</t>
        </is>
      </c>
      <c r="K105" t="inlineStr">
        <is>
          <t>s</t>
        </is>
      </c>
      <c r="L105" t="inlineStr">
        <is>
          <t>BS1A</t>
        </is>
      </c>
      <c r="M105" t="inlineStr">
        <is>
          <t>Caren</t>
        </is>
      </c>
      <c r="N105" t="inlineStr">
        <is>
          <t>Saesa</t>
        </is>
      </c>
      <c r="O105" t="inlineStr">
        <is>
          <t>2013/03-2</t>
        </is>
      </c>
      <c r="P105" t="inlineStr">
        <is>
          <t>SAESA</t>
        </is>
      </c>
      <c r="Q105" t="n">
        <v>2</v>
      </c>
      <c r="R105" t="inlineStr">
        <is>
          <t>CAUTIN 220</t>
        </is>
      </c>
      <c r="S105" t="n">
        <v>440.712032</v>
      </c>
      <c r="T105" t="n">
        <v>33827</v>
      </c>
      <c r="W105" t="n">
        <v>76.756</v>
      </c>
    </row>
    <row r="106">
      <c r="A106" t="inlineStr">
        <is>
          <t>01-03-2021</t>
        </is>
      </c>
      <c r="B106" t="inlineStr">
        <is>
          <t>01-03-2021</t>
        </is>
      </c>
      <c r="C106" t="inlineStr">
        <is>
          <t>Licitación Caren y Saesa (SIC 2013/03-2) BS1A</t>
        </is>
      </c>
      <c r="D106" t="inlineStr">
        <is>
          <t>Energia Licitaciones</t>
        </is>
      </c>
      <c r="E106" t="inlineStr">
        <is>
          <t>Energía</t>
        </is>
      </c>
      <c r="F106" t="inlineStr">
        <is>
          <t>Lic. SIC 2013/03-2 bloques BS1A: Energía mar 2021</t>
        </is>
      </c>
      <c r="G106" t="inlineStr">
        <is>
          <t>2021-04-14 10:22:12</t>
        </is>
      </c>
      <c r="H106" t="n">
        <v>33</v>
      </c>
      <c r="I106" t="n">
        <v>18465</v>
      </c>
      <c r="J106" t="inlineStr">
        <is>
          <t>s</t>
        </is>
      </c>
      <c r="K106" t="inlineStr">
        <is>
          <t>s</t>
        </is>
      </c>
      <c r="L106" t="inlineStr">
        <is>
          <t>BS1A</t>
        </is>
      </c>
      <c r="M106" t="inlineStr">
        <is>
          <t>Caren</t>
        </is>
      </c>
      <c r="N106" t="inlineStr">
        <is>
          <t>Saesa</t>
        </is>
      </c>
      <c r="O106" t="inlineStr">
        <is>
          <t>2013/03-2</t>
        </is>
      </c>
      <c r="P106" t="inlineStr">
        <is>
          <t>SAESA</t>
        </is>
      </c>
      <c r="Q106" t="n">
        <v>3</v>
      </c>
      <c r="R106" t="inlineStr">
        <is>
          <t>CHARRUA 220</t>
        </is>
      </c>
      <c r="S106" t="n">
        <v>0</v>
      </c>
      <c r="T106" t="n">
        <v>0</v>
      </c>
      <c r="W106" t="n">
        <v>76.657</v>
      </c>
    </row>
    <row r="107">
      <c r="A107" t="inlineStr">
        <is>
          <t>01-03-2021</t>
        </is>
      </c>
      <c r="B107" t="inlineStr">
        <is>
          <t>01-03-2021</t>
        </is>
      </c>
      <c r="C107" t="inlineStr">
        <is>
          <t>Licitación Caren y Saesa (SIC 2013/03-2) BS1A</t>
        </is>
      </c>
      <c r="D107" t="inlineStr">
        <is>
          <t>Potencia Licitaciones</t>
        </is>
      </c>
      <c r="E107" t="inlineStr">
        <is>
          <t>Potencia</t>
        </is>
      </c>
      <c r="F107" t="inlineStr">
        <is>
          <t>Lic. SIC 2013/03-2 bloques BS1A: Potencia mar 2021</t>
        </is>
      </c>
      <c r="G107" t="inlineStr">
        <is>
          <t>2021-04-14 10:22:12</t>
        </is>
      </c>
      <c r="H107" t="n">
        <v>33</v>
      </c>
      <c r="I107" t="n">
        <v>18465</v>
      </c>
      <c r="J107" t="inlineStr">
        <is>
          <t>s</t>
        </is>
      </c>
      <c r="K107" t="inlineStr">
        <is>
          <t>s</t>
        </is>
      </c>
      <c r="L107" t="inlineStr">
        <is>
          <t>BS1A</t>
        </is>
      </c>
      <c r="M107" t="inlineStr">
        <is>
          <t>Caren</t>
        </is>
      </c>
      <c r="N107" t="inlineStr">
        <is>
          <t>Saesa</t>
        </is>
      </c>
      <c r="O107" t="inlineStr">
        <is>
          <t>2013/03-2</t>
        </is>
      </c>
      <c r="P107" t="inlineStr">
        <is>
          <t>SAESA</t>
        </is>
      </c>
      <c r="Q107" t="n">
        <v>3</v>
      </c>
      <c r="R107" t="inlineStr">
        <is>
          <t>CHARRUA 220</t>
        </is>
      </c>
      <c r="U107" t="n">
        <v>0</v>
      </c>
      <c r="V107" t="n">
        <v>0</v>
      </c>
      <c r="W107" t="n">
        <v>5857.6</v>
      </c>
    </row>
    <row r="108">
      <c r="A108" t="inlineStr">
        <is>
          <t>01-03-2021</t>
        </is>
      </c>
      <c r="B108" t="inlineStr">
        <is>
          <t>01-03-2021</t>
        </is>
      </c>
      <c r="C108" t="inlineStr">
        <is>
          <t>Licitación Caren y Saesa (SIC 2013/03-2) BS1A</t>
        </is>
      </c>
      <c r="D108" t="inlineStr">
        <is>
          <t>Potencia Licitaciones</t>
        </is>
      </c>
      <c r="E108" t="inlineStr">
        <is>
          <t>Potencia</t>
        </is>
      </c>
      <c r="F108" t="inlineStr">
        <is>
          <t>Lic. SIC 2013/03-2 bloques BS1A: Potencia mar 2021</t>
        </is>
      </c>
      <c r="G108" t="inlineStr">
        <is>
          <t>2021-04-14 10:22:12</t>
        </is>
      </c>
      <c r="H108" t="n">
        <v>33</v>
      </c>
      <c r="I108" t="n">
        <v>18465</v>
      </c>
      <c r="J108" t="inlineStr">
        <is>
          <t>s</t>
        </is>
      </c>
      <c r="K108" t="inlineStr">
        <is>
          <t>s</t>
        </is>
      </c>
      <c r="L108" t="inlineStr">
        <is>
          <t>BS1A</t>
        </is>
      </c>
      <c r="M108" t="inlineStr">
        <is>
          <t>Caren</t>
        </is>
      </c>
      <c r="N108" t="inlineStr">
        <is>
          <t>Saesa</t>
        </is>
      </c>
      <c r="O108" t="inlineStr">
        <is>
          <t>2013/03-2</t>
        </is>
      </c>
      <c r="P108" t="inlineStr">
        <is>
          <t>SAESA</t>
        </is>
      </c>
      <c r="Q108" t="n">
        <v>4</v>
      </c>
      <c r="R108" t="inlineStr">
        <is>
          <t>CHILOE 220</t>
        </is>
      </c>
      <c r="U108" t="n">
        <v>0</v>
      </c>
      <c r="V108" t="n">
        <v>0</v>
      </c>
      <c r="W108" t="n">
        <v>5466.97</v>
      </c>
    </row>
    <row r="109">
      <c r="A109" t="inlineStr">
        <is>
          <t>01-03-2021</t>
        </is>
      </c>
      <c r="B109" t="inlineStr">
        <is>
          <t>01-03-2021</t>
        </is>
      </c>
      <c r="C109" t="inlineStr">
        <is>
          <t>Licitación Caren y Saesa (SIC 2013/03-2) BS1A</t>
        </is>
      </c>
      <c r="D109" t="inlineStr">
        <is>
          <t>Energia Licitaciones</t>
        </is>
      </c>
      <c r="E109" t="inlineStr">
        <is>
          <t>Energía</t>
        </is>
      </c>
      <c r="F109" t="inlineStr">
        <is>
          <t>Lic. SIC 2013/03-2 bloques BS1A: Energía mar 2021</t>
        </is>
      </c>
      <c r="G109" t="inlineStr">
        <is>
          <t>2021-04-14 10:22:12</t>
        </is>
      </c>
      <c r="H109" t="n">
        <v>33</v>
      </c>
      <c r="I109" t="n">
        <v>18465</v>
      </c>
      <c r="J109" t="inlineStr">
        <is>
          <t>s</t>
        </is>
      </c>
      <c r="K109" t="inlineStr">
        <is>
          <t>s</t>
        </is>
      </c>
      <c r="L109" t="inlineStr">
        <is>
          <t>BS1A</t>
        </is>
      </c>
      <c r="M109" t="inlineStr">
        <is>
          <t>Caren</t>
        </is>
      </c>
      <c r="N109" t="inlineStr">
        <is>
          <t>Saesa</t>
        </is>
      </c>
      <c r="O109" t="inlineStr">
        <is>
          <t>2013/03-2</t>
        </is>
      </c>
      <c r="P109" t="inlineStr">
        <is>
          <t>SAESA</t>
        </is>
      </c>
      <c r="Q109" t="n">
        <v>4</v>
      </c>
      <c r="R109" t="inlineStr">
        <is>
          <t>CHILOE 220</t>
        </is>
      </c>
      <c r="S109" t="n">
        <v>9045.400111000001</v>
      </c>
      <c r="T109" t="n">
        <v>631894</v>
      </c>
      <c r="W109" t="n">
        <v>69.858</v>
      </c>
    </row>
    <row r="110">
      <c r="A110" t="inlineStr">
        <is>
          <t>01-03-2021</t>
        </is>
      </c>
      <c r="B110" t="inlineStr">
        <is>
          <t>01-03-2021</t>
        </is>
      </c>
      <c r="C110" t="inlineStr">
        <is>
          <t>Licitación Caren y Saesa (SIC 2013/03-2) BS1A</t>
        </is>
      </c>
      <c r="D110" t="inlineStr">
        <is>
          <t>Potencia Licitaciones</t>
        </is>
      </c>
      <c r="E110" t="inlineStr">
        <is>
          <t>Potencia</t>
        </is>
      </c>
      <c r="F110" t="inlineStr">
        <is>
          <t>Lic. SIC 2013/03-2 bloques BS1A: Potencia mar 2021</t>
        </is>
      </c>
      <c r="G110" t="inlineStr">
        <is>
          <t>2021-04-14 10:22:12</t>
        </is>
      </c>
      <c r="H110" t="n">
        <v>33</v>
      </c>
      <c r="I110" t="n">
        <v>18465</v>
      </c>
      <c r="J110" t="inlineStr">
        <is>
          <t>s</t>
        </is>
      </c>
      <c r="K110" t="inlineStr">
        <is>
          <t>s</t>
        </is>
      </c>
      <c r="L110" t="inlineStr">
        <is>
          <t>BS1A</t>
        </is>
      </c>
      <c r="M110" t="inlineStr">
        <is>
          <t>Caren</t>
        </is>
      </c>
      <c r="N110" t="inlineStr">
        <is>
          <t>Saesa</t>
        </is>
      </c>
      <c r="O110" t="inlineStr">
        <is>
          <t>2013/03-2</t>
        </is>
      </c>
      <c r="P110" t="inlineStr">
        <is>
          <t>SAESA</t>
        </is>
      </c>
      <c r="Q110" t="n">
        <v>5</v>
      </c>
      <c r="R110" t="inlineStr">
        <is>
          <t>CIRUELOS 220</t>
        </is>
      </c>
      <c r="U110" t="n">
        <v>0</v>
      </c>
      <c r="V110" t="n">
        <v>0</v>
      </c>
      <c r="W110" t="n">
        <v>5684.33</v>
      </c>
    </row>
    <row r="111">
      <c r="A111" t="inlineStr">
        <is>
          <t>01-03-2021</t>
        </is>
      </c>
      <c r="B111" t="inlineStr">
        <is>
          <t>01-03-2021</t>
        </is>
      </c>
      <c r="C111" t="inlineStr">
        <is>
          <t>Licitación Caren y Saesa (SIC 2013/03-2) BS1A</t>
        </is>
      </c>
      <c r="D111" t="inlineStr">
        <is>
          <t>Energia Licitaciones</t>
        </is>
      </c>
      <c r="E111" t="inlineStr">
        <is>
          <t>Energía</t>
        </is>
      </c>
      <c r="F111" t="inlineStr">
        <is>
          <t>Lic. SIC 2013/03-2 bloques BS1A: Energía mar 2021</t>
        </is>
      </c>
      <c r="G111" t="inlineStr">
        <is>
          <t>2021-04-14 10:22:12</t>
        </is>
      </c>
      <c r="H111" t="n">
        <v>33</v>
      </c>
      <c r="I111" t="n">
        <v>18465</v>
      </c>
      <c r="J111" t="inlineStr">
        <is>
          <t>s</t>
        </is>
      </c>
      <c r="K111" t="inlineStr">
        <is>
          <t>s</t>
        </is>
      </c>
      <c r="L111" t="inlineStr">
        <is>
          <t>BS1A</t>
        </is>
      </c>
      <c r="M111" t="inlineStr">
        <is>
          <t>Caren</t>
        </is>
      </c>
      <c r="N111" t="inlineStr">
        <is>
          <t>Saesa</t>
        </is>
      </c>
      <c r="O111" t="inlineStr">
        <is>
          <t>2013/03-2</t>
        </is>
      </c>
      <c r="P111" t="inlineStr">
        <is>
          <t>SAESA</t>
        </is>
      </c>
      <c r="Q111" t="n">
        <v>5</v>
      </c>
      <c r="R111" t="inlineStr">
        <is>
          <t>CIRUELOS 220</t>
        </is>
      </c>
      <c r="S111" t="n">
        <v>1232.172958</v>
      </c>
      <c r="T111" t="n">
        <v>90671</v>
      </c>
      <c r="W111" t="n">
        <v>73.586</v>
      </c>
    </row>
    <row r="112">
      <c r="A112" t="inlineStr">
        <is>
          <t>01-03-2021</t>
        </is>
      </c>
      <c r="B112" t="inlineStr">
        <is>
          <t>01-03-2021</t>
        </is>
      </c>
      <c r="C112" t="inlineStr">
        <is>
          <t>Licitación Caren y Saesa (SIC 2013/03-2) BS1A</t>
        </is>
      </c>
      <c r="D112" t="inlineStr">
        <is>
          <t>Potencia Licitaciones</t>
        </is>
      </c>
      <c r="E112" t="inlineStr">
        <is>
          <t>Potencia</t>
        </is>
      </c>
      <c r="F112" t="inlineStr">
        <is>
          <t>Lic. SIC 2013/03-2 bloques BS1A: Potencia mar 2021</t>
        </is>
      </c>
      <c r="G112" t="inlineStr">
        <is>
          <t>2021-04-14 10:22:12</t>
        </is>
      </c>
      <c r="H112" t="n">
        <v>33</v>
      </c>
      <c r="I112" t="n">
        <v>18465</v>
      </c>
      <c r="J112" t="inlineStr">
        <is>
          <t>s</t>
        </is>
      </c>
      <c r="K112" t="inlineStr">
        <is>
          <t>s</t>
        </is>
      </c>
      <c r="L112" t="inlineStr">
        <is>
          <t>BS1A</t>
        </is>
      </c>
      <c r="M112" t="inlineStr">
        <is>
          <t>Caren</t>
        </is>
      </c>
      <c r="N112" t="inlineStr">
        <is>
          <t>Saesa</t>
        </is>
      </c>
      <c r="O112" t="inlineStr">
        <is>
          <t>2013/03-2</t>
        </is>
      </c>
      <c r="P112" t="inlineStr">
        <is>
          <t>SAESA</t>
        </is>
      </c>
      <c r="Q112" t="n">
        <v>6</v>
      </c>
      <c r="R112" t="inlineStr">
        <is>
          <t>D.ALMAGRO 220</t>
        </is>
      </c>
      <c r="U112" t="n">
        <v>0</v>
      </c>
      <c r="V112" t="n">
        <v>0</v>
      </c>
      <c r="W112" t="n">
        <v>5369.17</v>
      </c>
    </row>
    <row r="113">
      <c r="A113" t="inlineStr">
        <is>
          <t>01-03-2021</t>
        </is>
      </c>
      <c r="B113" t="inlineStr">
        <is>
          <t>01-03-2021</t>
        </is>
      </c>
      <c r="C113" t="inlineStr">
        <is>
          <t>Licitación Caren y Saesa (SIC 2013/03-2) BS1A</t>
        </is>
      </c>
      <c r="D113" t="inlineStr">
        <is>
          <t>Energia Licitaciones</t>
        </is>
      </c>
      <c r="E113" t="inlineStr">
        <is>
          <t>Energía</t>
        </is>
      </c>
      <c r="F113" t="inlineStr">
        <is>
          <t>Lic. SIC 2013/03-2 bloques BS1A: Energía mar 2021</t>
        </is>
      </c>
      <c r="G113" t="inlineStr">
        <is>
          <t>2021-04-14 10:22:12</t>
        </is>
      </c>
      <c r="H113" t="n">
        <v>33</v>
      </c>
      <c r="I113" t="n">
        <v>18465</v>
      </c>
      <c r="J113" t="inlineStr">
        <is>
          <t>s</t>
        </is>
      </c>
      <c r="K113" t="inlineStr">
        <is>
          <t>s</t>
        </is>
      </c>
      <c r="L113" t="inlineStr">
        <is>
          <t>BS1A</t>
        </is>
      </c>
      <c r="M113" t="inlineStr">
        <is>
          <t>Caren</t>
        </is>
      </c>
      <c r="N113" t="inlineStr">
        <is>
          <t>Saesa</t>
        </is>
      </c>
      <c r="O113" t="inlineStr">
        <is>
          <t>2013/03-2</t>
        </is>
      </c>
      <c r="P113" t="inlineStr">
        <is>
          <t>SAESA</t>
        </is>
      </c>
      <c r="Q113" t="n">
        <v>6</v>
      </c>
      <c r="R113" t="inlineStr">
        <is>
          <t>D.ALMAGRO 220</t>
        </is>
      </c>
      <c r="S113" t="n">
        <v>527.3406670000001</v>
      </c>
      <c r="T113" t="n">
        <v>39648</v>
      </c>
      <c r="W113" t="n">
        <v>75.184</v>
      </c>
    </row>
    <row r="114">
      <c r="A114" t="inlineStr">
        <is>
          <t>01-03-2021</t>
        </is>
      </c>
      <c r="B114" t="inlineStr">
        <is>
          <t>01-03-2021</t>
        </is>
      </c>
      <c r="C114" t="inlineStr">
        <is>
          <t>Licitación Caren y Saesa (SIC 2013/03-2) BS1A</t>
        </is>
      </c>
      <c r="D114" t="inlineStr">
        <is>
          <t>Potencia Licitaciones</t>
        </is>
      </c>
      <c r="E114" t="inlineStr">
        <is>
          <t>Potencia</t>
        </is>
      </c>
      <c r="F114" t="inlineStr">
        <is>
          <t>Lic. SIC 2013/03-2 bloques BS1A: Potencia mar 2021</t>
        </is>
      </c>
      <c r="G114" t="inlineStr">
        <is>
          <t>2021-04-14 10:22:12</t>
        </is>
      </c>
      <c r="H114" t="n">
        <v>33</v>
      </c>
      <c r="I114" t="n">
        <v>18465</v>
      </c>
      <c r="J114" t="inlineStr">
        <is>
          <t>s</t>
        </is>
      </c>
      <c r="K114" t="inlineStr">
        <is>
          <t>s</t>
        </is>
      </c>
      <c r="L114" t="inlineStr">
        <is>
          <t>BS1A</t>
        </is>
      </c>
      <c r="M114" t="inlineStr">
        <is>
          <t>Caren</t>
        </is>
      </c>
      <c r="N114" t="inlineStr">
        <is>
          <t>Saesa</t>
        </is>
      </c>
      <c r="O114" t="inlineStr">
        <is>
          <t>2013/03-2</t>
        </is>
      </c>
      <c r="P114" t="inlineStr">
        <is>
          <t>SAESA</t>
        </is>
      </c>
      <c r="Q114" t="n">
        <v>7</v>
      </c>
      <c r="R114" t="inlineStr">
        <is>
          <t>MELIPULLI 220</t>
        </is>
      </c>
      <c r="U114" t="n">
        <v>0</v>
      </c>
      <c r="V114" t="n">
        <v>0</v>
      </c>
      <c r="W114" t="n">
        <v>5443.43</v>
      </c>
    </row>
    <row r="115">
      <c r="A115" t="inlineStr">
        <is>
          <t>01-03-2021</t>
        </is>
      </c>
      <c r="B115" t="inlineStr">
        <is>
          <t>01-03-2021</t>
        </is>
      </c>
      <c r="C115" t="inlineStr">
        <is>
          <t>Licitación Caren y Saesa (SIC 2013/03-2) BS1A</t>
        </is>
      </c>
      <c r="D115" t="inlineStr">
        <is>
          <t>Energia Licitaciones</t>
        </is>
      </c>
      <c r="E115" t="inlineStr">
        <is>
          <t>Energía</t>
        </is>
      </c>
      <c r="F115" t="inlineStr">
        <is>
          <t>Lic. SIC 2013/03-2 bloques BS1A: Energía mar 2021</t>
        </is>
      </c>
      <c r="G115" t="inlineStr">
        <is>
          <t>2021-04-14 10:22:12</t>
        </is>
      </c>
      <c r="H115" t="n">
        <v>33</v>
      </c>
      <c r="I115" t="n">
        <v>18465</v>
      </c>
      <c r="J115" t="inlineStr">
        <is>
          <t>s</t>
        </is>
      </c>
      <c r="K115" t="inlineStr">
        <is>
          <t>s</t>
        </is>
      </c>
      <c r="L115" t="inlineStr">
        <is>
          <t>BS1A</t>
        </is>
      </c>
      <c r="M115" t="inlineStr">
        <is>
          <t>Caren</t>
        </is>
      </c>
      <c r="N115" t="inlineStr">
        <is>
          <t>Saesa</t>
        </is>
      </c>
      <c r="O115" t="inlineStr">
        <is>
          <t>2013/03-2</t>
        </is>
      </c>
      <c r="P115" t="inlineStr">
        <is>
          <t>SAESA</t>
        </is>
      </c>
      <c r="Q115" t="n">
        <v>7</v>
      </c>
      <c r="R115" t="inlineStr">
        <is>
          <t>MELIPULLI 220</t>
        </is>
      </c>
      <c r="S115" t="n">
        <v>23420.464031</v>
      </c>
      <c r="T115" t="n">
        <v>1623553</v>
      </c>
      <c r="W115" t="n">
        <v>69.322</v>
      </c>
    </row>
    <row r="116">
      <c r="A116" t="inlineStr">
        <is>
          <t>01-03-2021</t>
        </is>
      </c>
      <c r="B116" t="inlineStr">
        <is>
          <t>01-03-2021</t>
        </is>
      </c>
      <c r="C116" t="inlineStr">
        <is>
          <t>Licitación Caren y Saesa (SIC 2013/03-2) BS1A</t>
        </is>
      </c>
      <c r="D116" t="inlineStr">
        <is>
          <t>Energia Licitaciones</t>
        </is>
      </c>
      <c r="E116" t="inlineStr">
        <is>
          <t>Energía</t>
        </is>
      </c>
      <c r="F116" t="inlineStr">
        <is>
          <t>Lic. SIC 2013/03-2 bloques BS1A: Energía mar 2021</t>
        </is>
      </c>
      <c r="G116" t="inlineStr">
        <is>
          <t>2021-04-14 10:22:12</t>
        </is>
      </c>
      <c r="H116" t="n">
        <v>33</v>
      </c>
      <c r="I116" t="n">
        <v>18465</v>
      </c>
      <c r="J116" t="inlineStr">
        <is>
          <t>s</t>
        </is>
      </c>
      <c r="K116" t="inlineStr">
        <is>
          <t>s</t>
        </is>
      </c>
      <c r="L116" t="inlineStr">
        <is>
          <t>BS1A</t>
        </is>
      </c>
      <c r="M116" t="inlineStr">
        <is>
          <t>Caren</t>
        </is>
      </c>
      <c r="N116" t="inlineStr">
        <is>
          <t>Saesa</t>
        </is>
      </c>
      <c r="O116" t="inlineStr">
        <is>
          <t>2013/03-2</t>
        </is>
      </c>
      <c r="P116" t="inlineStr">
        <is>
          <t>SAESA</t>
        </is>
      </c>
      <c r="Q116" t="n">
        <v>8</v>
      </c>
      <c r="R116" t="inlineStr">
        <is>
          <t>P.MONTT 220</t>
        </is>
      </c>
      <c r="S116" t="n">
        <v>0</v>
      </c>
      <c r="T116" t="n">
        <v>0</v>
      </c>
      <c r="W116" t="n">
        <v>69.322</v>
      </c>
    </row>
    <row r="117">
      <c r="A117" t="inlineStr">
        <is>
          <t>01-03-2021</t>
        </is>
      </c>
      <c r="B117" t="inlineStr">
        <is>
          <t>01-03-2021</t>
        </is>
      </c>
      <c r="C117" t="inlineStr">
        <is>
          <t>Licitación Caren y Saesa (SIC 2013/03-2) BS1A</t>
        </is>
      </c>
      <c r="D117" t="inlineStr">
        <is>
          <t>Potencia Licitaciones</t>
        </is>
      </c>
      <c r="E117" t="inlineStr">
        <is>
          <t>Potencia</t>
        </is>
      </c>
      <c r="F117" t="inlineStr">
        <is>
          <t>Lic. SIC 2013/03-2 bloques BS1A: Potencia mar 2021</t>
        </is>
      </c>
      <c r="G117" t="inlineStr">
        <is>
          <t>2021-04-14 10:22:12</t>
        </is>
      </c>
      <c r="H117" t="n">
        <v>33</v>
      </c>
      <c r="I117" t="n">
        <v>18465</v>
      </c>
      <c r="J117" t="inlineStr">
        <is>
          <t>s</t>
        </is>
      </c>
      <c r="K117" t="inlineStr">
        <is>
          <t>s</t>
        </is>
      </c>
      <c r="L117" t="inlineStr">
        <is>
          <t>BS1A</t>
        </is>
      </c>
      <c r="M117" t="inlineStr">
        <is>
          <t>Caren</t>
        </is>
      </c>
      <c r="N117" t="inlineStr">
        <is>
          <t>Saesa</t>
        </is>
      </c>
      <c r="O117" t="inlineStr">
        <is>
          <t>2013/03-2</t>
        </is>
      </c>
      <c r="P117" t="inlineStr">
        <is>
          <t>SAESA</t>
        </is>
      </c>
      <c r="Q117" t="n">
        <v>8</v>
      </c>
      <c r="R117" t="inlineStr">
        <is>
          <t>P.MONTT 220</t>
        </is>
      </c>
      <c r="U117" t="n">
        <v>0</v>
      </c>
      <c r="V117" t="n">
        <v>0</v>
      </c>
      <c r="W117" t="n">
        <v>5443.43</v>
      </c>
    </row>
    <row r="118">
      <c r="A118" t="inlineStr">
        <is>
          <t>01-03-2021</t>
        </is>
      </c>
      <c r="B118" t="inlineStr">
        <is>
          <t>01-03-2021</t>
        </is>
      </c>
      <c r="C118" t="inlineStr">
        <is>
          <t>Licitación Caren y Saesa (SIC 2013/03-2) BS1A</t>
        </is>
      </c>
      <c r="D118" t="inlineStr">
        <is>
          <t>Potencia Licitaciones</t>
        </is>
      </c>
      <c r="E118" t="inlineStr">
        <is>
          <t>Potencia</t>
        </is>
      </c>
      <c r="F118" t="inlineStr">
        <is>
          <t>Lic. SIC 2013/03-2 bloques BS1A: Potencia mar 2021</t>
        </is>
      </c>
      <c r="G118" t="inlineStr">
        <is>
          <t>2021-04-14 10:22:12</t>
        </is>
      </c>
      <c r="H118" t="n">
        <v>33</v>
      </c>
      <c r="I118" t="n">
        <v>18465</v>
      </c>
      <c r="J118" t="inlineStr">
        <is>
          <t>s</t>
        </is>
      </c>
      <c r="K118" t="inlineStr">
        <is>
          <t>s</t>
        </is>
      </c>
      <c r="L118" t="inlineStr">
        <is>
          <t>BS1A</t>
        </is>
      </c>
      <c r="M118" t="inlineStr">
        <is>
          <t>Caren</t>
        </is>
      </c>
      <c r="N118" t="inlineStr">
        <is>
          <t>Saesa</t>
        </is>
      </c>
      <c r="O118" t="inlineStr">
        <is>
          <t>2013/03-2</t>
        </is>
      </c>
      <c r="P118" t="inlineStr">
        <is>
          <t>SAESA</t>
        </is>
      </c>
      <c r="Q118" t="n">
        <v>9</v>
      </c>
      <c r="R118" t="inlineStr">
        <is>
          <t>TEMUCO 220</t>
        </is>
      </c>
      <c r="U118" t="n">
        <v>0</v>
      </c>
      <c r="V118" t="n">
        <v>0</v>
      </c>
      <c r="W118" t="n">
        <v>5758.59</v>
      </c>
    </row>
    <row r="119">
      <c r="A119" t="inlineStr">
        <is>
          <t>01-03-2021</t>
        </is>
      </c>
      <c r="B119" t="inlineStr">
        <is>
          <t>01-03-2021</t>
        </is>
      </c>
      <c r="C119" t="inlineStr">
        <is>
          <t>Licitación Caren y Saesa (SIC 2013/03-2) BS1A</t>
        </is>
      </c>
      <c r="D119" t="inlineStr">
        <is>
          <t>Energia Licitaciones</t>
        </is>
      </c>
      <c r="E119" t="inlineStr">
        <is>
          <t>Energía</t>
        </is>
      </c>
      <c r="F119" t="inlineStr">
        <is>
          <t>Lic. SIC 2013/03-2 bloques BS1A: Energía mar 2021</t>
        </is>
      </c>
      <c r="G119" t="inlineStr">
        <is>
          <t>2021-04-14 10:22:12</t>
        </is>
      </c>
      <c r="H119" t="n">
        <v>33</v>
      </c>
      <c r="I119" t="n">
        <v>18465</v>
      </c>
      <c r="J119" t="inlineStr">
        <is>
          <t>s</t>
        </is>
      </c>
      <c r="K119" t="inlineStr">
        <is>
          <t>s</t>
        </is>
      </c>
      <c r="L119" t="inlineStr">
        <is>
          <t>BS1A</t>
        </is>
      </c>
      <c r="M119" t="inlineStr">
        <is>
          <t>Caren</t>
        </is>
      </c>
      <c r="N119" t="inlineStr">
        <is>
          <t>Saesa</t>
        </is>
      </c>
      <c r="O119" t="inlineStr">
        <is>
          <t>2013/03-2</t>
        </is>
      </c>
      <c r="P119" t="inlineStr">
        <is>
          <t>SAESA</t>
        </is>
      </c>
      <c r="Q119" t="n">
        <v>9</v>
      </c>
      <c r="R119" t="inlineStr">
        <is>
          <t>TEMUCO 220</t>
        </is>
      </c>
      <c r="S119" t="n">
        <v>1061.145037</v>
      </c>
      <c r="T119" t="n">
        <v>81117</v>
      </c>
      <c r="W119" t="n">
        <v>76.443</v>
      </c>
    </row>
    <row r="120">
      <c r="A120" t="inlineStr">
        <is>
          <t>01-03-2021</t>
        </is>
      </c>
      <c r="B120" t="inlineStr">
        <is>
          <t>01-03-2021</t>
        </is>
      </c>
      <c r="C120" t="inlineStr">
        <is>
          <t>Licitación Caren y Saesa (SIC 2013/03-2) BS1A</t>
        </is>
      </c>
      <c r="D120" t="inlineStr">
        <is>
          <t>Potencia Licitaciones</t>
        </is>
      </c>
      <c r="E120" t="inlineStr">
        <is>
          <t>Potencia</t>
        </is>
      </c>
      <c r="F120" t="inlineStr">
        <is>
          <t>Lic. SIC 2013/03-2 bloques BS1A: Potencia mar 2021</t>
        </is>
      </c>
      <c r="G120" t="inlineStr">
        <is>
          <t>2021-04-14 10:22:12</t>
        </is>
      </c>
      <c r="H120" t="n">
        <v>33</v>
      </c>
      <c r="I120" t="n">
        <v>18465</v>
      </c>
      <c r="J120" t="inlineStr">
        <is>
          <t>s</t>
        </is>
      </c>
      <c r="K120" t="inlineStr">
        <is>
          <t>s</t>
        </is>
      </c>
      <c r="L120" t="inlineStr">
        <is>
          <t>BS1A</t>
        </is>
      </c>
      <c r="M120" t="inlineStr">
        <is>
          <t>Caren</t>
        </is>
      </c>
      <c r="N120" t="inlineStr">
        <is>
          <t>Saesa</t>
        </is>
      </c>
      <c r="O120" t="inlineStr">
        <is>
          <t>2013/03-2</t>
        </is>
      </c>
      <c r="P120" t="inlineStr">
        <is>
          <t>SAESA</t>
        </is>
      </c>
      <c r="Q120" t="n">
        <v>10</v>
      </c>
      <c r="R120" t="inlineStr">
        <is>
          <t>VALDIVIA 220</t>
        </is>
      </c>
      <c r="U120" t="n">
        <v>0</v>
      </c>
      <c r="V120" t="n">
        <v>0</v>
      </c>
      <c r="W120" t="n">
        <v>5883.57</v>
      </c>
    </row>
    <row r="121">
      <c r="A121" t="inlineStr">
        <is>
          <t>01-03-2021</t>
        </is>
      </c>
      <c r="B121" t="inlineStr">
        <is>
          <t>01-03-2021</t>
        </is>
      </c>
      <c r="C121" t="inlineStr">
        <is>
          <t>Licitación Caren y Saesa (SIC 2013/03-2) BS1A</t>
        </is>
      </c>
      <c r="D121" t="inlineStr">
        <is>
          <t>Energia Licitaciones</t>
        </is>
      </c>
      <c r="E121" t="inlineStr">
        <is>
          <t>Energía</t>
        </is>
      </c>
      <c r="F121" t="inlineStr">
        <is>
          <t>Lic. SIC 2013/03-2 bloques BS1A: Energía mar 2021</t>
        </is>
      </c>
      <c r="G121" t="inlineStr">
        <is>
          <t>2021-04-14 10:22:12</t>
        </is>
      </c>
      <c r="H121" t="n">
        <v>33</v>
      </c>
      <c r="I121" t="n">
        <v>18465</v>
      </c>
      <c r="J121" t="inlineStr">
        <is>
          <t>s</t>
        </is>
      </c>
      <c r="K121" t="inlineStr">
        <is>
          <t>s</t>
        </is>
      </c>
      <c r="L121" t="inlineStr">
        <is>
          <t>BS1A</t>
        </is>
      </c>
      <c r="M121" t="inlineStr">
        <is>
          <t>Caren</t>
        </is>
      </c>
      <c r="N121" t="inlineStr">
        <is>
          <t>Saesa</t>
        </is>
      </c>
      <c r="O121" t="inlineStr">
        <is>
          <t>2013/03-2</t>
        </is>
      </c>
      <c r="P121" t="inlineStr">
        <is>
          <t>SAESA</t>
        </is>
      </c>
      <c r="Q121" t="n">
        <v>10</v>
      </c>
      <c r="R121" t="inlineStr">
        <is>
          <t>VALDIVIA 220</t>
        </is>
      </c>
      <c r="S121" t="n">
        <v>11989.959482</v>
      </c>
      <c r="T121" t="n">
        <v>904798</v>
      </c>
      <c r="W121" t="n">
        <v>75.46299999999999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W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Periodo</t>
        </is>
      </c>
      <c r="B1" s="1" t="inlineStr">
        <is>
          <t>MesDevengado</t>
        </is>
      </c>
      <c r="C1" s="1" t="inlineStr">
        <is>
          <t>Nombre</t>
        </is>
      </c>
      <c r="D1" s="1" t="inlineStr">
        <is>
          <t>Concepto</t>
        </is>
      </c>
      <c r="E1" s="1" t="inlineStr">
        <is>
          <t>Agrupacion</t>
        </is>
      </c>
      <c r="F1" s="1" t="inlineStr">
        <is>
          <t>Glosa</t>
        </is>
      </c>
      <c r="G1" s="1" t="inlineStr">
        <is>
          <t>FechaCarga</t>
        </is>
      </c>
      <c r="H1" s="1" t="inlineStr">
        <is>
          <t>TipoDocumento</t>
        </is>
      </c>
      <c r="I1" s="1" t="inlineStr">
        <is>
          <t>Folio</t>
        </is>
      </c>
      <c r="J1" s="1" t="inlineStr">
        <is>
          <t>Vendedor</t>
        </is>
      </c>
      <c r="K1" s="1" t="inlineStr">
        <is>
          <t>Comprador</t>
        </is>
      </c>
      <c r="L1" s="1" t="inlineStr">
        <is>
          <t>Bloque</t>
        </is>
      </c>
      <c r="M1" s="1" t="inlineStr">
        <is>
          <t>Empresa</t>
        </is>
      </c>
      <c r="N1" s="1" t="inlineStr">
        <is>
          <t>ClaveEEDD</t>
        </is>
      </c>
      <c r="O1" s="1" t="inlineStr">
        <is>
          <t>Licitacion</t>
        </is>
      </c>
      <c r="P1" s="1" t="inlineStr">
        <is>
          <t>NomAgrupacion</t>
        </is>
      </c>
      <c r="Q1" s="1" t="inlineStr">
        <is>
          <t>Num</t>
        </is>
      </c>
      <c r="R1" s="1" t="inlineStr">
        <is>
          <t>Barra</t>
        </is>
      </c>
      <c r="S1" s="1" t="inlineStr">
        <is>
          <t>Energia</t>
        </is>
      </c>
      <c r="T1" s="1" t="inlineStr">
        <is>
          <t>MontoEnergia</t>
        </is>
      </c>
      <c r="U1" s="1" t="inlineStr">
        <is>
          <t>Potencia</t>
        </is>
      </c>
      <c r="V1" s="1" t="inlineStr">
        <is>
          <t>MontoPotencia</t>
        </is>
      </c>
      <c r="W1" s="1" t="inlineStr">
        <is>
          <t>Precio</t>
        </is>
      </c>
    </row>
    <row r="2">
      <c r="A2" t="inlineStr">
        <is>
          <t>01-10-2020</t>
        </is>
      </c>
      <c r="B2" t="inlineStr">
        <is>
          <t>01-10-2020</t>
        </is>
      </c>
      <c r="C2" t="inlineStr">
        <is>
          <t>Licitación Caren y Saesa (SIC 2013/03-2) BS1A</t>
        </is>
      </c>
      <c r="D2" t="inlineStr">
        <is>
          <t>Energia Licitaciones</t>
        </is>
      </c>
      <c r="E2" t="inlineStr">
        <is>
          <t>Energía</t>
        </is>
      </c>
      <c r="F2" t="inlineStr">
        <is>
          <t>Lic. SIC 2013/03-2 bloques BS1A: Energía oct 2020</t>
        </is>
      </c>
      <c r="G2" t="inlineStr">
        <is>
          <t>2020-11-12 17:18:17</t>
        </is>
      </c>
      <c r="H2" t="n">
        <v>33</v>
      </c>
      <c r="I2" t="n">
        <v>16500</v>
      </c>
      <c r="J2" t="inlineStr">
        <is>
          <t>s</t>
        </is>
      </c>
      <c r="K2" t="inlineStr">
        <is>
          <t>s</t>
        </is>
      </c>
      <c r="L2" t="inlineStr">
        <is>
          <t>BS1A</t>
        </is>
      </c>
      <c r="M2" t="inlineStr">
        <is>
          <t>Caren</t>
        </is>
      </c>
      <c r="N2" t="inlineStr">
        <is>
          <t>Saesa</t>
        </is>
      </c>
      <c r="O2" t="inlineStr">
        <is>
          <t>2013/03-2</t>
        </is>
      </c>
      <c r="P2" t="inlineStr">
        <is>
          <t>SAESA</t>
        </is>
      </c>
      <c r="Q2" t="n">
        <v>1</v>
      </c>
      <c r="R2" t="inlineStr">
        <is>
          <t>B.BLANCO 220</t>
        </is>
      </c>
      <c r="S2" t="n">
        <v>19856.844683</v>
      </c>
      <c r="T2" t="n">
        <v>1241927</v>
      </c>
      <c r="W2" t="n">
        <v>62.54405</v>
      </c>
    </row>
    <row r="3">
      <c r="A3" t="inlineStr">
        <is>
          <t>01-10-2020</t>
        </is>
      </c>
      <c r="B3" t="inlineStr">
        <is>
          <t>01-10-2020</t>
        </is>
      </c>
      <c r="C3" t="inlineStr">
        <is>
          <t>Licitación Caren y Saesa (SIC 2013/03-2) BS1A</t>
        </is>
      </c>
      <c r="D3" t="inlineStr">
        <is>
          <t>Energia Licitaciones</t>
        </is>
      </c>
      <c r="E3" t="inlineStr">
        <is>
          <t>Energía</t>
        </is>
      </c>
      <c r="F3" t="inlineStr">
        <is>
          <t>Lic. SIC 2013/03-2 bloques BS1A: Energía oct 2020</t>
        </is>
      </c>
      <c r="G3" t="inlineStr">
        <is>
          <t>2020-11-12 17:18:17</t>
        </is>
      </c>
      <c r="H3" t="n">
        <v>33</v>
      </c>
      <c r="I3" t="n">
        <v>16500</v>
      </c>
      <c r="J3" t="inlineStr">
        <is>
          <t>s</t>
        </is>
      </c>
      <c r="K3" t="inlineStr">
        <is>
          <t>s</t>
        </is>
      </c>
      <c r="L3" t="inlineStr">
        <is>
          <t>BS1A</t>
        </is>
      </c>
      <c r="M3" t="inlineStr">
        <is>
          <t>Caren</t>
        </is>
      </c>
      <c r="N3" t="inlineStr">
        <is>
          <t>Saesa</t>
        </is>
      </c>
      <c r="O3" t="inlineStr">
        <is>
          <t>2013/03-2</t>
        </is>
      </c>
      <c r="P3" t="inlineStr">
        <is>
          <t>SAESA</t>
        </is>
      </c>
      <c r="Q3" t="n">
        <v>2</v>
      </c>
      <c r="R3" t="inlineStr">
        <is>
          <t>CAUTIN 220</t>
        </is>
      </c>
      <c r="S3" t="n">
        <v>291.303378</v>
      </c>
      <c r="T3" t="n">
        <v>19450</v>
      </c>
      <c r="W3" t="n">
        <v>66.76931999999999</v>
      </c>
    </row>
    <row r="4">
      <c r="A4" t="inlineStr">
        <is>
          <t>01-10-2020</t>
        </is>
      </c>
      <c r="B4" t="inlineStr">
        <is>
          <t>01-10-2020</t>
        </is>
      </c>
      <c r="C4" t="inlineStr">
        <is>
          <t>Licitación Caren y Saesa (SIC 2013/03-2) BS1A</t>
        </is>
      </c>
      <c r="D4" t="inlineStr">
        <is>
          <t>Energia Licitaciones</t>
        </is>
      </c>
      <c r="E4" t="inlineStr">
        <is>
          <t>Energía</t>
        </is>
      </c>
      <c r="F4" t="inlineStr">
        <is>
          <t>Lic. SIC 2013/03-2 bloques BS1A: Energía oct 2020</t>
        </is>
      </c>
      <c r="G4" t="inlineStr">
        <is>
          <t>2020-11-12 17:18:17</t>
        </is>
      </c>
      <c r="H4" t="n">
        <v>33</v>
      </c>
      <c r="I4" t="n">
        <v>16500</v>
      </c>
      <c r="J4" t="inlineStr">
        <is>
          <t>s</t>
        </is>
      </c>
      <c r="K4" t="inlineStr">
        <is>
          <t>s</t>
        </is>
      </c>
      <c r="L4" t="inlineStr">
        <is>
          <t>BS1A</t>
        </is>
      </c>
      <c r="M4" t="inlineStr">
        <is>
          <t>Caren</t>
        </is>
      </c>
      <c r="N4" t="inlineStr">
        <is>
          <t>Saesa</t>
        </is>
      </c>
      <c r="O4" t="inlineStr">
        <is>
          <t>2013/03-2</t>
        </is>
      </c>
      <c r="P4" t="inlineStr">
        <is>
          <t>SAESA</t>
        </is>
      </c>
      <c r="Q4" t="n">
        <v>3</v>
      </c>
      <c r="R4" t="inlineStr">
        <is>
          <t>CHARRUA 220</t>
        </is>
      </c>
      <c r="S4" t="n">
        <v>8.048712999999999</v>
      </c>
      <c r="T4" t="n">
        <v>545</v>
      </c>
      <c r="W4" t="n">
        <v>67.75496</v>
      </c>
    </row>
    <row r="5">
      <c r="A5" t="inlineStr">
        <is>
          <t>01-10-2020</t>
        </is>
      </c>
      <c r="B5" t="inlineStr">
        <is>
          <t>01-10-2020</t>
        </is>
      </c>
      <c r="C5" t="inlineStr">
        <is>
          <t>Licitación Caren y Saesa (SIC 2013/03-2) BS1A</t>
        </is>
      </c>
      <c r="D5" t="inlineStr">
        <is>
          <t>Energia Licitaciones</t>
        </is>
      </c>
      <c r="E5" t="inlineStr">
        <is>
          <t>Energía</t>
        </is>
      </c>
      <c r="F5" t="inlineStr">
        <is>
          <t>Lic. SIC 2013/03-2 bloques BS1A: Energía oct 2020</t>
        </is>
      </c>
      <c r="G5" t="inlineStr">
        <is>
          <t>2020-11-12 17:18:17</t>
        </is>
      </c>
      <c r="H5" t="n">
        <v>33</v>
      </c>
      <c r="I5" t="n">
        <v>16500</v>
      </c>
      <c r="J5" t="inlineStr">
        <is>
          <t>s</t>
        </is>
      </c>
      <c r="K5" t="inlineStr">
        <is>
          <t>s</t>
        </is>
      </c>
      <c r="L5" t="inlineStr">
        <is>
          <t>BS1A</t>
        </is>
      </c>
      <c r="M5" t="inlineStr">
        <is>
          <t>Caren</t>
        </is>
      </c>
      <c r="N5" t="inlineStr">
        <is>
          <t>Saesa</t>
        </is>
      </c>
      <c r="O5" t="inlineStr">
        <is>
          <t>2013/03-2</t>
        </is>
      </c>
      <c r="P5" t="inlineStr">
        <is>
          <t>SAESA</t>
        </is>
      </c>
      <c r="Q5" t="n">
        <v>4</v>
      </c>
      <c r="R5" t="inlineStr">
        <is>
          <t>CHILOE 220</t>
        </is>
      </c>
      <c r="S5" t="n">
        <v>9800.369229</v>
      </c>
      <c r="T5" t="n">
        <v>632274</v>
      </c>
      <c r="W5" t="n">
        <v>64.51532</v>
      </c>
    </row>
    <row r="6">
      <c r="A6" t="inlineStr">
        <is>
          <t>01-10-2020</t>
        </is>
      </c>
      <c r="B6" t="inlineStr">
        <is>
          <t>01-10-2020</t>
        </is>
      </c>
      <c r="C6" t="inlineStr">
        <is>
          <t>Licitación Caren y Saesa (SIC 2013/03-2) BS1A</t>
        </is>
      </c>
      <c r="D6" t="inlineStr">
        <is>
          <t>Energia Licitaciones</t>
        </is>
      </c>
      <c r="E6" t="inlineStr">
        <is>
          <t>Energía</t>
        </is>
      </c>
      <c r="F6" t="inlineStr">
        <is>
          <t>Lic. SIC 2013/03-2 bloques BS1A: Energía oct 2020</t>
        </is>
      </c>
      <c r="G6" t="inlineStr">
        <is>
          <t>2020-11-12 17:18:17</t>
        </is>
      </c>
      <c r="H6" t="n">
        <v>33</v>
      </c>
      <c r="I6" t="n">
        <v>16500</v>
      </c>
      <c r="J6" t="inlineStr">
        <is>
          <t>s</t>
        </is>
      </c>
      <c r="K6" t="inlineStr">
        <is>
          <t>s</t>
        </is>
      </c>
      <c r="L6" t="inlineStr">
        <is>
          <t>BS1A</t>
        </is>
      </c>
      <c r="M6" t="inlineStr">
        <is>
          <t>Caren</t>
        </is>
      </c>
      <c r="N6" t="inlineStr">
        <is>
          <t>Saesa</t>
        </is>
      </c>
      <c r="O6" t="inlineStr">
        <is>
          <t>2013/03-2</t>
        </is>
      </c>
      <c r="P6" t="inlineStr">
        <is>
          <t>SAESA</t>
        </is>
      </c>
      <c r="Q6" t="n">
        <v>5</v>
      </c>
      <c r="R6" t="inlineStr">
        <is>
          <t>CIRUELOS 220</t>
        </is>
      </c>
      <c r="S6" t="n">
        <v>1171.278088</v>
      </c>
      <c r="T6" t="n">
        <v>75914</v>
      </c>
      <c r="W6" t="n">
        <v>64.81294</v>
      </c>
    </row>
    <row r="7">
      <c r="A7" t="inlineStr">
        <is>
          <t>01-10-2020</t>
        </is>
      </c>
      <c r="B7" t="inlineStr">
        <is>
          <t>01-10-2020</t>
        </is>
      </c>
      <c r="C7" t="inlineStr">
        <is>
          <t>Licitación Caren y Saesa (SIC 2013/03-2) BS1A</t>
        </is>
      </c>
      <c r="D7" t="inlineStr">
        <is>
          <t>Energia Licitaciones</t>
        </is>
      </c>
      <c r="E7" t="inlineStr">
        <is>
          <t>Energía</t>
        </is>
      </c>
      <c r="F7" t="inlineStr">
        <is>
          <t>Lic. SIC 2013/03-2 bloques BS1A: Energía oct 2020</t>
        </is>
      </c>
      <c r="G7" t="inlineStr">
        <is>
          <t>2020-11-12 17:18:17</t>
        </is>
      </c>
      <c r="H7" t="n">
        <v>33</v>
      </c>
      <c r="I7" t="n">
        <v>16500</v>
      </c>
      <c r="J7" t="inlineStr">
        <is>
          <t>s</t>
        </is>
      </c>
      <c r="K7" t="inlineStr">
        <is>
          <t>s</t>
        </is>
      </c>
      <c r="L7" t="inlineStr">
        <is>
          <t>BS1A</t>
        </is>
      </c>
      <c r="M7" t="inlineStr">
        <is>
          <t>Caren</t>
        </is>
      </c>
      <c r="N7" t="inlineStr">
        <is>
          <t>Saesa</t>
        </is>
      </c>
      <c r="O7" t="inlineStr">
        <is>
          <t>2013/03-2</t>
        </is>
      </c>
      <c r="P7" t="inlineStr">
        <is>
          <t>SAESA</t>
        </is>
      </c>
      <c r="Q7" t="n">
        <v>6</v>
      </c>
      <c r="R7" t="inlineStr">
        <is>
          <t>D.ALMAGRO 220</t>
        </is>
      </c>
      <c r="S7" t="n">
        <v>450.250482</v>
      </c>
      <c r="T7" t="n">
        <v>32008</v>
      </c>
      <c r="W7" t="n">
        <v>71.08826000000001</v>
      </c>
    </row>
    <row r="8">
      <c r="A8" t="inlineStr">
        <is>
          <t>01-10-2020</t>
        </is>
      </c>
      <c r="B8" t="inlineStr">
        <is>
          <t>01-10-2020</t>
        </is>
      </c>
      <c r="C8" t="inlineStr">
        <is>
          <t>Licitación Caren y Saesa (SIC 2013/03-2) BS1A</t>
        </is>
      </c>
      <c r="D8" t="inlineStr">
        <is>
          <t>Energia Licitaciones</t>
        </is>
      </c>
      <c r="E8" t="inlineStr">
        <is>
          <t>Energía</t>
        </is>
      </c>
      <c r="F8" t="inlineStr">
        <is>
          <t>Lic. SIC 2013/03-2 bloques BS1A: Energía oct 2020</t>
        </is>
      </c>
      <c r="G8" t="inlineStr">
        <is>
          <t>2020-11-12 17:18:17</t>
        </is>
      </c>
      <c r="H8" t="n">
        <v>33</v>
      </c>
      <c r="I8" t="n">
        <v>16500</v>
      </c>
      <c r="J8" t="inlineStr">
        <is>
          <t>s</t>
        </is>
      </c>
      <c r="K8" t="inlineStr">
        <is>
          <t>s</t>
        </is>
      </c>
      <c r="L8" t="inlineStr">
        <is>
          <t>BS1A</t>
        </is>
      </c>
      <c r="M8" t="inlineStr">
        <is>
          <t>Caren</t>
        </is>
      </c>
      <c r="N8" t="inlineStr">
        <is>
          <t>Saesa</t>
        </is>
      </c>
      <c r="O8" t="inlineStr">
        <is>
          <t>2013/03-2</t>
        </is>
      </c>
      <c r="P8" t="inlineStr">
        <is>
          <t>SAESA</t>
        </is>
      </c>
      <c r="Q8" t="n">
        <v>7</v>
      </c>
      <c r="R8" t="inlineStr">
        <is>
          <t>MELIPULLI 220</t>
        </is>
      </c>
      <c r="S8" t="n">
        <v>29626.26486</v>
      </c>
      <c r="T8" t="n">
        <v>1894829</v>
      </c>
      <c r="W8" t="n">
        <v>63.95773</v>
      </c>
    </row>
    <row r="9">
      <c r="A9" t="inlineStr">
        <is>
          <t>01-10-2020</t>
        </is>
      </c>
      <c r="B9" t="inlineStr">
        <is>
          <t>01-10-2020</t>
        </is>
      </c>
      <c r="C9" t="inlineStr">
        <is>
          <t>Licitación Caren y Saesa (SIC 2013/03-2) BS1A</t>
        </is>
      </c>
      <c r="D9" t="inlineStr">
        <is>
          <t>Energia Licitaciones</t>
        </is>
      </c>
      <c r="E9" t="inlineStr">
        <is>
          <t>Energía</t>
        </is>
      </c>
      <c r="F9" t="inlineStr">
        <is>
          <t>Lic. SIC 2013/03-2 bloques BS1A: Energía oct 2020</t>
        </is>
      </c>
      <c r="G9" t="inlineStr">
        <is>
          <t>2020-11-12 17:18:17</t>
        </is>
      </c>
      <c r="H9" t="n">
        <v>33</v>
      </c>
      <c r="I9" t="n">
        <v>16500</v>
      </c>
      <c r="J9" t="inlineStr">
        <is>
          <t>s</t>
        </is>
      </c>
      <c r="K9" t="inlineStr">
        <is>
          <t>s</t>
        </is>
      </c>
      <c r="L9" t="inlineStr">
        <is>
          <t>BS1A</t>
        </is>
      </c>
      <c r="M9" t="inlineStr">
        <is>
          <t>Caren</t>
        </is>
      </c>
      <c r="N9" t="inlineStr">
        <is>
          <t>Saesa</t>
        </is>
      </c>
      <c r="O9" t="inlineStr">
        <is>
          <t>2013/03-2</t>
        </is>
      </c>
      <c r="P9" t="inlineStr">
        <is>
          <t>SAESA</t>
        </is>
      </c>
      <c r="Q9" t="n">
        <v>8</v>
      </c>
      <c r="R9" t="inlineStr">
        <is>
          <t>P.MONTT 220</t>
        </is>
      </c>
      <c r="S9" t="n">
        <v>0</v>
      </c>
      <c r="T9" t="n">
        <v>0</v>
      </c>
      <c r="W9" t="n">
        <v>63.957</v>
      </c>
    </row>
    <row r="10">
      <c r="A10" t="inlineStr">
        <is>
          <t>01-10-2020</t>
        </is>
      </c>
      <c r="B10" t="inlineStr">
        <is>
          <t>01-10-2020</t>
        </is>
      </c>
      <c r="C10" t="inlineStr">
        <is>
          <t>Licitación Caren y Saesa (SIC 2013/03-2) BS1A</t>
        </is>
      </c>
      <c r="D10" t="inlineStr">
        <is>
          <t>Energia Licitaciones</t>
        </is>
      </c>
      <c r="E10" t="inlineStr">
        <is>
          <t>Energía</t>
        </is>
      </c>
      <c r="F10" t="inlineStr">
        <is>
          <t>Lic. SIC 2013/03-2 bloques BS1A: Energía oct 2020</t>
        </is>
      </c>
      <c r="G10" t="inlineStr">
        <is>
          <t>2020-11-12 17:18:17</t>
        </is>
      </c>
      <c r="H10" t="n">
        <v>33</v>
      </c>
      <c r="I10" t="n">
        <v>16500</v>
      </c>
      <c r="J10" t="inlineStr">
        <is>
          <t>s</t>
        </is>
      </c>
      <c r="K10" t="inlineStr">
        <is>
          <t>s</t>
        </is>
      </c>
      <c r="L10" t="inlineStr">
        <is>
          <t>BS1A</t>
        </is>
      </c>
      <c r="M10" t="inlineStr">
        <is>
          <t>Caren</t>
        </is>
      </c>
      <c r="N10" t="inlineStr">
        <is>
          <t>Saesa</t>
        </is>
      </c>
      <c r="O10" t="inlineStr">
        <is>
          <t>2013/03-2</t>
        </is>
      </c>
      <c r="P10" t="inlineStr">
        <is>
          <t>SAESA</t>
        </is>
      </c>
      <c r="Q10" t="n">
        <v>9</v>
      </c>
      <c r="R10" t="inlineStr">
        <is>
          <t>TEMUCO 220</t>
        </is>
      </c>
      <c r="S10" t="n">
        <v>1543.091043</v>
      </c>
      <c r="T10" t="n">
        <v>102415</v>
      </c>
      <c r="W10" t="n">
        <v>66.37017</v>
      </c>
    </row>
    <row r="11">
      <c r="A11" t="inlineStr">
        <is>
          <t>01-10-2020</t>
        </is>
      </c>
      <c r="B11" t="inlineStr">
        <is>
          <t>01-10-2020</t>
        </is>
      </c>
      <c r="C11" t="inlineStr">
        <is>
          <t>Licitación Caren y Saesa (SIC 2013/03-2) BS1A</t>
        </is>
      </c>
      <c r="D11" t="inlineStr">
        <is>
          <t>Energia Licitaciones</t>
        </is>
      </c>
      <c r="E11" t="inlineStr">
        <is>
          <t>Energía</t>
        </is>
      </c>
      <c r="F11" t="inlineStr">
        <is>
          <t>Lic. SIC 2013/03-2 bloques BS1A: Energía oct 2020</t>
        </is>
      </c>
      <c r="G11" t="inlineStr">
        <is>
          <t>2020-11-12 17:18:17</t>
        </is>
      </c>
      <c r="H11" t="n">
        <v>33</v>
      </c>
      <c r="I11" t="n">
        <v>16500</v>
      </c>
      <c r="J11" t="inlineStr">
        <is>
          <t>s</t>
        </is>
      </c>
      <c r="K11" t="inlineStr">
        <is>
          <t>s</t>
        </is>
      </c>
      <c r="L11" t="inlineStr">
        <is>
          <t>BS1A</t>
        </is>
      </c>
      <c r="M11" t="inlineStr">
        <is>
          <t>Caren</t>
        </is>
      </c>
      <c r="N11" t="inlineStr">
        <is>
          <t>Saesa</t>
        </is>
      </c>
      <c r="O11" t="inlineStr">
        <is>
          <t>2013/03-2</t>
        </is>
      </c>
      <c r="P11" t="inlineStr">
        <is>
          <t>SAESA</t>
        </is>
      </c>
      <c r="Q11" t="n">
        <v>10</v>
      </c>
      <c r="R11" t="inlineStr">
        <is>
          <t>VALDIVIA 220</t>
        </is>
      </c>
      <c r="S11" t="n">
        <v>15279.642829</v>
      </c>
      <c r="T11" t="n">
        <v>1010903</v>
      </c>
      <c r="W11" t="n">
        <v>66.16009</v>
      </c>
    </row>
    <row r="12">
      <c r="A12" t="inlineStr">
        <is>
          <t>01-11-2020</t>
        </is>
      </c>
      <c r="B12" t="inlineStr">
        <is>
          <t>01-11-2020</t>
        </is>
      </c>
      <c r="C12" t="inlineStr">
        <is>
          <t>Licitación Caren y Saesa (SIC 2013/03-2) BS1A</t>
        </is>
      </c>
      <c r="D12" t="inlineStr">
        <is>
          <t>Energia Licitaciones</t>
        </is>
      </c>
      <c r="E12" t="inlineStr">
        <is>
          <t>Energía</t>
        </is>
      </c>
      <c r="F12" t="inlineStr">
        <is>
          <t>Lic. SIC 2013/03-2 bloques BS1A: Energía nov 2020</t>
        </is>
      </c>
      <c r="G12" t="inlineStr">
        <is>
          <t>2020-12-22 18:21:41</t>
        </is>
      </c>
      <c r="H12" t="n">
        <v>33</v>
      </c>
      <c r="I12" t="n">
        <v>16768</v>
      </c>
      <c r="J12" t="inlineStr">
        <is>
          <t>s</t>
        </is>
      </c>
      <c r="K12" t="inlineStr">
        <is>
          <t>s</t>
        </is>
      </c>
      <c r="L12" t="inlineStr">
        <is>
          <t>BS1A</t>
        </is>
      </c>
      <c r="M12" t="inlineStr">
        <is>
          <t>Caren</t>
        </is>
      </c>
      <c r="N12" t="inlineStr">
        <is>
          <t>Saesa</t>
        </is>
      </c>
      <c r="O12" t="inlineStr">
        <is>
          <t>2013/03-2</t>
        </is>
      </c>
      <c r="P12" t="inlineStr">
        <is>
          <t>SAESA</t>
        </is>
      </c>
      <c r="Q12" t="n">
        <v>1</v>
      </c>
      <c r="R12" t="inlineStr">
        <is>
          <t>B.BLANCO 220</t>
        </is>
      </c>
      <c r="S12" t="n">
        <v>18781.99702</v>
      </c>
      <c r="T12" t="n">
        <v>1174702</v>
      </c>
      <c r="W12" t="n">
        <v>62.54405</v>
      </c>
    </row>
    <row r="13">
      <c r="A13" t="inlineStr">
        <is>
          <t>01-11-2020</t>
        </is>
      </c>
      <c r="B13" t="inlineStr">
        <is>
          <t>01-11-2020</t>
        </is>
      </c>
      <c r="C13" t="inlineStr">
        <is>
          <t>Licitación Caren y Saesa (SIC 2013/03-2) BS1A</t>
        </is>
      </c>
      <c r="D13" t="inlineStr">
        <is>
          <t>Energia Licitaciones</t>
        </is>
      </c>
      <c r="E13" t="inlineStr">
        <is>
          <t>Energía</t>
        </is>
      </c>
      <c r="F13" t="inlineStr">
        <is>
          <t>Lic. SIC 2013/03-2 bloques BS1A: Energía nov 2020</t>
        </is>
      </c>
      <c r="G13" t="inlineStr">
        <is>
          <t>2020-12-22 18:21:41</t>
        </is>
      </c>
      <c r="H13" t="n">
        <v>33</v>
      </c>
      <c r="I13" t="n">
        <v>16768</v>
      </c>
      <c r="J13" t="inlineStr">
        <is>
          <t>s</t>
        </is>
      </c>
      <c r="K13" t="inlineStr">
        <is>
          <t>s</t>
        </is>
      </c>
      <c r="L13" t="inlineStr">
        <is>
          <t>BS1A</t>
        </is>
      </c>
      <c r="M13" t="inlineStr">
        <is>
          <t>Caren</t>
        </is>
      </c>
      <c r="N13" t="inlineStr">
        <is>
          <t>Saesa</t>
        </is>
      </c>
      <c r="O13" t="inlineStr">
        <is>
          <t>2013/03-2</t>
        </is>
      </c>
      <c r="P13" t="inlineStr">
        <is>
          <t>SAESA</t>
        </is>
      </c>
      <c r="Q13" t="n">
        <v>2</v>
      </c>
      <c r="R13" t="inlineStr">
        <is>
          <t>CAUTIN 220</t>
        </is>
      </c>
      <c r="S13" t="n">
        <v>278.797035</v>
      </c>
      <c r="T13" t="n">
        <v>18615</v>
      </c>
      <c r="W13" t="n">
        <v>66.76931999999999</v>
      </c>
    </row>
    <row r="14">
      <c r="A14" t="inlineStr">
        <is>
          <t>01-11-2020</t>
        </is>
      </c>
      <c r="B14" t="inlineStr">
        <is>
          <t>01-11-2020</t>
        </is>
      </c>
      <c r="C14" t="inlineStr">
        <is>
          <t>Licitación Caren y Saesa (SIC 2013/03-2) BS1A</t>
        </is>
      </c>
      <c r="D14" t="inlineStr">
        <is>
          <t>Energia Licitaciones</t>
        </is>
      </c>
      <c r="E14" t="inlineStr">
        <is>
          <t>Energía</t>
        </is>
      </c>
      <c r="F14" t="inlineStr">
        <is>
          <t>Lic. SIC 2013/03-2 bloques BS1A: Energía nov 2020</t>
        </is>
      </c>
      <c r="G14" t="inlineStr">
        <is>
          <t>2020-12-22 18:21:41</t>
        </is>
      </c>
      <c r="H14" t="n">
        <v>33</v>
      </c>
      <c r="I14" t="n">
        <v>16768</v>
      </c>
      <c r="J14" t="inlineStr">
        <is>
          <t>s</t>
        </is>
      </c>
      <c r="K14" t="inlineStr">
        <is>
          <t>s</t>
        </is>
      </c>
      <c r="L14" t="inlineStr">
        <is>
          <t>BS1A</t>
        </is>
      </c>
      <c r="M14" t="inlineStr">
        <is>
          <t>Caren</t>
        </is>
      </c>
      <c r="N14" t="inlineStr">
        <is>
          <t>Saesa</t>
        </is>
      </c>
      <c r="O14" t="inlineStr">
        <is>
          <t>2013/03-2</t>
        </is>
      </c>
      <c r="P14" t="inlineStr">
        <is>
          <t>SAESA</t>
        </is>
      </c>
      <c r="Q14" t="n">
        <v>3</v>
      </c>
      <c r="R14" t="inlineStr">
        <is>
          <t>CHARRUA 220</t>
        </is>
      </c>
      <c r="S14" t="n">
        <v>7.703163</v>
      </c>
      <c r="T14" t="n">
        <v>522</v>
      </c>
      <c r="W14" t="n">
        <v>67.75496</v>
      </c>
    </row>
    <row r="15">
      <c r="A15" t="inlineStr">
        <is>
          <t>01-11-2020</t>
        </is>
      </c>
      <c r="B15" t="inlineStr">
        <is>
          <t>01-11-2020</t>
        </is>
      </c>
      <c r="C15" t="inlineStr">
        <is>
          <t>Licitación Caren y Saesa (SIC 2013/03-2) BS1A</t>
        </is>
      </c>
      <c r="D15" t="inlineStr">
        <is>
          <t>Energia Licitaciones</t>
        </is>
      </c>
      <c r="E15" t="inlineStr">
        <is>
          <t>Energía</t>
        </is>
      </c>
      <c r="F15" t="inlineStr">
        <is>
          <t>Lic. SIC 2013/03-2 bloques BS1A: Energía nov 2020</t>
        </is>
      </c>
      <c r="G15" t="inlineStr">
        <is>
          <t>2020-12-22 18:21:41</t>
        </is>
      </c>
      <c r="H15" t="n">
        <v>33</v>
      </c>
      <c r="I15" t="n">
        <v>16768</v>
      </c>
      <c r="J15" t="inlineStr">
        <is>
          <t>s</t>
        </is>
      </c>
      <c r="K15" t="inlineStr">
        <is>
          <t>s</t>
        </is>
      </c>
      <c r="L15" t="inlineStr">
        <is>
          <t>BS1A</t>
        </is>
      </c>
      <c r="M15" t="inlineStr">
        <is>
          <t>Caren</t>
        </is>
      </c>
      <c r="N15" t="inlineStr">
        <is>
          <t>Saesa</t>
        </is>
      </c>
      <c r="O15" t="inlineStr">
        <is>
          <t>2013/03-2</t>
        </is>
      </c>
      <c r="P15" t="inlineStr">
        <is>
          <t>SAESA</t>
        </is>
      </c>
      <c r="Q15" t="n">
        <v>4</v>
      </c>
      <c r="R15" t="inlineStr">
        <is>
          <t>CHILOE 220</t>
        </is>
      </c>
      <c r="S15" t="n">
        <v>9133.839201999999</v>
      </c>
      <c r="T15" t="n">
        <v>589273</v>
      </c>
      <c r="W15" t="n">
        <v>64.51532</v>
      </c>
    </row>
    <row r="16">
      <c r="A16" t="inlineStr">
        <is>
          <t>01-11-2020</t>
        </is>
      </c>
      <c r="B16" t="inlineStr">
        <is>
          <t>01-11-2020</t>
        </is>
      </c>
      <c r="C16" t="inlineStr">
        <is>
          <t>Licitación Caren y Saesa (SIC 2013/03-2) BS1A</t>
        </is>
      </c>
      <c r="D16" t="inlineStr">
        <is>
          <t>Energia Licitaciones</t>
        </is>
      </c>
      <c r="E16" t="inlineStr">
        <is>
          <t>Energía</t>
        </is>
      </c>
      <c r="F16" t="inlineStr">
        <is>
          <t>Lic. SIC 2013/03-2 bloques BS1A: Energía nov 2020</t>
        </is>
      </c>
      <c r="G16" t="inlineStr">
        <is>
          <t>2020-12-22 18:21:41</t>
        </is>
      </c>
      <c r="H16" t="n">
        <v>33</v>
      </c>
      <c r="I16" t="n">
        <v>16768</v>
      </c>
      <c r="J16" t="inlineStr">
        <is>
          <t>s</t>
        </is>
      </c>
      <c r="K16" t="inlineStr">
        <is>
          <t>s</t>
        </is>
      </c>
      <c r="L16" t="inlineStr">
        <is>
          <t>BS1A</t>
        </is>
      </c>
      <c r="M16" t="inlineStr">
        <is>
          <t>Caren</t>
        </is>
      </c>
      <c r="N16" t="inlineStr">
        <is>
          <t>Saesa</t>
        </is>
      </c>
      <c r="O16" t="inlineStr">
        <is>
          <t>2013/03-2</t>
        </is>
      </c>
      <c r="P16" t="inlineStr">
        <is>
          <t>SAESA</t>
        </is>
      </c>
      <c r="Q16" t="n">
        <v>5</v>
      </c>
      <c r="R16" t="inlineStr">
        <is>
          <t>CIRUELOS 220</t>
        </is>
      </c>
      <c r="S16" t="n">
        <v>1135.920495</v>
      </c>
      <c r="T16" t="n">
        <v>73622</v>
      </c>
      <c r="W16" t="n">
        <v>64.81294</v>
      </c>
    </row>
    <row r="17">
      <c r="A17" t="inlineStr">
        <is>
          <t>01-11-2020</t>
        </is>
      </c>
      <c r="B17" t="inlineStr">
        <is>
          <t>01-11-2020</t>
        </is>
      </c>
      <c r="C17" t="inlineStr">
        <is>
          <t>Licitación Caren y Saesa (SIC 2013/03-2) BS1A</t>
        </is>
      </c>
      <c r="D17" t="inlineStr">
        <is>
          <t>Energia Licitaciones</t>
        </is>
      </c>
      <c r="E17" t="inlineStr">
        <is>
          <t>Energía</t>
        </is>
      </c>
      <c r="F17" t="inlineStr">
        <is>
          <t>Lic. SIC 2013/03-2 bloques BS1A: Energía nov 2020</t>
        </is>
      </c>
      <c r="G17" t="inlineStr">
        <is>
          <t>2020-12-22 18:21:41</t>
        </is>
      </c>
      <c r="H17" t="n">
        <v>33</v>
      </c>
      <c r="I17" t="n">
        <v>16768</v>
      </c>
      <c r="J17" t="inlineStr">
        <is>
          <t>s</t>
        </is>
      </c>
      <c r="K17" t="inlineStr">
        <is>
          <t>s</t>
        </is>
      </c>
      <c r="L17" t="inlineStr">
        <is>
          <t>BS1A</t>
        </is>
      </c>
      <c r="M17" t="inlineStr">
        <is>
          <t>Caren</t>
        </is>
      </c>
      <c r="N17" t="inlineStr">
        <is>
          <t>Saesa</t>
        </is>
      </c>
      <c r="O17" t="inlineStr">
        <is>
          <t>2013/03-2</t>
        </is>
      </c>
      <c r="P17" t="inlineStr">
        <is>
          <t>SAESA</t>
        </is>
      </c>
      <c r="Q17" t="n">
        <v>6</v>
      </c>
      <c r="R17" t="inlineStr">
        <is>
          <t>D.ALMAGRO 220</t>
        </is>
      </c>
      <c r="S17" t="n">
        <v>474.601922</v>
      </c>
      <c r="T17" t="n">
        <v>33739</v>
      </c>
      <c r="W17" t="n">
        <v>71.08826000000001</v>
      </c>
    </row>
    <row r="18">
      <c r="A18" t="inlineStr">
        <is>
          <t>01-11-2020</t>
        </is>
      </c>
      <c r="B18" t="inlineStr">
        <is>
          <t>01-11-2020</t>
        </is>
      </c>
      <c r="C18" t="inlineStr">
        <is>
          <t>Licitación Caren y Saesa (SIC 2013/03-2) BS1A</t>
        </is>
      </c>
      <c r="D18" t="inlineStr">
        <is>
          <t>Energia Licitaciones</t>
        </is>
      </c>
      <c r="E18" t="inlineStr">
        <is>
          <t>Energía</t>
        </is>
      </c>
      <c r="F18" t="inlineStr">
        <is>
          <t>Lic. SIC 2013/03-2 bloques BS1A: Energía nov 2020</t>
        </is>
      </c>
      <c r="G18" t="inlineStr">
        <is>
          <t>2020-12-22 18:21:41</t>
        </is>
      </c>
      <c r="H18" t="n">
        <v>33</v>
      </c>
      <c r="I18" t="n">
        <v>16768</v>
      </c>
      <c r="J18" t="inlineStr">
        <is>
          <t>s</t>
        </is>
      </c>
      <c r="K18" t="inlineStr">
        <is>
          <t>s</t>
        </is>
      </c>
      <c r="L18" t="inlineStr">
        <is>
          <t>BS1A</t>
        </is>
      </c>
      <c r="M18" t="inlineStr">
        <is>
          <t>Caren</t>
        </is>
      </c>
      <c r="N18" t="inlineStr">
        <is>
          <t>Saesa</t>
        </is>
      </c>
      <c r="O18" t="inlineStr">
        <is>
          <t>2013/03-2</t>
        </is>
      </c>
      <c r="P18" t="inlineStr">
        <is>
          <t>SAESA</t>
        </is>
      </c>
      <c r="Q18" t="n">
        <v>7</v>
      </c>
      <c r="R18" t="inlineStr">
        <is>
          <t>MELIPULLI 220</t>
        </is>
      </c>
      <c r="S18" t="n">
        <v>27555.962063</v>
      </c>
      <c r="T18" t="n">
        <v>1762417</v>
      </c>
      <c r="W18" t="n">
        <v>63.95773</v>
      </c>
    </row>
    <row r="19">
      <c r="A19" t="inlineStr">
        <is>
          <t>01-11-2020</t>
        </is>
      </c>
      <c r="B19" t="inlineStr">
        <is>
          <t>01-11-2020</t>
        </is>
      </c>
      <c r="C19" t="inlineStr">
        <is>
          <t>Licitación Caren y Saesa (SIC 2013/03-2) BS1A</t>
        </is>
      </c>
      <c r="D19" t="inlineStr">
        <is>
          <t>Energia Licitaciones</t>
        </is>
      </c>
      <c r="E19" t="inlineStr">
        <is>
          <t>Energía</t>
        </is>
      </c>
      <c r="F19" t="inlineStr">
        <is>
          <t>Lic. SIC 2013/03-2 bloques BS1A: Energía nov 2020</t>
        </is>
      </c>
      <c r="G19" t="inlineStr">
        <is>
          <t>2020-12-22 18:21:41</t>
        </is>
      </c>
      <c r="H19" t="n">
        <v>33</v>
      </c>
      <c r="I19" t="n">
        <v>16768</v>
      </c>
      <c r="J19" t="inlineStr">
        <is>
          <t>s</t>
        </is>
      </c>
      <c r="K19" t="inlineStr">
        <is>
          <t>s</t>
        </is>
      </c>
      <c r="L19" t="inlineStr">
        <is>
          <t>BS1A</t>
        </is>
      </c>
      <c r="M19" t="inlineStr">
        <is>
          <t>Caren</t>
        </is>
      </c>
      <c r="N19" t="inlineStr">
        <is>
          <t>Saesa</t>
        </is>
      </c>
      <c r="O19" t="inlineStr">
        <is>
          <t>2013/03-2</t>
        </is>
      </c>
      <c r="P19" t="inlineStr">
        <is>
          <t>SAESA</t>
        </is>
      </c>
      <c r="Q19" t="n">
        <v>8</v>
      </c>
      <c r="R19" t="inlineStr">
        <is>
          <t>P.MONTT 220</t>
        </is>
      </c>
      <c r="S19" t="n">
        <v>0</v>
      </c>
      <c r="T19" t="n">
        <v>0</v>
      </c>
      <c r="W19" t="n">
        <v>63.957</v>
      </c>
    </row>
    <row r="20">
      <c r="A20" t="inlineStr">
        <is>
          <t>01-11-2020</t>
        </is>
      </c>
      <c r="B20" t="inlineStr">
        <is>
          <t>01-11-2020</t>
        </is>
      </c>
      <c r="C20" t="inlineStr">
        <is>
          <t>Licitación Caren y Saesa (SIC 2013/03-2) BS1A</t>
        </is>
      </c>
      <c r="D20" t="inlineStr">
        <is>
          <t>Energia Licitaciones</t>
        </is>
      </c>
      <c r="E20" t="inlineStr">
        <is>
          <t>Energía</t>
        </is>
      </c>
      <c r="F20" t="inlineStr">
        <is>
          <t>Lic. SIC 2013/03-2 bloques BS1A: Energía nov 2020</t>
        </is>
      </c>
      <c r="G20" t="inlineStr">
        <is>
          <t>2020-12-22 18:21:41</t>
        </is>
      </c>
      <c r="H20" t="n">
        <v>33</v>
      </c>
      <c r="I20" t="n">
        <v>16768</v>
      </c>
      <c r="J20" t="inlineStr">
        <is>
          <t>s</t>
        </is>
      </c>
      <c r="K20" t="inlineStr">
        <is>
          <t>s</t>
        </is>
      </c>
      <c r="L20" t="inlineStr">
        <is>
          <t>BS1A</t>
        </is>
      </c>
      <c r="M20" t="inlineStr">
        <is>
          <t>Caren</t>
        </is>
      </c>
      <c r="N20" t="inlineStr">
        <is>
          <t>Saesa</t>
        </is>
      </c>
      <c r="O20" t="inlineStr">
        <is>
          <t>2013/03-2</t>
        </is>
      </c>
      <c r="P20" t="inlineStr">
        <is>
          <t>SAESA</t>
        </is>
      </c>
      <c r="Q20" t="n">
        <v>9</v>
      </c>
      <c r="R20" t="inlineStr">
        <is>
          <t>TEMUCO 220</t>
        </is>
      </c>
      <c r="S20" t="n">
        <v>1476.842494</v>
      </c>
      <c r="T20" t="n">
        <v>98018</v>
      </c>
      <c r="W20" t="n">
        <v>66.37017</v>
      </c>
    </row>
    <row r="21">
      <c r="A21" t="inlineStr">
        <is>
          <t>01-11-2020</t>
        </is>
      </c>
      <c r="B21" t="inlineStr">
        <is>
          <t>01-11-2020</t>
        </is>
      </c>
      <c r="C21" t="inlineStr">
        <is>
          <t>Licitación Caren y Saesa (SIC 2013/03-2) BS1A</t>
        </is>
      </c>
      <c r="D21" t="inlineStr">
        <is>
          <t>Energia Licitaciones</t>
        </is>
      </c>
      <c r="E21" t="inlineStr">
        <is>
          <t>Energía</t>
        </is>
      </c>
      <c r="F21" t="inlineStr">
        <is>
          <t>Lic. SIC 2013/03-2 bloques BS1A: Energía nov 2020</t>
        </is>
      </c>
      <c r="G21" t="inlineStr">
        <is>
          <t>2020-12-22 18:21:41</t>
        </is>
      </c>
      <c r="H21" t="n">
        <v>33</v>
      </c>
      <c r="I21" t="n">
        <v>16768</v>
      </c>
      <c r="J21" t="inlineStr">
        <is>
          <t>s</t>
        </is>
      </c>
      <c r="K21" t="inlineStr">
        <is>
          <t>s</t>
        </is>
      </c>
      <c r="L21" t="inlineStr">
        <is>
          <t>BS1A</t>
        </is>
      </c>
      <c r="M21" t="inlineStr">
        <is>
          <t>Caren</t>
        </is>
      </c>
      <c r="N21" t="inlineStr">
        <is>
          <t>Saesa</t>
        </is>
      </c>
      <c r="O21" t="inlineStr">
        <is>
          <t>2013/03-2</t>
        </is>
      </c>
      <c r="P21" t="inlineStr">
        <is>
          <t>SAESA</t>
        </is>
      </c>
      <c r="Q21" t="n">
        <v>10</v>
      </c>
      <c r="R21" t="inlineStr">
        <is>
          <t>VALDIVIA 220</t>
        </is>
      </c>
      <c r="S21" t="n">
        <v>14214.978688</v>
      </c>
      <c r="T21" t="n">
        <v>940464</v>
      </c>
      <c r="W21" t="n">
        <v>66.16009</v>
      </c>
    </row>
    <row r="22">
      <c r="A22" t="inlineStr">
        <is>
          <t>01-12-2020</t>
        </is>
      </c>
      <c r="B22" t="inlineStr">
        <is>
          <t>01-12-2020</t>
        </is>
      </c>
      <c r="C22" t="inlineStr">
        <is>
          <t>Licitación Caren y Saesa (SIC 2013/03-2) BS1A</t>
        </is>
      </c>
      <c r="D22" t="inlineStr">
        <is>
          <t>Energia Licitaciones</t>
        </is>
      </c>
      <c r="E22" t="inlineStr">
        <is>
          <t>Energía</t>
        </is>
      </c>
      <c r="F22" t="inlineStr">
        <is>
          <t>Lic. SIC 2013/03-2 bloques BS1A: Energía dic 2020</t>
        </is>
      </c>
      <c r="G22" t="inlineStr">
        <is>
          <t>2021-01-15 17:46:30</t>
        </is>
      </c>
      <c r="H22" t="n">
        <v>33</v>
      </c>
      <c r="I22" t="n">
        <v>17109</v>
      </c>
      <c r="J22" t="inlineStr">
        <is>
          <t>s</t>
        </is>
      </c>
      <c r="K22" t="inlineStr">
        <is>
          <t>s</t>
        </is>
      </c>
      <c r="L22" t="inlineStr">
        <is>
          <t>BS1A</t>
        </is>
      </c>
      <c r="M22" t="inlineStr">
        <is>
          <t>Caren</t>
        </is>
      </c>
      <c r="N22" t="inlineStr">
        <is>
          <t>Saesa</t>
        </is>
      </c>
      <c r="O22" t="inlineStr">
        <is>
          <t>2013/03-2</t>
        </is>
      </c>
      <c r="P22" t="inlineStr">
        <is>
          <t>SAESA</t>
        </is>
      </c>
      <c r="Q22" t="n">
        <v>1</v>
      </c>
      <c r="R22" t="inlineStr">
        <is>
          <t>B.BLANCO 220</t>
        </is>
      </c>
      <c r="S22" t="n">
        <v>19611.892299</v>
      </c>
      <c r="T22" t="n">
        <v>1226607</v>
      </c>
      <c r="W22" t="n">
        <v>62.54405</v>
      </c>
    </row>
    <row r="23">
      <c r="A23" t="inlineStr">
        <is>
          <t>01-12-2020</t>
        </is>
      </c>
      <c r="B23" t="inlineStr">
        <is>
          <t>01-12-2020</t>
        </is>
      </c>
      <c r="C23" t="inlineStr">
        <is>
          <t>Licitación Caren y Saesa (SIC 2013/03-2) BS1A</t>
        </is>
      </c>
      <c r="D23" t="inlineStr">
        <is>
          <t>Energia Licitaciones</t>
        </is>
      </c>
      <c r="E23" t="inlineStr">
        <is>
          <t>Energía</t>
        </is>
      </c>
      <c r="F23" t="inlineStr">
        <is>
          <t>Lic. SIC 2013/03-2 bloques BS1A: Energía dic 2020</t>
        </is>
      </c>
      <c r="G23" t="inlineStr">
        <is>
          <t>2021-01-15 17:46:30</t>
        </is>
      </c>
      <c r="H23" t="n">
        <v>33</v>
      </c>
      <c r="I23" t="n">
        <v>17109</v>
      </c>
      <c r="J23" t="inlineStr">
        <is>
          <t>s</t>
        </is>
      </c>
      <c r="K23" t="inlineStr">
        <is>
          <t>s</t>
        </is>
      </c>
      <c r="L23" t="inlineStr">
        <is>
          <t>BS1A</t>
        </is>
      </c>
      <c r="M23" t="inlineStr">
        <is>
          <t>Caren</t>
        </is>
      </c>
      <c r="N23" t="inlineStr">
        <is>
          <t>Saesa</t>
        </is>
      </c>
      <c r="O23" t="inlineStr">
        <is>
          <t>2013/03-2</t>
        </is>
      </c>
      <c r="P23" t="inlineStr">
        <is>
          <t>SAESA</t>
        </is>
      </c>
      <c r="Q23" t="n">
        <v>2</v>
      </c>
      <c r="R23" t="inlineStr">
        <is>
          <t>CAUTIN 220</t>
        </is>
      </c>
      <c r="S23" t="n">
        <v>269.173542</v>
      </c>
      <c r="T23" t="n">
        <v>17973</v>
      </c>
      <c r="W23" t="n">
        <v>66.76931999999999</v>
      </c>
    </row>
    <row r="24">
      <c r="A24" t="inlineStr">
        <is>
          <t>01-12-2020</t>
        </is>
      </c>
      <c r="B24" t="inlineStr">
        <is>
          <t>01-12-2020</t>
        </is>
      </c>
      <c r="C24" t="inlineStr">
        <is>
          <t>Licitación Caren y Saesa (SIC 2013/03-2) BS1A</t>
        </is>
      </c>
      <c r="D24" t="inlineStr">
        <is>
          <t>Energia Licitaciones</t>
        </is>
      </c>
      <c r="E24" t="inlineStr">
        <is>
          <t>Energía</t>
        </is>
      </c>
      <c r="F24" t="inlineStr">
        <is>
          <t>Lic. SIC 2013/03-2 bloques BS1A: Energía dic 2020</t>
        </is>
      </c>
      <c r="G24" t="inlineStr">
        <is>
          <t>2021-01-15 17:46:30</t>
        </is>
      </c>
      <c r="H24" t="n">
        <v>33</v>
      </c>
      <c r="I24" t="n">
        <v>17109</v>
      </c>
      <c r="J24" t="inlineStr">
        <is>
          <t>s</t>
        </is>
      </c>
      <c r="K24" t="inlineStr">
        <is>
          <t>s</t>
        </is>
      </c>
      <c r="L24" t="inlineStr">
        <is>
          <t>BS1A</t>
        </is>
      </c>
      <c r="M24" t="inlineStr">
        <is>
          <t>Caren</t>
        </is>
      </c>
      <c r="N24" t="inlineStr">
        <is>
          <t>Saesa</t>
        </is>
      </c>
      <c r="O24" t="inlineStr">
        <is>
          <t>2013/03-2</t>
        </is>
      </c>
      <c r="P24" t="inlineStr">
        <is>
          <t>SAESA</t>
        </is>
      </c>
      <c r="Q24" t="n">
        <v>3</v>
      </c>
      <c r="R24" t="inlineStr">
        <is>
          <t>CHARRUA 220</t>
        </is>
      </c>
      <c r="S24" t="n">
        <v>7.437265</v>
      </c>
      <c r="T24" t="n">
        <v>504</v>
      </c>
      <c r="W24" t="n">
        <v>67.75496</v>
      </c>
    </row>
    <row r="25">
      <c r="A25" t="inlineStr">
        <is>
          <t>01-12-2020</t>
        </is>
      </c>
      <c r="B25" t="inlineStr">
        <is>
          <t>01-12-2020</t>
        </is>
      </c>
      <c r="C25" t="inlineStr">
        <is>
          <t>Licitación Caren y Saesa (SIC 2013/03-2) BS1A</t>
        </is>
      </c>
      <c r="D25" t="inlineStr">
        <is>
          <t>Energia Licitaciones</t>
        </is>
      </c>
      <c r="E25" t="inlineStr">
        <is>
          <t>Energía</t>
        </is>
      </c>
      <c r="F25" t="inlineStr">
        <is>
          <t>Lic. SIC 2013/03-2 bloques BS1A: Energía dic 2020</t>
        </is>
      </c>
      <c r="G25" t="inlineStr">
        <is>
          <t>2021-01-15 17:46:30</t>
        </is>
      </c>
      <c r="H25" t="n">
        <v>33</v>
      </c>
      <c r="I25" t="n">
        <v>17109</v>
      </c>
      <c r="J25" t="inlineStr">
        <is>
          <t>s</t>
        </is>
      </c>
      <c r="K25" t="inlineStr">
        <is>
          <t>s</t>
        </is>
      </c>
      <c r="L25" t="inlineStr">
        <is>
          <t>BS1A</t>
        </is>
      </c>
      <c r="M25" t="inlineStr">
        <is>
          <t>Caren</t>
        </is>
      </c>
      <c r="N25" t="inlineStr">
        <is>
          <t>Saesa</t>
        </is>
      </c>
      <c r="O25" t="inlineStr">
        <is>
          <t>2013/03-2</t>
        </is>
      </c>
      <c r="P25" t="inlineStr">
        <is>
          <t>SAESA</t>
        </is>
      </c>
      <c r="Q25" t="n">
        <v>4</v>
      </c>
      <c r="R25" t="inlineStr">
        <is>
          <t>CHILOE 220</t>
        </is>
      </c>
      <c r="S25" t="n">
        <v>9706.541175</v>
      </c>
      <c r="T25" t="n">
        <v>626221</v>
      </c>
      <c r="W25" t="n">
        <v>64.51532</v>
      </c>
    </row>
    <row r="26">
      <c r="A26" t="inlineStr">
        <is>
          <t>01-12-2020</t>
        </is>
      </c>
      <c r="B26" t="inlineStr">
        <is>
          <t>01-12-2020</t>
        </is>
      </c>
      <c r="C26" t="inlineStr">
        <is>
          <t>Licitación Caren y Saesa (SIC 2013/03-2) BS1A</t>
        </is>
      </c>
      <c r="D26" t="inlineStr">
        <is>
          <t>Energia Licitaciones</t>
        </is>
      </c>
      <c r="E26" t="inlineStr">
        <is>
          <t>Energía</t>
        </is>
      </c>
      <c r="F26" t="inlineStr">
        <is>
          <t>Lic. SIC 2013/03-2 bloques BS1A: Energía dic 2020</t>
        </is>
      </c>
      <c r="G26" t="inlineStr">
        <is>
          <t>2021-01-15 17:46:30</t>
        </is>
      </c>
      <c r="H26" t="n">
        <v>33</v>
      </c>
      <c r="I26" t="n">
        <v>17109</v>
      </c>
      <c r="J26" t="inlineStr">
        <is>
          <t>s</t>
        </is>
      </c>
      <c r="K26" t="inlineStr">
        <is>
          <t>s</t>
        </is>
      </c>
      <c r="L26" t="inlineStr">
        <is>
          <t>BS1A</t>
        </is>
      </c>
      <c r="M26" t="inlineStr">
        <is>
          <t>Caren</t>
        </is>
      </c>
      <c r="N26" t="inlineStr">
        <is>
          <t>Saesa</t>
        </is>
      </c>
      <c r="O26" t="inlineStr">
        <is>
          <t>2013/03-2</t>
        </is>
      </c>
      <c r="P26" t="inlineStr">
        <is>
          <t>SAESA</t>
        </is>
      </c>
      <c r="Q26" t="n">
        <v>5</v>
      </c>
      <c r="R26" t="inlineStr">
        <is>
          <t>CIRUELOS 220</t>
        </is>
      </c>
      <c r="S26" t="n">
        <v>1351.766894</v>
      </c>
      <c r="T26" t="n">
        <v>87612</v>
      </c>
      <c r="W26" t="n">
        <v>64.81294</v>
      </c>
    </row>
    <row r="27">
      <c r="A27" t="inlineStr">
        <is>
          <t>01-12-2020</t>
        </is>
      </c>
      <c r="B27" t="inlineStr">
        <is>
          <t>01-12-2020</t>
        </is>
      </c>
      <c r="C27" t="inlineStr">
        <is>
          <t>Licitación Caren y Saesa (SIC 2013/03-2) BS1A</t>
        </is>
      </c>
      <c r="D27" t="inlineStr">
        <is>
          <t>Energia Licitaciones</t>
        </is>
      </c>
      <c r="E27" t="inlineStr">
        <is>
          <t>Energía</t>
        </is>
      </c>
      <c r="F27" t="inlineStr">
        <is>
          <t>Lic. SIC 2013/03-2 bloques BS1A: Energía dic 2020</t>
        </is>
      </c>
      <c r="G27" t="inlineStr">
        <is>
          <t>2021-01-15 17:46:30</t>
        </is>
      </c>
      <c r="H27" t="n">
        <v>33</v>
      </c>
      <c r="I27" t="n">
        <v>17109</v>
      </c>
      <c r="J27" t="inlineStr">
        <is>
          <t>s</t>
        </is>
      </c>
      <c r="K27" t="inlineStr">
        <is>
          <t>s</t>
        </is>
      </c>
      <c r="L27" t="inlineStr">
        <is>
          <t>BS1A</t>
        </is>
      </c>
      <c r="M27" t="inlineStr">
        <is>
          <t>Caren</t>
        </is>
      </c>
      <c r="N27" t="inlineStr">
        <is>
          <t>Saesa</t>
        </is>
      </c>
      <c r="O27" t="inlineStr">
        <is>
          <t>2013/03-2</t>
        </is>
      </c>
      <c r="P27" t="inlineStr">
        <is>
          <t>SAESA</t>
        </is>
      </c>
      <c r="Q27" t="n">
        <v>6</v>
      </c>
      <c r="R27" t="inlineStr">
        <is>
          <t>D.ALMAGRO 220</t>
        </is>
      </c>
      <c r="S27" t="n">
        <v>566.298489</v>
      </c>
      <c r="T27" t="n">
        <v>40257</v>
      </c>
      <c r="W27" t="n">
        <v>71.08826000000001</v>
      </c>
    </row>
    <row r="28">
      <c r="A28" t="inlineStr">
        <is>
          <t>01-12-2020</t>
        </is>
      </c>
      <c r="B28" t="inlineStr">
        <is>
          <t>01-12-2020</t>
        </is>
      </c>
      <c r="C28" t="inlineStr">
        <is>
          <t>Licitación Caren y Saesa (SIC 2013/03-2) BS1A</t>
        </is>
      </c>
      <c r="D28" t="inlineStr">
        <is>
          <t>Energia Licitaciones</t>
        </is>
      </c>
      <c r="E28" t="inlineStr">
        <is>
          <t>Energía</t>
        </is>
      </c>
      <c r="F28" t="inlineStr">
        <is>
          <t>Lic. SIC 2013/03-2 bloques BS1A: Energía dic 2020</t>
        </is>
      </c>
      <c r="G28" t="inlineStr">
        <is>
          <t>2021-01-15 17:46:30</t>
        </is>
      </c>
      <c r="H28" t="n">
        <v>33</v>
      </c>
      <c r="I28" t="n">
        <v>17109</v>
      </c>
      <c r="J28" t="inlineStr">
        <is>
          <t>s</t>
        </is>
      </c>
      <c r="K28" t="inlineStr">
        <is>
          <t>s</t>
        </is>
      </c>
      <c r="L28" t="inlineStr">
        <is>
          <t>BS1A</t>
        </is>
      </c>
      <c r="M28" t="inlineStr">
        <is>
          <t>Caren</t>
        </is>
      </c>
      <c r="N28" t="inlineStr">
        <is>
          <t>Saesa</t>
        </is>
      </c>
      <c r="O28" t="inlineStr">
        <is>
          <t>2013/03-2</t>
        </is>
      </c>
      <c r="P28" t="inlineStr">
        <is>
          <t>SAESA</t>
        </is>
      </c>
      <c r="Q28" t="n">
        <v>7</v>
      </c>
      <c r="R28" t="inlineStr">
        <is>
          <t>MELIPULLI 220</t>
        </is>
      </c>
      <c r="S28" t="n">
        <v>27557.378944</v>
      </c>
      <c r="T28" t="n">
        <v>1762507</v>
      </c>
      <c r="W28" t="n">
        <v>63.95773</v>
      </c>
    </row>
    <row r="29">
      <c r="A29" t="inlineStr">
        <is>
          <t>01-12-2020</t>
        </is>
      </c>
      <c r="B29" t="inlineStr">
        <is>
          <t>01-12-2020</t>
        </is>
      </c>
      <c r="C29" t="inlineStr">
        <is>
          <t>Licitación Caren y Saesa (SIC 2013/03-2) BS1A</t>
        </is>
      </c>
      <c r="D29" t="inlineStr">
        <is>
          <t>Energia Licitaciones</t>
        </is>
      </c>
      <c r="E29" t="inlineStr">
        <is>
          <t>Energía</t>
        </is>
      </c>
      <c r="F29" t="inlineStr">
        <is>
          <t>Lic. SIC 2013/03-2 bloques BS1A: Energía dic 2020</t>
        </is>
      </c>
      <c r="G29" t="inlineStr">
        <is>
          <t>2021-01-15 17:46:30</t>
        </is>
      </c>
      <c r="H29" t="n">
        <v>33</v>
      </c>
      <c r="I29" t="n">
        <v>17109</v>
      </c>
      <c r="J29" t="inlineStr">
        <is>
          <t>s</t>
        </is>
      </c>
      <c r="K29" t="inlineStr">
        <is>
          <t>s</t>
        </is>
      </c>
      <c r="L29" t="inlineStr">
        <is>
          <t>BS1A</t>
        </is>
      </c>
      <c r="M29" t="inlineStr">
        <is>
          <t>Caren</t>
        </is>
      </c>
      <c r="N29" t="inlineStr">
        <is>
          <t>Saesa</t>
        </is>
      </c>
      <c r="O29" t="inlineStr">
        <is>
          <t>2013/03-2</t>
        </is>
      </c>
      <c r="P29" t="inlineStr">
        <is>
          <t>SAESA</t>
        </is>
      </c>
      <c r="Q29" t="n">
        <v>8</v>
      </c>
      <c r="R29" t="inlineStr">
        <is>
          <t>P.MONTT 220</t>
        </is>
      </c>
      <c r="S29" t="n">
        <v>0</v>
      </c>
      <c r="T29" t="n">
        <v>0</v>
      </c>
      <c r="W29" t="n">
        <v>63.957</v>
      </c>
    </row>
    <row r="30">
      <c r="A30" t="inlineStr">
        <is>
          <t>01-12-2020</t>
        </is>
      </c>
      <c r="B30" t="inlineStr">
        <is>
          <t>01-12-2020</t>
        </is>
      </c>
      <c r="C30" t="inlineStr">
        <is>
          <t>Licitación Caren y Saesa (SIC 2013/03-2) BS1A</t>
        </is>
      </c>
      <c r="D30" t="inlineStr">
        <is>
          <t>Energia Licitaciones</t>
        </is>
      </c>
      <c r="E30" t="inlineStr">
        <is>
          <t>Energía</t>
        </is>
      </c>
      <c r="F30" t="inlineStr">
        <is>
          <t>Lic. SIC 2013/03-2 bloques BS1A: Energía dic 2020</t>
        </is>
      </c>
      <c r="G30" t="inlineStr">
        <is>
          <t>2021-01-15 17:46:30</t>
        </is>
      </c>
      <c r="H30" t="n">
        <v>33</v>
      </c>
      <c r="I30" t="n">
        <v>17109</v>
      </c>
      <c r="J30" t="inlineStr">
        <is>
          <t>s</t>
        </is>
      </c>
      <c r="K30" t="inlineStr">
        <is>
          <t>s</t>
        </is>
      </c>
      <c r="L30" t="inlineStr">
        <is>
          <t>BS1A</t>
        </is>
      </c>
      <c r="M30" t="inlineStr">
        <is>
          <t>Caren</t>
        </is>
      </c>
      <c r="N30" t="inlineStr">
        <is>
          <t>Saesa</t>
        </is>
      </c>
      <c r="O30" t="inlineStr">
        <is>
          <t>2013/03-2</t>
        </is>
      </c>
      <c r="P30" t="inlineStr">
        <is>
          <t>SAESA</t>
        </is>
      </c>
      <c r="Q30" t="n">
        <v>9</v>
      </c>
      <c r="R30" t="inlineStr">
        <is>
          <t>TEMUCO 220</t>
        </is>
      </c>
      <c r="S30" t="n">
        <v>1425.864968</v>
      </c>
      <c r="T30" t="n">
        <v>94635</v>
      </c>
      <c r="W30" t="n">
        <v>66.37017</v>
      </c>
    </row>
    <row r="31">
      <c r="A31" t="inlineStr">
        <is>
          <t>01-12-2020</t>
        </is>
      </c>
      <c r="B31" t="inlineStr">
        <is>
          <t>01-12-2020</t>
        </is>
      </c>
      <c r="C31" t="inlineStr">
        <is>
          <t>Licitación Caren y Saesa (SIC 2013/03-2) BS1A</t>
        </is>
      </c>
      <c r="D31" t="inlineStr">
        <is>
          <t>Energia Licitaciones</t>
        </is>
      </c>
      <c r="E31" t="inlineStr">
        <is>
          <t>Energía</t>
        </is>
      </c>
      <c r="F31" t="inlineStr">
        <is>
          <t>Lic. SIC 2013/03-2 bloques BS1A: Energía dic 2020</t>
        </is>
      </c>
      <c r="G31" t="inlineStr">
        <is>
          <t>2021-01-15 17:46:30</t>
        </is>
      </c>
      <c r="H31" t="n">
        <v>33</v>
      </c>
      <c r="I31" t="n">
        <v>17109</v>
      </c>
      <c r="J31" t="inlineStr">
        <is>
          <t>s</t>
        </is>
      </c>
      <c r="K31" t="inlineStr">
        <is>
          <t>s</t>
        </is>
      </c>
      <c r="L31" t="inlineStr">
        <is>
          <t>BS1A</t>
        </is>
      </c>
      <c r="M31" t="inlineStr">
        <is>
          <t>Caren</t>
        </is>
      </c>
      <c r="N31" t="inlineStr">
        <is>
          <t>Saesa</t>
        </is>
      </c>
      <c r="O31" t="inlineStr">
        <is>
          <t>2013/03-2</t>
        </is>
      </c>
      <c r="P31" t="inlineStr">
        <is>
          <t>SAESA</t>
        </is>
      </c>
      <c r="Q31" t="n">
        <v>10</v>
      </c>
      <c r="R31" t="inlineStr">
        <is>
          <t>VALDIVIA 220</t>
        </is>
      </c>
      <c r="S31" t="n">
        <v>14728.465324</v>
      </c>
      <c r="T31" t="n">
        <v>974437</v>
      </c>
      <c r="W31" t="n">
        <v>66.16009</v>
      </c>
    </row>
    <row r="32">
      <c r="A32" t="inlineStr">
        <is>
          <t>01-01-2021</t>
        </is>
      </c>
      <c r="B32" t="inlineStr">
        <is>
          <t>01-01-2021</t>
        </is>
      </c>
      <c r="C32" t="inlineStr">
        <is>
          <t>Licitación Caren y Saesa (SIC 2013/03-2) BS1A</t>
        </is>
      </c>
      <c r="D32" t="inlineStr">
        <is>
          <t>Energia Licitaciones</t>
        </is>
      </c>
      <c r="E32" t="inlineStr">
        <is>
          <t>Energía</t>
        </is>
      </c>
      <c r="F32" t="inlineStr">
        <is>
          <t>Lic. SIC 2013/03-2 bloques BS1A: Energía ene 2021</t>
        </is>
      </c>
      <c r="G32" t="inlineStr">
        <is>
          <t>2021-02-15 22:01:53</t>
        </is>
      </c>
      <c r="H32" t="n">
        <v>33</v>
      </c>
      <c r="I32" t="n">
        <v>17590</v>
      </c>
      <c r="J32" t="inlineStr">
        <is>
          <t>s</t>
        </is>
      </c>
      <c r="K32" t="inlineStr">
        <is>
          <t>s</t>
        </is>
      </c>
      <c r="L32" t="inlineStr">
        <is>
          <t>BS1A</t>
        </is>
      </c>
      <c r="M32" t="inlineStr">
        <is>
          <t>Caren</t>
        </is>
      </c>
      <c r="N32" t="inlineStr">
        <is>
          <t>Saesa</t>
        </is>
      </c>
      <c r="O32" t="inlineStr">
        <is>
          <t>2013/03-2</t>
        </is>
      </c>
      <c r="P32" t="inlineStr">
        <is>
          <t>SAESA</t>
        </is>
      </c>
      <c r="Q32" t="n">
        <v>1</v>
      </c>
      <c r="R32" t="inlineStr">
        <is>
          <t>B.BLANCO 220</t>
        </is>
      </c>
      <c r="S32" t="n">
        <v>16785.956451</v>
      </c>
      <c r="T32" t="n">
        <v>1049861</v>
      </c>
      <c r="W32" t="n">
        <v>62.544</v>
      </c>
    </row>
    <row r="33">
      <c r="A33" t="inlineStr">
        <is>
          <t>01-01-2021</t>
        </is>
      </c>
      <c r="B33" t="inlineStr">
        <is>
          <t>01-01-2021</t>
        </is>
      </c>
      <c r="C33" t="inlineStr">
        <is>
          <t>Licitación Caren y Saesa (SIC 2013/03-2) BS1A</t>
        </is>
      </c>
      <c r="D33" t="inlineStr">
        <is>
          <t>Energia Licitaciones</t>
        </is>
      </c>
      <c r="E33" t="inlineStr">
        <is>
          <t>Energía</t>
        </is>
      </c>
      <c r="F33" t="inlineStr">
        <is>
          <t>Lic. SIC 2013/03-2 bloques BS1A: Energía ene 2021</t>
        </is>
      </c>
      <c r="G33" t="inlineStr">
        <is>
          <t>2021-02-15 22:01:53</t>
        </is>
      </c>
      <c r="H33" t="n">
        <v>33</v>
      </c>
      <c r="I33" t="n">
        <v>17590</v>
      </c>
      <c r="J33" t="inlineStr">
        <is>
          <t>s</t>
        </is>
      </c>
      <c r="K33" t="inlineStr">
        <is>
          <t>s</t>
        </is>
      </c>
      <c r="L33" t="inlineStr">
        <is>
          <t>BS1A</t>
        </is>
      </c>
      <c r="M33" t="inlineStr">
        <is>
          <t>Caren</t>
        </is>
      </c>
      <c r="N33" t="inlineStr">
        <is>
          <t>Saesa</t>
        </is>
      </c>
      <c r="O33" t="inlineStr">
        <is>
          <t>2013/03-2</t>
        </is>
      </c>
      <c r="P33" t="inlineStr">
        <is>
          <t>SAESA</t>
        </is>
      </c>
      <c r="Q33" t="n">
        <v>2</v>
      </c>
      <c r="R33" t="inlineStr">
        <is>
          <t>CAUTIN 220</t>
        </is>
      </c>
      <c r="S33" t="n">
        <v>260.282964</v>
      </c>
      <c r="T33" t="n">
        <v>17379</v>
      </c>
      <c r="W33" t="n">
        <v>66.76900000000001</v>
      </c>
    </row>
    <row r="34">
      <c r="A34" t="inlineStr">
        <is>
          <t>01-01-2021</t>
        </is>
      </c>
      <c r="B34" t="inlineStr">
        <is>
          <t>01-01-2021</t>
        </is>
      </c>
      <c r="C34" t="inlineStr">
        <is>
          <t>Licitación Caren y Saesa (SIC 2013/03-2) BS1A</t>
        </is>
      </c>
      <c r="D34" t="inlineStr">
        <is>
          <t>Energia Licitaciones</t>
        </is>
      </c>
      <c r="E34" t="inlineStr">
        <is>
          <t>Energía</t>
        </is>
      </c>
      <c r="F34" t="inlineStr">
        <is>
          <t>Lic. SIC 2013/03-2 bloques BS1A: Energía ene 2021</t>
        </is>
      </c>
      <c r="G34" t="inlineStr">
        <is>
          <t>2021-02-15 22:01:53</t>
        </is>
      </c>
      <c r="H34" t="n">
        <v>33</v>
      </c>
      <c r="I34" t="n">
        <v>17590</v>
      </c>
      <c r="J34" t="inlineStr">
        <is>
          <t>s</t>
        </is>
      </c>
      <c r="K34" t="inlineStr">
        <is>
          <t>s</t>
        </is>
      </c>
      <c r="L34" t="inlineStr">
        <is>
          <t>BS1A</t>
        </is>
      </c>
      <c r="M34" t="inlineStr">
        <is>
          <t>Caren</t>
        </is>
      </c>
      <c r="N34" t="inlineStr">
        <is>
          <t>Saesa</t>
        </is>
      </c>
      <c r="O34" t="inlineStr">
        <is>
          <t>2013/03-2</t>
        </is>
      </c>
      <c r="P34" t="inlineStr">
        <is>
          <t>SAESA</t>
        </is>
      </c>
      <c r="Q34" t="n">
        <v>3</v>
      </c>
      <c r="R34" t="inlineStr">
        <is>
          <t>CHARRUA 220</t>
        </is>
      </c>
      <c r="S34" t="n">
        <v>7.191619</v>
      </c>
      <c r="T34" t="n">
        <v>487</v>
      </c>
      <c r="W34" t="n">
        <v>67.755</v>
      </c>
    </row>
    <row r="35">
      <c r="A35" t="inlineStr">
        <is>
          <t>01-01-2021</t>
        </is>
      </c>
      <c r="B35" t="inlineStr">
        <is>
          <t>01-01-2021</t>
        </is>
      </c>
      <c r="C35" t="inlineStr">
        <is>
          <t>Licitación Caren y Saesa (SIC 2013/03-2) BS1A</t>
        </is>
      </c>
      <c r="D35" t="inlineStr">
        <is>
          <t>Energia Licitaciones</t>
        </is>
      </c>
      <c r="E35" t="inlineStr">
        <is>
          <t>Energía</t>
        </is>
      </c>
      <c r="F35" t="inlineStr">
        <is>
          <t>Lic. SIC 2013/03-2 bloques BS1A: Energía ene 2021</t>
        </is>
      </c>
      <c r="G35" t="inlineStr">
        <is>
          <t>2021-02-15 22:01:53</t>
        </is>
      </c>
      <c r="H35" t="n">
        <v>33</v>
      </c>
      <c r="I35" t="n">
        <v>17590</v>
      </c>
      <c r="J35" t="inlineStr">
        <is>
          <t>s</t>
        </is>
      </c>
      <c r="K35" t="inlineStr">
        <is>
          <t>s</t>
        </is>
      </c>
      <c r="L35" t="inlineStr">
        <is>
          <t>BS1A</t>
        </is>
      </c>
      <c r="M35" t="inlineStr">
        <is>
          <t>Caren</t>
        </is>
      </c>
      <c r="N35" t="inlineStr">
        <is>
          <t>Saesa</t>
        </is>
      </c>
      <c r="O35" t="inlineStr">
        <is>
          <t>2013/03-2</t>
        </is>
      </c>
      <c r="P35" t="inlineStr">
        <is>
          <t>SAESA</t>
        </is>
      </c>
      <c r="Q35" t="n">
        <v>4</v>
      </c>
      <c r="R35" t="inlineStr">
        <is>
          <t>CHILOE 220</t>
        </is>
      </c>
      <c r="S35" t="n">
        <v>7889.96286</v>
      </c>
      <c r="T35" t="n">
        <v>509021</v>
      </c>
      <c r="W35" t="n">
        <v>64.515</v>
      </c>
    </row>
    <row r="36">
      <c r="A36" t="inlineStr">
        <is>
          <t>01-01-2021</t>
        </is>
      </c>
      <c r="B36" t="inlineStr">
        <is>
          <t>01-01-2021</t>
        </is>
      </c>
      <c r="C36" t="inlineStr">
        <is>
          <t>Licitación Caren y Saesa (SIC 2013/03-2) BS1A</t>
        </is>
      </c>
      <c r="D36" t="inlineStr">
        <is>
          <t>Energia Licitaciones</t>
        </is>
      </c>
      <c r="E36" t="inlineStr">
        <is>
          <t>Energía</t>
        </is>
      </c>
      <c r="F36" t="inlineStr">
        <is>
          <t>Lic. SIC 2013/03-2 bloques BS1A: Energía ene 2021</t>
        </is>
      </c>
      <c r="G36" t="inlineStr">
        <is>
          <t>2021-02-15 22:01:53</t>
        </is>
      </c>
      <c r="H36" t="n">
        <v>33</v>
      </c>
      <c r="I36" t="n">
        <v>17590</v>
      </c>
      <c r="J36" t="inlineStr">
        <is>
          <t>s</t>
        </is>
      </c>
      <c r="K36" t="inlineStr">
        <is>
          <t>s</t>
        </is>
      </c>
      <c r="L36" t="inlineStr">
        <is>
          <t>BS1A</t>
        </is>
      </c>
      <c r="M36" t="inlineStr">
        <is>
          <t>Caren</t>
        </is>
      </c>
      <c r="N36" t="inlineStr">
        <is>
          <t>Saesa</t>
        </is>
      </c>
      <c r="O36" t="inlineStr">
        <is>
          <t>2013/03-2</t>
        </is>
      </c>
      <c r="P36" t="inlineStr">
        <is>
          <t>SAESA</t>
        </is>
      </c>
      <c r="Q36" t="n">
        <v>5</v>
      </c>
      <c r="R36" t="inlineStr">
        <is>
          <t>CIRUELOS 220</t>
        </is>
      </c>
      <c r="S36" t="n">
        <v>1044.805774</v>
      </c>
      <c r="T36" t="n">
        <v>67717</v>
      </c>
      <c r="W36" t="n">
        <v>64.813</v>
      </c>
    </row>
    <row r="37">
      <c r="A37" t="inlineStr">
        <is>
          <t>01-01-2021</t>
        </is>
      </c>
      <c r="B37" t="inlineStr">
        <is>
          <t>01-01-2021</t>
        </is>
      </c>
      <c r="C37" t="inlineStr">
        <is>
          <t>Licitación Caren y Saesa (SIC 2013/03-2) BS1A</t>
        </is>
      </c>
      <c r="D37" t="inlineStr">
        <is>
          <t>Energia Licitaciones</t>
        </is>
      </c>
      <c r="E37" t="inlineStr">
        <is>
          <t>Energía</t>
        </is>
      </c>
      <c r="F37" t="inlineStr">
        <is>
          <t>Lic. SIC 2013/03-2 bloques BS1A: Energía ene 2021</t>
        </is>
      </c>
      <c r="G37" t="inlineStr">
        <is>
          <t>2021-02-15 22:01:53</t>
        </is>
      </c>
      <c r="H37" t="n">
        <v>33</v>
      </c>
      <c r="I37" t="n">
        <v>17590</v>
      </c>
      <c r="J37" t="inlineStr">
        <is>
          <t>s</t>
        </is>
      </c>
      <c r="K37" t="inlineStr">
        <is>
          <t>s</t>
        </is>
      </c>
      <c r="L37" t="inlineStr">
        <is>
          <t>BS1A</t>
        </is>
      </c>
      <c r="M37" t="inlineStr">
        <is>
          <t>Caren</t>
        </is>
      </c>
      <c r="N37" t="inlineStr">
        <is>
          <t>Saesa</t>
        </is>
      </c>
      <c r="O37" t="inlineStr">
        <is>
          <t>2013/03-2</t>
        </is>
      </c>
      <c r="P37" t="inlineStr">
        <is>
          <t>SAESA</t>
        </is>
      </c>
      <c r="Q37" t="n">
        <v>6</v>
      </c>
      <c r="R37" t="inlineStr">
        <is>
          <t>D.ALMAGRO 220</t>
        </is>
      </c>
      <c r="S37" t="n">
        <v>501.034468</v>
      </c>
      <c r="T37" t="n">
        <v>35618</v>
      </c>
      <c r="W37" t="n">
        <v>71.08799999999999</v>
      </c>
    </row>
    <row r="38">
      <c r="A38" t="inlineStr">
        <is>
          <t>01-01-2021</t>
        </is>
      </c>
      <c r="B38" t="inlineStr">
        <is>
          <t>01-01-2021</t>
        </is>
      </c>
      <c r="C38" t="inlineStr">
        <is>
          <t>Licitación Caren y Saesa (SIC 2013/03-2) BS1A</t>
        </is>
      </c>
      <c r="D38" t="inlineStr">
        <is>
          <t>Energia Licitaciones</t>
        </is>
      </c>
      <c r="E38" t="inlineStr">
        <is>
          <t>Energía</t>
        </is>
      </c>
      <c r="F38" t="inlineStr">
        <is>
          <t>Lic. SIC 2013/03-2 bloques BS1A: Energía ene 2021</t>
        </is>
      </c>
      <c r="G38" t="inlineStr">
        <is>
          <t>2021-02-15 22:01:53</t>
        </is>
      </c>
      <c r="H38" t="n">
        <v>33</v>
      </c>
      <c r="I38" t="n">
        <v>17590</v>
      </c>
      <c r="J38" t="inlineStr">
        <is>
          <t>s</t>
        </is>
      </c>
      <c r="K38" t="inlineStr">
        <is>
          <t>s</t>
        </is>
      </c>
      <c r="L38" t="inlineStr">
        <is>
          <t>BS1A</t>
        </is>
      </c>
      <c r="M38" t="inlineStr">
        <is>
          <t>Caren</t>
        </is>
      </c>
      <c r="N38" t="inlineStr">
        <is>
          <t>Saesa</t>
        </is>
      </c>
      <c r="O38" t="inlineStr">
        <is>
          <t>2013/03-2</t>
        </is>
      </c>
      <c r="P38" t="inlineStr">
        <is>
          <t>SAESA</t>
        </is>
      </c>
      <c r="Q38" t="n">
        <v>7</v>
      </c>
      <c r="R38" t="inlineStr">
        <is>
          <t>MELIPULLI 220</t>
        </is>
      </c>
      <c r="S38" t="n">
        <v>22454.209524</v>
      </c>
      <c r="T38" t="n">
        <v>1436126</v>
      </c>
      <c r="W38" t="n">
        <v>63.958</v>
      </c>
    </row>
    <row r="39">
      <c r="A39" t="inlineStr">
        <is>
          <t>01-01-2021</t>
        </is>
      </c>
      <c r="B39" t="inlineStr">
        <is>
          <t>01-01-2021</t>
        </is>
      </c>
      <c r="C39" t="inlineStr">
        <is>
          <t>Licitación Caren y Saesa (SIC 2013/03-2) BS1A</t>
        </is>
      </c>
      <c r="D39" t="inlineStr">
        <is>
          <t>Energia Licitaciones</t>
        </is>
      </c>
      <c r="E39" t="inlineStr">
        <is>
          <t>Energía</t>
        </is>
      </c>
      <c r="F39" t="inlineStr">
        <is>
          <t>Lic. SIC 2013/03-2 bloques BS1A: Energía ene 2021</t>
        </is>
      </c>
      <c r="G39" t="inlineStr">
        <is>
          <t>2021-02-15 22:01:53</t>
        </is>
      </c>
      <c r="H39" t="n">
        <v>33</v>
      </c>
      <c r="I39" t="n">
        <v>17590</v>
      </c>
      <c r="J39" t="inlineStr">
        <is>
          <t>s</t>
        </is>
      </c>
      <c r="K39" t="inlineStr">
        <is>
          <t>s</t>
        </is>
      </c>
      <c r="L39" t="inlineStr">
        <is>
          <t>BS1A</t>
        </is>
      </c>
      <c r="M39" t="inlineStr">
        <is>
          <t>Caren</t>
        </is>
      </c>
      <c r="N39" t="inlineStr">
        <is>
          <t>Saesa</t>
        </is>
      </c>
      <c r="O39" t="inlineStr">
        <is>
          <t>2013/03-2</t>
        </is>
      </c>
      <c r="P39" t="inlineStr">
        <is>
          <t>SAESA</t>
        </is>
      </c>
      <c r="Q39" t="n">
        <v>8</v>
      </c>
      <c r="R39" t="inlineStr">
        <is>
          <t>P.MONTT 220</t>
        </is>
      </c>
      <c r="S39" t="n">
        <v>0</v>
      </c>
      <c r="T39" t="n">
        <v>0</v>
      </c>
      <c r="W39" t="n">
        <v>63.957</v>
      </c>
    </row>
    <row r="40">
      <c r="A40" t="inlineStr">
        <is>
          <t>01-01-2021</t>
        </is>
      </c>
      <c r="B40" t="inlineStr">
        <is>
          <t>01-01-2021</t>
        </is>
      </c>
      <c r="C40" t="inlineStr">
        <is>
          <t>Licitación Caren y Saesa (SIC 2013/03-2) BS1A</t>
        </is>
      </c>
      <c r="D40" t="inlineStr">
        <is>
          <t>Energia Licitaciones</t>
        </is>
      </c>
      <c r="E40" t="inlineStr">
        <is>
          <t>Energía</t>
        </is>
      </c>
      <c r="F40" t="inlineStr">
        <is>
          <t>Lic. SIC 2013/03-2 bloques BS1A: Energía ene 2021</t>
        </is>
      </c>
      <c r="G40" t="inlineStr">
        <is>
          <t>2021-02-15 22:01:53</t>
        </is>
      </c>
      <c r="H40" t="n">
        <v>33</v>
      </c>
      <c r="I40" t="n">
        <v>17590</v>
      </c>
      <c r="J40" t="inlineStr">
        <is>
          <t>s</t>
        </is>
      </c>
      <c r="K40" t="inlineStr">
        <is>
          <t>s</t>
        </is>
      </c>
      <c r="L40" t="inlineStr">
        <is>
          <t>BS1A</t>
        </is>
      </c>
      <c r="M40" t="inlineStr">
        <is>
          <t>Caren</t>
        </is>
      </c>
      <c r="N40" t="inlineStr">
        <is>
          <t>Saesa</t>
        </is>
      </c>
      <c r="O40" t="inlineStr">
        <is>
          <t>2013/03-2</t>
        </is>
      </c>
      <c r="P40" t="inlineStr">
        <is>
          <t>SAESA</t>
        </is>
      </c>
      <c r="Q40" t="n">
        <v>9</v>
      </c>
      <c r="R40" t="inlineStr">
        <is>
          <t>TEMUCO 220</t>
        </is>
      </c>
      <c r="S40" t="n">
        <v>1378.769834</v>
      </c>
      <c r="T40" t="n">
        <v>91509</v>
      </c>
      <c r="W40" t="n">
        <v>66.37</v>
      </c>
    </row>
    <row r="41">
      <c r="A41" t="inlineStr">
        <is>
          <t>01-01-2021</t>
        </is>
      </c>
      <c r="B41" t="inlineStr">
        <is>
          <t>01-01-2021</t>
        </is>
      </c>
      <c r="C41" t="inlineStr">
        <is>
          <t>Licitación Caren y Saesa (SIC 2013/03-2) BS1A</t>
        </is>
      </c>
      <c r="D41" t="inlineStr">
        <is>
          <t>Energia Licitaciones</t>
        </is>
      </c>
      <c r="E41" t="inlineStr">
        <is>
          <t>Energía</t>
        </is>
      </c>
      <c r="F41" t="inlineStr">
        <is>
          <t>Lic. SIC 2013/03-2 bloques BS1A: Energía ene 2021</t>
        </is>
      </c>
      <c r="G41" t="inlineStr">
        <is>
          <t>2021-02-15 22:01:53</t>
        </is>
      </c>
      <c r="H41" t="n">
        <v>33</v>
      </c>
      <c r="I41" t="n">
        <v>17590</v>
      </c>
      <c r="J41" t="inlineStr">
        <is>
          <t>s</t>
        </is>
      </c>
      <c r="K41" t="inlineStr">
        <is>
          <t>s</t>
        </is>
      </c>
      <c r="L41" t="inlineStr">
        <is>
          <t>BS1A</t>
        </is>
      </c>
      <c r="M41" t="inlineStr">
        <is>
          <t>Caren</t>
        </is>
      </c>
      <c r="N41" t="inlineStr">
        <is>
          <t>Saesa</t>
        </is>
      </c>
      <c r="O41" t="inlineStr">
        <is>
          <t>2013/03-2</t>
        </is>
      </c>
      <c r="P41" t="inlineStr">
        <is>
          <t>SAESA</t>
        </is>
      </c>
      <c r="Q41" t="n">
        <v>10</v>
      </c>
      <c r="R41" t="inlineStr">
        <is>
          <t>VALDIVIA 220</t>
        </is>
      </c>
      <c r="S41" t="n">
        <v>12826.625334</v>
      </c>
      <c r="T41" t="n">
        <v>848610</v>
      </c>
      <c r="W41" t="n">
        <v>66.16</v>
      </c>
    </row>
    <row r="42">
      <c r="A42" t="inlineStr">
        <is>
          <t>01-02-2021</t>
        </is>
      </c>
      <c r="B42" t="inlineStr">
        <is>
          <t>01-02-2021</t>
        </is>
      </c>
      <c r="C42" t="inlineStr">
        <is>
          <t>Licitación Caren y Saesa (SIC 2013/03-2) BS1A</t>
        </is>
      </c>
      <c r="D42" t="inlineStr">
        <is>
          <t>Energia Licitaciones</t>
        </is>
      </c>
      <c r="E42" t="inlineStr">
        <is>
          <t>Energía</t>
        </is>
      </c>
      <c r="F42" t="inlineStr">
        <is>
          <t>Lic. SIC 2013/03-2 bloques BS1A: Energía feb 2021</t>
        </is>
      </c>
      <c r="G42" t="inlineStr">
        <is>
          <t>2021-03-12 18:49:41</t>
        </is>
      </c>
      <c r="H42" t="n">
        <v>33</v>
      </c>
      <c r="I42" t="n">
        <v>17833</v>
      </c>
      <c r="J42" t="inlineStr">
        <is>
          <t>s</t>
        </is>
      </c>
      <c r="K42" t="inlineStr">
        <is>
          <t>s</t>
        </is>
      </c>
      <c r="L42" t="inlineStr">
        <is>
          <t>BS1A</t>
        </is>
      </c>
      <c r="M42" t="inlineStr">
        <is>
          <t>Caren</t>
        </is>
      </c>
      <c r="N42" t="inlineStr">
        <is>
          <t>Saesa</t>
        </is>
      </c>
      <c r="O42" t="inlineStr">
        <is>
          <t>2013/03-2</t>
        </is>
      </c>
      <c r="P42" t="inlineStr">
        <is>
          <t>SAESA</t>
        </is>
      </c>
      <c r="Q42" t="n">
        <v>1</v>
      </c>
      <c r="R42" t="inlineStr">
        <is>
          <t>B.BLANCO 220</t>
        </is>
      </c>
      <c r="S42" t="n">
        <v>16047.704149</v>
      </c>
      <c r="T42" t="n">
        <v>1003688</v>
      </c>
      <c r="W42" t="n">
        <v>62.544</v>
      </c>
    </row>
    <row r="43">
      <c r="A43" t="inlineStr">
        <is>
          <t>01-02-2021</t>
        </is>
      </c>
      <c r="B43" t="inlineStr">
        <is>
          <t>01-02-2021</t>
        </is>
      </c>
      <c r="C43" t="inlineStr">
        <is>
          <t>Licitación Caren y Saesa (SIC 2013/03-2) BS1A</t>
        </is>
      </c>
      <c r="D43" t="inlineStr">
        <is>
          <t>Energia Licitaciones</t>
        </is>
      </c>
      <c r="E43" t="inlineStr">
        <is>
          <t>Energía</t>
        </is>
      </c>
      <c r="F43" t="inlineStr">
        <is>
          <t>Lic. SIC 2013/03-2 bloques BS1A: Energía feb 2021</t>
        </is>
      </c>
      <c r="G43" t="inlineStr">
        <is>
          <t>2021-03-12 18:49:41</t>
        </is>
      </c>
      <c r="H43" t="n">
        <v>33</v>
      </c>
      <c r="I43" t="n">
        <v>17833</v>
      </c>
      <c r="J43" t="inlineStr">
        <is>
          <t>s</t>
        </is>
      </c>
      <c r="K43" t="inlineStr">
        <is>
          <t>s</t>
        </is>
      </c>
      <c r="L43" t="inlineStr">
        <is>
          <t>BS1A</t>
        </is>
      </c>
      <c r="M43" t="inlineStr">
        <is>
          <t>Caren</t>
        </is>
      </c>
      <c r="N43" t="inlineStr">
        <is>
          <t>Saesa</t>
        </is>
      </c>
      <c r="O43" t="inlineStr">
        <is>
          <t>2013/03-2</t>
        </is>
      </c>
      <c r="P43" t="inlineStr">
        <is>
          <t>SAESA</t>
        </is>
      </c>
      <c r="Q43" t="n">
        <v>2</v>
      </c>
      <c r="R43" t="inlineStr">
        <is>
          <t>CAUTIN 220</t>
        </is>
      </c>
      <c r="S43" t="n">
        <v>259.855867</v>
      </c>
      <c r="T43" t="n">
        <v>17350</v>
      </c>
      <c r="W43" t="n">
        <v>66.76900000000001</v>
      </c>
    </row>
    <row r="44">
      <c r="A44" t="inlineStr">
        <is>
          <t>01-02-2021</t>
        </is>
      </c>
      <c r="B44" t="inlineStr">
        <is>
          <t>01-02-2021</t>
        </is>
      </c>
      <c r="C44" t="inlineStr">
        <is>
          <t>Licitación Caren y Saesa (SIC 2013/03-2) BS1A</t>
        </is>
      </c>
      <c r="D44" t="inlineStr">
        <is>
          <t>Energia Licitaciones</t>
        </is>
      </c>
      <c r="E44" t="inlineStr">
        <is>
          <t>Energía</t>
        </is>
      </c>
      <c r="F44" t="inlineStr">
        <is>
          <t>Lic. SIC 2013/03-2 bloques BS1A: Energía feb 2021</t>
        </is>
      </c>
      <c r="G44" t="inlineStr">
        <is>
          <t>2021-03-12 18:49:41</t>
        </is>
      </c>
      <c r="H44" t="n">
        <v>33</v>
      </c>
      <c r="I44" t="n">
        <v>17833</v>
      </c>
      <c r="J44" t="inlineStr">
        <is>
          <t>s</t>
        </is>
      </c>
      <c r="K44" t="inlineStr">
        <is>
          <t>s</t>
        </is>
      </c>
      <c r="L44" t="inlineStr">
        <is>
          <t>BS1A</t>
        </is>
      </c>
      <c r="M44" t="inlineStr">
        <is>
          <t>Caren</t>
        </is>
      </c>
      <c r="N44" t="inlineStr">
        <is>
          <t>Saesa</t>
        </is>
      </c>
      <c r="O44" t="inlineStr">
        <is>
          <t>2013/03-2</t>
        </is>
      </c>
      <c r="P44" t="inlineStr">
        <is>
          <t>SAESA</t>
        </is>
      </c>
      <c r="Q44" t="n">
        <v>3</v>
      </c>
      <c r="R44" t="inlineStr">
        <is>
          <t>CHARRUA 220</t>
        </is>
      </c>
      <c r="S44" t="n">
        <v>7.179818</v>
      </c>
      <c r="T44" t="n">
        <v>486</v>
      </c>
      <c r="W44" t="n">
        <v>67.755</v>
      </c>
    </row>
    <row r="45">
      <c r="A45" t="inlineStr">
        <is>
          <t>01-02-2021</t>
        </is>
      </c>
      <c r="B45" t="inlineStr">
        <is>
          <t>01-02-2021</t>
        </is>
      </c>
      <c r="C45" t="inlineStr">
        <is>
          <t>Licitación Caren y Saesa (SIC 2013/03-2) BS1A</t>
        </is>
      </c>
      <c r="D45" t="inlineStr">
        <is>
          <t>Energia Licitaciones</t>
        </is>
      </c>
      <c r="E45" t="inlineStr">
        <is>
          <t>Energía</t>
        </is>
      </c>
      <c r="F45" t="inlineStr">
        <is>
          <t>Lic. SIC 2013/03-2 bloques BS1A: Energía feb 2021</t>
        </is>
      </c>
      <c r="G45" t="inlineStr">
        <is>
          <t>2021-03-12 18:49:41</t>
        </is>
      </c>
      <c r="H45" t="n">
        <v>33</v>
      </c>
      <c r="I45" t="n">
        <v>17833</v>
      </c>
      <c r="J45" t="inlineStr">
        <is>
          <t>s</t>
        </is>
      </c>
      <c r="K45" t="inlineStr">
        <is>
          <t>s</t>
        </is>
      </c>
      <c r="L45" t="inlineStr">
        <is>
          <t>BS1A</t>
        </is>
      </c>
      <c r="M45" t="inlineStr">
        <is>
          <t>Caren</t>
        </is>
      </c>
      <c r="N45" t="inlineStr">
        <is>
          <t>Saesa</t>
        </is>
      </c>
      <c r="O45" t="inlineStr">
        <is>
          <t>2013/03-2</t>
        </is>
      </c>
      <c r="P45" t="inlineStr">
        <is>
          <t>SAESA</t>
        </is>
      </c>
      <c r="Q45" t="n">
        <v>4</v>
      </c>
      <c r="R45" t="inlineStr">
        <is>
          <t>CHILOE 220</t>
        </is>
      </c>
      <c r="S45" t="n">
        <v>7287.69229</v>
      </c>
      <c r="T45" t="n">
        <v>470165</v>
      </c>
      <c r="W45" t="n">
        <v>64.515</v>
      </c>
    </row>
    <row r="46">
      <c r="A46" t="inlineStr">
        <is>
          <t>01-02-2021</t>
        </is>
      </c>
      <c r="B46" t="inlineStr">
        <is>
          <t>01-02-2021</t>
        </is>
      </c>
      <c r="C46" t="inlineStr">
        <is>
          <t>Licitación Caren y Saesa (SIC 2013/03-2) BS1A</t>
        </is>
      </c>
      <c r="D46" t="inlineStr">
        <is>
          <t>Energia Licitaciones</t>
        </is>
      </c>
      <c r="E46" t="inlineStr">
        <is>
          <t>Energía</t>
        </is>
      </c>
      <c r="F46" t="inlineStr">
        <is>
          <t>Lic. SIC 2013/03-2 bloques BS1A: Energía feb 2021</t>
        </is>
      </c>
      <c r="G46" t="inlineStr">
        <is>
          <t>2021-03-12 18:49:41</t>
        </is>
      </c>
      <c r="H46" t="n">
        <v>33</v>
      </c>
      <c r="I46" t="n">
        <v>17833</v>
      </c>
      <c r="J46" t="inlineStr">
        <is>
          <t>s</t>
        </is>
      </c>
      <c r="K46" t="inlineStr">
        <is>
          <t>s</t>
        </is>
      </c>
      <c r="L46" t="inlineStr">
        <is>
          <t>BS1A</t>
        </is>
      </c>
      <c r="M46" t="inlineStr">
        <is>
          <t>Caren</t>
        </is>
      </c>
      <c r="N46" t="inlineStr">
        <is>
          <t>Saesa</t>
        </is>
      </c>
      <c r="O46" t="inlineStr">
        <is>
          <t>2013/03-2</t>
        </is>
      </c>
      <c r="P46" t="inlineStr">
        <is>
          <t>SAESA</t>
        </is>
      </c>
      <c r="Q46" t="n">
        <v>5</v>
      </c>
      <c r="R46" t="inlineStr">
        <is>
          <t>CIRUELOS 220</t>
        </is>
      </c>
      <c r="S46" t="n">
        <v>1057.591341</v>
      </c>
      <c r="T46" t="n">
        <v>68546</v>
      </c>
      <c r="W46" t="n">
        <v>64.813</v>
      </c>
    </row>
    <row r="47">
      <c r="A47" t="inlineStr">
        <is>
          <t>01-02-2021</t>
        </is>
      </c>
      <c r="B47" t="inlineStr">
        <is>
          <t>01-02-2021</t>
        </is>
      </c>
      <c r="C47" t="inlineStr">
        <is>
          <t>Licitación Caren y Saesa (SIC 2013/03-2) BS1A</t>
        </is>
      </c>
      <c r="D47" t="inlineStr">
        <is>
          <t>Energia Licitaciones</t>
        </is>
      </c>
      <c r="E47" t="inlineStr">
        <is>
          <t>Energía</t>
        </is>
      </c>
      <c r="F47" t="inlineStr">
        <is>
          <t>Lic. SIC 2013/03-2 bloques BS1A: Energía feb 2021</t>
        </is>
      </c>
      <c r="G47" t="inlineStr">
        <is>
          <t>2021-03-12 18:49:41</t>
        </is>
      </c>
      <c r="H47" t="n">
        <v>33</v>
      </c>
      <c r="I47" t="n">
        <v>17833</v>
      </c>
      <c r="J47" t="inlineStr">
        <is>
          <t>s</t>
        </is>
      </c>
      <c r="K47" t="inlineStr">
        <is>
          <t>s</t>
        </is>
      </c>
      <c r="L47" t="inlineStr">
        <is>
          <t>BS1A</t>
        </is>
      </c>
      <c r="M47" t="inlineStr">
        <is>
          <t>Caren</t>
        </is>
      </c>
      <c r="N47" t="inlineStr">
        <is>
          <t>Saesa</t>
        </is>
      </c>
      <c r="O47" t="inlineStr">
        <is>
          <t>2013/03-2</t>
        </is>
      </c>
      <c r="P47" t="inlineStr">
        <is>
          <t>SAESA</t>
        </is>
      </c>
      <c r="Q47" t="n">
        <v>6</v>
      </c>
      <c r="R47" t="inlineStr">
        <is>
          <t>D.ALMAGRO 220</t>
        </is>
      </c>
      <c r="S47" t="n">
        <v>459.367081</v>
      </c>
      <c r="T47" t="n">
        <v>32655</v>
      </c>
      <c r="W47" t="n">
        <v>71.08799999999999</v>
      </c>
    </row>
    <row r="48">
      <c r="A48" t="inlineStr">
        <is>
          <t>01-02-2021</t>
        </is>
      </c>
      <c r="B48" t="inlineStr">
        <is>
          <t>01-02-2021</t>
        </is>
      </c>
      <c r="C48" t="inlineStr">
        <is>
          <t>Licitación Caren y Saesa (SIC 2013/03-2) BS1A</t>
        </is>
      </c>
      <c r="D48" t="inlineStr">
        <is>
          <t>Energia Licitaciones</t>
        </is>
      </c>
      <c r="E48" t="inlineStr">
        <is>
          <t>Energía</t>
        </is>
      </c>
      <c r="F48" t="inlineStr">
        <is>
          <t>Lic. SIC 2013/03-2 bloques BS1A: Energía feb 2021</t>
        </is>
      </c>
      <c r="G48" t="inlineStr">
        <is>
          <t>2021-03-12 18:49:41</t>
        </is>
      </c>
      <c r="H48" t="n">
        <v>33</v>
      </c>
      <c r="I48" t="n">
        <v>17833</v>
      </c>
      <c r="J48" t="inlineStr">
        <is>
          <t>s</t>
        </is>
      </c>
      <c r="K48" t="inlineStr">
        <is>
          <t>s</t>
        </is>
      </c>
      <c r="L48" t="inlineStr">
        <is>
          <t>BS1A</t>
        </is>
      </c>
      <c r="M48" t="inlineStr">
        <is>
          <t>Caren</t>
        </is>
      </c>
      <c r="N48" t="inlineStr">
        <is>
          <t>Saesa</t>
        </is>
      </c>
      <c r="O48" t="inlineStr">
        <is>
          <t>2013/03-2</t>
        </is>
      </c>
      <c r="P48" t="inlineStr">
        <is>
          <t>SAESA</t>
        </is>
      </c>
      <c r="Q48" t="n">
        <v>7</v>
      </c>
      <c r="R48" t="inlineStr">
        <is>
          <t>MELIPULLI 220</t>
        </is>
      </c>
      <c r="S48" t="n">
        <v>20556.443797</v>
      </c>
      <c r="T48" t="n">
        <v>1314749</v>
      </c>
      <c r="W48" t="n">
        <v>63.958</v>
      </c>
    </row>
    <row r="49">
      <c r="A49" t="inlineStr">
        <is>
          <t>01-02-2021</t>
        </is>
      </c>
      <c r="B49" t="inlineStr">
        <is>
          <t>01-02-2021</t>
        </is>
      </c>
      <c r="C49" t="inlineStr">
        <is>
          <t>Licitación Caren y Saesa (SIC 2013/03-2) BS1A</t>
        </is>
      </c>
      <c r="D49" t="inlineStr">
        <is>
          <t>Energia Licitaciones</t>
        </is>
      </c>
      <c r="E49" t="inlineStr">
        <is>
          <t>Energía</t>
        </is>
      </c>
      <c r="F49" t="inlineStr">
        <is>
          <t>Lic. SIC 2013/03-2 bloques BS1A: Energía feb 2021</t>
        </is>
      </c>
      <c r="G49" t="inlineStr">
        <is>
          <t>2021-03-12 18:49:41</t>
        </is>
      </c>
      <c r="H49" t="n">
        <v>33</v>
      </c>
      <c r="I49" t="n">
        <v>17833</v>
      </c>
      <c r="J49" t="inlineStr">
        <is>
          <t>s</t>
        </is>
      </c>
      <c r="K49" t="inlineStr">
        <is>
          <t>s</t>
        </is>
      </c>
      <c r="L49" t="inlineStr">
        <is>
          <t>BS1A</t>
        </is>
      </c>
      <c r="M49" t="inlineStr">
        <is>
          <t>Caren</t>
        </is>
      </c>
      <c r="N49" t="inlineStr">
        <is>
          <t>Saesa</t>
        </is>
      </c>
      <c r="O49" t="inlineStr">
        <is>
          <t>2013/03-2</t>
        </is>
      </c>
      <c r="P49" t="inlineStr">
        <is>
          <t>SAESA</t>
        </is>
      </c>
      <c r="Q49" t="n">
        <v>8</v>
      </c>
      <c r="R49" t="inlineStr">
        <is>
          <t>P.MONTT 220</t>
        </is>
      </c>
      <c r="S49" t="n">
        <v>0</v>
      </c>
      <c r="T49" t="n">
        <v>0</v>
      </c>
      <c r="W49" t="n">
        <v>63.957</v>
      </c>
    </row>
    <row r="50">
      <c r="A50" t="inlineStr">
        <is>
          <t>01-02-2021</t>
        </is>
      </c>
      <c r="B50" t="inlineStr">
        <is>
          <t>01-02-2021</t>
        </is>
      </c>
      <c r="C50" t="inlineStr">
        <is>
          <t>Licitación Caren y Saesa (SIC 2013/03-2) BS1A</t>
        </is>
      </c>
      <c r="D50" t="inlineStr">
        <is>
          <t>Energia Licitaciones</t>
        </is>
      </c>
      <c r="E50" t="inlineStr">
        <is>
          <t>Energía</t>
        </is>
      </c>
      <c r="F50" t="inlineStr">
        <is>
          <t>Lic. SIC 2013/03-2 bloques BS1A: Energía feb 2021</t>
        </is>
      </c>
      <c r="G50" t="inlineStr">
        <is>
          <t>2021-03-12 18:49:41</t>
        </is>
      </c>
      <c r="H50" t="n">
        <v>33</v>
      </c>
      <c r="I50" t="n">
        <v>17833</v>
      </c>
      <c r="J50" t="inlineStr">
        <is>
          <t>s</t>
        </is>
      </c>
      <c r="K50" t="inlineStr">
        <is>
          <t>s</t>
        </is>
      </c>
      <c r="L50" t="inlineStr">
        <is>
          <t>BS1A</t>
        </is>
      </c>
      <c r="M50" t="inlineStr">
        <is>
          <t>Caren</t>
        </is>
      </c>
      <c r="N50" t="inlineStr">
        <is>
          <t>Saesa</t>
        </is>
      </c>
      <c r="O50" t="inlineStr">
        <is>
          <t>2013/03-2</t>
        </is>
      </c>
      <c r="P50" t="inlineStr">
        <is>
          <t>SAESA</t>
        </is>
      </c>
      <c r="Q50" t="n">
        <v>9</v>
      </c>
      <c r="R50" t="inlineStr">
        <is>
          <t>TEMUCO 220</t>
        </is>
      </c>
      <c r="S50" t="n">
        <v>1376.507419</v>
      </c>
      <c r="T50" t="n">
        <v>91359</v>
      </c>
      <c r="W50" t="n">
        <v>66.37</v>
      </c>
    </row>
    <row r="51">
      <c r="A51" t="inlineStr">
        <is>
          <t>01-02-2021</t>
        </is>
      </c>
      <c r="B51" t="inlineStr">
        <is>
          <t>01-02-2021</t>
        </is>
      </c>
      <c r="C51" t="inlineStr">
        <is>
          <t>Licitación Caren y Saesa (SIC 2013/03-2) BS1A</t>
        </is>
      </c>
      <c r="D51" t="inlineStr">
        <is>
          <t>Energia Licitaciones</t>
        </is>
      </c>
      <c r="E51" t="inlineStr">
        <is>
          <t>Energía</t>
        </is>
      </c>
      <c r="F51" t="inlineStr">
        <is>
          <t>Lic. SIC 2013/03-2 bloques BS1A: Energía feb 2021</t>
        </is>
      </c>
      <c r="G51" t="inlineStr">
        <is>
          <t>2021-03-12 18:49:41</t>
        </is>
      </c>
      <c r="H51" t="n">
        <v>33</v>
      </c>
      <c r="I51" t="n">
        <v>17833</v>
      </c>
      <c r="J51" t="inlineStr">
        <is>
          <t>s</t>
        </is>
      </c>
      <c r="K51" t="inlineStr">
        <is>
          <t>s</t>
        </is>
      </c>
      <c r="L51" t="inlineStr">
        <is>
          <t>BS1A</t>
        </is>
      </c>
      <c r="M51" t="inlineStr">
        <is>
          <t>Caren</t>
        </is>
      </c>
      <c r="N51" t="inlineStr">
        <is>
          <t>Saesa</t>
        </is>
      </c>
      <c r="O51" t="inlineStr">
        <is>
          <t>2013/03-2</t>
        </is>
      </c>
      <c r="P51" t="inlineStr">
        <is>
          <t>SAESA</t>
        </is>
      </c>
      <c r="Q51" t="n">
        <v>10</v>
      </c>
      <c r="R51" t="inlineStr">
        <is>
          <t>VALDIVIA 220</t>
        </is>
      </c>
      <c r="S51" t="n">
        <v>12256.292219</v>
      </c>
      <c r="T51" t="n">
        <v>810876</v>
      </c>
      <c r="W51" t="n">
        <v>66.16</v>
      </c>
    </row>
    <row r="52">
      <c r="A52" t="inlineStr">
        <is>
          <t>01-03-2021</t>
        </is>
      </c>
      <c r="B52" t="inlineStr">
        <is>
          <t>01-03-2021</t>
        </is>
      </c>
      <c r="C52" t="inlineStr">
        <is>
          <t>Licitación Caren y Saesa (SIC 2013/03-2) BS1A</t>
        </is>
      </c>
      <c r="D52" t="inlineStr">
        <is>
          <t>Energia Licitaciones</t>
        </is>
      </c>
      <c r="E52" t="inlineStr">
        <is>
          <t>Energía</t>
        </is>
      </c>
      <c r="F52" t="inlineStr">
        <is>
          <t>Lic. SIC 2013/03-2 bloques BS1A: Energía mar 2021</t>
        </is>
      </c>
      <c r="G52" t="inlineStr">
        <is>
          <t>2021-04-14 10:22:12</t>
        </is>
      </c>
      <c r="H52" t="n">
        <v>33</v>
      </c>
      <c r="I52" t="n">
        <v>18465</v>
      </c>
      <c r="J52" t="inlineStr">
        <is>
          <t>s</t>
        </is>
      </c>
      <c r="K52" t="inlineStr">
        <is>
          <t>s</t>
        </is>
      </c>
      <c r="L52" t="inlineStr">
        <is>
          <t>BS1A</t>
        </is>
      </c>
      <c r="M52" t="inlineStr">
        <is>
          <t>Caren</t>
        </is>
      </c>
      <c r="N52" t="inlineStr">
        <is>
          <t>Saesa</t>
        </is>
      </c>
      <c r="O52" t="inlineStr">
        <is>
          <t>2013/03-2</t>
        </is>
      </c>
      <c r="P52" t="inlineStr">
        <is>
          <t>SAESA</t>
        </is>
      </c>
      <c r="Q52" t="n">
        <v>1</v>
      </c>
      <c r="R52" t="inlineStr">
        <is>
          <t>B.BLANCO 220</t>
        </is>
      </c>
      <c r="S52" t="n">
        <v>17997.390646</v>
      </c>
      <c r="T52" t="n">
        <v>1253392</v>
      </c>
      <c r="W52" t="n">
        <v>69.643</v>
      </c>
    </row>
    <row r="53">
      <c r="A53" t="inlineStr">
        <is>
          <t>01-03-2021</t>
        </is>
      </c>
      <c r="B53" t="inlineStr">
        <is>
          <t>01-03-2021</t>
        </is>
      </c>
      <c r="C53" t="inlineStr">
        <is>
          <t>Licitación Caren y Saesa (SIC 2013/03-2) BS1A</t>
        </is>
      </c>
      <c r="D53" t="inlineStr">
        <is>
          <t>Energia Licitaciones</t>
        </is>
      </c>
      <c r="E53" t="inlineStr">
        <is>
          <t>Energía</t>
        </is>
      </c>
      <c r="F53" t="inlineStr">
        <is>
          <t>Lic. SIC 2013/03-2 bloques BS1A: Energía mar 2021</t>
        </is>
      </c>
      <c r="G53" t="inlineStr">
        <is>
          <t>2021-04-14 10:22:12</t>
        </is>
      </c>
      <c r="H53" t="n">
        <v>33</v>
      </c>
      <c r="I53" t="n">
        <v>18465</v>
      </c>
      <c r="J53" t="inlineStr">
        <is>
          <t>s</t>
        </is>
      </c>
      <c r="K53" t="inlineStr">
        <is>
          <t>s</t>
        </is>
      </c>
      <c r="L53" t="inlineStr">
        <is>
          <t>BS1A</t>
        </is>
      </c>
      <c r="M53" t="inlineStr">
        <is>
          <t>Caren</t>
        </is>
      </c>
      <c r="N53" t="inlineStr">
        <is>
          <t>Saesa</t>
        </is>
      </c>
      <c r="O53" t="inlineStr">
        <is>
          <t>2013/03-2</t>
        </is>
      </c>
      <c r="P53" t="inlineStr">
        <is>
          <t>SAESA</t>
        </is>
      </c>
      <c r="Q53" t="n">
        <v>2</v>
      </c>
      <c r="R53" t="inlineStr">
        <is>
          <t>CAUTIN 220</t>
        </is>
      </c>
      <c r="S53" t="n">
        <v>440.712032</v>
      </c>
      <c r="T53" t="n">
        <v>33827</v>
      </c>
      <c r="W53" t="n">
        <v>76.756</v>
      </c>
    </row>
    <row r="54">
      <c r="A54" t="inlineStr">
        <is>
          <t>01-03-2021</t>
        </is>
      </c>
      <c r="B54" t="inlineStr">
        <is>
          <t>01-03-2021</t>
        </is>
      </c>
      <c r="C54" t="inlineStr">
        <is>
          <t>Licitación Caren y Saesa (SIC 2013/03-2) BS1A</t>
        </is>
      </c>
      <c r="D54" t="inlineStr">
        <is>
          <t>Energia Licitaciones</t>
        </is>
      </c>
      <c r="E54" t="inlineStr">
        <is>
          <t>Energía</t>
        </is>
      </c>
      <c r="F54" t="inlineStr">
        <is>
          <t>Lic. SIC 2013/03-2 bloques BS1A: Energía mar 2021</t>
        </is>
      </c>
      <c r="G54" t="inlineStr">
        <is>
          <t>2021-04-14 10:22:12</t>
        </is>
      </c>
      <c r="H54" t="n">
        <v>33</v>
      </c>
      <c r="I54" t="n">
        <v>18465</v>
      </c>
      <c r="J54" t="inlineStr">
        <is>
          <t>s</t>
        </is>
      </c>
      <c r="K54" t="inlineStr">
        <is>
          <t>s</t>
        </is>
      </c>
      <c r="L54" t="inlineStr">
        <is>
          <t>BS1A</t>
        </is>
      </c>
      <c r="M54" t="inlineStr">
        <is>
          <t>Caren</t>
        </is>
      </c>
      <c r="N54" t="inlineStr">
        <is>
          <t>Saesa</t>
        </is>
      </c>
      <c r="O54" t="inlineStr">
        <is>
          <t>2013/03-2</t>
        </is>
      </c>
      <c r="P54" t="inlineStr">
        <is>
          <t>SAESA</t>
        </is>
      </c>
      <c r="Q54" t="n">
        <v>3</v>
      </c>
      <c r="R54" t="inlineStr">
        <is>
          <t>CHARRUA 220</t>
        </is>
      </c>
      <c r="S54" t="n">
        <v>0</v>
      </c>
      <c r="T54" t="n">
        <v>0</v>
      </c>
      <c r="W54" t="n">
        <v>76.657</v>
      </c>
    </row>
    <row r="55">
      <c r="A55" t="inlineStr">
        <is>
          <t>01-03-2021</t>
        </is>
      </c>
      <c r="B55" t="inlineStr">
        <is>
          <t>01-03-2021</t>
        </is>
      </c>
      <c r="C55" t="inlineStr">
        <is>
          <t>Licitación Caren y Saesa (SIC 2013/03-2) BS1A</t>
        </is>
      </c>
      <c r="D55" t="inlineStr">
        <is>
          <t>Energia Licitaciones</t>
        </is>
      </c>
      <c r="E55" t="inlineStr">
        <is>
          <t>Energía</t>
        </is>
      </c>
      <c r="F55" t="inlineStr">
        <is>
          <t>Lic. SIC 2013/03-2 bloques BS1A: Energía mar 2021</t>
        </is>
      </c>
      <c r="G55" t="inlineStr">
        <is>
          <t>2021-04-14 10:22:12</t>
        </is>
      </c>
      <c r="H55" t="n">
        <v>33</v>
      </c>
      <c r="I55" t="n">
        <v>18465</v>
      </c>
      <c r="J55" t="inlineStr">
        <is>
          <t>s</t>
        </is>
      </c>
      <c r="K55" t="inlineStr">
        <is>
          <t>s</t>
        </is>
      </c>
      <c r="L55" t="inlineStr">
        <is>
          <t>BS1A</t>
        </is>
      </c>
      <c r="M55" t="inlineStr">
        <is>
          <t>Caren</t>
        </is>
      </c>
      <c r="N55" t="inlineStr">
        <is>
          <t>Saesa</t>
        </is>
      </c>
      <c r="O55" t="inlineStr">
        <is>
          <t>2013/03-2</t>
        </is>
      </c>
      <c r="P55" t="inlineStr">
        <is>
          <t>SAESA</t>
        </is>
      </c>
      <c r="Q55" t="n">
        <v>4</v>
      </c>
      <c r="R55" t="inlineStr">
        <is>
          <t>CHILOE 220</t>
        </is>
      </c>
      <c r="S55" t="n">
        <v>9045.400111000001</v>
      </c>
      <c r="T55" t="n">
        <v>631894</v>
      </c>
      <c r="W55" t="n">
        <v>69.858</v>
      </c>
    </row>
    <row r="56">
      <c r="A56" t="inlineStr">
        <is>
          <t>01-03-2021</t>
        </is>
      </c>
      <c r="B56" t="inlineStr">
        <is>
          <t>01-03-2021</t>
        </is>
      </c>
      <c r="C56" t="inlineStr">
        <is>
          <t>Licitación Caren y Saesa (SIC 2013/03-2) BS1A</t>
        </is>
      </c>
      <c r="D56" t="inlineStr">
        <is>
          <t>Energia Licitaciones</t>
        </is>
      </c>
      <c r="E56" t="inlineStr">
        <is>
          <t>Energía</t>
        </is>
      </c>
      <c r="F56" t="inlineStr">
        <is>
          <t>Lic. SIC 2013/03-2 bloques BS1A: Energía mar 2021</t>
        </is>
      </c>
      <c r="G56" t="inlineStr">
        <is>
          <t>2021-04-14 10:22:12</t>
        </is>
      </c>
      <c r="H56" t="n">
        <v>33</v>
      </c>
      <c r="I56" t="n">
        <v>18465</v>
      </c>
      <c r="J56" t="inlineStr">
        <is>
          <t>s</t>
        </is>
      </c>
      <c r="K56" t="inlineStr">
        <is>
          <t>s</t>
        </is>
      </c>
      <c r="L56" t="inlineStr">
        <is>
          <t>BS1A</t>
        </is>
      </c>
      <c r="M56" t="inlineStr">
        <is>
          <t>Caren</t>
        </is>
      </c>
      <c r="N56" t="inlineStr">
        <is>
          <t>Saesa</t>
        </is>
      </c>
      <c r="O56" t="inlineStr">
        <is>
          <t>2013/03-2</t>
        </is>
      </c>
      <c r="P56" t="inlineStr">
        <is>
          <t>SAESA</t>
        </is>
      </c>
      <c r="Q56" t="n">
        <v>5</v>
      </c>
      <c r="R56" t="inlineStr">
        <is>
          <t>CIRUELOS 220</t>
        </is>
      </c>
      <c r="S56" t="n">
        <v>1232.172958</v>
      </c>
      <c r="T56" t="n">
        <v>90671</v>
      </c>
      <c r="W56" t="n">
        <v>73.586</v>
      </c>
    </row>
    <row r="57">
      <c r="A57" t="inlineStr">
        <is>
          <t>01-03-2021</t>
        </is>
      </c>
      <c r="B57" t="inlineStr">
        <is>
          <t>01-03-2021</t>
        </is>
      </c>
      <c r="C57" t="inlineStr">
        <is>
          <t>Licitación Caren y Saesa (SIC 2013/03-2) BS1A</t>
        </is>
      </c>
      <c r="D57" t="inlineStr">
        <is>
          <t>Energia Licitaciones</t>
        </is>
      </c>
      <c r="E57" t="inlineStr">
        <is>
          <t>Energía</t>
        </is>
      </c>
      <c r="F57" t="inlineStr">
        <is>
          <t>Lic. SIC 2013/03-2 bloques BS1A: Energía mar 2021</t>
        </is>
      </c>
      <c r="G57" t="inlineStr">
        <is>
          <t>2021-04-14 10:22:12</t>
        </is>
      </c>
      <c r="H57" t="n">
        <v>33</v>
      </c>
      <c r="I57" t="n">
        <v>18465</v>
      </c>
      <c r="J57" t="inlineStr">
        <is>
          <t>s</t>
        </is>
      </c>
      <c r="K57" t="inlineStr">
        <is>
          <t>s</t>
        </is>
      </c>
      <c r="L57" t="inlineStr">
        <is>
          <t>BS1A</t>
        </is>
      </c>
      <c r="M57" t="inlineStr">
        <is>
          <t>Caren</t>
        </is>
      </c>
      <c r="N57" t="inlineStr">
        <is>
          <t>Saesa</t>
        </is>
      </c>
      <c r="O57" t="inlineStr">
        <is>
          <t>2013/03-2</t>
        </is>
      </c>
      <c r="P57" t="inlineStr">
        <is>
          <t>SAESA</t>
        </is>
      </c>
      <c r="Q57" t="n">
        <v>6</v>
      </c>
      <c r="R57" t="inlineStr">
        <is>
          <t>D.ALMAGRO 220</t>
        </is>
      </c>
      <c r="S57" t="n">
        <v>527.3406670000001</v>
      </c>
      <c r="T57" t="n">
        <v>39648</v>
      </c>
      <c r="W57" t="n">
        <v>75.184</v>
      </c>
    </row>
    <row r="58">
      <c r="A58" t="inlineStr">
        <is>
          <t>01-03-2021</t>
        </is>
      </c>
      <c r="B58" t="inlineStr">
        <is>
          <t>01-03-2021</t>
        </is>
      </c>
      <c r="C58" t="inlineStr">
        <is>
          <t>Licitación Caren y Saesa (SIC 2013/03-2) BS1A</t>
        </is>
      </c>
      <c r="D58" t="inlineStr">
        <is>
          <t>Energia Licitaciones</t>
        </is>
      </c>
      <c r="E58" t="inlineStr">
        <is>
          <t>Energía</t>
        </is>
      </c>
      <c r="F58" t="inlineStr">
        <is>
          <t>Lic. SIC 2013/03-2 bloques BS1A: Energía mar 2021</t>
        </is>
      </c>
      <c r="G58" t="inlineStr">
        <is>
          <t>2021-04-14 10:22:12</t>
        </is>
      </c>
      <c r="H58" t="n">
        <v>33</v>
      </c>
      <c r="I58" t="n">
        <v>18465</v>
      </c>
      <c r="J58" t="inlineStr">
        <is>
          <t>s</t>
        </is>
      </c>
      <c r="K58" t="inlineStr">
        <is>
          <t>s</t>
        </is>
      </c>
      <c r="L58" t="inlineStr">
        <is>
          <t>BS1A</t>
        </is>
      </c>
      <c r="M58" t="inlineStr">
        <is>
          <t>Caren</t>
        </is>
      </c>
      <c r="N58" t="inlineStr">
        <is>
          <t>Saesa</t>
        </is>
      </c>
      <c r="O58" t="inlineStr">
        <is>
          <t>2013/03-2</t>
        </is>
      </c>
      <c r="P58" t="inlineStr">
        <is>
          <t>SAESA</t>
        </is>
      </c>
      <c r="Q58" t="n">
        <v>7</v>
      </c>
      <c r="R58" t="inlineStr">
        <is>
          <t>MELIPULLI 220</t>
        </is>
      </c>
      <c r="S58" t="n">
        <v>23420.464031</v>
      </c>
      <c r="T58" t="n">
        <v>1623553</v>
      </c>
      <c r="W58" t="n">
        <v>69.322</v>
      </c>
    </row>
    <row r="59">
      <c r="A59" t="inlineStr">
        <is>
          <t>01-03-2021</t>
        </is>
      </c>
      <c r="B59" t="inlineStr">
        <is>
          <t>01-03-2021</t>
        </is>
      </c>
      <c r="C59" t="inlineStr">
        <is>
          <t>Licitación Caren y Saesa (SIC 2013/03-2) BS1A</t>
        </is>
      </c>
      <c r="D59" t="inlineStr">
        <is>
          <t>Energia Licitaciones</t>
        </is>
      </c>
      <c r="E59" t="inlineStr">
        <is>
          <t>Energía</t>
        </is>
      </c>
      <c r="F59" t="inlineStr">
        <is>
          <t>Lic. SIC 2013/03-2 bloques BS1A: Energía mar 2021</t>
        </is>
      </c>
      <c r="G59" t="inlineStr">
        <is>
          <t>2021-04-14 10:22:12</t>
        </is>
      </c>
      <c r="H59" t="n">
        <v>33</v>
      </c>
      <c r="I59" t="n">
        <v>18465</v>
      </c>
      <c r="J59" t="inlineStr">
        <is>
          <t>s</t>
        </is>
      </c>
      <c r="K59" t="inlineStr">
        <is>
          <t>s</t>
        </is>
      </c>
      <c r="L59" t="inlineStr">
        <is>
          <t>BS1A</t>
        </is>
      </c>
      <c r="M59" t="inlineStr">
        <is>
          <t>Caren</t>
        </is>
      </c>
      <c r="N59" t="inlineStr">
        <is>
          <t>Saesa</t>
        </is>
      </c>
      <c r="O59" t="inlineStr">
        <is>
          <t>2013/03-2</t>
        </is>
      </c>
      <c r="P59" t="inlineStr">
        <is>
          <t>SAESA</t>
        </is>
      </c>
      <c r="Q59" t="n">
        <v>8</v>
      </c>
      <c r="R59" t="inlineStr">
        <is>
          <t>P.MONTT 220</t>
        </is>
      </c>
      <c r="S59" t="n">
        <v>0</v>
      </c>
      <c r="T59" t="n">
        <v>0</v>
      </c>
      <c r="W59" t="n">
        <v>69.322</v>
      </c>
    </row>
    <row r="60">
      <c r="A60" t="inlineStr">
        <is>
          <t>01-03-2021</t>
        </is>
      </c>
      <c r="B60" t="inlineStr">
        <is>
          <t>01-03-2021</t>
        </is>
      </c>
      <c r="C60" t="inlineStr">
        <is>
          <t>Licitación Caren y Saesa (SIC 2013/03-2) BS1A</t>
        </is>
      </c>
      <c r="D60" t="inlineStr">
        <is>
          <t>Energia Licitaciones</t>
        </is>
      </c>
      <c r="E60" t="inlineStr">
        <is>
          <t>Energía</t>
        </is>
      </c>
      <c r="F60" t="inlineStr">
        <is>
          <t>Lic. SIC 2013/03-2 bloques BS1A: Energía mar 2021</t>
        </is>
      </c>
      <c r="G60" t="inlineStr">
        <is>
          <t>2021-04-14 10:22:12</t>
        </is>
      </c>
      <c r="H60" t="n">
        <v>33</v>
      </c>
      <c r="I60" t="n">
        <v>18465</v>
      </c>
      <c r="J60" t="inlineStr">
        <is>
          <t>s</t>
        </is>
      </c>
      <c r="K60" t="inlineStr">
        <is>
          <t>s</t>
        </is>
      </c>
      <c r="L60" t="inlineStr">
        <is>
          <t>BS1A</t>
        </is>
      </c>
      <c r="M60" t="inlineStr">
        <is>
          <t>Caren</t>
        </is>
      </c>
      <c r="N60" t="inlineStr">
        <is>
          <t>Saesa</t>
        </is>
      </c>
      <c r="O60" t="inlineStr">
        <is>
          <t>2013/03-2</t>
        </is>
      </c>
      <c r="P60" t="inlineStr">
        <is>
          <t>SAESA</t>
        </is>
      </c>
      <c r="Q60" t="n">
        <v>9</v>
      </c>
      <c r="R60" t="inlineStr">
        <is>
          <t>TEMUCO 220</t>
        </is>
      </c>
      <c r="S60" t="n">
        <v>1061.145037</v>
      </c>
      <c r="T60" t="n">
        <v>81117</v>
      </c>
      <c r="W60" t="n">
        <v>76.443</v>
      </c>
    </row>
    <row r="61">
      <c r="A61" t="inlineStr">
        <is>
          <t>01-03-2021</t>
        </is>
      </c>
      <c r="B61" t="inlineStr">
        <is>
          <t>01-03-2021</t>
        </is>
      </c>
      <c r="C61" t="inlineStr">
        <is>
          <t>Licitación Caren y Saesa (SIC 2013/03-2) BS1A</t>
        </is>
      </c>
      <c r="D61" t="inlineStr">
        <is>
          <t>Energia Licitaciones</t>
        </is>
      </c>
      <c r="E61" t="inlineStr">
        <is>
          <t>Energía</t>
        </is>
      </c>
      <c r="F61" t="inlineStr">
        <is>
          <t>Lic. SIC 2013/03-2 bloques BS1A: Energía mar 2021</t>
        </is>
      </c>
      <c r="G61" t="inlineStr">
        <is>
          <t>2021-04-14 10:22:12</t>
        </is>
      </c>
      <c r="H61" t="n">
        <v>33</v>
      </c>
      <c r="I61" t="n">
        <v>18465</v>
      </c>
      <c r="J61" t="inlineStr">
        <is>
          <t>s</t>
        </is>
      </c>
      <c r="K61" t="inlineStr">
        <is>
          <t>s</t>
        </is>
      </c>
      <c r="L61" t="inlineStr">
        <is>
          <t>BS1A</t>
        </is>
      </c>
      <c r="M61" t="inlineStr">
        <is>
          <t>Caren</t>
        </is>
      </c>
      <c r="N61" t="inlineStr">
        <is>
          <t>Saesa</t>
        </is>
      </c>
      <c r="O61" t="inlineStr">
        <is>
          <t>2013/03-2</t>
        </is>
      </c>
      <c r="P61" t="inlineStr">
        <is>
          <t>SAESA</t>
        </is>
      </c>
      <c r="Q61" t="n">
        <v>10</v>
      </c>
      <c r="R61" t="inlineStr">
        <is>
          <t>VALDIVIA 220</t>
        </is>
      </c>
      <c r="S61" t="n">
        <v>11989.959482</v>
      </c>
      <c r="T61" t="n">
        <v>904798</v>
      </c>
      <c r="W61" t="n">
        <v>75.46299999999999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W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Periodo</t>
        </is>
      </c>
      <c r="B1" s="1" t="inlineStr">
        <is>
          <t>MesDevengado</t>
        </is>
      </c>
      <c r="C1" s="1" t="inlineStr">
        <is>
          <t>Nombre</t>
        </is>
      </c>
      <c r="D1" s="1" t="inlineStr">
        <is>
          <t>Concepto</t>
        </is>
      </c>
      <c r="E1" s="1" t="inlineStr">
        <is>
          <t>Agrupacion</t>
        </is>
      </c>
      <c r="F1" s="1" t="inlineStr">
        <is>
          <t>Glosa</t>
        </is>
      </c>
      <c r="G1" s="1" t="inlineStr">
        <is>
          <t>FechaCarga</t>
        </is>
      </c>
      <c r="H1" s="1" t="inlineStr">
        <is>
          <t>TipoDocumento</t>
        </is>
      </c>
      <c r="I1" s="1" t="inlineStr">
        <is>
          <t>Folio</t>
        </is>
      </c>
      <c r="J1" s="1" t="inlineStr">
        <is>
          <t>Vendedor</t>
        </is>
      </c>
      <c r="K1" s="1" t="inlineStr">
        <is>
          <t>Comprador</t>
        </is>
      </c>
      <c r="L1" s="1" t="inlineStr">
        <is>
          <t>Bloque</t>
        </is>
      </c>
      <c r="M1" s="1" t="inlineStr">
        <is>
          <t>Empresa</t>
        </is>
      </c>
      <c r="N1" s="1" t="inlineStr">
        <is>
          <t>ClaveEEDD</t>
        </is>
      </c>
      <c r="O1" s="1" t="inlineStr">
        <is>
          <t>Licitacion</t>
        </is>
      </c>
      <c r="P1" s="1" t="inlineStr">
        <is>
          <t>NomAgrupacion</t>
        </is>
      </c>
      <c r="Q1" s="1" t="inlineStr">
        <is>
          <t>Num</t>
        </is>
      </c>
      <c r="R1" s="1" t="inlineStr">
        <is>
          <t>Barra</t>
        </is>
      </c>
      <c r="S1" s="1" t="inlineStr">
        <is>
          <t>Energia</t>
        </is>
      </c>
      <c r="T1" s="1" t="inlineStr">
        <is>
          <t>MontoEnergia</t>
        </is>
      </c>
      <c r="U1" s="1" t="inlineStr">
        <is>
          <t>Potencia</t>
        </is>
      </c>
      <c r="V1" s="1" t="inlineStr">
        <is>
          <t>MontoPotencia</t>
        </is>
      </c>
      <c r="W1" s="1" t="inlineStr">
        <is>
          <t>Precio</t>
        </is>
      </c>
    </row>
    <row r="2">
      <c r="A2" t="inlineStr">
        <is>
          <t>01-10-2020</t>
        </is>
      </c>
      <c r="B2" t="inlineStr">
        <is>
          <t>01-10-2020</t>
        </is>
      </c>
      <c r="C2" t="inlineStr">
        <is>
          <t>Licitación Caren y Saesa (SIC 2013/03-2) BS1A</t>
        </is>
      </c>
      <c r="D2" t="inlineStr">
        <is>
          <t>Potencia Licitaciones</t>
        </is>
      </c>
      <c r="E2" t="inlineStr">
        <is>
          <t>Potencia</t>
        </is>
      </c>
      <c r="F2" t="inlineStr">
        <is>
          <t>Lic. SIC 2013/03-2 bloques BS1A: Potencia oct 2020</t>
        </is>
      </c>
      <c r="G2" t="inlineStr">
        <is>
          <t>2020-11-12 17:18:17</t>
        </is>
      </c>
      <c r="H2" t="n">
        <v>33</v>
      </c>
      <c r="I2" t="n">
        <v>16500</v>
      </c>
      <c r="J2" t="inlineStr">
        <is>
          <t>s</t>
        </is>
      </c>
      <c r="K2" t="inlineStr">
        <is>
          <t>s</t>
        </is>
      </c>
      <c r="L2" t="inlineStr">
        <is>
          <t>BS1A</t>
        </is>
      </c>
      <c r="M2" t="inlineStr">
        <is>
          <t>Caren</t>
        </is>
      </c>
      <c r="N2" t="inlineStr">
        <is>
          <t>Saesa</t>
        </is>
      </c>
      <c r="O2" t="inlineStr">
        <is>
          <t>2013/03-2</t>
        </is>
      </c>
      <c r="P2" t="inlineStr">
        <is>
          <t>SAESA</t>
        </is>
      </c>
      <c r="Q2" t="n">
        <v>1</v>
      </c>
      <c r="R2" t="inlineStr">
        <is>
          <t>B.BLANCO 220</t>
        </is>
      </c>
      <c r="U2" t="n">
        <v>0</v>
      </c>
      <c r="V2" t="n">
        <v>0</v>
      </c>
      <c r="W2" t="n">
        <v>5361.29962</v>
      </c>
    </row>
    <row r="3">
      <c r="A3" t="inlineStr">
        <is>
          <t>01-10-2020</t>
        </is>
      </c>
      <c r="B3" t="inlineStr">
        <is>
          <t>01-10-2020</t>
        </is>
      </c>
      <c r="C3" t="inlineStr">
        <is>
          <t>Licitación Caren y Saesa (SIC 2013/03-2) BS1A</t>
        </is>
      </c>
      <c r="D3" t="inlineStr">
        <is>
          <t>Potencia Licitaciones</t>
        </is>
      </c>
      <c r="E3" t="inlineStr">
        <is>
          <t>Potencia</t>
        </is>
      </c>
      <c r="F3" t="inlineStr">
        <is>
          <t>Lic. SIC 2013/03-2 bloques BS1A: Potencia oct 2020</t>
        </is>
      </c>
      <c r="G3" t="inlineStr">
        <is>
          <t>2020-11-12 17:18:17</t>
        </is>
      </c>
      <c r="H3" t="n">
        <v>33</v>
      </c>
      <c r="I3" t="n">
        <v>16500</v>
      </c>
      <c r="J3" t="inlineStr">
        <is>
          <t>s</t>
        </is>
      </c>
      <c r="K3" t="inlineStr">
        <is>
          <t>s</t>
        </is>
      </c>
      <c r="L3" t="inlineStr">
        <is>
          <t>BS1A</t>
        </is>
      </c>
      <c r="M3" t="inlineStr">
        <is>
          <t>Caren</t>
        </is>
      </c>
      <c r="N3" t="inlineStr">
        <is>
          <t>Saesa</t>
        </is>
      </c>
      <c r="O3" t="inlineStr">
        <is>
          <t>2013/03-2</t>
        </is>
      </c>
      <c r="P3" t="inlineStr">
        <is>
          <t>SAESA</t>
        </is>
      </c>
      <c r="Q3" t="n">
        <v>2</v>
      </c>
      <c r="R3" t="inlineStr">
        <is>
          <t>CAUTIN 220</t>
        </is>
      </c>
      <c r="U3" t="n">
        <v>0</v>
      </c>
      <c r="V3" t="n">
        <v>0</v>
      </c>
      <c r="W3" t="n">
        <v>5586.99318</v>
      </c>
    </row>
    <row r="4">
      <c r="A4" t="inlineStr">
        <is>
          <t>01-10-2020</t>
        </is>
      </c>
      <c r="B4" t="inlineStr">
        <is>
          <t>01-10-2020</t>
        </is>
      </c>
      <c r="C4" t="inlineStr">
        <is>
          <t>Licitación Caren y Saesa (SIC 2013/03-2) BS1A</t>
        </is>
      </c>
      <c r="D4" t="inlineStr">
        <is>
          <t>Potencia Licitaciones</t>
        </is>
      </c>
      <c r="E4" t="inlineStr">
        <is>
          <t>Potencia</t>
        </is>
      </c>
      <c r="F4" t="inlineStr">
        <is>
          <t>Lic. SIC 2013/03-2 bloques BS1A: Potencia oct 2020</t>
        </is>
      </c>
      <c r="G4" t="inlineStr">
        <is>
          <t>2020-11-12 17:18:17</t>
        </is>
      </c>
      <c r="H4" t="n">
        <v>33</v>
      </c>
      <c r="I4" t="n">
        <v>16500</v>
      </c>
      <c r="J4" t="inlineStr">
        <is>
          <t>s</t>
        </is>
      </c>
      <c r="K4" t="inlineStr">
        <is>
          <t>s</t>
        </is>
      </c>
      <c r="L4" t="inlineStr">
        <is>
          <t>BS1A</t>
        </is>
      </c>
      <c r="M4" t="inlineStr">
        <is>
          <t>Caren</t>
        </is>
      </c>
      <c r="N4" t="inlineStr">
        <is>
          <t>Saesa</t>
        </is>
      </c>
      <c r="O4" t="inlineStr">
        <is>
          <t>2013/03-2</t>
        </is>
      </c>
      <c r="P4" t="inlineStr">
        <is>
          <t>SAESA</t>
        </is>
      </c>
      <c r="Q4" t="n">
        <v>3</v>
      </c>
      <c r="R4" t="inlineStr">
        <is>
          <t>CHARRUA 220</t>
        </is>
      </c>
      <c r="U4" t="n">
        <v>0</v>
      </c>
      <c r="V4" t="n">
        <v>0</v>
      </c>
      <c r="W4" t="n">
        <v>5767.17722</v>
      </c>
    </row>
    <row r="5">
      <c r="A5" t="inlineStr">
        <is>
          <t>01-10-2020</t>
        </is>
      </c>
      <c r="B5" t="inlineStr">
        <is>
          <t>01-10-2020</t>
        </is>
      </c>
      <c r="C5" t="inlineStr">
        <is>
          <t>Licitación Caren y Saesa (SIC 2013/03-2) BS1A</t>
        </is>
      </c>
      <c r="D5" t="inlineStr">
        <is>
          <t>Potencia Licitaciones</t>
        </is>
      </c>
      <c r="E5" t="inlineStr">
        <is>
          <t>Potencia</t>
        </is>
      </c>
      <c r="F5" t="inlineStr">
        <is>
          <t>Lic. SIC 2013/03-2 bloques BS1A: Potencia oct 2020</t>
        </is>
      </c>
      <c r="G5" t="inlineStr">
        <is>
          <t>2020-11-12 17:18:17</t>
        </is>
      </c>
      <c r="H5" t="n">
        <v>33</v>
      </c>
      <c r="I5" t="n">
        <v>16500</v>
      </c>
      <c r="J5" t="inlineStr">
        <is>
          <t>s</t>
        </is>
      </c>
      <c r="K5" t="inlineStr">
        <is>
          <t>s</t>
        </is>
      </c>
      <c r="L5" t="inlineStr">
        <is>
          <t>BS1A</t>
        </is>
      </c>
      <c r="M5" t="inlineStr">
        <is>
          <t>Caren</t>
        </is>
      </c>
      <c r="N5" t="inlineStr">
        <is>
          <t>Saesa</t>
        </is>
      </c>
      <c r="O5" t="inlineStr">
        <is>
          <t>2013/03-2</t>
        </is>
      </c>
      <c r="P5" t="inlineStr">
        <is>
          <t>SAESA</t>
        </is>
      </c>
      <c r="Q5" t="n">
        <v>4</v>
      </c>
      <c r="R5" t="inlineStr">
        <is>
          <t>CHILOE 220</t>
        </is>
      </c>
      <c r="U5" t="n">
        <v>0</v>
      </c>
      <c r="V5" t="n">
        <v>0</v>
      </c>
      <c r="W5" t="n">
        <v>5447.45077</v>
      </c>
    </row>
    <row r="6">
      <c r="A6" t="inlineStr">
        <is>
          <t>01-10-2020</t>
        </is>
      </c>
      <c r="B6" t="inlineStr">
        <is>
          <t>01-10-2020</t>
        </is>
      </c>
      <c r="C6" t="inlineStr">
        <is>
          <t>Licitación Caren y Saesa (SIC 2013/03-2) BS1A</t>
        </is>
      </c>
      <c r="D6" t="inlineStr">
        <is>
          <t>Potencia Licitaciones</t>
        </is>
      </c>
      <c r="E6" t="inlineStr">
        <is>
          <t>Potencia</t>
        </is>
      </c>
      <c r="F6" t="inlineStr">
        <is>
          <t>Lic. SIC 2013/03-2 bloques BS1A: Potencia oct 2020</t>
        </is>
      </c>
      <c r="G6" t="inlineStr">
        <is>
          <t>2020-11-12 17:18:17</t>
        </is>
      </c>
      <c r="H6" t="n">
        <v>33</v>
      </c>
      <c r="I6" t="n">
        <v>16500</v>
      </c>
      <c r="J6" t="inlineStr">
        <is>
          <t>s</t>
        </is>
      </c>
      <c r="K6" t="inlineStr">
        <is>
          <t>s</t>
        </is>
      </c>
      <c r="L6" t="inlineStr">
        <is>
          <t>BS1A</t>
        </is>
      </c>
      <c r="M6" t="inlineStr">
        <is>
          <t>Caren</t>
        </is>
      </c>
      <c r="N6" t="inlineStr">
        <is>
          <t>Saesa</t>
        </is>
      </c>
      <c r="O6" t="inlineStr">
        <is>
          <t>2013/03-2</t>
        </is>
      </c>
      <c r="P6" t="inlineStr">
        <is>
          <t>SAESA</t>
        </is>
      </c>
      <c r="Q6" t="n">
        <v>5</v>
      </c>
      <c r="R6" t="inlineStr">
        <is>
          <t>CIRUELOS 220</t>
        </is>
      </c>
      <c r="U6" t="n">
        <v>0</v>
      </c>
      <c r="V6" t="n">
        <v>0</v>
      </c>
      <c r="W6" t="n">
        <v>5522.07614</v>
      </c>
    </row>
    <row r="7">
      <c r="A7" t="inlineStr">
        <is>
          <t>01-10-2020</t>
        </is>
      </c>
      <c r="B7" t="inlineStr">
        <is>
          <t>01-10-2020</t>
        </is>
      </c>
      <c r="C7" t="inlineStr">
        <is>
          <t>Licitación Caren y Saesa (SIC 2013/03-2) BS1A</t>
        </is>
      </c>
      <c r="D7" t="inlineStr">
        <is>
          <t>Potencia Licitaciones</t>
        </is>
      </c>
      <c r="E7" t="inlineStr">
        <is>
          <t>Potencia</t>
        </is>
      </c>
      <c r="F7" t="inlineStr">
        <is>
          <t>Lic. SIC 2013/03-2 bloques BS1A: Potencia oct 2020</t>
        </is>
      </c>
      <c r="G7" t="inlineStr">
        <is>
          <t>2020-11-12 17:18:17</t>
        </is>
      </c>
      <c r="H7" t="n">
        <v>33</v>
      </c>
      <c r="I7" t="n">
        <v>16500</v>
      </c>
      <c r="J7" t="inlineStr">
        <is>
          <t>s</t>
        </is>
      </c>
      <c r="K7" t="inlineStr">
        <is>
          <t>s</t>
        </is>
      </c>
      <c r="L7" t="inlineStr">
        <is>
          <t>BS1A</t>
        </is>
      </c>
      <c r="M7" t="inlineStr">
        <is>
          <t>Caren</t>
        </is>
      </c>
      <c r="N7" t="inlineStr">
        <is>
          <t>Saesa</t>
        </is>
      </c>
      <c r="O7" t="inlineStr">
        <is>
          <t>2013/03-2</t>
        </is>
      </c>
      <c r="P7" t="inlineStr">
        <is>
          <t>SAESA</t>
        </is>
      </c>
      <c r="Q7" t="n">
        <v>6</v>
      </c>
      <c r="R7" t="inlineStr">
        <is>
          <t>D.ALMAGRO 220</t>
        </is>
      </c>
      <c r="U7" t="n">
        <v>0</v>
      </c>
      <c r="V7" t="n">
        <v>0</v>
      </c>
      <c r="W7" t="n">
        <v>5668.2856</v>
      </c>
    </row>
    <row r="8">
      <c r="A8" t="inlineStr">
        <is>
          <t>01-10-2020</t>
        </is>
      </c>
      <c r="B8" t="inlineStr">
        <is>
          <t>01-10-2020</t>
        </is>
      </c>
      <c r="C8" t="inlineStr">
        <is>
          <t>Licitación Caren y Saesa (SIC 2013/03-2) BS1A</t>
        </is>
      </c>
      <c r="D8" t="inlineStr">
        <is>
          <t>Potencia Licitaciones</t>
        </is>
      </c>
      <c r="E8" t="inlineStr">
        <is>
          <t>Potencia</t>
        </is>
      </c>
      <c r="F8" t="inlineStr">
        <is>
          <t>Lic. SIC 2013/03-2 bloques BS1A: Potencia oct 2020</t>
        </is>
      </c>
      <c r="G8" t="inlineStr">
        <is>
          <t>2020-11-12 17:18:17</t>
        </is>
      </c>
      <c r="H8" t="n">
        <v>33</v>
      </c>
      <c r="I8" t="n">
        <v>16500</v>
      </c>
      <c r="J8" t="inlineStr">
        <is>
          <t>s</t>
        </is>
      </c>
      <c r="K8" t="inlineStr">
        <is>
          <t>s</t>
        </is>
      </c>
      <c r="L8" t="inlineStr">
        <is>
          <t>BS1A</t>
        </is>
      </c>
      <c r="M8" t="inlineStr">
        <is>
          <t>Caren</t>
        </is>
      </c>
      <c r="N8" t="inlineStr">
        <is>
          <t>Saesa</t>
        </is>
      </c>
      <c r="O8" t="inlineStr">
        <is>
          <t>2013/03-2</t>
        </is>
      </c>
      <c r="P8" t="inlineStr">
        <is>
          <t>SAESA</t>
        </is>
      </c>
      <c r="Q8" t="n">
        <v>7</v>
      </c>
      <c r="R8" t="inlineStr">
        <is>
          <t>MELIPULLI 220</t>
        </is>
      </c>
      <c r="U8" t="n">
        <v>0</v>
      </c>
      <c r="V8" t="n">
        <v>0</v>
      </c>
      <c r="W8" t="n">
        <v>5415.90555</v>
      </c>
    </row>
    <row r="9">
      <c r="A9" t="inlineStr">
        <is>
          <t>01-10-2020</t>
        </is>
      </c>
      <c r="B9" t="inlineStr">
        <is>
          <t>01-10-2020</t>
        </is>
      </c>
      <c r="C9" t="inlineStr">
        <is>
          <t>Licitación Caren y Saesa (SIC 2013/03-2) BS1A</t>
        </is>
      </c>
      <c r="D9" t="inlineStr">
        <is>
          <t>Potencia Licitaciones</t>
        </is>
      </c>
      <c r="E9" t="inlineStr">
        <is>
          <t>Potencia</t>
        </is>
      </c>
      <c r="F9" t="inlineStr">
        <is>
          <t>Lic. SIC 2013/03-2 bloques BS1A: Potencia oct 2020</t>
        </is>
      </c>
      <c r="G9" t="inlineStr">
        <is>
          <t>2020-11-12 17:18:17</t>
        </is>
      </c>
      <c r="H9" t="n">
        <v>33</v>
      </c>
      <c r="I9" t="n">
        <v>16500</v>
      </c>
      <c r="J9" t="inlineStr">
        <is>
          <t>s</t>
        </is>
      </c>
      <c r="K9" t="inlineStr">
        <is>
          <t>s</t>
        </is>
      </c>
      <c r="L9" t="inlineStr">
        <is>
          <t>BS1A</t>
        </is>
      </c>
      <c r="M9" t="inlineStr">
        <is>
          <t>Caren</t>
        </is>
      </c>
      <c r="N9" t="inlineStr">
        <is>
          <t>Saesa</t>
        </is>
      </c>
      <c r="O9" t="inlineStr">
        <is>
          <t>2013/03-2</t>
        </is>
      </c>
      <c r="P9" t="inlineStr">
        <is>
          <t>SAESA</t>
        </is>
      </c>
      <c r="Q9" t="n">
        <v>8</v>
      </c>
      <c r="R9" t="inlineStr">
        <is>
          <t>P.MONTT 220</t>
        </is>
      </c>
      <c r="U9" t="n">
        <v>0</v>
      </c>
      <c r="V9" t="n">
        <v>0</v>
      </c>
      <c r="W9" t="n">
        <v>5415.91</v>
      </c>
    </row>
    <row r="10">
      <c r="A10" t="inlineStr">
        <is>
          <t>01-10-2020</t>
        </is>
      </c>
      <c r="B10" t="inlineStr">
        <is>
          <t>01-10-2020</t>
        </is>
      </c>
      <c r="C10" t="inlineStr">
        <is>
          <t>Licitación Caren y Saesa (SIC 2013/03-2) BS1A</t>
        </is>
      </c>
      <c r="D10" t="inlineStr">
        <is>
          <t>Potencia Licitaciones</t>
        </is>
      </c>
      <c r="E10" t="inlineStr">
        <is>
          <t>Potencia</t>
        </is>
      </c>
      <c r="F10" t="inlineStr">
        <is>
          <t>Lic. SIC 2013/03-2 bloques BS1A: Potencia oct 2020</t>
        </is>
      </c>
      <c r="G10" t="inlineStr">
        <is>
          <t>2020-11-12 17:18:17</t>
        </is>
      </c>
      <c r="H10" t="n">
        <v>33</v>
      </c>
      <c r="I10" t="n">
        <v>16500</v>
      </c>
      <c r="J10" t="inlineStr">
        <is>
          <t>s</t>
        </is>
      </c>
      <c r="K10" t="inlineStr">
        <is>
          <t>s</t>
        </is>
      </c>
      <c r="L10" t="inlineStr">
        <is>
          <t>BS1A</t>
        </is>
      </c>
      <c r="M10" t="inlineStr">
        <is>
          <t>Caren</t>
        </is>
      </c>
      <c r="N10" t="inlineStr">
        <is>
          <t>Saesa</t>
        </is>
      </c>
      <c r="O10" t="inlineStr">
        <is>
          <t>2013/03-2</t>
        </is>
      </c>
      <c r="P10" t="inlineStr">
        <is>
          <t>SAESA</t>
        </is>
      </c>
      <c r="Q10" t="n">
        <v>9</v>
      </c>
      <c r="R10" t="inlineStr">
        <is>
          <t>TEMUCO 220</t>
        </is>
      </c>
      <c r="U10" t="n">
        <v>0</v>
      </c>
      <c r="V10" t="n">
        <v>0</v>
      </c>
      <c r="W10" t="n">
        <v>5583.34913</v>
      </c>
    </row>
    <row r="11">
      <c r="A11" t="inlineStr">
        <is>
          <t>01-10-2020</t>
        </is>
      </c>
      <c r="B11" t="inlineStr">
        <is>
          <t>01-10-2020</t>
        </is>
      </c>
      <c r="C11" t="inlineStr">
        <is>
          <t>Licitación Caren y Saesa (SIC 2013/03-2) BS1A</t>
        </is>
      </c>
      <c r="D11" t="inlineStr">
        <is>
          <t>Potencia Licitaciones</t>
        </is>
      </c>
      <c r="E11" t="inlineStr">
        <is>
          <t>Potencia</t>
        </is>
      </c>
      <c r="F11" t="inlineStr">
        <is>
          <t>Lic. SIC 2013/03-2 bloques BS1A: Potencia oct 2020</t>
        </is>
      </c>
      <c r="G11" t="inlineStr">
        <is>
          <t>2020-11-12 17:18:17</t>
        </is>
      </c>
      <c r="H11" t="n">
        <v>33</v>
      </c>
      <c r="I11" t="n">
        <v>16500</v>
      </c>
      <c r="J11" t="inlineStr">
        <is>
          <t>s</t>
        </is>
      </c>
      <c r="K11" t="inlineStr">
        <is>
          <t>s</t>
        </is>
      </c>
      <c r="L11" t="inlineStr">
        <is>
          <t>BS1A</t>
        </is>
      </c>
      <c r="M11" t="inlineStr">
        <is>
          <t>Caren</t>
        </is>
      </c>
      <c r="N11" t="inlineStr">
        <is>
          <t>Saesa</t>
        </is>
      </c>
      <c r="O11" t="inlineStr">
        <is>
          <t>2013/03-2</t>
        </is>
      </c>
      <c r="P11" t="inlineStr">
        <is>
          <t>SAESA</t>
        </is>
      </c>
      <c r="Q11" t="n">
        <v>10</v>
      </c>
      <c r="R11" t="inlineStr">
        <is>
          <t>VALDIVIA 220</t>
        </is>
      </c>
      <c r="U11" t="n">
        <v>0</v>
      </c>
      <c r="V11" t="n">
        <v>0</v>
      </c>
      <c r="W11" t="n">
        <v>5670.71496</v>
      </c>
    </row>
    <row r="12">
      <c r="A12" t="inlineStr">
        <is>
          <t>01-11-2020</t>
        </is>
      </c>
      <c r="B12" t="inlineStr">
        <is>
          <t>01-11-2020</t>
        </is>
      </c>
      <c r="C12" t="inlineStr">
        <is>
          <t>Licitación Caren y Saesa (SIC 2013/03-2) BS1A</t>
        </is>
      </c>
      <c r="D12" t="inlineStr">
        <is>
          <t>Potencia Licitaciones</t>
        </is>
      </c>
      <c r="E12" t="inlineStr">
        <is>
          <t>Potencia</t>
        </is>
      </c>
      <c r="F12" t="inlineStr">
        <is>
          <t>Lic. SIC 2013/03-2 bloques BS1A: Potencia nov 2020</t>
        </is>
      </c>
      <c r="G12" t="inlineStr">
        <is>
          <t>2020-12-22 18:21:41</t>
        </is>
      </c>
      <c r="H12" t="n">
        <v>33</v>
      </c>
      <c r="I12" t="n">
        <v>16768</v>
      </c>
      <c r="J12" t="inlineStr">
        <is>
          <t>s</t>
        </is>
      </c>
      <c r="K12" t="inlineStr">
        <is>
          <t>s</t>
        </is>
      </c>
      <c r="L12" t="inlineStr">
        <is>
          <t>BS1A</t>
        </is>
      </c>
      <c r="M12" t="inlineStr">
        <is>
          <t>Caren</t>
        </is>
      </c>
      <c r="N12" t="inlineStr">
        <is>
          <t>Saesa</t>
        </is>
      </c>
      <c r="O12" t="inlineStr">
        <is>
          <t>2013/03-2</t>
        </is>
      </c>
      <c r="P12" t="inlineStr">
        <is>
          <t>SAESA</t>
        </is>
      </c>
      <c r="Q12" t="n">
        <v>1</v>
      </c>
      <c r="R12" t="inlineStr">
        <is>
          <t>B.BLANCO 220</t>
        </is>
      </c>
      <c r="U12" t="n">
        <v>0</v>
      </c>
      <c r="V12" t="n">
        <v>0</v>
      </c>
      <c r="W12" t="n">
        <v>5361.29962</v>
      </c>
    </row>
    <row r="13">
      <c r="A13" t="inlineStr">
        <is>
          <t>01-11-2020</t>
        </is>
      </c>
      <c r="B13" t="inlineStr">
        <is>
          <t>01-11-2020</t>
        </is>
      </c>
      <c r="C13" t="inlineStr">
        <is>
          <t>Licitación Caren y Saesa (SIC 2013/03-2) BS1A</t>
        </is>
      </c>
      <c r="D13" t="inlineStr">
        <is>
          <t>Potencia Licitaciones</t>
        </is>
      </c>
      <c r="E13" t="inlineStr">
        <is>
          <t>Potencia</t>
        </is>
      </c>
      <c r="F13" t="inlineStr">
        <is>
          <t>Lic. SIC 2013/03-2 bloques BS1A: Potencia nov 2020</t>
        </is>
      </c>
      <c r="G13" t="inlineStr">
        <is>
          <t>2020-12-22 18:21:41</t>
        </is>
      </c>
      <c r="H13" t="n">
        <v>33</v>
      </c>
      <c r="I13" t="n">
        <v>16768</v>
      </c>
      <c r="J13" t="inlineStr">
        <is>
          <t>s</t>
        </is>
      </c>
      <c r="K13" t="inlineStr">
        <is>
          <t>s</t>
        </is>
      </c>
      <c r="L13" t="inlineStr">
        <is>
          <t>BS1A</t>
        </is>
      </c>
      <c r="M13" t="inlineStr">
        <is>
          <t>Caren</t>
        </is>
      </c>
      <c r="N13" t="inlineStr">
        <is>
          <t>Saesa</t>
        </is>
      </c>
      <c r="O13" t="inlineStr">
        <is>
          <t>2013/03-2</t>
        </is>
      </c>
      <c r="P13" t="inlineStr">
        <is>
          <t>SAESA</t>
        </is>
      </c>
      <c r="Q13" t="n">
        <v>2</v>
      </c>
      <c r="R13" t="inlineStr">
        <is>
          <t>CAUTIN 220</t>
        </is>
      </c>
      <c r="U13" t="n">
        <v>0</v>
      </c>
      <c r="V13" t="n">
        <v>0</v>
      </c>
      <c r="W13" t="n">
        <v>5586.99318</v>
      </c>
    </row>
    <row r="14">
      <c r="A14" t="inlineStr">
        <is>
          <t>01-11-2020</t>
        </is>
      </c>
      <c r="B14" t="inlineStr">
        <is>
          <t>01-11-2020</t>
        </is>
      </c>
      <c r="C14" t="inlineStr">
        <is>
          <t>Licitación Caren y Saesa (SIC 2013/03-2) BS1A</t>
        </is>
      </c>
      <c r="D14" t="inlineStr">
        <is>
          <t>Potencia Licitaciones</t>
        </is>
      </c>
      <c r="E14" t="inlineStr">
        <is>
          <t>Potencia</t>
        </is>
      </c>
      <c r="F14" t="inlineStr">
        <is>
          <t>Lic. SIC 2013/03-2 bloques BS1A: Potencia nov 2020</t>
        </is>
      </c>
      <c r="G14" t="inlineStr">
        <is>
          <t>2020-12-22 18:21:41</t>
        </is>
      </c>
      <c r="H14" t="n">
        <v>33</v>
      </c>
      <c r="I14" t="n">
        <v>16768</v>
      </c>
      <c r="J14" t="inlineStr">
        <is>
          <t>s</t>
        </is>
      </c>
      <c r="K14" t="inlineStr">
        <is>
          <t>s</t>
        </is>
      </c>
      <c r="L14" t="inlineStr">
        <is>
          <t>BS1A</t>
        </is>
      </c>
      <c r="M14" t="inlineStr">
        <is>
          <t>Caren</t>
        </is>
      </c>
      <c r="N14" t="inlineStr">
        <is>
          <t>Saesa</t>
        </is>
      </c>
      <c r="O14" t="inlineStr">
        <is>
          <t>2013/03-2</t>
        </is>
      </c>
      <c r="P14" t="inlineStr">
        <is>
          <t>SAESA</t>
        </is>
      </c>
      <c r="Q14" t="n">
        <v>3</v>
      </c>
      <c r="R14" t="inlineStr">
        <is>
          <t>CHARRUA 220</t>
        </is>
      </c>
      <c r="U14" t="n">
        <v>0</v>
      </c>
      <c r="V14" t="n">
        <v>0</v>
      </c>
      <c r="W14" t="n">
        <v>5767.17722</v>
      </c>
    </row>
    <row r="15">
      <c r="A15" t="inlineStr">
        <is>
          <t>01-11-2020</t>
        </is>
      </c>
      <c r="B15" t="inlineStr">
        <is>
          <t>01-11-2020</t>
        </is>
      </c>
      <c r="C15" t="inlineStr">
        <is>
          <t>Licitación Caren y Saesa (SIC 2013/03-2) BS1A</t>
        </is>
      </c>
      <c r="D15" t="inlineStr">
        <is>
          <t>Potencia Licitaciones</t>
        </is>
      </c>
      <c r="E15" t="inlineStr">
        <is>
          <t>Potencia</t>
        </is>
      </c>
      <c r="F15" t="inlineStr">
        <is>
          <t>Lic. SIC 2013/03-2 bloques BS1A: Potencia nov 2020</t>
        </is>
      </c>
      <c r="G15" t="inlineStr">
        <is>
          <t>2020-12-22 18:21:41</t>
        </is>
      </c>
      <c r="H15" t="n">
        <v>33</v>
      </c>
      <c r="I15" t="n">
        <v>16768</v>
      </c>
      <c r="J15" t="inlineStr">
        <is>
          <t>s</t>
        </is>
      </c>
      <c r="K15" t="inlineStr">
        <is>
          <t>s</t>
        </is>
      </c>
      <c r="L15" t="inlineStr">
        <is>
          <t>BS1A</t>
        </is>
      </c>
      <c r="M15" t="inlineStr">
        <is>
          <t>Caren</t>
        </is>
      </c>
      <c r="N15" t="inlineStr">
        <is>
          <t>Saesa</t>
        </is>
      </c>
      <c r="O15" t="inlineStr">
        <is>
          <t>2013/03-2</t>
        </is>
      </c>
      <c r="P15" t="inlineStr">
        <is>
          <t>SAESA</t>
        </is>
      </c>
      <c r="Q15" t="n">
        <v>4</v>
      </c>
      <c r="R15" t="inlineStr">
        <is>
          <t>CHILOE 220</t>
        </is>
      </c>
      <c r="U15" t="n">
        <v>0</v>
      </c>
      <c r="V15" t="n">
        <v>0</v>
      </c>
      <c r="W15" t="n">
        <v>5447.45077</v>
      </c>
    </row>
    <row r="16">
      <c r="A16" t="inlineStr">
        <is>
          <t>01-11-2020</t>
        </is>
      </c>
      <c r="B16" t="inlineStr">
        <is>
          <t>01-11-2020</t>
        </is>
      </c>
      <c r="C16" t="inlineStr">
        <is>
          <t>Licitación Caren y Saesa (SIC 2013/03-2) BS1A</t>
        </is>
      </c>
      <c r="D16" t="inlineStr">
        <is>
          <t>Potencia Licitaciones</t>
        </is>
      </c>
      <c r="E16" t="inlineStr">
        <is>
          <t>Potencia</t>
        </is>
      </c>
      <c r="F16" t="inlineStr">
        <is>
          <t>Lic. SIC 2013/03-2 bloques BS1A: Potencia nov 2020</t>
        </is>
      </c>
      <c r="G16" t="inlineStr">
        <is>
          <t>2020-12-22 18:21:41</t>
        </is>
      </c>
      <c r="H16" t="n">
        <v>33</v>
      </c>
      <c r="I16" t="n">
        <v>16768</v>
      </c>
      <c r="J16" t="inlineStr">
        <is>
          <t>s</t>
        </is>
      </c>
      <c r="K16" t="inlineStr">
        <is>
          <t>s</t>
        </is>
      </c>
      <c r="L16" t="inlineStr">
        <is>
          <t>BS1A</t>
        </is>
      </c>
      <c r="M16" t="inlineStr">
        <is>
          <t>Caren</t>
        </is>
      </c>
      <c r="N16" t="inlineStr">
        <is>
          <t>Saesa</t>
        </is>
      </c>
      <c r="O16" t="inlineStr">
        <is>
          <t>2013/03-2</t>
        </is>
      </c>
      <c r="P16" t="inlineStr">
        <is>
          <t>SAESA</t>
        </is>
      </c>
      <c r="Q16" t="n">
        <v>5</v>
      </c>
      <c r="R16" t="inlineStr">
        <is>
          <t>CIRUELOS 220</t>
        </is>
      </c>
      <c r="U16" t="n">
        <v>0</v>
      </c>
      <c r="V16" t="n">
        <v>0</v>
      </c>
      <c r="W16" t="n">
        <v>5522.07614</v>
      </c>
    </row>
    <row r="17">
      <c r="A17" t="inlineStr">
        <is>
          <t>01-11-2020</t>
        </is>
      </c>
      <c r="B17" t="inlineStr">
        <is>
          <t>01-11-2020</t>
        </is>
      </c>
      <c r="C17" t="inlineStr">
        <is>
          <t>Licitación Caren y Saesa (SIC 2013/03-2) BS1A</t>
        </is>
      </c>
      <c r="D17" t="inlineStr">
        <is>
          <t>Potencia Licitaciones</t>
        </is>
      </c>
      <c r="E17" t="inlineStr">
        <is>
          <t>Potencia</t>
        </is>
      </c>
      <c r="F17" t="inlineStr">
        <is>
          <t>Lic. SIC 2013/03-2 bloques BS1A: Potencia nov 2020</t>
        </is>
      </c>
      <c r="G17" t="inlineStr">
        <is>
          <t>2020-12-22 18:21:41</t>
        </is>
      </c>
      <c r="H17" t="n">
        <v>33</v>
      </c>
      <c r="I17" t="n">
        <v>16768</v>
      </c>
      <c r="J17" t="inlineStr">
        <is>
          <t>s</t>
        </is>
      </c>
      <c r="K17" t="inlineStr">
        <is>
          <t>s</t>
        </is>
      </c>
      <c r="L17" t="inlineStr">
        <is>
          <t>BS1A</t>
        </is>
      </c>
      <c r="M17" t="inlineStr">
        <is>
          <t>Caren</t>
        </is>
      </c>
      <c r="N17" t="inlineStr">
        <is>
          <t>Saesa</t>
        </is>
      </c>
      <c r="O17" t="inlineStr">
        <is>
          <t>2013/03-2</t>
        </is>
      </c>
      <c r="P17" t="inlineStr">
        <is>
          <t>SAESA</t>
        </is>
      </c>
      <c r="Q17" t="n">
        <v>6</v>
      </c>
      <c r="R17" t="inlineStr">
        <is>
          <t>D.ALMAGRO 220</t>
        </is>
      </c>
      <c r="U17" t="n">
        <v>0</v>
      </c>
      <c r="V17" t="n">
        <v>0</v>
      </c>
      <c r="W17" t="n">
        <v>5668.2856</v>
      </c>
    </row>
    <row r="18">
      <c r="A18" t="inlineStr">
        <is>
          <t>01-11-2020</t>
        </is>
      </c>
      <c r="B18" t="inlineStr">
        <is>
          <t>01-11-2020</t>
        </is>
      </c>
      <c r="C18" t="inlineStr">
        <is>
          <t>Licitación Caren y Saesa (SIC 2013/03-2) BS1A</t>
        </is>
      </c>
      <c r="D18" t="inlineStr">
        <is>
          <t>Potencia Licitaciones</t>
        </is>
      </c>
      <c r="E18" t="inlineStr">
        <is>
          <t>Potencia</t>
        </is>
      </c>
      <c r="F18" t="inlineStr">
        <is>
          <t>Lic. SIC 2013/03-2 bloques BS1A: Potencia nov 2020</t>
        </is>
      </c>
      <c r="G18" t="inlineStr">
        <is>
          <t>2020-12-22 18:21:41</t>
        </is>
      </c>
      <c r="H18" t="n">
        <v>33</v>
      </c>
      <c r="I18" t="n">
        <v>16768</v>
      </c>
      <c r="J18" t="inlineStr">
        <is>
          <t>s</t>
        </is>
      </c>
      <c r="K18" t="inlineStr">
        <is>
          <t>s</t>
        </is>
      </c>
      <c r="L18" t="inlineStr">
        <is>
          <t>BS1A</t>
        </is>
      </c>
      <c r="M18" t="inlineStr">
        <is>
          <t>Caren</t>
        </is>
      </c>
      <c r="N18" t="inlineStr">
        <is>
          <t>Saesa</t>
        </is>
      </c>
      <c r="O18" t="inlineStr">
        <is>
          <t>2013/03-2</t>
        </is>
      </c>
      <c r="P18" t="inlineStr">
        <is>
          <t>SAESA</t>
        </is>
      </c>
      <c r="Q18" t="n">
        <v>7</v>
      </c>
      <c r="R18" t="inlineStr">
        <is>
          <t>MELIPULLI 220</t>
        </is>
      </c>
      <c r="U18" t="n">
        <v>0</v>
      </c>
      <c r="V18" t="n">
        <v>0</v>
      </c>
      <c r="W18" t="n">
        <v>5415.90555</v>
      </c>
    </row>
    <row r="19">
      <c r="A19" t="inlineStr">
        <is>
          <t>01-11-2020</t>
        </is>
      </c>
      <c r="B19" t="inlineStr">
        <is>
          <t>01-11-2020</t>
        </is>
      </c>
      <c r="C19" t="inlineStr">
        <is>
          <t>Licitación Caren y Saesa (SIC 2013/03-2) BS1A</t>
        </is>
      </c>
      <c r="D19" t="inlineStr">
        <is>
          <t>Potencia Licitaciones</t>
        </is>
      </c>
      <c r="E19" t="inlineStr">
        <is>
          <t>Potencia</t>
        </is>
      </c>
      <c r="F19" t="inlineStr">
        <is>
          <t>Lic. SIC 2013/03-2 bloques BS1A: Potencia nov 2020</t>
        </is>
      </c>
      <c r="G19" t="inlineStr">
        <is>
          <t>2020-12-22 18:21:41</t>
        </is>
      </c>
      <c r="H19" t="n">
        <v>33</v>
      </c>
      <c r="I19" t="n">
        <v>16768</v>
      </c>
      <c r="J19" t="inlineStr">
        <is>
          <t>s</t>
        </is>
      </c>
      <c r="K19" t="inlineStr">
        <is>
          <t>s</t>
        </is>
      </c>
      <c r="L19" t="inlineStr">
        <is>
          <t>BS1A</t>
        </is>
      </c>
      <c r="M19" t="inlineStr">
        <is>
          <t>Caren</t>
        </is>
      </c>
      <c r="N19" t="inlineStr">
        <is>
          <t>Saesa</t>
        </is>
      </c>
      <c r="O19" t="inlineStr">
        <is>
          <t>2013/03-2</t>
        </is>
      </c>
      <c r="P19" t="inlineStr">
        <is>
          <t>SAESA</t>
        </is>
      </c>
      <c r="Q19" t="n">
        <v>8</v>
      </c>
      <c r="R19" t="inlineStr">
        <is>
          <t>P.MONTT 220</t>
        </is>
      </c>
      <c r="U19" t="n">
        <v>0</v>
      </c>
      <c r="V19" t="n">
        <v>0</v>
      </c>
      <c r="W19" t="n">
        <v>5415.91</v>
      </c>
    </row>
    <row r="20">
      <c r="A20" t="inlineStr">
        <is>
          <t>01-11-2020</t>
        </is>
      </c>
      <c r="B20" t="inlineStr">
        <is>
          <t>01-11-2020</t>
        </is>
      </c>
      <c r="C20" t="inlineStr">
        <is>
          <t>Licitación Caren y Saesa (SIC 2013/03-2) BS1A</t>
        </is>
      </c>
      <c r="D20" t="inlineStr">
        <is>
          <t>Potencia Licitaciones</t>
        </is>
      </c>
      <c r="E20" t="inlineStr">
        <is>
          <t>Potencia</t>
        </is>
      </c>
      <c r="F20" t="inlineStr">
        <is>
          <t>Lic. SIC 2013/03-2 bloques BS1A: Potencia nov 2020</t>
        </is>
      </c>
      <c r="G20" t="inlineStr">
        <is>
          <t>2020-12-22 18:21:41</t>
        </is>
      </c>
      <c r="H20" t="n">
        <v>33</v>
      </c>
      <c r="I20" t="n">
        <v>16768</v>
      </c>
      <c r="J20" t="inlineStr">
        <is>
          <t>s</t>
        </is>
      </c>
      <c r="K20" t="inlineStr">
        <is>
          <t>s</t>
        </is>
      </c>
      <c r="L20" t="inlineStr">
        <is>
          <t>BS1A</t>
        </is>
      </c>
      <c r="M20" t="inlineStr">
        <is>
          <t>Caren</t>
        </is>
      </c>
      <c r="N20" t="inlineStr">
        <is>
          <t>Saesa</t>
        </is>
      </c>
      <c r="O20" t="inlineStr">
        <is>
          <t>2013/03-2</t>
        </is>
      </c>
      <c r="P20" t="inlineStr">
        <is>
          <t>SAESA</t>
        </is>
      </c>
      <c r="Q20" t="n">
        <v>9</v>
      </c>
      <c r="R20" t="inlineStr">
        <is>
          <t>TEMUCO 220</t>
        </is>
      </c>
      <c r="U20" t="n">
        <v>0</v>
      </c>
      <c r="V20" t="n">
        <v>0</v>
      </c>
      <c r="W20" t="n">
        <v>5583.34913</v>
      </c>
    </row>
    <row r="21">
      <c r="A21" t="inlineStr">
        <is>
          <t>01-11-2020</t>
        </is>
      </c>
      <c r="B21" t="inlineStr">
        <is>
          <t>01-11-2020</t>
        </is>
      </c>
      <c r="C21" t="inlineStr">
        <is>
          <t>Licitación Caren y Saesa (SIC 2013/03-2) BS1A</t>
        </is>
      </c>
      <c r="D21" t="inlineStr">
        <is>
          <t>Potencia Licitaciones</t>
        </is>
      </c>
      <c r="E21" t="inlineStr">
        <is>
          <t>Potencia</t>
        </is>
      </c>
      <c r="F21" t="inlineStr">
        <is>
          <t>Lic. SIC 2013/03-2 bloques BS1A: Potencia nov 2020</t>
        </is>
      </c>
      <c r="G21" t="inlineStr">
        <is>
          <t>2020-12-22 18:21:41</t>
        </is>
      </c>
      <c r="H21" t="n">
        <v>33</v>
      </c>
      <c r="I21" t="n">
        <v>16768</v>
      </c>
      <c r="J21" t="inlineStr">
        <is>
          <t>s</t>
        </is>
      </c>
      <c r="K21" t="inlineStr">
        <is>
          <t>s</t>
        </is>
      </c>
      <c r="L21" t="inlineStr">
        <is>
          <t>BS1A</t>
        </is>
      </c>
      <c r="M21" t="inlineStr">
        <is>
          <t>Caren</t>
        </is>
      </c>
      <c r="N21" t="inlineStr">
        <is>
          <t>Saesa</t>
        </is>
      </c>
      <c r="O21" t="inlineStr">
        <is>
          <t>2013/03-2</t>
        </is>
      </c>
      <c r="P21" t="inlineStr">
        <is>
          <t>SAESA</t>
        </is>
      </c>
      <c r="Q21" t="n">
        <v>10</v>
      </c>
      <c r="R21" t="inlineStr">
        <is>
          <t>VALDIVIA 220</t>
        </is>
      </c>
      <c r="U21" t="n">
        <v>0</v>
      </c>
      <c r="V21" t="n">
        <v>0</v>
      </c>
      <c r="W21" t="n">
        <v>5670.71496</v>
      </c>
    </row>
    <row r="22">
      <c r="A22" t="inlineStr">
        <is>
          <t>01-12-2020</t>
        </is>
      </c>
      <c r="B22" t="inlineStr">
        <is>
          <t>01-12-2020</t>
        </is>
      </c>
      <c r="C22" t="inlineStr">
        <is>
          <t>Licitación Caren y Saesa (SIC 2013/03-2) BS1A</t>
        </is>
      </c>
      <c r="D22" t="inlineStr">
        <is>
          <t>Potencia Licitaciones</t>
        </is>
      </c>
      <c r="E22" t="inlineStr">
        <is>
          <t>Potencia</t>
        </is>
      </c>
      <c r="F22" t="inlineStr">
        <is>
          <t>Lic. SIC 2013/03-2 bloques BS1A: Potencia dic 2020</t>
        </is>
      </c>
      <c r="G22" t="inlineStr">
        <is>
          <t>2021-01-15 17:46:30</t>
        </is>
      </c>
      <c r="H22" t="n">
        <v>33</v>
      </c>
      <c r="I22" t="n">
        <v>17109</v>
      </c>
      <c r="J22" t="inlineStr">
        <is>
          <t>s</t>
        </is>
      </c>
      <c r="K22" t="inlineStr">
        <is>
          <t>s</t>
        </is>
      </c>
      <c r="L22" t="inlineStr">
        <is>
          <t>BS1A</t>
        </is>
      </c>
      <c r="M22" t="inlineStr">
        <is>
          <t>Caren</t>
        </is>
      </c>
      <c r="N22" t="inlineStr">
        <is>
          <t>Saesa</t>
        </is>
      </c>
      <c r="O22" t="inlineStr">
        <is>
          <t>2013/03-2</t>
        </is>
      </c>
      <c r="P22" t="inlineStr">
        <is>
          <t>SAESA</t>
        </is>
      </c>
      <c r="Q22" t="n">
        <v>1</v>
      </c>
      <c r="R22" t="inlineStr">
        <is>
          <t>B.BLANCO 220</t>
        </is>
      </c>
      <c r="U22" t="n">
        <v>0</v>
      </c>
      <c r="V22" t="n">
        <v>0</v>
      </c>
      <c r="W22" t="n">
        <v>5361.29962</v>
      </c>
    </row>
    <row r="23">
      <c r="A23" t="inlineStr">
        <is>
          <t>01-12-2020</t>
        </is>
      </c>
      <c r="B23" t="inlineStr">
        <is>
          <t>01-12-2020</t>
        </is>
      </c>
      <c r="C23" t="inlineStr">
        <is>
          <t>Licitación Caren y Saesa (SIC 2013/03-2) BS1A</t>
        </is>
      </c>
      <c r="D23" t="inlineStr">
        <is>
          <t>Potencia Licitaciones</t>
        </is>
      </c>
      <c r="E23" t="inlineStr">
        <is>
          <t>Potencia</t>
        </is>
      </c>
      <c r="F23" t="inlineStr">
        <is>
          <t>Lic. SIC 2013/03-2 bloques BS1A: Potencia dic 2020</t>
        </is>
      </c>
      <c r="G23" t="inlineStr">
        <is>
          <t>2021-01-15 17:46:30</t>
        </is>
      </c>
      <c r="H23" t="n">
        <v>33</v>
      </c>
      <c r="I23" t="n">
        <v>17109</v>
      </c>
      <c r="J23" t="inlineStr">
        <is>
          <t>s</t>
        </is>
      </c>
      <c r="K23" t="inlineStr">
        <is>
          <t>s</t>
        </is>
      </c>
      <c r="L23" t="inlineStr">
        <is>
          <t>BS1A</t>
        </is>
      </c>
      <c r="M23" t="inlineStr">
        <is>
          <t>Caren</t>
        </is>
      </c>
      <c r="N23" t="inlineStr">
        <is>
          <t>Saesa</t>
        </is>
      </c>
      <c r="O23" t="inlineStr">
        <is>
          <t>2013/03-2</t>
        </is>
      </c>
      <c r="P23" t="inlineStr">
        <is>
          <t>SAESA</t>
        </is>
      </c>
      <c r="Q23" t="n">
        <v>2</v>
      </c>
      <c r="R23" t="inlineStr">
        <is>
          <t>CAUTIN 220</t>
        </is>
      </c>
      <c r="U23" t="n">
        <v>0</v>
      </c>
      <c r="V23" t="n">
        <v>0</v>
      </c>
      <c r="W23" t="n">
        <v>5586.99318</v>
      </c>
    </row>
    <row r="24">
      <c r="A24" t="inlineStr">
        <is>
          <t>01-12-2020</t>
        </is>
      </c>
      <c r="B24" t="inlineStr">
        <is>
          <t>01-12-2020</t>
        </is>
      </c>
      <c r="C24" t="inlineStr">
        <is>
          <t>Licitación Caren y Saesa (SIC 2013/03-2) BS1A</t>
        </is>
      </c>
      <c r="D24" t="inlineStr">
        <is>
          <t>Potencia Licitaciones</t>
        </is>
      </c>
      <c r="E24" t="inlineStr">
        <is>
          <t>Potencia</t>
        </is>
      </c>
      <c r="F24" t="inlineStr">
        <is>
          <t>Lic. SIC 2013/03-2 bloques BS1A: Potencia dic 2020</t>
        </is>
      </c>
      <c r="G24" t="inlineStr">
        <is>
          <t>2021-01-15 17:46:30</t>
        </is>
      </c>
      <c r="H24" t="n">
        <v>33</v>
      </c>
      <c r="I24" t="n">
        <v>17109</v>
      </c>
      <c r="J24" t="inlineStr">
        <is>
          <t>s</t>
        </is>
      </c>
      <c r="K24" t="inlineStr">
        <is>
          <t>s</t>
        </is>
      </c>
      <c r="L24" t="inlineStr">
        <is>
          <t>BS1A</t>
        </is>
      </c>
      <c r="M24" t="inlineStr">
        <is>
          <t>Caren</t>
        </is>
      </c>
      <c r="N24" t="inlineStr">
        <is>
          <t>Saesa</t>
        </is>
      </c>
      <c r="O24" t="inlineStr">
        <is>
          <t>2013/03-2</t>
        </is>
      </c>
      <c r="P24" t="inlineStr">
        <is>
          <t>SAESA</t>
        </is>
      </c>
      <c r="Q24" t="n">
        <v>3</v>
      </c>
      <c r="R24" t="inlineStr">
        <is>
          <t>CHARRUA 220</t>
        </is>
      </c>
      <c r="U24" t="n">
        <v>0</v>
      </c>
      <c r="V24" t="n">
        <v>0</v>
      </c>
      <c r="W24" t="n">
        <v>5767.17722</v>
      </c>
    </row>
    <row r="25">
      <c r="A25" t="inlineStr">
        <is>
          <t>01-12-2020</t>
        </is>
      </c>
      <c r="B25" t="inlineStr">
        <is>
          <t>01-12-2020</t>
        </is>
      </c>
      <c r="C25" t="inlineStr">
        <is>
          <t>Licitación Caren y Saesa (SIC 2013/03-2) BS1A</t>
        </is>
      </c>
      <c r="D25" t="inlineStr">
        <is>
          <t>Potencia Licitaciones</t>
        </is>
      </c>
      <c r="E25" t="inlineStr">
        <is>
          <t>Potencia</t>
        </is>
      </c>
      <c r="F25" t="inlineStr">
        <is>
          <t>Lic. SIC 2013/03-2 bloques BS1A: Potencia dic 2020</t>
        </is>
      </c>
      <c r="G25" t="inlineStr">
        <is>
          <t>2021-01-15 17:46:30</t>
        </is>
      </c>
      <c r="H25" t="n">
        <v>33</v>
      </c>
      <c r="I25" t="n">
        <v>17109</v>
      </c>
      <c r="J25" t="inlineStr">
        <is>
          <t>s</t>
        </is>
      </c>
      <c r="K25" t="inlineStr">
        <is>
          <t>s</t>
        </is>
      </c>
      <c r="L25" t="inlineStr">
        <is>
          <t>BS1A</t>
        </is>
      </c>
      <c r="M25" t="inlineStr">
        <is>
          <t>Caren</t>
        </is>
      </c>
      <c r="N25" t="inlineStr">
        <is>
          <t>Saesa</t>
        </is>
      </c>
      <c r="O25" t="inlineStr">
        <is>
          <t>2013/03-2</t>
        </is>
      </c>
      <c r="P25" t="inlineStr">
        <is>
          <t>SAESA</t>
        </is>
      </c>
      <c r="Q25" t="n">
        <v>4</v>
      </c>
      <c r="R25" t="inlineStr">
        <is>
          <t>CHILOE 220</t>
        </is>
      </c>
      <c r="U25" t="n">
        <v>0</v>
      </c>
      <c r="V25" t="n">
        <v>0</v>
      </c>
      <c r="W25" t="n">
        <v>5447.45077</v>
      </c>
    </row>
    <row r="26">
      <c r="A26" t="inlineStr">
        <is>
          <t>01-12-2020</t>
        </is>
      </c>
      <c r="B26" t="inlineStr">
        <is>
          <t>01-12-2020</t>
        </is>
      </c>
      <c r="C26" t="inlineStr">
        <is>
          <t>Licitación Caren y Saesa (SIC 2013/03-2) BS1A</t>
        </is>
      </c>
      <c r="D26" t="inlineStr">
        <is>
          <t>Potencia Licitaciones</t>
        </is>
      </c>
      <c r="E26" t="inlineStr">
        <is>
          <t>Potencia</t>
        </is>
      </c>
      <c r="F26" t="inlineStr">
        <is>
          <t>Lic. SIC 2013/03-2 bloques BS1A: Potencia dic 2020</t>
        </is>
      </c>
      <c r="G26" t="inlineStr">
        <is>
          <t>2021-01-15 17:46:30</t>
        </is>
      </c>
      <c r="H26" t="n">
        <v>33</v>
      </c>
      <c r="I26" t="n">
        <v>17109</v>
      </c>
      <c r="J26" t="inlineStr">
        <is>
          <t>s</t>
        </is>
      </c>
      <c r="K26" t="inlineStr">
        <is>
          <t>s</t>
        </is>
      </c>
      <c r="L26" t="inlineStr">
        <is>
          <t>BS1A</t>
        </is>
      </c>
      <c r="M26" t="inlineStr">
        <is>
          <t>Caren</t>
        </is>
      </c>
      <c r="N26" t="inlineStr">
        <is>
          <t>Saesa</t>
        </is>
      </c>
      <c r="O26" t="inlineStr">
        <is>
          <t>2013/03-2</t>
        </is>
      </c>
      <c r="P26" t="inlineStr">
        <is>
          <t>SAESA</t>
        </is>
      </c>
      <c r="Q26" t="n">
        <v>5</v>
      </c>
      <c r="R26" t="inlineStr">
        <is>
          <t>CIRUELOS 220</t>
        </is>
      </c>
      <c r="U26" t="n">
        <v>0</v>
      </c>
      <c r="V26" t="n">
        <v>0</v>
      </c>
      <c r="W26" t="n">
        <v>5522.07614</v>
      </c>
    </row>
    <row r="27">
      <c r="A27" t="inlineStr">
        <is>
          <t>01-12-2020</t>
        </is>
      </c>
      <c r="B27" t="inlineStr">
        <is>
          <t>01-12-2020</t>
        </is>
      </c>
      <c r="C27" t="inlineStr">
        <is>
          <t>Licitación Caren y Saesa (SIC 2013/03-2) BS1A</t>
        </is>
      </c>
      <c r="D27" t="inlineStr">
        <is>
          <t>Potencia Licitaciones</t>
        </is>
      </c>
      <c r="E27" t="inlineStr">
        <is>
          <t>Potencia</t>
        </is>
      </c>
      <c r="F27" t="inlineStr">
        <is>
          <t>Lic. SIC 2013/03-2 bloques BS1A: Potencia dic 2020</t>
        </is>
      </c>
      <c r="G27" t="inlineStr">
        <is>
          <t>2021-01-15 17:46:30</t>
        </is>
      </c>
      <c r="H27" t="n">
        <v>33</v>
      </c>
      <c r="I27" t="n">
        <v>17109</v>
      </c>
      <c r="J27" t="inlineStr">
        <is>
          <t>s</t>
        </is>
      </c>
      <c r="K27" t="inlineStr">
        <is>
          <t>s</t>
        </is>
      </c>
      <c r="L27" t="inlineStr">
        <is>
          <t>BS1A</t>
        </is>
      </c>
      <c r="M27" t="inlineStr">
        <is>
          <t>Caren</t>
        </is>
      </c>
      <c r="N27" t="inlineStr">
        <is>
          <t>Saesa</t>
        </is>
      </c>
      <c r="O27" t="inlineStr">
        <is>
          <t>2013/03-2</t>
        </is>
      </c>
      <c r="P27" t="inlineStr">
        <is>
          <t>SAESA</t>
        </is>
      </c>
      <c r="Q27" t="n">
        <v>6</v>
      </c>
      <c r="R27" t="inlineStr">
        <is>
          <t>D.ALMAGRO 220</t>
        </is>
      </c>
      <c r="U27" t="n">
        <v>0</v>
      </c>
      <c r="V27" t="n">
        <v>0</v>
      </c>
      <c r="W27" t="n">
        <v>5668.2856</v>
      </c>
    </row>
    <row r="28">
      <c r="A28" t="inlineStr">
        <is>
          <t>01-12-2020</t>
        </is>
      </c>
      <c r="B28" t="inlineStr">
        <is>
          <t>01-12-2020</t>
        </is>
      </c>
      <c r="C28" t="inlineStr">
        <is>
          <t>Licitación Caren y Saesa (SIC 2013/03-2) BS1A</t>
        </is>
      </c>
      <c r="D28" t="inlineStr">
        <is>
          <t>Potencia Licitaciones</t>
        </is>
      </c>
      <c r="E28" t="inlineStr">
        <is>
          <t>Potencia</t>
        </is>
      </c>
      <c r="F28" t="inlineStr">
        <is>
          <t>Lic. SIC 2013/03-2 bloques BS1A: Potencia dic 2020</t>
        </is>
      </c>
      <c r="G28" t="inlineStr">
        <is>
          <t>2021-01-15 17:46:30</t>
        </is>
      </c>
      <c r="H28" t="n">
        <v>33</v>
      </c>
      <c r="I28" t="n">
        <v>17109</v>
      </c>
      <c r="J28" t="inlineStr">
        <is>
          <t>s</t>
        </is>
      </c>
      <c r="K28" t="inlineStr">
        <is>
          <t>s</t>
        </is>
      </c>
      <c r="L28" t="inlineStr">
        <is>
          <t>BS1A</t>
        </is>
      </c>
      <c r="M28" t="inlineStr">
        <is>
          <t>Caren</t>
        </is>
      </c>
      <c r="N28" t="inlineStr">
        <is>
          <t>Saesa</t>
        </is>
      </c>
      <c r="O28" t="inlineStr">
        <is>
          <t>2013/03-2</t>
        </is>
      </c>
      <c r="P28" t="inlineStr">
        <is>
          <t>SAESA</t>
        </is>
      </c>
      <c r="Q28" t="n">
        <v>7</v>
      </c>
      <c r="R28" t="inlineStr">
        <is>
          <t>MELIPULLI 220</t>
        </is>
      </c>
      <c r="U28" t="n">
        <v>0</v>
      </c>
      <c r="V28" t="n">
        <v>0</v>
      </c>
      <c r="W28" t="n">
        <v>5415.90555</v>
      </c>
    </row>
    <row r="29">
      <c r="A29" t="inlineStr">
        <is>
          <t>01-12-2020</t>
        </is>
      </c>
      <c r="B29" t="inlineStr">
        <is>
          <t>01-12-2020</t>
        </is>
      </c>
      <c r="C29" t="inlineStr">
        <is>
          <t>Licitación Caren y Saesa (SIC 2013/03-2) BS1A</t>
        </is>
      </c>
      <c r="D29" t="inlineStr">
        <is>
          <t>Potencia Licitaciones</t>
        </is>
      </c>
      <c r="E29" t="inlineStr">
        <is>
          <t>Potencia</t>
        </is>
      </c>
      <c r="F29" t="inlineStr">
        <is>
          <t>Lic. SIC 2013/03-2 bloques BS1A: Potencia dic 2020</t>
        </is>
      </c>
      <c r="G29" t="inlineStr">
        <is>
          <t>2021-01-15 17:46:30</t>
        </is>
      </c>
      <c r="H29" t="n">
        <v>33</v>
      </c>
      <c r="I29" t="n">
        <v>17109</v>
      </c>
      <c r="J29" t="inlineStr">
        <is>
          <t>s</t>
        </is>
      </c>
      <c r="K29" t="inlineStr">
        <is>
          <t>s</t>
        </is>
      </c>
      <c r="L29" t="inlineStr">
        <is>
          <t>BS1A</t>
        </is>
      </c>
      <c r="M29" t="inlineStr">
        <is>
          <t>Caren</t>
        </is>
      </c>
      <c r="N29" t="inlineStr">
        <is>
          <t>Saesa</t>
        </is>
      </c>
      <c r="O29" t="inlineStr">
        <is>
          <t>2013/03-2</t>
        </is>
      </c>
      <c r="P29" t="inlineStr">
        <is>
          <t>SAESA</t>
        </is>
      </c>
      <c r="Q29" t="n">
        <v>8</v>
      </c>
      <c r="R29" t="inlineStr">
        <is>
          <t>P.MONTT 220</t>
        </is>
      </c>
      <c r="U29" t="n">
        <v>0</v>
      </c>
      <c r="V29" t="n">
        <v>0</v>
      </c>
      <c r="W29" t="n">
        <v>5415.91</v>
      </c>
    </row>
    <row r="30">
      <c r="A30" t="inlineStr">
        <is>
          <t>01-12-2020</t>
        </is>
      </c>
      <c r="B30" t="inlineStr">
        <is>
          <t>01-12-2020</t>
        </is>
      </c>
      <c r="C30" t="inlineStr">
        <is>
          <t>Licitación Caren y Saesa (SIC 2013/03-2) BS1A</t>
        </is>
      </c>
      <c r="D30" t="inlineStr">
        <is>
          <t>Potencia Licitaciones</t>
        </is>
      </c>
      <c r="E30" t="inlineStr">
        <is>
          <t>Potencia</t>
        </is>
      </c>
      <c r="F30" t="inlineStr">
        <is>
          <t>Lic. SIC 2013/03-2 bloques BS1A: Potencia dic 2020</t>
        </is>
      </c>
      <c r="G30" t="inlineStr">
        <is>
          <t>2021-01-15 17:46:30</t>
        </is>
      </c>
      <c r="H30" t="n">
        <v>33</v>
      </c>
      <c r="I30" t="n">
        <v>17109</v>
      </c>
      <c r="J30" t="inlineStr">
        <is>
          <t>s</t>
        </is>
      </c>
      <c r="K30" t="inlineStr">
        <is>
          <t>s</t>
        </is>
      </c>
      <c r="L30" t="inlineStr">
        <is>
          <t>BS1A</t>
        </is>
      </c>
      <c r="M30" t="inlineStr">
        <is>
          <t>Caren</t>
        </is>
      </c>
      <c r="N30" t="inlineStr">
        <is>
          <t>Saesa</t>
        </is>
      </c>
      <c r="O30" t="inlineStr">
        <is>
          <t>2013/03-2</t>
        </is>
      </c>
      <c r="P30" t="inlineStr">
        <is>
          <t>SAESA</t>
        </is>
      </c>
      <c r="Q30" t="n">
        <v>9</v>
      </c>
      <c r="R30" t="inlineStr">
        <is>
          <t>TEMUCO 220</t>
        </is>
      </c>
      <c r="U30" t="n">
        <v>0</v>
      </c>
      <c r="V30" t="n">
        <v>0</v>
      </c>
      <c r="W30" t="n">
        <v>5583.34913</v>
      </c>
    </row>
    <row r="31">
      <c r="A31" t="inlineStr">
        <is>
          <t>01-12-2020</t>
        </is>
      </c>
      <c r="B31" t="inlineStr">
        <is>
          <t>01-12-2020</t>
        </is>
      </c>
      <c r="C31" t="inlineStr">
        <is>
          <t>Licitación Caren y Saesa (SIC 2013/03-2) BS1A</t>
        </is>
      </c>
      <c r="D31" t="inlineStr">
        <is>
          <t>Potencia Licitaciones</t>
        </is>
      </c>
      <c r="E31" t="inlineStr">
        <is>
          <t>Potencia</t>
        </is>
      </c>
      <c r="F31" t="inlineStr">
        <is>
          <t>Lic. SIC 2013/03-2 bloques BS1A: Potencia dic 2020</t>
        </is>
      </c>
      <c r="G31" t="inlineStr">
        <is>
          <t>2021-01-15 17:46:30</t>
        </is>
      </c>
      <c r="H31" t="n">
        <v>33</v>
      </c>
      <c r="I31" t="n">
        <v>17109</v>
      </c>
      <c r="J31" t="inlineStr">
        <is>
          <t>s</t>
        </is>
      </c>
      <c r="K31" t="inlineStr">
        <is>
          <t>s</t>
        </is>
      </c>
      <c r="L31" t="inlineStr">
        <is>
          <t>BS1A</t>
        </is>
      </c>
      <c r="M31" t="inlineStr">
        <is>
          <t>Caren</t>
        </is>
      </c>
      <c r="N31" t="inlineStr">
        <is>
          <t>Saesa</t>
        </is>
      </c>
      <c r="O31" t="inlineStr">
        <is>
          <t>2013/03-2</t>
        </is>
      </c>
      <c r="P31" t="inlineStr">
        <is>
          <t>SAESA</t>
        </is>
      </c>
      <c r="Q31" t="n">
        <v>10</v>
      </c>
      <c r="R31" t="inlineStr">
        <is>
          <t>VALDIVIA 220</t>
        </is>
      </c>
      <c r="U31" t="n">
        <v>0</v>
      </c>
      <c r="V31" t="n">
        <v>0</v>
      </c>
      <c r="W31" t="n">
        <v>5670.71496</v>
      </c>
    </row>
    <row r="32">
      <c r="A32" t="inlineStr">
        <is>
          <t>01-01-2021</t>
        </is>
      </c>
      <c r="B32" t="inlineStr">
        <is>
          <t>01-01-2021</t>
        </is>
      </c>
      <c r="C32" t="inlineStr">
        <is>
          <t>Licitación Caren y Saesa (SIC 2013/03-2) BS1A</t>
        </is>
      </c>
      <c r="D32" t="inlineStr">
        <is>
          <t>Potencia Licitaciones</t>
        </is>
      </c>
      <c r="E32" t="inlineStr">
        <is>
          <t>Potencia</t>
        </is>
      </c>
      <c r="F32" t="inlineStr">
        <is>
          <t>Lic. SIC 2013/03-2 bloques BS1A: Potencia ene 2021</t>
        </is>
      </c>
      <c r="G32" t="inlineStr">
        <is>
          <t>2021-02-15 22:01:53</t>
        </is>
      </c>
      <c r="H32" t="n">
        <v>33</v>
      </c>
      <c r="I32" t="n">
        <v>17590</v>
      </c>
      <c r="J32" t="inlineStr">
        <is>
          <t>s</t>
        </is>
      </c>
      <c r="K32" t="inlineStr">
        <is>
          <t>s</t>
        </is>
      </c>
      <c r="L32" t="inlineStr">
        <is>
          <t>BS1A</t>
        </is>
      </c>
      <c r="M32" t="inlineStr">
        <is>
          <t>Caren</t>
        </is>
      </c>
      <c r="N32" t="inlineStr">
        <is>
          <t>Saesa</t>
        </is>
      </c>
      <c r="O32" t="inlineStr">
        <is>
          <t>2013/03-2</t>
        </is>
      </c>
      <c r="P32" t="inlineStr">
        <is>
          <t>SAESA</t>
        </is>
      </c>
      <c r="Q32" t="n">
        <v>1</v>
      </c>
      <c r="R32" t="inlineStr">
        <is>
          <t>B.BLANCO 220</t>
        </is>
      </c>
      <c r="U32" t="n">
        <v>0</v>
      </c>
      <c r="V32" t="n">
        <v>0</v>
      </c>
      <c r="W32" t="n">
        <v>5361.3</v>
      </c>
    </row>
    <row r="33">
      <c r="A33" t="inlineStr">
        <is>
          <t>01-01-2021</t>
        </is>
      </c>
      <c r="B33" t="inlineStr">
        <is>
          <t>01-01-2021</t>
        </is>
      </c>
      <c r="C33" t="inlineStr">
        <is>
          <t>Licitación Caren y Saesa (SIC 2013/03-2) BS1A</t>
        </is>
      </c>
      <c r="D33" t="inlineStr">
        <is>
          <t>Potencia Licitaciones</t>
        </is>
      </c>
      <c r="E33" t="inlineStr">
        <is>
          <t>Potencia</t>
        </is>
      </c>
      <c r="F33" t="inlineStr">
        <is>
          <t>Lic. SIC 2013/03-2 bloques BS1A: Potencia ene 2021</t>
        </is>
      </c>
      <c r="G33" t="inlineStr">
        <is>
          <t>2021-02-15 22:01:53</t>
        </is>
      </c>
      <c r="H33" t="n">
        <v>33</v>
      </c>
      <c r="I33" t="n">
        <v>17590</v>
      </c>
      <c r="J33" t="inlineStr">
        <is>
          <t>s</t>
        </is>
      </c>
      <c r="K33" t="inlineStr">
        <is>
          <t>s</t>
        </is>
      </c>
      <c r="L33" t="inlineStr">
        <is>
          <t>BS1A</t>
        </is>
      </c>
      <c r="M33" t="inlineStr">
        <is>
          <t>Caren</t>
        </is>
      </c>
      <c r="N33" t="inlineStr">
        <is>
          <t>Saesa</t>
        </is>
      </c>
      <c r="O33" t="inlineStr">
        <is>
          <t>2013/03-2</t>
        </is>
      </c>
      <c r="P33" t="inlineStr">
        <is>
          <t>SAESA</t>
        </is>
      </c>
      <c r="Q33" t="n">
        <v>2</v>
      </c>
      <c r="R33" t="inlineStr">
        <is>
          <t>CAUTIN 220</t>
        </is>
      </c>
      <c r="U33" t="n">
        <v>0</v>
      </c>
      <c r="V33" t="n">
        <v>0</v>
      </c>
      <c r="W33" t="n">
        <v>5586.99</v>
      </c>
    </row>
    <row r="34">
      <c r="A34" t="inlineStr">
        <is>
          <t>01-01-2021</t>
        </is>
      </c>
      <c r="B34" t="inlineStr">
        <is>
          <t>01-01-2021</t>
        </is>
      </c>
      <c r="C34" t="inlineStr">
        <is>
          <t>Licitación Caren y Saesa (SIC 2013/03-2) BS1A</t>
        </is>
      </c>
      <c r="D34" t="inlineStr">
        <is>
          <t>Potencia Licitaciones</t>
        </is>
      </c>
      <c r="E34" t="inlineStr">
        <is>
          <t>Potencia</t>
        </is>
      </c>
      <c r="F34" t="inlineStr">
        <is>
          <t>Lic. SIC 2013/03-2 bloques BS1A: Potencia ene 2021</t>
        </is>
      </c>
      <c r="G34" t="inlineStr">
        <is>
          <t>2021-02-15 22:01:53</t>
        </is>
      </c>
      <c r="H34" t="n">
        <v>33</v>
      </c>
      <c r="I34" t="n">
        <v>17590</v>
      </c>
      <c r="J34" t="inlineStr">
        <is>
          <t>s</t>
        </is>
      </c>
      <c r="K34" t="inlineStr">
        <is>
          <t>s</t>
        </is>
      </c>
      <c r="L34" t="inlineStr">
        <is>
          <t>BS1A</t>
        </is>
      </c>
      <c r="M34" t="inlineStr">
        <is>
          <t>Caren</t>
        </is>
      </c>
      <c r="N34" t="inlineStr">
        <is>
          <t>Saesa</t>
        </is>
      </c>
      <c r="O34" t="inlineStr">
        <is>
          <t>2013/03-2</t>
        </is>
      </c>
      <c r="P34" t="inlineStr">
        <is>
          <t>SAESA</t>
        </is>
      </c>
      <c r="Q34" t="n">
        <v>3</v>
      </c>
      <c r="R34" t="inlineStr">
        <is>
          <t>CHARRUA 220</t>
        </is>
      </c>
      <c r="U34" t="n">
        <v>0</v>
      </c>
      <c r="V34" t="n">
        <v>0</v>
      </c>
      <c r="W34" t="n">
        <v>5767.18</v>
      </c>
    </row>
    <row r="35">
      <c r="A35" t="inlineStr">
        <is>
          <t>01-01-2021</t>
        </is>
      </c>
      <c r="B35" t="inlineStr">
        <is>
          <t>01-01-2021</t>
        </is>
      </c>
      <c r="C35" t="inlineStr">
        <is>
          <t>Licitación Caren y Saesa (SIC 2013/03-2) BS1A</t>
        </is>
      </c>
      <c r="D35" t="inlineStr">
        <is>
          <t>Potencia Licitaciones</t>
        </is>
      </c>
      <c r="E35" t="inlineStr">
        <is>
          <t>Potencia</t>
        </is>
      </c>
      <c r="F35" t="inlineStr">
        <is>
          <t>Lic. SIC 2013/03-2 bloques BS1A: Potencia ene 2021</t>
        </is>
      </c>
      <c r="G35" t="inlineStr">
        <is>
          <t>2021-02-15 22:01:53</t>
        </is>
      </c>
      <c r="H35" t="n">
        <v>33</v>
      </c>
      <c r="I35" t="n">
        <v>17590</v>
      </c>
      <c r="J35" t="inlineStr">
        <is>
          <t>s</t>
        </is>
      </c>
      <c r="K35" t="inlineStr">
        <is>
          <t>s</t>
        </is>
      </c>
      <c r="L35" t="inlineStr">
        <is>
          <t>BS1A</t>
        </is>
      </c>
      <c r="M35" t="inlineStr">
        <is>
          <t>Caren</t>
        </is>
      </c>
      <c r="N35" t="inlineStr">
        <is>
          <t>Saesa</t>
        </is>
      </c>
      <c r="O35" t="inlineStr">
        <is>
          <t>2013/03-2</t>
        </is>
      </c>
      <c r="P35" t="inlineStr">
        <is>
          <t>SAESA</t>
        </is>
      </c>
      <c r="Q35" t="n">
        <v>4</v>
      </c>
      <c r="R35" t="inlineStr">
        <is>
          <t>CHILOE 220</t>
        </is>
      </c>
      <c r="U35" t="n">
        <v>0</v>
      </c>
      <c r="V35" t="n">
        <v>0</v>
      </c>
      <c r="W35" t="n">
        <v>5447.45</v>
      </c>
    </row>
    <row r="36">
      <c r="A36" t="inlineStr">
        <is>
          <t>01-01-2021</t>
        </is>
      </c>
      <c r="B36" t="inlineStr">
        <is>
          <t>01-01-2021</t>
        </is>
      </c>
      <c r="C36" t="inlineStr">
        <is>
          <t>Licitación Caren y Saesa (SIC 2013/03-2) BS1A</t>
        </is>
      </c>
      <c r="D36" t="inlineStr">
        <is>
          <t>Potencia Licitaciones</t>
        </is>
      </c>
      <c r="E36" t="inlineStr">
        <is>
          <t>Potencia</t>
        </is>
      </c>
      <c r="F36" t="inlineStr">
        <is>
          <t>Lic. SIC 2013/03-2 bloques BS1A: Potencia ene 2021</t>
        </is>
      </c>
      <c r="G36" t="inlineStr">
        <is>
          <t>2021-02-15 22:01:53</t>
        </is>
      </c>
      <c r="H36" t="n">
        <v>33</v>
      </c>
      <c r="I36" t="n">
        <v>17590</v>
      </c>
      <c r="J36" t="inlineStr">
        <is>
          <t>s</t>
        </is>
      </c>
      <c r="K36" t="inlineStr">
        <is>
          <t>s</t>
        </is>
      </c>
      <c r="L36" t="inlineStr">
        <is>
          <t>BS1A</t>
        </is>
      </c>
      <c r="M36" t="inlineStr">
        <is>
          <t>Caren</t>
        </is>
      </c>
      <c r="N36" t="inlineStr">
        <is>
          <t>Saesa</t>
        </is>
      </c>
      <c r="O36" t="inlineStr">
        <is>
          <t>2013/03-2</t>
        </is>
      </c>
      <c r="P36" t="inlineStr">
        <is>
          <t>SAESA</t>
        </is>
      </c>
      <c r="Q36" t="n">
        <v>5</v>
      </c>
      <c r="R36" t="inlineStr">
        <is>
          <t>CIRUELOS 220</t>
        </is>
      </c>
      <c r="U36" t="n">
        <v>0</v>
      </c>
      <c r="V36" t="n">
        <v>0</v>
      </c>
      <c r="W36" t="n">
        <v>5522.08</v>
      </c>
    </row>
    <row r="37">
      <c r="A37" t="inlineStr">
        <is>
          <t>01-01-2021</t>
        </is>
      </c>
      <c r="B37" t="inlineStr">
        <is>
          <t>01-01-2021</t>
        </is>
      </c>
      <c r="C37" t="inlineStr">
        <is>
          <t>Licitación Caren y Saesa (SIC 2013/03-2) BS1A</t>
        </is>
      </c>
      <c r="D37" t="inlineStr">
        <is>
          <t>Potencia Licitaciones</t>
        </is>
      </c>
      <c r="E37" t="inlineStr">
        <is>
          <t>Potencia</t>
        </is>
      </c>
      <c r="F37" t="inlineStr">
        <is>
          <t>Lic. SIC 2013/03-2 bloques BS1A: Potencia ene 2021</t>
        </is>
      </c>
      <c r="G37" t="inlineStr">
        <is>
          <t>2021-02-15 22:01:53</t>
        </is>
      </c>
      <c r="H37" t="n">
        <v>33</v>
      </c>
      <c r="I37" t="n">
        <v>17590</v>
      </c>
      <c r="J37" t="inlineStr">
        <is>
          <t>s</t>
        </is>
      </c>
      <c r="K37" t="inlineStr">
        <is>
          <t>s</t>
        </is>
      </c>
      <c r="L37" t="inlineStr">
        <is>
          <t>BS1A</t>
        </is>
      </c>
      <c r="M37" t="inlineStr">
        <is>
          <t>Caren</t>
        </is>
      </c>
      <c r="N37" t="inlineStr">
        <is>
          <t>Saesa</t>
        </is>
      </c>
      <c r="O37" t="inlineStr">
        <is>
          <t>2013/03-2</t>
        </is>
      </c>
      <c r="P37" t="inlineStr">
        <is>
          <t>SAESA</t>
        </is>
      </c>
      <c r="Q37" t="n">
        <v>6</v>
      </c>
      <c r="R37" t="inlineStr">
        <is>
          <t>D.ALMAGRO 220</t>
        </is>
      </c>
      <c r="U37" t="n">
        <v>0</v>
      </c>
      <c r="V37" t="n">
        <v>0</v>
      </c>
      <c r="W37" t="n">
        <v>5668.29</v>
      </c>
    </row>
    <row r="38">
      <c r="A38" t="inlineStr">
        <is>
          <t>01-01-2021</t>
        </is>
      </c>
      <c r="B38" t="inlineStr">
        <is>
          <t>01-01-2021</t>
        </is>
      </c>
      <c r="C38" t="inlineStr">
        <is>
          <t>Licitación Caren y Saesa (SIC 2013/03-2) BS1A</t>
        </is>
      </c>
      <c r="D38" t="inlineStr">
        <is>
          <t>Potencia Licitaciones</t>
        </is>
      </c>
      <c r="E38" t="inlineStr">
        <is>
          <t>Potencia</t>
        </is>
      </c>
      <c r="F38" t="inlineStr">
        <is>
          <t>Lic. SIC 2013/03-2 bloques BS1A: Potencia ene 2021</t>
        </is>
      </c>
      <c r="G38" t="inlineStr">
        <is>
          <t>2021-02-15 22:01:53</t>
        </is>
      </c>
      <c r="H38" t="n">
        <v>33</v>
      </c>
      <c r="I38" t="n">
        <v>17590</v>
      </c>
      <c r="J38" t="inlineStr">
        <is>
          <t>s</t>
        </is>
      </c>
      <c r="K38" t="inlineStr">
        <is>
          <t>s</t>
        </is>
      </c>
      <c r="L38" t="inlineStr">
        <is>
          <t>BS1A</t>
        </is>
      </c>
      <c r="M38" t="inlineStr">
        <is>
          <t>Caren</t>
        </is>
      </c>
      <c r="N38" t="inlineStr">
        <is>
          <t>Saesa</t>
        </is>
      </c>
      <c r="O38" t="inlineStr">
        <is>
          <t>2013/03-2</t>
        </is>
      </c>
      <c r="P38" t="inlineStr">
        <is>
          <t>SAESA</t>
        </is>
      </c>
      <c r="Q38" t="n">
        <v>7</v>
      </c>
      <c r="R38" t="inlineStr">
        <is>
          <t>MELIPULLI 220</t>
        </is>
      </c>
      <c r="U38" t="n">
        <v>0</v>
      </c>
      <c r="V38" t="n">
        <v>0</v>
      </c>
      <c r="W38" t="n">
        <v>5415.91</v>
      </c>
    </row>
    <row r="39">
      <c r="A39" t="inlineStr">
        <is>
          <t>01-01-2021</t>
        </is>
      </c>
      <c r="B39" t="inlineStr">
        <is>
          <t>01-01-2021</t>
        </is>
      </c>
      <c r="C39" t="inlineStr">
        <is>
          <t>Licitación Caren y Saesa (SIC 2013/03-2) BS1A</t>
        </is>
      </c>
      <c r="D39" t="inlineStr">
        <is>
          <t>Potencia Licitaciones</t>
        </is>
      </c>
      <c r="E39" t="inlineStr">
        <is>
          <t>Potencia</t>
        </is>
      </c>
      <c r="F39" t="inlineStr">
        <is>
          <t>Lic. SIC 2013/03-2 bloques BS1A: Potencia ene 2021</t>
        </is>
      </c>
      <c r="G39" t="inlineStr">
        <is>
          <t>2021-02-15 22:01:53</t>
        </is>
      </c>
      <c r="H39" t="n">
        <v>33</v>
      </c>
      <c r="I39" t="n">
        <v>17590</v>
      </c>
      <c r="J39" t="inlineStr">
        <is>
          <t>s</t>
        </is>
      </c>
      <c r="K39" t="inlineStr">
        <is>
          <t>s</t>
        </is>
      </c>
      <c r="L39" t="inlineStr">
        <is>
          <t>BS1A</t>
        </is>
      </c>
      <c r="M39" t="inlineStr">
        <is>
          <t>Caren</t>
        </is>
      </c>
      <c r="N39" t="inlineStr">
        <is>
          <t>Saesa</t>
        </is>
      </c>
      <c r="O39" t="inlineStr">
        <is>
          <t>2013/03-2</t>
        </is>
      </c>
      <c r="P39" t="inlineStr">
        <is>
          <t>SAESA</t>
        </is>
      </c>
      <c r="Q39" t="n">
        <v>8</v>
      </c>
      <c r="R39" t="inlineStr">
        <is>
          <t>P.MONTT 220</t>
        </is>
      </c>
      <c r="U39" t="n">
        <v>0</v>
      </c>
      <c r="V39" t="n">
        <v>0</v>
      </c>
      <c r="W39" t="n">
        <v>5415.91</v>
      </c>
    </row>
    <row r="40">
      <c r="A40" t="inlineStr">
        <is>
          <t>01-01-2021</t>
        </is>
      </c>
      <c r="B40" t="inlineStr">
        <is>
          <t>01-01-2021</t>
        </is>
      </c>
      <c r="C40" t="inlineStr">
        <is>
          <t>Licitación Caren y Saesa (SIC 2013/03-2) BS1A</t>
        </is>
      </c>
      <c r="D40" t="inlineStr">
        <is>
          <t>Potencia Licitaciones</t>
        </is>
      </c>
      <c r="E40" t="inlineStr">
        <is>
          <t>Potencia</t>
        </is>
      </c>
      <c r="F40" t="inlineStr">
        <is>
          <t>Lic. SIC 2013/03-2 bloques BS1A: Potencia ene 2021</t>
        </is>
      </c>
      <c r="G40" t="inlineStr">
        <is>
          <t>2021-02-15 22:01:53</t>
        </is>
      </c>
      <c r="H40" t="n">
        <v>33</v>
      </c>
      <c r="I40" t="n">
        <v>17590</v>
      </c>
      <c r="J40" t="inlineStr">
        <is>
          <t>s</t>
        </is>
      </c>
      <c r="K40" t="inlineStr">
        <is>
          <t>s</t>
        </is>
      </c>
      <c r="L40" t="inlineStr">
        <is>
          <t>BS1A</t>
        </is>
      </c>
      <c r="M40" t="inlineStr">
        <is>
          <t>Caren</t>
        </is>
      </c>
      <c r="N40" t="inlineStr">
        <is>
          <t>Saesa</t>
        </is>
      </c>
      <c r="O40" t="inlineStr">
        <is>
          <t>2013/03-2</t>
        </is>
      </c>
      <c r="P40" t="inlineStr">
        <is>
          <t>SAESA</t>
        </is>
      </c>
      <c r="Q40" t="n">
        <v>9</v>
      </c>
      <c r="R40" t="inlineStr">
        <is>
          <t>TEMUCO 220</t>
        </is>
      </c>
      <c r="U40" t="n">
        <v>0</v>
      </c>
      <c r="V40" t="n">
        <v>0</v>
      </c>
      <c r="W40" t="n">
        <v>5583.35</v>
      </c>
    </row>
    <row r="41">
      <c r="A41" t="inlineStr">
        <is>
          <t>01-01-2021</t>
        </is>
      </c>
      <c r="B41" t="inlineStr">
        <is>
          <t>01-01-2021</t>
        </is>
      </c>
      <c r="C41" t="inlineStr">
        <is>
          <t>Licitación Caren y Saesa (SIC 2013/03-2) BS1A</t>
        </is>
      </c>
      <c r="D41" t="inlineStr">
        <is>
          <t>Potencia Licitaciones</t>
        </is>
      </c>
      <c r="E41" t="inlineStr">
        <is>
          <t>Potencia</t>
        </is>
      </c>
      <c r="F41" t="inlineStr">
        <is>
          <t>Lic. SIC 2013/03-2 bloques BS1A: Potencia ene 2021</t>
        </is>
      </c>
      <c r="G41" t="inlineStr">
        <is>
          <t>2021-02-15 22:01:53</t>
        </is>
      </c>
      <c r="H41" t="n">
        <v>33</v>
      </c>
      <c r="I41" t="n">
        <v>17590</v>
      </c>
      <c r="J41" t="inlineStr">
        <is>
          <t>s</t>
        </is>
      </c>
      <c r="K41" t="inlineStr">
        <is>
          <t>s</t>
        </is>
      </c>
      <c r="L41" t="inlineStr">
        <is>
          <t>BS1A</t>
        </is>
      </c>
      <c r="M41" t="inlineStr">
        <is>
          <t>Caren</t>
        </is>
      </c>
      <c r="N41" t="inlineStr">
        <is>
          <t>Saesa</t>
        </is>
      </c>
      <c r="O41" t="inlineStr">
        <is>
          <t>2013/03-2</t>
        </is>
      </c>
      <c r="P41" t="inlineStr">
        <is>
          <t>SAESA</t>
        </is>
      </c>
      <c r="Q41" t="n">
        <v>10</v>
      </c>
      <c r="R41" t="inlineStr">
        <is>
          <t>VALDIVIA 220</t>
        </is>
      </c>
      <c r="U41" t="n">
        <v>0</v>
      </c>
      <c r="V41" t="n">
        <v>0</v>
      </c>
      <c r="W41" t="n">
        <v>5670.71</v>
      </c>
    </row>
    <row r="42">
      <c r="A42" t="inlineStr">
        <is>
          <t>01-02-2021</t>
        </is>
      </c>
      <c r="B42" t="inlineStr">
        <is>
          <t>01-02-2021</t>
        </is>
      </c>
      <c r="C42" t="inlineStr">
        <is>
          <t>Licitación Caren y Saesa (SIC 2013/03-2) BS1A</t>
        </is>
      </c>
      <c r="D42" t="inlineStr">
        <is>
          <t>Potencia Licitaciones</t>
        </is>
      </c>
      <c r="E42" t="inlineStr">
        <is>
          <t>Potencia</t>
        </is>
      </c>
      <c r="F42" t="inlineStr">
        <is>
          <t>Lic. SIC 2013/03-2 bloques BS1A: Potencia feb 2021</t>
        </is>
      </c>
      <c r="G42" t="inlineStr">
        <is>
          <t>2021-03-12 18:49:41</t>
        </is>
      </c>
      <c r="H42" t="n">
        <v>33</v>
      </c>
      <c r="I42" t="n">
        <v>17833</v>
      </c>
      <c r="J42" t="inlineStr">
        <is>
          <t>s</t>
        </is>
      </c>
      <c r="K42" t="inlineStr">
        <is>
          <t>s</t>
        </is>
      </c>
      <c r="L42" t="inlineStr">
        <is>
          <t>BS1A</t>
        </is>
      </c>
      <c r="M42" t="inlineStr">
        <is>
          <t>Caren</t>
        </is>
      </c>
      <c r="N42" t="inlineStr">
        <is>
          <t>Saesa</t>
        </is>
      </c>
      <c r="O42" t="inlineStr">
        <is>
          <t>2013/03-2</t>
        </is>
      </c>
      <c r="P42" t="inlineStr">
        <is>
          <t>SAESA</t>
        </is>
      </c>
      <c r="Q42" t="n">
        <v>1</v>
      </c>
      <c r="R42" t="inlineStr">
        <is>
          <t>B.BLANCO 220</t>
        </is>
      </c>
      <c r="U42" t="n">
        <v>0</v>
      </c>
      <c r="V42" t="n">
        <v>0</v>
      </c>
      <c r="W42" t="n">
        <v>5361.3</v>
      </c>
    </row>
    <row r="43">
      <c r="A43" t="inlineStr">
        <is>
          <t>01-02-2021</t>
        </is>
      </c>
      <c r="B43" t="inlineStr">
        <is>
          <t>01-02-2021</t>
        </is>
      </c>
      <c r="C43" t="inlineStr">
        <is>
          <t>Licitación Caren y Saesa (SIC 2013/03-2) BS1A</t>
        </is>
      </c>
      <c r="D43" t="inlineStr">
        <is>
          <t>Potencia Licitaciones</t>
        </is>
      </c>
      <c r="E43" t="inlineStr">
        <is>
          <t>Potencia</t>
        </is>
      </c>
      <c r="F43" t="inlineStr">
        <is>
          <t>Lic. SIC 2013/03-2 bloques BS1A: Potencia feb 2021</t>
        </is>
      </c>
      <c r="G43" t="inlineStr">
        <is>
          <t>2021-03-12 18:49:41</t>
        </is>
      </c>
      <c r="H43" t="n">
        <v>33</v>
      </c>
      <c r="I43" t="n">
        <v>17833</v>
      </c>
      <c r="J43" t="inlineStr">
        <is>
          <t>s</t>
        </is>
      </c>
      <c r="K43" t="inlineStr">
        <is>
          <t>s</t>
        </is>
      </c>
      <c r="L43" t="inlineStr">
        <is>
          <t>BS1A</t>
        </is>
      </c>
      <c r="M43" t="inlineStr">
        <is>
          <t>Caren</t>
        </is>
      </c>
      <c r="N43" t="inlineStr">
        <is>
          <t>Saesa</t>
        </is>
      </c>
      <c r="O43" t="inlineStr">
        <is>
          <t>2013/03-2</t>
        </is>
      </c>
      <c r="P43" t="inlineStr">
        <is>
          <t>SAESA</t>
        </is>
      </c>
      <c r="Q43" t="n">
        <v>2</v>
      </c>
      <c r="R43" t="inlineStr">
        <is>
          <t>CAUTIN 220</t>
        </is>
      </c>
      <c r="U43" t="n">
        <v>0</v>
      </c>
      <c r="V43" t="n">
        <v>0</v>
      </c>
      <c r="W43" t="n">
        <v>5586.99</v>
      </c>
    </row>
    <row r="44">
      <c r="A44" t="inlineStr">
        <is>
          <t>01-02-2021</t>
        </is>
      </c>
      <c r="B44" t="inlineStr">
        <is>
          <t>01-02-2021</t>
        </is>
      </c>
      <c r="C44" t="inlineStr">
        <is>
          <t>Licitación Caren y Saesa (SIC 2013/03-2) BS1A</t>
        </is>
      </c>
      <c r="D44" t="inlineStr">
        <is>
          <t>Potencia Licitaciones</t>
        </is>
      </c>
      <c r="E44" t="inlineStr">
        <is>
          <t>Potencia</t>
        </is>
      </c>
      <c r="F44" t="inlineStr">
        <is>
          <t>Lic. SIC 2013/03-2 bloques BS1A: Potencia feb 2021</t>
        </is>
      </c>
      <c r="G44" t="inlineStr">
        <is>
          <t>2021-03-12 18:49:41</t>
        </is>
      </c>
      <c r="H44" t="n">
        <v>33</v>
      </c>
      <c r="I44" t="n">
        <v>17833</v>
      </c>
      <c r="J44" t="inlineStr">
        <is>
          <t>s</t>
        </is>
      </c>
      <c r="K44" t="inlineStr">
        <is>
          <t>s</t>
        </is>
      </c>
      <c r="L44" t="inlineStr">
        <is>
          <t>BS1A</t>
        </is>
      </c>
      <c r="M44" t="inlineStr">
        <is>
          <t>Caren</t>
        </is>
      </c>
      <c r="N44" t="inlineStr">
        <is>
          <t>Saesa</t>
        </is>
      </c>
      <c r="O44" t="inlineStr">
        <is>
          <t>2013/03-2</t>
        </is>
      </c>
      <c r="P44" t="inlineStr">
        <is>
          <t>SAESA</t>
        </is>
      </c>
      <c r="Q44" t="n">
        <v>3</v>
      </c>
      <c r="R44" t="inlineStr">
        <is>
          <t>CHARRUA 220</t>
        </is>
      </c>
      <c r="U44" t="n">
        <v>0</v>
      </c>
      <c r="V44" t="n">
        <v>0</v>
      </c>
      <c r="W44" t="n">
        <v>5767.18</v>
      </c>
    </row>
    <row r="45">
      <c r="A45" t="inlineStr">
        <is>
          <t>01-02-2021</t>
        </is>
      </c>
      <c r="B45" t="inlineStr">
        <is>
          <t>01-02-2021</t>
        </is>
      </c>
      <c r="C45" t="inlineStr">
        <is>
          <t>Licitación Caren y Saesa (SIC 2013/03-2) BS1A</t>
        </is>
      </c>
      <c r="D45" t="inlineStr">
        <is>
          <t>Potencia Licitaciones</t>
        </is>
      </c>
      <c r="E45" t="inlineStr">
        <is>
          <t>Potencia</t>
        </is>
      </c>
      <c r="F45" t="inlineStr">
        <is>
          <t>Lic. SIC 2013/03-2 bloques BS1A: Potencia feb 2021</t>
        </is>
      </c>
      <c r="G45" t="inlineStr">
        <is>
          <t>2021-03-12 18:49:41</t>
        </is>
      </c>
      <c r="H45" t="n">
        <v>33</v>
      </c>
      <c r="I45" t="n">
        <v>17833</v>
      </c>
      <c r="J45" t="inlineStr">
        <is>
          <t>s</t>
        </is>
      </c>
      <c r="K45" t="inlineStr">
        <is>
          <t>s</t>
        </is>
      </c>
      <c r="L45" t="inlineStr">
        <is>
          <t>BS1A</t>
        </is>
      </c>
      <c r="M45" t="inlineStr">
        <is>
          <t>Caren</t>
        </is>
      </c>
      <c r="N45" t="inlineStr">
        <is>
          <t>Saesa</t>
        </is>
      </c>
      <c r="O45" t="inlineStr">
        <is>
          <t>2013/03-2</t>
        </is>
      </c>
      <c r="P45" t="inlineStr">
        <is>
          <t>SAESA</t>
        </is>
      </c>
      <c r="Q45" t="n">
        <v>4</v>
      </c>
      <c r="R45" t="inlineStr">
        <is>
          <t>CHILOE 220</t>
        </is>
      </c>
      <c r="U45" t="n">
        <v>0</v>
      </c>
      <c r="V45" t="n">
        <v>0</v>
      </c>
      <c r="W45" t="n">
        <v>5447.45</v>
      </c>
    </row>
    <row r="46">
      <c r="A46" t="inlineStr">
        <is>
          <t>01-02-2021</t>
        </is>
      </c>
      <c r="B46" t="inlineStr">
        <is>
          <t>01-02-2021</t>
        </is>
      </c>
      <c r="C46" t="inlineStr">
        <is>
          <t>Licitación Caren y Saesa (SIC 2013/03-2) BS1A</t>
        </is>
      </c>
      <c r="D46" t="inlineStr">
        <is>
          <t>Potencia Licitaciones</t>
        </is>
      </c>
      <c r="E46" t="inlineStr">
        <is>
          <t>Potencia</t>
        </is>
      </c>
      <c r="F46" t="inlineStr">
        <is>
          <t>Lic. SIC 2013/03-2 bloques BS1A: Potencia feb 2021</t>
        </is>
      </c>
      <c r="G46" t="inlineStr">
        <is>
          <t>2021-03-12 18:49:41</t>
        </is>
      </c>
      <c r="H46" t="n">
        <v>33</v>
      </c>
      <c r="I46" t="n">
        <v>17833</v>
      </c>
      <c r="J46" t="inlineStr">
        <is>
          <t>s</t>
        </is>
      </c>
      <c r="K46" t="inlineStr">
        <is>
          <t>s</t>
        </is>
      </c>
      <c r="L46" t="inlineStr">
        <is>
          <t>BS1A</t>
        </is>
      </c>
      <c r="M46" t="inlineStr">
        <is>
          <t>Caren</t>
        </is>
      </c>
      <c r="N46" t="inlineStr">
        <is>
          <t>Saesa</t>
        </is>
      </c>
      <c r="O46" t="inlineStr">
        <is>
          <t>2013/03-2</t>
        </is>
      </c>
      <c r="P46" t="inlineStr">
        <is>
          <t>SAESA</t>
        </is>
      </c>
      <c r="Q46" t="n">
        <v>5</v>
      </c>
      <c r="R46" t="inlineStr">
        <is>
          <t>CIRUELOS 220</t>
        </is>
      </c>
      <c r="U46" t="n">
        <v>0</v>
      </c>
      <c r="V46" t="n">
        <v>0</v>
      </c>
      <c r="W46" t="n">
        <v>5522.08</v>
      </c>
    </row>
    <row r="47">
      <c r="A47" t="inlineStr">
        <is>
          <t>01-02-2021</t>
        </is>
      </c>
      <c r="B47" t="inlineStr">
        <is>
          <t>01-02-2021</t>
        </is>
      </c>
      <c r="C47" t="inlineStr">
        <is>
          <t>Licitación Caren y Saesa (SIC 2013/03-2) BS1A</t>
        </is>
      </c>
      <c r="D47" t="inlineStr">
        <is>
          <t>Potencia Licitaciones</t>
        </is>
      </c>
      <c r="E47" t="inlineStr">
        <is>
          <t>Potencia</t>
        </is>
      </c>
      <c r="F47" t="inlineStr">
        <is>
          <t>Lic. SIC 2013/03-2 bloques BS1A: Potencia feb 2021</t>
        </is>
      </c>
      <c r="G47" t="inlineStr">
        <is>
          <t>2021-03-12 18:49:41</t>
        </is>
      </c>
      <c r="H47" t="n">
        <v>33</v>
      </c>
      <c r="I47" t="n">
        <v>17833</v>
      </c>
      <c r="J47" t="inlineStr">
        <is>
          <t>s</t>
        </is>
      </c>
      <c r="K47" t="inlineStr">
        <is>
          <t>s</t>
        </is>
      </c>
      <c r="L47" t="inlineStr">
        <is>
          <t>BS1A</t>
        </is>
      </c>
      <c r="M47" t="inlineStr">
        <is>
          <t>Caren</t>
        </is>
      </c>
      <c r="N47" t="inlineStr">
        <is>
          <t>Saesa</t>
        </is>
      </c>
      <c r="O47" t="inlineStr">
        <is>
          <t>2013/03-2</t>
        </is>
      </c>
      <c r="P47" t="inlineStr">
        <is>
          <t>SAESA</t>
        </is>
      </c>
      <c r="Q47" t="n">
        <v>6</v>
      </c>
      <c r="R47" t="inlineStr">
        <is>
          <t>D.ALMAGRO 220</t>
        </is>
      </c>
      <c r="U47" t="n">
        <v>0</v>
      </c>
      <c r="V47" t="n">
        <v>0</v>
      </c>
      <c r="W47" t="n">
        <v>5668.29</v>
      </c>
    </row>
    <row r="48">
      <c r="A48" t="inlineStr">
        <is>
          <t>01-02-2021</t>
        </is>
      </c>
      <c r="B48" t="inlineStr">
        <is>
          <t>01-02-2021</t>
        </is>
      </c>
      <c r="C48" t="inlineStr">
        <is>
          <t>Licitación Caren y Saesa (SIC 2013/03-2) BS1A</t>
        </is>
      </c>
      <c r="D48" t="inlineStr">
        <is>
          <t>Potencia Licitaciones</t>
        </is>
      </c>
      <c r="E48" t="inlineStr">
        <is>
          <t>Potencia</t>
        </is>
      </c>
      <c r="F48" t="inlineStr">
        <is>
          <t>Lic. SIC 2013/03-2 bloques BS1A: Potencia feb 2021</t>
        </is>
      </c>
      <c r="G48" t="inlineStr">
        <is>
          <t>2021-03-12 18:49:41</t>
        </is>
      </c>
      <c r="H48" t="n">
        <v>33</v>
      </c>
      <c r="I48" t="n">
        <v>17833</v>
      </c>
      <c r="J48" t="inlineStr">
        <is>
          <t>s</t>
        </is>
      </c>
      <c r="K48" t="inlineStr">
        <is>
          <t>s</t>
        </is>
      </c>
      <c r="L48" t="inlineStr">
        <is>
          <t>BS1A</t>
        </is>
      </c>
      <c r="M48" t="inlineStr">
        <is>
          <t>Caren</t>
        </is>
      </c>
      <c r="N48" t="inlineStr">
        <is>
          <t>Saesa</t>
        </is>
      </c>
      <c r="O48" t="inlineStr">
        <is>
          <t>2013/03-2</t>
        </is>
      </c>
      <c r="P48" t="inlineStr">
        <is>
          <t>SAESA</t>
        </is>
      </c>
      <c r="Q48" t="n">
        <v>7</v>
      </c>
      <c r="R48" t="inlineStr">
        <is>
          <t>MELIPULLI 220</t>
        </is>
      </c>
      <c r="U48" t="n">
        <v>0</v>
      </c>
      <c r="V48" t="n">
        <v>0</v>
      </c>
      <c r="W48" t="n">
        <v>5415.91</v>
      </c>
    </row>
    <row r="49">
      <c r="A49" t="inlineStr">
        <is>
          <t>01-02-2021</t>
        </is>
      </c>
      <c r="B49" t="inlineStr">
        <is>
          <t>01-02-2021</t>
        </is>
      </c>
      <c r="C49" t="inlineStr">
        <is>
          <t>Licitación Caren y Saesa (SIC 2013/03-2) BS1A</t>
        </is>
      </c>
      <c r="D49" t="inlineStr">
        <is>
          <t>Potencia Licitaciones</t>
        </is>
      </c>
      <c r="E49" t="inlineStr">
        <is>
          <t>Potencia</t>
        </is>
      </c>
      <c r="F49" t="inlineStr">
        <is>
          <t>Lic. SIC 2013/03-2 bloques BS1A: Potencia feb 2021</t>
        </is>
      </c>
      <c r="G49" t="inlineStr">
        <is>
          <t>2021-03-12 18:49:41</t>
        </is>
      </c>
      <c r="H49" t="n">
        <v>33</v>
      </c>
      <c r="I49" t="n">
        <v>17833</v>
      </c>
      <c r="J49" t="inlineStr">
        <is>
          <t>s</t>
        </is>
      </c>
      <c r="K49" t="inlineStr">
        <is>
          <t>s</t>
        </is>
      </c>
      <c r="L49" t="inlineStr">
        <is>
          <t>BS1A</t>
        </is>
      </c>
      <c r="M49" t="inlineStr">
        <is>
          <t>Caren</t>
        </is>
      </c>
      <c r="N49" t="inlineStr">
        <is>
          <t>Saesa</t>
        </is>
      </c>
      <c r="O49" t="inlineStr">
        <is>
          <t>2013/03-2</t>
        </is>
      </c>
      <c r="P49" t="inlineStr">
        <is>
          <t>SAESA</t>
        </is>
      </c>
      <c r="Q49" t="n">
        <v>8</v>
      </c>
      <c r="R49" t="inlineStr">
        <is>
          <t>P.MONTT 220</t>
        </is>
      </c>
      <c r="U49" t="n">
        <v>0</v>
      </c>
      <c r="V49" t="n">
        <v>0</v>
      </c>
      <c r="W49" t="n">
        <v>5415.91</v>
      </c>
    </row>
    <row r="50">
      <c r="A50" t="inlineStr">
        <is>
          <t>01-02-2021</t>
        </is>
      </c>
      <c r="B50" t="inlineStr">
        <is>
          <t>01-02-2021</t>
        </is>
      </c>
      <c r="C50" t="inlineStr">
        <is>
          <t>Licitación Caren y Saesa (SIC 2013/03-2) BS1A</t>
        </is>
      </c>
      <c r="D50" t="inlineStr">
        <is>
          <t>Potencia Licitaciones</t>
        </is>
      </c>
      <c r="E50" t="inlineStr">
        <is>
          <t>Potencia</t>
        </is>
      </c>
      <c r="F50" t="inlineStr">
        <is>
          <t>Lic. SIC 2013/03-2 bloques BS1A: Potencia feb 2021</t>
        </is>
      </c>
      <c r="G50" t="inlineStr">
        <is>
          <t>2021-03-12 18:49:41</t>
        </is>
      </c>
      <c r="H50" t="n">
        <v>33</v>
      </c>
      <c r="I50" t="n">
        <v>17833</v>
      </c>
      <c r="J50" t="inlineStr">
        <is>
          <t>s</t>
        </is>
      </c>
      <c r="K50" t="inlineStr">
        <is>
          <t>s</t>
        </is>
      </c>
      <c r="L50" t="inlineStr">
        <is>
          <t>BS1A</t>
        </is>
      </c>
      <c r="M50" t="inlineStr">
        <is>
          <t>Caren</t>
        </is>
      </c>
      <c r="N50" t="inlineStr">
        <is>
          <t>Saesa</t>
        </is>
      </c>
      <c r="O50" t="inlineStr">
        <is>
          <t>2013/03-2</t>
        </is>
      </c>
      <c r="P50" t="inlineStr">
        <is>
          <t>SAESA</t>
        </is>
      </c>
      <c r="Q50" t="n">
        <v>9</v>
      </c>
      <c r="R50" t="inlineStr">
        <is>
          <t>TEMUCO 220</t>
        </is>
      </c>
      <c r="U50" t="n">
        <v>0</v>
      </c>
      <c r="V50" t="n">
        <v>0</v>
      </c>
      <c r="W50" t="n">
        <v>5583.35</v>
      </c>
    </row>
    <row r="51">
      <c r="A51" t="inlineStr">
        <is>
          <t>01-02-2021</t>
        </is>
      </c>
      <c r="B51" t="inlineStr">
        <is>
          <t>01-02-2021</t>
        </is>
      </c>
      <c r="C51" t="inlineStr">
        <is>
          <t>Licitación Caren y Saesa (SIC 2013/03-2) BS1A</t>
        </is>
      </c>
      <c r="D51" t="inlineStr">
        <is>
          <t>Potencia Licitaciones</t>
        </is>
      </c>
      <c r="E51" t="inlineStr">
        <is>
          <t>Potencia</t>
        </is>
      </c>
      <c r="F51" t="inlineStr">
        <is>
          <t>Lic. SIC 2013/03-2 bloques BS1A: Potencia feb 2021</t>
        </is>
      </c>
      <c r="G51" t="inlineStr">
        <is>
          <t>2021-03-12 18:49:41</t>
        </is>
      </c>
      <c r="H51" t="n">
        <v>33</v>
      </c>
      <c r="I51" t="n">
        <v>17833</v>
      </c>
      <c r="J51" t="inlineStr">
        <is>
          <t>s</t>
        </is>
      </c>
      <c r="K51" t="inlineStr">
        <is>
          <t>s</t>
        </is>
      </c>
      <c r="L51" t="inlineStr">
        <is>
          <t>BS1A</t>
        </is>
      </c>
      <c r="M51" t="inlineStr">
        <is>
          <t>Caren</t>
        </is>
      </c>
      <c r="N51" t="inlineStr">
        <is>
          <t>Saesa</t>
        </is>
      </c>
      <c r="O51" t="inlineStr">
        <is>
          <t>2013/03-2</t>
        </is>
      </c>
      <c r="P51" t="inlineStr">
        <is>
          <t>SAESA</t>
        </is>
      </c>
      <c r="Q51" t="n">
        <v>10</v>
      </c>
      <c r="R51" t="inlineStr">
        <is>
          <t>VALDIVIA 220</t>
        </is>
      </c>
      <c r="U51" t="n">
        <v>0</v>
      </c>
      <c r="V51" t="n">
        <v>0</v>
      </c>
      <c r="W51" t="n">
        <v>5670.71</v>
      </c>
    </row>
    <row r="52">
      <c r="A52" t="inlineStr">
        <is>
          <t>01-03-2021</t>
        </is>
      </c>
      <c r="B52" t="inlineStr">
        <is>
          <t>01-03-2021</t>
        </is>
      </c>
      <c r="C52" t="inlineStr">
        <is>
          <t>Licitación Caren y Saesa (SIC 2013/03-2) BS1A</t>
        </is>
      </c>
      <c r="D52" t="inlineStr">
        <is>
          <t>Potencia Licitaciones</t>
        </is>
      </c>
      <c r="E52" t="inlineStr">
        <is>
          <t>Potencia</t>
        </is>
      </c>
      <c r="F52" t="inlineStr">
        <is>
          <t>Lic. SIC 2013/03-2 bloques BS1A: Potencia mar 2021</t>
        </is>
      </c>
      <c r="G52" t="inlineStr">
        <is>
          <t>2021-04-14 10:22:12</t>
        </is>
      </c>
      <c r="H52" t="n">
        <v>33</v>
      </c>
      <c r="I52" t="n">
        <v>18465</v>
      </c>
      <c r="J52" t="inlineStr">
        <is>
          <t>s</t>
        </is>
      </c>
      <c r="K52" t="inlineStr">
        <is>
          <t>s</t>
        </is>
      </c>
      <c r="L52" t="inlineStr">
        <is>
          <t>BS1A</t>
        </is>
      </c>
      <c r="M52" t="inlineStr">
        <is>
          <t>Caren</t>
        </is>
      </c>
      <c r="N52" t="inlineStr">
        <is>
          <t>Saesa</t>
        </is>
      </c>
      <c r="O52" t="inlineStr">
        <is>
          <t>2013/03-2</t>
        </is>
      </c>
      <c r="P52" t="inlineStr">
        <is>
          <t>SAESA</t>
        </is>
      </c>
      <c r="Q52" t="n">
        <v>1</v>
      </c>
      <c r="R52" t="inlineStr">
        <is>
          <t>B.BLANCO 220</t>
        </is>
      </c>
      <c r="U52" t="n">
        <v>0</v>
      </c>
      <c r="V52" t="n">
        <v>0</v>
      </c>
      <c r="W52" t="n">
        <v>5374.6</v>
      </c>
    </row>
    <row r="53">
      <c r="A53" t="inlineStr">
        <is>
          <t>01-03-2021</t>
        </is>
      </c>
      <c r="B53" t="inlineStr">
        <is>
          <t>01-03-2021</t>
        </is>
      </c>
      <c r="C53" t="inlineStr">
        <is>
          <t>Licitación Caren y Saesa (SIC 2013/03-2) BS1A</t>
        </is>
      </c>
      <c r="D53" t="inlineStr">
        <is>
          <t>Potencia Licitaciones</t>
        </is>
      </c>
      <c r="E53" t="inlineStr">
        <is>
          <t>Potencia</t>
        </is>
      </c>
      <c r="F53" t="inlineStr">
        <is>
          <t>Lic. SIC 2013/03-2 bloques BS1A: Potencia mar 2021</t>
        </is>
      </c>
      <c r="G53" t="inlineStr">
        <is>
          <t>2021-04-14 10:22:12</t>
        </is>
      </c>
      <c r="H53" t="n">
        <v>33</v>
      </c>
      <c r="I53" t="n">
        <v>18465</v>
      </c>
      <c r="J53" t="inlineStr">
        <is>
          <t>s</t>
        </is>
      </c>
      <c r="K53" t="inlineStr">
        <is>
          <t>s</t>
        </is>
      </c>
      <c r="L53" t="inlineStr">
        <is>
          <t>BS1A</t>
        </is>
      </c>
      <c r="M53" t="inlineStr">
        <is>
          <t>Caren</t>
        </is>
      </c>
      <c r="N53" t="inlineStr">
        <is>
          <t>Saesa</t>
        </is>
      </c>
      <c r="O53" t="inlineStr">
        <is>
          <t>2013/03-2</t>
        </is>
      </c>
      <c r="P53" t="inlineStr">
        <is>
          <t>SAESA</t>
        </is>
      </c>
      <c r="Q53" t="n">
        <v>2</v>
      </c>
      <c r="R53" t="inlineStr">
        <is>
          <t>CAUTIN 220</t>
        </is>
      </c>
      <c r="U53" t="n">
        <v>0</v>
      </c>
      <c r="V53" t="n">
        <v>0</v>
      </c>
      <c r="W53" t="n">
        <v>5766.44</v>
      </c>
    </row>
    <row r="54">
      <c r="A54" t="inlineStr">
        <is>
          <t>01-03-2021</t>
        </is>
      </c>
      <c r="B54" t="inlineStr">
        <is>
          <t>01-03-2021</t>
        </is>
      </c>
      <c r="C54" t="inlineStr">
        <is>
          <t>Licitación Caren y Saesa (SIC 2013/03-2) BS1A</t>
        </is>
      </c>
      <c r="D54" t="inlineStr">
        <is>
          <t>Potencia Licitaciones</t>
        </is>
      </c>
      <c r="E54" t="inlineStr">
        <is>
          <t>Potencia</t>
        </is>
      </c>
      <c r="F54" t="inlineStr">
        <is>
          <t>Lic. SIC 2013/03-2 bloques BS1A: Potencia mar 2021</t>
        </is>
      </c>
      <c r="G54" t="inlineStr">
        <is>
          <t>2021-04-14 10:22:12</t>
        </is>
      </c>
      <c r="H54" t="n">
        <v>33</v>
      </c>
      <c r="I54" t="n">
        <v>18465</v>
      </c>
      <c r="J54" t="inlineStr">
        <is>
          <t>s</t>
        </is>
      </c>
      <c r="K54" t="inlineStr">
        <is>
          <t>s</t>
        </is>
      </c>
      <c r="L54" t="inlineStr">
        <is>
          <t>BS1A</t>
        </is>
      </c>
      <c r="M54" t="inlineStr">
        <is>
          <t>Caren</t>
        </is>
      </c>
      <c r="N54" t="inlineStr">
        <is>
          <t>Saesa</t>
        </is>
      </c>
      <c r="O54" t="inlineStr">
        <is>
          <t>2013/03-2</t>
        </is>
      </c>
      <c r="P54" t="inlineStr">
        <is>
          <t>SAESA</t>
        </is>
      </c>
      <c r="Q54" t="n">
        <v>3</v>
      </c>
      <c r="R54" t="inlineStr">
        <is>
          <t>CHARRUA 220</t>
        </is>
      </c>
      <c r="U54" t="n">
        <v>0</v>
      </c>
      <c r="V54" t="n">
        <v>0</v>
      </c>
      <c r="W54" t="n">
        <v>5857.6</v>
      </c>
    </row>
    <row r="55">
      <c r="A55" t="inlineStr">
        <is>
          <t>01-03-2021</t>
        </is>
      </c>
      <c r="B55" t="inlineStr">
        <is>
          <t>01-03-2021</t>
        </is>
      </c>
      <c r="C55" t="inlineStr">
        <is>
          <t>Licitación Caren y Saesa (SIC 2013/03-2) BS1A</t>
        </is>
      </c>
      <c r="D55" t="inlineStr">
        <is>
          <t>Potencia Licitaciones</t>
        </is>
      </c>
      <c r="E55" t="inlineStr">
        <is>
          <t>Potencia</t>
        </is>
      </c>
      <c r="F55" t="inlineStr">
        <is>
          <t>Lic. SIC 2013/03-2 bloques BS1A: Potencia mar 2021</t>
        </is>
      </c>
      <c r="G55" t="inlineStr">
        <is>
          <t>2021-04-14 10:22:12</t>
        </is>
      </c>
      <c r="H55" t="n">
        <v>33</v>
      </c>
      <c r="I55" t="n">
        <v>18465</v>
      </c>
      <c r="J55" t="inlineStr">
        <is>
          <t>s</t>
        </is>
      </c>
      <c r="K55" t="inlineStr">
        <is>
          <t>s</t>
        </is>
      </c>
      <c r="L55" t="inlineStr">
        <is>
          <t>BS1A</t>
        </is>
      </c>
      <c r="M55" t="inlineStr">
        <is>
          <t>Caren</t>
        </is>
      </c>
      <c r="N55" t="inlineStr">
        <is>
          <t>Saesa</t>
        </is>
      </c>
      <c r="O55" t="inlineStr">
        <is>
          <t>2013/03-2</t>
        </is>
      </c>
      <c r="P55" t="inlineStr">
        <is>
          <t>SAESA</t>
        </is>
      </c>
      <c r="Q55" t="n">
        <v>4</v>
      </c>
      <c r="R55" t="inlineStr">
        <is>
          <t>CHILOE 220</t>
        </is>
      </c>
      <c r="U55" t="n">
        <v>0</v>
      </c>
      <c r="V55" t="n">
        <v>0</v>
      </c>
      <c r="W55" t="n">
        <v>5466.97</v>
      </c>
    </row>
    <row r="56">
      <c r="A56" t="inlineStr">
        <is>
          <t>01-03-2021</t>
        </is>
      </c>
      <c r="B56" t="inlineStr">
        <is>
          <t>01-03-2021</t>
        </is>
      </c>
      <c r="C56" t="inlineStr">
        <is>
          <t>Licitación Caren y Saesa (SIC 2013/03-2) BS1A</t>
        </is>
      </c>
      <c r="D56" t="inlineStr">
        <is>
          <t>Potencia Licitaciones</t>
        </is>
      </c>
      <c r="E56" t="inlineStr">
        <is>
          <t>Potencia</t>
        </is>
      </c>
      <c r="F56" t="inlineStr">
        <is>
          <t>Lic. SIC 2013/03-2 bloques BS1A: Potencia mar 2021</t>
        </is>
      </c>
      <c r="G56" t="inlineStr">
        <is>
          <t>2021-04-14 10:22:12</t>
        </is>
      </c>
      <c r="H56" t="n">
        <v>33</v>
      </c>
      <c r="I56" t="n">
        <v>18465</v>
      </c>
      <c r="J56" t="inlineStr">
        <is>
          <t>s</t>
        </is>
      </c>
      <c r="K56" t="inlineStr">
        <is>
          <t>s</t>
        </is>
      </c>
      <c r="L56" t="inlineStr">
        <is>
          <t>BS1A</t>
        </is>
      </c>
      <c r="M56" t="inlineStr">
        <is>
          <t>Caren</t>
        </is>
      </c>
      <c r="N56" t="inlineStr">
        <is>
          <t>Saesa</t>
        </is>
      </c>
      <c r="O56" t="inlineStr">
        <is>
          <t>2013/03-2</t>
        </is>
      </c>
      <c r="P56" t="inlineStr">
        <is>
          <t>SAESA</t>
        </is>
      </c>
      <c r="Q56" t="n">
        <v>5</v>
      </c>
      <c r="R56" t="inlineStr">
        <is>
          <t>CIRUELOS 220</t>
        </is>
      </c>
      <c r="U56" t="n">
        <v>0</v>
      </c>
      <c r="V56" t="n">
        <v>0</v>
      </c>
      <c r="W56" t="n">
        <v>5684.33</v>
      </c>
    </row>
    <row r="57">
      <c r="A57" t="inlineStr">
        <is>
          <t>01-03-2021</t>
        </is>
      </c>
      <c r="B57" t="inlineStr">
        <is>
          <t>01-03-2021</t>
        </is>
      </c>
      <c r="C57" t="inlineStr">
        <is>
          <t>Licitación Caren y Saesa (SIC 2013/03-2) BS1A</t>
        </is>
      </c>
      <c r="D57" t="inlineStr">
        <is>
          <t>Potencia Licitaciones</t>
        </is>
      </c>
      <c r="E57" t="inlineStr">
        <is>
          <t>Potencia</t>
        </is>
      </c>
      <c r="F57" t="inlineStr">
        <is>
          <t>Lic. SIC 2013/03-2 bloques BS1A: Potencia mar 2021</t>
        </is>
      </c>
      <c r="G57" t="inlineStr">
        <is>
          <t>2021-04-14 10:22:12</t>
        </is>
      </c>
      <c r="H57" t="n">
        <v>33</v>
      </c>
      <c r="I57" t="n">
        <v>18465</v>
      </c>
      <c r="J57" t="inlineStr">
        <is>
          <t>s</t>
        </is>
      </c>
      <c r="K57" t="inlineStr">
        <is>
          <t>s</t>
        </is>
      </c>
      <c r="L57" t="inlineStr">
        <is>
          <t>BS1A</t>
        </is>
      </c>
      <c r="M57" t="inlineStr">
        <is>
          <t>Caren</t>
        </is>
      </c>
      <c r="N57" t="inlineStr">
        <is>
          <t>Saesa</t>
        </is>
      </c>
      <c r="O57" t="inlineStr">
        <is>
          <t>2013/03-2</t>
        </is>
      </c>
      <c r="P57" t="inlineStr">
        <is>
          <t>SAESA</t>
        </is>
      </c>
      <c r="Q57" t="n">
        <v>6</v>
      </c>
      <c r="R57" t="inlineStr">
        <is>
          <t>D.ALMAGRO 220</t>
        </is>
      </c>
      <c r="U57" t="n">
        <v>0</v>
      </c>
      <c r="V57" t="n">
        <v>0</v>
      </c>
      <c r="W57" t="n">
        <v>5369.17</v>
      </c>
    </row>
    <row r="58">
      <c r="A58" t="inlineStr">
        <is>
          <t>01-03-2021</t>
        </is>
      </c>
      <c r="B58" t="inlineStr">
        <is>
          <t>01-03-2021</t>
        </is>
      </c>
      <c r="C58" t="inlineStr">
        <is>
          <t>Licitación Caren y Saesa (SIC 2013/03-2) BS1A</t>
        </is>
      </c>
      <c r="D58" t="inlineStr">
        <is>
          <t>Potencia Licitaciones</t>
        </is>
      </c>
      <c r="E58" t="inlineStr">
        <is>
          <t>Potencia</t>
        </is>
      </c>
      <c r="F58" t="inlineStr">
        <is>
          <t>Lic. SIC 2013/03-2 bloques BS1A: Potencia mar 2021</t>
        </is>
      </c>
      <c r="G58" t="inlineStr">
        <is>
          <t>2021-04-14 10:22:12</t>
        </is>
      </c>
      <c r="H58" t="n">
        <v>33</v>
      </c>
      <c r="I58" t="n">
        <v>18465</v>
      </c>
      <c r="J58" t="inlineStr">
        <is>
          <t>s</t>
        </is>
      </c>
      <c r="K58" t="inlineStr">
        <is>
          <t>s</t>
        </is>
      </c>
      <c r="L58" t="inlineStr">
        <is>
          <t>BS1A</t>
        </is>
      </c>
      <c r="M58" t="inlineStr">
        <is>
          <t>Caren</t>
        </is>
      </c>
      <c r="N58" t="inlineStr">
        <is>
          <t>Saesa</t>
        </is>
      </c>
      <c r="O58" t="inlineStr">
        <is>
          <t>2013/03-2</t>
        </is>
      </c>
      <c r="P58" t="inlineStr">
        <is>
          <t>SAESA</t>
        </is>
      </c>
      <c r="Q58" t="n">
        <v>7</v>
      </c>
      <c r="R58" t="inlineStr">
        <is>
          <t>MELIPULLI 220</t>
        </is>
      </c>
      <c r="U58" t="n">
        <v>0</v>
      </c>
      <c r="V58" t="n">
        <v>0</v>
      </c>
      <c r="W58" t="n">
        <v>5443.43</v>
      </c>
    </row>
    <row r="59">
      <c r="A59" t="inlineStr">
        <is>
          <t>01-03-2021</t>
        </is>
      </c>
      <c r="B59" t="inlineStr">
        <is>
          <t>01-03-2021</t>
        </is>
      </c>
      <c r="C59" t="inlineStr">
        <is>
          <t>Licitación Caren y Saesa (SIC 2013/03-2) BS1A</t>
        </is>
      </c>
      <c r="D59" t="inlineStr">
        <is>
          <t>Potencia Licitaciones</t>
        </is>
      </c>
      <c r="E59" t="inlineStr">
        <is>
          <t>Potencia</t>
        </is>
      </c>
      <c r="F59" t="inlineStr">
        <is>
          <t>Lic. SIC 2013/03-2 bloques BS1A: Potencia mar 2021</t>
        </is>
      </c>
      <c r="G59" t="inlineStr">
        <is>
          <t>2021-04-14 10:22:12</t>
        </is>
      </c>
      <c r="H59" t="n">
        <v>33</v>
      </c>
      <c r="I59" t="n">
        <v>18465</v>
      </c>
      <c r="J59" t="inlineStr">
        <is>
          <t>s</t>
        </is>
      </c>
      <c r="K59" t="inlineStr">
        <is>
          <t>s</t>
        </is>
      </c>
      <c r="L59" t="inlineStr">
        <is>
          <t>BS1A</t>
        </is>
      </c>
      <c r="M59" t="inlineStr">
        <is>
          <t>Caren</t>
        </is>
      </c>
      <c r="N59" t="inlineStr">
        <is>
          <t>Saesa</t>
        </is>
      </c>
      <c r="O59" t="inlineStr">
        <is>
          <t>2013/03-2</t>
        </is>
      </c>
      <c r="P59" t="inlineStr">
        <is>
          <t>SAESA</t>
        </is>
      </c>
      <c r="Q59" t="n">
        <v>8</v>
      </c>
      <c r="R59" t="inlineStr">
        <is>
          <t>P.MONTT 220</t>
        </is>
      </c>
      <c r="U59" t="n">
        <v>0</v>
      </c>
      <c r="V59" t="n">
        <v>0</v>
      </c>
      <c r="W59" t="n">
        <v>5443.43</v>
      </c>
    </row>
    <row r="60">
      <c r="A60" t="inlineStr">
        <is>
          <t>01-03-2021</t>
        </is>
      </c>
      <c r="B60" t="inlineStr">
        <is>
          <t>01-03-2021</t>
        </is>
      </c>
      <c r="C60" t="inlineStr">
        <is>
          <t>Licitación Caren y Saesa (SIC 2013/03-2) BS1A</t>
        </is>
      </c>
      <c r="D60" t="inlineStr">
        <is>
          <t>Potencia Licitaciones</t>
        </is>
      </c>
      <c r="E60" t="inlineStr">
        <is>
          <t>Potencia</t>
        </is>
      </c>
      <c r="F60" t="inlineStr">
        <is>
          <t>Lic. SIC 2013/03-2 bloques BS1A: Potencia mar 2021</t>
        </is>
      </c>
      <c r="G60" t="inlineStr">
        <is>
          <t>2021-04-14 10:22:12</t>
        </is>
      </c>
      <c r="H60" t="n">
        <v>33</v>
      </c>
      <c r="I60" t="n">
        <v>18465</v>
      </c>
      <c r="J60" t="inlineStr">
        <is>
          <t>s</t>
        </is>
      </c>
      <c r="K60" t="inlineStr">
        <is>
          <t>s</t>
        </is>
      </c>
      <c r="L60" t="inlineStr">
        <is>
          <t>BS1A</t>
        </is>
      </c>
      <c r="M60" t="inlineStr">
        <is>
          <t>Caren</t>
        </is>
      </c>
      <c r="N60" t="inlineStr">
        <is>
          <t>Saesa</t>
        </is>
      </c>
      <c r="O60" t="inlineStr">
        <is>
          <t>2013/03-2</t>
        </is>
      </c>
      <c r="P60" t="inlineStr">
        <is>
          <t>SAESA</t>
        </is>
      </c>
      <c r="Q60" t="n">
        <v>9</v>
      </c>
      <c r="R60" t="inlineStr">
        <is>
          <t>TEMUCO 220</t>
        </is>
      </c>
      <c r="U60" t="n">
        <v>0</v>
      </c>
      <c r="V60" t="n">
        <v>0</v>
      </c>
      <c r="W60" t="n">
        <v>5758.59</v>
      </c>
    </row>
    <row r="61">
      <c r="A61" t="inlineStr">
        <is>
          <t>01-03-2021</t>
        </is>
      </c>
      <c r="B61" t="inlineStr">
        <is>
          <t>01-03-2021</t>
        </is>
      </c>
      <c r="C61" t="inlineStr">
        <is>
          <t>Licitación Caren y Saesa (SIC 2013/03-2) BS1A</t>
        </is>
      </c>
      <c r="D61" t="inlineStr">
        <is>
          <t>Potencia Licitaciones</t>
        </is>
      </c>
      <c r="E61" t="inlineStr">
        <is>
          <t>Potencia</t>
        </is>
      </c>
      <c r="F61" t="inlineStr">
        <is>
          <t>Lic. SIC 2013/03-2 bloques BS1A: Potencia mar 2021</t>
        </is>
      </c>
      <c r="G61" t="inlineStr">
        <is>
          <t>2021-04-14 10:22:12</t>
        </is>
      </c>
      <c r="H61" t="n">
        <v>33</v>
      </c>
      <c r="I61" t="n">
        <v>18465</v>
      </c>
      <c r="J61" t="inlineStr">
        <is>
          <t>s</t>
        </is>
      </c>
      <c r="K61" t="inlineStr">
        <is>
          <t>s</t>
        </is>
      </c>
      <c r="L61" t="inlineStr">
        <is>
          <t>BS1A</t>
        </is>
      </c>
      <c r="M61" t="inlineStr">
        <is>
          <t>Caren</t>
        </is>
      </c>
      <c r="N61" t="inlineStr">
        <is>
          <t>Saesa</t>
        </is>
      </c>
      <c r="O61" t="inlineStr">
        <is>
          <t>2013/03-2</t>
        </is>
      </c>
      <c r="P61" t="inlineStr">
        <is>
          <t>SAESA</t>
        </is>
      </c>
      <c r="Q61" t="n">
        <v>10</v>
      </c>
      <c r="R61" t="inlineStr">
        <is>
          <t>VALDIVIA 220</t>
        </is>
      </c>
      <c r="U61" t="n">
        <v>0</v>
      </c>
      <c r="V61" t="n">
        <v>0</v>
      </c>
      <c r="W61" t="n">
        <v>5883.57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AD4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IdContrato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Codigo</t>
        </is>
      </c>
      <c r="F1" s="1" t="inlineStr">
        <is>
          <t>DX</t>
        </is>
      </c>
      <c r="G1" s="1" t="inlineStr">
        <is>
          <t>NomEmpresaDistribuidora</t>
        </is>
      </c>
      <c r="H1" s="1" t="inlineStr">
        <is>
          <t>GX</t>
        </is>
      </c>
      <c r="I1" s="1" t="inlineStr">
        <is>
          <t>NomSuministrador</t>
        </is>
      </c>
      <c r="J1" s="1" t="inlineStr">
        <is>
          <t>CodigoContrato</t>
        </is>
      </c>
      <c r="K1" s="1" t="inlineStr">
        <is>
          <t>PuntoRetiro</t>
        </is>
      </c>
      <c r="L1" s="1" t="inlineStr">
        <is>
          <t>Contrato</t>
        </is>
      </c>
      <c r="M1" s="1" t="inlineStr">
        <is>
          <t>Energia_kWh</t>
        </is>
      </c>
      <c r="N1" s="1" t="inlineStr">
        <is>
          <t>Potencia_kW</t>
        </is>
      </c>
      <c r="O1" s="1" t="inlineStr">
        <is>
          <t>Sistema</t>
        </is>
      </c>
      <c r="P1" s="1" t="inlineStr">
        <is>
          <t>DataCreated</t>
        </is>
      </c>
      <c r="Q1" s="1" t="inlineStr">
        <is>
          <t>IdBarra</t>
        </is>
      </c>
      <c r="R1" s="1" t="inlineStr">
        <is>
          <t>NomBarra</t>
        </is>
      </c>
      <c r="S1" s="1" t="inlineStr">
        <is>
          <t>Energia</t>
        </is>
      </c>
      <c r="T1" s="1" t="inlineStr">
        <is>
          <t>TotalEnergiaAjustado</t>
        </is>
      </c>
      <c r="U1" s="1" t="inlineStr">
        <is>
          <t>Potencia</t>
        </is>
      </c>
      <c r="V1" s="1" t="inlineStr">
        <is>
          <t>TotalPotenciaAjustado</t>
        </is>
      </c>
      <c r="W1" s="1" t="inlineStr">
        <is>
          <t>EmpresaDistribuidora</t>
        </is>
      </c>
      <c r="X1" s="1" t="inlineStr">
        <is>
          <t>PrecioEnergia</t>
        </is>
      </c>
      <c r="Y1" s="1" t="inlineStr">
        <is>
          <t>PrecioEnergiaAjustado</t>
        </is>
      </c>
      <c r="Z1" s="1" t="inlineStr">
        <is>
          <t>TotalEnergia</t>
        </is>
      </c>
      <c r="AA1" s="1" t="inlineStr">
        <is>
          <t>PrecioPotencia</t>
        </is>
      </c>
      <c r="AB1" s="1" t="inlineStr">
        <is>
          <t>PrecioPotenciaAjustado</t>
        </is>
      </c>
      <c r="AC1" s="1" t="inlineStr">
        <is>
          <t>TotalPotencia</t>
        </is>
      </c>
      <c r="AD1" s="1" t="inlineStr">
        <is>
          <t>Fecha</t>
        </is>
      </c>
    </row>
    <row r="2">
      <c r="A2" t="n">
        <v>-1</v>
      </c>
      <c r="B2" t="inlineStr">
        <is>
          <t>01-10-2020</t>
        </is>
      </c>
      <c r="C2" t="n">
        <v>2020</v>
      </c>
      <c r="D2" t="n">
        <v>10</v>
      </c>
      <c r="E2" t="inlineStr">
        <is>
          <t>Aihuapi 023</t>
        </is>
      </c>
      <c r="F2" t="inlineStr">
        <is>
          <t>SAESA</t>
        </is>
      </c>
      <c r="G2" t="inlineStr">
        <is>
          <t>SAESA</t>
        </is>
      </c>
      <c r="H2" t="inlineStr">
        <is>
          <t>Empresa Eléctrica Carén S.A.</t>
        </is>
      </c>
      <c r="I2" t="inlineStr">
        <is>
          <t>Empresa Eléctrica Carén S.A.</t>
        </is>
      </c>
      <c r="J2" t="inlineStr">
        <is>
          <t>SIC 2013/03_2_BS1A_BB_Saesa_Empresa Eléctrica Carén S.A.</t>
        </is>
      </c>
      <c r="K2" t="inlineStr">
        <is>
          <t>Aihuapi 023</t>
        </is>
      </c>
      <c r="L2" t="inlineStr">
        <is>
          <t>-1</t>
        </is>
      </c>
      <c r="M2" t="n">
        <v>98.74492215142733</v>
      </c>
      <c r="N2" t="n">
        <v>0</v>
      </c>
      <c r="O2" t="inlineStr">
        <is>
          <t>6</t>
        </is>
      </c>
      <c r="P2" s="2" t="n">
        <v>44659.60028225694</v>
      </c>
      <c r="Q2" t="n">
        <v>15</v>
      </c>
      <c r="R2" t="inlineStr">
        <is>
          <t>BARRO BLANCO 220</t>
        </is>
      </c>
      <c r="S2" t="n">
        <v>100.3820309036677</v>
      </c>
      <c r="T2" t="n">
        <v>6987.508369827307</v>
      </c>
      <c r="U2" t="n">
        <v>0</v>
      </c>
      <c r="V2" t="n">
        <v>0</v>
      </c>
      <c r="W2" t="inlineStr">
        <is>
          <t>SAESA</t>
        </is>
      </c>
      <c r="X2" t="n">
        <v>79.19130285958499</v>
      </c>
      <c r="Y2" t="n">
        <v>6.987508369827307</v>
      </c>
      <c r="Z2" t="n">
        <v>7949.383810952568</v>
      </c>
      <c r="AA2" t="n">
        <v>0</v>
      </c>
      <c r="AB2" t="n">
        <v>0</v>
      </c>
      <c r="AC2" t="n">
        <v>0</v>
      </c>
      <c r="AD2" s="2" t="n">
        <v>44105</v>
      </c>
    </row>
    <row r="3">
      <c r="A3" t="n">
        <v>-1</v>
      </c>
      <c r="B3" t="inlineStr">
        <is>
          <t>01-10-2020</t>
        </is>
      </c>
      <c r="C3" t="n">
        <v>2020</v>
      </c>
      <c r="D3" t="n">
        <v>10</v>
      </c>
      <c r="E3" t="inlineStr">
        <is>
          <t>Alto Bonito 023</t>
        </is>
      </c>
      <c r="F3" t="inlineStr">
        <is>
          <t>SAESA</t>
        </is>
      </c>
      <c r="G3" t="inlineStr">
        <is>
          <t>SAESA</t>
        </is>
      </c>
      <c r="H3" t="inlineStr">
        <is>
          <t>Empresa Eléctrica Carén S.A.</t>
        </is>
      </c>
      <c r="I3" t="inlineStr">
        <is>
          <t>Empresa Eléctrica Carén S.A.</t>
        </is>
      </c>
      <c r="J3" t="inlineStr">
        <is>
          <t>SIC 2013/03_2_BS1A_BB_Saesa_Empresa Eléctrica Carén S.A.</t>
        </is>
      </c>
      <c r="K3" t="inlineStr">
        <is>
          <t>Alto Bonito 023</t>
        </is>
      </c>
      <c r="L3" t="inlineStr">
        <is>
          <t>-1</t>
        </is>
      </c>
      <c r="M3" t="n">
        <v>2692.060824819698</v>
      </c>
      <c r="N3" t="n">
        <v>0</v>
      </c>
      <c r="O3" t="inlineStr">
        <is>
          <t>6</t>
        </is>
      </c>
      <c r="P3" s="2" t="n">
        <v>44659.60028225694</v>
      </c>
      <c r="Q3" t="n">
        <v>24</v>
      </c>
      <c r="R3" t="inlineStr">
        <is>
          <t>CHILOE 220</t>
        </is>
      </c>
      <c r="S3" t="n">
        <v>0.7029766043549192</v>
      </c>
      <c r="T3" t="n">
        <v>49.08399452120467</v>
      </c>
      <c r="U3" t="n">
        <v>0</v>
      </c>
      <c r="V3" t="n">
        <v>0</v>
      </c>
      <c r="W3" t="inlineStr">
        <is>
          <t>SAESA</t>
        </is>
      </c>
      <c r="X3" t="n">
        <v>79.43468035948199</v>
      </c>
      <c r="Y3" t="n">
        <v>0.04908399452120467</v>
      </c>
      <c r="Z3" t="n">
        <v>55.84072186712704</v>
      </c>
      <c r="AA3" t="n">
        <v>0</v>
      </c>
      <c r="AB3" t="n">
        <v>0</v>
      </c>
      <c r="AC3" t="n">
        <v>0</v>
      </c>
      <c r="AD3" s="2" t="n">
        <v>44105</v>
      </c>
    </row>
    <row r="4">
      <c r="A4" t="n">
        <v>-1</v>
      </c>
      <c r="B4" t="inlineStr">
        <is>
          <t>01-10-2020</t>
        </is>
      </c>
      <c r="C4" t="n">
        <v>2020</v>
      </c>
      <c r="D4" t="n">
        <v>10</v>
      </c>
      <c r="E4" t="inlineStr">
        <is>
          <t>Alto Bonito 023</t>
        </is>
      </c>
      <c r="F4" t="inlineStr">
        <is>
          <t>SAESA</t>
        </is>
      </c>
      <c r="G4" t="inlineStr">
        <is>
          <t>SAESA</t>
        </is>
      </c>
      <c r="H4" t="inlineStr">
        <is>
          <t>Empresa Eléctrica Carén S.A.</t>
        </is>
      </c>
      <c r="I4" t="inlineStr">
        <is>
          <t>Empresa Eléctrica Carén S.A.</t>
        </is>
      </c>
      <c r="J4" t="inlineStr">
        <is>
          <t>SIC 2013/03_2_BS1A_BB_Saesa_Empresa Eléctrica Carén S.A.</t>
        </is>
      </c>
      <c r="K4" t="inlineStr">
        <is>
          <t>Alto Bonito 023</t>
        </is>
      </c>
      <c r="L4" t="inlineStr">
        <is>
          <t>-1</t>
        </is>
      </c>
      <c r="M4" t="n">
        <v>2692.060824819698</v>
      </c>
      <c r="N4" t="n">
        <v>0</v>
      </c>
      <c r="O4" t="inlineStr">
        <is>
          <t>6</t>
        </is>
      </c>
      <c r="P4" s="2" t="n">
        <v>44659.60028225694</v>
      </c>
      <c r="Q4" t="n">
        <v>6</v>
      </c>
      <c r="R4" t="inlineStr">
        <is>
          <t>MELIPULLI 220</t>
        </is>
      </c>
      <c r="S4" t="n">
        <v>2735.989979588308</v>
      </c>
      <c r="T4" t="n">
        <v>189571.9903865534</v>
      </c>
      <c r="U4" t="n">
        <v>0</v>
      </c>
      <c r="V4" t="n">
        <v>0</v>
      </c>
      <c r="W4" t="inlineStr">
        <is>
          <t>SAESA</t>
        </is>
      </c>
      <c r="X4" t="n">
        <v>78.82623657077399</v>
      </c>
      <c r="Y4" t="n">
        <v>189.5719903865534</v>
      </c>
      <c r="Z4" t="n">
        <v>215667.7933862951</v>
      </c>
      <c r="AA4" t="n">
        <v>0</v>
      </c>
      <c r="AB4" t="n">
        <v>0</v>
      </c>
      <c r="AC4" t="n">
        <v>0</v>
      </c>
      <c r="AD4" s="2" t="n">
        <v>44105</v>
      </c>
    </row>
    <row r="5">
      <c r="A5" t="n">
        <v>-1</v>
      </c>
      <c r="B5" t="inlineStr">
        <is>
          <t>01-10-2020</t>
        </is>
      </c>
      <c r="C5" t="n">
        <v>2020</v>
      </c>
      <c r="D5" t="n">
        <v>10</v>
      </c>
      <c r="E5" t="inlineStr">
        <is>
          <t>Ancud 023</t>
        </is>
      </c>
      <c r="F5" t="inlineStr">
        <is>
          <t>SAESA</t>
        </is>
      </c>
      <c r="G5" t="inlineStr">
        <is>
          <t>SAESA</t>
        </is>
      </c>
      <c r="H5" t="inlineStr">
        <is>
          <t>Empresa Eléctrica Carén S.A.</t>
        </is>
      </c>
      <c r="I5" t="inlineStr">
        <is>
          <t>Empresa Eléctrica Carén S.A.</t>
        </is>
      </c>
      <c r="J5" t="inlineStr">
        <is>
          <t>SIC 2013/03_2_BS1A_BB_Saesa_Empresa Eléctrica Carén S.A.</t>
        </is>
      </c>
      <c r="K5" t="inlineStr">
        <is>
          <t>Ancud 023</t>
        </is>
      </c>
      <c r="L5" t="inlineStr">
        <is>
          <t>-1</t>
        </is>
      </c>
      <c r="M5" t="n">
        <v>2302.194706866585</v>
      </c>
      <c r="N5" t="n">
        <v>0</v>
      </c>
      <c r="O5" t="inlineStr">
        <is>
          <t>6</t>
        </is>
      </c>
      <c r="P5" s="2" t="n">
        <v>44659.60028225694</v>
      </c>
      <c r="Q5" t="n">
        <v>24</v>
      </c>
      <c r="R5" t="inlineStr">
        <is>
          <t>CHILOE 220</t>
        </is>
      </c>
      <c r="S5" t="n">
        <v>2340.363181982631</v>
      </c>
      <c r="T5" t="n">
        <v>163411.3751302978</v>
      </c>
      <c r="U5" t="n">
        <v>0</v>
      </c>
      <c r="V5" t="n">
        <v>0</v>
      </c>
      <c r="W5" t="inlineStr">
        <is>
          <t>SAESA</t>
        </is>
      </c>
      <c r="X5" t="n">
        <v>79.434680359482</v>
      </c>
      <c r="Y5" t="n">
        <v>163.4113751302978</v>
      </c>
      <c r="Z5" t="n">
        <v>185906.0012858905</v>
      </c>
      <c r="AA5" t="n">
        <v>0</v>
      </c>
      <c r="AB5" t="n">
        <v>0</v>
      </c>
      <c r="AC5" t="n">
        <v>0</v>
      </c>
      <c r="AD5" s="2" t="n">
        <v>44105</v>
      </c>
    </row>
    <row r="6">
      <c r="A6" t="n">
        <v>-1</v>
      </c>
      <c r="B6" t="inlineStr">
        <is>
          <t>01-10-2020</t>
        </is>
      </c>
      <c r="C6" t="n">
        <v>2020</v>
      </c>
      <c r="D6" t="n">
        <v>10</v>
      </c>
      <c r="E6" t="inlineStr">
        <is>
          <t>Armazones 023</t>
        </is>
      </c>
      <c r="F6" t="inlineStr">
        <is>
          <t>SAESA</t>
        </is>
      </c>
      <c r="G6" t="inlineStr">
        <is>
          <t>SAESA</t>
        </is>
      </c>
      <c r="H6" t="inlineStr">
        <is>
          <t>Empresa Eléctrica Carén S.A.</t>
        </is>
      </c>
      <c r="I6" t="inlineStr">
        <is>
          <t>Empresa Eléctrica Carén S.A.</t>
        </is>
      </c>
      <c r="J6" t="inlineStr">
        <is>
          <t>SIC 2013/03_2_BS1A_BB_Saesa_Empresa Eléctrica Carén S.A.</t>
        </is>
      </c>
      <c r="K6" t="inlineStr">
        <is>
          <t>Armazones 023</t>
        </is>
      </c>
      <c r="L6" t="inlineStr">
        <is>
          <t>-1</t>
        </is>
      </c>
      <c r="M6" t="n">
        <v>436.8849310672598</v>
      </c>
      <c r="N6" t="n">
        <v>0</v>
      </c>
      <c r="O6" t="inlineStr">
        <is>
          <t>2</t>
        </is>
      </c>
      <c r="P6" s="2" t="n">
        <v>44659.60028225694</v>
      </c>
      <c r="Q6" t="n">
        <v>12</v>
      </c>
      <c r="R6" t="inlineStr">
        <is>
          <t>DIEGO DE ALMAGRO 220</t>
        </is>
      </c>
      <c r="S6" t="n">
        <v>447.5980450978392</v>
      </c>
      <c r="T6" t="n">
        <v>33635.48069743974</v>
      </c>
      <c r="U6" t="n">
        <v>0</v>
      </c>
      <c r="V6" t="n">
        <v>0</v>
      </c>
      <c r="W6" t="inlineStr">
        <is>
          <t>SAESA</t>
        </is>
      </c>
      <c r="X6" t="n">
        <v>85.491036512091</v>
      </c>
      <c r="Y6" t="n">
        <v>33.63548069743974</v>
      </c>
      <c r="Z6" t="n">
        <v>38265.62081619993</v>
      </c>
      <c r="AA6" t="n">
        <v>0</v>
      </c>
      <c r="AB6" t="n">
        <v>0</v>
      </c>
      <c r="AC6" t="n">
        <v>0</v>
      </c>
      <c r="AD6" s="2" t="n">
        <v>44105</v>
      </c>
    </row>
    <row r="7">
      <c r="A7" t="n">
        <v>-1</v>
      </c>
      <c r="B7" t="inlineStr">
        <is>
          <t>01-10-2020</t>
        </is>
      </c>
      <c r="C7" t="n">
        <v>2020</v>
      </c>
      <c r="D7" t="n">
        <v>10</v>
      </c>
      <c r="E7" t="inlineStr">
        <is>
          <t>Barro Blanco 023</t>
        </is>
      </c>
      <c r="F7" t="inlineStr">
        <is>
          <t>SAESA</t>
        </is>
      </c>
      <c r="G7" t="inlineStr">
        <is>
          <t>SAESA</t>
        </is>
      </c>
      <c r="H7" t="inlineStr">
        <is>
          <t>Empresa Eléctrica Carén S.A.</t>
        </is>
      </c>
      <c r="I7" t="inlineStr">
        <is>
          <t>Empresa Eléctrica Carén S.A.</t>
        </is>
      </c>
      <c r="J7" t="inlineStr">
        <is>
          <t>SIC 2013/03_2_BS1A_BB_Saesa_Empresa Eléctrica Carén S.A.</t>
        </is>
      </c>
      <c r="K7" t="inlineStr">
        <is>
          <t>Barro Blanco 023</t>
        </is>
      </c>
      <c r="L7" t="inlineStr">
        <is>
          <t>-1</t>
        </is>
      </c>
      <c r="M7" t="n">
        <v>2578.655420321262</v>
      </c>
      <c r="N7" t="n">
        <v>0</v>
      </c>
      <c r="O7" t="inlineStr">
        <is>
          <t>6</t>
        </is>
      </c>
      <c r="P7" s="2" t="n">
        <v>44659.60028225694</v>
      </c>
      <c r="Q7" t="n">
        <v>15</v>
      </c>
      <c r="R7" t="inlineStr">
        <is>
          <t>BARRO BLANCO 220</t>
        </is>
      </c>
      <c r="S7" t="n">
        <v>2563.139844392148</v>
      </c>
      <c r="T7" t="n">
        <v>178417.9992623921</v>
      </c>
      <c r="U7" t="n">
        <v>0</v>
      </c>
      <c r="V7" t="n">
        <v>0</v>
      </c>
      <c r="W7" t="inlineStr">
        <is>
          <t>SAESA</t>
        </is>
      </c>
      <c r="X7" t="n">
        <v>79.19130285958499</v>
      </c>
      <c r="Y7" t="n">
        <v>178.417999262392</v>
      </c>
      <c r="Z7" t="n">
        <v>202978.3836887282</v>
      </c>
      <c r="AA7" t="n">
        <v>0</v>
      </c>
      <c r="AB7" t="n">
        <v>0</v>
      </c>
      <c r="AC7" t="n">
        <v>0</v>
      </c>
      <c r="AD7" s="2" t="n">
        <v>44105</v>
      </c>
    </row>
    <row r="8">
      <c r="A8" t="n">
        <v>-1</v>
      </c>
      <c r="B8" t="inlineStr">
        <is>
          <t>01-10-2020</t>
        </is>
      </c>
      <c r="C8" t="n">
        <v>2020</v>
      </c>
      <c r="D8" t="n">
        <v>10</v>
      </c>
      <c r="E8" t="inlineStr">
        <is>
          <t>Barro Blanco 023</t>
        </is>
      </c>
      <c r="F8" t="inlineStr">
        <is>
          <t>SAESA</t>
        </is>
      </c>
      <c r="G8" t="inlineStr">
        <is>
          <t>SAESA</t>
        </is>
      </c>
      <c r="H8" t="inlineStr">
        <is>
          <t>Empresa Eléctrica Carén S.A.</t>
        </is>
      </c>
      <c r="I8" t="inlineStr">
        <is>
          <t>Empresa Eléctrica Carén S.A.</t>
        </is>
      </c>
      <c r="J8" t="inlineStr">
        <is>
          <t>SIC 2013/03_2_BS1A_BB_Saesa_Empresa Eléctrica Carén S.A.</t>
        </is>
      </c>
      <c r="K8" t="inlineStr">
        <is>
          <t>Barro Blanco 023</t>
        </is>
      </c>
      <c r="L8" t="inlineStr">
        <is>
          <t>-1</t>
        </is>
      </c>
      <c r="M8" t="n">
        <v>2578.655420321262</v>
      </c>
      <c r="N8" t="n">
        <v>0</v>
      </c>
      <c r="O8" t="inlineStr">
        <is>
          <t>6</t>
        </is>
      </c>
      <c r="P8" s="2" t="n">
        <v>44659.60028225694</v>
      </c>
      <c r="Q8" t="n">
        <v>6</v>
      </c>
      <c r="R8" t="inlineStr">
        <is>
          <t>MELIPULLI 220</t>
        </is>
      </c>
      <c r="S8" t="n">
        <v>46.54219025884633</v>
      </c>
      <c r="T8" t="n">
        <v>3224.827470182033</v>
      </c>
      <c r="U8" t="n">
        <v>0</v>
      </c>
      <c r="V8" t="n">
        <v>0</v>
      </c>
      <c r="W8" t="inlineStr">
        <is>
          <t>SAESA</t>
        </is>
      </c>
      <c r="X8" t="n">
        <v>78.826236570774</v>
      </c>
      <c r="Y8" t="n">
        <v>3.224827470182033</v>
      </c>
      <c r="Z8" t="n">
        <v>3668.745699865794</v>
      </c>
      <c r="AA8" t="n">
        <v>0</v>
      </c>
      <c r="AB8" t="n">
        <v>0</v>
      </c>
      <c r="AC8" t="n">
        <v>0</v>
      </c>
      <c r="AD8" s="2" t="n">
        <v>44105</v>
      </c>
    </row>
    <row r="9">
      <c r="A9" t="n">
        <v>-1</v>
      </c>
      <c r="B9" t="inlineStr">
        <is>
          <t>01-10-2020</t>
        </is>
      </c>
      <c r="C9" t="n">
        <v>2020</v>
      </c>
      <c r="D9" t="n">
        <v>10</v>
      </c>
      <c r="E9" t="inlineStr">
        <is>
          <t>Barro Blanco 023</t>
        </is>
      </c>
      <c r="F9" t="inlineStr">
        <is>
          <t>SAESA</t>
        </is>
      </c>
      <c r="G9" t="inlineStr">
        <is>
          <t>SAESA</t>
        </is>
      </c>
      <c r="H9" t="inlineStr">
        <is>
          <t>Empresa Eléctrica Carén S.A.</t>
        </is>
      </c>
      <c r="I9" t="inlineStr">
        <is>
          <t>Empresa Eléctrica Carén S.A.</t>
        </is>
      </c>
      <c r="J9" t="inlineStr">
        <is>
          <t>SIC 2013/03_2_BS1A_BB_Saesa_Empresa Eléctrica Carén S.A.</t>
        </is>
      </c>
      <c r="K9" t="inlineStr">
        <is>
          <t>Barro Blanco 023</t>
        </is>
      </c>
      <c r="L9" t="inlineStr">
        <is>
          <t>-1</t>
        </is>
      </c>
      <c r="M9" t="n">
        <v>2578.655420321262</v>
      </c>
      <c r="N9" t="n">
        <v>0</v>
      </c>
      <c r="O9" t="inlineStr">
        <is>
          <t>6</t>
        </is>
      </c>
      <c r="P9" s="2" t="n">
        <v>44659.60028225694</v>
      </c>
      <c r="Q9" t="n">
        <v>17</v>
      </c>
      <c r="R9" t="inlineStr">
        <is>
          <t>VALDIVIA 220</t>
        </is>
      </c>
      <c r="S9" t="n">
        <v>11.72534967654086</v>
      </c>
      <c r="T9" t="n">
        <v>884.4006119102261</v>
      </c>
      <c r="U9" t="n">
        <v>0</v>
      </c>
      <c r="V9" t="n">
        <v>0</v>
      </c>
      <c r="W9" t="inlineStr">
        <is>
          <t>SAESA</t>
        </is>
      </c>
      <c r="X9" t="n">
        <v>85.80929939057698</v>
      </c>
      <c r="Y9" t="n">
        <v>0.8844006119102261</v>
      </c>
      <c r="Z9" t="n">
        <v>1006.1440408535</v>
      </c>
      <c r="AA9" t="n">
        <v>0</v>
      </c>
      <c r="AB9" t="n">
        <v>0</v>
      </c>
      <c r="AC9" t="n">
        <v>0</v>
      </c>
      <c r="AD9" s="2" t="n">
        <v>44105</v>
      </c>
    </row>
    <row r="10">
      <c r="A10" t="n">
        <v>-1</v>
      </c>
      <c r="B10" t="inlineStr">
        <is>
          <t>01-10-2020</t>
        </is>
      </c>
      <c r="C10" t="n">
        <v>2020</v>
      </c>
      <c r="D10" t="n">
        <v>10</v>
      </c>
      <c r="E10" t="inlineStr">
        <is>
          <t>Calbuco 023</t>
        </is>
      </c>
      <c r="F10" t="inlineStr">
        <is>
          <t>SAESA</t>
        </is>
      </c>
      <c r="G10" t="inlineStr">
        <is>
          <t>SAESA</t>
        </is>
      </c>
      <c r="H10" t="inlineStr">
        <is>
          <t>Empresa Eléctrica Carén S.A.</t>
        </is>
      </c>
      <c r="I10" t="inlineStr">
        <is>
          <t>Empresa Eléctrica Carén S.A.</t>
        </is>
      </c>
      <c r="J10" t="inlineStr">
        <is>
          <t>SIC 2013/03_2_BS1A_BB_Saesa_Empresa Eléctrica Carén S.A.</t>
        </is>
      </c>
      <c r="K10" t="inlineStr">
        <is>
          <t>Calbuco 023</t>
        </is>
      </c>
      <c r="L10" t="inlineStr">
        <is>
          <t>-1</t>
        </is>
      </c>
      <c r="M10" t="n">
        <v>1138.448892650814</v>
      </c>
      <c r="N10" t="n">
        <v>0</v>
      </c>
      <c r="O10" t="inlineStr">
        <is>
          <t>6</t>
        </is>
      </c>
      <c r="P10" s="2" t="n">
        <v>44659.60028225694</v>
      </c>
      <c r="Q10" t="n">
        <v>24</v>
      </c>
      <c r="R10" t="inlineStr">
        <is>
          <t>CHILOE 220</t>
        </is>
      </c>
      <c r="S10" t="n">
        <v>0.3595586142261127</v>
      </c>
      <c r="T10" t="n">
        <v>25.10549133697206</v>
      </c>
      <c r="U10" t="n">
        <v>0</v>
      </c>
      <c r="V10" t="n">
        <v>0</v>
      </c>
      <c r="W10" t="inlineStr">
        <is>
          <t>SAESA</t>
        </is>
      </c>
      <c r="X10" t="n">
        <v>79.434680359482</v>
      </c>
      <c r="Y10" t="n">
        <v>0.02510549133697206</v>
      </c>
      <c r="Z10" t="n">
        <v>28.56142359154956</v>
      </c>
      <c r="AA10" t="n">
        <v>0</v>
      </c>
      <c r="AB10" t="n">
        <v>0</v>
      </c>
      <c r="AC10" t="n">
        <v>0</v>
      </c>
      <c r="AD10" s="2" t="n">
        <v>44105</v>
      </c>
    </row>
    <row r="11">
      <c r="A11" t="n">
        <v>-1</v>
      </c>
      <c r="B11" t="inlineStr">
        <is>
          <t>01-10-2020</t>
        </is>
      </c>
      <c r="C11" t="n">
        <v>2020</v>
      </c>
      <c r="D11" t="n">
        <v>10</v>
      </c>
      <c r="E11" t="inlineStr">
        <is>
          <t>Calbuco 023</t>
        </is>
      </c>
      <c r="F11" t="inlineStr">
        <is>
          <t>SAESA</t>
        </is>
      </c>
      <c r="G11" t="inlineStr">
        <is>
          <t>SAESA</t>
        </is>
      </c>
      <c r="H11" t="inlineStr">
        <is>
          <t>Empresa Eléctrica Carén S.A.</t>
        </is>
      </c>
      <c r="I11" t="inlineStr">
        <is>
          <t>Empresa Eléctrica Carén S.A.</t>
        </is>
      </c>
      <c r="J11" t="inlineStr">
        <is>
          <t>SIC 2013/03_2_BS1A_BB_Saesa_Empresa Eléctrica Carén S.A.</t>
        </is>
      </c>
      <c r="K11" t="inlineStr">
        <is>
          <t>Calbuco 023</t>
        </is>
      </c>
      <c r="L11" t="inlineStr">
        <is>
          <t>-1</t>
        </is>
      </c>
      <c r="M11" t="n">
        <v>1138.448892650814</v>
      </c>
      <c r="N11" t="n">
        <v>0</v>
      </c>
      <c r="O11" t="inlineStr">
        <is>
          <t>6</t>
        </is>
      </c>
      <c r="P11" s="2" t="n">
        <v>44659.60028225694</v>
      </c>
      <c r="Q11" t="n">
        <v>6</v>
      </c>
      <c r="R11" t="inlineStr">
        <is>
          <t>MELIPULLI 220</t>
        </is>
      </c>
      <c r="S11" t="n">
        <v>1156.963870625709</v>
      </c>
      <c r="T11" t="n">
        <v>80164.01572963705</v>
      </c>
      <c r="U11" t="n">
        <v>0</v>
      </c>
      <c r="V11" t="n">
        <v>0</v>
      </c>
      <c r="W11" t="inlineStr">
        <is>
          <t>SAESA</t>
        </is>
      </c>
      <c r="X11" t="n">
        <v>78.82623657077399</v>
      </c>
      <c r="Y11" t="n">
        <v>80.16401572963704</v>
      </c>
      <c r="Z11" t="n">
        <v>91199.10776978049</v>
      </c>
      <c r="AA11" t="n">
        <v>0</v>
      </c>
      <c r="AB11" t="n">
        <v>0</v>
      </c>
      <c r="AC11" t="n">
        <v>0</v>
      </c>
      <c r="AD11" s="2" t="n">
        <v>44105</v>
      </c>
    </row>
    <row r="12">
      <c r="A12" t="n">
        <v>-1</v>
      </c>
      <c r="B12" t="inlineStr">
        <is>
          <t>01-10-2020</t>
        </is>
      </c>
      <c r="C12" t="n">
        <v>2020</v>
      </c>
      <c r="D12" t="n">
        <v>10</v>
      </c>
      <c r="E12" t="inlineStr">
        <is>
          <t>Castro 023</t>
        </is>
      </c>
      <c r="F12" t="inlineStr">
        <is>
          <t>SAESA</t>
        </is>
      </c>
      <c r="G12" t="inlineStr">
        <is>
          <t>SAESA</t>
        </is>
      </c>
      <c r="H12" t="inlineStr">
        <is>
          <t>Empresa Eléctrica Carén S.A.</t>
        </is>
      </c>
      <c r="I12" t="inlineStr">
        <is>
          <t>Empresa Eléctrica Carén S.A.</t>
        </is>
      </c>
      <c r="J12" t="inlineStr">
        <is>
          <t>SIC 2013/03_2_BS1A_BB_Saesa_Empresa Eléctrica Carén S.A.</t>
        </is>
      </c>
      <c r="K12" t="inlineStr">
        <is>
          <t>Castro 023</t>
        </is>
      </c>
      <c r="L12" t="inlineStr">
        <is>
          <t>-1</t>
        </is>
      </c>
      <c r="M12" t="n">
        <v>2182.807413185737</v>
      </c>
      <c r="N12" t="n">
        <v>0</v>
      </c>
      <c r="O12" t="inlineStr">
        <is>
          <t>6</t>
        </is>
      </c>
      <c r="P12" s="2" t="n">
        <v>44659.60028225694</v>
      </c>
      <c r="Q12" t="n">
        <v>24</v>
      </c>
      <c r="R12" t="inlineStr">
        <is>
          <t>CHILOE 220</t>
        </is>
      </c>
      <c r="S12" t="n">
        <v>2218.996546183396</v>
      </c>
      <c r="T12" t="n">
        <v>154937.182319723</v>
      </c>
      <c r="U12" t="n">
        <v>0</v>
      </c>
      <c r="V12" t="n">
        <v>0</v>
      </c>
      <c r="W12" t="inlineStr">
        <is>
          <t>SAESA</t>
        </is>
      </c>
      <c r="X12" t="n">
        <v>79.434680359482</v>
      </c>
      <c r="Y12" t="n">
        <v>154.937182319723</v>
      </c>
      <c r="Z12" t="n">
        <v>176265.2813648726</v>
      </c>
      <c r="AA12" t="n">
        <v>0</v>
      </c>
      <c r="AB12" t="n">
        <v>0</v>
      </c>
      <c r="AC12" t="n">
        <v>0</v>
      </c>
      <c r="AD12" s="2" t="n">
        <v>44105</v>
      </c>
    </row>
    <row r="13">
      <c r="A13" t="n">
        <v>-1</v>
      </c>
      <c r="B13" t="inlineStr">
        <is>
          <t>01-10-2020</t>
        </is>
      </c>
      <c r="C13" t="n">
        <v>2020</v>
      </c>
      <c r="D13" t="n">
        <v>10</v>
      </c>
      <c r="E13" t="inlineStr">
        <is>
          <t>Chirre 23</t>
        </is>
      </c>
      <c r="F13" t="inlineStr">
        <is>
          <t>SAESA</t>
        </is>
      </c>
      <c r="G13" t="inlineStr">
        <is>
          <t>SAESA</t>
        </is>
      </c>
      <c r="H13" t="inlineStr">
        <is>
          <t>Empresa Eléctrica Carén S.A.</t>
        </is>
      </c>
      <c r="I13" t="inlineStr">
        <is>
          <t>Empresa Eléctrica Carén S.A.</t>
        </is>
      </c>
      <c r="J13" t="inlineStr">
        <is>
          <t>SIC 2013/03_2_BS1A_BB_Saesa_Empresa Eléctrica Carén S.A.</t>
        </is>
      </c>
      <c r="K13" t="inlineStr">
        <is>
          <t>Chirre 23</t>
        </is>
      </c>
      <c r="L13" t="inlineStr">
        <is>
          <t>-1</t>
        </is>
      </c>
      <c r="M13" t="n">
        <v>991.1051140179662</v>
      </c>
      <c r="N13" t="n">
        <v>0</v>
      </c>
      <c r="O13" t="inlineStr">
        <is>
          <t>6</t>
        </is>
      </c>
      <c r="P13" s="2" t="n">
        <v>44659.60028225694</v>
      </c>
      <c r="Q13" t="n">
        <v>15</v>
      </c>
      <c r="R13" t="inlineStr">
        <is>
          <t>BARRO BLANCO 220</t>
        </is>
      </c>
      <c r="S13" t="n">
        <v>1007.536813200034</v>
      </c>
      <c r="T13" t="n">
        <v>70133.78641343211</v>
      </c>
      <c r="U13" t="n">
        <v>0</v>
      </c>
      <c r="V13" t="n">
        <v>0</v>
      </c>
      <c r="W13" t="inlineStr">
        <is>
          <t>SAESA</t>
        </is>
      </c>
      <c r="X13" t="n">
        <v>79.19130285958501</v>
      </c>
      <c r="Y13" t="n">
        <v>70.13378641343212</v>
      </c>
      <c r="Z13" t="n">
        <v>79788.15291630501</v>
      </c>
      <c r="AA13" t="n">
        <v>0</v>
      </c>
      <c r="AB13" t="n">
        <v>0</v>
      </c>
      <c r="AC13" t="n">
        <v>0</v>
      </c>
      <c r="AD13" s="2" t="n">
        <v>44105</v>
      </c>
    </row>
    <row r="14">
      <c r="A14" t="n">
        <v>-1</v>
      </c>
      <c r="B14" t="inlineStr">
        <is>
          <t>01-10-2020</t>
        </is>
      </c>
      <c r="C14" t="n">
        <v>2020</v>
      </c>
      <c r="D14" t="n">
        <v>10</v>
      </c>
      <c r="E14" t="inlineStr">
        <is>
          <t>Chonchi 023</t>
        </is>
      </c>
      <c r="F14" t="inlineStr">
        <is>
          <t>SAESA</t>
        </is>
      </c>
      <c r="G14" t="inlineStr">
        <is>
          <t>SAESA</t>
        </is>
      </c>
      <c r="H14" t="inlineStr">
        <is>
          <t>Empresa Eléctrica Carén S.A.</t>
        </is>
      </c>
      <c r="I14" t="inlineStr">
        <is>
          <t>Empresa Eléctrica Carén S.A.</t>
        </is>
      </c>
      <c r="J14" t="inlineStr">
        <is>
          <t>SIC 2013/03_2_BS1A_BB_Saesa_Empresa Eléctrica Carén S.A.</t>
        </is>
      </c>
      <c r="K14" t="inlineStr">
        <is>
          <t>Chonchi 023</t>
        </is>
      </c>
      <c r="L14" t="inlineStr">
        <is>
          <t>-1</t>
        </is>
      </c>
      <c r="M14" t="n">
        <v>1321.622320285726</v>
      </c>
      <c r="N14" t="n">
        <v>0</v>
      </c>
      <c r="O14" t="inlineStr">
        <is>
          <t>6</t>
        </is>
      </c>
      <c r="P14" s="2" t="n">
        <v>44659.60028225694</v>
      </c>
      <c r="Q14" t="n">
        <v>24</v>
      </c>
      <c r="R14" t="inlineStr">
        <is>
          <t>CHILOE 220</t>
        </is>
      </c>
      <c r="S14" t="n">
        <v>1343.533720087915</v>
      </c>
      <c r="T14" t="n">
        <v>93809.66784287759</v>
      </c>
      <c r="U14" t="n">
        <v>0</v>
      </c>
      <c r="V14" t="n">
        <v>0</v>
      </c>
      <c r="W14" t="inlineStr">
        <is>
          <t>SAESA</t>
        </is>
      </c>
      <c r="X14" t="n">
        <v>79.434680359482</v>
      </c>
      <c r="Y14" t="n">
        <v>93.8096678428776</v>
      </c>
      <c r="Z14" t="n">
        <v>106723.1716073693</v>
      </c>
      <c r="AA14" t="n">
        <v>0</v>
      </c>
      <c r="AB14" t="n">
        <v>0</v>
      </c>
      <c r="AC14" t="n">
        <v>0</v>
      </c>
      <c r="AD14" s="2" t="n">
        <v>44105</v>
      </c>
    </row>
    <row r="15">
      <c r="A15" t="n">
        <v>-1</v>
      </c>
      <c r="B15" t="inlineStr">
        <is>
          <t>01-10-2020</t>
        </is>
      </c>
      <c r="C15" t="n">
        <v>2020</v>
      </c>
      <c r="D15" t="n">
        <v>10</v>
      </c>
      <c r="E15" t="inlineStr">
        <is>
          <t>Colaco 023</t>
        </is>
      </c>
      <c r="F15" t="inlineStr">
        <is>
          <t>SAESA</t>
        </is>
      </c>
      <c r="G15" t="inlineStr">
        <is>
          <t>SAESA</t>
        </is>
      </c>
      <c r="H15" t="inlineStr">
        <is>
          <t>Empresa Eléctrica Carén S.A.</t>
        </is>
      </c>
      <c r="I15" t="inlineStr">
        <is>
          <t>Empresa Eléctrica Carén S.A.</t>
        </is>
      </c>
      <c r="J15" t="inlineStr">
        <is>
          <t>SIC 2013/03_2_BS1A_BB_Saesa_Empresa Eléctrica Carén S.A.</t>
        </is>
      </c>
      <c r="K15" t="inlineStr">
        <is>
          <t>Colaco 023</t>
        </is>
      </c>
      <c r="L15" t="inlineStr">
        <is>
          <t>-1</t>
        </is>
      </c>
      <c r="M15" t="n">
        <v>944.792294167552</v>
      </c>
      <c r="N15" t="n">
        <v>0</v>
      </c>
      <c r="O15" t="inlineStr">
        <is>
          <t>6</t>
        </is>
      </c>
      <c r="P15" s="2" t="n">
        <v>44659.60028225694</v>
      </c>
      <c r="Q15" t="n">
        <v>24</v>
      </c>
      <c r="R15" t="inlineStr">
        <is>
          <t>CHILOE 220</t>
        </is>
      </c>
      <c r="S15" t="n">
        <v>0.3209371930916904</v>
      </c>
      <c r="T15" t="n">
        <v>22.40882460351414</v>
      </c>
      <c r="U15" t="n">
        <v>0</v>
      </c>
      <c r="V15" t="n">
        <v>0</v>
      </c>
      <c r="W15" t="inlineStr">
        <is>
          <t>SAESA</t>
        </is>
      </c>
      <c r="X15" t="n">
        <v>79.434680359482</v>
      </c>
      <c r="Y15" t="n">
        <v>0.02240882460351414</v>
      </c>
      <c r="Z15" t="n">
        <v>25.49354334870778</v>
      </c>
      <c r="AA15" t="n">
        <v>0</v>
      </c>
      <c r="AB15" t="n">
        <v>0</v>
      </c>
      <c r="AC15" t="n">
        <v>0</v>
      </c>
      <c r="AD15" s="2" t="n">
        <v>44105</v>
      </c>
    </row>
    <row r="16">
      <c r="A16" t="n">
        <v>-1</v>
      </c>
      <c r="B16" t="inlineStr">
        <is>
          <t>01-10-2020</t>
        </is>
      </c>
      <c r="C16" t="n">
        <v>2020</v>
      </c>
      <c r="D16" t="n">
        <v>10</v>
      </c>
      <c r="E16" t="inlineStr">
        <is>
          <t>Colaco 023</t>
        </is>
      </c>
      <c r="F16" t="inlineStr">
        <is>
          <t>SAESA</t>
        </is>
      </c>
      <c r="G16" t="inlineStr">
        <is>
          <t>SAESA</t>
        </is>
      </c>
      <c r="H16" t="inlineStr">
        <is>
          <t>Empresa Eléctrica Carén S.A.</t>
        </is>
      </c>
      <c r="I16" t="inlineStr">
        <is>
          <t>Empresa Eléctrica Carén S.A.</t>
        </is>
      </c>
      <c r="J16" t="inlineStr">
        <is>
          <t>SIC 2013/03_2_BS1A_BB_Saesa_Empresa Eléctrica Carén S.A.</t>
        </is>
      </c>
      <c r="K16" t="inlineStr">
        <is>
          <t>Colaco 023</t>
        </is>
      </c>
      <c r="L16" t="inlineStr">
        <is>
          <t>-1</t>
        </is>
      </c>
      <c r="M16" t="n">
        <v>944.792294167552</v>
      </c>
      <c r="N16" t="n">
        <v>0</v>
      </c>
      <c r="O16" t="inlineStr">
        <is>
          <t>6</t>
        </is>
      </c>
      <c r="P16" s="2" t="n">
        <v>44659.60028225694</v>
      </c>
      <c r="Q16" t="n">
        <v>6</v>
      </c>
      <c r="R16" t="inlineStr">
        <is>
          <t>MELIPULLI 220</t>
        </is>
      </c>
      <c r="S16" t="n">
        <v>960.1352280893618</v>
      </c>
      <c r="T16" t="n">
        <v>66526.10118716005</v>
      </c>
      <c r="U16" t="n">
        <v>0</v>
      </c>
      <c r="V16" t="n">
        <v>0</v>
      </c>
      <c r="W16" t="inlineStr">
        <is>
          <t>SAESA</t>
        </is>
      </c>
      <c r="X16" t="n">
        <v>78.82623657077399</v>
      </c>
      <c r="Y16" t="n">
        <v>66.52610118716004</v>
      </c>
      <c r="Z16" t="n">
        <v>75683.84662930608</v>
      </c>
      <c r="AA16" t="n">
        <v>0</v>
      </c>
      <c r="AB16" t="n">
        <v>0</v>
      </c>
      <c r="AC16" t="n">
        <v>0</v>
      </c>
      <c r="AD16" s="2" t="n">
        <v>44105</v>
      </c>
    </row>
    <row r="17">
      <c r="A17" t="n">
        <v>-1</v>
      </c>
      <c r="B17" t="inlineStr">
        <is>
          <t>01-10-2020</t>
        </is>
      </c>
      <c r="C17" t="n">
        <v>2020</v>
      </c>
      <c r="D17" t="n">
        <v>10</v>
      </c>
      <c r="E17" t="inlineStr">
        <is>
          <t>Corral 13.8</t>
        </is>
      </c>
      <c r="F17" t="inlineStr">
        <is>
          <t>SAESA</t>
        </is>
      </c>
      <c r="G17" t="inlineStr">
        <is>
          <t>SAESA</t>
        </is>
      </c>
      <c r="H17" t="inlineStr">
        <is>
          <t>Empresa Eléctrica Carén S.A.</t>
        </is>
      </c>
      <c r="I17" t="inlineStr">
        <is>
          <t>Empresa Eléctrica Carén S.A.</t>
        </is>
      </c>
      <c r="J17" t="inlineStr">
        <is>
          <t>SIC 2013/03_2_BS1A_BB_Saesa_Empresa Eléctrica Carén S.A.</t>
        </is>
      </c>
      <c r="K17" t="inlineStr">
        <is>
          <t>Corral 13.8</t>
        </is>
      </c>
      <c r="L17" t="inlineStr">
        <is>
          <t>-1</t>
        </is>
      </c>
      <c r="M17" t="n">
        <v>349.0029644773975</v>
      </c>
      <c r="N17" t="n">
        <v>0</v>
      </c>
      <c r="O17" t="inlineStr">
        <is>
          <t>6</t>
        </is>
      </c>
      <c r="P17" s="2" t="n">
        <v>44659.60028225694</v>
      </c>
      <c r="Q17" t="n">
        <v>15</v>
      </c>
      <c r="R17" t="inlineStr">
        <is>
          <t>BARRO BLANCO 220</t>
        </is>
      </c>
      <c r="S17" t="n">
        <v>29.65255109383313</v>
      </c>
      <c r="T17" t="n">
        <v>2064.089031569099</v>
      </c>
      <c r="U17" t="n">
        <v>0</v>
      </c>
      <c r="V17" t="n">
        <v>0</v>
      </c>
      <c r="W17" t="inlineStr">
        <is>
          <t>SAESA</t>
        </is>
      </c>
      <c r="X17" t="n">
        <v>79.19130285958501</v>
      </c>
      <c r="Y17" t="n">
        <v>2.0640890315691</v>
      </c>
      <c r="Z17" t="n">
        <v>2348.224154231057</v>
      </c>
      <c r="AA17" t="n">
        <v>0</v>
      </c>
      <c r="AB17" t="n">
        <v>0</v>
      </c>
      <c r="AC17" t="n">
        <v>0</v>
      </c>
      <c r="AD17" s="2" t="n">
        <v>44105</v>
      </c>
    </row>
    <row r="18">
      <c r="A18" t="n">
        <v>-1</v>
      </c>
      <c r="B18" t="inlineStr">
        <is>
          <t>01-10-2020</t>
        </is>
      </c>
      <c r="C18" t="n">
        <v>2020</v>
      </c>
      <c r="D18" t="n">
        <v>10</v>
      </c>
      <c r="E18" t="inlineStr">
        <is>
          <t>Corral 13.8</t>
        </is>
      </c>
      <c r="F18" t="inlineStr">
        <is>
          <t>SAESA</t>
        </is>
      </c>
      <c r="G18" t="inlineStr">
        <is>
          <t>SAESA</t>
        </is>
      </c>
      <c r="H18" t="inlineStr">
        <is>
          <t>Empresa Eléctrica Carén S.A.</t>
        </is>
      </c>
      <c r="I18" t="inlineStr">
        <is>
          <t>Empresa Eléctrica Carén S.A.</t>
        </is>
      </c>
      <c r="J18" t="inlineStr">
        <is>
          <t>SIC 2013/03_2_BS1A_BB_Saesa_Empresa Eléctrica Carén S.A.</t>
        </is>
      </c>
      <c r="K18" t="inlineStr">
        <is>
          <t>Corral 13.8</t>
        </is>
      </c>
      <c r="L18" t="inlineStr">
        <is>
          <t>-1</t>
        </is>
      </c>
      <c r="M18" t="n">
        <v>349.0029644773975</v>
      </c>
      <c r="N18" t="n">
        <v>0</v>
      </c>
      <c r="O18" t="inlineStr">
        <is>
          <t>6</t>
        </is>
      </c>
      <c r="P18" s="2" t="n">
        <v>44659.60028225694</v>
      </c>
      <c r="Q18" t="n">
        <v>6</v>
      </c>
      <c r="R18" t="inlineStr">
        <is>
          <t>MELIPULLI 220</t>
        </is>
      </c>
      <c r="S18" t="n">
        <v>0.7843528716750093</v>
      </c>
      <c r="T18" t="n">
        <v>54.34644723048817</v>
      </c>
      <c r="U18" t="n">
        <v>0</v>
      </c>
      <c r="V18" t="n">
        <v>0</v>
      </c>
      <c r="W18" t="inlineStr">
        <is>
          <t>SAESA</t>
        </is>
      </c>
      <c r="X18" t="n">
        <v>78.826236570774</v>
      </c>
      <c r="Y18" t="n">
        <v>0.05434644723048818</v>
      </c>
      <c r="Z18" t="n">
        <v>61.82758501762022</v>
      </c>
      <c r="AA18" t="n">
        <v>0</v>
      </c>
      <c r="AB18" t="n">
        <v>0</v>
      </c>
      <c r="AC18" t="n">
        <v>0</v>
      </c>
      <c r="AD18" s="2" t="n">
        <v>44105</v>
      </c>
    </row>
    <row r="19">
      <c r="A19" t="n">
        <v>-1</v>
      </c>
      <c r="B19" t="inlineStr">
        <is>
          <t>01-10-2020</t>
        </is>
      </c>
      <c r="C19" t="n">
        <v>2020</v>
      </c>
      <c r="D19" t="n">
        <v>10</v>
      </c>
      <c r="E19" t="inlineStr">
        <is>
          <t>Corral 13.8</t>
        </is>
      </c>
      <c r="F19" t="inlineStr">
        <is>
          <t>SAESA</t>
        </is>
      </c>
      <c r="G19" t="inlineStr">
        <is>
          <t>SAESA</t>
        </is>
      </c>
      <c r="H19" t="inlineStr">
        <is>
          <t>Empresa Eléctrica Carén S.A.</t>
        </is>
      </c>
      <c r="I19" t="inlineStr">
        <is>
          <t>Empresa Eléctrica Carén S.A.</t>
        </is>
      </c>
      <c r="J19" t="inlineStr">
        <is>
          <t>SIC 2013/03_2_BS1A_BB_Saesa_Empresa Eléctrica Carén S.A.</t>
        </is>
      </c>
      <c r="K19" t="inlineStr">
        <is>
          <t>Corral 13.8</t>
        </is>
      </c>
      <c r="L19" t="inlineStr">
        <is>
          <t>-1</t>
        </is>
      </c>
      <c r="M19" t="n">
        <v>349.0029644773975</v>
      </c>
      <c r="N19" t="n">
        <v>0</v>
      </c>
      <c r="O19" t="inlineStr">
        <is>
          <t>6</t>
        </is>
      </c>
      <c r="P19" s="2" t="n">
        <v>44659.60028225694</v>
      </c>
      <c r="Q19" t="n">
        <v>17</v>
      </c>
      <c r="R19" t="inlineStr">
        <is>
          <t>VALDIVIA 220</t>
        </is>
      </c>
      <c r="S19" t="n">
        <v>324.352239641461</v>
      </c>
      <c r="T19" t="n">
        <v>24464.7133882311</v>
      </c>
      <c r="U19" t="n">
        <v>0</v>
      </c>
      <c r="V19" t="n">
        <v>0</v>
      </c>
      <c r="W19" t="inlineStr">
        <is>
          <t>SAESA</t>
        </is>
      </c>
      <c r="X19" t="n">
        <v>85.80929939057698</v>
      </c>
      <c r="Y19" t="n">
        <v>24.4647133882311</v>
      </c>
      <c r="Z19" t="n">
        <v>27832.4384393983</v>
      </c>
      <c r="AA19" t="n">
        <v>0</v>
      </c>
      <c r="AB19" t="n">
        <v>0</v>
      </c>
      <c r="AC19" t="n">
        <v>0</v>
      </c>
      <c r="AD19" s="2" t="n">
        <v>44105</v>
      </c>
    </row>
    <row r="20">
      <c r="A20" t="n">
        <v>-1</v>
      </c>
      <c r="B20" t="inlineStr">
        <is>
          <t>01-10-2020</t>
        </is>
      </c>
      <c r="C20" t="n">
        <v>2020</v>
      </c>
      <c r="D20" t="n">
        <v>10</v>
      </c>
      <c r="E20" t="inlineStr">
        <is>
          <t>Dalcahue 023</t>
        </is>
      </c>
      <c r="F20" t="inlineStr">
        <is>
          <t>SAESA</t>
        </is>
      </c>
      <c r="G20" t="inlineStr">
        <is>
          <t>SAESA</t>
        </is>
      </c>
      <c r="H20" t="inlineStr">
        <is>
          <t>Empresa Eléctrica Carén S.A.</t>
        </is>
      </c>
      <c r="I20" t="inlineStr">
        <is>
          <t>Empresa Eléctrica Carén S.A.</t>
        </is>
      </c>
      <c r="J20" t="inlineStr">
        <is>
          <t>SIC 2013/03_2_BS1A_BB_Saesa_Empresa Eléctrica Carén S.A.</t>
        </is>
      </c>
      <c r="K20" t="inlineStr">
        <is>
          <t>Dalcahue 023</t>
        </is>
      </c>
      <c r="L20" t="inlineStr">
        <is>
          <t>-1</t>
        </is>
      </c>
      <c r="M20" t="n">
        <v>1642.618237527012</v>
      </c>
      <c r="N20" t="n">
        <v>0</v>
      </c>
      <c r="O20" t="inlineStr">
        <is>
          <t>6</t>
        </is>
      </c>
      <c r="P20" s="2" t="n">
        <v>44659.60028225694</v>
      </c>
      <c r="Q20" t="n">
        <v>24</v>
      </c>
      <c r="R20" t="inlineStr">
        <is>
          <t>CHILOE 220</t>
        </is>
      </c>
      <c r="S20" t="n">
        <v>1669.851482889454</v>
      </c>
      <c r="T20" t="n">
        <v>116594.180417404</v>
      </c>
      <c r="U20" t="n">
        <v>0</v>
      </c>
      <c r="V20" t="n">
        <v>0</v>
      </c>
      <c r="W20" t="inlineStr">
        <is>
          <t>SAESA</t>
        </is>
      </c>
      <c r="X20" t="n">
        <v>79.434680359482</v>
      </c>
      <c r="Y20" t="n">
        <v>116.594180417404</v>
      </c>
      <c r="Z20" t="n">
        <v>132644.1187911308</v>
      </c>
      <c r="AA20" t="n">
        <v>0</v>
      </c>
      <c r="AB20" t="n">
        <v>0</v>
      </c>
      <c r="AC20" t="n">
        <v>0</v>
      </c>
      <c r="AD20" s="2" t="n">
        <v>44105</v>
      </c>
    </row>
    <row r="21">
      <c r="A21" t="n">
        <v>-1</v>
      </c>
      <c r="B21" t="inlineStr">
        <is>
          <t>01-10-2020</t>
        </is>
      </c>
      <c r="C21" t="n">
        <v>2020</v>
      </c>
      <c r="D21" t="n">
        <v>10</v>
      </c>
      <c r="E21" t="inlineStr">
        <is>
          <t>Degañ 023</t>
        </is>
      </c>
      <c r="F21" t="inlineStr">
        <is>
          <t>SAESA</t>
        </is>
      </c>
      <c r="G21" t="inlineStr">
        <is>
          <t>SAESA</t>
        </is>
      </c>
      <c r="H21" t="inlineStr">
        <is>
          <t>Empresa Eléctrica Carén S.A.</t>
        </is>
      </c>
      <c r="I21" t="inlineStr">
        <is>
          <t>Empresa Eléctrica Carén S.A.</t>
        </is>
      </c>
      <c r="J21" t="inlineStr">
        <is>
          <t>SIC 2013/03_2_BS1A_BB_Saesa_Empresa Eléctrica Carén S.A.</t>
        </is>
      </c>
      <c r="K21" t="inlineStr">
        <is>
          <t>Degañ 023</t>
        </is>
      </c>
      <c r="L21" t="inlineStr">
        <is>
          <t>-1</t>
        </is>
      </c>
      <c r="M21" t="n">
        <v>528.0279460407236</v>
      </c>
      <c r="N21" t="n">
        <v>0</v>
      </c>
      <c r="O21" t="inlineStr">
        <is>
          <t>6</t>
        </is>
      </c>
      <c r="P21" s="2" t="n">
        <v>44659.60028225694</v>
      </c>
      <c r="Q21" t="n">
        <v>24</v>
      </c>
      <c r="R21" t="inlineStr">
        <is>
          <t>CHILOE 220</t>
        </is>
      </c>
      <c r="S21" t="n">
        <v>536.7822105948555</v>
      </c>
      <c r="T21" t="n">
        <v>37479.78939938622</v>
      </c>
      <c r="U21" t="n">
        <v>0</v>
      </c>
      <c r="V21" t="n">
        <v>0</v>
      </c>
      <c r="W21" t="inlineStr">
        <is>
          <t>SAESA</t>
        </is>
      </c>
      <c r="X21" t="n">
        <v>79.434680359482</v>
      </c>
      <c r="Y21" t="n">
        <v>37.47978939938622</v>
      </c>
      <c r="Z21" t="n">
        <v>42639.1233212585</v>
      </c>
      <c r="AA21" t="n">
        <v>0</v>
      </c>
      <c r="AB21" t="n">
        <v>0</v>
      </c>
      <c r="AC21" t="n">
        <v>0</v>
      </c>
      <c r="AD21" s="2" t="n">
        <v>44105</v>
      </c>
    </row>
    <row r="22">
      <c r="A22" t="n">
        <v>-1</v>
      </c>
      <c r="B22" t="inlineStr">
        <is>
          <t>01-10-2020</t>
        </is>
      </c>
      <c r="C22" t="n">
        <v>2020</v>
      </c>
      <c r="D22" t="n">
        <v>10</v>
      </c>
      <c r="E22" t="inlineStr">
        <is>
          <t>El Empalme 023</t>
        </is>
      </c>
      <c r="F22" t="inlineStr">
        <is>
          <t>SAESA</t>
        </is>
      </c>
      <c r="G22" t="inlineStr">
        <is>
          <t>SAESA</t>
        </is>
      </c>
      <c r="H22" t="inlineStr">
        <is>
          <t>Empresa Eléctrica Carén S.A.</t>
        </is>
      </c>
      <c r="I22" t="inlineStr">
        <is>
          <t>Empresa Eléctrica Carén S.A.</t>
        </is>
      </c>
      <c r="J22" t="inlineStr">
        <is>
          <t>SIC 2013/03_2_BS1A_BB_Saesa_Empresa Eléctrica Carén S.A.</t>
        </is>
      </c>
      <c r="K22" t="inlineStr">
        <is>
          <t>El Empalme 023</t>
        </is>
      </c>
      <c r="L22" t="inlineStr">
        <is>
          <t>-1</t>
        </is>
      </c>
      <c r="M22" t="n">
        <v>1006.725591606085</v>
      </c>
      <c r="N22" t="n">
        <v>0</v>
      </c>
      <c r="O22" t="inlineStr">
        <is>
          <t>6</t>
        </is>
      </c>
      <c r="P22" s="2" t="n">
        <v>44659.60028225694</v>
      </c>
      <c r="Q22" t="n">
        <v>24</v>
      </c>
      <c r="R22" t="inlineStr">
        <is>
          <t>CHILOE 220</t>
        </is>
      </c>
      <c r="S22" t="n">
        <v>0.3469266709912625</v>
      </c>
      <c r="T22" t="n">
        <v>24.22349010294733</v>
      </c>
      <c r="U22" t="n">
        <v>0</v>
      </c>
      <c r="V22" t="n">
        <v>0</v>
      </c>
      <c r="W22" t="inlineStr">
        <is>
          <t>SAESA</t>
        </is>
      </c>
      <c r="X22" t="n">
        <v>79.43468035948202</v>
      </c>
      <c r="Y22" t="n">
        <v>0.02422349010294733</v>
      </c>
      <c r="Z22" t="n">
        <v>27.55800921837012</v>
      </c>
      <c r="AA22" t="n">
        <v>0</v>
      </c>
      <c r="AB22" t="n">
        <v>0</v>
      </c>
      <c r="AC22" t="n">
        <v>0</v>
      </c>
      <c r="AD22" s="2" t="n">
        <v>44105</v>
      </c>
    </row>
    <row r="23">
      <c r="A23" t="n">
        <v>-1</v>
      </c>
      <c r="B23" t="inlineStr">
        <is>
          <t>01-10-2020</t>
        </is>
      </c>
      <c r="C23" t="n">
        <v>2020</v>
      </c>
      <c r="D23" t="n">
        <v>10</v>
      </c>
      <c r="E23" t="inlineStr">
        <is>
          <t>El Empalme 023</t>
        </is>
      </c>
      <c r="F23" t="inlineStr">
        <is>
          <t>SAESA</t>
        </is>
      </c>
      <c r="G23" t="inlineStr">
        <is>
          <t>SAESA</t>
        </is>
      </c>
      <c r="H23" t="inlineStr">
        <is>
          <t>Empresa Eléctrica Carén S.A.</t>
        </is>
      </c>
      <c r="I23" t="inlineStr">
        <is>
          <t>Empresa Eléctrica Carén S.A.</t>
        </is>
      </c>
      <c r="J23" t="inlineStr">
        <is>
          <t>SIC 2013/03_2_BS1A_BB_Saesa_Empresa Eléctrica Carén S.A.</t>
        </is>
      </c>
      <c r="K23" t="inlineStr">
        <is>
          <t>El Empalme 023</t>
        </is>
      </c>
      <c r="L23" t="inlineStr">
        <is>
          <t>-1</t>
        </is>
      </c>
      <c r="M23" t="n">
        <v>1006.725591606085</v>
      </c>
      <c r="N23" t="n">
        <v>0</v>
      </c>
      <c r="O23" t="inlineStr">
        <is>
          <t>6</t>
        </is>
      </c>
      <c r="P23" s="2" t="n">
        <v>44659.60028225694</v>
      </c>
      <c r="Q23" t="n">
        <v>6</v>
      </c>
      <c r="R23" t="inlineStr">
        <is>
          <t>MELIPULLI 220</t>
        </is>
      </c>
      <c r="S23" t="n">
        <v>1023.069338654956</v>
      </c>
      <c r="T23" t="n">
        <v>70886.69632534924</v>
      </c>
      <c r="U23" t="n">
        <v>0</v>
      </c>
      <c r="V23" t="n">
        <v>0</v>
      </c>
      <c r="W23" t="inlineStr">
        <is>
          <t>SAESA</t>
        </is>
      </c>
      <c r="X23" t="n">
        <v>78.826236570774</v>
      </c>
      <c r="Y23" t="n">
        <v>70.88669632534925</v>
      </c>
      <c r="Z23" t="n">
        <v>80644.70571712087</v>
      </c>
      <c r="AA23" t="n">
        <v>0</v>
      </c>
      <c r="AB23" t="n">
        <v>0</v>
      </c>
      <c r="AC23" t="n">
        <v>0</v>
      </c>
      <c r="AD23" s="2" t="n">
        <v>44105</v>
      </c>
    </row>
    <row r="24">
      <c r="A24" t="n">
        <v>-1</v>
      </c>
      <c r="B24" t="inlineStr">
        <is>
          <t>01-10-2020</t>
        </is>
      </c>
      <c r="C24" t="n">
        <v>2020</v>
      </c>
      <c r="D24" t="n">
        <v>10</v>
      </c>
      <c r="E24" t="inlineStr">
        <is>
          <t>Frutillar 13.2</t>
        </is>
      </c>
      <c r="F24" t="inlineStr">
        <is>
          <t>SAESA</t>
        </is>
      </c>
      <c r="G24" t="inlineStr">
        <is>
          <t>SAESA</t>
        </is>
      </c>
      <c r="H24" t="inlineStr">
        <is>
          <t>Empresa Eléctrica Carén S.A.</t>
        </is>
      </c>
      <c r="I24" t="inlineStr">
        <is>
          <t>Empresa Eléctrica Carén S.A.</t>
        </is>
      </c>
      <c r="J24" t="inlineStr">
        <is>
          <t>SIC 2013/03_2_BS1A_BB_Saesa_Empresa Eléctrica Carén S.A.</t>
        </is>
      </c>
      <c r="K24" t="inlineStr">
        <is>
          <t>Frutillar 13.2</t>
        </is>
      </c>
      <c r="L24" t="inlineStr">
        <is>
          <t>-1</t>
        </is>
      </c>
      <c r="M24" t="n">
        <v>1734.815773998753</v>
      </c>
      <c r="N24" t="n">
        <v>0</v>
      </c>
      <c r="O24" t="inlineStr">
        <is>
          <t>6</t>
        </is>
      </c>
      <c r="P24" s="2" t="n">
        <v>44659.60028225694</v>
      </c>
      <c r="Q24" t="n">
        <v>15</v>
      </c>
      <c r="R24" t="inlineStr">
        <is>
          <t>BARRO BLANCO 220</t>
        </is>
      </c>
      <c r="S24" t="n">
        <v>920.5331614913603</v>
      </c>
      <c r="T24" t="n">
        <v>64077.53571749519</v>
      </c>
      <c r="U24" t="n">
        <v>0</v>
      </c>
      <c r="V24" t="n">
        <v>0</v>
      </c>
      <c r="W24" t="inlineStr">
        <is>
          <t>SAESA</t>
        </is>
      </c>
      <c r="X24" t="n">
        <v>79.19130285958501</v>
      </c>
      <c r="Y24" t="n">
        <v>64.07753571749519</v>
      </c>
      <c r="Z24" t="n">
        <v>72898.22038395357</v>
      </c>
      <c r="AA24" t="n">
        <v>0</v>
      </c>
      <c r="AB24" t="n">
        <v>0</v>
      </c>
      <c r="AC24" t="n">
        <v>0</v>
      </c>
      <c r="AD24" s="2" t="n">
        <v>44105</v>
      </c>
    </row>
    <row r="25">
      <c r="A25" t="n">
        <v>-1</v>
      </c>
      <c r="B25" t="inlineStr">
        <is>
          <t>01-10-2020</t>
        </is>
      </c>
      <c r="C25" t="n">
        <v>2020</v>
      </c>
      <c r="D25" t="n">
        <v>10</v>
      </c>
      <c r="E25" t="inlineStr">
        <is>
          <t>Frutillar 13.2</t>
        </is>
      </c>
      <c r="F25" t="inlineStr">
        <is>
          <t>SAESA</t>
        </is>
      </c>
      <c r="G25" t="inlineStr">
        <is>
          <t>SAESA</t>
        </is>
      </c>
      <c r="H25" t="inlineStr">
        <is>
          <t>Empresa Eléctrica Carén S.A.</t>
        </is>
      </c>
      <c r="I25" t="inlineStr">
        <is>
          <t>Empresa Eléctrica Carén S.A.</t>
        </is>
      </c>
      <c r="J25" t="inlineStr">
        <is>
          <t>SIC 2013/03_2_BS1A_BB_Saesa_Empresa Eléctrica Carén S.A.</t>
        </is>
      </c>
      <c r="K25" t="inlineStr">
        <is>
          <t>Frutillar 13.2</t>
        </is>
      </c>
      <c r="L25" t="inlineStr">
        <is>
          <t>-1</t>
        </is>
      </c>
      <c r="M25" t="n">
        <v>1734.815773998753</v>
      </c>
      <c r="N25" t="n">
        <v>0</v>
      </c>
      <c r="O25" t="inlineStr">
        <is>
          <t>6</t>
        </is>
      </c>
      <c r="P25" s="2" t="n">
        <v>44659.60028225694</v>
      </c>
      <c r="Q25" t="n">
        <v>6</v>
      </c>
      <c r="R25" t="inlineStr">
        <is>
          <t>MELIPULLI 220</t>
        </is>
      </c>
      <c r="S25" t="n">
        <v>843.0444164083837</v>
      </c>
      <c r="T25" t="n">
        <v>58413.08235597259</v>
      </c>
      <c r="U25" t="n">
        <v>0</v>
      </c>
      <c r="V25" t="n">
        <v>0</v>
      </c>
      <c r="W25" t="inlineStr">
        <is>
          <t>SAESA</t>
        </is>
      </c>
      <c r="X25" t="n">
        <v>78.826236570774</v>
      </c>
      <c r="Y25" t="n">
        <v>58.41308235597259</v>
      </c>
      <c r="Z25" t="n">
        <v>66454.01860747735</v>
      </c>
      <c r="AA25" t="n">
        <v>0</v>
      </c>
      <c r="AB25" t="n">
        <v>0</v>
      </c>
      <c r="AC25" t="n">
        <v>0</v>
      </c>
      <c r="AD25" s="2" t="n">
        <v>44105</v>
      </c>
    </row>
    <row r="26">
      <c r="A26" t="n">
        <v>-1</v>
      </c>
      <c r="B26" t="inlineStr">
        <is>
          <t>01-10-2020</t>
        </is>
      </c>
      <c r="C26" t="n">
        <v>2020</v>
      </c>
      <c r="D26" t="n">
        <v>10</v>
      </c>
      <c r="E26" t="inlineStr">
        <is>
          <t>La Union 1 023</t>
        </is>
      </c>
      <c r="F26" t="inlineStr">
        <is>
          <t>SAESA</t>
        </is>
      </c>
      <c r="G26" t="inlineStr">
        <is>
          <t>SAESA</t>
        </is>
      </c>
      <c r="H26" t="inlineStr">
        <is>
          <t>Empresa Eléctrica Carén S.A.</t>
        </is>
      </c>
      <c r="I26" t="inlineStr">
        <is>
          <t>Empresa Eléctrica Carén S.A.</t>
        </is>
      </c>
      <c r="J26" t="inlineStr">
        <is>
          <t>SIC 2013/03_2_BS1A_BB_Saesa_Empresa Eléctrica Carén S.A.</t>
        </is>
      </c>
      <c r="K26" t="inlineStr">
        <is>
          <t>La Union 1 023</t>
        </is>
      </c>
      <c r="L26" t="inlineStr">
        <is>
          <t>-1</t>
        </is>
      </c>
      <c r="M26" t="n">
        <v>1668.641232868367</v>
      </c>
      <c r="N26" t="n">
        <v>0</v>
      </c>
      <c r="O26" t="inlineStr">
        <is>
          <t>6</t>
        </is>
      </c>
      <c r="P26" s="2" t="n">
        <v>44659.60028225694</v>
      </c>
      <c r="Q26" t="n">
        <v>15</v>
      </c>
      <c r="R26" t="inlineStr">
        <is>
          <t>BARRO BLANCO 220</t>
        </is>
      </c>
      <c r="S26" t="n">
        <v>1649.54954083801</v>
      </c>
      <c r="T26" t="n">
        <v>114823.7500206748</v>
      </c>
      <c r="U26" t="n">
        <v>0</v>
      </c>
      <c r="V26" t="n">
        <v>0</v>
      </c>
      <c r="W26" t="inlineStr">
        <is>
          <t>SAESA</t>
        </is>
      </c>
      <c r="X26" t="n">
        <v>79.19130285958501</v>
      </c>
      <c r="Y26" t="n">
        <v>114.8237500206748</v>
      </c>
      <c r="Z26" t="n">
        <v>130629.9772703922</v>
      </c>
      <c r="AA26" t="n">
        <v>0</v>
      </c>
      <c r="AB26" t="n">
        <v>0</v>
      </c>
      <c r="AC26" t="n">
        <v>0</v>
      </c>
      <c r="AD26" s="2" t="n">
        <v>44105</v>
      </c>
    </row>
    <row r="27">
      <c r="A27" t="n">
        <v>-1</v>
      </c>
      <c r="B27" t="inlineStr">
        <is>
          <t>01-10-2020</t>
        </is>
      </c>
      <c r="C27" t="n">
        <v>2020</v>
      </c>
      <c r="D27" t="n">
        <v>10</v>
      </c>
      <c r="E27" t="inlineStr">
        <is>
          <t>La Union 1 023</t>
        </is>
      </c>
      <c r="F27" t="inlineStr">
        <is>
          <t>SAESA</t>
        </is>
      </c>
      <c r="G27" t="inlineStr">
        <is>
          <t>SAESA</t>
        </is>
      </c>
      <c r="H27" t="inlineStr">
        <is>
          <t>Empresa Eléctrica Carén S.A.</t>
        </is>
      </c>
      <c r="I27" t="inlineStr">
        <is>
          <t>Empresa Eléctrica Carén S.A.</t>
        </is>
      </c>
      <c r="J27" t="inlineStr">
        <is>
          <t>SIC 2013/03_2_BS1A_BB_Saesa_Empresa Eléctrica Carén S.A.</t>
        </is>
      </c>
      <c r="K27" t="inlineStr">
        <is>
          <t>La Union 1 023</t>
        </is>
      </c>
      <c r="L27" t="inlineStr">
        <is>
          <t>-1</t>
        </is>
      </c>
      <c r="M27" t="n">
        <v>1668.641232868367</v>
      </c>
      <c r="N27" t="n">
        <v>0</v>
      </c>
      <c r="O27" t="inlineStr">
        <is>
          <t>6</t>
        </is>
      </c>
      <c r="P27" s="2" t="n">
        <v>44659.60028225694</v>
      </c>
      <c r="Q27" t="n">
        <v>6</v>
      </c>
      <c r="R27" t="inlineStr">
        <is>
          <t>MELIPULLI 220</t>
        </is>
      </c>
      <c r="S27" t="n">
        <v>20.91067221126653</v>
      </c>
      <c r="T27" t="n">
        <v>1448.864133635122</v>
      </c>
      <c r="U27" t="n">
        <v>0</v>
      </c>
      <c r="V27" t="n">
        <v>0</v>
      </c>
      <c r="W27" t="inlineStr">
        <is>
          <t>SAESA</t>
        </is>
      </c>
      <c r="X27" t="n">
        <v>78.82623657077399</v>
      </c>
      <c r="Y27" t="n">
        <v>1.448864133635122</v>
      </c>
      <c r="Z27" t="n">
        <v>1648.309594579205</v>
      </c>
      <c r="AA27" t="n">
        <v>0</v>
      </c>
      <c r="AB27" t="n">
        <v>0</v>
      </c>
      <c r="AC27" t="n">
        <v>0</v>
      </c>
      <c r="AD27" s="2" t="n">
        <v>44105</v>
      </c>
    </row>
    <row r="28">
      <c r="A28" t="n">
        <v>-1</v>
      </c>
      <c r="B28" t="inlineStr">
        <is>
          <t>01-10-2020</t>
        </is>
      </c>
      <c r="C28" t="n">
        <v>2020</v>
      </c>
      <c r="D28" t="n">
        <v>10</v>
      </c>
      <c r="E28" t="inlineStr">
        <is>
          <t>La Union 1 023</t>
        </is>
      </c>
      <c r="F28" t="inlineStr">
        <is>
          <t>SAESA</t>
        </is>
      </c>
      <c r="G28" t="inlineStr">
        <is>
          <t>SAESA</t>
        </is>
      </c>
      <c r="H28" t="inlineStr">
        <is>
          <t>Empresa Eléctrica Carén S.A.</t>
        </is>
      </c>
      <c r="I28" t="inlineStr">
        <is>
          <t>Empresa Eléctrica Carén S.A.</t>
        </is>
      </c>
      <c r="J28" t="inlineStr">
        <is>
          <t>SIC 2013/03_2_BS1A_BB_Saesa_Empresa Eléctrica Carén S.A.</t>
        </is>
      </c>
      <c r="K28" t="inlineStr">
        <is>
          <t>La Union 1 023</t>
        </is>
      </c>
      <c r="L28" t="inlineStr">
        <is>
          <t>-1</t>
        </is>
      </c>
      <c r="M28" t="n">
        <v>1668.641232868367</v>
      </c>
      <c r="N28" t="n">
        <v>0</v>
      </c>
      <c r="O28" t="inlineStr">
        <is>
          <t>6</t>
        </is>
      </c>
      <c r="P28" s="2" t="n">
        <v>44659.60028225694</v>
      </c>
      <c r="Q28" t="n">
        <v>17</v>
      </c>
      <c r="R28" t="inlineStr">
        <is>
          <t>VALDIVIA 220</t>
        </is>
      </c>
      <c r="S28" t="n">
        <v>25.84570481918256</v>
      </c>
      <c r="T28" t="n">
        <v>1949.44780223216</v>
      </c>
      <c r="U28" t="n">
        <v>0</v>
      </c>
      <c r="V28" t="n">
        <v>0</v>
      </c>
      <c r="W28" t="inlineStr">
        <is>
          <t>SAESA</t>
        </is>
      </c>
      <c r="X28" t="n">
        <v>85.80929939057698</v>
      </c>
      <c r="Y28" t="n">
        <v>1.94944780223216</v>
      </c>
      <c r="Z28" t="n">
        <v>2217.801822789715</v>
      </c>
      <c r="AA28" t="n">
        <v>0</v>
      </c>
      <c r="AB28" t="n">
        <v>0</v>
      </c>
      <c r="AC28" t="n">
        <v>0</v>
      </c>
      <c r="AD28" s="2" t="n">
        <v>44105</v>
      </c>
    </row>
    <row r="29">
      <c r="A29" t="n">
        <v>-1</v>
      </c>
      <c r="B29" t="inlineStr">
        <is>
          <t>01-10-2020</t>
        </is>
      </c>
      <c r="C29" t="n">
        <v>2020</v>
      </c>
      <c r="D29" t="n">
        <v>10</v>
      </c>
      <c r="E29" t="inlineStr">
        <is>
          <t>Loncoche 13.2</t>
        </is>
      </c>
      <c r="F29" t="inlineStr">
        <is>
          <t>SAESA</t>
        </is>
      </c>
      <c r="G29" t="inlineStr">
        <is>
          <t>SAESA</t>
        </is>
      </c>
      <c r="H29" t="inlineStr">
        <is>
          <t>Empresa Eléctrica Carén S.A.</t>
        </is>
      </c>
      <c r="I29" t="inlineStr">
        <is>
          <t>Empresa Eléctrica Carén S.A.</t>
        </is>
      </c>
      <c r="J29" t="inlineStr">
        <is>
          <t>SIC 2013/03_2_BS1A_BB_Saesa_Empresa Eléctrica Carén S.A.</t>
        </is>
      </c>
      <c r="K29" t="inlineStr">
        <is>
          <t>Loncoche 13.2</t>
        </is>
      </c>
      <c r="L29" t="inlineStr">
        <is>
          <t>-1</t>
        </is>
      </c>
      <c r="M29" t="n">
        <v>1804.565724165647</v>
      </c>
      <c r="N29" t="n">
        <v>0</v>
      </c>
      <c r="O29" t="inlineStr">
        <is>
          <t>5</t>
        </is>
      </c>
      <c r="P29" s="2" t="n">
        <v>44659.60028225694</v>
      </c>
      <c r="Q29" t="n">
        <v>14</v>
      </c>
      <c r="R29" t="inlineStr">
        <is>
          <t>CAUTÍN 220</t>
        </is>
      </c>
      <c r="S29" t="n">
        <v>542.5611392685599</v>
      </c>
      <c r="T29" t="n">
        <v>41624.30057997823</v>
      </c>
      <c r="U29" t="n">
        <v>0</v>
      </c>
      <c r="V29" t="n">
        <v>0</v>
      </c>
      <c r="W29" t="inlineStr">
        <is>
          <t>SAESA</t>
        </is>
      </c>
      <c r="X29" t="n">
        <v>87.27892522788599</v>
      </c>
      <c r="Y29" t="n">
        <v>41.62430057997823</v>
      </c>
      <c r="Z29" t="n">
        <v>47354.15310577729</v>
      </c>
      <c r="AA29" t="n">
        <v>0</v>
      </c>
      <c r="AB29" t="n">
        <v>0</v>
      </c>
      <c r="AC29" t="n">
        <v>0</v>
      </c>
      <c r="AD29" s="2" t="n">
        <v>44105</v>
      </c>
    </row>
    <row r="30">
      <c r="A30" t="n">
        <v>-1</v>
      </c>
      <c r="B30" t="inlineStr">
        <is>
          <t>01-10-2020</t>
        </is>
      </c>
      <c r="C30" t="n">
        <v>2020</v>
      </c>
      <c r="D30" t="n">
        <v>10</v>
      </c>
      <c r="E30" t="inlineStr">
        <is>
          <t>Loncoche 13.2</t>
        </is>
      </c>
      <c r="F30" t="inlineStr">
        <is>
          <t>SAESA</t>
        </is>
      </c>
      <c r="G30" t="inlineStr">
        <is>
          <t>SAESA</t>
        </is>
      </c>
      <c r="H30" t="inlineStr">
        <is>
          <t>Empresa Eléctrica Carén S.A.</t>
        </is>
      </c>
      <c r="I30" t="inlineStr">
        <is>
          <t>Empresa Eléctrica Carén S.A.</t>
        </is>
      </c>
      <c r="J30" t="inlineStr">
        <is>
          <t>SIC 2013/03_2_BS1A_BB_Saesa_Empresa Eléctrica Carén S.A.</t>
        </is>
      </c>
      <c r="K30" t="inlineStr">
        <is>
          <t>Loncoche 13.2</t>
        </is>
      </c>
      <c r="L30" t="inlineStr">
        <is>
          <t>-1</t>
        </is>
      </c>
      <c r="M30" t="n">
        <v>1804.565724165647</v>
      </c>
      <c r="N30" t="n">
        <v>0</v>
      </c>
      <c r="O30" t="inlineStr">
        <is>
          <t>5</t>
        </is>
      </c>
      <c r="P30" s="2" t="n">
        <v>44659.60028225694</v>
      </c>
      <c r="Q30" t="n">
        <v>4</v>
      </c>
      <c r="R30" t="inlineStr">
        <is>
          <t>TEMUCO 220</t>
        </is>
      </c>
      <c r="S30" t="n">
        <v>1306.376995547059</v>
      </c>
      <c r="T30" t="n">
        <v>99814.40065841706</v>
      </c>
      <c r="U30" t="n">
        <v>0</v>
      </c>
      <c r="V30" t="n">
        <v>0</v>
      </c>
      <c r="W30" t="inlineStr">
        <is>
          <t>SAESA</t>
        </is>
      </c>
      <c r="X30" t="n">
        <v>86.92321962113999</v>
      </c>
      <c r="Y30" t="n">
        <v>99.81440065841706</v>
      </c>
      <c r="Z30" t="n">
        <v>113554.494491942</v>
      </c>
      <c r="AA30" t="n">
        <v>0</v>
      </c>
      <c r="AB30" t="n">
        <v>0</v>
      </c>
      <c r="AC30" t="n">
        <v>0</v>
      </c>
      <c r="AD30" s="2" t="n">
        <v>44105</v>
      </c>
    </row>
    <row r="31">
      <c r="A31" t="n">
        <v>-1</v>
      </c>
      <c r="B31" t="inlineStr">
        <is>
          <t>01-10-2020</t>
        </is>
      </c>
      <c r="C31" t="n">
        <v>2020</v>
      </c>
      <c r="D31" t="n">
        <v>10</v>
      </c>
      <c r="E31" t="inlineStr">
        <is>
          <t>Los Lagos 13.8</t>
        </is>
      </c>
      <c r="F31" t="inlineStr">
        <is>
          <t>SAESA</t>
        </is>
      </c>
      <c r="G31" t="inlineStr">
        <is>
          <t>SAESA</t>
        </is>
      </c>
      <c r="H31" t="inlineStr">
        <is>
          <t>Empresa Eléctrica Carén S.A.</t>
        </is>
      </c>
      <c r="I31" t="inlineStr">
        <is>
          <t>Empresa Eléctrica Carén S.A.</t>
        </is>
      </c>
      <c r="J31" t="inlineStr">
        <is>
          <t>SIC 2013/03_2_BS1A_BB_Saesa_Empresa Eléctrica Carén S.A.</t>
        </is>
      </c>
      <c r="K31" t="inlineStr">
        <is>
          <t>Los Lagos 13.8</t>
        </is>
      </c>
      <c r="L31" t="inlineStr">
        <is>
          <t>-1</t>
        </is>
      </c>
      <c r="M31" t="n">
        <v>676.4979750587098</v>
      </c>
      <c r="N31" t="n">
        <v>0</v>
      </c>
      <c r="O31" t="inlineStr">
        <is>
          <t>6</t>
        </is>
      </c>
      <c r="P31" s="2" t="n">
        <v>44659.60028225694</v>
      </c>
      <c r="Q31" t="n">
        <v>15</v>
      </c>
      <c r="R31" t="inlineStr">
        <is>
          <t>BARRO BLANCO 220</t>
        </is>
      </c>
      <c r="S31" t="n">
        <v>182.4465644364192</v>
      </c>
      <c r="T31" t="n">
        <v>12699.95122203825</v>
      </c>
      <c r="U31" t="n">
        <v>0</v>
      </c>
      <c r="V31" t="n">
        <v>0</v>
      </c>
      <c r="W31" t="inlineStr">
        <is>
          <t>SAESA</t>
        </is>
      </c>
      <c r="X31" t="n">
        <v>79.19130285958499</v>
      </c>
      <c r="Y31" t="n">
        <v>12.69995122203825</v>
      </c>
      <c r="Z31" t="n">
        <v>14448.18113997526</v>
      </c>
      <c r="AA31" t="n">
        <v>0</v>
      </c>
      <c r="AB31" t="n">
        <v>0</v>
      </c>
      <c r="AC31" t="n">
        <v>0</v>
      </c>
      <c r="AD31" s="2" t="n">
        <v>44105</v>
      </c>
    </row>
    <row r="32">
      <c r="A32" t="n">
        <v>-1</v>
      </c>
      <c r="B32" t="inlineStr">
        <is>
          <t>01-10-2020</t>
        </is>
      </c>
      <c r="C32" t="n">
        <v>2020</v>
      </c>
      <c r="D32" t="n">
        <v>10</v>
      </c>
      <c r="E32" t="inlineStr">
        <is>
          <t>Los Lagos 13.8</t>
        </is>
      </c>
      <c r="F32" t="inlineStr">
        <is>
          <t>SAESA</t>
        </is>
      </c>
      <c r="G32" t="inlineStr">
        <is>
          <t>SAESA</t>
        </is>
      </c>
      <c r="H32" t="inlineStr">
        <is>
          <t>Empresa Eléctrica Carén S.A.</t>
        </is>
      </c>
      <c r="I32" t="inlineStr">
        <is>
          <t>Empresa Eléctrica Carén S.A.</t>
        </is>
      </c>
      <c r="J32" t="inlineStr">
        <is>
          <t>SIC 2013/03_2_BS1A_BB_Saesa_Empresa Eléctrica Carén S.A.</t>
        </is>
      </c>
      <c r="K32" t="inlineStr">
        <is>
          <t>Los Lagos 13.8</t>
        </is>
      </c>
      <c r="L32" t="inlineStr">
        <is>
          <t>-1</t>
        </is>
      </c>
      <c r="M32" t="n">
        <v>676.4979750587098</v>
      </c>
      <c r="N32" t="n">
        <v>0</v>
      </c>
      <c r="O32" t="inlineStr">
        <is>
          <t>6</t>
        </is>
      </c>
      <c r="P32" s="2" t="n">
        <v>44659.60028225694</v>
      </c>
      <c r="Q32" t="n">
        <v>6</v>
      </c>
      <c r="R32" t="inlineStr">
        <is>
          <t>MELIPULLI 220</t>
        </is>
      </c>
      <c r="S32" t="n">
        <v>2.549959982631064</v>
      </c>
      <c r="T32" t="n">
        <v>176.6822952276201</v>
      </c>
      <c r="U32" t="n">
        <v>0</v>
      </c>
      <c r="V32" t="n">
        <v>0</v>
      </c>
      <c r="W32" t="inlineStr">
        <is>
          <t>SAESA</t>
        </is>
      </c>
      <c r="X32" t="n">
        <v>78.82623657077399</v>
      </c>
      <c r="Y32" t="n">
        <v>0.1766822952276202</v>
      </c>
      <c r="Z32" t="n">
        <v>201.003748836883</v>
      </c>
      <c r="AA32" t="n">
        <v>0</v>
      </c>
      <c r="AB32" t="n">
        <v>0</v>
      </c>
      <c r="AC32" t="n">
        <v>0</v>
      </c>
      <c r="AD32" s="2" t="n">
        <v>44105</v>
      </c>
    </row>
    <row r="33">
      <c r="A33" t="n">
        <v>-1</v>
      </c>
      <c r="B33" t="inlineStr">
        <is>
          <t>01-10-2020</t>
        </is>
      </c>
      <c r="C33" t="n">
        <v>2020</v>
      </c>
      <c r="D33" t="n">
        <v>10</v>
      </c>
      <c r="E33" t="inlineStr">
        <is>
          <t>Los Lagos 13.8</t>
        </is>
      </c>
      <c r="F33" t="inlineStr">
        <is>
          <t>SAESA</t>
        </is>
      </c>
      <c r="G33" t="inlineStr">
        <is>
          <t>SAESA</t>
        </is>
      </c>
      <c r="H33" t="inlineStr">
        <is>
          <t>Empresa Eléctrica Carén S.A.</t>
        </is>
      </c>
      <c r="I33" t="inlineStr">
        <is>
          <t>Empresa Eléctrica Carén S.A.</t>
        </is>
      </c>
      <c r="J33" t="inlineStr">
        <is>
          <t>SIC 2013/03_2_BS1A_BB_Saesa_Empresa Eléctrica Carén S.A.</t>
        </is>
      </c>
      <c r="K33" t="inlineStr">
        <is>
          <t>Los Lagos 13.8</t>
        </is>
      </c>
      <c r="L33" t="inlineStr">
        <is>
          <t>-1</t>
        </is>
      </c>
      <c r="M33" t="n">
        <v>676.4979750587098</v>
      </c>
      <c r="N33" t="n">
        <v>0</v>
      </c>
      <c r="O33" t="inlineStr">
        <is>
          <t>6</t>
        </is>
      </c>
      <c r="P33" s="2" t="n">
        <v>44659.60028225694</v>
      </c>
      <c r="Q33" t="n">
        <v>17</v>
      </c>
      <c r="R33" t="inlineStr">
        <is>
          <t>VALDIVIA 220</t>
        </is>
      </c>
      <c r="S33" t="n">
        <v>502.7172248963155</v>
      </c>
      <c r="T33" t="n">
        <v>37918.13750387668</v>
      </c>
      <c r="U33" t="n">
        <v>0</v>
      </c>
      <c r="V33" t="n">
        <v>0</v>
      </c>
      <c r="W33" t="inlineStr">
        <is>
          <t>SAESA</t>
        </is>
      </c>
      <c r="X33" t="n">
        <v>85.809299390577</v>
      </c>
      <c r="Y33" t="n">
        <v>37.91813750387669</v>
      </c>
      <c r="Z33" t="n">
        <v>43137.81285992796</v>
      </c>
      <c r="AA33" t="n">
        <v>0</v>
      </c>
      <c r="AB33" t="n">
        <v>0</v>
      </c>
      <c r="AC33" t="n">
        <v>0</v>
      </c>
      <c r="AD33" s="2" t="n">
        <v>44105</v>
      </c>
    </row>
    <row r="34">
      <c r="A34" t="n">
        <v>-1</v>
      </c>
      <c r="B34" t="inlineStr">
        <is>
          <t>01-10-2020</t>
        </is>
      </c>
      <c r="C34" t="n">
        <v>2020</v>
      </c>
      <c r="D34" t="n">
        <v>10</v>
      </c>
      <c r="E34" t="inlineStr">
        <is>
          <t>Los Tambores 023</t>
        </is>
      </c>
      <c r="F34" t="inlineStr">
        <is>
          <t>SAESA</t>
        </is>
      </c>
      <c r="G34" t="inlineStr">
        <is>
          <t>SAESA</t>
        </is>
      </c>
      <c r="H34" t="inlineStr">
        <is>
          <t>Empresa Eléctrica Carén S.A.</t>
        </is>
      </c>
      <c r="I34" t="inlineStr">
        <is>
          <t>Empresa Eléctrica Carén S.A.</t>
        </is>
      </c>
      <c r="J34" t="inlineStr">
        <is>
          <t>SIC 2013/03_2_BS1A_BB_Saesa_Empresa Eléctrica Carén S.A.</t>
        </is>
      </c>
      <c r="K34" t="inlineStr">
        <is>
          <t>Los Tambores 023</t>
        </is>
      </c>
      <c r="L34" t="inlineStr">
        <is>
          <t>-1</t>
        </is>
      </c>
      <c r="M34" t="n">
        <v>1363.231597057109</v>
      </c>
      <c r="N34" t="n">
        <v>0</v>
      </c>
      <c r="O34" t="inlineStr">
        <is>
          <t>6</t>
        </is>
      </c>
      <c r="P34" s="2" t="n">
        <v>44659.60028225694</v>
      </c>
      <c r="Q34" t="n">
        <v>15</v>
      </c>
      <c r="R34" t="inlineStr">
        <is>
          <t>BARRO BLANCO 220</t>
        </is>
      </c>
      <c r="S34" t="n">
        <v>1351.979357010744</v>
      </c>
      <c r="T34" t="n">
        <v>94110.14090771048</v>
      </c>
      <c r="U34" t="n">
        <v>0</v>
      </c>
      <c r="V34" t="n">
        <v>0</v>
      </c>
      <c r="W34" t="inlineStr">
        <is>
          <t>SAESA</t>
        </is>
      </c>
      <c r="X34" t="n">
        <v>79.19130285958499</v>
      </c>
      <c r="Y34" t="n">
        <v>94.11014090771049</v>
      </c>
      <c r="Z34" t="n">
        <v>107065.0067209448</v>
      </c>
      <c r="AA34" t="n">
        <v>0</v>
      </c>
      <c r="AB34" t="n">
        <v>0</v>
      </c>
      <c r="AC34" t="n">
        <v>0</v>
      </c>
      <c r="AD34" s="2" t="n">
        <v>44105</v>
      </c>
    </row>
    <row r="35">
      <c r="A35" t="n">
        <v>-1</v>
      </c>
      <c r="B35" t="inlineStr">
        <is>
          <t>01-10-2020</t>
        </is>
      </c>
      <c r="C35" t="n">
        <v>2020</v>
      </c>
      <c r="D35" t="n">
        <v>10</v>
      </c>
      <c r="E35" t="inlineStr">
        <is>
          <t>Los Tambores 023</t>
        </is>
      </c>
      <c r="F35" t="inlineStr">
        <is>
          <t>SAESA</t>
        </is>
      </c>
      <c r="G35" t="inlineStr">
        <is>
          <t>SAESA</t>
        </is>
      </c>
      <c r="H35" t="inlineStr">
        <is>
          <t>Empresa Eléctrica Carén S.A.</t>
        </is>
      </c>
      <c r="I35" t="inlineStr">
        <is>
          <t>Empresa Eléctrica Carén S.A.</t>
        </is>
      </c>
      <c r="J35" t="inlineStr">
        <is>
          <t>SIC 2013/03_2_BS1A_BB_Saesa_Empresa Eléctrica Carén S.A.</t>
        </is>
      </c>
      <c r="K35" t="inlineStr">
        <is>
          <t>Los Tambores 023</t>
        </is>
      </c>
      <c r="L35" t="inlineStr">
        <is>
          <t>-1</t>
        </is>
      </c>
      <c r="M35" t="n">
        <v>1363.231597057109</v>
      </c>
      <c r="N35" t="n">
        <v>0</v>
      </c>
      <c r="O35" t="inlineStr">
        <is>
          <t>6</t>
        </is>
      </c>
      <c r="P35" s="2" t="n">
        <v>44659.60028225694</v>
      </c>
      <c r="Q35" t="n">
        <v>6</v>
      </c>
      <c r="R35" t="inlineStr">
        <is>
          <t>MELIPULLI 220</t>
        </is>
      </c>
      <c r="S35" t="n">
        <v>17.13749687809646</v>
      </c>
      <c r="T35" t="n">
        <v>1187.42737278334</v>
      </c>
      <c r="U35" t="n">
        <v>0</v>
      </c>
      <c r="V35" t="n">
        <v>0</v>
      </c>
      <c r="W35" t="inlineStr">
        <is>
          <t>SAESA</t>
        </is>
      </c>
      <c r="X35" t="n">
        <v>78.826236570774</v>
      </c>
      <c r="Y35" t="n">
        <v>1.18742737278334</v>
      </c>
      <c r="Z35" t="n">
        <v>1350.884383143732</v>
      </c>
      <c r="AA35" t="n">
        <v>0</v>
      </c>
      <c r="AB35" t="n">
        <v>0</v>
      </c>
      <c r="AC35" t="n">
        <v>0</v>
      </c>
      <c r="AD35" s="2" t="n">
        <v>44105</v>
      </c>
    </row>
    <row r="36">
      <c r="A36" t="n">
        <v>-1</v>
      </c>
      <c r="B36" t="inlineStr">
        <is>
          <t>01-10-2020</t>
        </is>
      </c>
      <c r="C36" t="n">
        <v>2020</v>
      </c>
      <c r="D36" t="n">
        <v>10</v>
      </c>
      <c r="E36" t="inlineStr">
        <is>
          <t>Los Tambores 023</t>
        </is>
      </c>
      <c r="F36" t="inlineStr">
        <is>
          <t>SAESA</t>
        </is>
      </c>
      <c r="G36" t="inlineStr">
        <is>
          <t>SAESA</t>
        </is>
      </c>
      <c r="H36" t="inlineStr">
        <is>
          <t>Empresa Eléctrica Carén S.A.</t>
        </is>
      </c>
      <c r="I36" t="inlineStr">
        <is>
          <t>Empresa Eléctrica Carén S.A.</t>
        </is>
      </c>
      <c r="J36" t="inlineStr">
        <is>
          <t>SIC 2013/03_2_BS1A_BB_Saesa_Empresa Eléctrica Carén S.A.</t>
        </is>
      </c>
      <c r="K36" t="inlineStr">
        <is>
          <t>Los Tambores 023</t>
        </is>
      </c>
      <c r="L36" t="inlineStr">
        <is>
          <t>-1</t>
        </is>
      </c>
      <c r="M36" t="n">
        <v>1363.231597057109</v>
      </c>
      <c r="N36" t="n">
        <v>0</v>
      </c>
      <c r="O36" t="inlineStr">
        <is>
          <t>6</t>
        </is>
      </c>
      <c r="P36" s="2" t="n">
        <v>44659.60028225694</v>
      </c>
      <c r="Q36" t="n">
        <v>17</v>
      </c>
      <c r="R36" t="inlineStr">
        <is>
          <t>VALDIVIA 220</t>
        </is>
      </c>
      <c r="S36" t="n">
        <v>16.71599020201852</v>
      </c>
      <c r="T36" t="n">
        <v>1260.826531504509</v>
      </c>
      <c r="U36" t="n">
        <v>0</v>
      </c>
      <c r="V36" t="n">
        <v>0</v>
      </c>
      <c r="W36" t="inlineStr">
        <is>
          <t>SAESA</t>
        </is>
      </c>
      <c r="X36" t="n">
        <v>85.80929939057698</v>
      </c>
      <c r="Y36" t="n">
        <v>1.260826531504509</v>
      </c>
      <c r="Z36" t="n">
        <v>1434.387407854959</v>
      </c>
      <c r="AA36" t="n">
        <v>0</v>
      </c>
      <c r="AB36" t="n">
        <v>0</v>
      </c>
      <c r="AC36" t="n">
        <v>0</v>
      </c>
      <c r="AD36" s="2" t="n">
        <v>44105</v>
      </c>
    </row>
    <row r="37">
      <c r="A37" t="n">
        <v>-1</v>
      </c>
      <c r="B37" t="inlineStr">
        <is>
          <t>01-10-2020</t>
        </is>
      </c>
      <c r="C37" t="n">
        <v>2020</v>
      </c>
      <c r="D37" t="n">
        <v>10</v>
      </c>
      <c r="E37" t="inlineStr">
        <is>
          <t>Mariquina 023</t>
        </is>
      </c>
      <c r="F37" t="inlineStr">
        <is>
          <t>SAESA</t>
        </is>
      </c>
      <c r="G37" t="inlineStr">
        <is>
          <t>SAESA</t>
        </is>
      </c>
      <c r="H37" t="inlineStr">
        <is>
          <t>Empresa Eléctrica Carén S.A.</t>
        </is>
      </c>
      <c r="I37" t="inlineStr">
        <is>
          <t>Empresa Eléctrica Carén S.A.</t>
        </is>
      </c>
      <c r="J37" t="inlineStr">
        <is>
          <t>SIC 2013/03_2_BS1A_BB_Saesa_Empresa Eléctrica Carén S.A.</t>
        </is>
      </c>
      <c r="K37" t="inlineStr">
        <is>
          <t>Mariquina 023</t>
        </is>
      </c>
      <c r="L37" t="inlineStr">
        <is>
          <t>-1</t>
        </is>
      </c>
      <c r="M37" t="n">
        <v>1147.198658386828</v>
      </c>
      <c r="N37" t="n">
        <v>0</v>
      </c>
      <c r="O37" t="inlineStr">
        <is>
          <t>6</t>
        </is>
      </c>
      <c r="P37" s="2" t="n">
        <v>44659.60028225694</v>
      </c>
      <c r="Q37" t="n">
        <v>1</v>
      </c>
      <c r="R37" t="inlineStr">
        <is>
          <t>LOS CIRUELOS 220</t>
        </is>
      </c>
      <c r="S37" t="n">
        <v>1166.218258820796</v>
      </c>
      <c r="T37" t="n">
        <v>85775.79935801681</v>
      </c>
      <c r="U37" t="n">
        <v>0</v>
      </c>
      <c r="V37" t="n">
        <v>0</v>
      </c>
      <c r="W37" t="inlineStr">
        <is>
          <t>SAESA</t>
        </is>
      </c>
      <c r="X37" t="n">
        <v>83.675065750101</v>
      </c>
      <c r="Y37" t="n">
        <v>85.77579935801683</v>
      </c>
      <c r="Z37" t="n">
        <v>97583.38948579843</v>
      </c>
      <c r="AA37" t="n">
        <v>0</v>
      </c>
      <c r="AB37" t="n">
        <v>0</v>
      </c>
      <c r="AC37" t="n">
        <v>0</v>
      </c>
      <c r="AD37" s="2" t="n">
        <v>44105</v>
      </c>
    </row>
    <row r="38">
      <c r="A38" t="n">
        <v>-1</v>
      </c>
      <c r="B38" t="inlineStr">
        <is>
          <t>01-10-2020</t>
        </is>
      </c>
      <c r="C38" t="n">
        <v>2020</v>
      </c>
      <c r="D38" t="n">
        <v>10</v>
      </c>
      <c r="E38" t="inlineStr">
        <is>
          <t>Melipulli 023</t>
        </is>
      </c>
      <c r="F38" t="inlineStr">
        <is>
          <t>SAESA</t>
        </is>
      </c>
      <c r="G38" t="inlineStr">
        <is>
          <t>SAESA</t>
        </is>
      </c>
      <c r="H38" t="inlineStr">
        <is>
          <t>Empresa Eléctrica Carén S.A.</t>
        </is>
      </c>
      <c r="I38" t="inlineStr">
        <is>
          <t>Empresa Eléctrica Carén S.A.</t>
        </is>
      </c>
      <c r="J38" t="inlineStr">
        <is>
          <t>SIC 2013/03_2_BS1A_BB_Saesa_Empresa Eléctrica Carén S.A.</t>
        </is>
      </c>
      <c r="K38" t="inlineStr">
        <is>
          <t>Melipulli 023</t>
        </is>
      </c>
      <c r="L38" t="inlineStr">
        <is>
          <t>-1</t>
        </is>
      </c>
      <c r="M38" t="n">
        <v>16744.29176185928</v>
      </c>
      <c r="N38" t="n">
        <v>0</v>
      </c>
      <c r="O38" t="inlineStr">
        <is>
          <t>6</t>
        </is>
      </c>
      <c r="P38" s="2" t="n">
        <v>44659.60028225694</v>
      </c>
      <c r="Q38" t="n">
        <v>6</v>
      </c>
      <c r="R38" t="inlineStr">
        <is>
          <t>MELIPULLI 220</t>
        </is>
      </c>
      <c r="S38" t="n">
        <v>17021.89820476445</v>
      </c>
      <c r="T38" t="n">
        <v>1179417.741624936</v>
      </c>
      <c r="U38" t="n">
        <v>0</v>
      </c>
      <c r="V38" t="n">
        <v>0</v>
      </c>
      <c r="W38" t="inlineStr">
        <is>
          <t>SAESA</t>
        </is>
      </c>
      <c r="X38" t="n">
        <v>78.826236570774</v>
      </c>
      <c r="Y38" t="n">
        <v>1179.417741624936</v>
      </c>
      <c r="Z38" t="n">
        <v>1341772.174772396</v>
      </c>
      <c r="AA38" t="n">
        <v>0</v>
      </c>
      <c r="AB38" t="n">
        <v>0</v>
      </c>
      <c r="AC38" t="n">
        <v>0</v>
      </c>
      <c r="AD38" s="2" t="n">
        <v>44105</v>
      </c>
    </row>
    <row r="39">
      <c r="A39" t="n">
        <v>-1</v>
      </c>
      <c r="B39" t="inlineStr">
        <is>
          <t>01-10-2020</t>
        </is>
      </c>
      <c r="C39" t="n">
        <v>2020</v>
      </c>
      <c r="D39" t="n">
        <v>10</v>
      </c>
      <c r="E39" t="inlineStr">
        <is>
          <t>Osorno 13.8</t>
        </is>
      </c>
      <c r="F39" t="inlineStr">
        <is>
          <t>SAESA</t>
        </is>
      </c>
      <c r="G39" t="inlineStr">
        <is>
          <t>SAESA</t>
        </is>
      </c>
      <c r="H39" t="inlineStr">
        <is>
          <t>Empresa Eléctrica Carén S.A.</t>
        </is>
      </c>
      <c r="I39" t="inlineStr">
        <is>
          <t>Empresa Eléctrica Carén S.A.</t>
        </is>
      </c>
      <c r="J39" t="inlineStr">
        <is>
          <t>SIC 2013/03_2_BS1A_BB_Saesa_Empresa Eléctrica Carén S.A.</t>
        </is>
      </c>
      <c r="K39" t="inlineStr">
        <is>
          <t>Osorno 13.8</t>
        </is>
      </c>
      <c r="L39" t="inlineStr">
        <is>
          <t>-1</t>
        </is>
      </c>
      <c r="M39" t="n">
        <v>7377.775380258329</v>
      </c>
      <c r="N39" t="n">
        <v>0</v>
      </c>
      <c r="O39" t="inlineStr">
        <is>
          <t>6</t>
        </is>
      </c>
      <c r="P39" s="2" t="n">
        <v>44659.60028225694</v>
      </c>
      <c r="Q39" t="n">
        <v>15</v>
      </c>
      <c r="R39" t="inlineStr">
        <is>
          <t>BARRO BLANCO 220</t>
        </is>
      </c>
      <c r="S39" t="n">
        <v>7373.583610034243</v>
      </c>
      <c r="T39" t="n">
        <v>513268.9259911479</v>
      </c>
      <c r="U39" t="n">
        <v>0</v>
      </c>
      <c r="V39" t="n">
        <v>0</v>
      </c>
      <c r="W39" t="inlineStr">
        <is>
          <t>SAESA</t>
        </is>
      </c>
      <c r="X39" t="n">
        <v>79.19130285958498</v>
      </c>
      <c r="Y39" t="n">
        <v>513.2689259911479</v>
      </c>
      <c r="Z39" t="n">
        <v>583923.6928226938</v>
      </c>
      <c r="AA39" t="n">
        <v>0</v>
      </c>
      <c r="AB39" t="n">
        <v>0</v>
      </c>
      <c r="AC39" t="n">
        <v>0</v>
      </c>
      <c r="AD39" s="2" t="n">
        <v>44105</v>
      </c>
    </row>
    <row r="40">
      <c r="A40" t="n">
        <v>-1</v>
      </c>
      <c r="B40" t="inlineStr">
        <is>
          <t>01-10-2020</t>
        </is>
      </c>
      <c r="C40" t="n">
        <v>2020</v>
      </c>
      <c r="D40" t="n">
        <v>10</v>
      </c>
      <c r="E40" t="inlineStr">
        <is>
          <t>Osorno 13.8</t>
        </is>
      </c>
      <c r="F40" t="inlineStr">
        <is>
          <t>SAESA</t>
        </is>
      </c>
      <c r="G40" t="inlineStr">
        <is>
          <t>SAESA</t>
        </is>
      </c>
      <c r="H40" t="inlineStr">
        <is>
          <t>Empresa Eléctrica Carén S.A.</t>
        </is>
      </c>
      <c r="I40" t="inlineStr">
        <is>
          <t>Empresa Eléctrica Carén S.A.</t>
        </is>
      </c>
      <c r="J40" t="inlineStr">
        <is>
          <t>SIC 2013/03_2_BS1A_BB_Saesa_Empresa Eléctrica Carén S.A.</t>
        </is>
      </c>
      <c r="K40" t="inlineStr">
        <is>
          <t>Osorno 13.8</t>
        </is>
      </c>
      <c r="L40" t="inlineStr">
        <is>
          <t>-1</t>
        </is>
      </c>
      <c r="M40" t="n">
        <v>7377.775380258329</v>
      </c>
      <c r="N40" t="n">
        <v>0</v>
      </c>
      <c r="O40" t="inlineStr">
        <is>
          <t>6</t>
        </is>
      </c>
      <c r="P40" s="2" t="n">
        <v>44659.60028225694</v>
      </c>
      <c r="Q40" t="n">
        <v>6</v>
      </c>
      <c r="R40" t="inlineStr">
        <is>
          <t>MELIPULLI 220</t>
        </is>
      </c>
      <c r="S40" t="n">
        <v>91.52888562128844</v>
      </c>
      <c r="T40" t="n">
        <v>6341.877402526794</v>
      </c>
      <c r="U40" t="n">
        <v>0</v>
      </c>
      <c r="V40" t="n">
        <v>0</v>
      </c>
      <c r="W40" t="inlineStr">
        <is>
          <t>SAESA</t>
        </is>
      </c>
      <c r="X40" t="n">
        <v>78.826236570774</v>
      </c>
      <c r="Y40" t="n">
        <v>6.341877402526794</v>
      </c>
      <c r="Z40" t="n">
        <v>7214.877591042997</v>
      </c>
      <c r="AA40" t="n">
        <v>0</v>
      </c>
      <c r="AB40" t="n">
        <v>0</v>
      </c>
      <c r="AC40" t="n">
        <v>0</v>
      </c>
      <c r="AD40" s="2" t="n">
        <v>44105</v>
      </c>
    </row>
    <row r="41">
      <c r="A41" t="n">
        <v>-1</v>
      </c>
      <c r="B41" t="inlineStr">
        <is>
          <t>01-10-2020</t>
        </is>
      </c>
      <c r="C41" t="n">
        <v>2020</v>
      </c>
      <c r="D41" t="n">
        <v>10</v>
      </c>
      <c r="E41" t="inlineStr">
        <is>
          <t>Osorno 13.8</t>
        </is>
      </c>
      <c r="F41" t="inlineStr">
        <is>
          <t>SAESA</t>
        </is>
      </c>
      <c r="G41" t="inlineStr">
        <is>
          <t>SAESA</t>
        </is>
      </c>
      <c r="H41" t="inlineStr">
        <is>
          <t>Empresa Eléctrica Carén S.A.</t>
        </is>
      </c>
      <c r="I41" t="inlineStr">
        <is>
          <t>Empresa Eléctrica Carén S.A.</t>
        </is>
      </c>
      <c r="J41" t="inlineStr">
        <is>
          <t>SIC 2013/03_2_BS1A_BB_Saesa_Empresa Eléctrica Carén S.A.</t>
        </is>
      </c>
      <c r="K41" t="inlineStr">
        <is>
          <t>Osorno 13.8</t>
        </is>
      </c>
      <c r="L41" t="inlineStr">
        <is>
          <t>-1</t>
        </is>
      </c>
      <c r="M41" t="n">
        <v>7377.775380258329</v>
      </c>
      <c r="N41" t="n">
        <v>0</v>
      </c>
      <c r="O41" t="inlineStr">
        <is>
          <t>6</t>
        </is>
      </c>
      <c r="P41" s="2" t="n">
        <v>44659.60028225694</v>
      </c>
      <c r="Q41" t="n">
        <v>17</v>
      </c>
      <c r="R41" t="inlineStr">
        <is>
          <t>VALDIVIA 220</t>
        </is>
      </c>
      <c r="S41" t="n">
        <v>34.98026947613683</v>
      </c>
      <c r="T41" t="n">
        <v>2638.43489387574</v>
      </c>
      <c r="U41" t="n">
        <v>0</v>
      </c>
      <c r="V41" t="n">
        <v>0</v>
      </c>
      <c r="W41" t="inlineStr">
        <is>
          <t>SAESA</t>
        </is>
      </c>
      <c r="X41" t="n">
        <v>85.809299390577</v>
      </c>
      <c r="Y41" t="n">
        <v>2.63843489387574</v>
      </c>
      <c r="Z41" t="n">
        <v>3001.632416240887</v>
      </c>
      <c r="AA41" t="n">
        <v>0</v>
      </c>
      <c r="AB41" t="n">
        <v>0</v>
      </c>
      <c r="AC41" t="n">
        <v>0</v>
      </c>
      <c r="AD41" s="2" t="n">
        <v>44105</v>
      </c>
    </row>
    <row r="42">
      <c r="A42" t="n">
        <v>-1</v>
      </c>
      <c r="B42" t="inlineStr">
        <is>
          <t>01-10-2020</t>
        </is>
      </c>
      <c r="C42" t="n">
        <v>2020</v>
      </c>
      <c r="D42" t="n">
        <v>10</v>
      </c>
      <c r="E42" t="inlineStr">
        <is>
          <t>Panguipulli 023</t>
        </is>
      </c>
      <c r="F42" t="inlineStr">
        <is>
          <t>SAESA</t>
        </is>
      </c>
      <c r="G42" t="inlineStr">
        <is>
          <t>SAESA</t>
        </is>
      </c>
      <c r="H42" t="inlineStr">
        <is>
          <t>Empresa Eléctrica Carén S.A.</t>
        </is>
      </c>
      <c r="I42" t="inlineStr">
        <is>
          <t>Empresa Eléctrica Carén S.A.</t>
        </is>
      </c>
      <c r="J42" t="inlineStr">
        <is>
          <t>SIC 2013/03_2_BS1A_BB_Saesa_Empresa Eléctrica Carén S.A.</t>
        </is>
      </c>
      <c r="K42" t="inlineStr">
        <is>
          <t>Panguipulli 023</t>
        </is>
      </c>
      <c r="L42" t="inlineStr">
        <is>
          <t>-1</t>
        </is>
      </c>
      <c r="M42" t="n">
        <v>2539.829551480614</v>
      </c>
      <c r="N42" t="n">
        <v>0</v>
      </c>
      <c r="O42" t="inlineStr">
        <is>
          <t>6</t>
        </is>
      </c>
      <c r="P42" s="2" t="n">
        <v>44659.60028225694</v>
      </c>
      <c r="Q42" t="n">
        <v>15</v>
      </c>
      <c r="R42" t="inlineStr">
        <is>
          <t>BARRO BLANCO 220</t>
        </is>
      </c>
      <c r="S42" t="n">
        <v>678.3528773206937</v>
      </c>
      <c r="T42" t="n">
        <v>47219.5707269915</v>
      </c>
      <c r="U42" t="n">
        <v>0</v>
      </c>
      <c r="V42" t="n">
        <v>0</v>
      </c>
      <c r="W42" t="inlineStr">
        <is>
          <t>SAESA</t>
        </is>
      </c>
      <c r="X42" t="n">
        <v>79.19130285958498</v>
      </c>
      <c r="Y42" t="n">
        <v>47.2195707269915</v>
      </c>
      <c r="Z42" t="n">
        <v>53719.64815357395</v>
      </c>
      <c r="AA42" t="n">
        <v>0</v>
      </c>
      <c r="AB42" t="n">
        <v>0</v>
      </c>
      <c r="AC42" t="n">
        <v>0</v>
      </c>
      <c r="AD42" s="2" t="n">
        <v>44105</v>
      </c>
    </row>
    <row r="43">
      <c r="A43" t="n">
        <v>-1</v>
      </c>
      <c r="B43" t="inlineStr">
        <is>
          <t>01-10-2020</t>
        </is>
      </c>
      <c r="C43" t="n">
        <v>2020</v>
      </c>
      <c r="D43" t="n">
        <v>10</v>
      </c>
      <c r="E43" t="inlineStr">
        <is>
          <t>Panguipulli 023</t>
        </is>
      </c>
      <c r="F43" t="inlineStr">
        <is>
          <t>SAESA</t>
        </is>
      </c>
      <c r="G43" t="inlineStr">
        <is>
          <t>SAESA</t>
        </is>
      </c>
      <c r="H43" t="inlineStr">
        <is>
          <t>Empresa Eléctrica Carén S.A.</t>
        </is>
      </c>
      <c r="I43" t="inlineStr">
        <is>
          <t>Empresa Eléctrica Carén S.A.</t>
        </is>
      </c>
      <c r="J43" t="inlineStr">
        <is>
          <t>SIC 2013/03_2_BS1A_BB_Saesa_Empresa Eléctrica Carén S.A.</t>
        </is>
      </c>
      <c r="K43" t="inlineStr">
        <is>
          <t>Panguipulli 023</t>
        </is>
      </c>
      <c r="L43" t="inlineStr">
        <is>
          <t>-1</t>
        </is>
      </c>
      <c r="M43" t="n">
        <v>2539.829551480614</v>
      </c>
      <c r="N43" t="n">
        <v>0</v>
      </c>
      <c r="O43" t="inlineStr">
        <is>
          <t>6</t>
        </is>
      </c>
      <c r="P43" s="2" t="n">
        <v>44659.60028225694</v>
      </c>
      <c r="Q43" t="n">
        <v>6</v>
      </c>
      <c r="R43" t="inlineStr">
        <is>
          <t>MELIPULLI 220</t>
        </is>
      </c>
      <c r="S43" t="n">
        <v>10.49959662813504</v>
      </c>
      <c r="T43" t="n">
        <v>727.498801494518</v>
      </c>
      <c r="U43" t="n">
        <v>0</v>
      </c>
      <c r="V43" t="n">
        <v>0</v>
      </c>
      <c r="W43" t="inlineStr">
        <is>
          <t>SAESA</t>
        </is>
      </c>
      <c r="X43" t="n">
        <v>78.826236570774</v>
      </c>
      <c r="Y43" t="n">
        <v>0.7274988014945182</v>
      </c>
      <c r="Z43" t="n">
        <v>827.643687707074</v>
      </c>
      <c r="AA43" t="n">
        <v>0</v>
      </c>
      <c r="AB43" t="n">
        <v>0</v>
      </c>
      <c r="AC43" t="n">
        <v>0</v>
      </c>
      <c r="AD43" s="2" t="n">
        <v>44105</v>
      </c>
    </row>
    <row r="44">
      <c r="A44" t="n">
        <v>-1</v>
      </c>
      <c r="B44" t="inlineStr">
        <is>
          <t>01-10-2020</t>
        </is>
      </c>
      <c r="C44" t="n">
        <v>2020</v>
      </c>
      <c r="D44" t="n">
        <v>10</v>
      </c>
      <c r="E44" t="inlineStr">
        <is>
          <t>Panguipulli 023</t>
        </is>
      </c>
      <c r="F44" t="inlineStr">
        <is>
          <t>SAESA</t>
        </is>
      </c>
      <c r="G44" t="inlineStr">
        <is>
          <t>SAESA</t>
        </is>
      </c>
      <c r="H44" t="inlineStr">
        <is>
          <t>Empresa Eléctrica Carén S.A.</t>
        </is>
      </c>
      <c r="I44" t="inlineStr">
        <is>
          <t>Empresa Eléctrica Carén S.A.</t>
        </is>
      </c>
      <c r="J44" t="inlineStr">
        <is>
          <t>SIC 2013/03_2_BS1A_BB_Saesa_Empresa Eléctrica Carén S.A.</t>
        </is>
      </c>
      <c r="K44" t="inlineStr">
        <is>
          <t>Panguipulli 023</t>
        </is>
      </c>
      <c r="L44" t="inlineStr">
        <is>
          <t>-1</t>
        </is>
      </c>
      <c r="M44" t="n">
        <v>2539.829551480614</v>
      </c>
      <c r="N44" t="n">
        <v>0</v>
      </c>
      <c r="O44" t="inlineStr">
        <is>
          <t>6</t>
        </is>
      </c>
      <c r="P44" s="2" t="n">
        <v>44659.60028225694</v>
      </c>
      <c r="Q44" t="n">
        <v>17</v>
      </c>
      <c r="R44" t="inlineStr">
        <is>
          <t>VALDIVIA 220</t>
        </is>
      </c>
      <c r="S44" t="n">
        <v>1893.085340896979</v>
      </c>
      <c r="T44" t="n">
        <v>142788.5632474794</v>
      </c>
      <c r="U44" t="n">
        <v>0</v>
      </c>
      <c r="V44" t="n">
        <v>0</v>
      </c>
      <c r="W44" t="inlineStr">
        <is>
          <t>SAESA</t>
        </is>
      </c>
      <c r="X44" t="n">
        <v>85.809299390577</v>
      </c>
      <c r="Y44" t="n">
        <v>142.7885632474794</v>
      </c>
      <c r="Z44" t="n">
        <v>162444.3267889413</v>
      </c>
      <c r="AA44" t="n">
        <v>0</v>
      </c>
      <c r="AB44" t="n">
        <v>0</v>
      </c>
      <c r="AC44" t="n">
        <v>0</v>
      </c>
      <c r="AD44" s="2" t="n">
        <v>44105</v>
      </c>
    </row>
    <row r="45">
      <c r="A45" t="n">
        <v>-1</v>
      </c>
      <c r="B45" t="inlineStr">
        <is>
          <t>01-10-2020</t>
        </is>
      </c>
      <c r="C45" t="n">
        <v>2020</v>
      </c>
      <c r="D45" t="n">
        <v>10</v>
      </c>
      <c r="E45" t="inlineStr">
        <is>
          <t>Pargua 23</t>
        </is>
      </c>
      <c r="F45" t="inlineStr">
        <is>
          <t>SAESA</t>
        </is>
      </c>
      <c r="G45" t="inlineStr">
        <is>
          <t>SAESA</t>
        </is>
      </c>
      <c r="H45" t="inlineStr">
        <is>
          <t>Empresa Eléctrica Carén S.A.</t>
        </is>
      </c>
      <c r="I45" t="inlineStr">
        <is>
          <t>Empresa Eléctrica Carén S.A.</t>
        </is>
      </c>
      <c r="J45" t="inlineStr">
        <is>
          <t>SIC 2013/03_2_BS1A_BB_Saesa_Empresa Eléctrica Carén S.A.</t>
        </is>
      </c>
      <c r="K45" t="inlineStr">
        <is>
          <t>Pargua 23</t>
        </is>
      </c>
      <c r="L45" t="inlineStr">
        <is>
          <t>-1</t>
        </is>
      </c>
      <c r="M45" t="n">
        <v>208.1425983505664</v>
      </c>
      <c r="N45" t="n">
        <v>0</v>
      </c>
      <c r="O45" t="inlineStr">
        <is>
          <t>6</t>
        </is>
      </c>
      <c r="P45" s="2" t="n">
        <v>44659.60028225694</v>
      </c>
      <c r="Q45" t="n">
        <v>24</v>
      </c>
      <c r="R45" t="inlineStr">
        <is>
          <t>CHILOE 220</t>
        </is>
      </c>
      <c r="S45" t="n">
        <v>0.06681014435337621</v>
      </c>
      <c r="T45" t="n">
        <v>4.664890323642053</v>
      </c>
      <c r="U45" t="n">
        <v>0</v>
      </c>
      <c r="V45" t="n">
        <v>0</v>
      </c>
      <c r="W45" t="inlineStr">
        <is>
          <t>SAESA</t>
        </is>
      </c>
      <c r="X45" t="n">
        <v>79.43468035948199</v>
      </c>
      <c r="Y45" t="n">
        <v>0.004664890323642054</v>
      </c>
      <c r="Z45" t="n">
        <v>5.30704246148129</v>
      </c>
      <c r="AA45" t="n">
        <v>0</v>
      </c>
      <c r="AB45" t="n">
        <v>0</v>
      </c>
      <c r="AC45" t="n">
        <v>0</v>
      </c>
      <c r="AD45" s="2" t="n">
        <v>44105</v>
      </c>
    </row>
    <row r="46">
      <c r="A46" t="n">
        <v>-1</v>
      </c>
      <c r="B46" t="inlineStr">
        <is>
          <t>01-10-2020</t>
        </is>
      </c>
      <c r="C46" t="n">
        <v>2020</v>
      </c>
      <c r="D46" t="n">
        <v>10</v>
      </c>
      <c r="E46" t="inlineStr">
        <is>
          <t>Pargua 23</t>
        </is>
      </c>
      <c r="F46" t="inlineStr">
        <is>
          <t>SAESA</t>
        </is>
      </c>
      <c r="G46" t="inlineStr">
        <is>
          <t>SAESA</t>
        </is>
      </c>
      <c r="H46" t="inlineStr">
        <is>
          <t>Empresa Eléctrica Carén S.A.</t>
        </is>
      </c>
      <c r="I46" t="inlineStr">
        <is>
          <t>Empresa Eléctrica Carén S.A.</t>
        </is>
      </c>
      <c r="J46" t="inlineStr">
        <is>
          <t>SIC 2013/03_2_BS1A_BB_Saesa_Empresa Eléctrica Carén S.A.</t>
        </is>
      </c>
      <c r="K46" t="inlineStr">
        <is>
          <t>Pargua 23</t>
        </is>
      </c>
      <c r="L46" t="inlineStr">
        <is>
          <t>-1</t>
        </is>
      </c>
      <c r="M46" t="n">
        <v>208.1425983505664</v>
      </c>
      <c r="N46" t="n">
        <v>0</v>
      </c>
      <c r="O46" t="inlineStr">
        <is>
          <t>6</t>
        </is>
      </c>
      <c r="P46" s="2" t="n">
        <v>44659.60028225694</v>
      </c>
      <c r="Q46" t="n">
        <v>6</v>
      </c>
      <c r="R46" t="inlineStr">
        <is>
          <t>MELIPULLI 220</t>
        </is>
      </c>
      <c r="S46" t="n">
        <v>211.5266195203661</v>
      </c>
      <c r="T46" t="n">
        <v>14656.31182181773</v>
      </c>
      <c r="U46" t="n">
        <v>0</v>
      </c>
      <c r="V46" t="n">
        <v>0</v>
      </c>
      <c r="W46" t="inlineStr">
        <is>
          <t>SAESA</t>
        </is>
      </c>
      <c r="X46" t="n">
        <v>78.826236570774</v>
      </c>
      <c r="Y46" t="n">
        <v>14.65631182181773</v>
      </c>
      <c r="Z46" t="n">
        <v>16673.84735132848</v>
      </c>
      <c r="AA46" t="n">
        <v>0</v>
      </c>
      <c r="AB46" t="n">
        <v>0</v>
      </c>
      <c r="AC46" t="n">
        <v>0</v>
      </c>
      <c r="AD46" s="2" t="n">
        <v>44105</v>
      </c>
    </row>
    <row r="47">
      <c r="A47" t="n">
        <v>-1</v>
      </c>
      <c r="B47" t="inlineStr">
        <is>
          <t>01-10-2020</t>
        </is>
      </c>
      <c r="C47" t="n">
        <v>2020</v>
      </c>
      <c r="D47" t="n">
        <v>10</v>
      </c>
      <c r="E47" t="inlineStr">
        <is>
          <t>Picarte 13.8</t>
        </is>
      </c>
      <c r="F47" t="inlineStr">
        <is>
          <t>SAESA</t>
        </is>
      </c>
      <c r="G47" t="inlineStr">
        <is>
          <t>SAESA</t>
        </is>
      </c>
      <c r="H47" t="inlineStr">
        <is>
          <t>Empresa Eléctrica Carén S.A.</t>
        </is>
      </c>
      <c r="I47" t="inlineStr">
        <is>
          <t>Empresa Eléctrica Carén S.A.</t>
        </is>
      </c>
      <c r="J47" t="inlineStr">
        <is>
          <t>SIC 2013/03_2_BS1A_BB_Saesa_Empresa Eléctrica Carén S.A.</t>
        </is>
      </c>
      <c r="K47" t="inlineStr">
        <is>
          <t>Picarte 13.8</t>
        </is>
      </c>
      <c r="L47" t="inlineStr">
        <is>
          <t>-1</t>
        </is>
      </c>
      <c r="M47" t="n">
        <v>8782.921791001798</v>
      </c>
      <c r="N47" t="n">
        <v>0</v>
      </c>
      <c r="O47" t="inlineStr">
        <is>
          <t>6</t>
        </is>
      </c>
      <c r="P47" s="2" t="n">
        <v>44659.60028225694</v>
      </c>
      <c r="Q47" t="n">
        <v>15</v>
      </c>
      <c r="R47" t="inlineStr">
        <is>
          <t>BARRO BLANCO 220</t>
        </is>
      </c>
      <c r="S47" t="n">
        <v>750.3041815676132</v>
      </c>
      <c r="T47" t="n">
        <v>52228.0402321345</v>
      </c>
      <c r="U47" t="n">
        <v>0</v>
      </c>
      <c r="V47" t="n">
        <v>0</v>
      </c>
      <c r="W47" t="inlineStr">
        <is>
          <t>SAESA</t>
        </is>
      </c>
      <c r="X47" t="n">
        <v>79.19130285958501</v>
      </c>
      <c r="Y47" t="n">
        <v>52.22804023213451</v>
      </c>
      <c r="Z47" t="n">
        <v>59417.56567933391</v>
      </c>
      <c r="AA47" t="n">
        <v>0</v>
      </c>
      <c r="AB47" t="n">
        <v>0</v>
      </c>
      <c r="AC47" t="n">
        <v>0</v>
      </c>
      <c r="AD47" s="2" t="n">
        <v>44105</v>
      </c>
    </row>
    <row r="48">
      <c r="A48" t="n">
        <v>-1</v>
      </c>
      <c r="B48" t="inlineStr">
        <is>
          <t>01-10-2020</t>
        </is>
      </c>
      <c r="C48" t="n">
        <v>2020</v>
      </c>
      <c r="D48" t="n">
        <v>10</v>
      </c>
      <c r="E48" t="inlineStr">
        <is>
          <t>Picarte 13.8</t>
        </is>
      </c>
      <c r="F48" t="inlineStr">
        <is>
          <t>SAESA</t>
        </is>
      </c>
      <c r="G48" t="inlineStr">
        <is>
          <t>SAESA</t>
        </is>
      </c>
      <c r="H48" t="inlineStr">
        <is>
          <t>Empresa Eléctrica Carén S.A.</t>
        </is>
      </c>
      <c r="I48" t="inlineStr">
        <is>
          <t>Empresa Eléctrica Carén S.A.</t>
        </is>
      </c>
      <c r="J48" t="inlineStr">
        <is>
          <t>SIC 2013/03_2_BS1A_BB_Saesa_Empresa Eléctrica Carén S.A.</t>
        </is>
      </c>
      <c r="K48" t="inlineStr">
        <is>
          <t>Picarte 13.8</t>
        </is>
      </c>
      <c r="L48" t="inlineStr">
        <is>
          <t>-1</t>
        </is>
      </c>
      <c r="M48" t="n">
        <v>8782.921791001798</v>
      </c>
      <c r="N48" t="n">
        <v>0</v>
      </c>
      <c r="O48" t="inlineStr">
        <is>
          <t>6</t>
        </is>
      </c>
      <c r="P48" s="2" t="n">
        <v>44659.60028225694</v>
      </c>
      <c r="Q48" t="n">
        <v>6</v>
      </c>
      <c r="R48" t="inlineStr">
        <is>
          <t>MELIPULLI 220</t>
        </is>
      </c>
      <c r="S48" t="n">
        <v>14.12809180482232</v>
      </c>
      <c r="T48" t="n">
        <v>978.9109257655722</v>
      </c>
      <c r="U48" t="n">
        <v>0</v>
      </c>
      <c r="V48" t="n">
        <v>0</v>
      </c>
      <c r="W48" t="inlineStr">
        <is>
          <t>SAESA</t>
        </is>
      </c>
      <c r="X48" t="n">
        <v>78.82623657077399</v>
      </c>
      <c r="Y48" t="n">
        <v>0.9789109257655721</v>
      </c>
      <c r="Z48" t="n">
        <v>1113.664306900537</v>
      </c>
      <c r="AA48" t="n">
        <v>0</v>
      </c>
      <c r="AB48" t="n">
        <v>0</v>
      </c>
      <c r="AC48" t="n">
        <v>0</v>
      </c>
      <c r="AD48" s="2" t="n">
        <v>44105</v>
      </c>
    </row>
    <row r="49">
      <c r="A49" t="n">
        <v>-1</v>
      </c>
      <c r="B49" t="inlineStr">
        <is>
          <t>01-10-2020</t>
        </is>
      </c>
      <c r="C49" t="n">
        <v>2020</v>
      </c>
      <c r="D49" t="n">
        <v>10</v>
      </c>
      <c r="E49" t="inlineStr">
        <is>
          <t>Picarte 13.8</t>
        </is>
      </c>
      <c r="F49" t="inlineStr">
        <is>
          <t>SAESA</t>
        </is>
      </c>
      <c r="G49" t="inlineStr">
        <is>
          <t>SAESA</t>
        </is>
      </c>
      <c r="H49" t="inlineStr">
        <is>
          <t>Empresa Eléctrica Carén S.A.</t>
        </is>
      </c>
      <c r="I49" t="inlineStr">
        <is>
          <t>Empresa Eléctrica Carén S.A.</t>
        </is>
      </c>
      <c r="J49" t="inlineStr">
        <is>
          <t>SIC 2013/03_2_BS1A_BB_Saesa_Empresa Eléctrica Carén S.A.</t>
        </is>
      </c>
      <c r="K49" t="inlineStr">
        <is>
          <t>Picarte 13.8</t>
        </is>
      </c>
      <c r="L49" t="inlineStr">
        <is>
          <t>-1</t>
        </is>
      </c>
      <c r="M49" t="n">
        <v>8782.921791001798</v>
      </c>
      <c r="N49" t="n">
        <v>0</v>
      </c>
      <c r="O49" t="inlineStr">
        <is>
          <t>6</t>
        </is>
      </c>
      <c r="P49" s="2" t="n">
        <v>44659.60028225694</v>
      </c>
      <c r="Q49" t="n">
        <v>17</v>
      </c>
      <c r="R49" t="inlineStr">
        <is>
          <t>VALDIVIA 220</t>
        </is>
      </c>
      <c r="S49" t="n">
        <v>8164.10306231616</v>
      </c>
      <c r="T49" t="n">
        <v>615788.6922943062</v>
      </c>
      <c r="U49" t="n">
        <v>0</v>
      </c>
      <c r="V49" t="n">
        <v>0</v>
      </c>
      <c r="W49" t="inlineStr">
        <is>
          <t>SAESA</t>
        </is>
      </c>
      <c r="X49" t="n">
        <v>85.80929939057698</v>
      </c>
      <c r="Y49" t="n">
        <v>615.7886922943063</v>
      </c>
      <c r="Z49" t="n">
        <v>700555.9639298137</v>
      </c>
      <c r="AA49" t="n">
        <v>0</v>
      </c>
      <c r="AB49" t="n">
        <v>0</v>
      </c>
      <c r="AC49" t="n">
        <v>0</v>
      </c>
      <c r="AD49" s="2" t="n">
        <v>44105</v>
      </c>
    </row>
    <row r="50">
      <c r="A50" t="n">
        <v>-1</v>
      </c>
      <c r="B50" t="inlineStr">
        <is>
          <t>01-10-2020</t>
        </is>
      </c>
      <c r="C50" t="n">
        <v>2020</v>
      </c>
      <c r="D50" t="n">
        <v>10</v>
      </c>
      <c r="E50" t="inlineStr">
        <is>
          <t>Pichil 023</t>
        </is>
      </c>
      <c r="F50" t="inlineStr">
        <is>
          <t>SAESA</t>
        </is>
      </c>
      <c r="G50" t="inlineStr">
        <is>
          <t>SAESA</t>
        </is>
      </c>
      <c r="H50" t="inlineStr">
        <is>
          <t>Empresa Eléctrica Carén S.A.</t>
        </is>
      </c>
      <c r="I50" t="inlineStr">
        <is>
          <t>Empresa Eléctrica Carén S.A.</t>
        </is>
      </c>
      <c r="J50" t="inlineStr">
        <is>
          <t>SIC 2013/03_2_BS1A_BB_Saesa_Empresa Eléctrica Carén S.A.</t>
        </is>
      </c>
      <c r="K50" t="inlineStr">
        <is>
          <t>Pichil 023</t>
        </is>
      </c>
      <c r="L50" t="inlineStr">
        <is>
          <t>-1</t>
        </is>
      </c>
      <c r="M50" t="n">
        <v>246.8054068545461</v>
      </c>
      <c r="N50" t="n">
        <v>0</v>
      </c>
      <c r="O50" t="inlineStr">
        <is>
          <t>6</t>
        </is>
      </c>
      <c r="P50" s="2" t="n">
        <v>44659.60028225694</v>
      </c>
      <c r="Q50" t="n">
        <v>15</v>
      </c>
      <c r="R50" t="inlineStr">
        <is>
          <t>BARRO BLANCO 220</t>
        </is>
      </c>
      <c r="S50" t="n">
        <v>245.4056728285891</v>
      </c>
      <c r="T50" t="n">
        <v>17082.48157021711</v>
      </c>
      <c r="U50" t="n">
        <v>0</v>
      </c>
      <c r="V50" t="n">
        <v>0</v>
      </c>
      <c r="W50" t="inlineStr">
        <is>
          <t>SAESA</t>
        </is>
      </c>
      <c r="X50" t="n">
        <v>79.19130285958499</v>
      </c>
      <c r="Y50" t="n">
        <v>17.08248157021711</v>
      </c>
      <c r="Z50" t="n">
        <v>19433.99496042903</v>
      </c>
      <c r="AA50" t="n">
        <v>0</v>
      </c>
      <c r="AB50" t="n">
        <v>0</v>
      </c>
      <c r="AC50" t="n">
        <v>0</v>
      </c>
      <c r="AD50" s="2" t="n">
        <v>44105</v>
      </c>
    </row>
    <row r="51">
      <c r="A51" t="n">
        <v>-1</v>
      </c>
      <c r="B51" t="inlineStr">
        <is>
          <t>01-10-2020</t>
        </is>
      </c>
      <c r="C51" t="n">
        <v>2020</v>
      </c>
      <c r="D51" t="n">
        <v>10</v>
      </c>
      <c r="E51" t="inlineStr">
        <is>
          <t>Pichil 023</t>
        </is>
      </c>
      <c r="F51" t="inlineStr">
        <is>
          <t>SAESA</t>
        </is>
      </c>
      <c r="G51" t="inlineStr">
        <is>
          <t>SAESA</t>
        </is>
      </c>
      <c r="H51" t="inlineStr">
        <is>
          <t>Empresa Eléctrica Carén S.A.</t>
        </is>
      </c>
      <c r="I51" t="inlineStr">
        <is>
          <t>Empresa Eléctrica Carén S.A.</t>
        </is>
      </c>
      <c r="J51" t="inlineStr">
        <is>
          <t>SIC 2013/03_2_BS1A_BB_Saesa_Empresa Eléctrica Carén S.A.</t>
        </is>
      </c>
      <c r="K51" t="inlineStr">
        <is>
          <t>Pichil 023</t>
        </is>
      </c>
      <c r="L51" t="inlineStr">
        <is>
          <t>-1</t>
        </is>
      </c>
      <c r="M51" t="n">
        <v>246.8054068545461</v>
      </c>
      <c r="N51" t="n">
        <v>0</v>
      </c>
      <c r="O51" t="inlineStr">
        <is>
          <t>6</t>
        </is>
      </c>
      <c r="P51" s="2" t="n">
        <v>44659.60028225694</v>
      </c>
      <c r="Q51" t="n">
        <v>6</v>
      </c>
      <c r="R51" t="inlineStr">
        <is>
          <t>MELIPULLI 220</t>
        </is>
      </c>
      <c r="S51" t="n">
        <v>4.455632606620595</v>
      </c>
      <c r="T51" t="n">
        <v>308.723039181376</v>
      </c>
      <c r="U51" t="n">
        <v>0</v>
      </c>
      <c r="V51" t="n">
        <v>0</v>
      </c>
      <c r="W51" t="inlineStr">
        <is>
          <t>SAESA</t>
        </is>
      </c>
      <c r="X51" t="n">
        <v>78.826236570774</v>
      </c>
      <c r="Y51" t="n">
        <v>0.3087230391813759</v>
      </c>
      <c r="Z51" t="n">
        <v>351.2207499219294</v>
      </c>
      <c r="AA51" t="n">
        <v>0</v>
      </c>
      <c r="AB51" t="n">
        <v>0</v>
      </c>
      <c r="AC51" t="n">
        <v>0</v>
      </c>
      <c r="AD51" s="2" t="n">
        <v>44105</v>
      </c>
    </row>
    <row r="52">
      <c r="A52" t="n">
        <v>-1</v>
      </c>
      <c r="B52" t="inlineStr">
        <is>
          <t>01-10-2020</t>
        </is>
      </c>
      <c r="C52" t="n">
        <v>2020</v>
      </c>
      <c r="D52" t="n">
        <v>10</v>
      </c>
      <c r="E52" t="inlineStr">
        <is>
          <t>Pichil 023</t>
        </is>
      </c>
      <c r="F52" t="inlineStr">
        <is>
          <t>SAESA</t>
        </is>
      </c>
      <c r="G52" t="inlineStr">
        <is>
          <t>SAESA</t>
        </is>
      </c>
      <c r="H52" t="inlineStr">
        <is>
          <t>Empresa Eléctrica Carén S.A.</t>
        </is>
      </c>
      <c r="I52" t="inlineStr">
        <is>
          <t>Empresa Eléctrica Carén S.A.</t>
        </is>
      </c>
      <c r="J52" t="inlineStr">
        <is>
          <t>SIC 2013/03_2_BS1A_BB_Saesa_Empresa Eléctrica Carén S.A.</t>
        </is>
      </c>
      <c r="K52" t="inlineStr">
        <is>
          <t>Pichil 023</t>
        </is>
      </c>
      <c r="L52" t="inlineStr">
        <is>
          <t>-1</t>
        </is>
      </c>
      <c r="M52" t="n">
        <v>246.8054068545461</v>
      </c>
      <c r="N52" t="n">
        <v>0</v>
      </c>
      <c r="O52" t="inlineStr">
        <is>
          <t>6</t>
        </is>
      </c>
      <c r="P52" s="2" t="n">
        <v>44659.60028225694</v>
      </c>
      <c r="Q52" t="n">
        <v>17</v>
      </c>
      <c r="R52" t="inlineStr">
        <is>
          <t>VALDIVIA 220</t>
        </is>
      </c>
      <c r="S52" t="n">
        <v>1.035929969691618</v>
      </c>
      <c r="T52" t="n">
        <v>78.13644150198974</v>
      </c>
      <c r="U52" t="n">
        <v>0</v>
      </c>
      <c r="V52" t="n">
        <v>0</v>
      </c>
      <c r="W52" t="inlineStr">
        <is>
          <t>SAESA</t>
        </is>
      </c>
      <c r="X52" t="n">
        <v>85.80929939057698</v>
      </c>
      <c r="Y52" t="n">
        <v>0.07813644150198973</v>
      </c>
      <c r="Z52" t="n">
        <v>88.8924249169394</v>
      </c>
      <c r="AA52" t="n">
        <v>0</v>
      </c>
      <c r="AB52" t="n">
        <v>0</v>
      </c>
      <c r="AC52" t="n">
        <v>0</v>
      </c>
      <c r="AD52" s="2" t="n">
        <v>44105</v>
      </c>
    </row>
    <row r="53">
      <c r="A53" t="n">
        <v>-1</v>
      </c>
      <c r="B53" t="inlineStr">
        <is>
          <t>01-10-2020</t>
        </is>
      </c>
      <c r="C53" t="n">
        <v>2020</v>
      </c>
      <c r="D53" t="n">
        <v>10</v>
      </c>
      <c r="E53" t="inlineStr">
        <is>
          <t>Pichirropulli 13.8</t>
        </is>
      </c>
      <c r="F53" t="inlineStr">
        <is>
          <t>SAESA</t>
        </is>
      </c>
      <c r="G53" t="inlineStr">
        <is>
          <t>SAESA</t>
        </is>
      </c>
      <c r="H53" t="inlineStr">
        <is>
          <t>Empresa Eléctrica Carén S.A.</t>
        </is>
      </c>
      <c r="I53" t="inlineStr">
        <is>
          <t>Empresa Eléctrica Carén S.A.</t>
        </is>
      </c>
      <c r="J53" t="inlineStr">
        <is>
          <t>SIC 2013/03_2_BS1A_BB_Saesa_Empresa Eléctrica Carén S.A.</t>
        </is>
      </c>
      <c r="K53" t="inlineStr">
        <is>
          <t>Pichirropulli 13.8</t>
        </is>
      </c>
      <c r="L53" t="inlineStr">
        <is>
          <t>-1</t>
        </is>
      </c>
      <c r="M53" t="n">
        <v>1526.930956817358</v>
      </c>
      <c r="N53" t="n">
        <v>0</v>
      </c>
      <c r="O53" t="inlineStr">
        <is>
          <t>6</t>
        </is>
      </c>
      <c r="P53" s="2" t="n">
        <v>44659.60028225694</v>
      </c>
      <c r="Q53" t="n">
        <v>15</v>
      </c>
      <c r="R53" t="inlineStr">
        <is>
          <t>BARRO BLANCO 220</t>
        </is>
      </c>
      <c r="S53" t="n">
        <v>1388.731627680125</v>
      </c>
      <c r="T53" t="n">
        <v>96668.43542118678</v>
      </c>
      <c r="U53" t="n">
        <v>0</v>
      </c>
      <c r="V53" t="n">
        <v>0</v>
      </c>
      <c r="W53" t="inlineStr">
        <is>
          <t>SAESA</t>
        </is>
      </c>
      <c r="X53" t="n">
        <v>79.19130285958498</v>
      </c>
      <c r="Y53" t="n">
        <v>96.66843542118677</v>
      </c>
      <c r="Z53" t="n">
        <v>109975.4669183012</v>
      </c>
      <c r="AA53" t="n">
        <v>0</v>
      </c>
      <c r="AB53" t="n">
        <v>0</v>
      </c>
      <c r="AC53" t="n">
        <v>0</v>
      </c>
      <c r="AD53" s="2" t="n">
        <v>44105</v>
      </c>
    </row>
    <row r="54">
      <c r="A54" t="n">
        <v>-1</v>
      </c>
      <c r="B54" t="inlineStr">
        <is>
          <t>01-10-2020</t>
        </is>
      </c>
      <c r="C54" t="n">
        <v>2020</v>
      </c>
      <c r="D54" t="n">
        <v>10</v>
      </c>
      <c r="E54" t="inlineStr">
        <is>
          <t>Pichirropulli 13.8</t>
        </is>
      </c>
      <c r="F54" t="inlineStr">
        <is>
          <t>SAESA</t>
        </is>
      </c>
      <c r="G54" t="inlineStr">
        <is>
          <t>SAESA</t>
        </is>
      </c>
      <c r="H54" t="inlineStr">
        <is>
          <t>Empresa Eléctrica Carén S.A.</t>
        </is>
      </c>
      <c r="I54" t="inlineStr">
        <is>
          <t>Empresa Eléctrica Carén S.A.</t>
        </is>
      </c>
      <c r="J54" t="inlineStr">
        <is>
          <t>SIC 2013/03_2_BS1A_BB_Saesa_Empresa Eléctrica Carén S.A.</t>
        </is>
      </c>
      <c r="K54" t="inlineStr">
        <is>
          <t>Pichirropulli 13.8</t>
        </is>
      </c>
      <c r="L54" t="inlineStr">
        <is>
          <t>-1</t>
        </is>
      </c>
      <c r="M54" t="n">
        <v>1526.930956817358</v>
      </c>
      <c r="N54" t="n">
        <v>0</v>
      </c>
      <c r="O54" t="inlineStr">
        <is>
          <t>6</t>
        </is>
      </c>
      <c r="P54" s="2" t="n">
        <v>44659.60028225694</v>
      </c>
      <c r="Q54" t="n">
        <v>6</v>
      </c>
      <c r="R54" t="inlineStr">
        <is>
          <t>MELIPULLI 220</t>
        </is>
      </c>
      <c r="S54" t="n">
        <v>17.30743363489512</v>
      </c>
      <c r="T54" t="n">
        <v>1199.201995302611</v>
      </c>
      <c r="U54" t="n">
        <v>0</v>
      </c>
      <c r="V54" t="n">
        <v>0</v>
      </c>
      <c r="W54" t="inlineStr">
        <is>
          <t>SAESA</t>
        </is>
      </c>
      <c r="X54" t="n">
        <v>78.82623657077399</v>
      </c>
      <c r="Y54" t="n">
        <v>1.199201995302611</v>
      </c>
      <c r="Z54" t="n">
        <v>1364.279858137214</v>
      </c>
      <c r="AA54" t="n">
        <v>0</v>
      </c>
      <c r="AB54" t="n">
        <v>0</v>
      </c>
      <c r="AC54" t="n">
        <v>0</v>
      </c>
      <c r="AD54" s="2" t="n">
        <v>44105</v>
      </c>
    </row>
    <row r="55">
      <c r="A55" t="n">
        <v>-1</v>
      </c>
      <c r="B55" t="inlineStr">
        <is>
          <t>01-10-2020</t>
        </is>
      </c>
      <c r="C55" t="n">
        <v>2020</v>
      </c>
      <c r="D55" t="n">
        <v>10</v>
      </c>
      <c r="E55" t="inlineStr">
        <is>
          <t>Pichirropulli 13.8</t>
        </is>
      </c>
      <c r="F55" t="inlineStr">
        <is>
          <t>SAESA</t>
        </is>
      </c>
      <c r="G55" t="inlineStr">
        <is>
          <t>SAESA</t>
        </is>
      </c>
      <c r="H55" t="inlineStr">
        <is>
          <t>Empresa Eléctrica Carén S.A.</t>
        </is>
      </c>
      <c r="I55" t="inlineStr">
        <is>
          <t>Empresa Eléctrica Carén S.A.</t>
        </is>
      </c>
      <c r="J55" t="inlineStr">
        <is>
          <t>SIC 2013/03_2_BS1A_BB_Saesa_Empresa Eléctrica Carén S.A.</t>
        </is>
      </c>
      <c r="K55" t="inlineStr">
        <is>
          <t>Pichirropulli 13.8</t>
        </is>
      </c>
      <c r="L55" t="inlineStr">
        <is>
          <t>-1</t>
        </is>
      </c>
      <c r="M55" t="n">
        <v>1526.930956817358</v>
      </c>
      <c r="N55" t="n">
        <v>0</v>
      </c>
      <c r="O55" t="inlineStr">
        <is>
          <t>6</t>
        </is>
      </c>
      <c r="P55" s="2" t="n">
        <v>44659.60028225694</v>
      </c>
      <c r="Q55" t="n">
        <v>17</v>
      </c>
      <c r="R55" t="inlineStr">
        <is>
          <t>VALDIVIA 220</t>
        </is>
      </c>
      <c r="S55" t="n">
        <v>146.2071418867444</v>
      </c>
      <c r="T55" t="n">
        <v>11027.87458944499</v>
      </c>
      <c r="U55" t="n">
        <v>0</v>
      </c>
      <c r="V55" t="n">
        <v>0</v>
      </c>
      <c r="W55" t="inlineStr">
        <is>
          <t>SAESA</t>
        </is>
      </c>
      <c r="X55" t="n">
        <v>85.80929939057698</v>
      </c>
      <c r="Y55" t="n">
        <v>11.02787458944499</v>
      </c>
      <c r="Z55" t="n">
        <v>12545.93241120022</v>
      </c>
      <c r="AA55" t="n">
        <v>0</v>
      </c>
      <c r="AB55" t="n">
        <v>0</v>
      </c>
      <c r="AC55" t="n">
        <v>0</v>
      </c>
      <c r="AD55" s="2" t="n">
        <v>44105</v>
      </c>
    </row>
    <row r="56">
      <c r="A56" t="n">
        <v>-1</v>
      </c>
      <c r="B56" t="inlineStr">
        <is>
          <t>01-10-2020</t>
        </is>
      </c>
      <c r="C56" t="n">
        <v>2020</v>
      </c>
      <c r="D56" t="n">
        <v>10</v>
      </c>
      <c r="E56" t="inlineStr">
        <is>
          <t>Pid Pid 023</t>
        </is>
      </c>
      <c r="F56" t="inlineStr">
        <is>
          <t>SAESA</t>
        </is>
      </c>
      <c r="G56" t="inlineStr">
        <is>
          <t>SAESA</t>
        </is>
      </c>
      <c r="H56" t="inlineStr">
        <is>
          <t>Empresa Eléctrica Carén S.A.</t>
        </is>
      </c>
      <c r="I56" t="inlineStr">
        <is>
          <t>Empresa Eléctrica Carén S.A.</t>
        </is>
      </c>
      <c r="J56" t="inlineStr">
        <is>
          <t>SIC 2013/03_2_BS1A_BB_Saesa_Empresa Eléctrica Carén S.A.</t>
        </is>
      </c>
      <c r="K56" t="inlineStr">
        <is>
          <t>Pid Pid 023</t>
        </is>
      </c>
      <c r="L56" t="inlineStr">
        <is>
          <t>-1</t>
        </is>
      </c>
      <c r="M56" t="n">
        <v>1155.249649450622</v>
      </c>
      <c r="N56" t="n">
        <v>0</v>
      </c>
      <c r="O56" t="inlineStr">
        <is>
          <t>6</t>
        </is>
      </c>
      <c r="P56" s="2" t="n">
        <v>44659.60028225694</v>
      </c>
      <c r="Q56" t="n">
        <v>24</v>
      </c>
      <c r="R56" t="inlineStr">
        <is>
          <t>CHILOE 220</t>
        </is>
      </c>
      <c r="S56" t="n">
        <v>1174.402728626055</v>
      </c>
      <c r="T56" t="n">
        <v>82000.42041294671</v>
      </c>
      <c r="U56" t="n">
        <v>0</v>
      </c>
      <c r="V56" t="n">
        <v>0</v>
      </c>
      <c r="W56" t="inlineStr">
        <is>
          <t>SAESA</t>
        </is>
      </c>
      <c r="X56" t="n">
        <v>79.434680359482</v>
      </c>
      <c r="Y56" t="n">
        <v>82.00042041294671</v>
      </c>
      <c r="Z56" t="n">
        <v>93288.30536171413</v>
      </c>
      <c r="AA56" t="n">
        <v>0</v>
      </c>
      <c r="AB56" t="n">
        <v>0</v>
      </c>
      <c r="AC56" t="n">
        <v>0</v>
      </c>
      <c r="AD56" s="2" t="n">
        <v>44105</v>
      </c>
    </row>
    <row r="57">
      <c r="A57" t="n">
        <v>-1</v>
      </c>
      <c r="B57" t="inlineStr">
        <is>
          <t>01-10-2020</t>
        </is>
      </c>
      <c r="C57" t="n">
        <v>2020</v>
      </c>
      <c r="D57" t="n">
        <v>10</v>
      </c>
      <c r="E57" t="inlineStr">
        <is>
          <t>pilmaiquen 13.8</t>
        </is>
      </c>
      <c r="F57" t="inlineStr">
        <is>
          <t>SAESA</t>
        </is>
      </c>
      <c r="G57" t="inlineStr">
        <is>
          <t>SAESA</t>
        </is>
      </c>
      <c r="H57" t="inlineStr">
        <is>
          <t>Empresa Eléctrica Carén S.A.</t>
        </is>
      </c>
      <c r="I57" t="inlineStr">
        <is>
          <t>Empresa Eléctrica Carén S.A.</t>
        </is>
      </c>
      <c r="J57" t="inlineStr">
        <is>
          <t>SIC 2013/03_2_BS1A_BB_Saesa_Empresa Eléctrica Carén S.A.</t>
        </is>
      </c>
      <c r="K57" t="inlineStr">
        <is>
          <t>pilmaiquen 13.8</t>
        </is>
      </c>
      <c r="L57" t="inlineStr">
        <is>
          <t>-1</t>
        </is>
      </c>
      <c r="M57" t="n">
        <v>0</v>
      </c>
      <c r="N57" t="n">
        <v>0</v>
      </c>
      <c r="O57" t="inlineStr">
        <is>
          <t>6</t>
        </is>
      </c>
      <c r="P57" s="2" t="n">
        <v>44659.60028225694</v>
      </c>
      <c r="Q57" t="n">
        <v>15</v>
      </c>
      <c r="R57" t="inlineStr">
        <is>
          <t>BARRO BLANCO 220</t>
        </is>
      </c>
      <c r="S57" t="n">
        <v>0</v>
      </c>
      <c r="T57" t="n">
        <v>0</v>
      </c>
      <c r="U57" t="n">
        <v>0</v>
      </c>
      <c r="V57" t="n">
        <v>0</v>
      </c>
      <c r="W57" t="inlineStr">
        <is>
          <t>SAESA</t>
        </is>
      </c>
      <c r="X57" t="n">
        <v>0</v>
      </c>
      <c r="Y57" t="n">
        <v>0</v>
      </c>
      <c r="Z57" t="n">
        <v>0</v>
      </c>
      <c r="AA57" t="n">
        <v>0</v>
      </c>
      <c r="AB57" t="n">
        <v>0</v>
      </c>
      <c r="AC57" t="n">
        <v>0</v>
      </c>
      <c r="AD57" s="2" t="n">
        <v>44105</v>
      </c>
    </row>
    <row r="58">
      <c r="A58" t="n">
        <v>-1</v>
      </c>
      <c r="B58" t="inlineStr">
        <is>
          <t>01-10-2020</t>
        </is>
      </c>
      <c r="C58" t="n">
        <v>2020</v>
      </c>
      <c r="D58" t="n">
        <v>10</v>
      </c>
      <c r="E58" t="inlineStr">
        <is>
          <t>pilmaiquen 13.8</t>
        </is>
      </c>
      <c r="F58" t="inlineStr">
        <is>
          <t>SAESA</t>
        </is>
      </c>
      <c r="G58" t="inlineStr">
        <is>
          <t>SAESA</t>
        </is>
      </c>
      <c r="H58" t="inlineStr">
        <is>
          <t>Empresa Eléctrica Carén S.A.</t>
        </is>
      </c>
      <c r="I58" t="inlineStr">
        <is>
          <t>Empresa Eléctrica Carén S.A.</t>
        </is>
      </c>
      <c r="J58" t="inlineStr">
        <is>
          <t>SIC 2013/03_2_BS1A_BB_Saesa_Empresa Eléctrica Carén S.A.</t>
        </is>
      </c>
      <c r="K58" t="inlineStr">
        <is>
          <t>pilmaiquen 13.8</t>
        </is>
      </c>
      <c r="L58" t="inlineStr">
        <is>
          <t>-1</t>
        </is>
      </c>
      <c r="M58" t="n">
        <v>0</v>
      </c>
      <c r="N58" t="n">
        <v>0</v>
      </c>
      <c r="O58" t="inlineStr">
        <is>
          <t>6</t>
        </is>
      </c>
      <c r="P58" s="2" t="n">
        <v>44659.60028225694</v>
      </c>
      <c r="Q58" t="n">
        <v>6</v>
      </c>
      <c r="R58" t="inlineStr">
        <is>
          <t>MELIPULLI 220</t>
        </is>
      </c>
      <c r="S58" t="n">
        <v>0</v>
      </c>
      <c r="T58" t="n">
        <v>0</v>
      </c>
      <c r="U58" t="n">
        <v>0</v>
      </c>
      <c r="V58" t="n">
        <v>0</v>
      </c>
      <c r="W58" t="inlineStr">
        <is>
          <t>SAESA</t>
        </is>
      </c>
      <c r="X58" t="n">
        <v>0</v>
      </c>
      <c r="Y58" t="n">
        <v>0</v>
      </c>
      <c r="Z58" t="n">
        <v>0</v>
      </c>
      <c r="AA58" t="n">
        <v>0</v>
      </c>
      <c r="AB58" t="n">
        <v>0</v>
      </c>
      <c r="AC58" t="n">
        <v>0</v>
      </c>
      <c r="AD58" s="2" t="n">
        <v>44105</v>
      </c>
    </row>
    <row r="59">
      <c r="A59" t="n">
        <v>-1</v>
      </c>
      <c r="B59" t="inlineStr">
        <is>
          <t>01-10-2020</t>
        </is>
      </c>
      <c r="C59" t="n">
        <v>2020</v>
      </c>
      <c r="D59" t="n">
        <v>10</v>
      </c>
      <c r="E59" t="inlineStr">
        <is>
          <t>pilmaiquen 13.8</t>
        </is>
      </c>
      <c r="F59" t="inlineStr">
        <is>
          <t>SAESA</t>
        </is>
      </c>
      <c r="G59" t="inlineStr">
        <is>
          <t>SAESA</t>
        </is>
      </c>
      <c r="H59" t="inlineStr">
        <is>
          <t>Empresa Eléctrica Carén S.A.</t>
        </is>
      </c>
      <c r="I59" t="inlineStr">
        <is>
          <t>Empresa Eléctrica Carén S.A.</t>
        </is>
      </c>
      <c r="J59" t="inlineStr">
        <is>
          <t>SIC 2013/03_2_BS1A_BB_Saesa_Empresa Eléctrica Carén S.A.</t>
        </is>
      </c>
      <c r="K59" t="inlineStr">
        <is>
          <t>pilmaiquen 13.8</t>
        </is>
      </c>
      <c r="L59" t="inlineStr">
        <is>
          <t>-1</t>
        </is>
      </c>
      <c r="M59" t="n">
        <v>0</v>
      </c>
      <c r="N59" t="n">
        <v>0</v>
      </c>
      <c r="O59" t="inlineStr">
        <is>
          <t>6</t>
        </is>
      </c>
      <c r="P59" s="2" t="n">
        <v>44659.60028225694</v>
      </c>
      <c r="Q59" t="n">
        <v>17</v>
      </c>
      <c r="R59" t="inlineStr">
        <is>
          <t>VALDIVIA 220</t>
        </is>
      </c>
      <c r="S59" t="n">
        <v>0</v>
      </c>
      <c r="T59" t="n">
        <v>0</v>
      </c>
      <c r="U59" t="n">
        <v>0</v>
      </c>
      <c r="V59" t="n">
        <v>0</v>
      </c>
      <c r="W59" t="inlineStr">
        <is>
          <t>SAESA</t>
        </is>
      </c>
      <c r="X59" t="n">
        <v>0</v>
      </c>
      <c r="Y59" t="n">
        <v>0</v>
      </c>
      <c r="Z59" t="n">
        <v>0</v>
      </c>
      <c r="AA59" t="n">
        <v>0</v>
      </c>
      <c r="AB59" t="n">
        <v>0</v>
      </c>
      <c r="AC59" t="n">
        <v>0</v>
      </c>
      <c r="AD59" s="2" t="n">
        <v>44105</v>
      </c>
    </row>
    <row r="60">
      <c r="A60" t="n">
        <v>-1</v>
      </c>
      <c r="B60" t="inlineStr">
        <is>
          <t>01-10-2020</t>
        </is>
      </c>
      <c r="C60" t="n">
        <v>2020</v>
      </c>
      <c r="D60" t="n">
        <v>10</v>
      </c>
      <c r="E60" t="inlineStr">
        <is>
          <t>Puerto Varas 13.8</t>
        </is>
      </c>
      <c r="F60" t="inlineStr">
        <is>
          <t>SAESA</t>
        </is>
      </c>
      <c r="G60" t="inlineStr">
        <is>
          <t>SAESA</t>
        </is>
      </c>
      <c r="H60" t="inlineStr">
        <is>
          <t>Empresa Eléctrica Carén S.A.</t>
        </is>
      </c>
      <c r="I60" t="inlineStr">
        <is>
          <t>Empresa Eléctrica Carén S.A.</t>
        </is>
      </c>
      <c r="J60" t="inlineStr">
        <is>
          <t>SIC 2013/03_2_BS1A_BB_Saesa_Empresa Eléctrica Carén S.A.</t>
        </is>
      </c>
      <c r="K60" t="inlineStr">
        <is>
          <t>Puerto Varas 13.8</t>
        </is>
      </c>
      <c r="L60" t="inlineStr">
        <is>
          <t>-1</t>
        </is>
      </c>
      <c r="M60" t="n">
        <v>3262.16566082704</v>
      </c>
      <c r="N60" t="n">
        <v>0</v>
      </c>
      <c r="O60" t="inlineStr">
        <is>
          <t>6</t>
        </is>
      </c>
      <c r="P60" s="2" t="n">
        <v>44659.60028225694</v>
      </c>
      <c r="Q60" t="n">
        <v>15</v>
      </c>
      <c r="R60" t="inlineStr">
        <is>
          <t>BARRO BLANCO 220</t>
        </is>
      </c>
      <c r="S60" t="n">
        <v>266.714500102769</v>
      </c>
      <c r="T60" t="n">
        <v>18565.77103536477</v>
      </c>
      <c r="U60" t="n">
        <v>0</v>
      </c>
      <c r="V60" t="n">
        <v>0</v>
      </c>
      <c r="W60" t="inlineStr">
        <is>
          <t>SAESA</t>
        </is>
      </c>
      <c r="X60" t="n">
        <v>79.19130285958499</v>
      </c>
      <c r="Y60" t="n">
        <v>18.56577103536477</v>
      </c>
      <c r="Z60" t="n">
        <v>21121.46875468119</v>
      </c>
      <c r="AA60" t="n">
        <v>0</v>
      </c>
      <c r="AB60" t="n">
        <v>0</v>
      </c>
      <c r="AC60" t="n">
        <v>0</v>
      </c>
      <c r="AD60" s="2" t="n">
        <v>44105</v>
      </c>
    </row>
    <row r="61">
      <c r="A61" t="n">
        <v>-1</v>
      </c>
      <c r="B61" t="inlineStr">
        <is>
          <t>01-10-2020</t>
        </is>
      </c>
      <c r="C61" t="n">
        <v>2020</v>
      </c>
      <c r="D61" t="n">
        <v>10</v>
      </c>
      <c r="E61" t="inlineStr">
        <is>
          <t>Puerto Varas 13.8</t>
        </is>
      </c>
      <c r="F61" t="inlineStr">
        <is>
          <t>SAESA</t>
        </is>
      </c>
      <c r="G61" t="inlineStr">
        <is>
          <t>SAESA</t>
        </is>
      </c>
      <c r="H61" t="inlineStr">
        <is>
          <t>Empresa Eléctrica Carén S.A.</t>
        </is>
      </c>
      <c r="I61" t="inlineStr">
        <is>
          <t>Empresa Eléctrica Carén S.A.</t>
        </is>
      </c>
      <c r="J61" t="inlineStr">
        <is>
          <t>SIC 2013/03_2_BS1A_BB_Saesa_Empresa Eléctrica Carén S.A.</t>
        </is>
      </c>
      <c r="K61" t="inlineStr">
        <is>
          <t>Puerto Varas 13.8</t>
        </is>
      </c>
      <c r="L61" t="inlineStr">
        <is>
          <t>-1</t>
        </is>
      </c>
      <c r="M61" t="n">
        <v>3262.16566082704</v>
      </c>
      <c r="N61" t="n">
        <v>0</v>
      </c>
      <c r="O61" t="inlineStr">
        <is>
          <t>6</t>
        </is>
      </c>
      <c r="P61" s="2" t="n">
        <v>44659.60028225694</v>
      </c>
      <c r="Q61" t="n">
        <v>6</v>
      </c>
      <c r="R61" t="inlineStr">
        <is>
          <t>MELIPULLI 220</t>
        </is>
      </c>
      <c r="S61" t="n">
        <v>3049.53515652112</v>
      </c>
      <c r="T61" t="n">
        <v>211296.9907376881</v>
      </c>
      <c r="U61" t="n">
        <v>0</v>
      </c>
      <c r="V61" t="n">
        <v>0</v>
      </c>
      <c r="W61" t="inlineStr">
        <is>
          <t>SAESA</t>
        </is>
      </c>
      <c r="X61" t="n">
        <v>78.82623657077399</v>
      </c>
      <c r="Y61" t="n">
        <v>211.2969907376882</v>
      </c>
      <c r="Z61" t="n">
        <v>240383.3796788261</v>
      </c>
      <c r="AA61" t="n">
        <v>0</v>
      </c>
      <c r="AB61" t="n">
        <v>0</v>
      </c>
      <c r="AC61" t="n">
        <v>0</v>
      </c>
      <c r="AD61" s="2" t="n">
        <v>44105</v>
      </c>
    </row>
    <row r="62">
      <c r="A62" t="n">
        <v>-1</v>
      </c>
      <c r="B62" t="inlineStr">
        <is>
          <t>01-10-2020</t>
        </is>
      </c>
      <c r="C62" t="n">
        <v>2020</v>
      </c>
      <c r="D62" t="n">
        <v>10</v>
      </c>
      <c r="E62" t="inlineStr">
        <is>
          <t>Pullinque 023</t>
        </is>
      </c>
      <c r="F62" t="inlineStr">
        <is>
          <t>SAESA</t>
        </is>
      </c>
      <c r="G62" t="inlineStr">
        <is>
          <t>SAESA</t>
        </is>
      </c>
      <c r="H62" t="inlineStr">
        <is>
          <t>Empresa Eléctrica Carén S.A.</t>
        </is>
      </c>
      <c r="I62" t="inlineStr">
        <is>
          <t>Empresa Eléctrica Carén S.A.</t>
        </is>
      </c>
      <c r="J62" t="inlineStr">
        <is>
          <t>SIC 2013/03_2_BS1A_BB_Saesa_Empresa Eléctrica Carén S.A.</t>
        </is>
      </c>
      <c r="K62" t="inlineStr">
        <is>
          <t>Pullinque 023</t>
        </is>
      </c>
      <c r="L62" t="inlineStr">
        <is>
          <t>-1</t>
        </is>
      </c>
      <c r="M62" t="n">
        <v>630.1307879386892</v>
      </c>
      <c r="N62" t="n">
        <v>0</v>
      </c>
      <c r="O62" t="inlineStr">
        <is>
          <t>6</t>
        </is>
      </c>
      <c r="P62" s="2" t="n">
        <v>44659.60028225694</v>
      </c>
      <c r="Q62" t="n">
        <v>15</v>
      </c>
      <c r="R62" t="inlineStr">
        <is>
          <t>BARRO BLANCO 220</t>
        </is>
      </c>
      <c r="S62" t="n">
        <v>169.3597385091376</v>
      </c>
      <c r="T62" t="n">
        <v>11788.98832481307</v>
      </c>
      <c r="U62" t="n">
        <v>0</v>
      </c>
      <c r="V62" t="n">
        <v>0</v>
      </c>
      <c r="W62" t="inlineStr">
        <is>
          <t>SAESA</t>
        </is>
      </c>
      <c r="X62" t="n">
        <v>79.19130285958499</v>
      </c>
      <c r="Y62" t="n">
        <v>11.78898832481307</v>
      </c>
      <c r="Z62" t="n">
        <v>13411.81834449723</v>
      </c>
      <c r="AA62" t="n">
        <v>0</v>
      </c>
      <c r="AB62" t="n">
        <v>0</v>
      </c>
      <c r="AC62" t="n">
        <v>0</v>
      </c>
      <c r="AD62" s="2" t="n">
        <v>44105</v>
      </c>
    </row>
    <row r="63">
      <c r="A63" t="n">
        <v>-1</v>
      </c>
      <c r="B63" t="inlineStr">
        <is>
          <t>01-10-2020</t>
        </is>
      </c>
      <c r="C63" t="n">
        <v>2020</v>
      </c>
      <c r="D63" t="n">
        <v>10</v>
      </c>
      <c r="E63" t="inlineStr">
        <is>
          <t>Pullinque 023</t>
        </is>
      </c>
      <c r="F63" t="inlineStr">
        <is>
          <t>SAESA</t>
        </is>
      </c>
      <c r="G63" t="inlineStr">
        <is>
          <t>SAESA</t>
        </is>
      </c>
      <c r="H63" t="inlineStr">
        <is>
          <t>Empresa Eléctrica Carén S.A.</t>
        </is>
      </c>
      <c r="I63" t="inlineStr">
        <is>
          <t>Empresa Eléctrica Carén S.A.</t>
        </is>
      </c>
      <c r="J63" t="inlineStr">
        <is>
          <t>SIC 2013/03_2_BS1A_BB_Saesa_Empresa Eléctrica Carén S.A.</t>
        </is>
      </c>
      <c r="K63" t="inlineStr">
        <is>
          <t>Pullinque 023</t>
        </is>
      </c>
      <c r="L63" t="inlineStr">
        <is>
          <t>-1</t>
        </is>
      </c>
      <c r="M63" t="n">
        <v>630.1307879386892</v>
      </c>
      <c r="N63" t="n">
        <v>0</v>
      </c>
      <c r="O63" t="inlineStr">
        <is>
          <t>6</t>
        </is>
      </c>
      <c r="P63" s="2" t="n">
        <v>44659.60028225694</v>
      </c>
      <c r="Q63" t="n">
        <v>6</v>
      </c>
      <c r="R63" t="inlineStr">
        <is>
          <t>MELIPULLI 220</t>
        </is>
      </c>
      <c r="S63" t="n">
        <v>2.067128742868364</v>
      </c>
      <c r="T63" t="n">
        <v>143.2277578113701</v>
      </c>
      <c r="U63" t="n">
        <v>0</v>
      </c>
      <c r="V63" t="n">
        <v>0</v>
      </c>
      <c r="W63" t="inlineStr">
        <is>
          <t>SAESA</t>
        </is>
      </c>
      <c r="X63" t="n">
        <v>78.826236570774</v>
      </c>
      <c r="Y63" t="n">
        <v>0.1432277578113701</v>
      </c>
      <c r="Z63" t="n">
        <v>162.9439793075883</v>
      </c>
      <c r="AA63" t="n">
        <v>0</v>
      </c>
      <c r="AB63" t="n">
        <v>0</v>
      </c>
      <c r="AC63" t="n">
        <v>0</v>
      </c>
      <c r="AD63" s="2" t="n">
        <v>44105</v>
      </c>
    </row>
    <row r="64">
      <c r="A64" t="n">
        <v>-1</v>
      </c>
      <c r="B64" t="inlineStr">
        <is>
          <t>01-10-2020</t>
        </is>
      </c>
      <c r="C64" t="n">
        <v>2020</v>
      </c>
      <c r="D64" t="n">
        <v>10</v>
      </c>
      <c r="E64" t="inlineStr">
        <is>
          <t>Pullinque 023</t>
        </is>
      </c>
      <c r="F64" t="inlineStr">
        <is>
          <t>SAESA</t>
        </is>
      </c>
      <c r="G64" t="inlineStr">
        <is>
          <t>SAESA</t>
        </is>
      </c>
      <c r="H64" t="inlineStr">
        <is>
          <t>Empresa Eléctrica Carén S.A.</t>
        </is>
      </c>
      <c r="I64" t="inlineStr">
        <is>
          <t>Empresa Eléctrica Carén S.A.</t>
        </is>
      </c>
      <c r="J64" t="inlineStr">
        <is>
          <t>SIC 2013/03_2_BS1A_BB_Saesa_Empresa Eléctrica Carén S.A.</t>
        </is>
      </c>
      <c r="K64" t="inlineStr">
        <is>
          <t>Pullinque 023</t>
        </is>
      </c>
      <c r="L64" t="inlineStr">
        <is>
          <t>-1</t>
        </is>
      </c>
      <c r="M64" t="n">
        <v>630.1307879386892</v>
      </c>
      <c r="N64" t="n">
        <v>0</v>
      </c>
      <c r="O64" t="inlineStr">
        <is>
          <t>6</t>
        </is>
      </c>
      <c r="P64" s="2" t="n">
        <v>44659.60028225694</v>
      </c>
      <c r="Q64" t="n">
        <v>17</v>
      </c>
      <c r="R64" t="inlineStr">
        <is>
          <t>VALDIVIA 220</t>
        </is>
      </c>
      <c r="S64" t="n">
        <v>469.1509655120221</v>
      </c>
      <c r="T64" t="n">
        <v>35386.35626426044</v>
      </c>
      <c r="U64" t="n">
        <v>0</v>
      </c>
      <c r="V64" t="n">
        <v>0</v>
      </c>
      <c r="W64" t="inlineStr">
        <is>
          <t>SAESA</t>
        </is>
      </c>
      <c r="X64" t="n">
        <v>85.809299390577</v>
      </c>
      <c r="Y64" t="n">
        <v>35.38635626426044</v>
      </c>
      <c r="Z64" t="n">
        <v>40257.51565899936</v>
      </c>
      <c r="AA64" t="n">
        <v>0</v>
      </c>
      <c r="AB64" t="n">
        <v>0</v>
      </c>
      <c r="AC64" t="n">
        <v>0</v>
      </c>
      <c r="AD64" s="2" t="n">
        <v>44105</v>
      </c>
    </row>
    <row r="65">
      <c r="A65" t="n">
        <v>-1</v>
      </c>
      <c r="B65" t="inlineStr">
        <is>
          <t>01-10-2020</t>
        </is>
      </c>
      <c r="C65" t="n">
        <v>2020</v>
      </c>
      <c r="D65" t="n">
        <v>10</v>
      </c>
      <c r="E65" t="inlineStr">
        <is>
          <t>Purranque 13.8</t>
        </is>
      </c>
      <c r="F65" t="inlineStr">
        <is>
          <t>SAESA</t>
        </is>
      </c>
      <c r="G65" t="inlineStr">
        <is>
          <t>SAESA</t>
        </is>
      </c>
      <c r="H65" t="inlineStr">
        <is>
          <t>Empresa Eléctrica Carén S.A.</t>
        </is>
      </c>
      <c r="I65" t="inlineStr">
        <is>
          <t>Empresa Eléctrica Carén S.A.</t>
        </is>
      </c>
      <c r="J65" t="inlineStr">
        <is>
          <t>SIC 2013/03_2_BS1A_BB_Saesa_Empresa Eléctrica Carén S.A.</t>
        </is>
      </c>
      <c r="K65" t="inlineStr">
        <is>
          <t>Purranque 13.8</t>
        </is>
      </c>
      <c r="L65" t="inlineStr">
        <is>
          <t>-1</t>
        </is>
      </c>
      <c r="M65" t="n">
        <v>1372.568349111266</v>
      </c>
      <c r="N65" t="n">
        <v>0</v>
      </c>
      <c r="O65" t="inlineStr">
        <is>
          <t>6</t>
        </is>
      </c>
      <c r="P65" s="2" t="n">
        <v>44659.60028225694</v>
      </c>
      <c r="Q65" t="n">
        <v>15</v>
      </c>
      <c r="R65" t="inlineStr">
        <is>
          <t>BARRO BLANCO 220</t>
        </is>
      </c>
      <c r="S65" t="n">
        <v>1089.167459045637</v>
      </c>
      <c r="T65" t="n">
        <v>75816.02671028305</v>
      </c>
      <c r="U65" t="n">
        <v>0</v>
      </c>
      <c r="V65" t="n">
        <v>0</v>
      </c>
      <c r="W65" t="inlineStr">
        <is>
          <t>SAESA</t>
        </is>
      </c>
      <c r="X65" t="n">
        <v>79.19130285958499</v>
      </c>
      <c r="Y65" t="n">
        <v>75.81602671028305</v>
      </c>
      <c r="Z65" t="n">
        <v>86252.59011408767</v>
      </c>
      <c r="AA65" t="n">
        <v>0</v>
      </c>
      <c r="AB65" t="n">
        <v>0</v>
      </c>
      <c r="AC65" t="n">
        <v>0</v>
      </c>
      <c r="AD65" s="2" t="n">
        <v>44105</v>
      </c>
    </row>
    <row r="66">
      <c r="A66" t="n">
        <v>-1</v>
      </c>
      <c r="B66" t="inlineStr">
        <is>
          <t>01-10-2020</t>
        </is>
      </c>
      <c r="C66" t="n">
        <v>2020</v>
      </c>
      <c r="D66" t="n">
        <v>10</v>
      </c>
      <c r="E66" t="inlineStr">
        <is>
          <t>Purranque 13.8</t>
        </is>
      </c>
      <c r="F66" t="inlineStr">
        <is>
          <t>SAESA</t>
        </is>
      </c>
      <c r="G66" t="inlineStr">
        <is>
          <t>SAESA</t>
        </is>
      </c>
      <c r="H66" t="inlineStr">
        <is>
          <t>Empresa Eléctrica Carén S.A.</t>
        </is>
      </c>
      <c r="I66" t="inlineStr">
        <is>
          <t>Empresa Eléctrica Carén S.A.</t>
        </is>
      </c>
      <c r="J66" t="inlineStr">
        <is>
          <t>SIC 2013/03_2_BS1A_BB_Saesa_Empresa Eléctrica Carén S.A.</t>
        </is>
      </c>
      <c r="K66" t="inlineStr">
        <is>
          <t>Purranque 13.8</t>
        </is>
      </c>
      <c r="L66" t="inlineStr">
        <is>
          <t>-1</t>
        </is>
      </c>
      <c r="M66" t="n">
        <v>1372.568349111266</v>
      </c>
      <c r="N66" t="n">
        <v>0</v>
      </c>
      <c r="O66" t="inlineStr">
        <is>
          <t>6</t>
        </is>
      </c>
      <c r="P66" s="2" t="n">
        <v>44659.60028225694</v>
      </c>
      <c r="Q66" t="n">
        <v>6</v>
      </c>
      <c r="R66" t="inlineStr">
        <is>
          <t>MELIPULLI 220</t>
        </is>
      </c>
      <c r="S66" t="n">
        <v>305.8131208716209</v>
      </c>
      <c r="T66" t="n">
        <v>21189.25962538805</v>
      </c>
      <c r="U66" t="n">
        <v>0</v>
      </c>
      <c r="V66" t="n">
        <v>0</v>
      </c>
      <c r="W66" t="inlineStr">
        <is>
          <t>SAESA</t>
        </is>
      </c>
      <c r="X66" t="n">
        <v>78.82623657077399</v>
      </c>
      <c r="Y66" t="n">
        <v>21.18925962538805</v>
      </c>
      <c r="Z66" t="n">
        <v>24106.09741227309</v>
      </c>
      <c r="AA66" t="n">
        <v>0</v>
      </c>
      <c r="AB66" t="n">
        <v>0</v>
      </c>
      <c r="AC66" t="n">
        <v>0</v>
      </c>
      <c r="AD66" s="2" t="n">
        <v>44105</v>
      </c>
    </row>
    <row r="67">
      <c r="A67" t="n">
        <v>-1</v>
      </c>
      <c r="B67" t="inlineStr">
        <is>
          <t>01-10-2020</t>
        </is>
      </c>
      <c r="C67" t="n">
        <v>2020</v>
      </c>
      <c r="D67" t="n">
        <v>10</v>
      </c>
      <c r="E67" t="inlineStr">
        <is>
          <t>Purranque 13.8</t>
        </is>
      </c>
      <c r="F67" t="inlineStr">
        <is>
          <t>SAESA</t>
        </is>
      </c>
      <c r="G67" t="inlineStr">
        <is>
          <t>SAESA</t>
        </is>
      </c>
      <c r="H67" t="inlineStr">
        <is>
          <t>Empresa Eléctrica Carén S.A.</t>
        </is>
      </c>
      <c r="I67" t="inlineStr">
        <is>
          <t>Empresa Eléctrica Carén S.A.</t>
        </is>
      </c>
      <c r="J67" t="inlineStr">
        <is>
          <t>SIC 2013/03_2_BS1A_BB_Saesa_Empresa Eléctrica Carén S.A.</t>
        </is>
      </c>
      <c r="K67" t="inlineStr">
        <is>
          <t>Purranque 13.8</t>
        </is>
      </c>
      <c r="L67" t="inlineStr">
        <is>
          <t>-1</t>
        </is>
      </c>
      <c r="M67" t="n">
        <v>1372.568349111266</v>
      </c>
      <c r="N67" t="n">
        <v>0</v>
      </c>
      <c r="O67" t="inlineStr">
        <is>
          <t>6</t>
        </is>
      </c>
      <c r="P67" s="2" t="n">
        <v>44659.60028225694</v>
      </c>
      <c r="Q67" t="n">
        <v>17</v>
      </c>
      <c r="R67" t="inlineStr">
        <is>
          <t>VALDIVIA 220</t>
        </is>
      </c>
      <c r="S67" t="n">
        <v>0.3438118179742609</v>
      </c>
      <c r="T67" t="n">
        <v>25.93247882464071</v>
      </c>
      <c r="U67" t="n">
        <v>0</v>
      </c>
      <c r="V67" t="n">
        <v>0</v>
      </c>
      <c r="W67" t="inlineStr">
        <is>
          <t>SAESA</t>
        </is>
      </c>
      <c r="X67" t="n">
        <v>85.809299390577</v>
      </c>
      <c r="Y67" t="n">
        <v>0.02593247882464071</v>
      </c>
      <c r="Z67" t="n">
        <v>29.50225122257191</v>
      </c>
      <c r="AA67" t="n">
        <v>0</v>
      </c>
      <c r="AB67" t="n">
        <v>0</v>
      </c>
      <c r="AC67" t="n">
        <v>0</v>
      </c>
      <c r="AD67" s="2" t="n">
        <v>44105</v>
      </c>
    </row>
    <row r="68">
      <c r="A68" t="n">
        <v>-1</v>
      </c>
      <c r="B68" t="inlineStr">
        <is>
          <t>01-10-2020</t>
        </is>
      </c>
      <c r="C68" t="n">
        <v>2020</v>
      </c>
      <c r="D68" t="n">
        <v>10</v>
      </c>
      <c r="E68" t="inlineStr">
        <is>
          <t>Quellon 023</t>
        </is>
      </c>
      <c r="F68" t="inlineStr">
        <is>
          <t>SAESA</t>
        </is>
      </c>
      <c r="G68" t="inlineStr">
        <is>
          <t>SAESA</t>
        </is>
      </c>
      <c r="H68" t="inlineStr">
        <is>
          <t>Empresa Eléctrica Carén S.A.</t>
        </is>
      </c>
      <c r="I68" t="inlineStr">
        <is>
          <t>Empresa Eléctrica Carén S.A.</t>
        </is>
      </c>
      <c r="J68" t="inlineStr">
        <is>
          <t>SIC 2013/03_2_BS1A_BB_Saesa_Empresa Eléctrica Carén S.A.</t>
        </is>
      </c>
      <c r="K68" t="inlineStr">
        <is>
          <t>Quellon 023</t>
        </is>
      </c>
      <c r="L68" t="inlineStr">
        <is>
          <t>-1</t>
        </is>
      </c>
      <c r="M68" t="n">
        <v>1681.763000975935</v>
      </c>
      <c r="N68" t="n">
        <v>0</v>
      </c>
      <c r="O68" t="inlineStr">
        <is>
          <t>6</t>
        </is>
      </c>
      <c r="P68" s="2" t="n">
        <v>44659.60028225694</v>
      </c>
      <c r="Q68" t="n">
        <v>24</v>
      </c>
      <c r="R68" t="inlineStr">
        <is>
          <t>CHILOE 220</t>
        </is>
      </c>
      <c r="S68" t="n">
        <v>1709.645233987062</v>
      </c>
      <c r="T68" t="n">
        <v>119372.7028443993</v>
      </c>
      <c r="U68" t="n">
        <v>0</v>
      </c>
      <c r="V68" t="n">
        <v>0</v>
      </c>
      <c r="W68" t="inlineStr">
        <is>
          <t>SAESA</t>
        </is>
      </c>
      <c r="X68" t="n">
        <v>79.434680359482</v>
      </c>
      <c r="Y68" t="n">
        <v>119.3727028443993</v>
      </c>
      <c r="Z68" t="n">
        <v>135805.1226898741</v>
      </c>
      <c r="AA68" t="n">
        <v>0</v>
      </c>
      <c r="AB68" t="n">
        <v>0</v>
      </c>
      <c r="AC68" t="n">
        <v>0</v>
      </c>
      <c r="AD68" s="2" t="n">
        <v>44105</v>
      </c>
    </row>
    <row r="69">
      <c r="A69" t="n">
        <v>-1</v>
      </c>
      <c r="B69" t="inlineStr">
        <is>
          <t>01-10-2020</t>
        </is>
      </c>
      <c r="C69" t="n">
        <v>2020</v>
      </c>
      <c r="D69" t="n">
        <v>10</v>
      </c>
      <c r="E69" t="inlineStr">
        <is>
          <t>Rio Negro 23</t>
        </is>
      </c>
      <c r="F69" t="inlineStr">
        <is>
          <t>SAESA</t>
        </is>
      </c>
      <c r="G69" t="inlineStr">
        <is>
          <t>SAESA</t>
        </is>
      </c>
      <c r="H69" t="inlineStr">
        <is>
          <t>Empresa Eléctrica Carén S.A.</t>
        </is>
      </c>
      <c r="I69" t="inlineStr">
        <is>
          <t>Empresa Eléctrica Carén S.A.</t>
        </is>
      </c>
      <c r="J69" t="inlineStr">
        <is>
          <t>SIC 2013/03_2_BS1A_BB_Saesa_Empresa Eléctrica Carén S.A.</t>
        </is>
      </c>
      <c r="K69" t="inlineStr">
        <is>
          <t>Rio Negro 23</t>
        </is>
      </c>
      <c r="L69" t="inlineStr">
        <is>
          <t>-1</t>
        </is>
      </c>
      <c r="M69" t="n">
        <v>517.5626834403748</v>
      </c>
      <c r="N69" t="n">
        <v>0</v>
      </c>
      <c r="O69" t="inlineStr">
        <is>
          <t>6</t>
        </is>
      </c>
      <c r="P69" s="2" t="n">
        <v>44659.60028225694</v>
      </c>
      <c r="Q69" t="n">
        <v>15</v>
      </c>
      <c r="R69" t="inlineStr">
        <is>
          <t>BARRO BLANCO 220</t>
        </is>
      </c>
      <c r="S69" t="n">
        <v>458.0225449600039</v>
      </c>
      <c r="T69" t="n">
        <v>31882.56242343764</v>
      </c>
      <c r="U69" t="n">
        <v>0</v>
      </c>
      <c r="V69" t="n">
        <v>0</v>
      </c>
      <c r="W69" t="inlineStr">
        <is>
          <t>SAESA</t>
        </is>
      </c>
      <c r="X69" t="n">
        <v>79.19130285958499</v>
      </c>
      <c r="Y69" t="n">
        <v>31.88256242343764</v>
      </c>
      <c r="Z69" t="n">
        <v>36271.40207444556</v>
      </c>
      <c r="AA69" t="n">
        <v>0</v>
      </c>
      <c r="AB69" t="n">
        <v>0</v>
      </c>
      <c r="AC69" t="n">
        <v>0</v>
      </c>
      <c r="AD69" s="2" t="n">
        <v>44105</v>
      </c>
    </row>
    <row r="70">
      <c r="A70" t="n">
        <v>-1</v>
      </c>
      <c r="B70" t="inlineStr">
        <is>
          <t>01-10-2020</t>
        </is>
      </c>
      <c r="C70" t="n">
        <v>2020</v>
      </c>
      <c r="D70" t="n">
        <v>10</v>
      </c>
      <c r="E70" t="inlineStr">
        <is>
          <t>Rio Negro 23</t>
        </is>
      </c>
      <c r="F70" t="inlineStr">
        <is>
          <t>SAESA</t>
        </is>
      </c>
      <c r="G70" t="inlineStr">
        <is>
          <t>SAESA</t>
        </is>
      </c>
      <c r="H70" t="inlineStr">
        <is>
          <t>Empresa Eléctrica Carén S.A.</t>
        </is>
      </c>
      <c r="I70" t="inlineStr">
        <is>
          <t>Empresa Eléctrica Carén S.A.</t>
        </is>
      </c>
      <c r="J70" t="inlineStr">
        <is>
          <t>SIC 2013/03_2_BS1A_BB_Saesa_Empresa Eléctrica Carén S.A.</t>
        </is>
      </c>
      <c r="K70" t="inlineStr">
        <is>
          <t>Rio Negro 23</t>
        </is>
      </c>
      <c r="L70" t="inlineStr">
        <is>
          <t>-1</t>
        </is>
      </c>
      <c r="M70" t="n">
        <v>517.5626834403748</v>
      </c>
      <c r="N70" t="n">
        <v>0</v>
      </c>
      <c r="O70" t="inlineStr">
        <is>
          <t>6</t>
        </is>
      </c>
      <c r="P70" s="2" t="n">
        <v>44659.60028225694</v>
      </c>
      <c r="Q70" t="n">
        <v>6</v>
      </c>
      <c r="R70" t="inlineStr">
        <is>
          <t>MELIPULLI 220</t>
        </is>
      </c>
      <c r="S70" t="n">
        <v>68.12089767722237</v>
      </c>
      <c r="T70" t="n">
        <v>4719.978602236315</v>
      </c>
      <c r="U70" t="n">
        <v>0</v>
      </c>
      <c r="V70" t="n">
        <v>0</v>
      </c>
      <c r="W70" t="inlineStr">
        <is>
          <t>SAESA</t>
        </is>
      </c>
      <c r="X70" t="n">
        <v>78.826236570774</v>
      </c>
      <c r="Y70" t="n">
        <v>4.719978602236315</v>
      </c>
      <c r="Z70" t="n">
        <v>5369.71399571822</v>
      </c>
      <c r="AA70" t="n">
        <v>0</v>
      </c>
      <c r="AB70" t="n">
        <v>0</v>
      </c>
      <c r="AC70" t="n">
        <v>0</v>
      </c>
      <c r="AD70" s="2" t="n">
        <v>44105</v>
      </c>
    </row>
    <row r="71">
      <c r="A71" t="n">
        <v>-1</v>
      </c>
      <c r="B71" t="inlineStr">
        <is>
          <t>01-10-2020</t>
        </is>
      </c>
      <c r="C71" t="n">
        <v>2020</v>
      </c>
      <c r="D71" t="n">
        <v>10</v>
      </c>
      <c r="E71" t="inlineStr">
        <is>
          <t>Sangra 23</t>
        </is>
      </c>
      <c r="F71" t="inlineStr">
        <is>
          <t>SAESA</t>
        </is>
      </c>
      <c r="G71" t="inlineStr">
        <is>
          <t>SAESA</t>
        </is>
      </c>
      <c r="H71" t="inlineStr">
        <is>
          <t>Empresa Eléctrica Carén S.A.</t>
        </is>
      </c>
      <c r="I71" t="inlineStr">
        <is>
          <t>Empresa Eléctrica Carén S.A.</t>
        </is>
      </c>
      <c r="J71" t="inlineStr">
        <is>
          <t>SIC 2013/03_2_BS1A_BB_Saesa_Empresa Eléctrica Carén S.A.</t>
        </is>
      </c>
      <c r="K71" t="inlineStr">
        <is>
          <t>Sangra 23</t>
        </is>
      </c>
      <c r="L71" t="inlineStr">
        <is>
          <t>-1</t>
        </is>
      </c>
      <c r="M71" t="n">
        <v>1459.192945159581</v>
      </c>
      <c r="N71" t="n">
        <v>0</v>
      </c>
      <c r="O71" t="inlineStr">
        <is>
          <t>6</t>
        </is>
      </c>
      <c r="P71" s="2" t="n">
        <v>44659.60028225694</v>
      </c>
      <c r="Q71" t="n">
        <v>15</v>
      </c>
      <c r="R71" t="inlineStr">
        <is>
          <t>BARRO BLANCO 220</t>
        </is>
      </c>
      <c r="S71" t="n">
        <v>43.93013548452853</v>
      </c>
      <c r="T71" t="n">
        <v>3057.939619495935</v>
      </c>
      <c r="U71" t="n">
        <v>0</v>
      </c>
      <c r="V71" t="n">
        <v>0</v>
      </c>
      <c r="W71" t="inlineStr">
        <is>
          <t>SAESA</t>
        </is>
      </c>
      <c r="X71" t="n">
        <v>79.19130285958501</v>
      </c>
      <c r="Y71" t="n">
        <v>3.057939619495935</v>
      </c>
      <c r="Z71" t="n">
        <v>3478.884663817901</v>
      </c>
      <c r="AA71" t="n">
        <v>0</v>
      </c>
      <c r="AB71" t="n">
        <v>0</v>
      </c>
      <c r="AC71" t="n">
        <v>0</v>
      </c>
      <c r="AD71" s="2" t="n">
        <v>44105</v>
      </c>
    </row>
    <row r="72">
      <c r="A72" t="n">
        <v>-1</v>
      </c>
      <c r="B72" t="inlineStr">
        <is>
          <t>01-10-2020</t>
        </is>
      </c>
      <c r="C72" t="n">
        <v>2020</v>
      </c>
      <c r="D72" t="n">
        <v>10</v>
      </c>
      <c r="E72" t="inlineStr">
        <is>
          <t>Sangra 23</t>
        </is>
      </c>
      <c r="F72" t="inlineStr">
        <is>
          <t>SAESA</t>
        </is>
      </c>
      <c r="G72" t="inlineStr">
        <is>
          <t>SAESA</t>
        </is>
      </c>
      <c r="H72" t="inlineStr">
        <is>
          <t>Empresa Eléctrica Carén S.A.</t>
        </is>
      </c>
      <c r="I72" t="inlineStr">
        <is>
          <t>Empresa Eléctrica Carén S.A.</t>
        </is>
      </c>
      <c r="J72" t="inlineStr">
        <is>
          <t>SIC 2013/03_2_BS1A_BB_Saesa_Empresa Eléctrica Carén S.A.</t>
        </is>
      </c>
      <c r="K72" t="inlineStr">
        <is>
          <t>Sangra 23</t>
        </is>
      </c>
      <c r="L72" t="inlineStr">
        <is>
          <t>-1</t>
        </is>
      </c>
      <c r="M72" t="n">
        <v>1459.192945159581</v>
      </c>
      <c r="N72" t="n">
        <v>0</v>
      </c>
      <c r="O72" t="inlineStr">
        <is>
          <t>6</t>
        </is>
      </c>
      <c r="P72" s="2" t="n">
        <v>44659.60028225694</v>
      </c>
      <c r="Q72" t="n">
        <v>6</v>
      </c>
      <c r="R72" t="inlineStr">
        <is>
          <t>MELIPULLI 220</t>
        </is>
      </c>
      <c r="S72" t="n">
        <v>1439.45501611646</v>
      </c>
      <c r="T72" t="n">
        <v>99737.336215744</v>
      </c>
      <c r="U72" t="n">
        <v>0</v>
      </c>
      <c r="V72" t="n">
        <v>0</v>
      </c>
      <c r="W72" t="inlineStr">
        <is>
          <t>SAESA</t>
        </is>
      </c>
      <c r="X72" t="n">
        <v>78.826236570774</v>
      </c>
      <c r="Y72" t="n">
        <v>99.73733621574399</v>
      </c>
      <c r="Z72" t="n">
        <v>113466.8216333834</v>
      </c>
      <c r="AA72" t="n">
        <v>0</v>
      </c>
      <c r="AB72" t="n">
        <v>0</v>
      </c>
      <c r="AC72" t="n">
        <v>0</v>
      </c>
      <c r="AD72" s="2" t="n">
        <v>44105</v>
      </c>
    </row>
    <row r="73">
      <c r="A73" t="n">
        <v>-1</v>
      </c>
      <c r="B73" t="inlineStr">
        <is>
          <t>01-10-2020</t>
        </is>
      </c>
      <c r="C73" t="n">
        <v>2020</v>
      </c>
      <c r="D73" t="n">
        <v>10</v>
      </c>
      <c r="E73" t="inlineStr">
        <is>
          <t>Valdivia 13.8</t>
        </is>
      </c>
      <c r="F73" t="inlineStr">
        <is>
          <t>SAESA</t>
        </is>
      </c>
      <c r="G73" t="inlineStr">
        <is>
          <t>SAESA</t>
        </is>
      </c>
      <c r="H73" t="inlineStr">
        <is>
          <t>Empresa Eléctrica Carén S.A.</t>
        </is>
      </c>
      <c r="I73" t="inlineStr">
        <is>
          <t>Empresa Eléctrica Carén S.A.</t>
        </is>
      </c>
      <c r="J73" t="inlineStr">
        <is>
          <t>SIC 2013/03_2_BS1A_BB_Saesa_Empresa Eléctrica Carén S.A.</t>
        </is>
      </c>
      <c r="K73" t="inlineStr">
        <is>
          <t>Valdivia 13.8</t>
        </is>
      </c>
      <c r="L73" t="inlineStr">
        <is>
          <t>-1</t>
        </is>
      </c>
      <c r="M73" t="n">
        <v>2762.488995452399</v>
      </c>
      <c r="N73" t="n">
        <v>0</v>
      </c>
      <c r="O73" t="inlineStr">
        <is>
          <t>6</t>
        </is>
      </c>
      <c r="P73" s="2" t="n">
        <v>44659.60028225694</v>
      </c>
      <c r="Q73" t="n">
        <v>15</v>
      </c>
      <c r="R73" t="inlineStr">
        <is>
          <t>BARRO BLANCO 220</t>
        </is>
      </c>
      <c r="S73" t="n">
        <v>238.7111206021901</v>
      </c>
      <c r="T73" t="n">
        <v>16616.47944520432</v>
      </c>
      <c r="U73" t="n">
        <v>0</v>
      </c>
      <c r="V73" t="n">
        <v>0</v>
      </c>
      <c r="W73" t="inlineStr">
        <is>
          <t>SAESA</t>
        </is>
      </c>
      <c r="X73" t="n">
        <v>79.19130285958499</v>
      </c>
      <c r="Y73" t="n">
        <v>16.61647944520432</v>
      </c>
      <c r="Z73" t="n">
        <v>18903.84464755896</v>
      </c>
      <c r="AA73" t="n">
        <v>0</v>
      </c>
      <c r="AB73" t="n">
        <v>0</v>
      </c>
      <c r="AC73" t="n">
        <v>0</v>
      </c>
      <c r="AD73" s="2" t="n">
        <v>44105</v>
      </c>
    </row>
    <row r="74">
      <c r="A74" t="n">
        <v>-1</v>
      </c>
      <c r="B74" t="inlineStr">
        <is>
          <t>01-10-2020</t>
        </is>
      </c>
      <c r="C74" t="n">
        <v>2020</v>
      </c>
      <c r="D74" t="n">
        <v>10</v>
      </c>
      <c r="E74" t="inlineStr">
        <is>
          <t>Valdivia 13.8</t>
        </is>
      </c>
      <c r="F74" t="inlineStr">
        <is>
          <t>SAESA</t>
        </is>
      </c>
      <c r="G74" t="inlineStr">
        <is>
          <t>SAESA</t>
        </is>
      </c>
      <c r="H74" t="inlineStr">
        <is>
          <t>Empresa Eléctrica Carén S.A.</t>
        </is>
      </c>
      <c r="I74" t="inlineStr">
        <is>
          <t>Empresa Eléctrica Carén S.A.</t>
        </is>
      </c>
      <c r="J74" t="inlineStr">
        <is>
          <t>SIC 2013/03_2_BS1A_BB_Saesa_Empresa Eléctrica Carén S.A.</t>
        </is>
      </c>
      <c r="K74" t="inlineStr">
        <is>
          <t>Valdivia 13.8</t>
        </is>
      </c>
      <c r="L74" t="inlineStr">
        <is>
          <t>-1</t>
        </is>
      </c>
      <c r="M74" t="n">
        <v>2762.488995452399</v>
      </c>
      <c r="N74" t="n">
        <v>0</v>
      </c>
      <c r="O74" t="inlineStr">
        <is>
          <t>6</t>
        </is>
      </c>
      <c r="P74" s="2" t="n">
        <v>44659.60028225694</v>
      </c>
      <c r="Q74" t="n">
        <v>6</v>
      </c>
      <c r="R74" t="inlineStr">
        <is>
          <t>MELIPULLI 220</t>
        </is>
      </c>
      <c r="S74" t="n">
        <v>4.393831552692331</v>
      </c>
      <c r="T74" t="n">
        <v>304.4409515682735</v>
      </c>
      <c r="U74" t="n">
        <v>0</v>
      </c>
      <c r="V74" t="n">
        <v>0</v>
      </c>
      <c r="W74" t="inlineStr">
        <is>
          <t>SAESA</t>
        </is>
      </c>
      <c r="X74" t="n">
        <v>78.826236570774</v>
      </c>
      <c r="Y74" t="n">
        <v>0.3044409515682735</v>
      </c>
      <c r="Z74" t="n">
        <v>346.349205424657</v>
      </c>
      <c r="AA74" t="n">
        <v>0</v>
      </c>
      <c r="AB74" t="n">
        <v>0</v>
      </c>
      <c r="AC74" t="n">
        <v>0</v>
      </c>
      <c r="AD74" s="2" t="n">
        <v>44105</v>
      </c>
    </row>
    <row r="75">
      <c r="A75" t="n">
        <v>-1</v>
      </c>
      <c r="B75" t="inlineStr">
        <is>
          <t>01-10-2020</t>
        </is>
      </c>
      <c r="C75" t="n">
        <v>2020</v>
      </c>
      <c r="D75" t="n">
        <v>10</v>
      </c>
      <c r="E75" t="inlineStr">
        <is>
          <t>Valdivia 13.8</t>
        </is>
      </c>
      <c r="F75" t="inlineStr">
        <is>
          <t>SAESA</t>
        </is>
      </c>
      <c r="G75" t="inlineStr">
        <is>
          <t>SAESA</t>
        </is>
      </c>
      <c r="H75" t="inlineStr">
        <is>
          <t>Empresa Eléctrica Carén S.A.</t>
        </is>
      </c>
      <c r="I75" t="inlineStr">
        <is>
          <t>Empresa Eléctrica Carén S.A.</t>
        </is>
      </c>
      <c r="J75" t="inlineStr">
        <is>
          <t>SIC 2013/03_2_BS1A_BB_Saesa_Empresa Eléctrica Carén S.A.</t>
        </is>
      </c>
      <c r="K75" t="inlineStr">
        <is>
          <t>Valdivia 13.8</t>
        </is>
      </c>
      <c r="L75" t="inlineStr">
        <is>
          <t>-1</t>
        </is>
      </c>
      <c r="M75" t="n">
        <v>2762.488995452399</v>
      </c>
      <c r="N75" t="n">
        <v>0</v>
      </c>
      <c r="O75" t="inlineStr">
        <is>
          <t>6</t>
        </is>
      </c>
      <c r="P75" s="2" t="n">
        <v>44659.60028225694</v>
      </c>
      <c r="Q75" t="n">
        <v>17</v>
      </c>
      <c r="R75" t="inlineStr">
        <is>
          <t>VALDIVIA 220</t>
        </is>
      </c>
      <c r="S75" t="n">
        <v>2565.183815213762</v>
      </c>
      <c r="T75" t="n">
        <v>193482.5142465638</v>
      </c>
      <c r="U75" t="n">
        <v>0</v>
      </c>
      <c r="V75" t="n">
        <v>0</v>
      </c>
      <c r="W75" t="inlineStr">
        <is>
          <t>SAESA</t>
        </is>
      </c>
      <c r="X75" t="n">
        <v>85.809299390577</v>
      </c>
      <c r="Y75" t="n">
        <v>193.4825142465639</v>
      </c>
      <c r="Z75" t="n">
        <v>220116.6259915402</v>
      </c>
      <c r="AA75" t="n">
        <v>0</v>
      </c>
      <c r="AB75" t="n">
        <v>0</v>
      </c>
      <c r="AC75" t="n">
        <v>0</v>
      </c>
      <c r="AD75" s="2" t="n">
        <v>44105</v>
      </c>
    </row>
    <row r="76">
      <c r="A76" t="n">
        <v>-1</v>
      </c>
      <c r="B76" t="inlineStr">
        <is>
          <t>01-11-2020</t>
        </is>
      </c>
      <c r="C76" t="n">
        <v>2020</v>
      </c>
      <c r="D76" t="n">
        <v>11</v>
      </c>
      <c r="E76" t="inlineStr">
        <is>
          <t>Aihuapi 023</t>
        </is>
      </c>
      <c r="F76" t="inlineStr">
        <is>
          <t>SAESA</t>
        </is>
      </c>
      <c r="G76" t="inlineStr">
        <is>
          <t>SAESA</t>
        </is>
      </c>
      <c r="H76" t="inlineStr">
        <is>
          <t>Empresa Eléctrica Carén S.A.</t>
        </is>
      </c>
      <c r="I76" t="inlineStr">
        <is>
          <t>Empresa Eléctrica Carén S.A.</t>
        </is>
      </c>
      <c r="J76" t="inlineStr">
        <is>
          <t>SIC 2013/03_2_BS1A_BB_Saesa_Empresa Eléctrica Carén S.A.</t>
        </is>
      </c>
      <c r="K76" t="inlineStr">
        <is>
          <t>Aihuapi 023</t>
        </is>
      </c>
      <c r="L76" t="inlineStr">
        <is>
          <t>-1</t>
        </is>
      </c>
      <c r="M76" t="n">
        <v>100.2295683417304</v>
      </c>
      <c r="N76" t="n">
        <v>0</v>
      </c>
      <c r="O76" t="inlineStr">
        <is>
          <t>6</t>
        </is>
      </c>
      <c r="P76" s="2" t="n">
        <v>44659.60028225694</v>
      </c>
      <c r="Q76" t="n">
        <v>15</v>
      </c>
      <c r="R76" t="inlineStr">
        <is>
          <t>BARRO BLANCO 220</t>
        </is>
      </c>
      <c r="S76" t="n">
        <v>101.891291294065</v>
      </c>
      <c r="T76" t="n">
        <v>7092.566710600174</v>
      </c>
      <c r="U76" t="n">
        <v>0</v>
      </c>
      <c r="V76" t="n">
        <v>0</v>
      </c>
      <c r="W76" t="inlineStr">
        <is>
          <t>SAESA</t>
        </is>
      </c>
      <c r="X76" t="n">
        <v>79.19130285958499</v>
      </c>
      <c r="Y76" t="n">
        <v>7.092566710600175</v>
      </c>
      <c r="Z76" t="n">
        <v>8068.904107622496</v>
      </c>
      <c r="AA76" t="n">
        <v>0</v>
      </c>
      <c r="AB76" t="n">
        <v>0</v>
      </c>
      <c r="AC76" t="n">
        <v>0</v>
      </c>
      <c r="AD76" s="2" t="n">
        <v>44136</v>
      </c>
    </row>
    <row r="77">
      <c r="A77" t="n">
        <v>-1</v>
      </c>
      <c r="B77" t="inlineStr">
        <is>
          <t>01-11-2020</t>
        </is>
      </c>
      <c r="C77" t="n">
        <v>2020</v>
      </c>
      <c r="D77" t="n">
        <v>11</v>
      </c>
      <c r="E77" t="inlineStr">
        <is>
          <t>Alto Bonito 023</t>
        </is>
      </c>
      <c r="F77" t="inlineStr">
        <is>
          <t>SAESA</t>
        </is>
      </c>
      <c r="G77" t="inlineStr">
        <is>
          <t>SAESA</t>
        </is>
      </c>
      <c r="H77" t="inlineStr">
        <is>
          <t>Empresa Eléctrica Carén S.A.</t>
        </is>
      </c>
      <c r="I77" t="inlineStr">
        <is>
          <t>Empresa Eléctrica Carén S.A.</t>
        </is>
      </c>
      <c r="J77" t="inlineStr">
        <is>
          <t>SIC 2013/03_2_BS1A_BB_Saesa_Empresa Eléctrica Carén S.A.</t>
        </is>
      </c>
      <c r="K77" t="inlineStr">
        <is>
          <t>Alto Bonito 023</t>
        </is>
      </c>
      <c r="L77" t="inlineStr">
        <is>
          <t>-1</t>
        </is>
      </c>
      <c r="M77" t="n">
        <v>3095.101821852151</v>
      </c>
      <c r="N77" t="n">
        <v>0</v>
      </c>
      <c r="O77" t="inlineStr">
        <is>
          <t>6</t>
        </is>
      </c>
      <c r="P77" s="2" t="n">
        <v>44659.60028225694</v>
      </c>
      <c r="Q77" t="n">
        <v>24</v>
      </c>
      <c r="R77" t="inlineStr">
        <is>
          <t>CHILOE 220</t>
        </is>
      </c>
      <c r="S77" t="n">
        <v>0.8082225144389421</v>
      </c>
      <c r="T77" t="n">
        <v>56.43258854544509</v>
      </c>
      <c r="U77" t="n">
        <v>0</v>
      </c>
      <c r="V77" t="n">
        <v>0</v>
      </c>
      <c r="W77" t="inlineStr">
        <is>
          <t>SAESA</t>
        </is>
      </c>
      <c r="X77" t="n">
        <v>79.43468035948199</v>
      </c>
      <c r="Y77" t="n">
        <v>0.05643258854544509</v>
      </c>
      <c r="Z77" t="n">
        <v>64.20089709379418</v>
      </c>
      <c r="AA77" t="n">
        <v>0</v>
      </c>
      <c r="AB77" t="n">
        <v>0</v>
      </c>
      <c r="AC77" t="n">
        <v>0</v>
      </c>
      <c r="AD77" s="2" t="n">
        <v>44136</v>
      </c>
    </row>
    <row r="78">
      <c r="A78" t="n">
        <v>-1</v>
      </c>
      <c r="B78" t="inlineStr">
        <is>
          <t>01-11-2020</t>
        </is>
      </c>
      <c r="C78" t="n">
        <v>2020</v>
      </c>
      <c r="D78" t="n">
        <v>11</v>
      </c>
      <c r="E78" t="inlineStr">
        <is>
          <t>Alto Bonito 023</t>
        </is>
      </c>
      <c r="F78" t="inlineStr">
        <is>
          <t>SAESA</t>
        </is>
      </c>
      <c r="G78" t="inlineStr">
        <is>
          <t>SAESA</t>
        </is>
      </c>
      <c r="H78" t="inlineStr">
        <is>
          <t>Empresa Eléctrica Carén S.A.</t>
        </is>
      </c>
      <c r="I78" t="inlineStr">
        <is>
          <t>Empresa Eléctrica Carén S.A.</t>
        </is>
      </c>
      <c r="J78" t="inlineStr">
        <is>
          <t>SIC 2013/03_2_BS1A_BB_Saesa_Empresa Eléctrica Carén S.A.</t>
        </is>
      </c>
      <c r="K78" t="inlineStr">
        <is>
          <t>Alto Bonito 023</t>
        </is>
      </c>
      <c r="L78" t="inlineStr">
        <is>
          <t>-1</t>
        </is>
      </c>
      <c r="M78" t="n">
        <v>3095.101821852151</v>
      </c>
      <c r="N78" t="n">
        <v>0</v>
      </c>
      <c r="O78" t="inlineStr">
        <is>
          <t>6</t>
        </is>
      </c>
      <c r="P78" s="2" t="n">
        <v>44659.60028225694</v>
      </c>
      <c r="Q78" t="n">
        <v>6</v>
      </c>
      <c r="R78" t="inlineStr">
        <is>
          <t>MELIPULLI 220</t>
        </is>
      </c>
      <c r="S78" t="n">
        <v>3145.607815514406</v>
      </c>
      <c r="T78" t="n">
        <v>217953.6982998358</v>
      </c>
      <c r="U78" t="n">
        <v>0</v>
      </c>
      <c r="V78" t="n">
        <v>0</v>
      </c>
      <c r="W78" t="inlineStr">
        <is>
          <t>SAESA</t>
        </is>
      </c>
      <c r="X78" t="n">
        <v>78.82623657077399</v>
      </c>
      <c r="Y78" t="n">
        <v>217.9536982998358</v>
      </c>
      <c r="Z78" t="n">
        <v>247956.4258246141</v>
      </c>
      <c r="AA78" t="n">
        <v>0</v>
      </c>
      <c r="AB78" t="n">
        <v>0</v>
      </c>
      <c r="AC78" t="n">
        <v>0</v>
      </c>
      <c r="AD78" s="2" t="n">
        <v>44136</v>
      </c>
    </row>
    <row r="79">
      <c r="A79" t="n">
        <v>-1</v>
      </c>
      <c r="B79" t="inlineStr">
        <is>
          <t>01-11-2020</t>
        </is>
      </c>
      <c r="C79" t="n">
        <v>2020</v>
      </c>
      <c r="D79" t="n">
        <v>11</v>
      </c>
      <c r="E79" t="inlineStr">
        <is>
          <t>Ancud 023</t>
        </is>
      </c>
      <c r="F79" t="inlineStr">
        <is>
          <t>SAESA</t>
        </is>
      </c>
      <c r="G79" t="inlineStr">
        <is>
          <t>SAESA</t>
        </is>
      </c>
      <c r="H79" t="inlineStr">
        <is>
          <t>Empresa Eléctrica Carén S.A.</t>
        </is>
      </c>
      <c r="I79" t="inlineStr">
        <is>
          <t>Empresa Eléctrica Carén S.A.</t>
        </is>
      </c>
      <c r="J79" t="inlineStr">
        <is>
          <t>SIC 2013/03_2_BS1A_BB_Saesa_Empresa Eléctrica Carén S.A.</t>
        </is>
      </c>
      <c r="K79" t="inlineStr">
        <is>
          <t>Ancud 023</t>
        </is>
      </c>
      <c r="L79" t="inlineStr">
        <is>
          <t>-1</t>
        </is>
      </c>
      <c r="M79" t="n">
        <v>2197.309952144853</v>
      </c>
      <c r="N79" t="n">
        <v>0</v>
      </c>
      <c r="O79" t="inlineStr">
        <is>
          <t>6</t>
        </is>
      </c>
      <c r="P79" s="2" t="n">
        <v>44659.60028225694</v>
      </c>
      <c r="Q79" t="n">
        <v>24</v>
      </c>
      <c r="R79" t="inlineStr">
        <is>
          <t>CHILOE 220</t>
        </is>
      </c>
      <c r="S79" t="n">
        <v>2233.739525186844</v>
      </c>
      <c r="T79" t="n">
        <v>155966.5825816215</v>
      </c>
      <c r="U79" t="n">
        <v>0</v>
      </c>
      <c r="V79" t="n">
        <v>0</v>
      </c>
      <c r="W79" t="inlineStr">
        <is>
          <t>SAESA</t>
        </is>
      </c>
      <c r="X79" t="n">
        <v>79.434680359482</v>
      </c>
      <c r="Y79" t="n">
        <v>155.9665825816215</v>
      </c>
      <c r="Z79" t="n">
        <v>177436.3851895581</v>
      </c>
      <c r="AA79" t="n">
        <v>0</v>
      </c>
      <c r="AB79" t="n">
        <v>0</v>
      </c>
      <c r="AC79" t="n">
        <v>0</v>
      </c>
      <c r="AD79" s="2" t="n">
        <v>44136</v>
      </c>
    </row>
    <row r="80">
      <c r="A80" t="n">
        <v>-1</v>
      </c>
      <c r="B80" t="inlineStr">
        <is>
          <t>01-11-2020</t>
        </is>
      </c>
      <c r="C80" t="n">
        <v>2020</v>
      </c>
      <c r="D80" t="n">
        <v>11</v>
      </c>
      <c r="E80" t="inlineStr">
        <is>
          <t>Armazones 023</t>
        </is>
      </c>
      <c r="F80" t="inlineStr">
        <is>
          <t>SAESA</t>
        </is>
      </c>
      <c r="G80" t="inlineStr">
        <is>
          <t>SAESA</t>
        </is>
      </c>
      <c r="H80" t="inlineStr">
        <is>
          <t>Empresa Eléctrica Carén S.A.</t>
        </is>
      </c>
      <c r="I80" t="inlineStr">
        <is>
          <t>Empresa Eléctrica Carén S.A.</t>
        </is>
      </c>
      <c r="J80" t="inlineStr">
        <is>
          <t>SIC 2013/03_2_BS1A_BB_Saesa_Empresa Eléctrica Carén S.A.</t>
        </is>
      </c>
      <c r="K80" t="inlineStr">
        <is>
          <t>Armazones 023</t>
        </is>
      </c>
      <c r="L80" t="inlineStr">
        <is>
          <t>-1</t>
        </is>
      </c>
      <c r="M80" t="n">
        <v>460.5135058481101</v>
      </c>
      <c r="N80" t="n">
        <v>0</v>
      </c>
      <c r="O80" t="inlineStr">
        <is>
          <t>2</t>
        </is>
      </c>
      <c r="P80" s="2" t="n">
        <v>44659.60028225694</v>
      </c>
      <c r="Q80" t="n">
        <v>12</v>
      </c>
      <c r="R80" t="inlineStr">
        <is>
          <t>DIEGO DE ALMAGRO 220</t>
        </is>
      </c>
      <c r="S80" t="n">
        <v>471.8060301490071</v>
      </c>
      <c r="T80" t="n">
        <v>35454.62897753216</v>
      </c>
      <c r="U80" t="n">
        <v>0</v>
      </c>
      <c r="V80" t="n">
        <v>0</v>
      </c>
      <c r="W80" t="inlineStr">
        <is>
          <t>SAESA</t>
        </is>
      </c>
      <c r="X80" t="n">
        <v>85.491036512091</v>
      </c>
      <c r="Y80" t="n">
        <v>35.45462897753217</v>
      </c>
      <c r="Z80" t="n">
        <v>40335.18655009347</v>
      </c>
      <c r="AA80" t="n">
        <v>0</v>
      </c>
      <c r="AB80" t="n">
        <v>0</v>
      </c>
      <c r="AC80" t="n">
        <v>0</v>
      </c>
      <c r="AD80" s="2" t="n">
        <v>44136</v>
      </c>
    </row>
    <row r="81">
      <c r="A81" t="n">
        <v>-1</v>
      </c>
      <c r="B81" t="inlineStr">
        <is>
          <t>01-11-2020</t>
        </is>
      </c>
      <c r="C81" t="n">
        <v>2020</v>
      </c>
      <c r="D81" t="n">
        <v>11</v>
      </c>
      <c r="E81" t="inlineStr">
        <is>
          <t>Barro Blanco 023</t>
        </is>
      </c>
      <c r="F81" t="inlineStr">
        <is>
          <t>SAESA</t>
        </is>
      </c>
      <c r="G81" t="inlineStr">
        <is>
          <t>SAESA</t>
        </is>
      </c>
      <c r="H81" t="inlineStr">
        <is>
          <t>Empresa Eléctrica Carén S.A.</t>
        </is>
      </c>
      <c r="I81" t="inlineStr">
        <is>
          <t>Empresa Eléctrica Carén S.A.</t>
        </is>
      </c>
      <c r="J81" t="inlineStr">
        <is>
          <t>SIC 2013/03_2_BS1A_BB_Saesa_Empresa Eléctrica Carén S.A.</t>
        </is>
      </c>
      <c r="K81" t="inlineStr">
        <is>
          <t>Barro Blanco 023</t>
        </is>
      </c>
      <c r="L81" t="inlineStr">
        <is>
          <t>-1</t>
        </is>
      </c>
      <c r="M81" t="n">
        <v>1481.958329352994</v>
      </c>
      <c r="N81" t="n">
        <v>0</v>
      </c>
      <c r="O81" t="inlineStr">
        <is>
          <t>6</t>
        </is>
      </c>
      <c r="P81" s="2" t="n">
        <v>44659.60028225694</v>
      </c>
      <c r="Q81" t="n">
        <v>15</v>
      </c>
      <c r="R81" t="inlineStr">
        <is>
          <t>BARRO BLANCO 220</t>
        </is>
      </c>
      <c r="S81" t="n">
        <v>1473.041497425138</v>
      </c>
      <c r="T81" t="n">
        <v>102537.1742303037</v>
      </c>
      <c r="U81" t="n">
        <v>0</v>
      </c>
      <c r="V81" t="n">
        <v>0</v>
      </c>
      <c r="W81" t="inlineStr">
        <is>
          <t>SAESA</t>
        </is>
      </c>
      <c r="X81" t="n">
        <v>79.19130285958499</v>
      </c>
      <c r="Y81" t="n">
        <v>102.5371742303037</v>
      </c>
      <c r="Z81" t="n">
        <v>116652.0753473307</v>
      </c>
      <c r="AA81" t="n">
        <v>0</v>
      </c>
      <c r="AB81" t="n">
        <v>0</v>
      </c>
      <c r="AC81" t="n">
        <v>0</v>
      </c>
      <c r="AD81" s="2" t="n">
        <v>44136</v>
      </c>
    </row>
    <row r="82">
      <c r="A82" t="n">
        <v>-1</v>
      </c>
      <c r="B82" t="inlineStr">
        <is>
          <t>01-11-2020</t>
        </is>
      </c>
      <c r="C82" t="n">
        <v>2020</v>
      </c>
      <c r="D82" t="n">
        <v>11</v>
      </c>
      <c r="E82" t="inlineStr">
        <is>
          <t>Barro Blanco 023</t>
        </is>
      </c>
      <c r="F82" t="inlineStr">
        <is>
          <t>SAESA</t>
        </is>
      </c>
      <c r="G82" t="inlineStr">
        <is>
          <t>SAESA</t>
        </is>
      </c>
      <c r="H82" t="inlineStr">
        <is>
          <t>Empresa Eléctrica Carén S.A.</t>
        </is>
      </c>
      <c r="I82" t="inlineStr">
        <is>
          <t>Empresa Eléctrica Carén S.A.</t>
        </is>
      </c>
      <c r="J82" t="inlineStr">
        <is>
          <t>SIC 2013/03_2_BS1A_BB_Saesa_Empresa Eléctrica Carén S.A.</t>
        </is>
      </c>
      <c r="K82" t="inlineStr">
        <is>
          <t>Barro Blanco 023</t>
        </is>
      </c>
      <c r="L82" t="inlineStr">
        <is>
          <t>-1</t>
        </is>
      </c>
      <c r="M82" t="n">
        <v>1481.958329352994</v>
      </c>
      <c r="N82" t="n">
        <v>0</v>
      </c>
      <c r="O82" t="inlineStr">
        <is>
          <t>6</t>
        </is>
      </c>
      <c r="P82" s="2" t="n">
        <v>44659.60028225694</v>
      </c>
      <c r="Q82" t="n">
        <v>6</v>
      </c>
      <c r="R82" t="inlineStr">
        <is>
          <t>MELIPULLI 220</t>
        </is>
      </c>
      <c r="S82" t="n">
        <v>26.74788805703866</v>
      </c>
      <c r="T82" t="n">
        <v>1853.314674190632</v>
      </c>
      <c r="U82" t="n">
        <v>0</v>
      </c>
      <c r="V82" t="n">
        <v>0</v>
      </c>
      <c r="W82" t="inlineStr">
        <is>
          <t>SAESA</t>
        </is>
      </c>
      <c r="X82" t="n">
        <v>78.82623657077399</v>
      </c>
      <c r="Y82" t="n">
        <v>1.853314674190632</v>
      </c>
      <c r="Z82" t="n">
        <v>2108.43535175271</v>
      </c>
      <c r="AA82" t="n">
        <v>0</v>
      </c>
      <c r="AB82" t="n">
        <v>0</v>
      </c>
      <c r="AC82" t="n">
        <v>0</v>
      </c>
      <c r="AD82" s="2" t="n">
        <v>44136</v>
      </c>
    </row>
    <row r="83">
      <c r="A83" t="n">
        <v>-1</v>
      </c>
      <c r="B83" t="inlineStr">
        <is>
          <t>01-11-2020</t>
        </is>
      </c>
      <c r="C83" t="n">
        <v>2020</v>
      </c>
      <c r="D83" t="n">
        <v>11</v>
      </c>
      <c r="E83" t="inlineStr">
        <is>
          <t>Barro Blanco 023</t>
        </is>
      </c>
      <c r="F83" t="inlineStr">
        <is>
          <t>SAESA</t>
        </is>
      </c>
      <c r="G83" t="inlineStr">
        <is>
          <t>SAESA</t>
        </is>
      </c>
      <c r="H83" t="inlineStr">
        <is>
          <t>Empresa Eléctrica Carén S.A.</t>
        </is>
      </c>
      <c r="I83" t="inlineStr">
        <is>
          <t>Empresa Eléctrica Carén S.A.</t>
        </is>
      </c>
      <c r="J83" t="inlineStr">
        <is>
          <t>SIC 2013/03_2_BS1A_BB_Saesa_Empresa Eléctrica Carén S.A.</t>
        </is>
      </c>
      <c r="K83" t="inlineStr">
        <is>
          <t>Barro Blanco 023</t>
        </is>
      </c>
      <c r="L83" t="inlineStr">
        <is>
          <t>-1</t>
        </is>
      </c>
      <c r="M83" t="n">
        <v>1481.958329352994</v>
      </c>
      <c r="N83" t="n">
        <v>0</v>
      </c>
      <c r="O83" t="inlineStr">
        <is>
          <t>6</t>
        </is>
      </c>
      <c r="P83" s="2" t="n">
        <v>44659.60028225694</v>
      </c>
      <c r="Q83" t="n">
        <v>17</v>
      </c>
      <c r="R83" t="inlineStr">
        <is>
          <t>VALDIVIA 220</t>
        </is>
      </c>
      <c r="S83" t="n">
        <v>6.738581464118734</v>
      </c>
      <c r="T83" t="n">
        <v>508.2667668493518</v>
      </c>
      <c r="U83" t="n">
        <v>0</v>
      </c>
      <c r="V83" t="n">
        <v>0</v>
      </c>
      <c r="W83" t="inlineStr">
        <is>
          <t>SAESA</t>
        </is>
      </c>
      <c r="X83" t="n">
        <v>85.809299390577</v>
      </c>
      <c r="Y83" t="n">
        <v>0.5082667668493518</v>
      </c>
      <c r="Z83" t="n">
        <v>578.232954322357</v>
      </c>
      <c r="AA83" t="n">
        <v>0</v>
      </c>
      <c r="AB83" t="n">
        <v>0</v>
      </c>
      <c r="AC83" t="n">
        <v>0</v>
      </c>
      <c r="AD83" s="2" t="n">
        <v>44136</v>
      </c>
    </row>
    <row r="84">
      <c r="A84" t="n">
        <v>-1</v>
      </c>
      <c r="B84" t="inlineStr">
        <is>
          <t>01-11-2020</t>
        </is>
      </c>
      <c r="C84" t="n">
        <v>2020</v>
      </c>
      <c r="D84" t="n">
        <v>11</v>
      </c>
      <c r="E84" t="inlineStr">
        <is>
          <t>Calbuco 023</t>
        </is>
      </c>
      <c r="F84" t="inlineStr">
        <is>
          <t>SAESA</t>
        </is>
      </c>
      <c r="G84" t="inlineStr">
        <is>
          <t>SAESA</t>
        </is>
      </c>
      <c r="H84" t="inlineStr">
        <is>
          <t>Empresa Eléctrica Carén S.A.</t>
        </is>
      </c>
      <c r="I84" t="inlineStr">
        <is>
          <t>Empresa Eléctrica Carén S.A.</t>
        </is>
      </c>
      <c r="J84" t="inlineStr">
        <is>
          <t>SIC 2013/03_2_BS1A_BB_Saesa_Empresa Eléctrica Carén S.A.</t>
        </is>
      </c>
      <c r="K84" t="inlineStr">
        <is>
          <t>Calbuco 023</t>
        </is>
      </c>
      <c r="L84" t="inlineStr">
        <is>
          <t>-1</t>
        </is>
      </c>
      <c r="M84" t="n">
        <v>1057.827161002997</v>
      </c>
      <c r="N84" t="n">
        <v>0</v>
      </c>
      <c r="O84" t="inlineStr">
        <is>
          <t>6</t>
        </is>
      </c>
      <c r="P84" s="2" t="n">
        <v>44659.60028225694</v>
      </c>
      <c r="Q84" t="n">
        <v>24</v>
      </c>
      <c r="R84" t="inlineStr">
        <is>
          <t>CHILOE 220</t>
        </is>
      </c>
      <c r="S84" t="n">
        <v>0.3340956898076953</v>
      </c>
      <c r="T84" t="n">
        <v>23.32759142550298</v>
      </c>
      <c r="U84" t="n">
        <v>0</v>
      </c>
      <c r="V84" t="n">
        <v>0</v>
      </c>
      <c r="W84" t="inlineStr">
        <is>
          <t>SAESA</t>
        </is>
      </c>
      <c r="X84" t="n">
        <v>79.43468035948199</v>
      </c>
      <c r="Y84" t="n">
        <v>0.02332759142550297</v>
      </c>
      <c r="Z84" t="n">
        <v>26.53878432935492</v>
      </c>
      <c r="AA84" t="n">
        <v>0</v>
      </c>
      <c r="AB84" t="n">
        <v>0</v>
      </c>
      <c r="AC84" t="n">
        <v>0</v>
      </c>
      <c r="AD84" s="2" t="n">
        <v>44136</v>
      </c>
    </row>
    <row r="85">
      <c r="A85" t="n">
        <v>-1</v>
      </c>
      <c r="B85" t="inlineStr">
        <is>
          <t>01-11-2020</t>
        </is>
      </c>
      <c r="C85" t="n">
        <v>2020</v>
      </c>
      <c r="D85" t="n">
        <v>11</v>
      </c>
      <c r="E85" t="inlineStr">
        <is>
          <t>Calbuco 023</t>
        </is>
      </c>
      <c r="F85" t="inlineStr">
        <is>
          <t>SAESA</t>
        </is>
      </c>
      <c r="G85" t="inlineStr">
        <is>
          <t>SAESA</t>
        </is>
      </c>
      <c r="H85" t="inlineStr">
        <is>
          <t>Empresa Eléctrica Carén S.A.</t>
        </is>
      </c>
      <c r="I85" t="inlineStr">
        <is>
          <t>Empresa Eléctrica Carén S.A.</t>
        </is>
      </c>
      <c r="J85" t="inlineStr">
        <is>
          <t>SIC 2013/03_2_BS1A_BB_Saesa_Empresa Eléctrica Carén S.A.</t>
        </is>
      </c>
      <c r="K85" t="inlineStr">
        <is>
          <t>Calbuco 023</t>
        </is>
      </c>
      <c r="L85" t="inlineStr">
        <is>
          <t>-1</t>
        </is>
      </c>
      <c r="M85" t="n">
        <v>1057.827161002997</v>
      </c>
      <c r="N85" t="n">
        <v>0</v>
      </c>
      <c r="O85" t="inlineStr">
        <is>
          <t>6</t>
        </is>
      </c>
      <c r="P85" s="2" t="n">
        <v>44659.60028225694</v>
      </c>
      <c r="Q85" t="n">
        <v>6</v>
      </c>
      <c r="R85" t="inlineStr">
        <is>
          <t>MELIPULLI 220</t>
        </is>
      </c>
      <c r="S85" t="n">
        <v>1075.030960588249</v>
      </c>
      <c r="T85" t="n">
        <v>74487.02679698719</v>
      </c>
      <c r="U85" t="n">
        <v>0</v>
      </c>
      <c r="V85" t="n">
        <v>0</v>
      </c>
      <c r="W85" t="inlineStr">
        <is>
          <t>SAESA</t>
        </is>
      </c>
      <c r="X85" t="n">
        <v>78.826236570774</v>
      </c>
      <c r="Y85" t="n">
        <v>74.48702679698719</v>
      </c>
      <c r="Z85" t="n">
        <v>84740.64482023571</v>
      </c>
      <c r="AA85" t="n">
        <v>0</v>
      </c>
      <c r="AB85" t="n">
        <v>0</v>
      </c>
      <c r="AC85" t="n">
        <v>0</v>
      </c>
      <c r="AD85" s="2" t="n">
        <v>44136</v>
      </c>
    </row>
    <row r="86">
      <c r="A86" t="n">
        <v>-1</v>
      </c>
      <c r="B86" t="inlineStr">
        <is>
          <t>01-11-2020</t>
        </is>
      </c>
      <c r="C86" t="n">
        <v>2020</v>
      </c>
      <c r="D86" t="n">
        <v>11</v>
      </c>
      <c r="E86" t="inlineStr">
        <is>
          <t>Castro 023</t>
        </is>
      </c>
      <c r="F86" t="inlineStr">
        <is>
          <t>SAESA</t>
        </is>
      </c>
      <c r="G86" t="inlineStr">
        <is>
          <t>SAESA</t>
        </is>
      </c>
      <c r="H86" t="inlineStr">
        <is>
          <t>Empresa Eléctrica Carén S.A.</t>
        </is>
      </c>
      <c r="I86" t="inlineStr">
        <is>
          <t>Empresa Eléctrica Carén S.A.</t>
        </is>
      </c>
      <c r="J86" t="inlineStr">
        <is>
          <t>SIC 2013/03_2_BS1A_BB_Saesa_Empresa Eléctrica Carén S.A.</t>
        </is>
      </c>
      <c r="K86" t="inlineStr">
        <is>
          <t>Castro 023</t>
        </is>
      </c>
      <c r="L86" t="inlineStr">
        <is>
          <t>-1</t>
        </is>
      </c>
      <c r="M86" t="n">
        <v>1949.836793211193</v>
      </c>
      <c r="N86" t="n">
        <v>0</v>
      </c>
      <c r="O86" t="inlineStr">
        <is>
          <t>6</t>
        </is>
      </c>
      <c r="P86" s="2" t="n">
        <v>44659.60028225694</v>
      </c>
      <c r="Q86" t="n">
        <v>24</v>
      </c>
      <c r="R86" t="inlineStr">
        <is>
          <t>CHILOE 220</t>
        </is>
      </c>
      <c r="S86" t="n">
        <v>1982.163466928259</v>
      </c>
      <c r="T86" t="n">
        <v>138400.7663243906</v>
      </c>
      <c r="U86" t="n">
        <v>0</v>
      </c>
      <c r="V86" t="n">
        <v>0</v>
      </c>
      <c r="W86" t="inlineStr">
        <is>
          <t>SAESA</t>
        </is>
      </c>
      <c r="X86" t="n">
        <v>79.434680359482</v>
      </c>
      <c r="Y86" t="n">
        <v>138.4007663243906</v>
      </c>
      <c r="Z86" t="n">
        <v>157452.5214156889</v>
      </c>
      <c r="AA86" t="n">
        <v>0</v>
      </c>
      <c r="AB86" t="n">
        <v>0</v>
      </c>
      <c r="AC86" t="n">
        <v>0</v>
      </c>
      <c r="AD86" s="2" t="n">
        <v>44136</v>
      </c>
    </row>
    <row r="87">
      <c r="A87" t="n">
        <v>-1</v>
      </c>
      <c r="B87" t="inlineStr">
        <is>
          <t>01-11-2020</t>
        </is>
      </c>
      <c r="C87" t="n">
        <v>2020</v>
      </c>
      <c r="D87" t="n">
        <v>11</v>
      </c>
      <c r="E87" t="inlineStr">
        <is>
          <t>Chirre 23</t>
        </is>
      </c>
      <c r="F87" t="inlineStr">
        <is>
          <t>SAESA</t>
        </is>
      </c>
      <c r="G87" t="inlineStr">
        <is>
          <t>SAESA</t>
        </is>
      </c>
      <c r="H87" t="inlineStr">
        <is>
          <t>Empresa Eléctrica Carén S.A.</t>
        </is>
      </c>
      <c r="I87" t="inlineStr">
        <is>
          <t>Empresa Eléctrica Carén S.A.</t>
        </is>
      </c>
      <c r="J87" t="inlineStr">
        <is>
          <t>SIC 2013/03_2_BS1A_BB_Saesa_Empresa Eléctrica Carén S.A.</t>
        </is>
      </c>
      <c r="K87" t="inlineStr">
        <is>
          <t>Chirre 23</t>
        </is>
      </c>
      <c r="L87" t="inlineStr">
        <is>
          <t>-1</t>
        </is>
      </c>
      <c r="M87" t="n">
        <v>930.2175442999309</v>
      </c>
      <c r="N87" t="n">
        <v>0</v>
      </c>
      <c r="O87" t="inlineStr">
        <is>
          <t>6</t>
        </is>
      </c>
      <c r="P87" s="2" t="n">
        <v>44659.60028225694</v>
      </c>
      <c r="Q87" t="n">
        <v>15</v>
      </c>
      <c r="R87" t="inlineStr">
        <is>
          <t>BARRO BLANCO 220</t>
        </is>
      </c>
      <c r="S87" t="n">
        <v>945.6397781736443</v>
      </c>
      <c r="T87" t="n">
        <v>65825.18609502005</v>
      </c>
      <c r="U87" t="n">
        <v>0</v>
      </c>
      <c r="V87" t="n">
        <v>0</v>
      </c>
      <c r="W87" t="inlineStr">
        <is>
          <t>SAESA</t>
        </is>
      </c>
      <c r="X87" t="n">
        <v>79.19130285958501</v>
      </c>
      <c r="Y87" t="n">
        <v>65.82518609502004</v>
      </c>
      <c r="Z87" t="n">
        <v>74886.44606941985</v>
      </c>
      <c r="AA87" t="n">
        <v>0</v>
      </c>
      <c r="AB87" t="n">
        <v>0</v>
      </c>
      <c r="AC87" t="n">
        <v>0</v>
      </c>
      <c r="AD87" s="2" t="n">
        <v>44136</v>
      </c>
    </row>
    <row r="88">
      <c r="A88" t="n">
        <v>-1</v>
      </c>
      <c r="B88" t="inlineStr">
        <is>
          <t>01-11-2020</t>
        </is>
      </c>
      <c r="C88" t="n">
        <v>2020</v>
      </c>
      <c r="D88" t="n">
        <v>11</v>
      </c>
      <c r="E88" t="inlineStr">
        <is>
          <t>Chonchi 023</t>
        </is>
      </c>
      <c r="F88" t="inlineStr">
        <is>
          <t>SAESA</t>
        </is>
      </c>
      <c r="G88" t="inlineStr">
        <is>
          <t>SAESA</t>
        </is>
      </c>
      <c r="H88" t="inlineStr">
        <is>
          <t>Empresa Eléctrica Carén S.A.</t>
        </is>
      </c>
      <c r="I88" t="inlineStr">
        <is>
          <t>Empresa Eléctrica Carén S.A.</t>
        </is>
      </c>
      <c r="J88" t="inlineStr">
        <is>
          <t>SIC 2013/03_2_BS1A_BB_Saesa_Empresa Eléctrica Carén S.A.</t>
        </is>
      </c>
      <c r="K88" t="inlineStr">
        <is>
          <t>Chonchi 023</t>
        </is>
      </c>
      <c r="L88" t="inlineStr">
        <is>
          <t>-1</t>
        </is>
      </c>
      <c r="M88" t="n">
        <v>1258.471550093017</v>
      </c>
      <c r="N88" t="n">
        <v>0</v>
      </c>
      <c r="O88" t="inlineStr">
        <is>
          <t>6</t>
        </is>
      </c>
      <c r="P88" s="2" t="n">
        <v>44659.60028225694</v>
      </c>
      <c r="Q88" t="n">
        <v>24</v>
      </c>
      <c r="R88" t="inlineStr">
        <is>
          <t>CHILOE 220</t>
        </is>
      </c>
      <c r="S88" t="n">
        <v>1279.335962603701</v>
      </c>
      <c r="T88" t="n">
        <v>89327.18242713556</v>
      </c>
      <c r="U88" t="n">
        <v>0</v>
      </c>
      <c r="V88" t="n">
        <v>0</v>
      </c>
      <c r="W88" t="inlineStr">
        <is>
          <t>SAESA</t>
        </is>
      </c>
      <c r="X88" t="n">
        <v>79.434680359482</v>
      </c>
      <c r="Y88" t="n">
        <v>89.32718242713557</v>
      </c>
      <c r="Z88" t="n">
        <v>101623.6432618152</v>
      </c>
      <c r="AA88" t="n">
        <v>0</v>
      </c>
      <c r="AB88" t="n">
        <v>0</v>
      </c>
      <c r="AC88" t="n">
        <v>0</v>
      </c>
      <c r="AD88" s="2" t="n">
        <v>44136</v>
      </c>
    </row>
    <row r="89">
      <c r="A89" t="n">
        <v>-1</v>
      </c>
      <c r="B89" t="inlineStr">
        <is>
          <t>01-11-2020</t>
        </is>
      </c>
      <c r="C89" t="n">
        <v>2020</v>
      </c>
      <c r="D89" t="n">
        <v>11</v>
      </c>
      <c r="E89" t="inlineStr">
        <is>
          <t>Colaco 023</t>
        </is>
      </c>
      <c r="F89" t="inlineStr">
        <is>
          <t>SAESA</t>
        </is>
      </c>
      <c r="G89" t="inlineStr">
        <is>
          <t>SAESA</t>
        </is>
      </c>
      <c r="H89" t="inlineStr">
        <is>
          <t>Empresa Eléctrica Carén S.A.</t>
        </is>
      </c>
      <c r="I89" t="inlineStr">
        <is>
          <t>Empresa Eléctrica Carén S.A.</t>
        </is>
      </c>
      <c r="J89" t="inlineStr">
        <is>
          <t>SIC 2013/03_2_BS1A_BB_Saesa_Empresa Eléctrica Carén S.A.</t>
        </is>
      </c>
      <c r="K89" t="inlineStr">
        <is>
          <t>Colaco 023</t>
        </is>
      </c>
      <c r="L89" t="inlineStr">
        <is>
          <t>-1</t>
        </is>
      </c>
      <c r="M89" t="n">
        <v>1095.953308558664</v>
      </c>
      <c r="N89" t="n">
        <v>0</v>
      </c>
      <c r="O89" t="inlineStr">
        <is>
          <t>6</t>
        </is>
      </c>
      <c r="P89" s="2" t="n">
        <v>44659.60028225694</v>
      </c>
      <c r="Q89" t="n">
        <v>24</v>
      </c>
      <c r="R89" t="inlineStr">
        <is>
          <t>CHILOE 220</t>
        </is>
      </c>
      <c r="S89" t="n">
        <v>0.3722851898556994</v>
      </c>
      <c r="T89" t="n">
        <v>25.99410009664701</v>
      </c>
      <c r="U89" t="n">
        <v>0</v>
      </c>
      <c r="V89" t="n">
        <v>0</v>
      </c>
      <c r="W89" t="inlineStr">
        <is>
          <t>SAESA</t>
        </is>
      </c>
      <c r="X89" t="n">
        <v>79.434680359482</v>
      </c>
      <c r="Y89" t="n">
        <v>0.02599410009664701</v>
      </c>
      <c r="Z89" t="n">
        <v>29.57235505875655</v>
      </c>
      <c r="AA89" t="n">
        <v>0</v>
      </c>
      <c r="AB89" t="n">
        <v>0</v>
      </c>
      <c r="AC89" t="n">
        <v>0</v>
      </c>
      <c r="AD89" s="2" t="n">
        <v>44136</v>
      </c>
    </row>
    <row r="90">
      <c r="A90" t="n">
        <v>-1</v>
      </c>
      <c r="B90" t="inlineStr">
        <is>
          <t>01-11-2020</t>
        </is>
      </c>
      <c r="C90" t="n">
        <v>2020</v>
      </c>
      <c r="D90" t="n">
        <v>11</v>
      </c>
      <c r="E90" t="inlineStr">
        <is>
          <t>Colaco 023</t>
        </is>
      </c>
      <c r="F90" t="inlineStr">
        <is>
          <t>SAESA</t>
        </is>
      </c>
      <c r="G90" t="inlineStr">
        <is>
          <t>SAESA</t>
        </is>
      </c>
      <c r="H90" t="inlineStr">
        <is>
          <t>Empresa Eléctrica Carén S.A.</t>
        </is>
      </c>
      <c r="I90" t="inlineStr">
        <is>
          <t>Empresa Eléctrica Carén S.A.</t>
        </is>
      </c>
      <c r="J90" t="inlineStr">
        <is>
          <t>SIC 2013/03_2_BS1A_BB_Saesa_Empresa Eléctrica Carén S.A.</t>
        </is>
      </c>
      <c r="K90" t="inlineStr">
        <is>
          <t>Colaco 023</t>
        </is>
      </c>
      <c r="L90" t="inlineStr">
        <is>
          <t>-1</t>
        </is>
      </c>
      <c r="M90" t="n">
        <v>1095.953308558664</v>
      </c>
      <c r="N90" t="n">
        <v>0</v>
      </c>
      <c r="O90" t="inlineStr">
        <is>
          <t>6</t>
        </is>
      </c>
      <c r="P90" s="2" t="n">
        <v>44659.60028225694</v>
      </c>
      <c r="Q90" t="n">
        <v>6</v>
      </c>
      <c r="R90" t="inlineStr">
        <is>
          <t>MELIPULLI 220</t>
        </is>
      </c>
      <c r="S90" t="n">
        <v>1113.751018487512</v>
      </c>
      <c r="T90" t="n">
        <v>77169.87231126441</v>
      </c>
      <c r="U90" t="n">
        <v>0</v>
      </c>
      <c r="V90" t="n">
        <v>0</v>
      </c>
      <c r="W90" t="inlineStr">
        <is>
          <t>SAESA</t>
        </is>
      </c>
      <c r="X90" t="n">
        <v>78.826236570774</v>
      </c>
      <c r="Y90" t="n">
        <v>77.1698723112644</v>
      </c>
      <c r="Z90" t="n">
        <v>87792.80126423709</v>
      </c>
      <c r="AA90" t="n">
        <v>0</v>
      </c>
      <c r="AB90" t="n">
        <v>0</v>
      </c>
      <c r="AC90" t="n">
        <v>0</v>
      </c>
      <c r="AD90" s="2" t="n">
        <v>44136</v>
      </c>
    </row>
    <row r="91">
      <c r="A91" t="n">
        <v>-1</v>
      </c>
      <c r="B91" t="inlineStr">
        <is>
          <t>01-11-2020</t>
        </is>
      </c>
      <c r="C91" t="n">
        <v>2020</v>
      </c>
      <c r="D91" t="n">
        <v>11</v>
      </c>
      <c r="E91" t="inlineStr">
        <is>
          <t>Corral 13.8</t>
        </is>
      </c>
      <c r="F91" t="inlineStr">
        <is>
          <t>SAESA</t>
        </is>
      </c>
      <c r="G91" t="inlineStr">
        <is>
          <t>SAESA</t>
        </is>
      </c>
      <c r="H91" t="inlineStr">
        <is>
          <t>Empresa Eléctrica Carén S.A.</t>
        </is>
      </c>
      <c r="I91" t="inlineStr">
        <is>
          <t>Empresa Eléctrica Carén S.A.</t>
        </is>
      </c>
      <c r="J91" t="inlineStr">
        <is>
          <t>SIC 2013/03_2_BS1A_BB_Saesa_Empresa Eléctrica Carén S.A.</t>
        </is>
      </c>
      <c r="K91" t="inlineStr">
        <is>
          <t>Corral 13.8</t>
        </is>
      </c>
      <c r="L91" t="inlineStr">
        <is>
          <t>-1</t>
        </is>
      </c>
      <c r="M91" t="n">
        <v>336.2511912478358</v>
      </c>
      <c r="N91" t="n">
        <v>0</v>
      </c>
      <c r="O91" t="inlineStr">
        <is>
          <t>6</t>
        </is>
      </c>
      <c r="P91" s="2" t="n">
        <v>44659.60028225694</v>
      </c>
      <c r="Q91" t="n">
        <v>15</v>
      </c>
      <c r="R91" t="inlineStr">
        <is>
          <t>BARRO BLANCO 220</t>
        </is>
      </c>
      <c r="S91" t="n">
        <v>28.56911443078713</v>
      </c>
      <c r="T91" t="n">
        <v>1988.671920727053</v>
      </c>
      <c r="U91" t="n">
        <v>0</v>
      </c>
      <c r="V91" t="n">
        <v>0</v>
      </c>
      <c r="W91" t="inlineStr">
        <is>
          <t>SAESA</t>
        </is>
      </c>
      <c r="X91" t="n">
        <v>79.19130285958501</v>
      </c>
      <c r="Y91" t="n">
        <v>1.988671920727053</v>
      </c>
      <c r="Z91" t="n">
        <v>2262.425393318604</v>
      </c>
      <c r="AA91" t="n">
        <v>0</v>
      </c>
      <c r="AB91" t="n">
        <v>0</v>
      </c>
      <c r="AC91" t="n">
        <v>0</v>
      </c>
      <c r="AD91" s="2" t="n">
        <v>44136</v>
      </c>
    </row>
    <row r="92">
      <c r="A92" t="n">
        <v>-1</v>
      </c>
      <c r="B92" t="inlineStr">
        <is>
          <t>01-11-2020</t>
        </is>
      </c>
      <c r="C92" t="n">
        <v>2020</v>
      </c>
      <c r="D92" t="n">
        <v>11</v>
      </c>
      <c r="E92" t="inlineStr">
        <is>
          <t>Corral 13.8</t>
        </is>
      </c>
      <c r="F92" t="inlineStr">
        <is>
          <t>SAESA</t>
        </is>
      </c>
      <c r="G92" t="inlineStr">
        <is>
          <t>SAESA</t>
        </is>
      </c>
      <c r="H92" t="inlineStr">
        <is>
          <t>Empresa Eléctrica Carén S.A.</t>
        </is>
      </c>
      <c r="I92" t="inlineStr">
        <is>
          <t>Empresa Eléctrica Carén S.A.</t>
        </is>
      </c>
      <c r="J92" t="inlineStr">
        <is>
          <t>SIC 2013/03_2_BS1A_BB_Saesa_Empresa Eléctrica Carén S.A.</t>
        </is>
      </c>
      <c r="K92" t="inlineStr">
        <is>
          <t>Corral 13.8</t>
        </is>
      </c>
      <c r="L92" t="inlineStr">
        <is>
          <t>-1</t>
        </is>
      </c>
      <c r="M92" t="n">
        <v>336.2511912478358</v>
      </c>
      <c r="N92" t="n">
        <v>0</v>
      </c>
      <c r="O92" t="inlineStr">
        <is>
          <t>6</t>
        </is>
      </c>
      <c r="P92" s="2" t="n">
        <v>44659.60028225694</v>
      </c>
      <c r="Q92" t="n">
        <v>6</v>
      </c>
      <c r="R92" t="inlineStr">
        <is>
          <t>MELIPULLI 220</t>
        </is>
      </c>
      <c r="S92" t="n">
        <v>0.7556944046429822</v>
      </c>
      <c r="T92" t="n">
        <v>52.36075185981058</v>
      </c>
      <c r="U92" t="n">
        <v>0</v>
      </c>
      <c r="V92" t="n">
        <v>0</v>
      </c>
      <c r="W92" t="inlineStr">
        <is>
          <t>SAESA</t>
        </is>
      </c>
      <c r="X92" t="n">
        <v>78.82623657077401</v>
      </c>
      <c r="Y92" t="n">
        <v>0.05236075185981059</v>
      </c>
      <c r="Z92" t="n">
        <v>59.56854591559792</v>
      </c>
      <c r="AA92" t="n">
        <v>0</v>
      </c>
      <c r="AB92" t="n">
        <v>0</v>
      </c>
      <c r="AC92" t="n">
        <v>0</v>
      </c>
      <c r="AD92" s="2" t="n">
        <v>44136</v>
      </c>
    </row>
    <row r="93">
      <c r="A93" t="n">
        <v>-1</v>
      </c>
      <c r="B93" t="inlineStr">
        <is>
          <t>01-11-2020</t>
        </is>
      </c>
      <c r="C93" t="n">
        <v>2020</v>
      </c>
      <c r="D93" t="n">
        <v>11</v>
      </c>
      <c r="E93" t="inlineStr">
        <is>
          <t>Corral 13.8</t>
        </is>
      </c>
      <c r="F93" t="inlineStr">
        <is>
          <t>SAESA</t>
        </is>
      </c>
      <c r="G93" t="inlineStr">
        <is>
          <t>SAESA</t>
        </is>
      </c>
      <c r="H93" t="inlineStr">
        <is>
          <t>Empresa Eléctrica Carén S.A.</t>
        </is>
      </c>
      <c r="I93" t="inlineStr">
        <is>
          <t>Empresa Eléctrica Carén S.A.</t>
        </is>
      </c>
      <c r="J93" t="inlineStr">
        <is>
          <t>SIC 2013/03_2_BS1A_BB_Saesa_Empresa Eléctrica Carén S.A.</t>
        </is>
      </c>
      <c r="K93" t="inlineStr">
        <is>
          <t>Corral 13.8</t>
        </is>
      </c>
      <c r="L93" t="inlineStr">
        <is>
          <t>-1</t>
        </is>
      </c>
      <c r="M93" t="n">
        <v>336.2511912478358</v>
      </c>
      <c r="N93" t="n">
        <v>0</v>
      </c>
      <c r="O93" t="inlineStr">
        <is>
          <t>6</t>
        </is>
      </c>
      <c r="P93" s="2" t="n">
        <v>44659.60028225694</v>
      </c>
      <c r="Q93" t="n">
        <v>17</v>
      </c>
      <c r="R93" t="inlineStr">
        <is>
          <t>VALDIVIA 220</t>
        </is>
      </c>
      <c r="S93" t="n">
        <v>312.5011477385547</v>
      </c>
      <c r="T93" t="n">
        <v>23570.82849610679</v>
      </c>
      <c r="U93" t="n">
        <v>0</v>
      </c>
      <c r="V93" t="n">
        <v>0</v>
      </c>
      <c r="W93" t="inlineStr">
        <is>
          <t>SAESA</t>
        </is>
      </c>
      <c r="X93" t="n">
        <v>85.80929939057701</v>
      </c>
      <c r="Y93" t="n">
        <v>23.57082849610679</v>
      </c>
      <c r="Z93" t="n">
        <v>26815.50454619657</v>
      </c>
      <c r="AA93" t="n">
        <v>0</v>
      </c>
      <c r="AB93" t="n">
        <v>0</v>
      </c>
      <c r="AC93" t="n">
        <v>0</v>
      </c>
      <c r="AD93" s="2" t="n">
        <v>44136</v>
      </c>
    </row>
    <row r="94">
      <c r="A94" t="n">
        <v>-1</v>
      </c>
      <c r="B94" t="inlineStr">
        <is>
          <t>01-11-2020</t>
        </is>
      </c>
      <c r="C94" t="n">
        <v>2020</v>
      </c>
      <c r="D94" t="n">
        <v>11</v>
      </c>
      <c r="E94" t="inlineStr">
        <is>
          <t>Dalcahue 023</t>
        </is>
      </c>
      <c r="F94" t="inlineStr">
        <is>
          <t>SAESA</t>
        </is>
      </c>
      <c r="G94" t="inlineStr">
        <is>
          <t>SAESA</t>
        </is>
      </c>
      <c r="H94" t="inlineStr">
        <is>
          <t>Empresa Eléctrica Carén S.A.</t>
        </is>
      </c>
      <c r="I94" t="inlineStr">
        <is>
          <t>Empresa Eléctrica Carén S.A.</t>
        </is>
      </c>
      <c r="J94" t="inlineStr">
        <is>
          <t>SIC 2013/03_2_BS1A_BB_Saesa_Empresa Eléctrica Carén S.A.</t>
        </is>
      </c>
      <c r="K94" t="inlineStr">
        <is>
          <t>Dalcahue 023</t>
        </is>
      </c>
      <c r="L94" t="inlineStr">
        <is>
          <t>-1</t>
        </is>
      </c>
      <c r="M94" t="n">
        <v>1541.440134120942</v>
      </c>
      <c r="N94" t="n">
        <v>0</v>
      </c>
      <c r="O94" t="inlineStr">
        <is>
          <t>6</t>
        </is>
      </c>
      <c r="P94" s="2" t="n">
        <v>44659.60028225694</v>
      </c>
      <c r="Q94" t="n">
        <v>24</v>
      </c>
      <c r="R94" t="inlineStr">
        <is>
          <t>CHILOE 220</t>
        </is>
      </c>
      <c r="S94" t="n">
        <v>1566.995930607916</v>
      </c>
      <c r="T94" t="n">
        <v>109412.4885468825</v>
      </c>
      <c r="U94" t="n">
        <v>0</v>
      </c>
      <c r="V94" t="n">
        <v>0</v>
      </c>
      <c r="W94" t="inlineStr">
        <is>
          <t>SAESA</t>
        </is>
      </c>
      <c r="X94" t="n">
        <v>79.434680359482</v>
      </c>
      <c r="Y94" t="n">
        <v>109.4124885468825</v>
      </c>
      <c r="Z94" t="n">
        <v>124473.8208724488</v>
      </c>
      <c r="AA94" t="n">
        <v>0</v>
      </c>
      <c r="AB94" t="n">
        <v>0</v>
      </c>
      <c r="AC94" t="n">
        <v>0</v>
      </c>
      <c r="AD94" s="2" t="n">
        <v>44136</v>
      </c>
    </row>
    <row r="95">
      <c r="A95" t="n">
        <v>-1</v>
      </c>
      <c r="B95" t="inlineStr">
        <is>
          <t>01-11-2020</t>
        </is>
      </c>
      <c r="C95" t="n">
        <v>2020</v>
      </c>
      <c r="D95" t="n">
        <v>11</v>
      </c>
      <c r="E95" t="inlineStr">
        <is>
          <t>Degañ 023</t>
        </is>
      </c>
      <c r="F95" t="inlineStr">
        <is>
          <t>SAESA</t>
        </is>
      </c>
      <c r="G95" t="inlineStr">
        <is>
          <t>SAESA</t>
        </is>
      </c>
      <c r="H95" t="inlineStr">
        <is>
          <t>Empresa Eléctrica Carén S.A.</t>
        </is>
      </c>
      <c r="I95" t="inlineStr">
        <is>
          <t>Empresa Eléctrica Carén S.A.</t>
        </is>
      </c>
      <c r="J95" t="inlineStr">
        <is>
          <t>SIC 2013/03_2_BS1A_BB_Saesa_Empresa Eléctrica Carén S.A.</t>
        </is>
      </c>
      <c r="K95" t="inlineStr">
        <is>
          <t>Degañ 023</t>
        </is>
      </c>
      <c r="L95" t="inlineStr">
        <is>
          <t>-1</t>
        </is>
      </c>
      <c r="M95" t="n">
        <v>475.8880428315568</v>
      </c>
      <c r="N95" t="n">
        <v>0</v>
      </c>
      <c r="O95" t="inlineStr">
        <is>
          <t>6</t>
        </is>
      </c>
      <c r="P95" s="2" t="n">
        <v>44659.60028225694</v>
      </c>
      <c r="Q95" t="n">
        <v>24</v>
      </c>
      <c r="R95" t="inlineStr">
        <is>
          <t>CHILOE 220</t>
        </is>
      </c>
      <c r="S95" t="n">
        <v>483.7778711187403</v>
      </c>
      <c r="T95" t="n">
        <v>33778.86294987357</v>
      </c>
      <c r="U95" t="n">
        <v>0</v>
      </c>
      <c r="V95" t="n">
        <v>0</v>
      </c>
      <c r="W95" t="inlineStr">
        <is>
          <t>SAESA</t>
        </is>
      </c>
      <c r="X95" t="n">
        <v>79.43468035948199</v>
      </c>
      <c r="Y95" t="n">
        <v>33.77886294987357</v>
      </c>
      <c r="Z95" t="n">
        <v>38428.74055730781</v>
      </c>
      <c r="AA95" t="n">
        <v>0</v>
      </c>
      <c r="AB95" t="n">
        <v>0</v>
      </c>
      <c r="AC95" t="n">
        <v>0</v>
      </c>
      <c r="AD95" s="2" t="n">
        <v>44136</v>
      </c>
    </row>
    <row r="96">
      <c r="A96" t="n">
        <v>-1</v>
      </c>
      <c r="B96" t="inlineStr">
        <is>
          <t>01-11-2020</t>
        </is>
      </c>
      <c r="C96" t="n">
        <v>2020</v>
      </c>
      <c r="D96" t="n">
        <v>11</v>
      </c>
      <c r="E96" t="inlineStr">
        <is>
          <t>El Empalme 023</t>
        </is>
      </c>
      <c r="F96" t="inlineStr">
        <is>
          <t>SAESA</t>
        </is>
      </c>
      <c r="G96" t="inlineStr">
        <is>
          <t>SAESA</t>
        </is>
      </c>
      <c r="H96" t="inlineStr">
        <is>
          <t>Empresa Eléctrica Carén S.A.</t>
        </is>
      </c>
      <c r="I96" t="inlineStr">
        <is>
          <t>Empresa Eléctrica Carén S.A.</t>
        </is>
      </c>
      <c r="J96" t="inlineStr">
        <is>
          <t>SIC 2013/03_2_BS1A_BB_Saesa_Empresa Eléctrica Carén S.A.</t>
        </is>
      </c>
      <c r="K96" t="inlineStr">
        <is>
          <t>El Empalme 023</t>
        </is>
      </c>
      <c r="L96" t="inlineStr">
        <is>
          <t>-1</t>
        </is>
      </c>
      <c r="M96" t="n">
        <v>961.9093924097986</v>
      </c>
      <c r="N96" t="n">
        <v>0</v>
      </c>
      <c r="O96" t="inlineStr">
        <is>
          <t>6</t>
        </is>
      </c>
      <c r="P96" s="2" t="n">
        <v>44659.60028225694</v>
      </c>
      <c r="Q96" t="n">
        <v>24</v>
      </c>
      <c r="R96" t="inlineStr">
        <is>
          <t>CHILOE 220</t>
        </is>
      </c>
      <c r="S96" t="n">
        <v>0.3314826066669967</v>
      </c>
      <c r="T96" t="n">
        <v>23.14513790177696</v>
      </c>
      <c r="U96" t="n">
        <v>0</v>
      </c>
      <c r="V96" t="n">
        <v>0</v>
      </c>
      <c r="W96" t="inlineStr">
        <is>
          <t>SAESA</t>
        </is>
      </c>
      <c r="X96" t="n">
        <v>79.434680359482</v>
      </c>
      <c r="Y96" t="n">
        <v>0.02314513790177697</v>
      </c>
      <c r="Z96" t="n">
        <v>26.33121490532078</v>
      </c>
      <c r="AA96" t="n">
        <v>0</v>
      </c>
      <c r="AB96" t="n">
        <v>0</v>
      </c>
      <c r="AC96" t="n">
        <v>0</v>
      </c>
      <c r="AD96" s="2" t="n">
        <v>44136</v>
      </c>
    </row>
    <row r="97">
      <c r="A97" t="n">
        <v>-1</v>
      </c>
      <c r="B97" t="inlineStr">
        <is>
          <t>01-11-2020</t>
        </is>
      </c>
      <c r="C97" t="n">
        <v>2020</v>
      </c>
      <c r="D97" t="n">
        <v>11</v>
      </c>
      <c r="E97" t="inlineStr">
        <is>
          <t>El Empalme 023</t>
        </is>
      </c>
      <c r="F97" t="inlineStr">
        <is>
          <t>SAESA</t>
        </is>
      </c>
      <c r="G97" t="inlineStr">
        <is>
          <t>SAESA</t>
        </is>
      </c>
      <c r="H97" t="inlineStr">
        <is>
          <t>Empresa Eléctrica Carén S.A.</t>
        </is>
      </c>
      <c r="I97" t="inlineStr">
        <is>
          <t>Empresa Eléctrica Carén S.A.</t>
        </is>
      </c>
      <c r="J97" t="inlineStr">
        <is>
          <t>SIC 2013/03_2_BS1A_BB_Saesa_Empresa Eléctrica Carén S.A.</t>
        </is>
      </c>
      <c r="K97" t="inlineStr">
        <is>
          <t>El Empalme 023</t>
        </is>
      </c>
      <c r="L97" t="inlineStr">
        <is>
          <t>-1</t>
        </is>
      </c>
      <c r="M97" t="n">
        <v>961.9093924097986</v>
      </c>
      <c r="N97" t="n">
        <v>0</v>
      </c>
      <c r="O97" t="inlineStr">
        <is>
          <t>6</t>
        </is>
      </c>
      <c r="P97" s="2" t="n">
        <v>44659.60028225694</v>
      </c>
      <c r="Q97" t="n">
        <v>6</v>
      </c>
      <c r="R97" t="inlineStr">
        <is>
          <t>MELIPULLI 220</t>
        </is>
      </c>
      <c r="S97" t="n">
        <v>977.5255681825811</v>
      </c>
      <c r="T97" t="n">
        <v>67731.047626864</v>
      </c>
      <c r="U97" t="n">
        <v>0</v>
      </c>
      <c r="V97" t="n">
        <v>0</v>
      </c>
      <c r="W97" t="inlineStr">
        <is>
          <t>SAESA</t>
        </is>
      </c>
      <c r="X97" t="n">
        <v>78.82623657077399</v>
      </c>
      <c r="Y97" t="n">
        <v>67.731047626864</v>
      </c>
      <c r="Z97" t="n">
        <v>77054.66169154039</v>
      </c>
      <c r="AA97" t="n">
        <v>0</v>
      </c>
      <c r="AB97" t="n">
        <v>0</v>
      </c>
      <c r="AC97" t="n">
        <v>0</v>
      </c>
      <c r="AD97" s="2" t="n">
        <v>44136</v>
      </c>
    </row>
    <row r="98">
      <c r="A98" t="n">
        <v>-1</v>
      </c>
      <c r="B98" t="inlineStr">
        <is>
          <t>01-11-2020</t>
        </is>
      </c>
      <c r="C98" t="n">
        <v>2020</v>
      </c>
      <c r="D98" t="n">
        <v>11</v>
      </c>
      <c r="E98" t="inlineStr">
        <is>
          <t>Frutillar 13.2</t>
        </is>
      </c>
      <c r="F98" t="inlineStr">
        <is>
          <t>SAESA</t>
        </is>
      </c>
      <c r="G98" t="inlineStr">
        <is>
          <t>SAESA</t>
        </is>
      </c>
      <c r="H98" t="inlineStr">
        <is>
          <t>Empresa Eléctrica Carén S.A.</t>
        </is>
      </c>
      <c r="I98" t="inlineStr">
        <is>
          <t>Empresa Eléctrica Carén S.A.</t>
        </is>
      </c>
      <c r="J98" t="inlineStr">
        <is>
          <t>SIC 2013/03_2_BS1A_BB_Saesa_Empresa Eléctrica Carén S.A.</t>
        </is>
      </c>
      <c r="K98" t="inlineStr">
        <is>
          <t>Frutillar 13.2</t>
        </is>
      </c>
      <c r="L98" t="inlineStr">
        <is>
          <t>-1</t>
        </is>
      </c>
      <c r="M98" t="n">
        <v>1855.412044866589</v>
      </c>
      <c r="N98" t="n">
        <v>0</v>
      </c>
      <c r="O98" t="inlineStr">
        <is>
          <t>6</t>
        </is>
      </c>
      <c r="P98" s="2" t="n">
        <v>44659.60028225694</v>
      </c>
      <c r="Q98" t="n">
        <v>15</v>
      </c>
      <c r="R98" t="inlineStr">
        <is>
          <t>BARRO BLANCO 220</t>
        </is>
      </c>
      <c r="S98" t="n">
        <v>984.5243172958483</v>
      </c>
      <c r="T98" t="n">
        <v>68531.90601418588</v>
      </c>
      <c r="U98" t="n">
        <v>0</v>
      </c>
      <c r="V98" t="n">
        <v>0</v>
      </c>
      <c r="W98" t="inlineStr">
        <is>
          <t>SAESA</t>
        </is>
      </c>
      <c r="X98" t="n">
        <v>79.19130285958499</v>
      </c>
      <c r="Y98" t="n">
        <v>68.53190601418588</v>
      </c>
      <c r="Z98" t="n">
        <v>77965.76338360168</v>
      </c>
      <c r="AA98" t="n">
        <v>0</v>
      </c>
      <c r="AB98" t="n">
        <v>0</v>
      </c>
      <c r="AC98" t="n">
        <v>0</v>
      </c>
      <c r="AD98" s="2" t="n">
        <v>44136</v>
      </c>
    </row>
    <row r="99">
      <c r="A99" t="n">
        <v>-1</v>
      </c>
      <c r="B99" t="inlineStr">
        <is>
          <t>01-11-2020</t>
        </is>
      </c>
      <c r="C99" t="n">
        <v>2020</v>
      </c>
      <c r="D99" t="n">
        <v>11</v>
      </c>
      <c r="E99" t="inlineStr">
        <is>
          <t>Frutillar 13.2</t>
        </is>
      </c>
      <c r="F99" t="inlineStr">
        <is>
          <t>SAESA</t>
        </is>
      </c>
      <c r="G99" t="inlineStr">
        <is>
          <t>SAESA</t>
        </is>
      </c>
      <c r="H99" t="inlineStr">
        <is>
          <t>Empresa Eléctrica Carén S.A.</t>
        </is>
      </c>
      <c r="I99" t="inlineStr">
        <is>
          <t>Empresa Eléctrica Carén S.A.</t>
        </is>
      </c>
      <c r="J99" t="inlineStr">
        <is>
          <t>SIC 2013/03_2_BS1A_BB_Saesa_Empresa Eléctrica Carén S.A.</t>
        </is>
      </c>
      <c r="K99" t="inlineStr">
        <is>
          <t>Frutillar 13.2</t>
        </is>
      </c>
      <c r="L99" t="inlineStr">
        <is>
          <t>-1</t>
        </is>
      </c>
      <c r="M99" t="n">
        <v>1855.412044866589</v>
      </c>
      <c r="N99" t="n">
        <v>0</v>
      </c>
      <c r="O99" t="inlineStr">
        <is>
          <t>6</t>
        </is>
      </c>
      <c r="P99" s="2" t="n">
        <v>44659.60028225694</v>
      </c>
      <c r="Q99" t="n">
        <v>6</v>
      </c>
      <c r="R99" t="inlineStr">
        <is>
          <t>MELIPULLI 220</t>
        </is>
      </c>
      <c r="S99" t="n">
        <v>901.6489174272193</v>
      </c>
      <c r="T99" t="n">
        <v>62473.68637376332</v>
      </c>
      <c r="U99" t="n">
        <v>0</v>
      </c>
      <c r="V99" t="n">
        <v>0</v>
      </c>
      <c r="W99" t="inlineStr">
        <is>
          <t>SAESA</t>
        </is>
      </c>
      <c r="X99" t="n">
        <v>78.82623657077399</v>
      </c>
      <c r="Y99" t="n">
        <v>62.47368637376332</v>
      </c>
      <c r="Z99" t="n">
        <v>71073.59086890025</v>
      </c>
      <c r="AA99" t="n">
        <v>0</v>
      </c>
      <c r="AB99" t="n">
        <v>0</v>
      </c>
      <c r="AC99" t="n">
        <v>0</v>
      </c>
      <c r="AD99" s="2" t="n">
        <v>44136</v>
      </c>
    </row>
    <row r="100">
      <c r="A100" t="n">
        <v>-1</v>
      </c>
      <c r="B100" t="inlineStr">
        <is>
          <t>01-11-2020</t>
        </is>
      </c>
      <c r="C100" t="n">
        <v>2020</v>
      </c>
      <c r="D100" t="n">
        <v>11</v>
      </c>
      <c r="E100" t="inlineStr">
        <is>
          <t>La Union 1 023</t>
        </is>
      </c>
      <c r="F100" t="inlineStr">
        <is>
          <t>SAESA</t>
        </is>
      </c>
      <c r="G100" t="inlineStr">
        <is>
          <t>SAESA</t>
        </is>
      </c>
      <c r="H100" t="inlineStr">
        <is>
          <t>Empresa Eléctrica Carén S.A.</t>
        </is>
      </c>
      <c r="I100" t="inlineStr">
        <is>
          <t>Empresa Eléctrica Carén S.A.</t>
        </is>
      </c>
      <c r="J100" t="inlineStr">
        <is>
          <t>SIC 2013/03_2_BS1A_BB_Saesa_Empresa Eléctrica Carén S.A.</t>
        </is>
      </c>
      <c r="K100" t="inlineStr">
        <is>
          <t>La Union 1 023</t>
        </is>
      </c>
      <c r="L100" t="inlineStr">
        <is>
          <t>-1</t>
        </is>
      </c>
      <c r="M100" t="n">
        <v>1587.772138506946</v>
      </c>
      <c r="N100" t="n">
        <v>0</v>
      </c>
      <c r="O100" t="inlineStr">
        <is>
          <t>6</t>
        </is>
      </c>
      <c r="P100" s="2" t="n">
        <v>44659.60028225694</v>
      </c>
      <c r="Q100" t="n">
        <v>15</v>
      </c>
      <c r="R100" t="inlineStr">
        <is>
          <t>BARRO BLANCO 220</t>
        </is>
      </c>
      <c r="S100" t="n">
        <v>1569.6057069903</v>
      </c>
      <c r="T100" t="n">
        <v>109258.9272820012</v>
      </c>
      <c r="U100" t="n">
        <v>0</v>
      </c>
      <c r="V100" t="n">
        <v>0</v>
      </c>
      <c r="W100" t="inlineStr">
        <is>
          <t>SAESA</t>
        </is>
      </c>
      <c r="X100" t="n">
        <v>79.19130285958498</v>
      </c>
      <c r="Y100" t="n">
        <v>109.2589272820012</v>
      </c>
      <c r="Z100" t="n">
        <v>124299.1209124018</v>
      </c>
      <c r="AA100" t="n">
        <v>0</v>
      </c>
      <c r="AB100" t="n">
        <v>0</v>
      </c>
      <c r="AC100" t="n">
        <v>0</v>
      </c>
      <c r="AD100" s="2" t="n">
        <v>44136</v>
      </c>
    </row>
    <row r="101">
      <c r="A101" t="n">
        <v>-1</v>
      </c>
      <c r="B101" t="inlineStr">
        <is>
          <t>01-11-2020</t>
        </is>
      </c>
      <c r="C101" t="n">
        <v>2020</v>
      </c>
      <c r="D101" t="n">
        <v>11</v>
      </c>
      <c r="E101" t="inlineStr">
        <is>
          <t>La Union 1 023</t>
        </is>
      </c>
      <c r="F101" t="inlineStr">
        <is>
          <t>SAESA</t>
        </is>
      </c>
      <c r="G101" t="inlineStr">
        <is>
          <t>SAESA</t>
        </is>
      </c>
      <c r="H101" t="inlineStr">
        <is>
          <t>Empresa Eléctrica Carén S.A.</t>
        </is>
      </c>
      <c r="I101" t="inlineStr">
        <is>
          <t>Empresa Eléctrica Carén S.A.</t>
        </is>
      </c>
      <c r="J101" t="inlineStr">
        <is>
          <t>SIC 2013/03_2_BS1A_BB_Saesa_Empresa Eléctrica Carén S.A.</t>
        </is>
      </c>
      <c r="K101" t="inlineStr">
        <is>
          <t>La Union 1 023</t>
        </is>
      </c>
      <c r="L101" t="inlineStr">
        <is>
          <t>-1</t>
        </is>
      </c>
      <c r="M101" t="n">
        <v>1587.772138506946</v>
      </c>
      <c r="N101" t="n">
        <v>0</v>
      </c>
      <c r="O101" t="inlineStr">
        <is>
          <t>6</t>
        </is>
      </c>
      <c r="P101" s="2" t="n">
        <v>44659.60028225694</v>
      </c>
      <c r="Q101" t="n">
        <v>6</v>
      </c>
      <c r="R101" t="inlineStr">
        <is>
          <t>MELIPULLI 220</t>
        </is>
      </c>
      <c r="S101" t="n">
        <v>19.89725657050185</v>
      </c>
      <c r="T101" t="n">
        <v>1378.646325257939</v>
      </c>
      <c r="U101" t="n">
        <v>0</v>
      </c>
      <c r="V101" t="n">
        <v>0</v>
      </c>
      <c r="W101" t="inlineStr">
        <is>
          <t>SAESA</t>
        </is>
      </c>
      <c r="X101" t="n">
        <v>78.826236570774</v>
      </c>
      <c r="Y101" t="n">
        <v>1.378646325257939</v>
      </c>
      <c r="Z101" t="n">
        <v>1568.425853535766</v>
      </c>
      <c r="AA101" t="n">
        <v>0</v>
      </c>
      <c r="AB101" t="n">
        <v>0</v>
      </c>
      <c r="AC101" t="n">
        <v>0</v>
      </c>
      <c r="AD101" s="2" t="n">
        <v>44136</v>
      </c>
    </row>
    <row r="102">
      <c r="A102" t="n">
        <v>-1</v>
      </c>
      <c r="B102" t="inlineStr">
        <is>
          <t>01-11-2020</t>
        </is>
      </c>
      <c r="C102" t="n">
        <v>2020</v>
      </c>
      <c r="D102" t="n">
        <v>11</v>
      </c>
      <c r="E102" t="inlineStr">
        <is>
          <t>La Union 1 023</t>
        </is>
      </c>
      <c r="F102" t="inlineStr">
        <is>
          <t>SAESA</t>
        </is>
      </c>
      <c r="G102" t="inlineStr">
        <is>
          <t>SAESA</t>
        </is>
      </c>
      <c r="H102" t="inlineStr">
        <is>
          <t>Empresa Eléctrica Carén S.A.</t>
        </is>
      </c>
      <c r="I102" t="inlineStr">
        <is>
          <t>Empresa Eléctrica Carén S.A.</t>
        </is>
      </c>
      <c r="J102" t="inlineStr">
        <is>
          <t>SIC 2013/03_2_BS1A_BB_Saesa_Empresa Eléctrica Carén S.A.</t>
        </is>
      </c>
      <c r="K102" t="inlineStr">
        <is>
          <t>La Union 1 023</t>
        </is>
      </c>
      <c r="L102" t="inlineStr">
        <is>
          <t>-1</t>
        </is>
      </c>
      <c r="M102" t="n">
        <v>1587.772138506946</v>
      </c>
      <c r="N102" t="n">
        <v>0</v>
      </c>
      <c r="O102" t="inlineStr">
        <is>
          <t>6</t>
        </is>
      </c>
      <c r="P102" s="2" t="n">
        <v>44659.60028225694</v>
      </c>
      <c r="Q102" t="n">
        <v>17</v>
      </c>
      <c r="R102" t="inlineStr">
        <is>
          <t>VALDIVIA 220</t>
        </is>
      </c>
      <c r="S102" t="n">
        <v>24.59311756394195</v>
      </c>
      <c r="T102" t="n">
        <v>1854.969687244926</v>
      </c>
      <c r="U102" t="n">
        <v>0</v>
      </c>
      <c r="V102" t="n">
        <v>0</v>
      </c>
      <c r="W102" t="inlineStr">
        <is>
          <t>SAESA</t>
        </is>
      </c>
      <c r="X102" t="n">
        <v>85.80929939057698</v>
      </c>
      <c r="Y102" t="n">
        <v>1.854969687244926</v>
      </c>
      <c r="Z102" t="n">
        <v>2110.318187991952</v>
      </c>
      <c r="AA102" t="n">
        <v>0</v>
      </c>
      <c r="AB102" t="n">
        <v>0</v>
      </c>
      <c r="AC102" t="n">
        <v>0</v>
      </c>
      <c r="AD102" s="2" t="n">
        <v>44136</v>
      </c>
    </row>
    <row r="103">
      <c r="A103" t="n">
        <v>-1</v>
      </c>
      <c r="B103" t="inlineStr">
        <is>
          <t>01-11-2020</t>
        </is>
      </c>
      <c r="C103" t="n">
        <v>2020</v>
      </c>
      <c r="D103" t="n">
        <v>11</v>
      </c>
      <c r="E103" t="inlineStr">
        <is>
          <t>Loncoche 13.2</t>
        </is>
      </c>
      <c r="F103" t="inlineStr">
        <is>
          <t>SAESA</t>
        </is>
      </c>
      <c r="G103" t="inlineStr">
        <is>
          <t>SAESA</t>
        </is>
      </c>
      <c r="H103" t="inlineStr">
        <is>
          <t>Empresa Eléctrica Carén S.A.</t>
        </is>
      </c>
      <c r="I103" t="inlineStr">
        <is>
          <t>Empresa Eléctrica Carén S.A.</t>
        </is>
      </c>
      <c r="J103" t="inlineStr">
        <is>
          <t>SIC 2013/03_2_BS1A_BB_Saesa_Empresa Eléctrica Carén S.A.</t>
        </is>
      </c>
      <c r="K103" t="inlineStr">
        <is>
          <t>Loncoche 13.2</t>
        </is>
      </c>
      <c r="L103" t="inlineStr">
        <is>
          <t>-1</t>
        </is>
      </c>
      <c r="M103" t="n">
        <v>1727.09144929374</v>
      </c>
      <c r="N103" t="n">
        <v>0</v>
      </c>
      <c r="O103" t="inlineStr">
        <is>
          <t>5</t>
        </is>
      </c>
      <c r="P103" s="2" t="n">
        <v>44659.60028225694</v>
      </c>
      <c r="Q103" t="n">
        <v>14</v>
      </c>
      <c r="R103" t="inlineStr">
        <is>
          <t>CAUTÍN 220</t>
        </is>
      </c>
      <c r="S103" t="n">
        <v>519.2677062416511</v>
      </c>
      <c r="T103" t="n">
        <v>39837.2709022561</v>
      </c>
      <c r="U103" t="n">
        <v>0</v>
      </c>
      <c r="V103" t="n">
        <v>0</v>
      </c>
      <c r="W103" t="inlineStr">
        <is>
          <t>SAESA</t>
        </is>
      </c>
      <c r="X103" t="n">
        <v>87.27892522788599</v>
      </c>
      <c r="Y103" t="n">
        <v>39.83727090225611</v>
      </c>
      <c r="Z103" t="n">
        <v>45321.12730632094</v>
      </c>
      <c r="AA103" t="n">
        <v>0</v>
      </c>
      <c r="AB103" t="n">
        <v>0</v>
      </c>
      <c r="AC103" t="n">
        <v>0</v>
      </c>
      <c r="AD103" s="2" t="n">
        <v>44136</v>
      </c>
    </row>
    <row r="104">
      <c r="A104" t="n">
        <v>-1</v>
      </c>
      <c r="B104" t="inlineStr">
        <is>
          <t>01-11-2020</t>
        </is>
      </c>
      <c r="C104" t="n">
        <v>2020</v>
      </c>
      <c r="D104" t="n">
        <v>11</v>
      </c>
      <c r="E104" t="inlineStr">
        <is>
          <t>Loncoche 13.2</t>
        </is>
      </c>
      <c r="F104" t="inlineStr">
        <is>
          <t>SAESA</t>
        </is>
      </c>
      <c r="G104" t="inlineStr">
        <is>
          <t>SAESA</t>
        </is>
      </c>
      <c r="H104" t="inlineStr">
        <is>
          <t>Empresa Eléctrica Carén S.A.</t>
        </is>
      </c>
      <c r="I104" t="inlineStr">
        <is>
          <t>Empresa Eléctrica Carén S.A.</t>
        </is>
      </c>
      <c r="J104" t="inlineStr">
        <is>
          <t>SIC 2013/03_2_BS1A_BB_Saesa_Empresa Eléctrica Carén S.A.</t>
        </is>
      </c>
      <c r="K104" t="inlineStr">
        <is>
          <t>Loncoche 13.2</t>
        </is>
      </c>
      <c r="L104" t="inlineStr">
        <is>
          <t>-1</t>
        </is>
      </c>
      <c r="M104" t="n">
        <v>1727.09144929374</v>
      </c>
      <c r="N104" t="n">
        <v>0</v>
      </c>
      <c r="O104" t="inlineStr">
        <is>
          <t>5</t>
        </is>
      </c>
      <c r="P104" s="2" t="n">
        <v>44659.60028225694</v>
      </c>
      <c r="Q104" t="n">
        <v>4</v>
      </c>
      <c r="R104" t="inlineStr">
        <is>
          <t>TEMUCO 220</t>
        </is>
      </c>
      <c r="S104" t="n">
        <v>1250.291141158938</v>
      </c>
      <c r="T104" t="n">
        <v>95529.1323474719</v>
      </c>
      <c r="U104" t="n">
        <v>0</v>
      </c>
      <c r="V104" t="n">
        <v>0</v>
      </c>
      <c r="W104" t="inlineStr">
        <is>
          <t>SAESA</t>
        </is>
      </c>
      <c r="X104" t="n">
        <v>86.92321962113999</v>
      </c>
      <c r="Y104" t="n">
        <v>95.52913234747189</v>
      </c>
      <c r="Z104" t="n">
        <v>108679.3314533241</v>
      </c>
      <c r="AA104" t="n">
        <v>0</v>
      </c>
      <c r="AB104" t="n">
        <v>0</v>
      </c>
      <c r="AC104" t="n">
        <v>0</v>
      </c>
      <c r="AD104" s="2" t="n">
        <v>44136</v>
      </c>
    </row>
    <row r="105">
      <c r="A105" t="n">
        <v>-1</v>
      </c>
      <c r="B105" t="inlineStr">
        <is>
          <t>01-11-2020</t>
        </is>
      </c>
      <c r="C105" t="n">
        <v>2020</v>
      </c>
      <c r="D105" t="n">
        <v>11</v>
      </c>
      <c r="E105" t="inlineStr">
        <is>
          <t>Los Lagos 13.8</t>
        </is>
      </c>
      <c r="F105" t="inlineStr">
        <is>
          <t>SAESA</t>
        </is>
      </c>
      <c r="G105" t="inlineStr">
        <is>
          <t>SAESA</t>
        </is>
      </c>
      <c r="H105" t="inlineStr">
        <is>
          <t>Empresa Eléctrica Carén S.A.</t>
        </is>
      </c>
      <c r="I105" t="inlineStr">
        <is>
          <t>Empresa Eléctrica Carén S.A.</t>
        </is>
      </c>
      <c r="J105" t="inlineStr">
        <is>
          <t>SIC 2013/03_2_BS1A_BB_Saesa_Empresa Eléctrica Carén S.A.</t>
        </is>
      </c>
      <c r="K105" t="inlineStr">
        <is>
          <t>Los Lagos 13.8</t>
        </is>
      </c>
      <c r="L105" t="inlineStr">
        <is>
          <t>-1</t>
        </is>
      </c>
      <c r="M105" t="n">
        <v>664.0899842310903</v>
      </c>
      <c r="N105" t="n">
        <v>0</v>
      </c>
      <c r="O105" t="inlineStr">
        <is>
          <t>6</t>
        </is>
      </c>
      <c r="P105" s="2" t="n">
        <v>44659.60028225694</v>
      </c>
      <c r="Q105" t="n">
        <v>15</v>
      </c>
      <c r="R105" t="inlineStr">
        <is>
          <t>BARRO BLANCO 220</t>
        </is>
      </c>
      <c r="S105" t="n">
        <v>179.1002199069158</v>
      </c>
      <c r="T105" t="n">
        <v>12467.01500628596</v>
      </c>
      <c r="U105" t="n">
        <v>0</v>
      </c>
      <c r="V105" t="n">
        <v>0</v>
      </c>
      <c r="W105" t="inlineStr">
        <is>
          <t>SAESA</t>
        </is>
      </c>
      <c r="X105" t="n">
        <v>79.19130285958499</v>
      </c>
      <c r="Y105" t="n">
        <v>12.46701500628596</v>
      </c>
      <c r="Z105" t="n">
        <v>14183.17975686685</v>
      </c>
      <c r="AA105" t="n">
        <v>0</v>
      </c>
      <c r="AB105" t="n">
        <v>0</v>
      </c>
      <c r="AC105" t="n">
        <v>0</v>
      </c>
      <c r="AD105" s="2" t="n">
        <v>44136</v>
      </c>
    </row>
    <row r="106">
      <c r="A106" t="n">
        <v>-1</v>
      </c>
      <c r="B106" t="inlineStr">
        <is>
          <t>01-11-2020</t>
        </is>
      </c>
      <c r="C106" t="n">
        <v>2020</v>
      </c>
      <c r="D106" t="n">
        <v>11</v>
      </c>
      <c r="E106" t="inlineStr">
        <is>
          <t>Los Lagos 13.8</t>
        </is>
      </c>
      <c r="F106" t="inlineStr">
        <is>
          <t>SAESA</t>
        </is>
      </c>
      <c r="G106" t="inlineStr">
        <is>
          <t>SAESA</t>
        </is>
      </c>
      <c r="H106" t="inlineStr">
        <is>
          <t>Empresa Eléctrica Carén S.A.</t>
        </is>
      </c>
      <c r="I106" t="inlineStr">
        <is>
          <t>Empresa Eléctrica Carén S.A.</t>
        </is>
      </c>
      <c r="J106" t="inlineStr">
        <is>
          <t>SIC 2013/03_2_BS1A_BB_Saesa_Empresa Eléctrica Carén S.A.</t>
        </is>
      </c>
      <c r="K106" t="inlineStr">
        <is>
          <t>Los Lagos 13.8</t>
        </is>
      </c>
      <c r="L106" t="inlineStr">
        <is>
          <t>-1</t>
        </is>
      </c>
      <c r="M106" t="n">
        <v>664.0899842310903</v>
      </c>
      <c r="N106" t="n">
        <v>0</v>
      </c>
      <c r="O106" t="inlineStr">
        <is>
          <t>6</t>
        </is>
      </c>
      <c r="P106" s="2" t="n">
        <v>44659.60028225694</v>
      </c>
      <c r="Q106" t="n">
        <v>6</v>
      </c>
      <c r="R106" t="inlineStr">
        <is>
          <t>MELIPULLI 220</t>
        </is>
      </c>
      <c r="S106" t="n">
        <v>2.503189879479554</v>
      </c>
      <c r="T106" t="n">
        <v>173.4416760692305</v>
      </c>
      <c r="U106" t="n">
        <v>0</v>
      </c>
      <c r="V106" t="n">
        <v>0</v>
      </c>
      <c r="W106" t="inlineStr">
        <is>
          <t>SAESA</t>
        </is>
      </c>
      <c r="X106" t="n">
        <v>78.826236570774</v>
      </c>
      <c r="Y106" t="n">
        <v>0.1734416760692305</v>
      </c>
      <c r="Z106" t="n">
        <v>197.3170376214226</v>
      </c>
      <c r="AA106" t="n">
        <v>0</v>
      </c>
      <c r="AB106" t="n">
        <v>0</v>
      </c>
      <c r="AC106" t="n">
        <v>0</v>
      </c>
      <c r="AD106" s="2" t="n">
        <v>44136</v>
      </c>
    </row>
    <row r="107">
      <c r="A107" t="n">
        <v>-1</v>
      </c>
      <c r="B107" t="inlineStr">
        <is>
          <t>01-11-2020</t>
        </is>
      </c>
      <c r="C107" t="n">
        <v>2020</v>
      </c>
      <c r="D107" t="n">
        <v>11</v>
      </c>
      <c r="E107" t="inlineStr">
        <is>
          <t>Los Lagos 13.8</t>
        </is>
      </c>
      <c r="F107" t="inlineStr">
        <is>
          <t>SAESA</t>
        </is>
      </c>
      <c r="G107" t="inlineStr">
        <is>
          <t>SAESA</t>
        </is>
      </c>
      <c r="H107" t="inlineStr">
        <is>
          <t>Empresa Eléctrica Carén S.A.</t>
        </is>
      </c>
      <c r="I107" t="inlineStr">
        <is>
          <t>Empresa Eléctrica Carén S.A.</t>
        </is>
      </c>
      <c r="J107" t="inlineStr">
        <is>
          <t>SIC 2013/03_2_BS1A_BB_Saesa_Empresa Eléctrica Carén S.A.</t>
        </is>
      </c>
      <c r="K107" t="inlineStr">
        <is>
          <t>Los Lagos 13.8</t>
        </is>
      </c>
      <c r="L107" t="inlineStr">
        <is>
          <t>-1</t>
        </is>
      </c>
      <c r="M107" t="n">
        <v>664.0899842310903</v>
      </c>
      <c r="N107" t="n">
        <v>0</v>
      </c>
      <c r="O107" t="inlineStr">
        <is>
          <t>6</t>
        </is>
      </c>
      <c r="P107" s="2" t="n">
        <v>44659.60028225694</v>
      </c>
      <c r="Q107" t="n">
        <v>17</v>
      </c>
      <c r="R107" t="inlineStr">
        <is>
          <t>VALDIVIA 220</t>
        </is>
      </c>
      <c r="S107" t="n">
        <v>493.4966345244692</v>
      </c>
      <c r="T107" t="n">
        <v>37222.66180447391</v>
      </c>
      <c r="U107" t="n">
        <v>0</v>
      </c>
      <c r="V107" t="n">
        <v>0</v>
      </c>
      <c r="W107" t="inlineStr">
        <is>
          <t>SAESA</t>
        </is>
      </c>
      <c r="X107" t="n">
        <v>85.809299390577</v>
      </c>
      <c r="Y107" t="n">
        <v>37.22266180447391</v>
      </c>
      <c r="Z107" t="n">
        <v>42346.60046015234</v>
      </c>
      <c r="AA107" t="n">
        <v>0</v>
      </c>
      <c r="AB107" t="n">
        <v>0</v>
      </c>
      <c r="AC107" t="n">
        <v>0</v>
      </c>
      <c r="AD107" s="2" t="n">
        <v>44136</v>
      </c>
    </row>
    <row r="108">
      <c r="A108" t="n">
        <v>-1</v>
      </c>
      <c r="B108" t="inlineStr">
        <is>
          <t>01-11-2020</t>
        </is>
      </c>
      <c r="C108" t="n">
        <v>2020</v>
      </c>
      <c r="D108" t="n">
        <v>11</v>
      </c>
      <c r="E108" t="inlineStr">
        <is>
          <t>Los Tambores 023</t>
        </is>
      </c>
      <c r="F108" t="inlineStr">
        <is>
          <t>SAESA</t>
        </is>
      </c>
      <c r="G108" t="inlineStr">
        <is>
          <t>SAESA</t>
        </is>
      </c>
      <c r="H108" t="inlineStr">
        <is>
          <t>Empresa Eléctrica Carén S.A.</t>
        </is>
      </c>
      <c r="I108" t="inlineStr">
        <is>
          <t>Empresa Eléctrica Carén S.A.</t>
        </is>
      </c>
      <c r="J108" t="inlineStr">
        <is>
          <t>SIC 2013/03_2_BS1A_BB_Saesa_Empresa Eléctrica Carén S.A.</t>
        </is>
      </c>
      <c r="K108" t="inlineStr">
        <is>
          <t>Los Tambores 023</t>
        </is>
      </c>
      <c r="L108" t="inlineStr">
        <is>
          <t>-1</t>
        </is>
      </c>
      <c r="M108" t="n">
        <v>1281.495532531165</v>
      </c>
      <c r="N108" t="n">
        <v>0</v>
      </c>
      <c r="O108" t="inlineStr">
        <is>
          <t>6</t>
        </is>
      </c>
      <c r="P108" s="2" t="n">
        <v>44659.60028225694</v>
      </c>
      <c r="Q108" t="n">
        <v>15</v>
      </c>
      <c r="R108" t="inlineStr">
        <is>
          <t>BARRO BLANCO 220</t>
        </is>
      </c>
      <c r="S108" t="n">
        <v>1270.917949542688</v>
      </c>
      <c r="T108" t="n">
        <v>88467.52481343574</v>
      </c>
      <c r="U108" t="n">
        <v>0</v>
      </c>
      <c r="V108" t="n">
        <v>0</v>
      </c>
      <c r="W108" t="inlineStr">
        <is>
          <t>SAESA</t>
        </is>
      </c>
      <c r="X108" t="n">
        <v>79.19130285958501</v>
      </c>
      <c r="Y108" t="n">
        <v>88.46752481343574</v>
      </c>
      <c r="Z108" t="n">
        <v>100645.6482519178</v>
      </c>
      <c r="AA108" t="n">
        <v>0</v>
      </c>
      <c r="AB108" t="n">
        <v>0</v>
      </c>
      <c r="AC108" t="n">
        <v>0</v>
      </c>
      <c r="AD108" s="2" t="n">
        <v>44136</v>
      </c>
    </row>
    <row r="109">
      <c r="A109" t="n">
        <v>-1</v>
      </c>
      <c r="B109" t="inlineStr">
        <is>
          <t>01-11-2020</t>
        </is>
      </c>
      <c r="C109" t="n">
        <v>2020</v>
      </c>
      <c r="D109" t="n">
        <v>11</v>
      </c>
      <c r="E109" t="inlineStr">
        <is>
          <t>Los Tambores 023</t>
        </is>
      </c>
      <c r="F109" t="inlineStr">
        <is>
          <t>SAESA</t>
        </is>
      </c>
      <c r="G109" t="inlineStr">
        <is>
          <t>SAESA</t>
        </is>
      </c>
      <c r="H109" t="inlineStr">
        <is>
          <t>Empresa Eléctrica Carén S.A.</t>
        </is>
      </c>
      <c r="I109" t="inlineStr">
        <is>
          <t>Empresa Eléctrica Carén S.A.</t>
        </is>
      </c>
      <c r="J109" t="inlineStr">
        <is>
          <t>SIC 2013/03_2_BS1A_BB_Saesa_Empresa Eléctrica Carén S.A.</t>
        </is>
      </c>
      <c r="K109" t="inlineStr">
        <is>
          <t>Los Tambores 023</t>
        </is>
      </c>
      <c r="L109" t="inlineStr">
        <is>
          <t>-1</t>
        </is>
      </c>
      <c r="M109" t="n">
        <v>1281.495532531165</v>
      </c>
      <c r="N109" t="n">
        <v>0</v>
      </c>
      <c r="O109" t="inlineStr">
        <is>
          <t>6</t>
        </is>
      </c>
      <c r="P109" s="2" t="n">
        <v>44659.60028225694</v>
      </c>
      <c r="Q109" t="n">
        <v>6</v>
      </c>
      <c r="R109" t="inlineStr">
        <is>
          <t>MELIPULLI 220</t>
        </is>
      </c>
      <c r="S109" t="n">
        <v>16.10997407590705</v>
      </c>
      <c r="T109" t="n">
        <v>1116.232103710051</v>
      </c>
      <c r="U109" t="n">
        <v>0</v>
      </c>
      <c r="V109" t="n">
        <v>0</v>
      </c>
      <c r="W109" t="inlineStr">
        <is>
          <t>SAESA</t>
        </is>
      </c>
      <c r="X109" t="n">
        <v>78.82623657077399</v>
      </c>
      <c r="Y109" t="n">
        <v>1.116232103710051</v>
      </c>
      <c r="Z109" t="n">
        <v>1269.888627656486</v>
      </c>
      <c r="AA109" t="n">
        <v>0</v>
      </c>
      <c r="AB109" t="n">
        <v>0</v>
      </c>
      <c r="AC109" t="n">
        <v>0</v>
      </c>
      <c r="AD109" s="2" t="n">
        <v>44136</v>
      </c>
    </row>
    <row r="110">
      <c r="A110" t="n">
        <v>-1</v>
      </c>
      <c r="B110" t="inlineStr">
        <is>
          <t>01-11-2020</t>
        </is>
      </c>
      <c r="C110" t="n">
        <v>2020</v>
      </c>
      <c r="D110" t="n">
        <v>11</v>
      </c>
      <c r="E110" t="inlineStr">
        <is>
          <t>Los Tambores 023</t>
        </is>
      </c>
      <c r="F110" t="inlineStr">
        <is>
          <t>SAESA</t>
        </is>
      </c>
      <c r="G110" t="inlineStr">
        <is>
          <t>SAESA</t>
        </is>
      </c>
      <c r="H110" t="inlineStr">
        <is>
          <t>Empresa Eléctrica Carén S.A.</t>
        </is>
      </c>
      <c r="I110" t="inlineStr">
        <is>
          <t>Empresa Eléctrica Carén S.A.</t>
        </is>
      </c>
      <c r="J110" t="inlineStr">
        <is>
          <t>SIC 2013/03_2_BS1A_BB_Saesa_Empresa Eléctrica Carén S.A.</t>
        </is>
      </c>
      <c r="K110" t="inlineStr">
        <is>
          <t>Los Tambores 023</t>
        </is>
      </c>
      <c r="L110" t="inlineStr">
        <is>
          <t>-1</t>
        </is>
      </c>
      <c r="M110" t="n">
        <v>1281.495532531165</v>
      </c>
      <c r="N110" t="n">
        <v>0</v>
      </c>
      <c r="O110" t="inlineStr">
        <is>
          <t>6</t>
        </is>
      </c>
      <c r="P110" s="2" t="n">
        <v>44659.60028225694</v>
      </c>
      <c r="Q110" t="n">
        <v>17</v>
      </c>
      <c r="R110" t="inlineStr">
        <is>
          <t>VALDIVIA 220</t>
        </is>
      </c>
      <c r="S110" t="n">
        <v>15.71373991914895</v>
      </c>
      <c r="T110" t="n">
        <v>1185.230426662496</v>
      </c>
      <c r="U110" t="n">
        <v>0</v>
      </c>
      <c r="V110" t="n">
        <v>0</v>
      </c>
      <c r="W110" t="inlineStr">
        <is>
          <t>SAESA</t>
        </is>
      </c>
      <c r="X110" t="n">
        <v>85.809299390577</v>
      </c>
      <c r="Y110" t="n">
        <v>1.185230426662496</v>
      </c>
      <c r="Z110" t="n">
        <v>1348.385013267913</v>
      </c>
      <c r="AA110" t="n">
        <v>0</v>
      </c>
      <c r="AB110" t="n">
        <v>0</v>
      </c>
      <c r="AC110" t="n">
        <v>0</v>
      </c>
      <c r="AD110" s="2" t="n">
        <v>44136</v>
      </c>
    </row>
    <row r="111">
      <c r="A111" t="n">
        <v>-1</v>
      </c>
      <c r="B111" t="inlineStr">
        <is>
          <t>01-11-2020</t>
        </is>
      </c>
      <c r="C111" t="n">
        <v>2020</v>
      </c>
      <c r="D111" t="n">
        <v>11</v>
      </c>
      <c r="E111" t="inlineStr">
        <is>
          <t>Mariquina 023</t>
        </is>
      </c>
      <c r="F111" t="inlineStr">
        <is>
          <t>SAESA</t>
        </is>
      </c>
      <c r="G111" t="inlineStr">
        <is>
          <t>SAESA</t>
        </is>
      </c>
      <c r="H111" t="inlineStr">
        <is>
          <t>Empresa Eléctrica Carén S.A.</t>
        </is>
      </c>
      <c r="I111" t="inlineStr">
        <is>
          <t>Empresa Eléctrica Carén S.A.</t>
        </is>
      </c>
      <c r="J111" t="inlineStr">
        <is>
          <t>SIC 2013/03_2_BS1A_BB_Saesa_Empresa Eléctrica Carén S.A.</t>
        </is>
      </c>
      <c r="K111" t="inlineStr">
        <is>
          <t>Mariquina 023</t>
        </is>
      </c>
      <c r="L111" t="inlineStr">
        <is>
          <t>-1</t>
        </is>
      </c>
      <c r="M111" t="n">
        <v>1112.567955402755</v>
      </c>
      <c r="N111" t="n">
        <v>0</v>
      </c>
      <c r="O111" t="inlineStr">
        <is>
          <t>6</t>
        </is>
      </c>
      <c r="P111" s="2" t="n">
        <v>44659.60028225694</v>
      </c>
      <c r="Q111" t="n">
        <v>1</v>
      </c>
      <c r="R111" t="inlineStr">
        <is>
          <t>LOS CIRUELOS 220</t>
        </is>
      </c>
      <c r="S111" t="n">
        <v>1131.013407559361</v>
      </c>
      <c r="T111" t="n">
        <v>83186.46907152054</v>
      </c>
      <c r="U111" t="n">
        <v>0</v>
      </c>
      <c r="V111" t="n">
        <v>0</v>
      </c>
      <c r="W111" t="inlineStr">
        <is>
          <t>SAESA</t>
        </is>
      </c>
      <c r="X111" t="n">
        <v>83.67506575010101</v>
      </c>
      <c r="Y111" t="n">
        <v>83.18646907152053</v>
      </c>
      <c r="Z111" t="n">
        <v>94637.62124177536</v>
      </c>
      <c r="AA111" t="n">
        <v>0</v>
      </c>
      <c r="AB111" t="n">
        <v>0</v>
      </c>
      <c r="AC111" t="n">
        <v>0</v>
      </c>
      <c r="AD111" s="2" t="n">
        <v>44136</v>
      </c>
    </row>
    <row r="112">
      <c r="A112" t="n">
        <v>-1</v>
      </c>
      <c r="B112" t="inlineStr">
        <is>
          <t>01-11-2020</t>
        </is>
      </c>
      <c r="C112" t="n">
        <v>2020</v>
      </c>
      <c r="D112" t="n">
        <v>11</v>
      </c>
      <c r="E112" t="inlineStr">
        <is>
          <t>Melipulli 023</t>
        </is>
      </c>
      <c r="F112" t="inlineStr">
        <is>
          <t>SAESA</t>
        </is>
      </c>
      <c r="G112" t="inlineStr">
        <is>
          <t>SAESA</t>
        </is>
      </c>
      <c r="H112" t="inlineStr">
        <is>
          <t>Empresa Eléctrica Carén S.A.</t>
        </is>
      </c>
      <c r="I112" t="inlineStr">
        <is>
          <t>Empresa Eléctrica Carén S.A.</t>
        </is>
      </c>
      <c r="J112" t="inlineStr">
        <is>
          <t>SIC 2013/03_2_BS1A_BB_Saesa_Empresa Eléctrica Carén S.A.</t>
        </is>
      </c>
      <c r="K112" t="inlineStr">
        <is>
          <t>Melipulli 023</t>
        </is>
      </c>
      <c r="L112" t="inlineStr">
        <is>
          <t>-1</t>
        </is>
      </c>
      <c r="M112" t="n">
        <v>14741.34072186241</v>
      </c>
      <c r="N112" t="n">
        <v>0</v>
      </c>
      <c r="O112" t="inlineStr">
        <is>
          <t>6</t>
        </is>
      </c>
      <c r="P112" s="2" t="n">
        <v>44659.60028225694</v>
      </c>
      <c r="Q112" t="n">
        <v>6</v>
      </c>
      <c r="R112" t="inlineStr">
        <is>
          <t>MELIPULLI 220</t>
        </is>
      </c>
      <c r="S112" t="n">
        <v>14985.73990097675</v>
      </c>
      <c r="T112" t="n">
        <v>1038335.87170916</v>
      </c>
      <c r="U112" t="n">
        <v>0</v>
      </c>
      <c r="V112" t="n">
        <v>0</v>
      </c>
      <c r="W112" t="inlineStr">
        <is>
          <t>SAESA</t>
        </is>
      </c>
      <c r="X112" t="n">
        <v>78.82623657077399</v>
      </c>
      <c r="Y112" t="n">
        <v>1038.33587170916</v>
      </c>
      <c r="Z112" t="n">
        <v>1181269.47862248</v>
      </c>
      <c r="AA112" t="n">
        <v>0</v>
      </c>
      <c r="AB112" t="n">
        <v>0</v>
      </c>
      <c r="AC112" t="n">
        <v>0</v>
      </c>
      <c r="AD112" s="2" t="n">
        <v>44136</v>
      </c>
    </row>
    <row r="113">
      <c r="A113" t="n">
        <v>-1</v>
      </c>
      <c r="B113" t="inlineStr">
        <is>
          <t>01-11-2020</t>
        </is>
      </c>
      <c r="C113" t="n">
        <v>2020</v>
      </c>
      <c r="D113" t="n">
        <v>11</v>
      </c>
      <c r="E113" t="inlineStr">
        <is>
          <t>Osorno 13.8</t>
        </is>
      </c>
      <c r="F113" t="inlineStr">
        <is>
          <t>SAESA</t>
        </is>
      </c>
      <c r="G113" t="inlineStr">
        <is>
          <t>SAESA</t>
        </is>
      </c>
      <c r="H113" t="inlineStr">
        <is>
          <t>Empresa Eléctrica Carén S.A.</t>
        </is>
      </c>
      <c r="I113" t="inlineStr">
        <is>
          <t>Empresa Eléctrica Carén S.A.</t>
        </is>
      </c>
      <c r="J113" t="inlineStr">
        <is>
          <t>SIC 2013/03_2_BS1A_BB_Saesa_Empresa Eléctrica Carén S.A.</t>
        </is>
      </c>
      <c r="K113" t="inlineStr">
        <is>
          <t>Osorno 13.8</t>
        </is>
      </c>
      <c r="L113" t="inlineStr">
        <is>
          <t>-1</t>
        </is>
      </c>
      <c r="M113" t="n">
        <v>7569.549696170476</v>
      </c>
      <c r="N113" t="n">
        <v>0</v>
      </c>
      <c r="O113" t="inlineStr">
        <is>
          <t>6</t>
        </is>
      </c>
      <c r="P113" s="2" t="n">
        <v>44659.60028225694</v>
      </c>
      <c r="Q113" t="n">
        <v>15</v>
      </c>
      <c r="R113" t="inlineStr">
        <is>
          <t>BARRO BLANCO 220</t>
        </is>
      </c>
      <c r="S113" t="n">
        <v>7565.248967103683</v>
      </c>
      <c r="T113" t="n">
        <v>526610.5895804598</v>
      </c>
      <c r="U113" t="n">
        <v>0</v>
      </c>
      <c r="V113" t="n">
        <v>0</v>
      </c>
      <c r="W113" t="inlineStr">
        <is>
          <t>SAESA</t>
        </is>
      </c>
      <c r="X113" t="n">
        <v>79.19130285958499</v>
      </c>
      <c r="Y113" t="n">
        <v>526.6105895804598</v>
      </c>
      <c r="Z113" t="n">
        <v>599101.9221620703</v>
      </c>
      <c r="AA113" t="n">
        <v>0</v>
      </c>
      <c r="AB113" t="n">
        <v>0</v>
      </c>
      <c r="AC113" t="n">
        <v>0</v>
      </c>
      <c r="AD113" s="2" t="n">
        <v>44136</v>
      </c>
    </row>
    <row r="114">
      <c r="A114" t="n">
        <v>-1</v>
      </c>
      <c r="B114" t="inlineStr">
        <is>
          <t>01-11-2020</t>
        </is>
      </c>
      <c r="C114" t="n">
        <v>2020</v>
      </c>
      <c r="D114" t="n">
        <v>11</v>
      </c>
      <c r="E114" t="inlineStr">
        <is>
          <t>Osorno 13.8</t>
        </is>
      </c>
      <c r="F114" t="inlineStr">
        <is>
          <t>SAESA</t>
        </is>
      </c>
      <c r="G114" t="inlineStr">
        <is>
          <t>SAESA</t>
        </is>
      </c>
      <c r="H114" t="inlineStr">
        <is>
          <t>Empresa Eléctrica Carén S.A.</t>
        </is>
      </c>
      <c r="I114" t="inlineStr">
        <is>
          <t>Empresa Eléctrica Carén S.A.</t>
        </is>
      </c>
      <c r="J114" t="inlineStr">
        <is>
          <t>SIC 2013/03_2_BS1A_BB_Saesa_Empresa Eléctrica Carén S.A.</t>
        </is>
      </c>
      <c r="K114" t="inlineStr">
        <is>
          <t>Osorno 13.8</t>
        </is>
      </c>
      <c r="L114" t="inlineStr">
        <is>
          <t>-1</t>
        </is>
      </c>
      <c r="M114" t="n">
        <v>7569.549696170476</v>
      </c>
      <c r="N114" t="n">
        <v>0</v>
      </c>
      <c r="O114" t="inlineStr">
        <is>
          <t>6</t>
        </is>
      </c>
      <c r="P114" s="2" t="n">
        <v>44659.60028225694</v>
      </c>
      <c r="Q114" t="n">
        <v>6</v>
      </c>
      <c r="R114" t="inlineStr">
        <is>
          <t>MELIPULLI 220</t>
        </is>
      </c>
      <c r="S114" t="n">
        <v>93.90804309376885</v>
      </c>
      <c r="T114" t="n">
        <v>6506.725088690111</v>
      </c>
      <c r="U114" t="n">
        <v>0</v>
      </c>
      <c r="V114" t="n">
        <v>0</v>
      </c>
      <c r="W114" t="inlineStr">
        <is>
          <t>SAESA</t>
        </is>
      </c>
      <c r="X114" t="n">
        <v>78.82623657077399</v>
      </c>
      <c r="Y114" t="n">
        <v>6.506725088690112</v>
      </c>
      <c r="Z114" t="n">
        <v>7402.417620807862</v>
      </c>
      <c r="AA114" t="n">
        <v>0</v>
      </c>
      <c r="AB114" t="n">
        <v>0</v>
      </c>
      <c r="AC114" t="n">
        <v>0</v>
      </c>
      <c r="AD114" s="2" t="n">
        <v>44136</v>
      </c>
    </row>
    <row r="115">
      <c r="A115" t="n">
        <v>-1</v>
      </c>
      <c r="B115" t="inlineStr">
        <is>
          <t>01-11-2020</t>
        </is>
      </c>
      <c r="C115" t="n">
        <v>2020</v>
      </c>
      <c r="D115" t="n">
        <v>11</v>
      </c>
      <c r="E115" t="inlineStr">
        <is>
          <t>Osorno 13.8</t>
        </is>
      </c>
      <c r="F115" t="inlineStr">
        <is>
          <t>SAESA</t>
        </is>
      </c>
      <c r="G115" t="inlineStr">
        <is>
          <t>SAESA</t>
        </is>
      </c>
      <c r="H115" t="inlineStr">
        <is>
          <t>Empresa Eléctrica Carén S.A.</t>
        </is>
      </c>
      <c r="I115" t="inlineStr">
        <is>
          <t>Empresa Eléctrica Carén S.A.</t>
        </is>
      </c>
      <c r="J115" t="inlineStr">
        <is>
          <t>SIC 2013/03_2_BS1A_BB_Saesa_Empresa Eléctrica Carén S.A.</t>
        </is>
      </c>
      <c r="K115" t="inlineStr">
        <is>
          <t>Osorno 13.8</t>
        </is>
      </c>
      <c r="L115" t="inlineStr">
        <is>
          <t>-1</t>
        </is>
      </c>
      <c r="M115" t="n">
        <v>7569.549696170476</v>
      </c>
      <c r="N115" t="n">
        <v>0</v>
      </c>
      <c r="O115" t="inlineStr">
        <is>
          <t>6</t>
        </is>
      </c>
      <c r="P115" s="2" t="n">
        <v>44659.60028225694</v>
      </c>
      <c r="Q115" t="n">
        <v>17</v>
      </c>
      <c r="R115" t="inlineStr">
        <is>
          <t>VALDIVIA 220</t>
        </is>
      </c>
      <c r="S115" t="n">
        <v>35.88952963973018</v>
      </c>
      <c r="T115" t="n">
        <v>2707.01709118764</v>
      </c>
      <c r="U115" t="n">
        <v>0</v>
      </c>
      <c r="V115" t="n">
        <v>0</v>
      </c>
      <c r="W115" t="inlineStr">
        <is>
          <t>SAESA</t>
        </is>
      </c>
      <c r="X115" t="n">
        <v>85.80929939057698</v>
      </c>
      <c r="Y115" t="n">
        <v>2.70701709118764</v>
      </c>
      <c r="Z115" t="n">
        <v>3079.655393842594</v>
      </c>
      <c r="AA115" t="n">
        <v>0</v>
      </c>
      <c r="AB115" t="n">
        <v>0</v>
      </c>
      <c r="AC115" t="n">
        <v>0</v>
      </c>
      <c r="AD115" s="2" t="n">
        <v>44136</v>
      </c>
    </row>
    <row r="116">
      <c r="A116" t="n">
        <v>-1</v>
      </c>
      <c r="B116" t="inlineStr">
        <is>
          <t>01-11-2020</t>
        </is>
      </c>
      <c r="C116" t="n">
        <v>2020</v>
      </c>
      <c r="D116" t="n">
        <v>11</v>
      </c>
      <c r="E116" t="inlineStr">
        <is>
          <t>Panguipulli 023</t>
        </is>
      </c>
      <c r="F116" t="inlineStr">
        <is>
          <t>SAESA</t>
        </is>
      </c>
      <c r="G116" t="inlineStr">
        <is>
          <t>SAESA</t>
        </is>
      </c>
      <c r="H116" t="inlineStr">
        <is>
          <t>Empresa Eléctrica Carén S.A.</t>
        </is>
      </c>
      <c r="I116" t="inlineStr">
        <is>
          <t>Empresa Eléctrica Carén S.A.</t>
        </is>
      </c>
      <c r="J116" t="inlineStr">
        <is>
          <t>SIC 2013/03_2_BS1A_BB_Saesa_Empresa Eléctrica Carén S.A.</t>
        </is>
      </c>
      <c r="K116" t="inlineStr">
        <is>
          <t>Panguipulli 023</t>
        </is>
      </c>
      <c r="L116" t="inlineStr">
        <is>
          <t>-1</t>
        </is>
      </c>
      <c r="M116" t="n">
        <v>2431.404946310742</v>
      </c>
      <c r="N116" t="n">
        <v>0</v>
      </c>
      <c r="O116" t="inlineStr">
        <is>
          <t>6</t>
        </is>
      </c>
      <c r="P116" s="2" t="n">
        <v>44659.60028225694</v>
      </c>
      <c r="Q116" t="n">
        <v>15</v>
      </c>
      <c r="R116" t="inlineStr">
        <is>
          <t>BARRO BLANCO 220</t>
        </is>
      </c>
      <c r="S116" t="n">
        <v>649.3941848578604</v>
      </c>
      <c r="T116" t="n">
        <v>45203.78060856396</v>
      </c>
      <c r="U116" t="n">
        <v>0</v>
      </c>
      <c r="V116" t="n">
        <v>0</v>
      </c>
      <c r="W116" t="inlineStr">
        <is>
          <t>SAESA</t>
        </is>
      </c>
      <c r="X116" t="n">
        <v>79.19130285958499</v>
      </c>
      <c r="Y116" t="n">
        <v>45.20378060856396</v>
      </c>
      <c r="Z116" t="n">
        <v>51426.37156833215</v>
      </c>
      <c r="AA116" t="n">
        <v>0</v>
      </c>
      <c r="AB116" t="n">
        <v>0</v>
      </c>
      <c r="AC116" t="n">
        <v>0</v>
      </c>
      <c r="AD116" s="2" t="n">
        <v>44136</v>
      </c>
    </row>
    <row r="117">
      <c r="A117" t="n">
        <v>-1</v>
      </c>
      <c r="B117" t="inlineStr">
        <is>
          <t>01-11-2020</t>
        </is>
      </c>
      <c r="C117" t="n">
        <v>2020</v>
      </c>
      <c r="D117" t="n">
        <v>11</v>
      </c>
      <c r="E117" t="inlineStr">
        <is>
          <t>Panguipulli 023</t>
        </is>
      </c>
      <c r="F117" t="inlineStr">
        <is>
          <t>SAESA</t>
        </is>
      </c>
      <c r="G117" t="inlineStr">
        <is>
          <t>SAESA</t>
        </is>
      </c>
      <c r="H117" t="inlineStr">
        <is>
          <t>Empresa Eléctrica Carén S.A.</t>
        </is>
      </c>
      <c r="I117" t="inlineStr">
        <is>
          <t>Empresa Eléctrica Carén S.A.</t>
        </is>
      </c>
      <c r="J117" t="inlineStr">
        <is>
          <t>SIC 2013/03_2_BS1A_BB_Saesa_Empresa Eléctrica Carén S.A.</t>
        </is>
      </c>
      <c r="K117" t="inlineStr">
        <is>
          <t>Panguipulli 023</t>
        </is>
      </c>
      <c r="L117" t="inlineStr">
        <is>
          <t>-1</t>
        </is>
      </c>
      <c r="M117" t="n">
        <v>2431.404946310742</v>
      </c>
      <c r="N117" t="n">
        <v>0</v>
      </c>
      <c r="O117" t="inlineStr">
        <is>
          <t>6</t>
        </is>
      </c>
      <c r="P117" s="2" t="n">
        <v>44659.60028225694</v>
      </c>
      <c r="Q117" t="n">
        <v>6</v>
      </c>
      <c r="R117" t="inlineStr">
        <is>
          <t>MELIPULLI 220</t>
        </is>
      </c>
      <c r="S117" t="n">
        <v>10.05137181785799</v>
      </c>
      <c r="T117" t="n">
        <v>696.4420834294748</v>
      </c>
      <c r="U117" t="n">
        <v>0</v>
      </c>
      <c r="V117" t="n">
        <v>0</v>
      </c>
      <c r="W117" t="inlineStr">
        <is>
          <t>SAESA</t>
        </is>
      </c>
      <c r="X117" t="n">
        <v>78.826236570774</v>
      </c>
      <c r="Y117" t="n">
        <v>0.696442083429475</v>
      </c>
      <c r="Z117" t="n">
        <v>792.3118127752842</v>
      </c>
      <c r="AA117" t="n">
        <v>0</v>
      </c>
      <c r="AB117" t="n">
        <v>0</v>
      </c>
      <c r="AC117" t="n">
        <v>0</v>
      </c>
      <c r="AD117" s="2" t="n">
        <v>44136</v>
      </c>
    </row>
    <row r="118">
      <c r="A118" t="n">
        <v>-1</v>
      </c>
      <c r="B118" t="inlineStr">
        <is>
          <t>01-11-2020</t>
        </is>
      </c>
      <c r="C118" t="n">
        <v>2020</v>
      </c>
      <c r="D118" t="n">
        <v>11</v>
      </c>
      <c r="E118" t="inlineStr">
        <is>
          <t>Panguipulli 023</t>
        </is>
      </c>
      <c r="F118" t="inlineStr">
        <is>
          <t>SAESA</t>
        </is>
      </c>
      <c r="G118" t="inlineStr">
        <is>
          <t>SAESA</t>
        </is>
      </c>
      <c r="H118" t="inlineStr">
        <is>
          <t>Empresa Eléctrica Carén S.A.</t>
        </is>
      </c>
      <c r="I118" t="inlineStr">
        <is>
          <t>Empresa Eléctrica Carén S.A.</t>
        </is>
      </c>
      <c r="J118" t="inlineStr">
        <is>
          <t>SIC 2013/03_2_BS1A_BB_Saesa_Empresa Eléctrica Carén S.A.</t>
        </is>
      </c>
      <c r="K118" t="inlineStr">
        <is>
          <t>Panguipulli 023</t>
        </is>
      </c>
      <c r="L118" t="inlineStr">
        <is>
          <t>-1</t>
        </is>
      </c>
      <c r="M118" t="n">
        <v>2431.404946310742</v>
      </c>
      <c r="N118" t="n">
        <v>0</v>
      </c>
      <c r="O118" t="inlineStr">
        <is>
          <t>6</t>
        </is>
      </c>
      <c r="P118" s="2" t="n">
        <v>44659.60028225694</v>
      </c>
      <c r="Q118" t="n">
        <v>17</v>
      </c>
      <c r="R118" t="inlineStr">
        <is>
          <t>VALDIVIA 220</t>
        </is>
      </c>
      <c r="S118" t="n">
        <v>1812.270063147347</v>
      </c>
      <c r="T118" t="n">
        <v>136692.9598697425</v>
      </c>
      <c r="U118" t="n">
        <v>0</v>
      </c>
      <c r="V118" t="n">
        <v>0</v>
      </c>
      <c r="W118" t="inlineStr">
        <is>
          <t>SAESA</t>
        </is>
      </c>
      <c r="X118" t="n">
        <v>85.809299390577</v>
      </c>
      <c r="Y118" t="n">
        <v>136.6929598697425</v>
      </c>
      <c r="Z118" t="n">
        <v>155509.6244251906</v>
      </c>
      <c r="AA118" t="n">
        <v>0</v>
      </c>
      <c r="AB118" t="n">
        <v>0</v>
      </c>
      <c r="AC118" t="n">
        <v>0</v>
      </c>
      <c r="AD118" s="2" t="n">
        <v>44136</v>
      </c>
    </row>
    <row r="119">
      <c r="A119" t="n">
        <v>-1</v>
      </c>
      <c r="B119" t="inlineStr">
        <is>
          <t>01-11-2020</t>
        </is>
      </c>
      <c r="C119" t="n">
        <v>2020</v>
      </c>
      <c r="D119" t="n">
        <v>11</v>
      </c>
      <c r="E119" t="inlineStr">
        <is>
          <t>Pargua 23</t>
        </is>
      </c>
      <c r="F119" t="inlineStr">
        <is>
          <t>SAESA</t>
        </is>
      </c>
      <c r="G119" t="inlineStr">
        <is>
          <t>SAESA</t>
        </is>
      </c>
      <c r="H119" t="inlineStr">
        <is>
          <t>Empresa Eléctrica Carén S.A.</t>
        </is>
      </c>
      <c r="I119" t="inlineStr">
        <is>
          <t>Empresa Eléctrica Carén S.A.</t>
        </is>
      </c>
      <c r="J119" t="inlineStr">
        <is>
          <t>SIC 2013/03_2_BS1A_BB_Saesa_Empresa Eléctrica Carén S.A.</t>
        </is>
      </c>
      <c r="K119" t="inlineStr">
        <is>
          <t>Pargua 23</t>
        </is>
      </c>
      <c r="L119" t="inlineStr">
        <is>
          <t>-1</t>
        </is>
      </c>
      <c r="M119" t="n">
        <v>199.0425700281172</v>
      </c>
      <c r="N119" t="n">
        <v>0</v>
      </c>
      <c r="O119" t="inlineStr">
        <is>
          <t>6</t>
        </is>
      </c>
      <c r="P119" s="2" t="n">
        <v>44659.60028225694</v>
      </c>
      <c r="Q119" t="n">
        <v>24</v>
      </c>
      <c r="R119" t="inlineStr">
        <is>
          <t>CHILOE 220</t>
        </is>
      </c>
      <c r="S119" t="n">
        <v>0.06388919395369562</v>
      </c>
      <c r="T119" t="n">
        <v>4.460940558420213</v>
      </c>
      <c r="U119" t="n">
        <v>0</v>
      </c>
      <c r="V119" t="n">
        <v>0</v>
      </c>
      <c r="W119" t="inlineStr">
        <is>
          <t>SAESA</t>
        </is>
      </c>
      <c r="X119" t="n">
        <v>79.43468035948199</v>
      </c>
      <c r="Y119" t="n">
        <v>0.004460940558420213</v>
      </c>
      <c r="Z119" t="n">
        <v>5.075017700136761</v>
      </c>
      <c r="AA119" t="n">
        <v>0</v>
      </c>
      <c r="AB119" t="n">
        <v>0</v>
      </c>
      <c r="AC119" t="n">
        <v>0</v>
      </c>
      <c r="AD119" s="2" t="n">
        <v>44136</v>
      </c>
    </row>
    <row r="120">
      <c r="A120" t="n">
        <v>-1</v>
      </c>
      <c r="B120" t="inlineStr">
        <is>
          <t>01-11-2020</t>
        </is>
      </c>
      <c r="C120" t="n">
        <v>2020</v>
      </c>
      <c r="D120" t="n">
        <v>11</v>
      </c>
      <c r="E120" t="inlineStr">
        <is>
          <t>Pargua 23</t>
        </is>
      </c>
      <c r="F120" t="inlineStr">
        <is>
          <t>SAESA</t>
        </is>
      </c>
      <c r="G120" t="inlineStr">
        <is>
          <t>SAESA</t>
        </is>
      </c>
      <c r="H120" t="inlineStr">
        <is>
          <t>Empresa Eléctrica Carén S.A.</t>
        </is>
      </c>
      <c r="I120" t="inlineStr">
        <is>
          <t>Empresa Eléctrica Carén S.A.</t>
        </is>
      </c>
      <c r="J120" t="inlineStr">
        <is>
          <t>SIC 2013/03_2_BS1A_BB_Saesa_Empresa Eléctrica Carén S.A.</t>
        </is>
      </c>
      <c r="K120" t="inlineStr">
        <is>
          <t>Pargua 23</t>
        </is>
      </c>
      <c r="L120" t="inlineStr">
        <is>
          <t>-1</t>
        </is>
      </c>
      <c r="M120" t="n">
        <v>199.0425700281172</v>
      </c>
      <c r="N120" t="n">
        <v>0</v>
      </c>
      <c r="O120" t="inlineStr">
        <is>
          <t>6</t>
        </is>
      </c>
      <c r="P120" s="2" t="n">
        <v>44659.60028225694</v>
      </c>
      <c r="Q120" t="n">
        <v>6</v>
      </c>
      <c r="R120" t="inlineStr">
        <is>
          <t>MELIPULLI 220</t>
        </is>
      </c>
      <c r="S120" t="n">
        <v>202.2786412408539</v>
      </c>
      <c r="T120" t="n">
        <v>14015.53548031865</v>
      </c>
      <c r="U120" t="n">
        <v>0</v>
      </c>
      <c r="V120" t="n">
        <v>0</v>
      </c>
      <c r="W120" t="inlineStr">
        <is>
          <t>SAESA</t>
        </is>
      </c>
      <c r="X120" t="n">
        <v>78.82623657077399</v>
      </c>
      <c r="Y120" t="n">
        <v>14.01553548031865</v>
      </c>
      <c r="Z120" t="n">
        <v>15944.86402766627</v>
      </c>
      <c r="AA120" t="n">
        <v>0</v>
      </c>
      <c r="AB120" t="n">
        <v>0</v>
      </c>
      <c r="AC120" t="n">
        <v>0</v>
      </c>
      <c r="AD120" s="2" t="n">
        <v>44136</v>
      </c>
    </row>
    <row r="121">
      <c r="A121" t="n">
        <v>-1</v>
      </c>
      <c r="B121" t="inlineStr">
        <is>
          <t>01-11-2020</t>
        </is>
      </c>
      <c r="C121" t="n">
        <v>2020</v>
      </c>
      <c r="D121" t="n">
        <v>11</v>
      </c>
      <c r="E121" t="inlineStr">
        <is>
          <t>Picarte 13.8</t>
        </is>
      </c>
      <c r="F121" t="inlineStr">
        <is>
          <t>SAESA</t>
        </is>
      </c>
      <c r="G121" t="inlineStr">
        <is>
          <t>SAESA</t>
        </is>
      </c>
      <c r="H121" t="inlineStr">
        <is>
          <t>Empresa Eléctrica Carén S.A.</t>
        </is>
      </c>
      <c r="I121" t="inlineStr">
        <is>
          <t>Empresa Eléctrica Carén S.A.</t>
        </is>
      </c>
      <c r="J121" t="inlineStr">
        <is>
          <t>SIC 2013/03_2_BS1A_BB_Saesa_Empresa Eléctrica Carén S.A.</t>
        </is>
      </c>
      <c r="K121" t="inlineStr">
        <is>
          <t>Picarte 13.8</t>
        </is>
      </c>
      <c r="L121" t="inlineStr">
        <is>
          <t>-1</t>
        </is>
      </c>
      <c r="M121" t="n">
        <v>7862.598771812206</v>
      </c>
      <c r="N121" t="n">
        <v>0</v>
      </c>
      <c r="O121" t="inlineStr">
        <is>
          <t>6</t>
        </is>
      </c>
      <c r="P121" s="2" t="n">
        <v>44659.60028225694</v>
      </c>
      <c r="Q121" t="n">
        <v>15</v>
      </c>
      <c r="R121" t="inlineStr">
        <is>
          <t>BARRO BLANCO 220</t>
        </is>
      </c>
      <c r="S121" t="n">
        <v>671.6831684102003</v>
      </c>
      <c r="T121" t="n">
        <v>46755.29792421161</v>
      </c>
      <c r="U121" t="n">
        <v>0</v>
      </c>
      <c r="V121" t="n">
        <v>0</v>
      </c>
      <c r="W121" t="inlineStr">
        <is>
          <t>SAESA</t>
        </is>
      </c>
      <c r="X121" t="n">
        <v>79.19130285958501</v>
      </c>
      <c r="Y121" t="n">
        <v>46.75529792421162</v>
      </c>
      <c r="Z121" t="n">
        <v>53191.46521525781</v>
      </c>
      <c r="AA121" t="n">
        <v>0</v>
      </c>
      <c r="AB121" t="n">
        <v>0</v>
      </c>
      <c r="AC121" t="n">
        <v>0</v>
      </c>
      <c r="AD121" s="2" t="n">
        <v>44136</v>
      </c>
    </row>
    <row r="122">
      <c r="A122" t="n">
        <v>-1</v>
      </c>
      <c r="B122" t="inlineStr">
        <is>
          <t>01-11-2020</t>
        </is>
      </c>
      <c r="C122" t="n">
        <v>2020</v>
      </c>
      <c r="D122" t="n">
        <v>11</v>
      </c>
      <c r="E122" t="inlineStr">
        <is>
          <t>Picarte 13.8</t>
        </is>
      </c>
      <c r="F122" t="inlineStr">
        <is>
          <t>SAESA</t>
        </is>
      </c>
      <c r="G122" t="inlineStr">
        <is>
          <t>SAESA</t>
        </is>
      </c>
      <c r="H122" t="inlineStr">
        <is>
          <t>Empresa Eléctrica Carén S.A.</t>
        </is>
      </c>
      <c r="I122" t="inlineStr">
        <is>
          <t>Empresa Eléctrica Carén S.A.</t>
        </is>
      </c>
      <c r="J122" t="inlineStr">
        <is>
          <t>SIC 2013/03_2_BS1A_BB_Saesa_Empresa Eléctrica Carén S.A.</t>
        </is>
      </c>
      <c r="K122" t="inlineStr">
        <is>
          <t>Picarte 13.8</t>
        </is>
      </c>
      <c r="L122" t="inlineStr">
        <is>
          <t>-1</t>
        </is>
      </c>
      <c r="M122" t="n">
        <v>7862.598771812206</v>
      </c>
      <c r="N122" t="n">
        <v>0</v>
      </c>
      <c r="O122" t="inlineStr">
        <is>
          <t>6</t>
        </is>
      </c>
      <c r="P122" s="2" t="n">
        <v>44659.60028225694</v>
      </c>
      <c r="Q122" t="n">
        <v>6</v>
      </c>
      <c r="R122" t="inlineStr">
        <is>
          <t>MELIPULLI 220</t>
        </is>
      </c>
      <c r="S122" t="n">
        <v>12.64767237099303</v>
      </c>
      <c r="T122" t="n">
        <v>876.3352362448884</v>
      </c>
      <c r="U122" t="n">
        <v>0</v>
      </c>
      <c r="V122" t="n">
        <v>0</v>
      </c>
      <c r="W122" t="inlineStr">
        <is>
          <t>SAESA</t>
        </is>
      </c>
      <c r="X122" t="n">
        <v>78.826236570774</v>
      </c>
      <c r="Y122" t="n">
        <v>0.8763352362448884</v>
      </c>
      <c r="Z122" t="n">
        <v>996.9684143855385</v>
      </c>
      <c r="AA122" t="n">
        <v>0</v>
      </c>
      <c r="AB122" t="n">
        <v>0</v>
      </c>
      <c r="AC122" t="n">
        <v>0</v>
      </c>
      <c r="AD122" s="2" t="n">
        <v>44136</v>
      </c>
    </row>
    <row r="123">
      <c r="A123" t="n">
        <v>-1</v>
      </c>
      <c r="B123" t="inlineStr">
        <is>
          <t>01-11-2020</t>
        </is>
      </c>
      <c r="C123" t="n">
        <v>2020</v>
      </c>
      <c r="D123" t="n">
        <v>11</v>
      </c>
      <c r="E123" t="inlineStr">
        <is>
          <t>Picarte 13.8</t>
        </is>
      </c>
      <c r="F123" t="inlineStr">
        <is>
          <t>SAESA</t>
        </is>
      </c>
      <c r="G123" t="inlineStr">
        <is>
          <t>SAESA</t>
        </is>
      </c>
      <c r="H123" t="inlineStr">
        <is>
          <t>Empresa Eléctrica Carén S.A.</t>
        </is>
      </c>
      <c r="I123" t="inlineStr">
        <is>
          <t>Empresa Eléctrica Carén S.A.</t>
        </is>
      </c>
      <c r="J123" t="inlineStr">
        <is>
          <t>SIC 2013/03_2_BS1A_BB_Saesa_Empresa Eléctrica Carén S.A.</t>
        </is>
      </c>
      <c r="K123" t="inlineStr">
        <is>
          <t>Picarte 13.8</t>
        </is>
      </c>
      <c r="L123" t="inlineStr">
        <is>
          <t>-1</t>
        </is>
      </c>
      <c r="M123" t="n">
        <v>7862.598771812206</v>
      </c>
      <c r="N123" t="n">
        <v>0</v>
      </c>
      <c r="O123" t="inlineStr">
        <is>
          <t>6</t>
        </is>
      </c>
      <c r="P123" s="2" t="n">
        <v>44659.60028225694</v>
      </c>
      <c r="Q123" t="n">
        <v>17</v>
      </c>
      <c r="R123" t="inlineStr">
        <is>
          <t>VALDIVIA 220</t>
        </is>
      </c>
      <c r="S123" t="n">
        <v>7308.623284848076</v>
      </c>
      <c r="T123" t="n">
        <v>551262.9545089918</v>
      </c>
      <c r="U123" t="n">
        <v>0</v>
      </c>
      <c r="V123" t="n">
        <v>0</v>
      </c>
      <c r="W123" t="inlineStr">
        <is>
          <t>SAESA</t>
        </is>
      </c>
      <c r="X123" t="n">
        <v>85.80929939057701</v>
      </c>
      <c r="Y123" t="n">
        <v>551.2629545089919</v>
      </c>
      <c r="Z123" t="n">
        <v>627147.8435824708</v>
      </c>
      <c r="AA123" t="n">
        <v>0</v>
      </c>
      <c r="AB123" t="n">
        <v>0</v>
      </c>
      <c r="AC123" t="n">
        <v>0</v>
      </c>
      <c r="AD123" s="2" t="n">
        <v>44136</v>
      </c>
    </row>
    <row r="124">
      <c r="A124" t="n">
        <v>-1</v>
      </c>
      <c r="B124" t="inlineStr">
        <is>
          <t>01-11-2020</t>
        </is>
      </c>
      <c r="C124" t="n">
        <v>2020</v>
      </c>
      <c r="D124" t="n">
        <v>11</v>
      </c>
      <c r="E124" t="inlineStr">
        <is>
          <t>Pichil 023</t>
        </is>
      </c>
      <c r="F124" t="inlineStr">
        <is>
          <t>SAESA</t>
        </is>
      </c>
      <c r="G124" t="inlineStr">
        <is>
          <t>SAESA</t>
        </is>
      </c>
      <c r="H124" t="inlineStr">
        <is>
          <t>Empresa Eléctrica Carén S.A.</t>
        </is>
      </c>
      <c r="I124" t="inlineStr">
        <is>
          <t>Empresa Eléctrica Carén S.A.</t>
        </is>
      </c>
      <c r="J124" t="inlineStr">
        <is>
          <t>SIC 2013/03_2_BS1A_BB_Saesa_Empresa Eléctrica Carén S.A.</t>
        </is>
      </c>
      <c r="K124" t="inlineStr">
        <is>
          <t>Pichil 023</t>
        </is>
      </c>
      <c r="L124" t="inlineStr">
        <is>
          <t>-1</t>
        </is>
      </c>
      <c r="M124" t="n">
        <v>228.1798295208507</v>
      </c>
      <c r="N124" t="n">
        <v>0</v>
      </c>
      <c r="O124" t="inlineStr">
        <is>
          <t>6</t>
        </is>
      </c>
      <c r="P124" s="2" t="n">
        <v>44659.60028225694</v>
      </c>
      <c r="Q124" t="n">
        <v>15</v>
      </c>
      <c r="R124" t="inlineStr">
        <is>
          <t>BARRO BLANCO 220</t>
        </is>
      </c>
      <c r="S124" t="n">
        <v>226.8857287331575</v>
      </c>
      <c r="T124" t="n">
        <v>15793.32390713148</v>
      </c>
      <c r="U124" t="n">
        <v>0</v>
      </c>
      <c r="V124" t="n">
        <v>0</v>
      </c>
      <c r="W124" t="inlineStr">
        <is>
          <t>SAESA</t>
        </is>
      </c>
      <c r="X124" t="n">
        <v>79.19130285958499</v>
      </c>
      <c r="Y124" t="n">
        <v>15.79332390713149</v>
      </c>
      <c r="Z124" t="n">
        <v>17967.37645862512</v>
      </c>
      <c r="AA124" t="n">
        <v>0</v>
      </c>
      <c r="AB124" t="n">
        <v>0</v>
      </c>
      <c r="AC124" t="n">
        <v>0</v>
      </c>
      <c r="AD124" s="2" t="n">
        <v>44136</v>
      </c>
    </row>
    <row r="125">
      <c r="A125" t="n">
        <v>-1</v>
      </c>
      <c r="B125" t="inlineStr">
        <is>
          <t>01-11-2020</t>
        </is>
      </c>
      <c r="C125" t="n">
        <v>2020</v>
      </c>
      <c r="D125" t="n">
        <v>11</v>
      </c>
      <c r="E125" t="inlineStr">
        <is>
          <t>Pichil 023</t>
        </is>
      </c>
      <c r="F125" t="inlineStr">
        <is>
          <t>SAESA</t>
        </is>
      </c>
      <c r="G125" t="inlineStr">
        <is>
          <t>SAESA</t>
        </is>
      </c>
      <c r="H125" t="inlineStr">
        <is>
          <t>Empresa Eléctrica Carén S.A.</t>
        </is>
      </c>
      <c r="I125" t="inlineStr">
        <is>
          <t>Empresa Eléctrica Carén S.A.</t>
        </is>
      </c>
      <c r="J125" t="inlineStr">
        <is>
          <t>SIC 2013/03_2_BS1A_BB_Saesa_Empresa Eléctrica Carén S.A.</t>
        </is>
      </c>
      <c r="K125" t="inlineStr">
        <is>
          <t>Pichil 023</t>
        </is>
      </c>
      <c r="L125" t="inlineStr">
        <is>
          <t>-1</t>
        </is>
      </c>
      <c r="M125" t="n">
        <v>228.1798295208507</v>
      </c>
      <c r="N125" t="n">
        <v>0</v>
      </c>
      <c r="O125" t="inlineStr">
        <is>
          <t>6</t>
        </is>
      </c>
      <c r="P125" s="2" t="n">
        <v>44659.60028225694</v>
      </c>
      <c r="Q125" t="n">
        <v>6</v>
      </c>
      <c r="R125" t="inlineStr">
        <is>
          <t>MELIPULLI 220</t>
        </is>
      </c>
      <c r="S125" t="n">
        <v>4.119380938787176</v>
      </c>
      <c r="T125" t="n">
        <v>285.424745540852</v>
      </c>
      <c r="U125" t="n">
        <v>0</v>
      </c>
      <c r="V125" t="n">
        <v>0</v>
      </c>
      <c r="W125" t="inlineStr">
        <is>
          <t>SAESA</t>
        </is>
      </c>
      <c r="X125" t="n">
        <v>78.826236570774</v>
      </c>
      <c r="Y125" t="n">
        <v>0.285424745540852</v>
      </c>
      <c r="Z125" t="n">
        <v>324.7152964059749</v>
      </c>
      <c r="AA125" t="n">
        <v>0</v>
      </c>
      <c r="AB125" t="n">
        <v>0</v>
      </c>
      <c r="AC125" t="n">
        <v>0</v>
      </c>
      <c r="AD125" s="2" t="n">
        <v>44136</v>
      </c>
    </row>
    <row r="126">
      <c r="A126" t="n">
        <v>-1</v>
      </c>
      <c r="B126" t="inlineStr">
        <is>
          <t>01-11-2020</t>
        </is>
      </c>
      <c r="C126" t="n">
        <v>2020</v>
      </c>
      <c r="D126" t="n">
        <v>11</v>
      </c>
      <c r="E126" t="inlineStr">
        <is>
          <t>Pichil 023</t>
        </is>
      </c>
      <c r="F126" t="inlineStr">
        <is>
          <t>SAESA</t>
        </is>
      </c>
      <c r="G126" t="inlineStr">
        <is>
          <t>SAESA</t>
        </is>
      </c>
      <c r="H126" t="inlineStr">
        <is>
          <t>Empresa Eléctrica Carén S.A.</t>
        </is>
      </c>
      <c r="I126" t="inlineStr">
        <is>
          <t>Empresa Eléctrica Carén S.A.</t>
        </is>
      </c>
      <c r="J126" t="inlineStr">
        <is>
          <t>SIC 2013/03_2_BS1A_BB_Saesa_Empresa Eléctrica Carén S.A.</t>
        </is>
      </c>
      <c r="K126" t="inlineStr">
        <is>
          <t>Pichil 023</t>
        </is>
      </c>
      <c r="L126" t="inlineStr">
        <is>
          <t>-1</t>
        </is>
      </c>
      <c r="M126" t="n">
        <v>228.1798295208507</v>
      </c>
      <c r="N126" t="n">
        <v>0</v>
      </c>
      <c r="O126" t="inlineStr">
        <is>
          <t>6</t>
        </is>
      </c>
      <c r="P126" s="2" t="n">
        <v>44659.60028225694</v>
      </c>
      <c r="Q126" t="n">
        <v>17</v>
      </c>
      <c r="R126" t="inlineStr">
        <is>
          <t>VALDIVIA 220</t>
        </is>
      </c>
      <c r="S126" t="n">
        <v>0.9577518049233101</v>
      </c>
      <c r="T126" t="n">
        <v>72.23974599469571</v>
      </c>
      <c r="U126" t="n">
        <v>0</v>
      </c>
      <c r="V126" t="n">
        <v>0</v>
      </c>
      <c r="W126" t="inlineStr">
        <is>
          <t>SAESA</t>
        </is>
      </c>
      <c r="X126" t="n">
        <v>85.80929939057698</v>
      </c>
      <c r="Y126" t="n">
        <v>0.07223974599469569</v>
      </c>
      <c r="Z126" t="n">
        <v>82.18401137052982</v>
      </c>
      <c r="AA126" t="n">
        <v>0</v>
      </c>
      <c r="AB126" t="n">
        <v>0</v>
      </c>
      <c r="AC126" t="n">
        <v>0</v>
      </c>
      <c r="AD126" s="2" t="n">
        <v>44136</v>
      </c>
    </row>
    <row r="127">
      <c r="A127" t="n">
        <v>-1</v>
      </c>
      <c r="B127" t="inlineStr">
        <is>
          <t>01-11-2020</t>
        </is>
      </c>
      <c r="C127" t="n">
        <v>2020</v>
      </c>
      <c r="D127" t="n">
        <v>11</v>
      </c>
      <c r="E127" t="inlineStr">
        <is>
          <t>Pichirropulli 13.8</t>
        </is>
      </c>
      <c r="F127" t="inlineStr">
        <is>
          <t>SAESA</t>
        </is>
      </c>
      <c r="G127" t="inlineStr">
        <is>
          <t>SAESA</t>
        </is>
      </c>
      <c r="H127" t="inlineStr">
        <is>
          <t>Empresa Eléctrica Carén S.A.</t>
        </is>
      </c>
      <c r="I127" t="inlineStr">
        <is>
          <t>Empresa Eléctrica Carén S.A.</t>
        </is>
      </c>
      <c r="J127" t="inlineStr">
        <is>
          <t>SIC 2013/03_2_BS1A_BB_Saesa_Empresa Eléctrica Carén S.A.</t>
        </is>
      </c>
      <c r="K127" t="inlineStr">
        <is>
          <t>Pichirropulli 13.8</t>
        </is>
      </c>
      <c r="L127" t="inlineStr">
        <is>
          <t>-1</t>
        </is>
      </c>
      <c r="M127" t="n">
        <v>1478.645966375176</v>
      </c>
      <c r="N127" t="n">
        <v>0</v>
      </c>
      <c r="O127" t="inlineStr">
        <is>
          <t>6</t>
        </is>
      </c>
      <c r="P127" s="2" t="n">
        <v>44659.60028225694</v>
      </c>
      <c r="Q127" t="n">
        <v>15</v>
      </c>
      <c r="R127" t="inlineStr">
        <is>
          <t>BARRO BLANCO 220</t>
        </is>
      </c>
      <c r="S127" t="n">
        <v>1344.816810792101</v>
      </c>
      <c r="T127" t="n">
        <v>93611.56211625255</v>
      </c>
      <c r="U127" t="n">
        <v>0</v>
      </c>
      <c r="V127" t="n">
        <v>0</v>
      </c>
      <c r="W127" t="inlineStr">
        <is>
          <t>SAESA</t>
        </is>
      </c>
      <c r="X127" t="n">
        <v>79.19130285958499</v>
      </c>
      <c r="Y127" t="n">
        <v>93.61156211625253</v>
      </c>
      <c r="Z127" t="n">
        <v>106497.7953540985</v>
      </c>
      <c r="AA127" t="n">
        <v>0</v>
      </c>
      <c r="AB127" t="n">
        <v>0</v>
      </c>
      <c r="AC127" t="n">
        <v>0</v>
      </c>
      <c r="AD127" s="2" t="n">
        <v>44136</v>
      </c>
    </row>
    <row r="128">
      <c r="A128" t="n">
        <v>-1</v>
      </c>
      <c r="B128" t="inlineStr">
        <is>
          <t>01-11-2020</t>
        </is>
      </c>
      <c r="C128" t="n">
        <v>2020</v>
      </c>
      <c r="D128" t="n">
        <v>11</v>
      </c>
      <c r="E128" t="inlineStr">
        <is>
          <t>Pichirropulli 13.8</t>
        </is>
      </c>
      <c r="F128" t="inlineStr">
        <is>
          <t>SAESA</t>
        </is>
      </c>
      <c r="G128" t="inlineStr">
        <is>
          <t>SAESA</t>
        </is>
      </c>
      <c r="H128" t="inlineStr">
        <is>
          <t>Empresa Eléctrica Carén S.A.</t>
        </is>
      </c>
      <c r="I128" t="inlineStr">
        <is>
          <t>Empresa Eléctrica Carén S.A.</t>
        </is>
      </c>
      <c r="J128" t="inlineStr">
        <is>
          <t>SIC 2013/03_2_BS1A_BB_Saesa_Empresa Eléctrica Carén S.A.</t>
        </is>
      </c>
      <c r="K128" t="inlineStr">
        <is>
          <t>Pichirropulli 13.8</t>
        </is>
      </c>
      <c r="L128" t="inlineStr">
        <is>
          <t>-1</t>
        </is>
      </c>
      <c r="M128" t="n">
        <v>1478.645966375176</v>
      </c>
      <c r="N128" t="n">
        <v>0</v>
      </c>
      <c r="O128" t="inlineStr">
        <is>
          <t>6</t>
        </is>
      </c>
      <c r="P128" s="2" t="n">
        <v>44659.60028225694</v>
      </c>
      <c r="Q128" t="n">
        <v>6</v>
      </c>
      <c r="R128" t="inlineStr">
        <is>
          <t>MELIPULLI 220</t>
        </is>
      </c>
      <c r="S128" t="n">
        <v>16.76013366438338</v>
      </c>
      <c r="T128" t="n">
        <v>1161.280531582914</v>
      </c>
      <c r="U128" t="n">
        <v>0</v>
      </c>
      <c r="V128" t="n">
        <v>0</v>
      </c>
      <c r="W128" t="inlineStr">
        <is>
          <t>SAESA</t>
        </is>
      </c>
      <c r="X128" t="n">
        <v>78.826236570774</v>
      </c>
      <c r="Y128" t="n">
        <v>1.161280531582914</v>
      </c>
      <c r="Z128" t="n">
        <v>1321.138261186477</v>
      </c>
      <c r="AA128" t="n">
        <v>0</v>
      </c>
      <c r="AB128" t="n">
        <v>0</v>
      </c>
      <c r="AC128" t="n">
        <v>0</v>
      </c>
      <c r="AD128" s="2" t="n">
        <v>44136</v>
      </c>
    </row>
    <row r="129">
      <c r="A129" t="n">
        <v>-1</v>
      </c>
      <c r="B129" t="inlineStr">
        <is>
          <t>01-11-2020</t>
        </is>
      </c>
      <c r="C129" t="n">
        <v>2020</v>
      </c>
      <c r="D129" t="n">
        <v>11</v>
      </c>
      <c r="E129" t="inlineStr">
        <is>
          <t>Pichirropulli 13.8</t>
        </is>
      </c>
      <c r="F129" t="inlineStr">
        <is>
          <t>SAESA</t>
        </is>
      </c>
      <c r="G129" t="inlineStr">
        <is>
          <t>SAESA</t>
        </is>
      </c>
      <c r="H129" t="inlineStr">
        <is>
          <t>Empresa Eléctrica Carén S.A.</t>
        </is>
      </c>
      <c r="I129" t="inlineStr">
        <is>
          <t>Empresa Eléctrica Carén S.A.</t>
        </is>
      </c>
      <c r="J129" t="inlineStr">
        <is>
          <t>SIC 2013/03_2_BS1A_BB_Saesa_Empresa Eléctrica Carén S.A.</t>
        </is>
      </c>
      <c r="K129" t="inlineStr">
        <is>
          <t>Pichirropulli 13.8</t>
        </is>
      </c>
      <c r="L129" t="inlineStr">
        <is>
          <t>-1</t>
        </is>
      </c>
      <c r="M129" t="n">
        <v>1478.645966375176</v>
      </c>
      <c r="N129" t="n">
        <v>0</v>
      </c>
      <c r="O129" t="inlineStr">
        <is>
          <t>6</t>
        </is>
      </c>
      <c r="P129" s="2" t="n">
        <v>44659.60028225694</v>
      </c>
      <c r="Q129" t="n">
        <v>17</v>
      </c>
      <c r="R129" t="inlineStr">
        <is>
          <t>VALDIVIA 220</t>
        </is>
      </c>
      <c r="S129" t="n">
        <v>141.5837432863945</v>
      </c>
      <c r="T129" t="n">
        <v>10679.14839670422</v>
      </c>
      <c r="U129" t="n">
        <v>0</v>
      </c>
      <c r="V129" t="n">
        <v>0</v>
      </c>
      <c r="W129" t="inlineStr">
        <is>
          <t>SAESA</t>
        </is>
      </c>
      <c r="X129" t="n">
        <v>85.80929939057698</v>
      </c>
      <c r="Y129" t="n">
        <v>10.67914839670422</v>
      </c>
      <c r="Z129" t="n">
        <v>12149.20181650082</v>
      </c>
      <c r="AA129" t="n">
        <v>0</v>
      </c>
      <c r="AB129" t="n">
        <v>0</v>
      </c>
      <c r="AC129" t="n">
        <v>0</v>
      </c>
      <c r="AD129" s="2" t="n">
        <v>44136</v>
      </c>
    </row>
    <row r="130">
      <c r="A130" t="n">
        <v>-1</v>
      </c>
      <c r="B130" t="inlineStr">
        <is>
          <t>01-11-2020</t>
        </is>
      </c>
      <c r="C130" t="n">
        <v>2020</v>
      </c>
      <c r="D130" t="n">
        <v>11</v>
      </c>
      <c r="E130" t="inlineStr">
        <is>
          <t>Pid Pid 023</t>
        </is>
      </c>
      <c r="F130" t="inlineStr">
        <is>
          <t>SAESA</t>
        </is>
      </c>
      <c r="G130" t="inlineStr">
        <is>
          <t>SAESA</t>
        </is>
      </c>
      <c r="H130" t="inlineStr">
        <is>
          <t>Empresa Eléctrica Carén S.A.</t>
        </is>
      </c>
      <c r="I130" t="inlineStr">
        <is>
          <t>Empresa Eléctrica Carén S.A.</t>
        </is>
      </c>
      <c r="J130" t="inlineStr">
        <is>
          <t>SIC 2013/03_2_BS1A_BB_Saesa_Empresa Eléctrica Carén S.A.</t>
        </is>
      </c>
      <c r="K130" t="inlineStr">
        <is>
          <t>Pid Pid 023</t>
        </is>
      </c>
      <c r="L130" t="inlineStr">
        <is>
          <t>-1</t>
        </is>
      </c>
      <c r="M130" t="n">
        <v>1033.890465050073</v>
      </c>
      <c r="N130" t="n">
        <v>0</v>
      </c>
      <c r="O130" t="inlineStr">
        <is>
          <t>6</t>
        </is>
      </c>
      <c r="P130" s="2" t="n">
        <v>44659.60028225694</v>
      </c>
      <c r="Q130" t="n">
        <v>24</v>
      </c>
      <c r="R130" t="inlineStr">
        <is>
          <t>CHILOE 220</t>
        </is>
      </c>
      <c r="S130" t="n">
        <v>1051.031509797627</v>
      </c>
      <c r="T130" t="n">
        <v>73386.26143306756</v>
      </c>
      <c r="U130" t="n">
        <v>0</v>
      </c>
      <c r="V130" t="n">
        <v>0</v>
      </c>
      <c r="W130" t="inlineStr">
        <is>
          <t>SAESA</t>
        </is>
      </c>
      <c r="X130" t="n">
        <v>79.434680359482</v>
      </c>
      <c r="Y130" t="n">
        <v>73.38626143306756</v>
      </c>
      <c r="Z130" t="n">
        <v>83488.35202851826</v>
      </c>
      <c r="AA130" t="n">
        <v>0</v>
      </c>
      <c r="AB130" t="n">
        <v>0</v>
      </c>
      <c r="AC130" t="n">
        <v>0</v>
      </c>
      <c r="AD130" s="2" t="n">
        <v>44136</v>
      </c>
    </row>
    <row r="131">
      <c r="A131" t="n">
        <v>-1</v>
      </c>
      <c r="B131" t="inlineStr">
        <is>
          <t>01-11-2020</t>
        </is>
      </c>
      <c r="C131" t="n">
        <v>2020</v>
      </c>
      <c r="D131" t="n">
        <v>11</v>
      </c>
      <c r="E131" t="inlineStr">
        <is>
          <t>pilmaiquen 13.8</t>
        </is>
      </c>
      <c r="F131" t="inlineStr">
        <is>
          <t>SAESA</t>
        </is>
      </c>
      <c r="G131" t="inlineStr">
        <is>
          <t>SAESA</t>
        </is>
      </c>
      <c r="H131" t="inlineStr">
        <is>
          <t>Empresa Eléctrica Carén S.A.</t>
        </is>
      </c>
      <c r="I131" t="inlineStr">
        <is>
          <t>Empresa Eléctrica Carén S.A.</t>
        </is>
      </c>
      <c r="J131" t="inlineStr">
        <is>
          <t>SIC 2013/03_2_BS1A_BB_Saesa_Empresa Eléctrica Carén S.A.</t>
        </is>
      </c>
      <c r="K131" t="inlineStr">
        <is>
          <t>pilmaiquen 13.8</t>
        </is>
      </c>
      <c r="L131" t="inlineStr">
        <is>
          <t>-1</t>
        </is>
      </c>
      <c r="M131" t="n">
        <v>0</v>
      </c>
      <c r="N131" t="n">
        <v>0</v>
      </c>
      <c r="O131" t="inlineStr">
        <is>
          <t>6</t>
        </is>
      </c>
      <c r="P131" s="2" t="n">
        <v>44659.60028225694</v>
      </c>
      <c r="Q131" t="n">
        <v>15</v>
      </c>
      <c r="R131" t="inlineStr">
        <is>
          <t>BARRO BLANCO 220</t>
        </is>
      </c>
      <c r="S131" t="n">
        <v>0</v>
      </c>
      <c r="T131" t="n">
        <v>0</v>
      </c>
      <c r="U131" t="n">
        <v>0</v>
      </c>
      <c r="V131" t="n">
        <v>0</v>
      </c>
      <c r="W131" t="inlineStr">
        <is>
          <t>SAESA</t>
        </is>
      </c>
      <c r="X131" t="n">
        <v>0</v>
      </c>
      <c r="Y131" t="n">
        <v>0</v>
      </c>
      <c r="Z131" t="n">
        <v>0</v>
      </c>
      <c r="AA131" t="n">
        <v>0</v>
      </c>
      <c r="AB131" t="n">
        <v>0</v>
      </c>
      <c r="AC131" t="n">
        <v>0</v>
      </c>
      <c r="AD131" s="2" t="n">
        <v>44136</v>
      </c>
    </row>
    <row r="132">
      <c r="A132" t="n">
        <v>-1</v>
      </c>
      <c r="B132" t="inlineStr">
        <is>
          <t>01-11-2020</t>
        </is>
      </c>
      <c r="C132" t="n">
        <v>2020</v>
      </c>
      <c r="D132" t="n">
        <v>11</v>
      </c>
      <c r="E132" t="inlineStr">
        <is>
          <t>pilmaiquen 13.8</t>
        </is>
      </c>
      <c r="F132" t="inlineStr">
        <is>
          <t>SAESA</t>
        </is>
      </c>
      <c r="G132" t="inlineStr">
        <is>
          <t>SAESA</t>
        </is>
      </c>
      <c r="H132" t="inlineStr">
        <is>
          <t>Empresa Eléctrica Carén S.A.</t>
        </is>
      </c>
      <c r="I132" t="inlineStr">
        <is>
          <t>Empresa Eléctrica Carén S.A.</t>
        </is>
      </c>
      <c r="J132" t="inlineStr">
        <is>
          <t>SIC 2013/03_2_BS1A_BB_Saesa_Empresa Eléctrica Carén S.A.</t>
        </is>
      </c>
      <c r="K132" t="inlineStr">
        <is>
          <t>pilmaiquen 13.8</t>
        </is>
      </c>
      <c r="L132" t="inlineStr">
        <is>
          <t>-1</t>
        </is>
      </c>
      <c r="M132" t="n">
        <v>0</v>
      </c>
      <c r="N132" t="n">
        <v>0</v>
      </c>
      <c r="O132" t="inlineStr">
        <is>
          <t>6</t>
        </is>
      </c>
      <c r="P132" s="2" t="n">
        <v>44659.60028225694</v>
      </c>
      <c r="Q132" t="n">
        <v>6</v>
      </c>
      <c r="R132" t="inlineStr">
        <is>
          <t>MELIPULLI 220</t>
        </is>
      </c>
      <c r="S132" t="n">
        <v>0</v>
      </c>
      <c r="T132" t="n">
        <v>0</v>
      </c>
      <c r="U132" t="n">
        <v>0</v>
      </c>
      <c r="V132" t="n">
        <v>0</v>
      </c>
      <c r="W132" t="inlineStr">
        <is>
          <t>SAESA</t>
        </is>
      </c>
      <c r="X132" t="n">
        <v>0</v>
      </c>
      <c r="Y132" t="n">
        <v>0</v>
      </c>
      <c r="Z132" t="n">
        <v>0</v>
      </c>
      <c r="AA132" t="n">
        <v>0</v>
      </c>
      <c r="AB132" t="n">
        <v>0</v>
      </c>
      <c r="AC132" t="n">
        <v>0</v>
      </c>
      <c r="AD132" s="2" t="n">
        <v>44136</v>
      </c>
    </row>
    <row r="133">
      <c r="A133" t="n">
        <v>-1</v>
      </c>
      <c r="B133" t="inlineStr">
        <is>
          <t>01-11-2020</t>
        </is>
      </c>
      <c r="C133" t="n">
        <v>2020</v>
      </c>
      <c r="D133" t="n">
        <v>11</v>
      </c>
      <c r="E133" t="inlineStr">
        <is>
          <t>pilmaiquen 13.8</t>
        </is>
      </c>
      <c r="F133" t="inlineStr">
        <is>
          <t>SAESA</t>
        </is>
      </c>
      <c r="G133" t="inlineStr">
        <is>
          <t>SAESA</t>
        </is>
      </c>
      <c r="H133" t="inlineStr">
        <is>
          <t>Empresa Eléctrica Carén S.A.</t>
        </is>
      </c>
      <c r="I133" t="inlineStr">
        <is>
          <t>Empresa Eléctrica Carén S.A.</t>
        </is>
      </c>
      <c r="J133" t="inlineStr">
        <is>
          <t>SIC 2013/03_2_BS1A_BB_Saesa_Empresa Eléctrica Carén S.A.</t>
        </is>
      </c>
      <c r="K133" t="inlineStr">
        <is>
          <t>pilmaiquen 13.8</t>
        </is>
      </c>
      <c r="L133" t="inlineStr">
        <is>
          <t>-1</t>
        </is>
      </c>
      <c r="M133" t="n">
        <v>0</v>
      </c>
      <c r="N133" t="n">
        <v>0</v>
      </c>
      <c r="O133" t="inlineStr">
        <is>
          <t>6</t>
        </is>
      </c>
      <c r="P133" s="2" t="n">
        <v>44659.60028225694</v>
      </c>
      <c r="Q133" t="n">
        <v>17</v>
      </c>
      <c r="R133" t="inlineStr">
        <is>
          <t>VALDIVIA 220</t>
        </is>
      </c>
      <c r="S133" t="n">
        <v>0</v>
      </c>
      <c r="T133" t="n">
        <v>0</v>
      </c>
      <c r="U133" t="n">
        <v>0</v>
      </c>
      <c r="V133" t="n">
        <v>0</v>
      </c>
      <c r="W133" t="inlineStr">
        <is>
          <t>SAESA</t>
        </is>
      </c>
      <c r="X133" t="n">
        <v>0</v>
      </c>
      <c r="Y133" t="n">
        <v>0</v>
      </c>
      <c r="Z133" t="n">
        <v>0</v>
      </c>
      <c r="AA133" t="n">
        <v>0</v>
      </c>
      <c r="AB133" t="n">
        <v>0</v>
      </c>
      <c r="AC133" t="n">
        <v>0</v>
      </c>
      <c r="AD133" s="2" t="n">
        <v>44136</v>
      </c>
    </row>
    <row r="134">
      <c r="A134" t="n">
        <v>-1</v>
      </c>
      <c r="B134" t="inlineStr">
        <is>
          <t>01-11-2020</t>
        </is>
      </c>
      <c r="C134" t="n">
        <v>2020</v>
      </c>
      <c r="D134" t="n">
        <v>11</v>
      </c>
      <c r="E134" t="inlineStr">
        <is>
          <t>Puerto Varas 13.8</t>
        </is>
      </c>
      <c r="F134" t="inlineStr">
        <is>
          <t>SAESA</t>
        </is>
      </c>
      <c r="G134" t="inlineStr">
        <is>
          <t>SAESA</t>
        </is>
      </c>
      <c r="H134" t="inlineStr">
        <is>
          <t>Empresa Eléctrica Carén S.A.</t>
        </is>
      </c>
      <c r="I134" t="inlineStr">
        <is>
          <t>Empresa Eléctrica Carén S.A.</t>
        </is>
      </c>
      <c r="J134" t="inlineStr">
        <is>
          <t>SIC 2013/03_2_BS1A_BB_Saesa_Empresa Eléctrica Carén S.A.</t>
        </is>
      </c>
      <c r="K134" t="inlineStr">
        <is>
          <t>Puerto Varas 13.8</t>
        </is>
      </c>
      <c r="L134" t="inlineStr">
        <is>
          <t>-1</t>
        </is>
      </c>
      <c r="M134" t="n">
        <v>2982.78576055922</v>
      </c>
      <c r="N134" t="n">
        <v>0</v>
      </c>
      <c r="O134" t="inlineStr">
        <is>
          <t>6</t>
        </is>
      </c>
      <c r="P134" s="2" t="n">
        <v>44659.60028225694</v>
      </c>
      <c r="Q134" t="n">
        <v>15</v>
      </c>
      <c r="R134" t="inlineStr">
        <is>
          <t>BARRO BLANCO 220</t>
        </is>
      </c>
      <c r="S134" t="n">
        <v>243.8724135301939</v>
      </c>
      <c r="T134" t="n">
        <v>16975.75268573246</v>
      </c>
      <c r="U134" t="n">
        <v>0</v>
      </c>
      <c r="V134" t="n">
        <v>0</v>
      </c>
      <c r="W134" t="inlineStr">
        <is>
          <t>SAESA</t>
        </is>
      </c>
      <c r="X134" t="n">
        <v>79.19130285958499</v>
      </c>
      <c r="Y134" t="n">
        <v>16.97575268573246</v>
      </c>
      <c r="Z134" t="n">
        <v>19312.57415896753</v>
      </c>
      <c r="AA134" t="n">
        <v>0</v>
      </c>
      <c r="AB134" t="n">
        <v>0</v>
      </c>
      <c r="AC134" t="n">
        <v>0</v>
      </c>
      <c r="AD134" s="2" t="n">
        <v>44136</v>
      </c>
    </row>
    <row r="135">
      <c r="A135" t="n">
        <v>-1</v>
      </c>
      <c r="B135" t="inlineStr">
        <is>
          <t>01-11-2020</t>
        </is>
      </c>
      <c r="C135" t="n">
        <v>2020</v>
      </c>
      <c r="D135" t="n">
        <v>11</v>
      </c>
      <c r="E135" t="inlineStr">
        <is>
          <t>Puerto Varas 13.8</t>
        </is>
      </c>
      <c r="F135" t="inlineStr">
        <is>
          <t>SAESA</t>
        </is>
      </c>
      <c r="G135" t="inlineStr">
        <is>
          <t>SAESA</t>
        </is>
      </c>
      <c r="H135" t="inlineStr">
        <is>
          <t>Empresa Eléctrica Carén S.A.</t>
        </is>
      </c>
      <c r="I135" t="inlineStr">
        <is>
          <t>Empresa Eléctrica Carén S.A.</t>
        </is>
      </c>
      <c r="J135" t="inlineStr">
        <is>
          <t>SIC 2013/03_2_BS1A_BB_Saesa_Empresa Eléctrica Carén S.A.</t>
        </is>
      </c>
      <c r="K135" t="inlineStr">
        <is>
          <t>Puerto Varas 13.8</t>
        </is>
      </c>
      <c r="L135" t="inlineStr">
        <is>
          <t>-1</t>
        </is>
      </c>
      <c r="M135" t="n">
        <v>2982.78576055922</v>
      </c>
      <c r="N135" t="n">
        <v>0</v>
      </c>
      <c r="O135" t="inlineStr">
        <is>
          <t>6</t>
        </is>
      </c>
      <c r="P135" s="2" t="n">
        <v>44659.60028225694</v>
      </c>
      <c r="Q135" t="n">
        <v>6</v>
      </c>
      <c r="R135" t="inlineStr">
        <is>
          <t>MELIPULLI 220</t>
        </is>
      </c>
      <c r="S135" t="n">
        <v>2788.365456244132</v>
      </c>
      <c r="T135" t="n">
        <v>193200.9961326135</v>
      </c>
      <c r="U135" t="n">
        <v>0</v>
      </c>
      <c r="V135" t="n">
        <v>0</v>
      </c>
      <c r="W135" t="inlineStr">
        <is>
          <t>SAESA</t>
        </is>
      </c>
      <c r="X135" t="n">
        <v>78.826236570774</v>
      </c>
      <c r="Y135" t="n">
        <v>193.2009961326136</v>
      </c>
      <c r="Z135" t="n">
        <v>219796.3550996741</v>
      </c>
      <c r="AA135" t="n">
        <v>0</v>
      </c>
      <c r="AB135" t="n">
        <v>0</v>
      </c>
      <c r="AC135" t="n">
        <v>0</v>
      </c>
      <c r="AD135" s="2" t="n">
        <v>44136</v>
      </c>
    </row>
    <row r="136">
      <c r="A136" t="n">
        <v>-1</v>
      </c>
      <c r="B136" t="inlineStr">
        <is>
          <t>01-11-2020</t>
        </is>
      </c>
      <c r="C136" t="n">
        <v>2020</v>
      </c>
      <c r="D136" t="n">
        <v>11</v>
      </c>
      <c r="E136" t="inlineStr">
        <is>
          <t>Pullinque 023</t>
        </is>
      </c>
      <c r="F136" t="inlineStr">
        <is>
          <t>SAESA</t>
        </is>
      </c>
      <c r="G136" t="inlineStr">
        <is>
          <t>SAESA</t>
        </is>
      </c>
      <c r="H136" t="inlineStr">
        <is>
          <t>Empresa Eléctrica Carén S.A.</t>
        </is>
      </c>
      <c r="I136" t="inlineStr">
        <is>
          <t>Empresa Eléctrica Carén S.A.</t>
        </is>
      </c>
      <c r="J136" t="inlineStr">
        <is>
          <t>SIC 2013/03_2_BS1A_BB_Saesa_Empresa Eléctrica Carén S.A.</t>
        </is>
      </c>
      <c r="K136" t="inlineStr">
        <is>
          <t>Pullinque 023</t>
        </is>
      </c>
      <c r="L136" t="inlineStr">
        <is>
          <t>-1</t>
        </is>
      </c>
      <c r="M136" t="n">
        <v>628.3853610811074</v>
      </c>
      <c r="N136" t="n">
        <v>0</v>
      </c>
      <c r="O136" t="inlineStr">
        <is>
          <t>6</t>
        </is>
      </c>
      <c r="P136" s="2" t="n">
        <v>44659.60028225694</v>
      </c>
      <c r="Q136" t="n">
        <v>15</v>
      </c>
      <c r="R136" t="inlineStr">
        <is>
          <t>BARRO BLANCO 220</t>
        </is>
      </c>
      <c r="S136" t="n">
        <v>168.8906215546179</v>
      </c>
      <c r="T136" t="n">
        <v>11756.33348991259</v>
      </c>
      <c r="U136" t="n">
        <v>0</v>
      </c>
      <c r="V136" t="n">
        <v>0</v>
      </c>
      <c r="W136" t="inlineStr">
        <is>
          <t>SAESA</t>
        </is>
      </c>
      <c r="X136" t="n">
        <v>79.19130285958499</v>
      </c>
      <c r="Y136" t="n">
        <v>11.75633348991259</v>
      </c>
      <c r="Z136" t="n">
        <v>13374.6683616753</v>
      </c>
      <c r="AA136" t="n">
        <v>0</v>
      </c>
      <c r="AB136" t="n">
        <v>0</v>
      </c>
      <c r="AC136" t="n">
        <v>0</v>
      </c>
      <c r="AD136" s="2" t="n">
        <v>44136</v>
      </c>
    </row>
    <row r="137">
      <c r="A137" t="n">
        <v>-1</v>
      </c>
      <c r="B137" t="inlineStr">
        <is>
          <t>01-11-2020</t>
        </is>
      </c>
      <c r="C137" t="n">
        <v>2020</v>
      </c>
      <c r="D137" t="n">
        <v>11</v>
      </c>
      <c r="E137" t="inlineStr">
        <is>
          <t>Pullinque 023</t>
        </is>
      </c>
      <c r="F137" t="inlineStr">
        <is>
          <t>SAESA</t>
        </is>
      </c>
      <c r="G137" t="inlineStr">
        <is>
          <t>SAESA</t>
        </is>
      </c>
      <c r="H137" t="inlineStr">
        <is>
          <t>Empresa Eléctrica Carén S.A.</t>
        </is>
      </c>
      <c r="I137" t="inlineStr">
        <is>
          <t>Empresa Eléctrica Carén S.A.</t>
        </is>
      </c>
      <c r="J137" t="inlineStr">
        <is>
          <t>SIC 2013/03_2_BS1A_BB_Saesa_Empresa Eléctrica Carén S.A.</t>
        </is>
      </c>
      <c r="K137" t="inlineStr">
        <is>
          <t>Pullinque 023</t>
        </is>
      </c>
      <c r="L137" t="inlineStr">
        <is>
          <t>-1</t>
        </is>
      </c>
      <c r="M137" t="n">
        <v>628.3853610811074</v>
      </c>
      <c r="N137" t="n">
        <v>0</v>
      </c>
      <c r="O137" t="inlineStr">
        <is>
          <t>6</t>
        </is>
      </c>
      <c r="P137" s="2" t="n">
        <v>44659.60028225694</v>
      </c>
      <c r="Q137" t="n">
        <v>6</v>
      </c>
      <c r="R137" t="inlineStr">
        <is>
          <t>MELIPULLI 220</t>
        </is>
      </c>
      <c r="S137" t="n">
        <v>2.061402912461497</v>
      </c>
      <c r="T137" t="n">
        <v>142.8310249742824</v>
      </c>
      <c r="U137" t="n">
        <v>0</v>
      </c>
      <c r="V137" t="n">
        <v>0</v>
      </c>
      <c r="W137" t="inlineStr">
        <is>
          <t>SAESA</t>
        </is>
      </c>
      <c r="X137" t="n">
        <v>78.82623657077399</v>
      </c>
      <c r="Y137" t="n">
        <v>0.1428310249742824</v>
      </c>
      <c r="Z137" t="n">
        <v>162.4926336453725</v>
      </c>
      <c r="AA137" t="n">
        <v>0</v>
      </c>
      <c r="AB137" t="n">
        <v>0</v>
      </c>
      <c r="AC137" t="n">
        <v>0</v>
      </c>
      <c r="AD137" s="2" t="n">
        <v>44136</v>
      </c>
    </row>
    <row r="138">
      <c r="A138" t="n">
        <v>-1</v>
      </c>
      <c r="B138" t="inlineStr">
        <is>
          <t>01-11-2020</t>
        </is>
      </c>
      <c r="C138" t="n">
        <v>2020</v>
      </c>
      <c r="D138" t="n">
        <v>11</v>
      </c>
      <c r="E138" t="inlineStr">
        <is>
          <t>Pullinque 023</t>
        </is>
      </c>
      <c r="F138" t="inlineStr">
        <is>
          <t>SAESA</t>
        </is>
      </c>
      <c r="G138" t="inlineStr">
        <is>
          <t>SAESA</t>
        </is>
      </c>
      <c r="H138" t="inlineStr">
        <is>
          <t>Empresa Eléctrica Carén S.A.</t>
        </is>
      </c>
      <c r="I138" t="inlineStr">
        <is>
          <t>Empresa Eléctrica Carén S.A.</t>
        </is>
      </c>
      <c r="J138" t="inlineStr">
        <is>
          <t>SIC 2013/03_2_BS1A_BB_Saesa_Empresa Eléctrica Carén S.A.</t>
        </is>
      </c>
      <c r="K138" t="inlineStr">
        <is>
          <t>Pullinque 023</t>
        </is>
      </c>
      <c r="L138" t="inlineStr">
        <is>
          <t>-1</t>
        </is>
      </c>
      <c r="M138" t="n">
        <v>628.3853610811074</v>
      </c>
      <c r="N138" t="n">
        <v>0</v>
      </c>
      <c r="O138" t="inlineStr">
        <is>
          <t>6</t>
        </is>
      </c>
      <c r="P138" s="2" t="n">
        <v>44659.60028225694</v>
      </c>
      <c r="Q138" t="n">
        <v>17</v>
      </c>
      <c r="R138" t="inlineStr">
        <is>
          <t>VALDIVIA 220</t>
        </is>
      </c>
      <c r="S138" t="n">
        <v>467.8514437125178</v>
      </c>
      <c r="T138" t="n">
        <v>35288.33804677633</v>
      </c>
      <c r="U138" t="n">
        <v>0</v>
      </c>
      <c r="V138" t="n">
        <v>0</v>
      </c>
      <c r="W138" t="inlineStr">
        <is>
          <t>SAESA</t>
        </is>
      </c>
      <c r="X138" t="n">
        <v>85.809299390577</v>
      </c>
      <c r="Y138" t="n">
        <v>35.28833804677634</v>
      </c>
      <c r="Z138" t="n">
        <v>40146.00460384111</v>
      </c>
      <c r="AA138" t="n">
        <v>0</v>
      </c>
      <c r="AB138" t="n">
        <v>0</v>
      </c>
      <c r="AC138" t="n">
        <v>0</v>
      </c>
      <c r="AD138" s="2" t="n">
        <v>44136</v>
      </c>
    </row>
    <row r="139">
      <c r="A139" t="n">
        <v>-1</v>
      </c>
      <c r="B139" t="inlineStr">
        <is>
          <t>01-11-2020</t>
        </is>
      </c>
      <c r="C139" t="n">
        <v>2020</v>
      </c>
      <c r="D139" t="n">
        <v>11</v>
      </c>
      <c r="E139" t="inlineStr">
        <is>
          <t>Purranque 13.8</t>
        </is>
      </c>
      <c r="F139" t="inlineStr">
        <is>
          <t>SAESA</t>
        </is>
      </c>
      <c r="G139" t="inlineStr">
        <is>
          <t>SAESA</t>
        </is>
      </c>
      <c r="H139" t="inlineStr">
        <is>
          <t>Empresa Eléctrica Carén S.A.</t>
        </is>
      </c>
      <c r="I139" t="inlineStr">
        <is>
          <t>Empresa Eléctrica Carén S.A.</t>
        </is>
      </c>
      <c r="J139" t="inlineStr">
        <is>
          <t>SIC 2013/03_2_BS1A_BB_Saesa_Empresa Eléctrica Carén S.A.</t>
        </is>
      </c>
      <c r="K139" t="inlineStr">
        <is>
          <t>Purranque 13.8</t>
        </is>
      </c>
      <c r="L139" t="inlineStr">
        <is>
          <t>-1</t>
        </is>
      </c>
      <c r="M139" t="n">
        <v>1235.975122011079</v>
      </c>
      <c r="N139" t="n">
        <v>0</v>
      </c>
      <c r="O139" t="inlineStr">
        <is>
          <t>6</t>
        </is>
      </c>
      <c r="P139" s="2" t="n">
        <v>44659.60028225694</v>
      </c>
      <c r="Q139" t="n">
        <v>15</v>
      </c>
      <c r="R139" t="inlineStr">
        <is>
          <t>BARRO BLANCO 220</t>
        </is>
      </c>
      <c r="S139" t="n">
        <v>980.7773026065174</v>
      </c>
      <c r="T139" t="n">
        <v>68271.07948708869</v>
      </c>
      <c r="U139" t="n">
        <v>0</v>
      </c>
      <c r="V139" t="n">
        <v>0</v>
      </c>
      <c r="W139" t="inlineStr">
        <is>
          <t>SAESA</t>
        </is>
      </c>
      <c r="X139" t="n">
        <v>79.19130285958499</v>
      </c>
      <c r="Y139" t="n">
        <v>68.27107948708868</v>
      </c>
      <c r="Z139" t="n">
        <v>77669.03240851956</v>
      </c>
      <c r="AA139" t="n">
        <v>0</v>
      </c>
      <c r="AB139" t="n">
        <v>0</v>
      </c>
      <c r="AC139" t="n">
        <v>0</v>
      </c>
      <c r="AD139" s="2" t="n">
        <v>44136</v>
      </c>
    </row>
    <row r="140">
      <c r="A140" t="n">
        <v>-1</v>
      </c>
      <c r="B140" t="inlineStr">
        <is>
          <t>01-11-2020</t>
        </is>
      </c>
      <c r="C140" t="n">
        <v>2020</v>
      </c>
      <c r="D140" t="n">
        <v>11</v>
      </c>
      <c r="E140" t="inlineStr">
        <is>
          <t>Purranque 13.8</t>
        </is>
      </c>
      <c r="F140" t="inlineStr">
        <is>
          <t>SAESA</t>
        </is>
      </c>
      <c r="G140" t="inlineStr">
        <is>
          <t>SAESA</t>
        </is>
      </c>
      <c r="H140" t="inlineStr">
        <is>
          <t>Empresa Eléctrica Carén S.A.</t>
        </is>
      </c>
      <c r="I140" t="inlineStr">
        <is>
          <t>Empresa Eléctrica Carén S.A.</t>
        </is>
      </c>
      <c r="J140" t="inlineStr">
        <is>
          <t>SIC 2013/03_2_BS1A_BB_Saesa_Empresa Eléctrica Carén S.A.</t>
        </is>
      </c>
      <c r="K140" t="inlineStr">
        <is>
          <t>Purranque 13.8</t>
        </is>
      </c>
      <c r="L140" t="inlineStr">
        <is>
          <t>-1</t>
        </is>
      </c>
      <c r="M140" t="n">
        <v>1235.975122011079</v>
      </c>
      <c r="N140" t="n">
        <v>0</v>
      </c>
      <c r="O140" t="inlineStr">
        <is>
          <t>6</t>
        </is>
      </c>
      <c r="P140" s="2" t="n">
        <v>44659.60028225694</v>
      </c>
      <c r="Q140" t="n">
        <v>6</v>
      </c>
      <c r="R140" t="inlineStr">
        <is>
          <t>MELIPULLI 220</t>
        </is>
      </c>
      <c r="S140" t="n">
        <v>275.3796629702483</v>
      </c>
      <c r="T140" t="n">
        <v>19080.57822240399</v>
      </c>
      <c r="U140" t="n">
        <v>0</v>
      </c>
      <c r="V140" t="n">
        <v>0</v>
      </c>
      <c r="W140" t="inlineStr">
        <is>
          <t>SAESA</t>
        </is>
      </c>
      <c r="X140" t="n">
        <v>78.826236570774</v>
      </c>
      <c r="Y140" t="n">
        <v>19.08057822240399</v>
      </c>
      <c r="Z140" t="n">
        <v>21707.1424600728</v>
      </c>
      <c r="AA140" t="n">
        <v>0</v>
      </c>
      <c r="AB140" t="n">
        <v>0</v>
      </c>
      <c r="AC140" t="n">
        <v>0</v>
      </c>
      <c r="AD140" s="2" t="n">
        <v>44136</v>
      </c>
    </row>
    <row r="141">
      <c r="A141" t="n">
        <v>-1</v>
      </c>
      <c r="B141" t="inlineStr">
        <is>
          <t>01-11-2020</t>
        </is>
      </c>
      <c r="C141" t="n">
        <v>2020</v>
      </c>
      <c r="D141" t="n">
        <v>11</v>
      </c>
      <c r="E141" t="inlineStr">
        <is>
          <t>Purranque 13.8</t>
        </is>
      </c>
      <c r="F141" t="inlineStr">
        <is>
          <t>SAESA</t>
        </is>
      </c>
      <c r="G141" t="inlineStr">
        <is>
          <t>SAESA</t>
        </is>
      </c>
      <c r="H141" t="inlineStr">
        <is>
          <t>Empresa Eléctrica Carén S.A.</t>
        </is>
      </c>
      <c r="I141" t="inlineStr">
        <is>
          <t>Empresa Eléctrica Carén S.A.</t>
        </is>
      </c>
      <c r="J141" t="inlineStr">
        <is>
          <t>SIC 2013/03_2_BS1A_BB_Saesa_Empresa Eléctrica Carén S.A.</t>
        </is>
      </c>
      <c r="K141" t="inlineStr">
        <is>
          <t>Purranque 13.8</t>
        </is>
      </c>
      <c r="L141" t="inlineStr">
        <is>
          <t>-1</t>
        </is>
      </c>
      <c r="M141" t="n">
        <v>1235.975122011079</v>
      </c>
      <c r="N141" t="n">
        <v>0</v>
      </c>
      <c r="O141" t="inlineStr">
        <is>
          <t>6</t>
        </is>
      </c>
      <c r="P141" s="2" t="n">
        <v>44659.60028225694</v>
      </c>
      <c r="Q141" t="n">
        <v>17</v>
      </c>
      <c r="R141" t="inlineStr">
        <is>
          <t>VALDIVIA 220</t>
        </is>
      </c>
      <c r="S141" t="n">
        <v>0.3095968619302181</v>
      </c>
      <c r="T141" t="n">
        <v>23.35176874804707</v>
      </c>
      <c r="U141" t="n">
        <v>0</v>
      </c>
      <c r="V141" t="n">
        <v>0</v>
      </c>
      <c r="W141" t="inlineStr">
        <is>
          <t>SAESA</t>
        </is>
      </c>
      <c r="X141" t="n">
        <v>85.80929939057698</v>
      </c>
      <c r="Y141" t="n">
        <v>0.02335176874804707</v>
      </c>
      <c r="Z141" t="n">
        <v>26.56628981575321</v>
      </c>
      <c r="AA141" t="n">
        <v>0</v>
      </c>
      <c r="AB141" t="n">
        <v>0</v>
      </c>
      <c r="AC141" t="n">
        <v>0</v>
      </c>
      <c r="AD141" s="2" t="n">
        <v>44136</v>
      </c>
    </row>
    <row r="142">
      <c r="A142" t="n">
        <v>-1</v>
      </c>
      <c r="B142" t="inlineStr">
        <is>
          <t>01-11-2020</t>
        </is>
      </c>
      <c r="C142" t="n">
        <v>2020</v>
      </c>
      <c r="D142" t="n">
        <v>11</v>
      </c>
      <c r="E142" t="inlineStr">
        <is>
          <t>Quellon 023</t>
        </is>
      </c>
      <c r="F142" t="inlineStr">
        <is>
          <t>SAESA</t>
        </is>
      </c>
      <c r="G142" t="inlineStr">
        <is>
          <t>SAESA</t>
        </is>
      </c>
      <c r="H142" t="inlineStr">
        <is>
          <t>Empresa Eléctrica Carén S.A.</t>
        </is>
      </c>
      <c r="I142" t="inlineStr">
        <is>
          <t>Empresa Eléctrica Carén S.A.</t>
        </is>
      </c>
      <c r="J142" t="inlineStr">
        <is>
          <t>SIC 2013/03_2_BS1A_BB_Saesa_Empresa Eléctrica Carén S.A.</t>
        </is>
      </c>
      <c r="K142" t="inlineStr">
        <is>
          <t>Quellon 023</t>
        </is>
      </c>
      <c r="L142" t="inlineStr">
        <is>
          <t>-1</t>
        </is>
      </c>
      <c r="M142" t="n">
        <v>1579.169460082439</v>
      </c>
      <c r="N142" t="n">
        <v>0</v>
      </c>
      <c r="O142" t="inlineStr">
        <is>
          <t>6</t>
        </is>
      </c>
      <c r="P142" s="2" t="n">
        <v>44659.60028225694</v>
      </c>
      <c r="Q142" t="n">
        <v>24</v>
      </c>
      <c r="R142" t="inlineStr">
        <is>
          <t>CHILOE 220</t>
        </is>
      </c>
      <c r="S142" t="n">
        <v>1605.350777440784</v>
      </c>
      <c r="T142" t="n">
        <v>112090.5422404812</v>
      </c>
      <c r="U142" t="n">
        <v>0</v>
      </c>
      <c r="V142" t="n">
        <v>0</v>
      </c>
      <c r="W142" t="inlineStr">
        <is>
          <t>SAESA</t>
        </is>
      </c>
      <c r="X142" t="n">
        <v>79.434680359482</v>
      </c>
      <c r="Y142" t="n">
        <v>112.0905422404812</v>
      </c>
      <c r="Z142" t="n">
        <v>127520.5258708546</v>
      </c>
      <c r="AA142" t="n">
        <v>0</v>
      </c>
      <c r="AB142" t="n">
        <v>0</v>
      </c>
      <c r="AC142" t="n">
        <v>0</v>
      </c>
      <c r="AD142" s="2" t="n">
        <v>44136</v>
      </c>
    </row>
    <row r="143">
      <c r="A143" t="n">
        <v>-1</v>
      </c>
      <c r="B143" t="inlineStr">
        <is>
          <t>01-11-2020</t>
        </is>
      </c>
      <c r="C143" t="n">
        <v>2020</v>
      </c>
      <c r="D143" t="n">
        <v>11</v>
      </c>
      <c r="E143" t="inlineStr">
        <is>
          <t>Rio Negro 23</t>
        </is>
      </c>
      <c r="F143" t="inlineStr">
        <is>
          <t>SAESA</t>
        </is>
      </c>
      <c r="G143" t="inlineStr">
        <is>
          <t>SAESA</t>
        </is>
      </c>
      <c r="H143" t="inlineStr">
        <is>
          <t>Empresa Eléctrica Carén S.A.</t>
        </is>
      </c>
      <c r="I143" t="inlineStr">
        <is>
          <t>Empresa Eléctrica Carén S.A.</t>
        </is>
      </c>
      <c r="J143" t="inlineStr">
        <is>
          <t>SIC 2013/03_2_BS1A_BB_Saesa_Empresa Eléctrica Carén S.A.</t>
        </is>
      </c>
      <c r="K143" t="inlineStr">
        <is>
          <t>Rio Negro 23</t>
        </is>
      </c>
      <c r="L143" t="inlineStr">
        <is>
          <t>-1</t>
        </is>
      </c>
      <c r="M143" t="n">
        <v>832.0483654907451</v>
      </c>
      <c r="N143" t="n">
        <v>0</v>
      </c>
      <c r="O143" t="inlineStr">
        <is>
          <t>6</t>
        </is>
      </c>
      <c r="P143" s="2" t="n">
        <v>44659.60028225694</v>
      </c>
      <c r="Q143" t="n">
        <v>15</v>
      </c>
      <c r="R143" t="inlineStr">
        <is>
          <t>BARRO BLANCO 220</t>
        </is>
      </c>
      <c r="S143" t="n">
        <v>736.3299598004854</v>
      </c>
      <c r="T143" t="n">
        <v>51255.30646015759</v>
      </c>
      <c r="U143" t="n">
        <v>0</v>
      </c>
      <c r="V143" t="n">
        <v>0</v>
      </c>
      <c r="W143" t="inlineStr">
        <is>
          <t>SAESA</t>
        </is>
      </c>
      <c r="X143" t="n">
        <v>79.19130285958499</v>
      </c>
      <c r="Y143" t="n">
        <v>51.25530646015758</v>
      </c>
      <c r="Z143" t="n">
        <v>58310.92885114629</v>
      </c>
      <c r="AA143" t="n">
        <v>0</v>
      </c>
      <c r="AB143" t="n">
        <v>0</v>
      </c>
      <c r="AC143" t="n">
        <v>0</v>
      </c>
      <c r="AD143" s="2" t="n">
        <v>44136</v>
      </c>
    </row>
    <row r="144">
      <c r="A144" t="n">
        <v>-1</v>
      </c>
      <c r="B144" t="inlineStr">
        <is>
          <t>01-11-2020</t>
        </is>
      </c>
      <c r="C144" t="n">
        <v>2020</v>
      </c>
      <c r="D144" t="n">
        <v>11</v>
      </c>
      <c r="E144" t="inlineStr">
        <is>
          <t>Rio Negro 23</t>
        </is>
      </c>
      <c r="F144" t="inlineStr">
        <is>
          <t>SAESA</t>
        </is>
      </c>
      <c r="G144" t="inlineStr">
        <is>
          <t>SAESA</t>
        </is>
      </c>
      <c r="H144" t="inlineStr">
        <is>
          <t>Empresa Eléctrica Carén S.A.</t>
        </is>
      </c>
      <c r="I144" t="inlineStr">
        <is>
          <t>Empresa Eléctrica Carén S.A.</t>
        </is>
      </c>
      <c r="J144" t="inlineStr">
        <is>
          <t>SIC 2013/03_2_BS1A_BB_Saesa_Empresa Eléctrica Carén S.A.</t>
        </is>
      </c>
      <c r="K144" t="inlineStr">
        <is>
          <t>Rio Negro 23</t>
        </is>
      </c>
      <c r="L144" t="inlineStr">
        <is>
          <t>-1</t>
        </is>
      </c>
      <c r="M144" t="n">
        <v>832.0483654907451</v>
      </c>
      <c r="N144" t="n">
        <v>0</v>
      </c>
      <c r="O144" t="inlineStr">
        <is>
          <t>6</t>
        </is>
      </c>
      <c r="P144" s="2" t="n">
        <v>44659.60028225694</v>
      </c>
      <c r="Q144" t="n">
        <v>6</v>
      </c>
      <c r="R144" t="inlineStr">
        <is>
          <t>MELIPULLI 220</t>
        </is>
      </c>
      <c r="S144" t="n">
        <v>109.5130761579045</v>
      </c>
      <c r="T144" t="n">
        <v>7587.97070730941</v>
      </c>
      <c r="U144" t="n">
        <v>0</v>
      </c>
      <c r="V144" t="n">
        <v>0</v>
      </c>
      <c r="W144" t="inlineStr">
        <is>
          <t>SAESA</t>
        </is>
      </c>
      <c r="X144" t="n">
        <v>78.826236570774</v>
      </c>
      <c r="Y144" t="n">
        <v>7.58797070730941</v>
      </c>
      <c r="Z144" t="n">
        <v>8632.503648816166</v>
      </c>
      <c r="AA144" t="n">
        <v>0</v>
      </c>
      <c r="AB144" t="n">
        <v>0</v>
      </c>
      <c r="AC144" t="n">
        <v>0</v>
      </c>
      <c r="AD144" s="2" t="n">
        <v>44136</v>
      </c>
    </row>
    <row r="145">
      <c r="A145" t="n">
        <v>-1</v>
      </c>
      <c r="B145" t="inlineStr">
        <is>
          <t>01-11-2020</t>
        </is>
      </c>
      <c r="C145" t="n">
        <v>2020</v>
      </c>
      <c r="D145" t="n">
        <v>11</v>
      </c>
      <c r="E145" t="inlineStr">
        <is>
          <t>Sangra 23</t>
        </is>
      </c>
      <c r="F145" t="inlineStr">
        <is>
          <t>SAESA</t>
        </is>
      </c>
      <c r="G145" t="inlineStr">
        <is>
          <t>SAESA</t>
        </is>
      </c>
      <c r="H145" t="inlineStr">
        <is>
          <t>Empresa Eléctrica Carén S.A.</t>
        </is>
      </c>
      <c r="I145" t="inlineStr">
        <is>
          <t>Empresa Eléctrica Carén S.A.</t>
        </is>
      </c>
      <c r="J145" t="inlineStr">
        <is>
          <t>SIC 2013/03_2_BS1A_BB_Saesa_Empresa Eléctrica Carén S.A.</t>
        </is>
      </c>
      <c r="K145" t="inlineStr">
        <is>
          <t>Sangra 23</t>
        </is>
      </c>
      <c r="L145" t="inlineStr">
        <is>
          <t>-1</t>
        </is>
      </c>
      <c r="M145" t="n">
        <v>1285.28547720808</v>
      </c>
      <c r="N145" t="n">
        <v>0</v>
      </c>
      <c r="O145" t="inlineStr">
        <is>
          <t>6</t>
        </is>
      </c>
      <c r="P145" s="2" t="n">
        <v>44659.60028225694</v>
      </c>
      <c r="Q145" t="n">
        <v>15</v>
      </c>
      <c r="R145" t="inlineStr">
        <is>
          <t>BARRO BLANCO 220</t>
        </is>
      </c>
      <c r="S145" t="n">
        <v>38.69451626486102</v>
      </c>
      <c r="T145" t="n">
        <v>2693.492588594921</v>
      </c>
      <c r="U145" t="n">
        <v>0</v>
      </c>
      <c r="V145" t="n">
        <v>0</v>
      </c>
      <c r="W145" t="inlineStr">
        <is>
          <t>SAESA</t>
        </is>
      </c>
      <c r="X145" t="n">
        <v>79.19130285958499</v>
      </c>
      <c r="Y145" t="n">
        <v>2.693492588594922</v>
      </c>
      <c r="Z145" t="n">
        <v>3064.269156535747</v>
      </c>
      <c r="AA145" t="n">
        <v>0</v>
      </c>
      <c r="AB145" t="n">
        <v>0</v>
      </c>
      <c r="AC145" t="n">
        <v>0</v>
      </c>
      <c r="AD145" s="2" t="n">
        <v>44136</v>
      </c>
    </row>
    <row r="146">
      <c r="A146" t="n">
        <v>-1</v>
      </c>
      <c r="B146" t="inlineStr">
        <is>
          <t>01-11-2020</t>
        </is>
      </c>
      <c r="C146" t="n">
        <v>2020</v>
      </c>
      <c r="D146" t="n">
        <v>11</v>
      </c>
      <c r="E146" t="inlineStr">
        <is>
          <t>Sangra 23</t>
        </is>
      </c>
      <c r="F146" t="inlineStr">
        <is>
          <t>SAESA</t>
        </is>
      </c>
      <c r="G146" t="inlineStr">
        <is>
          <t>SAESA</t>
        </is>
      </c>
      <c r="H146" t="inlineStr">
        <is>
          <t>Empresa Eléctrica Carén S.A.</t>
        </is>
      </c>
      <c r="I146" t="inlineStr">
        <is>
          <t>Empresa Eléctrica Carén S.A.</t>
        </is>
      </c>
      <c r="J146" t="inlineStr">
        <is>
          <t>SIC 2013/03_2_BS1A_BB_Saesa_Empresa Eléctrica Carén S.A.</t>
        </is>
      </c>
      <c r="K146" t="inlineStr">
        <is>
          <t>Sangra 23</t>
        </is>
      </c>
      <c r="L146" t="inlineStr">
        <is>
          <t>-1</t>
        </is>
      </c>
      <c r="M146" t="n">
        <v>1285.28547720808</v>
      </c>
      <c r="N146" t="n">
        <v>0</v>
      </c>
      <c r="O146" t="inlineStr">
        <is>
          <t>6</t>
        </is>
      </c>
      <c r="P146" s="2" t="n">
        <v>44659.60028225694</v>
      </c>
      <c r="Q146" t="n">
        <v>6</v>
      </c>
      <c r="R146" t="inlineStr">
        <is>
          <t>MELIPULLI 220</t>
        </is>
      </c>
      <c r="S146" t="n">
        <v>1267.899926083097</v>
      </c>
      <c r="T146" t="n">
        <v>87850.58219939239</v>
      </c>
      <c r="U146" t="n">
        <v>0</v>
      </c>
      <c r="V146" t="n">
        <v>0</v>
      </c>
      <c r="W146" t="inlineStr">
        <is>
          <t>SAESA</t>
        </is>
      </c>
      <c r="X146" t="n">
        <v>78.826236570774</v>
      </c>
      <c r="Y146" t="n">
        <v>87.85058219939239</v>
      </c>
      <c r="Z146" t="n">
        <v>99943.77952149305</v>
      </c>
      <c r="AA146" t="n">
        <v>0</v>
      </c>
      <c r="AB146" t="n">
        <v>0</v>
      </c>
      <c r="AC146" t="n">
        <v>0</v>
      </c>
      <c r="AD146" s="2" t="n">
        <v>44136</v>
      </c>
    </row>
    <row r="147">
      <c r="A147" t="n">
        <v>-1</v>
      </c>
      <c r="B147" t="inlineStr">
        <is>
          <t>01-11-2020</t>
        </is>
      </c>
      <c r="C147" t="n">
        <v>2020</v>
      </c>
      <c r="D147" t="n">
        <v>11</v>
      </c>
      <c r="E147" t="inlineStr">
        <is>
          <t>Valdivia 13.8</t>
        </is>
      </c>
      <c r="F147" t="inlineStr">
        <is>
          <t>SAESA</t>
        </is>
      </c>
      <c r="G147" t="inlineStr">
        <is>
          <t>SAESA</t>
        </is>
      </c>
      <c r="H147" t="inlineStr">
        <is>
          <t>Empresa Eléctrica Carén S.A.</t>
        </is>
      </c>
      <c r="I147" t="inlineStr">
        <is>
          <t>Empresa Eléctrica Carén S.A.</t>
        </is>
      </c>
      <c r="J147" t="inlineStr">
        <is>
          <t>SIC 2013/03_2_BS1A_BB_Saesa_Empresa Eléctrica Carén S.A.</t>
        </is>
      </c>
      <c r="K147" t="inlineStr">
        <is>
          <t>Valdivia 13.8</t>
        </is>
      </c>
      <c r="L147" t="inlineStr">
        <is>
          <t>-1</t>
        </is>
      </c>
      <c r="M147" t="n">
        <v>2722.325110442948</v>
      </c>
      <c r="N147" t="n">
        <v>0</v>
      </c>
      <c r="O147" t="inlineStr">
        <is>
          <t>6</t>
        </is>
      </c>
      <c r="P147" s="2" t="n">
        <v>44659.60028225694</v>
      </c>
      <c r="Q147" t="n">
        <v>15</v>
      </c>
      <c r="R147" t="inlineStr">
        <is>
          <t>BARRO BLANCO 220</t>
        </is>
      </c>
      <c r="S147" t="n">
        <v>235.2404946506925</v>
      </c>
      <c r="T147" t="n">
        <v>16374.89210465826</v>
      </c>
      <c r="U147" t="n">
        <v>0</v>
      </c>
      <c r="V147" t="n">
        <v>0</v>
      </c>
      <c r="W147" t="inlineStr">
        <is>
          <t>SAESA</t>
        </is>
      </c>
      <c r="X147" t="n">
        <v>79.19130285958498</v>
      </c>
      <c r="Y147" t="n">
        <v>16.37489210465825</v>
      </c>
      <c r="Z147" t="n">
        <v>18629.00125672157</v>
      </c>
      <c r="AA147" t="n">
        <v>0</v>
      </c>
      <c r="AB147" t="n">
        <v>0</v>
      </c>
      <c r="AC147" t="n">
        <v>0</v>
      </c>
      <c r="AD147" s="2" t="n">
        <v>44136</v>
      </c>
    </row>
    <row r="148">
      <c r="A148" t="n">
        <v>-1</v>
      </c>
      <c r="B148" t="inlineStr">
        <is>
          <t>01-11-2020</t>
        </is>
      </c>
      <c r="C148" t="n">
        <v>2020</v>
      </c>
      <c r="D148" t="n">
        <v>11</v>
      </c>
      <c r="E148" t="inlineStr">
        <is>
          <t>Valdivia 13.8</t>
        </is>
      </c>
      <c r="F148" t="inlineStr">
        <is>
          <t>SAESA</t>
        </is>
      </c>
      <c r="G148" t="inlineStr">
        <is>
          <t>SAESA</t>
        </is>
      </c>
      <c r="H148" t="inlineStr">
        <is>
          <t>Empresa Eléctrica Carén S.A.</t>
        </is>
      </c>
      <c r="I148" t="inlineStr">
        <is>
          <t>Empresa Eléctrica Carén S.A.</t>
        </is>
      </c>
      <c r="J148" t="inlineStr">
        <is>
          <t>SIC 2013/03_2_BS1A_BB_Saesa_Empresa Eléctrica Carén S.A.</t>
        </is>
      </c>
      <c r="K148" t="inlineStr">
        <is>
          <t>Valdivia 13.8</t>
        </is>
      </c>
      <c r="L148" t="inlineStr">
        <is>
          <t>-1</t>
        </is>
      </c>
      <c r="M148" t="n">
        <v>2722.325110442948</v>
      </c>
      <c r="N148" t="n">
        <v>0</v>
      </c>
      <c r="O148" t="inlineStr">
        <is>
          <t>6</t>
        </is>
      </c>
      <c r="P148" s="2" t="n">
        <v>44659.60028225694</v>
      </c>
      <c r="Q148" t="n">
        <v>6</v>
      </c>
      <c r="R148" t="inlineStr">
        <is>
          <t>MELIPULLI 220</t>
        </is>
      </c>
      <c r="S148" t="n">
        <v>4.329949544284788</v>
      </c>
      <c r="T148" t="n">
        <v>300.0146782361135</v>
      </c>
      <c r="U148" t="n">
        <v>0</v>
      </c>
      <c r="V148" t="n">
        <v>0</v>
      </c>
      <c r="W148" t="inlineStr">
        <is>
          <t>SAESA</t>
        </is>
      </c>
      <c r="X148" t="n">
        <v>78.82623657077399</v>
      </c>
      <c r="Y148" t="n">
        <v>0.3000146782361135</v>
      </c>
      <c r="Z148" t="n">
        <v>341.3136271173078</v>
      </c>
      <c r="AA148" t="n">
        <v>0</v>
      </c>
      <c r="AB148" t="n">
        <v>0</v>
      </c>
      <c r="AC148" t="n">
        <v>0</v>
      </c>
      <c r="AD148" s="2" t="n">
        <v>44136</v>
      </c>
    </row>
    <row r="149">
      <c r="A149" t="n">
        <v>-1</v>
      </c>
      <c r="B149" t="inlineStr">
        <is>
          <t>01-11-2020</t>
        </is>
      </c>
      <c r="C149" t="n">
        <v>2020</v>
      </c>
      <c r="D149" t="n">
        <v>11</v>
      </c>
      <c r="E149" t="inlineStr">
        <is>
          <t>Valdivia 13.8</t>
        </is>
      </c>
      <c r="F149" t="inlineStr">
        <is>
          <t>SAESA</t>
        </is>
      </c>
      <c r="G149" t="inlineStr">
        <is>
          <t>SAESA</t>
        </is>
      </c>
      <c r="H149" t="inlineStr">
        <is>
          <t>Empresa Eléctrica Carén S.A.</t>
        </is>
      </c>
      <c r="I149" t="inlineStr">
        <is>
          <t>Empresa Eléctrica Carén S.A.</t>
        </is>
      </c>
      <c r="J149" t="inlineStr">
        <is>
          <t>SIC 2013/03_2_BS1A_BB_Saesa_Empresa Eléctrica Carén S.A.</t>
        </is>
      </c>
      <c r="K149" t="inlineStr">
        <is>
          <t>Valdivia 13.8</t>
        </is>
      </c>
      <c r="L149" t="inlineStr">
        <is>
          <t>-1</t>
        </is>
      </c>
      <c r="M149" t="n">
        <v>2722.325110442948</v>
      </c>
      <c r="N149" t="n">
        <v>0</v>
      </c>
      <c r="O149" t="inlineStr">
        <is>
          <t>6</t>
        </is>
      </c>
      <c r="P149" s="2" t="n">
        <v>44659.60028225694</v>
      </c>
      <c r="Q149" t="n">
        <v>17</v>
      </c>
      <c r="R149" t="inlineStr">
        <is>
          <t>VALDIVIA 220</t>
        </is>
      </c>
      <c r="S149" t="n">
        <v>2527.888554326947</v>
      </c>
      <c r="T149" t="n">
        <v>190669.4679443591</v>
      </c>
      <c r="U149" t="n">
        <v>0</v>
      </c>
      <c r="V149" t="n">
        <v>0</v>
      </c>
      <c r="W149" t="inlineStr">
        <is>
          <t>SAESA</t>
        </is>
      </c>
      <c r="X149" t="n">
        <v>85.809299390577</v>
      </c>
      <c r="Y149" t="n">
        <v>190.6694679443591</v>
      </c>
      <c r="Z149" t="n">
        <v>216916.3457842539</v>
      </c>
      <c r="AA149" t="n">
        <v>0</v>
      </c>
      <c r="AB149" t="n">
        <v>0</v>
      </c>
      <c r="AC149" t="n">
        <v>0</v>
      </c>
      <c r="AD149" s="2" t="n">
        <v>44136</v>
      </c>
    </row>
    <row r="150">
      <c r="A150" t="n">
        <v>-1</v>
      </c>
      <c r="B150" t="inlineStr">
        <is>
          <t>01-12-2020</t>
        </is>
      </c>
      <c r="C150" t="n">
        <v>2020</v>
      </c>
      <c r="D150" t="n">
        <v>12</v>
      </c>
      <c r="E150" t="inlineStr">
        <is>
          <t>Aihuapi 023</t>
        </is>
      </c>
      <c r="F150" t="inlineStr">
        <is>
          <t>SAESA</t>
        </is>
      </c>
      <c r="G150" t="inlineStr">
        <is>
          <t>SAESA</t>
        </is>
      </c>
      <c r="H150" t="inlineStr">
        <is>
          <t>Empresa Eléctrica Carén S.A.</t>
        </is>
      </c>
      <c r="I150" t="inlineStr">
        <is>
          <t>Empresa Eléctrica Carén S.A.</t>
        </is>
      </c>
      <c r="J150" t="inlineStr">
        <is>
          <t>SIC 2013/03_2_BS1A_BB_Saesa_Empresa Eléctrica Carén S.A.</t>
        </is>
      </c>
      <c r="K150" t="inlineStr">
        <is>
          <t>Aihuapi 023</t>
        </is>
      </c>
      <c r="L150" t="inlineStr">
        <is>
          <t>-1</t>
        </is>
      </c>
      <c r="M150" t="n">
        <v>101.3132768342972</v>
      </c>
      <c r="N150" t="n">
        <v>0</v>
      </c>
      <c r="O150" t="inlineStr">
        <is>
          <t>6</t>
        </is>
      </c>
      <c r="P150" s="2" t="n">
        <v>44659.60028225694</v>
      </c>
      <c r="Q150" t="n">
        <v>15</v>
      </c>
      <c r="R150" t="inlineStr">
        <is>
          <t>BARRO BLANCO 220</t>
        </is>
      </c>
      <c r="S150" t="n">
        <v>102.9929667728768</v>
      </c>
      <c r="T150" t="n">
        <v>7169.253409999774</v>
      </c>
      <c r="U150" t="n">
        <v>0</v>
      </c>
      <c r="V150" t="n">
        <v>0</v>
      </c>
      <c r="W150" t="inlineStr">
        <is>
          <t>SAESA</t>
        </is>
      </c>
      <c r="X150" t="n">
        <v>79.19130285958499</v>
      </c>
      <c r="Y150" t="n">
        <v>7.169253409999775</v>
      </c>
      <c r="Z150" t="n">
        <v>8156.147224118059</v>
      </c>
      <c r="AA150" t="n">
        <v>0</v>
      </c>
      <c r="AB150" t="n">
        <v>0</v>
      </c>
      <c r="AC150" t="n">
        <v>0</v>
      </c>
      <c r="AD150" s="2" t="n">
        <v>44166</v>
      </c>
    </row>
    <row r="151">
      <c r="A151" t="n">
        <v>-1</v>
      </c>
      <c r="B151" t="inlineStr">
        <is>
          <t>01-12-2020</t>
        </is>
      </c>
      <c r="C151" t="n">
        <v>2020</v>
      </c>
      <c r="D151" t="n">
        <v>12</v>
      </c>
      <c r="E151" t="inlineStr">
        <is>
          <t>Alto Bonito 023</t>
        </is>
      </c>
      <c r="F151" t="inlineStr">
        <is>
          <t>SAESA</t>
        </is>
      </c>
      <c r="G151" t="inlineStr">
        <is>
          <t>SAESA</t>
        </is>
      </c>
      <c r="H151" t="inlineStr">
        <is>
          <t>Empresa Eléctrica Carén S.A.</t>
        </is>
      </c>
      <c r="I151" t="inlineStr">
        <is>
          <t>Empresa Eléctrica Carén S.A.</t>
        </is>
      </c>
      <c r="J151" t="inlineStr">
        <is>
          <t>SIC 2013/03_2_BS1A_BB_Saesa_Empresa Eléctrica Carén S.A.</t>
        </is>
      </c>
      <c r="K151" t="inlineStr">
        <is>
          <t>Alto Bonito 023</t>
        </is>
      </c>
      <c r="L151" t="inlineStr">
        <is>
          <t>-1</t>
        </is>
      </c>
      <c r="M151" t="n">
        <v>2752.124263317652</v>
      </c>
      <c r="N151" t="n">
        <v>0</v>
      </c>
      <c r="O151" t="inlineStr">
        <is>
          <t>6</t>
        </is>
      </c>
      <c r="P151" s="2" t="n">
        <v>44659.60028225694</v>
      </c>
      <c r="Q151" t="n">
        <v>24</v>
      </c>
      <c r="R151" t="inlineStr">
        <is>
          <t>CHILOE 220</t>
        </is>
      </c>
      <c r="S151" t="n">
        <v>0.718660942409948</v>
      </c>
      <c r="T151" t="n">
        <v>50.17912337526975</v>
      </c>
      <c r="U151" t="n">
        <v>0</v>
      </c>
      <c r="V151" t="n">
        <v>0</v>
      </c>
      <c r="W151" t="inlineStr">
        <is>
          <t>SAESA</t>
        </is>
      </c>
      <c r="X151" t="n">
        <v>79.434680359482</v>
      </c>
      <c r="Y151" t="n">
        <v>0.05017912337526975</v>
      </c>
      <c r="Z151" t="n">
        <v>57.08660224717832</v>
      </c>
      <c r="AA151" t="n">
        <v>0</v>
      </c>
      <c r="AB151" t="n">
        <v>0</v>
      </c>
      <c r="AC151" t="n">
        <v>0</v>
      </c>
      <c r="AD151" s="2" t="n">
        <v>44166</v>
      </c>
    </row>
    <row r="152">
      <c r="A152" t="n">
        <v>-1</v>
      </c>
      <c r="B152" t="inlineStr">
        <is>
          <t>01-12-2020</t>
        </is>
      </c>
      <c r="C152" t="n">
        <v>2020</v>
      </c>
      <c r="D152" t="n">
        <v>12</v>
      </c>
      <c r="E152" t="inlineStr">
        <is>
          <t>Alto Bonito 023</t>
        </is>
      </c>
      <c r="F152" t="inlineStr">
        <is>
          <t>SAESA</t>
        </is>
      </c>
      <c r="G152" t="inlineStr">
        <is>
          <t>SAESA</t>
        </is>
      </c>
      <c r="H152" t="inlineStr">
        <is>
          <t>Empresa Eléctrica Carén S.A.</t>
        </is>
      </c>
      <c r="I152" t="inlineStr">
        <is>
          <t>Empresa Eléctrica Carén S.A.</t>
        </is>
      </c>
      <c r="J152" t="inlineStr">
        <is>
          <t>SIC 2013/03_2_BS1A_BB_Saesa_Empresa Eléctrica Carén S.A.</t>
        </is>
      </c>
      <c r="K152" t="inlineStr">
        <is>
          <t>Alto Bonito 023</t>
        </is>
      </c>
      <c r="L152" t="inlineStr">
        <is>
          <t>-1</t>
        </is>
      </c>
      <c r="M152" t="n">
        <v>2752.124263317652</v>
      </c>
      <c r="N152" t="n">
        <v>0</v>
      </c>
      <c r="O152" t="inlineStr">
        <is>
          <t>6</t>
        </is>
      </c>
      <c r="P152" s="2" t="n">
        <v>44659.60028225694</v>
      </c>
      <c r="Q152" t="n">
        <v>6</v>
      </c>
      <c r="R152" t="inlineStr">
        <is>
          <t>MELIPULLI 220</t>
        </is>
      </c>
      <c r="S152" t="n">
        <v>2797.033535645785</v>
      </c>
      <c r="T152" t="n">
        <v>193801.5922887615</v>
      </c>
      <c r="U152" t="n">
        <v>0</v>
      </c>
      <c r="V152" t="n">
        <v>0</v>
      </c>
      <c r="W152" t="inlineStr">
        <is>
          <t>SAESA</t>
        </is>
      </c>
      <c r="X152" t="n">
        <v>78.826236570774</v>
      </c>
      <c r="Y152" t="n">
        <v>193.8015922887615</v>
      </c>
      <c r="Z152" t="n">
        <v>220479.627177203</v>
      </c>
      <c r="AA152" t="n">
        <v>0</v>
      </c>
      <c r="AB152" t="n">
        <v>0</v>
      </c>
      <c r="AC152" t="n">
        <v>0</v>
      </c>
      <c r="AD152" s="2" t="n">
        <v>44166</v>
      </c>
    </row>
    <row r="153">
      <c r="A153" t="n">
        <v>-1</v>
      </c>
      <c r="B153" t="inlineStr">
        <is>
          <t>01-12-2020</t>
        </is>
      </c>
      <c r="C153" t="n">
        <v>2020</v>
      </c>
      <c r="D153" t="n">
        <v>12</v>
      </c>
      <c r="E153" t="inlineStr">
        <is>
          <t>Ancud 023</t>
        </is>
      </c>
      <c r="F153" t="inlineStr">
        <is>
          <t>SAESA</t>
        </is>
      </c>
      <c r="G153" t="inlineStr">
        <is>
          <t>SAESA</t>
        </is>
      </c>
      <c r="H153" t="inlineStr">
        <is>
          <t>Empresa Eléctrica Carén S.A.</t>
        </is>
      </c>
      <c r="I153" t="inlineStr">
        <is>
          <t>Empresa Eléctrica Carén S.A.</t>
        </is>
      </c>
      <c r="J153" t="inlineStr">
        <is>
          <t>SIC 2013/03_2_BS1A_BB_Saesa_Empresa Eléctrica Carén S.A.</t>
        </is>
      </c>
      <c r="K153" t="inlineStr">
        <is>
          <t>Ancud 023</t>
        </is>
      </c>
      <c r="L153" t="inlineStr">
        <is>
          <t>-1</t>
        </is>
      </c>
      <c r="M153" t="n">
        <v>2265.511352912208</v>
      </c>
      <c r="N153" t="n">
        <v>0</v>
      </c>
      <c r="O153" t="inlineStr">
        <is>
          <t>6</t>
        </is>
      </c>
      <c r="P153" s="2" t="n">
        <v>44659.60028225694</v>
      </c>
      <c r="Q153" t="n">
        <v>24</v>
      </c>
      <c r="R153" t="inlineStr">
        <is>
          <t>CHILOE 220</t>
        </is>
      </c>
      <c r="S153" t="n">
        <v>2303.071648503558</v>
      </c>
      <c r="T153" t="n">
        <v>160807.5652543577</v>
      </c>
      <c r="U153" t="n">
        <v>0</v>
      </c>
      <c r="V153" t="n">
        <v>0</v>
      </c>
      <c r="W153" t="inlineStr">
        <is>
          <t>SAESA</t>
        </is>
      </c>
      <c r="X153" t="n">
        <v>79.43468035948199</v>
      </c>
      <c r="Y153" t="n">
        <v>160.8075652543577</v>
      </c>
      <c r="Z153" t="n">
        <v>182943.7602438654</v>
      </c>
      <c r="AA153" t="n">
        <v>0</v>
      </c>
      <c r="AB153" t="n">
        <v>0</v>
      </c>
      <c r="AC153" t="n">
        <v>0</v>
      </c>
      <c r="AD153" s="2" t="n">
        <v>44166</v>
      </c>
    </row>
    <row r="154">
      <c r="A154" t="n">
        <v>-1</v>
      </c>
      <c r="B154" t="inlineStr">
        <is>
          <t>01-12-2020</t>
        </is>
      </c>
      <c r="C154" t="n">
        <v>2020</v>
      </c>
      <c r="D154" t="n">
        <v>12</v>
      </c>
      <c r="E154" t="inlineStr">
        <is>
          <t>Armazones 023</t>
        </is>
      </c>
      <c r="F154" t="inlineStr">
        <is>
          <t>SAESA</t>
        </is>
      </c>
      <c r="G154" t="inlineStr">
        <is>
          <t>SAESA</t>
        </is>
      </c>
      <c r="H154" t="inlineStr">
        <is>
          <t>Empresa Eléctrica Carén S.A.</t>
        </is>
      </c>
      <c r="I154" t="inlineStr">
        <is>
          <t>Empresa Eléctrica Carén S.A.</t>
        </is>
      </c>
      <c r="J154" t="inlineStr">
        <is>
          <t>SIC 2013/03_2_BS1A_BB_Saesa_Empresa Eléctrica Carén S.A.</t>
        </is>
      </c>
      <c r="K154" t="inlineStr">
        <is>
          <t>Armazones 023</t>
        </is>
      </c>
      <c r="L154" t="inlineStr">
        <is>
          <t>-1</t>
        </is>
      </c>
      <c r="M154" t="n">
        <v>549.4880875157401</v>
      </c>
      <c r="N154" t="n">
        <v>0</v>
      </c>
      <c r="O154" t="inlineStr">
        <is>
          <t>2</t>
        </is>
      </c>
      <c r="P154" s="2" t="n">
        <v>44659.60028225694</v>
      </c>
      <c r="Q154" t="n">
        <v>12</v>
      </c>
      <c r="R154" t="inlineStr">
        <is>
          <t>DIEGO DE ALMAGRO 220</t>
        </is>
      </c>
      <c r="S154" t="n">
        <v>562.9624102066613</v>
      </c>
      <c r="T154" t="n">
        <v>42304.72293003703</v>
      </c>
      <c r="U154" t="n">
        <v>0</v>
      </c>
      <c r="V154" t="n">
        <v>0</v>
      </c>
      <c r="W154" t="inlineStr">
        <is>
          <t>SAESA</t>
        </is>
      </c>
      <c r="X154" t="n">
        <v>85.49103651209101</v>
      </c>
      <c r="Y154" t="n">
        <v>42.30472293003703</v>
      </c>
      <c r="Z154" t="n">
        <v>48128.23996591243</v>
      </c>
      <c r="AA154" t="n">
        <v>0</v>
      </c>
      <c r="AB154" t="n">
        <v>0</v>
      </c>
      <c r="AC154" t="n">
        <v>0</v>
      </c>
      <c r="AD154" s="2" t="n">
        <v>44166</v>
      </c>
    </row>
    <row r="155">
      <c r="A155" t="n">
        <v>-1</v>
      </c>
      <c r="B155" t="inlineStr">
        <is>
          <t>01-12-2020</t>
        </is>
      </c>
      <c r="C155" t="n">
        <v>2020</v>
      </c>
      <c r="D155" t="n">
        <v>12</v>
      </c>
      <c r="E155" t="inlineStr">
        <is>
          <t>Barro Blanco 023</t>
        </is>
      </c>
      <c r="F155" t="inlineStr">
        <is>
          <t>SAESA</t>
        </is>
      </c>
      <c r="G155" t="inlineStr">
        <is>
          <t>SAESA</t>
        </is>
      </c>
      <c r="H155" t="inlineStr">
        <is>
          <t>Empresa Eléctrica Carén S.A.</t>
        </is>
      </c>
      <c r="I155" t="inlineStr">
        <is>
          <t>Empresa Eléctrica Carén S.A.</t>
        </is>
      </c>
      <c r="J155" t="inlineStr">
        <is>
          <t>SIC 2013/03_2_BS1A_BB_Saesa_Empresa Eléctrica Carén S.A.</t>
        </is>
      </c>
      <c r="K155" t="inlineStr">
        <is>
          <t>Barro Blanco 023</t>
        </is>
      </c>
      <c r="L155" t="inlineStr">
        <is>
          <t>-1</t>
        </is>
      </c>
      <c r="M155" t="n">
        <v>1630.75753392102</v>
      </c>
      <c r="N155" t="n">
        <v>0</v>
      </c>
      <c r="O155" t="inlineStr">
        <is>
          <t>6</t>
        </is>
      </c>
      <c r="P155" s="2" t="n">
        <v>44659.60028225694</v>
      </c>
      <c r="Q155" t="n">
        <v>15</v>
      </c>
      <c r="R155" t="inlineStr">
        <is>
          <t>BARRO BLANCO 220</t>
        </is>
      </c>
      <c r="S155" t="n">
        <v>1620.945388358596</v>
      </c>
      <c r="T155" t="n">
        <v>112832.6391309824</v>
      </c>
      <c r="U155" t="n">
        <v>0</v>
      </c>
      <c r="V155" t="n">
        <v>0</v>
      </c>
      <c r="W155" t="inlineStr">
        <is>
          <t>SAESA</t>
        </is>
      </c>
      <c r="X155" t="n">
        <v>79.19130285958499</v>
      </c>
      <c r="Y155" t="n">
        <v>112.8326391309825</v>
      </c>
      <c r="Z155" t="n">
        <v>128364.7771683532</v>
      </c>
      <c r="AA155" t="n">
        <v>0</v>
      </c>
      <c r="AB155" t="n">
        <v>0</v>
      </c>
      <c r="AC155" t="n">
        <v>0</v>
      </c>
      <c r="AD155" s="2" t="n">
        <v>44166</v>
      </c>
    </row>
    <row r="156">
      <c r="A156" t="n">
        <v>-1</v>
      </c>
      <c r="B156" t="inlineStr">
        <is>
          <t>01-12-2020</t>
        </is>
      </c>
      <c r="C156" t="n">
        <v>2020</v>
      </c>
      <c r="D156" t="n">
        <v>12</v>
      </c>
      <c r="E156" t="inlineStr">
        <is>
          <t>Barro Blanco 023</t>
        </is>
      </c>
      <c r="F156" t="inlineStr">
        <is>
          <t>SAESA</t>
        </is>
      </c>
      <c r="G156" t="inlineStr">
        <is>
          <t>SAESA</t>
        </is>
      </c>
      <c r="H156" t="inlineStr">
        <is>
          <t>Empresa Eléctrica Carén S.A.</t>
        </is>
      </c>
      <c r="I156" t="inlineStr">
        <is>
          <t>Empresa Eléctrica Carén S.A.</t>
        </is>
      </c>
      <c r="J156" t="inlineStr">
        <is>
          <t>SIC 2013/03_2_BS1A_BB_Saesa_Empresa Eléctrica Carén S.A.</t>
        </is>
      </c>
      <c r="K156" t="inlineStr">
        <is>
          <t>Barro Blanco 023</t>
        </is>
      </c>
      <c r="L156" t="inlineStr">
        <is>
          <t>-1</t>
        </is>
      </c>
      <c r="M156" t="n">
        <v>1630.75753392102</v>
      </c>
      <c r="N156" t="n">
        <v>0</v>
      </c>
      <c r="O156" t="inlineStr">
        <is>
          <t>6</t>
        </is>
      </c>
      <c r="P156" s="2" t="n">
        <v>44659.60028225694</v>
      </c>
      <c r="Q156" t="n">
        <v>6</v>
      </c>
      <c r="R156" t="inlineStr">
        <is>
          <t>MELIPULLI 220</t>
        </is>
      </c>
      <c r="S156" t="n">
        <v>29.43356712636823</v>
      </c>
      <c r="T156" t="n">
        <v>2039.400709048451</v>
      </c>
      <c r="U156" t="n">
        <v>0</v>
      </c>
      <c r="V156" t="n">
        <v>0</v>
      </c>
      <c r="W156" t="inlineStr">
        <is>
          <t>SAESA</t>
        </is>
      </c>
      <c r="X156" t="n">
        <v>78.826236570774</v>
      </c>
      <c r="Y156" t="n">
        <v>2.039400709048451</v>
      </c>
      <c r="Z156" t="n">
        <v>2320.137325424859</v>
      </c>
      <c r="AA156" t="n">
        <v>0</v>
      </c>
      <c r="AB156" t="n">
        <v>0</v>
      </c>
      <c r="AC156" t="n">
        <v>0</v>
      </c>
      <c r="AD156" s="2" t="n">
        <v>44166</v>
      </c>
    </row>
    <row r="157">
      <c r="A157" t="n">
        <v>-1</v>
      </c>
      <c r="B157" t="inlineStr">
        <is>
          <t>01-12-2020</t>
        </is>
      </c>
      <c r="C157" t="n">
        <v>2020</v>
      </c>
      <c r="D157" t="n">
        <v>12</v>
      </c>
      <c r="E157" t="inlineStr">
        <is>
          <t>Barro Blanco 023</t>
        </is>
      </c>
      <c r="F157" t="inlineStr">
        <is>
          <t>SAESA</t>
        </is>
      </c>
      <c r="G157" t="inlineStr">
        <is>
          <t>SAESA</t>
        </is>
      </c>
      <c r="H157" t="inlineStr">
        <is>
          <t>Empresa Eléctrica Carén S.A.</t>
        </is>
      </c>
      <c r="I157" t="inlineStr">
        <is>
          <t>Empresa Eléctrica Carén S.A.</t>
        </is>
      </c>
      <c r="J157" t="inlineStr">
        <is>
          <t>SIC 2013/03_2_BS1A_BB_Saesa_Empresa Eléctrica Carén S.A.</t>
        </is>
      </c>
      <c r="K157" t="inlineStr">
        <is>
          <t>Barro Blanco 023</t>
        </is>
      </c>
      <c r="L157" t="inlineStr">
        <is>
          <t>-1</t>
        </is>
      </c>
      <c r="M157" t="n">
        <v>1630.75753392102</v>
      </c>
      <c r="N157" t="n">
        <v>0</v>
      </c>
      <c r="O157" t="inlineStr">
        <is>
          <t>6</t>
        </is>
      </c>
      <c r="P157" s="2" t="n">
        <v>44659.60028225694</v>
      </c>
      <c r="Q157" t="n">
        <v>17</v>
      </c>
      <c r="R157" t="inlineStr">
        <is>
          <t>VALDIVIA 220</t>
        </is>
      </c>
      <c r="S157" t="n">
        <v>7.415183188956352</v>
      </c>
      <c r="T157" t="n">
        <v>559.3003817071764</v>
      </c>
      <c r="U157" t="n">
        <v>0</v>
      </c>
      <c r="V157" t="n">
        <v>0</v>
      </c>
      <c r="W157" t="inlineStr">
        <is>
          <t>SAESA</t>
        </is>
      </c>
      <c r="X157" t="n">
        <v>85.809299390577</v>
      </c>
      <c r="Y157" t="n">
        <v>0.5593003817071764</v>
      </c>
      <c r="Z157" t="n">
        <v>636.291674297129</v>
      </c>
      <c r="AA157" t="n">
        <v>0</v>
      </c>
      <c r="AB157" t="n">
        <v>0</v>
      </c>
      <c r="AC157" t="n">
        <v>0</v>
      </c>
      <c r="AD157" s="2" t="n">
        <v>44166</v>
      </c>
    </row>
    <row r="158">
      <c r="A158" t="n">
        <v>-1</v>
      </c>
      <c r="B158" t="inlineStr">
        <is>
          <t>01-12-2020</t>
        </is>
      </c>
      <c r="C158" t="n">
        <v>2020</v>
      </c>
      <c r="D158" t="n">
        <v>12</v>
      </c>
      <c r="E158" t="inlineStr">
        <is>
          <t>Calbuco 023</t>
        </is>
      </c>
      <c r="F158" t="inlineStr">
        <is>
          <t>SAESA</t>
        </is>
      </c>
      <c r="G158" t="inlineStr">
        <is>
          <t>SAESA</t>
        </is>
      </c>
      <c r="H158" t="inlineStr">
        <is>
          <t>Empresa Eléctrica Carén S.A.</t>
        </is>
      </c>
      <c r="I158" t="inlineStr">
        <is>
          <t>Empresa Eléctrica Carén S.A.</t>
        </is>
      </c>
      <c r="J158" t="inlineStr">
        <is>
          <t>SIC 2013/03_2_BS1A_BB_Saesa_Empresa Eléctrica Carén S.A.</t>
        </is>
      </c>
      <c r="K158" t="inlineStr">
        <is>
          <t>Calbuco 023</t>
        </is>
      </c>
      <c r="L158" t="inlineStr">
        <is>
          <t>-1</t>
        </is>
      </c>
      <c r="M158" t="n">
        <v>1089.993026502061</v>
      </c>
      <c r="N158" t="n">
        <v>0</v>
      </c>
      <c r="O158" t="inlineStr">
        <is>
          <t>6</t>
        </is>
      </c>
      <c r="P158" s="2" t="n">
        <v>44659.60028225694</v>
      </c>
      <c r="Q158" t="n">
        <v>24</v>
      </c>
      <c r="R158" t="inlineStr">
        <is>
          <t>CHILOE 220</t>
        </is>
      </c>
      <c r="S158" t="n">
        <v>0.3442547001057311</v>
      </c>
      <c r="T158" t="n">
        <v>24.03692485526516</v>
      </c>
      <c r="U158" t="n">
        <v>0</v>
      </c>
      <c r="V158" t="n">
        <v>0</v>
      </c>
      <c r="W158" t="inlineStr">
        <is>
          <t>SAESA</t>
        </is>
      </c>
      <c r="X158" t="n">
        <v>79.434680359482</v>
      </c>
      <c r="Y158" t="n">
        <v>0.02403692485526517</v>
      </c>
      <c r="Z158" t="n">
        <v>27.34576206514808</v>
      </c>
      <c r="AA158" t="n">
        <v>0</v>
      </c>
      <c r="AB158" t="n">
        <v>0</v>
      </c>
      <c r="AC158" t="n">
        <v>0</v>
      </c>
      <c r="AD158" s="2" t="n">
        <v>44166</v>
      </c>
    </row>
    <row r="159">
      <c r="A159" t="n">
        <v>-1</v>
      </c>
      <c r="B159" t="inlineStr">
        <is>
          <t>01-12-2020</t>
        </is>
      </c>
      <c r="C159" t="n">
        <v>2020</v>
      </c>
      <c r="D159" t="n">
        <v>12</v>
      </c>
      <c r="E159" t="inlineStr">
        <is>
          <t>Calbuco 023</t>
        </is>
      </c>
      <c r="F159" t="inlineStr">
        <is>
          <t>SAESA</t>
        </is>
      </c>
      <c r="G159" t="inlineStr">
        <is>
          <t>SAESA</t>
        </is>
      </c>
      <c r="H159" t="inlineStr">
        <is>
          <t>Empresa Eléctrica Carén S.A.</t>
        </is>
      </c>
      <c r="I159" t="inlineStr">
        <is>
          <t>Empresa Eléctrica Carén S.A.</t>
        </is>
      </c>
      <c r="J159" t="inlineStr">
        <is>
          <t>SIC 2013/03_2_BS1A_BB_Saesa_Empresa Eléctrica Carén S.A.</t>
        </is>
      </c>
      <c r="K159" t="inlineStr">
        <is>
          <t>Calbuco 023</t>
        </is>
      </c>
      <c r="L159" t="inlineStr">
        <is>
          <t>-1</t>
        </is>
      </c>
      <c r="M159" t="n">
        <v>1089.993026502061</v>
      </c>
      <c r="N159" t="n">
        <v>0</v>
      </c>
      <c r="O159" t="inlineStr">
        <is>
          <t>6</t>
        </is>
      </c>
      <c r="P159" s="2" t="n">
        <v>44659.60028225694</v>
      </c>
      <c r="Q159" t="n">
        <v>6</v>
      </c>
      <c r="R159" t="inlineStr">
        <is>
          <t>MELIPULLI 220</t>
        </is>
      </c>
      <c r="S159" t="n">
        <v>1107.719950397155</v>
      </c>
      <c r="T159" t="n">
        <v>76751.99008560735</v>
      </c>
      <c r="U159" t="n">
        <v>0</v>
      </c>
      <c r="V159" t="n">
        <v>0</v>
      </c>
      <c r="W159" t="inlineStr">
        <is>
          <t>SAESA</t>
        </is>
      </c>
      <c r="X159" t="n">
        <v>78.826236570774</v>
      </c>
      <c r="Y159" t="n">
        <v>76.75199008560735</v>
      </c>
      <c r="Z159" t="n">
        <v>87317.39486417218</v>
      </c>
      <c r="AA159" t="n">
        <v>0</v>
      </c>
      <c r="AB159" t="n">
        <v>0</v>
      </c>
      <c r="AC159" t="n">
        <v>0</v>
      </c>
      <c r="AD159" s="2" t="n">
        <v>44166</v>
      </c>
    </row>
    <row r="160">
      <c r="A160" t="n">
        <v>-1</v>
      </c>
      <c r="B160" t="inlineStr">
        <is>
          <t>01-12-2020</t>
        </is>
      </c>
      <c r="C160" t="n">
        <v>2020</v>
      </c>
      <c r="D160" t="n">
        <v>12</v>
      </c>
      <c r="E160" t="inlineStr">
        <is>
          <t>Castro 023</t>
        </is>
      </c>
      <c r="F160" t="inlineStr">
        <is>
          <t>SAESA</t>
        </is>
      </c>
      <c r="G160" t="inlineStr">
        <is>
          <t>SAESA</t>
        </is>
      </c>
      <c r="H160" t="inlineStr">
        <is>
          <t>Empresa Eléctrica Carén S.A.</t>
        </is>
      </c>
      <c r="I160" t="inlineStr">
        <is>
          <t>Empresa Eléctrica Carén S.A.</t>
        </is>
      </c>
      <c r="J160" t="inlineStr">
        <is>
          <t>SIC 2013/03_2_BS1A_BB_Saesa_Empresa Eléctrica Carén S.A.</t>
        </is>
      </c>
      <c r="K160" t="inlineStr">
        <is>
          <t>Castro 023</t>
        </is>
      </c>
      <c r="L160" t="inlineStr">
        <is>
          <t>-1</t>
        </is>
      </c>
      <c r="M160" t="n">
        <v>2015.311075689834</v>
      </c>
      <c r="N160" t="n">
        <v>0</v>
      </c>
      <c r="O160" t="inlineStr">
        <is>
          <t>6</t>
        </is>
      </c>
      <c r="P160" s="2" t="n">
        <v>44659.60028225694</v>
      </c>
      <c r="Q160" t="n">
        <v>24</v>
      </c>
      <c r="R160" t="inlineStr">
        <is>
          <t>CHILOE 220</t>
        </is>
      </c>
      <c r="S160" t="n">
        <v>2048.723258601267</v>
      </c>
      <c r="T160" t="n">
        <v>143048.1762517927</v>
      </c>
      <c r="U160" t="n">
        <v>0</v>
      </c>
      <c r="V160" t="n">
        <v>0</v>
      </c>
      <c r="W160" t="inlineStr">
        <is>
          <t>SAESA</t>
        </is>
      </c>
      <c r="X160" t="n">
        <v>79.43468035948199</v>
      </c>
      <c r="Y160" t="n">
        <v>143.0481762517927</v>
      </c>
      <c r="Z160" t="n">
        <v>162739.6771920281</v>
      </c>
      <c r="AA160" t="n">
        <v>0</v>
      </c>
      <c r="AB160" t="n">
        <v>0</v>
      </c>
      <c r="AC160" t="n">
        <v>0</v>
      </c>
      <c r="AD160" s="2" t="n">
        <v>44166</v>
      </c>
    </row>
    <row r="161">
      <c r="A161" t="n">
        <v>-1</v>
      </c>
      <c r="B161" t="inlineStr">
        <is>
          <t>01-12-2020</t>
        </is>
      </c>
      <c r="C161" t="n">
        <v>2020</v>
      </c>
      <c r="D161" t="n">
        <v>12</v>
      </c>
      <c r="E161" t="inlineStr">
        <is>
          <t>Chirre 23</t>
        </is>
      </c>
      <c r="F161" t="inlineStr">
        <is>
          <t>SAESA</t>
        </is>
      </c>
      <c r="G161" t="inlineStr">
        <is>
          <t>SAESA</t>
        </is>
      </c>
      <c r="H161" t="inlineStr">
        <is>
          <t>Empresa Eléctrica Carén S.A.</t>
        </is>
      </c>
      <c r="I161" t="inlineStr">
        <is>
          <t>Empresa Eléctrica Carén S.A.</t>
        </is>
      </c>
      <c r="J161" t="inlineStr">
        <is>
          <t>SIC 2013/03_2_BS1A_BB_Saesa_Empresa Eléctrica Carén S.A.</t>
        </is>
      </c>
      <c r="K161" t="inlineStr">
        <is>
          <t>Chirre 23</t>
        </is>
      </c>
      <c r="L161" t="inlineStr">
        <is>
          <t>-1</t>
        </is>
      </c>
      <c r="M161" t="n">
        <v>993.1031386684169</v>
      </c>
      <c r="N161" t="n">
        <v>0</v>
      </c>
      <c r="O161" t="inlineStr">
        <is>
          <t>6</t>
        </is>
      </c>
      <c r="P161" s="2" t="n">
        <v>44659.60028225694</v>
      </c>
      <c r="Q161" t="n">
        <v>15</v>
      </c>
      <c r="R161" t="inlineStr">
        <is>
          <t>BARRO BLANCO 220</t>
        </is>
      </c>
      <c r="S161" t="n">
        <v>1009.567963438831</v>
      </c>
      <c r="T161" t="n">
        <v>70275.1730656666</v>
      </c>
      <c r="U161" t="n">
        <v>0</v>
      </c>
      <c r="V161" t="n">
        <v>0</v>
      </c>
      <c r="W161" t="inlineStr">
        <is>
          <t>SAESA</t>
        </is>
      </c>
      <c r="X161" t="n">
        <v>79.19130285958499</v>
      </c>
      <c r="Y161" t="n">
        <v>70.27517306566661</v>
      </c>
      <c r="Z161" t="n">
        <v>79949.00235001888</v>
      </c>
      <c r="AA161" t="n">
        <v>0</v>
      </c>
      <c r="AB161" t="n">
        <v>0</v>
      </c>
      <c r="AC161" t="n">
        <v>0</v>
      </c>
      <c r="AD161" s="2" t="n">
        <v>44166</v>
      </c>
    </row>
    <row r="162">
      <c r="A162" t="n">
        <v>-1</v>
      </c>
      <c r="B162" t="inlineStr">
        <is>
          <t>01-12-2020</t>
        </is>
      </c>
      <c r="C162" t="n">
        <v>2020</v>
      </c>
      <c r="D162" t="n">
        <v>12</v>
      </c>
      <c r="E162" t="inlineStr">
        <is>
          <t>Chonchi 023</t>
        </is>
      </c>
      <c r="F162" t="inlineStr">
        <is>
          <t>SAESA</t>
        </is>
      </c>
      <c r="G162" t="inlineStr">
        <is>
          <t>SAESA</t>
        </is>
      </c>
      <c r="H162" t="inlineStr">
        <is>
          <t>Empresa Eléctrica Carén S.A.</t>
        </is>
      </c>
      <c r="I162" t="inlineStr">
        <is>
          <t>Empresa Eléctrica Carén S.A.</t>
        </is>
      </c>
      <c r="J162" t="inlineStr">
        <is>
          <t>SIC 2013/03_2_BS1A_BB_Saesa_Empresa Eléctrica Carén S.A.</t>
        </is>
      </c>
      <c r="K162" t="inlineStr">
        <is>
          <t>Chonchi 023</t>
        </is>
      </c>
      <c r="L162" t="inlineStr">
        <is>
          <t>-1</t>
        </is>
      </c>
      <c r="M162" t="n">
        <v>1326.094230045526</v>
      </c>
      <c r="N162" t="n">
        <v>0</v>
      </c>
      <c r="O162" t="inlineStr">
        <is>
          <t>6</t>
        </is>
      </c>
      <c r="P162" s="2" t="n">
        <v>44659.60028225694</v>
      </c>
      <c r="Q162" t="n">
        <v>24</v>
      </c>
      <c r="R162" t="inlineStr">
        <is>
          <t>CHILOE 220</t>
        </is>
      </c>
      <c r="S162" t="n">
        <v>1348.079770395376</v>
      </c>
      <c r="T162" t="n">
        <v>94127.08709552724</v>
      </c>
      <c r="U162" t="n">
        <v>0</v>
      </c>
      <c r="V162" t="n">
        <v>0</v>
      </c>
      <c r="W162" t="inlineStr">
        <is>
          <t>SAESA</t>
        </is>
      </c>
      <c r="X162" t="n">
        <v>79.434680359482</v>
      </c>
      <c r="Y162" t="n">
        <v>94.12708709552724</v>
      </c>
      <c r="Z162" t="n">
        <v>107084.2856604406</v>
      </c>
      <c r="AA162" t="n">
        <v>0</v>
      </c>
      <c r="AB162" t="n">
        <v>0</v>
      </c>
      <c r="AC162" t="n">
        <v>0</v>
      </c>
      <c r="AD162" s="2" t="n">
        <v>44166</v>
      </c>
    </row>
    <row r="163">
      <c r="A163" t="n">
        <v>-1</v>
      </c>
      <c r="B163" t="inlineStr">
        <is>
          <t>01-12-2020</t>
        </is>
      </c>
      <c r="C163" t="n">
        <v>2020</v>
      </c>
      <c r="D163" t="n">
        <v>12</v>
      </c>
      <c r="E163" t="inlineStr">
        <is>
          <t>Colaco 023</t>
        </is>
      </c>
      <c r="F163" t="inlineStr">
        <is>
          <t>SAESA</t>
        </is>
      </c>
      <c r="G163" t="inlineStr">
        <is>
          <t>SAESA</t>
        </is>
      </c>
      <c r="H163" t="inlineStr">
        <is>
          <t>Empresa Eléctrica Carén S.A.</t>
        </is>
      </c>
      <c r="I163" t="inlineStr">
        <is>
          <t>Empresa Eléctrica Carén S.A.</t>
        </is>
      </c>
      <c r="J163" t="inlineStr">
        <is>
          <t>SIC 2013/03_2_BS1A_BB_Saesa_Empresa Eléctrica Carén S.A.</t>
        </is>
      </c>
      <c r="K163" t="inlineStr">
        <is>
          <t>Colaco 023</t>
        </is>
      </c>
      <c r="L163" t="inlineStr">
        <is>
          <t>-1</t>
        </is>
      </c>
      <c r="M163" t="n">
        <v>1143.889620588382</v>
      </c>
      <c r="N163" t="n">
        <v>0</v>
      </c>
      <c r="O163" t="inlineStr">
        <is>
          <t>6</t>
        </is>
      </c>
      <c r="P163" s="2" t="n">
        <v>44659.60028225694</v>
      </c>
      <c r="Q163" t="n">
        <v>24</v>
      </c>
      <c r="R163" t="inlineStr">
        <is>
          <t>CHILOE 220</t>
        </is>
      </c>
      <c r="S163" t="n">
        <v>0.3885687111385865</v>
      </c>
      <c r="T163" t="n">
        <v>27.13106577158378</v>
      </c>
      <c r="U163" t="n">
        <v>0</v>
      </c>
      <c r="V163" t="n">
        <v>0</v>
      </c>
      <c r="W163" t="inlineStr">
        <is>
          <t>SAESA</t>
        </is>
      </c>
      <c r="X163" t="n">
        <v>79.434680359482</v>
      </c>
      <c r="Y163" t="n">
        <v>0.02713106577158378</v>
      </c>
      <c r="Z163" t="n">
        <v>30.86583136698951</v>
      </c>
      <c r="AA163" t="n">
        <v>0</v>
      </c>
      <c r="AB163" t="n">
        <v>0</v>
      </c>
      <c r="AC163" t="n">
        <v>0</v>
      </c>
      <c r="AD163" s="2" t="n">
        <v>44166</v>
      </c>
    </row>
    <row r="164">
      <c r="A164" t="n">
        <v>-1</v>
      </c>
      <c r="B164" t="inlineStr">
        <is>
          <t>01-12-2020</t>
        </is>
      </c>
      <c r="C164" t="n">
        <v>2020</v>
      </c>
      <c r="D164" t="n">
        <v>12</v>
      </c>
      <c r="E164" t="inlineStr">
        <is>
          <t>Colaco 023</t>
        </is>
      </c>
      <c r="F164" t="inlineStr">
        <is>
          <t>SAESA</t>
        </is>
      </c>
      <c r="G164" t="inlineStr">
        <is>
          <t>SAESA</t>
        </is>
      </c>
      <c r="H164" t="inlineStr">
        <is>
          <t>Empresa Eléctrica Carén S.A.</t>
        </is>
      </c>
      <c r="I164" t="inlineStr">
        <is>
          <t>Empresa Eléctrica Carén S.A.</t>
        </is>
      </c>
      <c r="J164" t="inlineStr">
        <is>
          <t>SIC 2013/03_2_BS1A_BB_Saesa_Empresa Eléctrica Carén S.A.</t>
        </is>
      </c>
      <c r="K164" t="inlineStr">
        <is>
          <t>Colaco 023</t>
        </is>
      </c>
      <c r="L164" t="inlineStr">
        <is>
          <t>-1</t>
        </is>
      </c>
      <c r="M164" t="n">
        <v>1143.889620588382</v>
      </c>
      <c r="N164" t="n">
        <v>0</v>
      </c>
      <c r="O164" t="inlineStr">
        <is>
          <t>6</t>
        </is>
      </c>
      <c r="P164" s="2" t="n">
        <v>44659.60028225694</v>
      </c>
      <c r="Q164" t="n">
        <v>6</v>
      </c>
      <c r="R164" t="inlineStr">
        <is>
          <t>MELIPULLI 220</t>
        </is>
      </c>
      <c r="S164" t="n">
        <v>1162.465791214324</v>
      </c>
      <c r="T164" t="n">
        <v>80545.23424458552</v>
      </c>
      <c r="U164" t="n">
        <v>0</v>
      </c>
      <c r="V164" t="n">
        <v>0</v>
      </c>
      <c r="W164" t="inlineStr">
        <is>
          <t>SAESA</t>
        </is>
      </c>
      <c r="X164" t="n">
        <v>78.826236570774</v>
      </c>
      <c r="Y164" t="n">
        <v>80.54523424458552</v>
      </c>
      <c r="Z164" t="n">
        <v>91632.80346369228</v>
      </c>
      <c r="AA164" t="n">
        <v>0</v>
      </c>
      <c r="AB164" t="n">
        <v>0</v>
      </c>
      <c r="AC164" t="n">
        <v>0</v>
      </c>
      <c r="AD164" s="2" t="n">
        <v>44166</v>
      </c>
    </row>
    <row r="165">
      <c r="A165" t="n">
        <v>-1</v>
      </c>
      <c r="B165" t="inlineStr">
        <is>
          <t>01-12-2020</t>
        </is>
      </c>
      <c r="C165" t="n">
        <v>2020</v>
      </c>
      <c r="D165" t="n">
        <v>12</v>
      </c>
      <c r="E165" t="inlineStr">
        <is>
          <t>Corral 13.8</t>
        </is>
      </c>
      <c r="F165" t="inlineStr">
        <is>
          <t>SAESA</t>
        </is>
      </c>
      <c r="G165" t="inlineStr">
        <is>
          <t>SAESA</t>
        </is>
      </c>
      <c r="H165" t="inlineStr">
        <is>
          <t>Empresa Eléctrica Carén S.A.</t>
        </is>
      </c>
      <c r="I165" t="inlineStr">
        <is>
          <t>Empresa Eléctrica Carén S.A.</t>
        </is>
      </c>
      <c r="J165" t="inlineStr">
        <is>
          <t>SIC 2013/03_2_BS1A_BB_Saesa_Empresa Eléctrica Carén S.A.</t>
        </is>
      </c>
      <c r="K165" t="inlineStr">
        <is>
          <t>Corral 13.8</t>
        </is>
      </c>
      <c r="L165" t="inlineStr">
        <is>
          <t>-1</t>
        </is>
      </c>
      <c r="M165" t="n">
        <v>339.1352302036904</v>
      </c>
      <c r="N165" t="n">
        <v>0</v>
      </c>
      <c r="O165" t="inlineStr">
        <is>
          <t>6</t>
        </is>
      </c>
      <c r="P165" s="2" t="n">
        <v>44659.60028225694</v>
      </c>
      <c r="Q165" t="n">
        <v>15</v>
      </c>
      <c r="R165" t="inlineStr">
        <is>
          <t>BARRO BLANCO 220</t>
        </is>
      </c>
      <c r="S165" t="n">
        <v>28.81415278632987</v>
      </c>
      <c r="T165" t="n">
        <v>2005.728833651307</v>
      </c>
      <c r="U165" t="n">
        <v>0</v>
      </c>
      <c r="V165" t="n">
        <v>0</v>
      </c>
      <c r="W165" t="inlineStr">
        <is>
          <t>SAESA</t>
        </is>
      </c>
      <c r="X165" t="n">
        <v>79.19130285958501</v>
      </c>
      <c r="Y165" t="n">
        <v>2.005728833651307</v>
      </c>
      <c r="Z165" t="n">
        <v>2281.830299944604</v>
      </c>
      <c r="AA165" t="n">
        <v>0</v>
      </c>
      <c r="AB165" t="n">
        <v>0</v>
      </c>
      <c r="AC165" t="n">
        <v>0</v>
      </c>
      <c r="AD165" s="2" t="n">
        <v>44166</v>
      </c>
    </row>
    <row r="166">
      <c r="A166" t="n">
        <v>-1</v>
      </c>
      <c r="B166" t="inlineStr">
        <is>
          <t>01-12-2020</t>
        </is>
      </c>
      <c r="C166" t="n">
        <v>2020</v>
      </c>
      <c r="D166" t="n">
        <v>12</v>
      </c>
      <c r="E166" t="inlineStr">
        <is>
          <t>Corral 13.8</t>
        </is>
      </c>
      <c r="F166" t="inlineStr">
        <is>
          <t>SAESA</t>
        </is>
      </c>
      <c r="G166" t="inlineStr">
        <is>
          <t>SAESA</t>
        </is>
      </c>
      <c r="H166" t="inlineStr">
        <is>
          <t>Empresa Eléctrica Carén S.A.</t>
        </is>
      </c>
      <c r="I166" t="inlineStr">
        <is>
          <t>Empresa Eléctrica Carén S.A.</t>
        </is>
      </c>
      <c r="J166" t="inlineStr">
        <is>
          <t>SIC 2013/03_2_BS1A_BB_Saesa_Empresa Eléctrica Carén S.A.</t>
        </is>
      </c>
      <c r="K166" t="inlineStr">
        <is>
          <t>Corral 13.8</t>
        </is>
      </c>
      <c r="L166" t="inlineStr">
        <is>
          <t>-1</t>
        </is>
      </c>
      <c r="M166" t="n">
        <v>339.1352302036904</v>
      </c>
      <c r="N166" t="n">
        <v>0</v>
      </c>
      <c r="O166" t="inlineStr">
        <is>
          <t>6</t>
        </is>
      </c>
      <c r="P166" s="2" t="n">
        <v>44659.60028225694</v>
      </c>
      <c r="Q166" t="n">
        <v>6</v>
      </c>
      <c r="R166" t="inlineStr">
        <is>
          <t>MELIPULLI 220</t>
        </is>
      </c>
      <c r="S166" t="n">
        <v>0.7621760236184384</v>
      </c>
      <c r="T166" t="n">
        <v>52.80985197321426</v>
      </c>
      <c r="U166" t="n">
        <v>0</v>
      </c>
      <c r="V166" t="n">
        <v>0</v>
      </c>
      <c r="W166" t="inlineStr">
        <is>
          <t>SAESA</t>
        </is>
      </c>
      <c r="X166" t="n">
        <v>78.82623657077399</v>
      </c>
      <c r="Y166" t="n">
        <v>0.05280985197321427</v>
      </c>
      <c r="Z166" t="n">
        <v>60.07946754631885</v>
      </c>
      <c r="AA166" t="n">
        <v>0</v>
      </c>
      <c r="AB166" t="n">
        <v>0</v>
      </c>
      <c r="AC166" t="n">
        <v>0</v>
      </c>
      <c r="AD166" s="2" t="n">
        <v>44166</v>
      </c>
    </row>
    <row r="167">
      <c r="A167" t="n">
        <v>-1</v>
      </c>
      <c r="B167" t="inlineStr">
        <is>
          <t>01-12-2020</t>
        </is>
      </c>
      <c r="C167" t="n">
        <v>2020</v>
      </c>
      <c r="D167" t="n">
        <v>12</v>
      </c>
      <c r="E167" t="inlineStr">
        <is>
          <t>Corral 13.8</t>
        </is>
      </c>
      <c r="F167" t="inlineStr">
        <is>
          <t>SAESA</t>
        </is>
      </c>
      <c r="G167" t="inlineStr">
        <is>
          <t>SAESA</t>
        </is>
      </c>
      <c r="H167" t="inlineStr">
        <is>
          <t>Empresa Eléctrica Carén S.A.</t>
        </is>
      </c>
      <c r="I167" t="inlineStr">
        <is>
          <t>Empresa Eléctrica Carén S.A.</t>
        </is>
      </c>
      <c r="J167" t="inlineStr">
        <is>
          <t>SIC 2013/03_2_BS1A_BB_Saesa_Empresa Eléctrica Carén S.A.</t>
        </is>
      </c>
      <c r="K167" t="inlineStr">
        <is>
          <t>Corral 13.8</t>
        </is>
      </c>
      <c r="L167" t="inlineStr">
        <is>
          <t>-1</t>
        </is>
      </c>
      <c r="M167" t="n">
        <v>339.1352302036904</v>
      </c>
      <c r="N167" t="n">
        <v>0</v>
      </c>
      <c r="O167" t="inlineStr">
        <is>
          <t>6</t>
        </is>
      </c>
      <c r="P167" s="2" t="n">
        <v>44659.60028225694</v>
      </c>
      <c r="Q167" t="n">
        <v>17</v>
      </c>
      <c r="R167" t="inlineStr">
        <is>
          <t>VALDIVIA 220</t>
        </is>
      </c>
      <c r="S167" t="n">
        <v>315.1814816891429</v>
      </c>
      <c r="T167" t="n">
        <v>23772.99636754917</v>
      </c>
      <c r="U167" t="n">
        <v>0</v>
      </c>
      <c r="V167" t="n">
        <v>0</v>
      </c>
      <c r="W167" t="inlineStr">
        <is>
          <t>SAESA</t>
        </is>
      </c>
      <c r="X167" t="n">
        <v>85.809299390577</v>
      </c>
      <c r="Y167" t="n">
        <v>23.77299636754918</v>
      </c>
      <c r="Z167" t="n">
        <v>27045.50212462932</v>
      </c>
      <c r="AA167" t="n">
        <v>0</v>
      </c>
      <c r="AB167" t="n">
        <v>0</v>
      </c>
      <c r="AC167" t="n">
        <v>0</v>
      </c>
      <c r="AD167" s="2" t="n">
        <v>44166</v>
      </c>
    </row>
    <row r="168">
      <c r="A168" t="n">
        <v>-1</v>
      </c>
      <c r="B168" t="inlineStr">
        <is>
          <t>01-12-2020</t>
        </is>
      </c>
      <c r="C168" t="n">
        <v>2020</v>
      </c>
      <c r="D168" t="n">
        <v>12</v>
      </c>
      <c r="E168" t="inlineStr">
        <is>
          <t>Dalcahue 023</t>
        </is>
      </c>
      <c r="F168" t="inlineStr">
        <is>
          <t>SAESA</t>
        </is>
      </c>
      <c r="G168" t="inlineStr">
        <is>
          <t>SAESA</t>
        </is>
      </c>
      <c r="H168" t="inlineStr">
        <is>
          <t>Empresa Eléctrica Carén S.A.</t>
        </is>
      </c>
      <c r="I168" t="inlineStr">
        <is>
          <t>Empresa Eléctrica Carén S.A.</t>
        </is>
      </c>
      <c r="J168" t="inlineStr">
        <is>
          <t>SIC 2013/03_2_BS1A_BB_Saesa_Empresa Eléctrica Carén S.A.</t>
        </is>
      </c>
      <c r="K168" t="inlineStr">
        <is>
          <t>Dalcahue 023</t>
        </is>
      </c>
      <c r="L168" t="inlineStr">
        <is>
          <t>-1</t>
        </is>
      </c>
      <c r="M168" t="n">
        <v>1866.505297501626</v>
      </c>
      <c r="N168" t="n">
        <v>0</v>
      </c>
      <c r="O168" t="inlineStr">
        <is>
          <t>6</t>
        </is>
      </c>
      <c r="P168" s="2" t="n">
        <v>44659.60028225694</v>
      </c>
      <c r="Q168" t="n">
        <v>24</v>
      </c>
      <c r="R168" t="inlineStr">
        <is>
          <t>CHILOE 220</t>
        </is>
      </c>
      <c r="S168" t="n">
        <v>1897.450404268301</v>
      </c>
      <c r="T168" t="n">
        <v>132485.8390313386</v>
      </c>
      <c r="U168" t="n">
        <v>0</v>
      </c>
      <c r="V168" t="n">
        <v>0</v>
      </c>
      <c r="W168" t="inlineStr">
        <is>
          <t>SAESA</t>
        </is>
      </c>
      <c r="X168" t="n">
        <v>79.43468035948199</v>
      </c>
      <c r="Y168" t="n">
        <v>132.4858390313387</v>
      </c>
      <c r="Z168" t="n">
        <v>150723.3663610223</v>
      </c>
      <c r="AA168" t="n">
        <v>0</v>
      </c>
      <c r="AB168" t="n">
        <v>0</v>
      </c>
      <c r="AC168" t="n">
        <v>0</v>
      </c>
      <c r="AD168" s="2" t="n">
        <v>44166</v>
      </c>
    </row>
    <row r="169">
      <c r="A169" t="n">
        <v>-1</v>
      </c>
      <c r="B169" t="inlineStr">
        <is>
          <t>01-12-2020</t>
        </is>
      </c>
      <c r="C169" t="n">
        <v>2020</v>
      </c>
      <c r="D169" t="n">
        <v>12</v>
      </c>
      <c r="E169" t="inlineStr">
        <is>
          <t>Degañ 023</t>
        </is>
      </c>
      <c r="F169" t="inlineStr">
        <is>
          <t>SAESA</t>
        </is>
      </c>
      <c r="G169" t="inlineStr">
        <is>
          <t>SAESA</t>
        </is>
      </c>
      <c r="H169" t="inlineStr">
        <is>
          <t>Empresa Eléctrica Carén S.A.</t>
        </is>
      </c>
      <c r="I169" t="inlineStr">
        <is>
          <t>Empresa Eléctrica Carén S.A.</t>
        </is>
      </c>
      <c r="J169" t="inlineStr">
        <is>
          <t>SIC 2013/03_2_BS1A_BB_Saesa_Empresa Eléctrica Carén S.A.</t>
        </is>
      </c>
      <c r="K169" t="inlineStr">
        <is>
          <t>Degañ 023</t>
        </is>
      </c>
      <c r="L169" t="inlineStr">
        <is>
          <t>-1</t>
        </is>
      </c>
      <c r="M169" t="n">
        <v>466.768023491899</v>
      </c>
      <c r="N169" t="n">
        <v>0</v>
      </c>
      <c r="O169" t="inlineStr">
        <is>
          <t>6</t>
        </is>
      </c>
      <c r="P169" s="2" t="n">
        <v>44659.60028225694</v>
      </c>
      <c r="Q169" t="n">
        <v>24</v>
      </c>
      <c r="R169" t="inlineStr">
        <is>
          <t>CHILOE 220</t>
        </is>
      </c>
      <c r="S169" t="n">
        <v>474.5066494371671</v>
      </c>
      <c r="T169" t="n">
        <v>33131.51765928484</v>
      </c>
      <c r="U169" t="n">
        <v>0</v>
      </c>
      <c r="V169" t="n">
        <v>0</v>
      </c>
      <c r="W169" t="inlineStr">
        <is>
          <t>SAESA</t>
        </is>
      </c>
      <c r="X169" t="n">
        <v>79.434680359482</v>
      </c>
      <c r="Y169" t="n">
        <v>33.13151765928484</v>
      </c>
      <c r="Z169" t="n">
        <v>37692.28402649015</v>
      </c>
      <c r="AA169" t="n">
        <v>0</v>
      </c>
      <c r="AB169" t="n">
        <v>0</v>
      </c>
      <c r="AC169" t="n">
        <v>0</v>
      </c>
      <c r="AD169" s="2" t="n">
        <v>44166</v>
      </c>
    </row>
    <row r="170">
      <c r="A170" t="n">
        <v>-1</v>
      </c>
      <c r="B170" t="inlineStr">
        <is>
          <t>01-12-2020</t>
        </is>
      </c>
      <c r="C170" t="n">
        <v>2020</v>
      </c>
      <c r="D170" t="n">
        <v>12</v>
      </c>
      <c r="E170" t="inlineStr">
        <is>
          <t>El Empalme 023</t>
        </is>
      </c>
      <c r="F170" t="inlineStr">
        <is>
          <t>SAESA</t>
        </is>
      </c>
      <c r="G170" t="inlineStr">
        <is>
          <t>SAESA</t>
        </is>
      </c>
      <c r="H170" t="inlineStr">
        <is>
          <t>Empresa Eléctrica Carén S.A.</t>
        </is>
      </c>
      <c r="I170" t="inlineStr">
        <is>
          <t>Empresa Eléctrica Carén S.A.</t>
        </is>
      </c>
      <c r="J170" t="inlineStr">
        <is>
          <t>SIC 2013/03_2_BS1A_BB_Saesa_Empresa Eléctrica Carén S.A.</t>
        </is>
      </c>
      <c r="K170" t="inlineStr">
        <is>
          <t>El Empalme 023</t>
        </is>
      </c>
      <c r="L170" t="inlineStr">
        <is>
          <t>-1</t>
        </is>
      </c>
      <c r="M170" t="n">
        <v>967.689061955129</v>
      </c>
      <c r="N170" t="n">
        <v>0</v>
      </c>
      <c r="O170" t="inlineStr">
        <is>
          <t>6</t>
        </is>
      </c>
      <c r="P170" s="2" t="n">
        <v>44659.60028225694</v>
      </c>
      <c r="Q170" t="n">
        <v>24</v>
      </c>
      <c r="R170" t="inlineStr">
        <is>
          <t>CHILOE 220</t>
        </is>
      </c>
      <c r="S170" t="n">
        <v>0.33347433264626</v>
      </c>
      <c r="T170" t="n">
        <v>23.28420635220372</v>
      </c>
      <c r="U170" t="n">
        <v>0</v>
      </c>
      <c r="V170" t="n">
        <v>0</v>
      </c>
      <c r="W170" t="inlineStr">
        <is>
          <t>SAESA</t>
        </is>
      </c>
      <c r="X170" t="n">
        <v>79.43468035948202</v>
      </c>
      <c r="Y170" t="n">
        <v>0.02328420635220372</v>
      </c>
      <c r="Z170" t="n">
        <v>26.48942702184723</v>
      </c>
      <c r="AA170" t="n">
        <v>0</v>
      </c>
      <c r="AB170" t="n">
        <v>0</v>
      </c>
      <c r="AC170" t="n">
        <v>0</v>
      </c>
      <c r="AD170" s="2" t="n">
        <v>44166</v>
      </c>
    </row>
    <row r="171">
      <c r="A171" t="n">
        <v>-1</v>
      </c>
      <c r="B171" t="inlineStr">
        <is>
          <t>01-12-2020</t>
        </is>
      </c>
      <c r="C171" t="n">
        <v>2020</v>
      </c>
      <c r="D171" t="n">
        <v>12</v>
      </c>
      <c r="E171" t="inlineStr">
        <is>
          <t>El Empalme 023</t>
        </is>
      </c>
      <c r="F171" t="inlineStr">
        <is>
          <t>SAESA</t>
        </is>
      </c>
      <c r="G171" t="inlineStr">
        <is>
          <t>SAESA</t>
        </is>
      </c>
      <c r="H171" t="inlineStr">
        <is>
          <t>Empresa Eléctrica Carén S.A.</t>
        </is>
      </c>
      <c r="I171" t="inlineStr">
        <is>
          <t>Empresa Eléctrica Carén S.A.</t>
        </is>
      </c>
      <c r="J171" t="inlineStr">
        <is>
          <t>SIC 2013/03_2_BS1A_BB_Saesa_Empresa Eléctrica Carén S.A.</t>
        </is>
      </c>
      <c r="K171" t="inlineStr">
        <is>
          <t>El Empalme 023</t>
        </is>
      </c>
      <c r="L171" t="inlineStr">
        <is>
          <t>-1</t>
        </is>
      </c>
      <c r="M171" t="n">
        <v>967.689061955129</v>
      </c>
      <c r="N171" t="n">
        <v>0</v>
      </c>
      <c r="O171" t="inlineStr">
        <is>
          <t>6</t>
        </is>
      </c>
      <c r="P171" s="2" t="n">
        <v>44659.60028225694</v>
      </c>
      <c r="Q171" t="n">
        <v>6</v>
      </c>
      <c r="R171" t="inlineStr">
        <is>
          <t>MELIPULLI 220</t>
        </is>
      </c>
      <c r="S171" t="n">
        <v>983.3990681200884</v>
      </c>
      <c r="T171" t="n">
        <v>68138.01222907215</v>
      </c>
      <c r="U171" t="n">
        <v>0</v>
      </c>
      <c r="V171" t="n">
        <v>0</v>
      </c>
      <c r="W171" t="inlineStr">
        <is>
          <t>SAESA</t>
        </is>
      </c>
      <c r="X171" t="n">
        <v>78.826236570774</v>
      </c>
      <c r="Y171" t="n">
        <v>68.13801222907213</v>
      </c>
      <c r="Z171" t="n">
        <v>77517.64758711279</v>
      </c>
      <c r="AA171" t="n">
        <v>0</v>
      </c>
      <c r="AB171" t="n">
        <v>0</v>
      </c>
      <c r="AC171" t="n">
        <v>0</v>
      </c>
      <c r="AD171" s="2" t="n">
        <v>44166</v>
      </c>
    </row>
    <row r="172">
      <c r="A172" t="n">
        <v>-1</v>
      </c>
      <c r="B172" t="inlineStr">
        <is>
          <t>01-12-2020</t>
        </is>
      </c>
      <c r="C172" t="n">
        <v>2020</v>
      </c>
      <c r="D172" t="n">
        <v>12</v>
      </c>
      <c r="E172" t="inlineStr">
        <is>
          <t>Frutillar 13.2</t>
        </is>
      </c>
      <c r="F172" t="inlineStr">
        <is>
          <t>SAESA</t>
        </is>
      </c>
      <c r="G172" t="inlineStr">
        <is>
          <t>SAESA</t>
        </is>
      </c>
      <c r="H172" t="inlineStr">
        <is>
          <t>Empresa Eléctrica Carén S.A.</t>
        </is>
      </c>
      <c r="I172" t="inlineStr">
        <is>
          <t>Empresa Eléctrica Carén S.A.</t>
        </is>
      </c>
      <c r="J172" t="inlineStr">
        <is>
          <t>SIC 2013/03_2_BS1A_BB_Saesa_Empresa Eléctrica Carén S.A.</t>
        </is>
      </c>
      <c r="K172" t="inlineStr">
        <is>
          <t>Frutillar 13.2</t>
        </is>
      </c>
      <c r="L172" t="inlineStr">
        <is>
          <t>-1</t>
        </is>
      </c>
      <c r="M172" t="n">
        <v>1991.292718144178</v>
      </c>
      <c r="N172" t="n">
        <v>0</v>
      </c>
      <c r="O172" t="inlineStr">
        <is>
          <t>6</t>
        </is>
      </c>
      <c r="P172" s="2" t="n">
        <v>44659.60028225694</v>
      </c>
      <c r="Q172" t="n">
        <v>15</v>
      </c>
      <c r="R172" t="inlineStr">
        <is>
          <t>BARRO BLANCO 220</t>
        </is>
      </c>
      <c r="S172" t="n">
        <v>1056.625728657516</v>
      </c>
      <c r="T172" t="n">
        <v>73550.82434877803</v>
      </c>
      <c r="U172" t="n">
        <v>0</v>
      </c>
      <c r="V172" t="n">
        <v>0</v>
      </c>
      <c r="W172" t="inlineStr">
        <is>
          <t>SAESA</t>
        </is>
      </c>
      <c r="X172" t="n">
        <v>79.19130285958499</v>
      </c>
      <c r="Y172" t="n">
        <v>73.55082434877802</v>
      </c>
      <c r="Z172" t="n">
        <v>83675.56808734701</v>
      </c>
      <c r="AA172" t="n">
        <v>0</v>
      </c>
      <c r="AB172" t="n">
        <v>0</v>
      </c>
      <c r="AC172" t="n">
        <v>0</v>
      </c>
      <c r="AD172" s="2" t="n">
        <v>44166</v>
      </c>
    </row>
    <row r="173">
      <c r="A173" t="n">
        <v>-1</v>
      </c>
      <c r="B173" t="inlineStr">
        <is>
          <t>01-12-2020</t>
        </is>
      </c>
      <c r="C173" t="n">
        <v>2020</v>
      </c>
      <c r="D173" t="n">
        <v>12</v>
      </c>
      <c r="E173" t="inlineStr">
        <is>
          <t>Frutillar 13.2</t>
        </is>
      </c>
      <c r="F173" t="inlineStr">
        <is>
          <t>SAESA</t>
        </is>
      </c>
      <c r="G173" t="inlineStr">
        <is>
          <t>SAESA</t>
        </is>
      </c>
      <c r="H173" t="inlineStr">
        <is>
          <t>Empresa Eléctrica Carén S.A.</t>
        </is>
      </c>
      <c r="I173" t="inlineStr">
        <is>
          <t>Empresa Eléctrica Carén S.A.</t>
        </is>
      </c>
      <c r="J173" t="inlineStr">
        <is>
          <t>SIC 2013/03_2_BS1A_BB_Saesa_Empresa Eléctrica Carén S.A.</t>
        </is>
      </c>
      <c r="K173" t="inlineStr">
        <is>
          <t>Frutillar 13.2</t>
        </is>
      </c>
      <c r="L173" t="inlineStr">
        <is>
          <t>-1</t>
        </is>
      </c>
      <c r="M173" t="n">
        <v>1991.292718144178</v>
      </c>
      <c r="N173" t="n">
        <v>0</v>
      </c>
      <c r="O173" t="inlineStr">
        <is>
          <t>6</t>
        </is>
      </c>
      <c r="P173" s="2" t="n">
        <v>44659.60028225694</v>
      </c>
      <c r="Q173" t="n">
        <v>6</v>
      </c>
      <c r="R173" t="inlineStr">
        <is>
          <t>MELIPULLI 220</t>
        </is>
      </c>
      <c r="S173" t="n">
        <v>967.6809679892439</v>
      </c>
      <c r="T173" t="n">
        <v>67048.93238991726</v>
      </c>
      <c r="U173" t="n">
        <v>0</v>
      </c>
      <c r="V173" t="n">
        <v>0</v>
      </c>
      <c r="W173" t="inlineStr">
        <is>
          <t>SAESA</t>
        </is>
      </c>
      <c r="X173" t="n">
        <v>78.82623657077399</v>
      </c>
      <c r="Y173" t="n">
        <v>67.04893238991727</v>
      </c>
      <c r="Z173" t="n">
        <v>76278.64890775571</v>
      </c>
      <c r="AA173" t="n">
        <v>0</v>
      </c>
      <c r="AB173" t="n">
        <v>0</v>
      </c>
      <c r="AC173" t="n">
        <v>0</v>
      </c>
      <c r="AD173" s="2" t="n">
        <v>44166</v>
      </c>
    </row>
    <row r="174">
      <c r="A174" t="n">
        <v>-1</v>
      </c>
      <c r="B174" t="inlineStr">
        <is>
          <t>01-12-2020</t>
        </is>
      </c>
      <c r="C174" t="n">
        <v>2020</v>
      </c>
      <c r="D174" t="n">
        <v>12</v>
      </c>
      <c r="E174" t="inlineStr">
        <is>
          <t>La Union 1 023</t>
        </is>
      </c>
      <c r="F174" t="inlineStr">
        <is>
          <t>SAESA</t>
        </is>
      </c>
      <c r="G174" t="inlineStr">
        <is>
          <t>SAESA</t>
        </is>
      </c>
      <c r="H174" t="inlineStr">
        <is>
          <t>Empresa Eléctrica Carén S.A.</t>
        </is>
      </c>
      <c r="I174" t="inlineStr">
        <is>
          <t>Empresa Eléctrica Carén S.A.</t>
        </is>
      </c>
      <c r="J174" t="inlineStr">
        <is>
          <t>SIC 2013/03_2_BS1A_BB_Saesa_Empresa Eléctrica Carén S.A.</t>
        </is>
      </c>
      <c r="K174" t="inlineStr">
        <is>
          <t>La Union 1 023</t>
        </is>
      </c>
      <c r="L174" t="inlineStr">
        <is>
          <t>-1</t>
        </is>
      </c>
      <c r="M174" t="n">
        <v>1677.511050508588</v>
      </c>
      <c r="N174" t="n">
        <v>0</v>
      </c>
      <c r="O174" t="inlineStr">
        <is>
          <t>6</t>
        </is>
      </c>
      <c r="P174" s="2" t="n">
        <v>44659.60028225694</v>
      </c>
      <c r="Q174" t="n">
        <v>15</v>
      </c>
      <c r="R174" t="inlineStr">
        <is>
          <t>BARRO BLANCO 220</t>
        </is>
      </c>
      <c r="S174" t="n">
        <v>1658.317874813908</v>
      </c>
      <c r="T174" t="n">
        <v>115434.1063413675</v>
      </c>
      <c r="U174" t="n">
        <v>0</v>
      </c>
      <c r="V174" t="n">
        <v>0</v>
      </c>
      <c r="W174" t="inlineStr">
        <is>
          <t>SAESA</t>
        </is>
      </c>
      <c r="X174" t="n">
        <v>79.19130285958499</v>
      </c>
      <c r="Y174" t="n">
        <v>115.4341063413675</v>
      </c>
      <c r="Z174" t="n">
        <v>131324.3530618516</v>
      </c>
      <c r="AA174" t="n">
        <v>0</v>
      </c>
      <c r="AB174" t="n">
        <v>0</v>
      </c>
      <c r="AC174" t="n">
        <v>0</v>
      </c>
      <c r="AD174" s="2" t="n">
        <v>44166</v>
      </c>
    </row>
    <row r="175">
      <c r="A175" t="n">
        <v>-1</v>
      </c>
      <c r="B175" t="inlineStr">
        <is>
          <t>01-12-2020</t>
        </is>
      </c>
      <c r="C175" t="n">
        <v>2020</v>
      </c>
      <c r="D175" t="n">
        <v>12</v>
      </c>
      <c r="E175" t="inlineStr">
        <is>
          <t>La Union 1 023</t>
        </is>
      </c>
      <c r="F175" t="inlineStr">
        <is>
          <t>SAESA</t>
        </is>
      </c>
      <c r="G175" t="inlineStr">
        <is>
          <t>SAESA</t>
        </is>
      </c>
      <c r="H175" t="inlineStr">
        <is>
          <t>Empresa Eléctrica Carén S.A.</t>
        </is>
      </c>
      <c r="I175" t="inlineStr">
        <is>
          <t>Empresa Eléctrica Carén S.A.</t>
        </is>
      </c>
      <c r="J175" t="inlineStr">
        <is>
          <t>SIC 2013/03_2_BS1A_BB_Saesa_Empresa Eléctrica Carén S.A.</t>
        </is>
      </c>
      <c r="K175" t="inlineStr">
        <is>
          <t>La Union 1 023</t>
        </is>
      </c>
      <c r="L175" t="inlineStr">
        <is>
          <t>-1</t>
        </is>
      </c>
      <c r="M175" t="n">
        <v>1677.511050508588</v>
      </c>
      <c r="N175" t="n">
        <v>0</v>
      </c>
      <c r="O175" t="inlineStr">
        <is>
          <t>6</t>
        </is>
      </c>
      <c r="P175" s="2" t="n">
        <v>44659.60028225694</v>
      </c>
      <c r="Q175" t="n">
        <v>6</v>
      </c>
      <c r="R175" t="inlineStr">
        <is>
          <t>MELIPULLI 220</t>
        </is>
      </c>
      <c r="S175" t="n">
        <v>21.02182483388844</v>
      </c>
      <c r="T175" t="n">
        <v>1456.565705667301</v>
      </c>
      <c r="U175" t="n">
        <v>0</v>
      </c>
      <c r="V175" t="n">
        <v>0</v>
      </c>
      <c r="W175" t="inlineStr">
        <is>
          <t>SAESA</t>
        </is>
      </c>
      <c r="X175" t="n">
        <v>78.826236570774</v>
      </c>
      <c r="Y175" t="n">
        <v>1.456565705667301</v>
      </c>
      <c r="Z175" t="n">
        <v>1657.071337505462</v>
      </c>
      <c r="AA175" t="n">
        <v>0</v>
      </c>
      <c r="AB175" t="n">
        <v>0</v>
      </c>
      <c r="AC175" t="n">
        <v>0</v>
      </c>
      <c r="AD175" s="2" t="n">
        <v>44166</v>
      </c>
    </row>
    <row r="176">
      <c r="A176" t="n">
        <v>-1</v>
      </c>
      <c r="B176" t="inlineStr">
        <is>
          <t>01-12-2020</t>
        </is>
      </c>
      <c r="C176" t="n">
        <v>2020</v>
      </c>
      <c r="D176" t="n">
        <v>12</v>
      </c>
      <c r="E176" t="inlineStr">
        <is>
          <t>La Union 1 023</t>
        </is>
      </c>
      <c r="F176" t="inlineStr">
        <is>
          <t>SAESA</t>
        </is>
      </c>
      <c r="G176" t="inlineStr">
        <is>
          <t>SAESA</t>
        </is>
      </c>
      <c r="H176" t="inlineStr">
        <is>
          <t>Empresa Eléctrica Carén S.A.</t>
        </is>
      </c>
      <c r="I176" t="inlineStr">
        <is>
          <t>Empresa Eléctrica Carén S.A.</t>
        </is>
      </c>
      <c r="J176" t="inlineStr">
        <is>
          <t>SIC 2013/03_2_BS1A_BB_Saesa_Empresa Eléctrica Carén S.A.</t>
        </is>
      </c>
      <c r="K176" t="inlineStr">
        <is>
          <t>La Union 1 023</t>
        </is>
      </c>
      <c r="L176" t="inlineStr">
        <is>
          <t>-1</t>
        </is>
      </c>
      <c r="M176" t="n">
        <v>1677.511050508588</v>
      </c>
      <c r="N176" t="n">
        <v>0</v>
      </c>
      <c r="O176" t="inlineStr">
        <is>
          <t>6</t>
        </is>
      </c>
      <c r="P176" s="2" t="n">
        <v>44659.60028225694</v>
      </c>
      <c r="Q176" t="n">
        <v>17</v>
      </c>
      <c r="R176" t="inlineStr">
        <is>
          <t>VALDIVIA 220</t>
        </is>
      </c>
      <c r="S176" t="n">
        <v>25.98309006654041</v>
      </c>
      <c r="T176" t="n">
        <v>1959.81027330403</v>
      </c>
      <c r="U176" t="n">
        <v>0</v>
      </c>
      <c r="V176" t="n">
        <v>0</v>
      </c>
      <c r="W176" t="inlineStr">
        <is>
          <t>SAESA</t>
        </is>
      </c>
      <c r="X176" t="n">
        <v>85.80929939057698</v>
      </c>
      <c r="Y176" t="n">
        <v>1.959810273304029</v>
      </c>
      <c r="Z176" t="n">
        <v>2229.590754612093</v>
      </c>
      <c r="AA176" t="n">
        <v>0</v>
      </c>
      <c r="AB176" t="n">
        <v>0</v>
      </c>
      <c r="AC176" t="n">
        <v>0</v>
      </c>
      <c r="AD176" s="2" t="n">
        <v>44166</v>
      </c>
    </row>
    <row r="177">
      <c r="A177" t="n">
        <v>-1</v>
      </c>
      <c r="B177" t="inlineStr">
        <is>
          <t>01-12-2020</t>
        </is>
      </c>
      <c r="C177" t="n">
        <v>2020</v>
      </c>
      <c r="D177" t="n">
        <v>12</v>
      </c>
      <c r="E177" t="inlineStr">
        <is>
          <t>Loncoche 13.2</t>
        </is>
      </c>
      <c r="F177" t="inlineStr">
        <is>
          <t>SAESA</t>
        </is>
      </c>
      <c r="G177" t="inlineStr">
        <is>
          <t>SAESA</t>
        </is>
      </c>
      <c r="H177" t="inlineStr">
        <is>
          <t>Empresa Eléctrica Carén S.A.</t>
        </is>
      </c>
      <c r="I177" t="inlineStr">
        <is>
          <t>Empresa Eléctrica Carén S.A.</t>
        </is>
      </c>
      <c r="J177" t="inlineStr">
        <is>
          <t>SIC 2013/03_2_BS1A_BB_Saesa_Empresa Eléctrica Carén S.A.</t>
        </is>
      </c>
      <c r="K177" t="inlineStr">
        <is>
          <t>Loncoche 13.2</t>
        </is>
      </c>
      <c r="L177" t="inlineStr">
        <is>
          <t>-1</t>
        </is>
      </c>
      <c r="M177" t="n">
        <v>1667.475850671789</v>
      </c>
      <c r="N177" t="n">
        <v>0</v>
      </c>
      <c r="O177" t="inlineStr">
        <is>
          <t>5</t>
        </is>
      </c>
      <c r="P177" s="2" t="n">
        <v>44659.60028225694</v>
      </c>
      <c r="Q177" t="n">
        <v>14</v>
      </c>
      <c r="R177" t="inlineStr">
        <is>
          <t>CAUTÍN 220</t>
        </is>
      </c>
      <c r="S177" t="n">
        <v>501.3436668601219</v>
      </c>
      <c r="T177" t="n">
        <v>38462.17130734235</v>
      </c>
      <c r="U177" t="n">
        <v>0</v>
      </c>
      <c r="V177" t="n">
        <v>0</v>
      </c>
      <c r="W177" t="inlineStr">
        <is>
          <t>SAESA</t>
        </is>
      </c>
      <c r="X177" t="n">
        <v>87.27892522788599</v>
      </c>
      <c r="Y177" t="n">
        <v>38.46217130734235</v>
      </c>
      <c r="Z177" t="n">
        <v>43756.73641335876</v>
      </c>
      <c r="AA177" t="n">
        <v>0</v>
      </c>
      <c r="AB177" t="n">
        <v>0</v>
      </c>
      <c r="AC177" t="n">
        <v>0</v>
      </c>
      <c r="AD177" s="2" t="n">
        <v>44166</v>
      </c>
    </row>
    <row r="178">
      <c r="A178" t="n">
        <v>-1</v>
      </c>
      <c r="B178" t="inlineStr">
        <is>
          <t>01-12-2020</t>
        </is>
      </c>
      <c r="C178" t="n">
        <v>2020</v>
      </c>
      <c r="D178" t="n">
        <v>12</v>
      </c>
      <c r="E178" t="inlineStr">
        <is>
          <t>Loncoche 13.2</t>
        </is>
      </c>
      <c r="F178" t="inlineStr">
        <is>
          <t>SAESA</t>
        </is>
      </c>
      <c r="G178" t="inlineStr">
        <is>
          <t>SAESA</t>
        </is>
      </c>
      <c r="H178" t="inlineStr">
        <is>
          <t>Empresa Eléctrica Carén S.A.</t>
        </is>
      </c>
      <c r="I178" t="inlineStr">
        <is>
          <t>Empresa Eléctrica Carén S.A.</t>
        </is>
      </c>
      <c r="J178" t="inlineStr">
        <is>
          <t>SIC 2013/03_2_BS1A_BB_Saesa_Empresa Eléctrica Carén S.A.</t>
        </is>
      </c>
      <c r="K178" t="inlineStr">
        <is>
          <t>Loncoche 13.2</t>
        </is>
      </c>
      <c r="L178" t="inlineStr">
        <is>
          <t>-1</t>
        </is>
      </c>
      <c r="M178" t="n">
        <v>1667.475850671789</v>
      </c>
      <c r="N178" t="n">
        <v>0</v>
      </c>
      <c r="O178" t="inlineStr">
        <is>
          <t>5</t>
        </is>
      </c>
      <c r="P178" s="2" t="n">
        <v>44659.60028225694</v>
      </c>
      <c r="Q178" t="n">
        <v>4</v>
      </c>
      <c r="R178" t="inlineStr">
        <is>
          <t>TEMUCO 220</t>
        </is>
      </c>
      <c r="S178" t="n">
        <v>1207.133695812084</v>
      </c>
      <c r="T178" t="n">
        <v>92231.6657234208</v>
      </c>
      <c r="U178" t="n">
        <v>0</v>
      </c>
      <c r="V178" t="n">
        <v>0</v>
      </c>
      <c r="W178" t="inlineStr">
        <is>
          <t>SAESA</t>
        </is>
      </c>
      <c r="X178" t="n">
        <v>86.92321962114001</v>
      </c>
      <c r="Y178" t="n">
        <v>92.2316657234208</v>
      </c>
      <c r="Z178" t="n">
        <v>104927.9473531522</v>
      </c>
      <c r="AA178" t="n">
        <v>0</v>
      </c>
      <c r="AB178" t="n">
        <v>0</v>
      </c>
      <c r="AC178" t="n">
        <v>0</v>
      </c>
      <c r="AD178" s="2" t="n">
        <v>44166</v>
      </c>
    </row>
    <row r="179">
      <c r="A179" t="n">
        <v>-1</v>
      </c>
      <c r="B179" t="inlineStr">
        <is>
          <t>01-12-2020</t>
        </is>
      </c>
      <c r="C179" t="n">
        <v>2020</v>
      </c>
      <c r="D179" t="n">
        <v>12</v>
      </c>
      <c r="E179" t="inlineStr">
        <is>
          <t>Los Lagos 13.8</t>
        </is>
      </c>
      <c r="F179" t="inlineStr">
        <is>
          <t>SAESA</t>
        </is>
      </c>
      <c r="G179" t="inlineStr">
        <is>
          <t>SAESA</t>
        </is>
      </c>
      <c r="H179" t="inlineStr">
        <is>
          <t>Empresa Eléctrica Carén S.A.</t>
        </is>
      </c>
      <c r="I179" t="inlineStr">
        <is>
          <t>Empresa Eléctrica Carén S.A.</t>
        </is>
      </c>
      <c r="J179" t="inlineStr">
        <is>
          <t>SIC 2013/03_2_BS1A_BB_Saesa_Empresa Eléctrica Carén S.A.</t>
        </is>
      </c>
      <c r="K179" t="inlineStr">
        <is>
          <t>Los Lagos 13.8</t>
        </is>
      </c>
      <c r="L179" t="inlineStr">
        <is>
          <t>-1</t>
        </is>
      </c>
      <c r="M179" t="n">
        <v>619.6313549618627</v>
      </c>
      <c r="N179" t="n">
        <v>0</v>
      </c>
      <c r="O179" t="inlineStr">
        <is>
          <t>6</t>
        </is>
      </c>
      <c r="P179" s="2" t="n">
        <v>44659.60028225694</v>
      </c>
      <c r="Q179" t="n">
        <v>15</v>
      </c>
      <c r="R179" t="inlineStr">
        <is>
          <t>BARRO BLANCO 220</t>
        </is>
      </c>
      <c r="S179" t="n">
        <v>167.1100522068292</v>
      </c>
      <c r="T179" t="n">
        <v>11632.38956181383</v>
      </c>
      <c r="U179" t="n">
        <v>0</v>
      </c>
      <c r="V179" t="n">
        <v>0</v>
      </c>
      <c r="W179" t="inlineStr">
        <is>
          <t>SAESA</t>
        </is>
      </c>
      <c r="X179" t="n">
        <v>79.19130285958501</v>
      </c>
      <c r="Y179" t="n">
        <v>11.63238956181383</v>
      </c>
      <c r="Z179" t="n">
        <v>13233.66275519207</v>
      </c>
      <c r="AA179" t="n">
        <v>0</v>
      </c>
      <c r="AB179" t="n">
        <v>0</v>
      </c>
      <c r="AC179" t="n">
        <v>0</v>
      </c>
      <c r="AD179" s="2" t="n">
        <v>44166</v>
      </c>
    </row>
    <row r="180">
      <c r="A180" t="n">
        <v>-1</v>
      </c>
      <c r="B180" t="inlineStr">
        <is>
          <t>01-12-2020</t>
        </is>
      </c>
      <c r="C180" t="n">
        <v>2020</v>
      </c>
      <c r="D180" t="n">
        <v>12</v>
      </c>
      <c r="E180" t="inlineStr">
        <is>
          <t>Los Lagos 13.8</t>
        </is>
      </c>
      <c r="F180" t="inlineStr">
        <is>
          <t>SAESA</t>
        </is>
      </c>
      <c r="G180" t="inlineStr">
        <is>
          <t>SAESA</t>
        </is>
      </c>
      <c r="H180" t="inlineStr">
        <is>
          <t>Empresa Eléctrica Carén S.A.</t>
        </is>
      </c>
      <c r="I180" t="inlineStr">
        <is>
          <t>Empresa Eléctrica Carén S.A.</t>
        </is>
      </c>
      <c r="J180" t="inlineStr">
        <is>
          <t>SIC 2013/03_2_BS1A_BB_Saesa_Empresa Eléctrica Carén S.A.</t>
        </is>
      </c>
      <c r="K180" t="inlineStr">
        <is>
          <t>Los Lagos 13.8</t>
        </is>
      </c>
      <c r="L180" t="inlineStr">
        <is>
          <t>-1</t>
        </is>
      </c>
      <c r="M180" t="n">
        <v>619.6313549618627</v>
      </c>
      <c r="N180" t="n">
        <v>0</v>
      </c>
      <c r="O180" t="inlineStr">
        <is>
          <t>6</t>
        </is>
      </c>
      <c r="P180" s="2" t="n">
        <v>44659.60028225694</v>
      </c>
      <c r="Q180" t="n">
        <v>6</v>
      </c>
      <c r="R180" t="inlineStr">
        <is>
          <t>MELIPULLI 220</t>
        </is>
      </c>
      <c r="S180" t="n">
        <v>2.335609591439045</v>
      </c>
      <c r="T180" t="n">
        <v>161.830329174542</v>
      </c>
      <c r="U180" t="n">
        <v>0</v>
      </c>
      <c r="V180" t="n">
        <v>0</v>
      </c>
      <c r="W180" t="inlineStr">
        <is>
          <t>SAESA</t>
        </is>
      </c>
      <c r="X180" t="n">
        <v>78.82623657077399</v>
      </c>
      <c r="Y180" t="n">
        <v>0.161830329174542</v>
      </c>
      <c r="Z180" t="n">
        <v>184.1073141917429</v>
      </c>
      <c r="AA180" t="n">
        <v>0</v>
      </c>
      <c r="AB180" t="n">
        <v>0</v>
      </c>
      <c r="AC180" t="n">
        <v>0</v>
      </c>
      <c r="AD180" s="2" t="n">
        <v>44166</v>
      </c>
    </row>
    <row r="181">
      <c r="A181" t="n">
        <v>-1</v>
      </c>
      <c r="B181" t="inlineStr">
        <is>
          <t>01-12-2020</t>
        </is>
      </c>
      <c r="C181" t="n">
        <v>2020</v>
      </c>
      <c r="D181" t="n">
        <v>12</v>
      </c>
      <c r="E181" t="inlineStr">
        <is>
          <t>Los Lagos 13.8</t>
        </is>
      </c>
      <c r="F181" t="inlineStr">
        <is>
          <t>SAESA</t>
        </is>
      </c>
      <c r="G181" t="inlineStr">
        <is>
          <t>SAESA</t>
        </is>
      </c>
      <c r="H181" t="inlineStr">
        <is>
          <t>Empresa Eléctrica Carén S.A.</t>
        </is>
      </c>
      <c r="I181" t="inlineStr">
        <is>
          <t>Empresa Eléctrica Carén S.A.</t>
        </is>
      </c>
      <c r="J181" t="inlineStr">
        <is>
          <t>SIC 2013/03_2_BS1A_BB_Saesa_Empresa Eléctrica Carén S.A.</t>
        </is>
      </c>
      <c r="K181" t="inlineStr">
        <is>
          <t>Los Lagos 13.8</t>
        </is>
      </c>
      <c r="L181" t="inlineStr">
        <is>
          <t>-1</t>
        </is>
      </c>
      <c r="M181" t="n">
        <v>619.6313549618627</v>
      </c>
      <c r="N181" t="n">
        <v>0</v>
      </c>
      <c r="O181" t="inlineStr">
        <is>
          <t>6</t>
        </is>
      </c>
      <c r="P181" s="2" t="n">
        <v>44659.60028225694</v>
      </c>
      <c r="Q181" t="n">
        <v>17</v>
      </c>
      <c r="R181" t="inlineStr">
        <is>
          <t>VALDIVIA 220</t>
        </is>
      </c>
      <c r="S181" t="n">
        <v>460.458666115206</v>
      </c>
      <c r="T181" t="n">
        <v>34730.72763760792</v>
      </c>
      <c r="U181" t="n">
        <v>0</v>
      </c>
      <c r="V181" t="n">
        <v>0</v>
      </c>
      <c r="W181" t="inlineStr">
        <is>
          <t>SAESA</t>
        </is>
      </c>
      <c r="X181" t="n">
        <v>85.809299390577</v>
      </c>
      <c r="Y181" t="n">
        <v>34.73072763760793</v>
      </c>
      <c r="Z181" t="n">
        <v>39511.63553766544</v>
      </c>
      <c r="AA181" t="n">
        <v>0</v>
      </c>
      <c r="AB181" t="n">
        <v>0</v>
      </c>
      <c r="AC181" t="n">
        <v>0</v>
      </c>
      <c r="AD181" s="2" t="n">
        <v>44166</v>
      </c>
    </row>
    <row r="182">
      <c r="A182" t="n">
        <v>-1</v>
      </c>
      <c r="B182" t="inlineStr">
        <is>
          <t>01-12-2020</t>
        </is>
      </c>
      <c r="C182" t="n">
        <v>2020</v>
      </c>
      <c r="D182" t="n">
        <v>12</v>
      </c>
      <c r="E182" t="inlineStr">
        <is>
          <t>Los Tambores 023</t>
        </is>
      </c>
      <c r="F182" t="inlineStr">
        <is>
          <t>SAESA</t>
        </is>
      </c>
      <c r="G182" t="inlineStr">
        <is>
          <t>SAESA</t>
        </is>
      </c>
      <c r="H182" t="inlineStr">
        <is>
          <t>Empresa Eléctrica Carén S.A.</t>
        </is>
      </c>
      <c r="I182" t="inlineStr">
        <is>
          <t>Empresa Eléctrica Carén S.A.</t>
        </is>
      </c>
      <c r="J182" t="inlineStr">
        <is>
          <t>SIC 2013/03_2_BS1A_BB_Saesa_Empresa Eléctrica Carén S.A.</t>
        </is>
      </c>
      <c r="K182" t="inlineStr">
        <is>
          <t>Los Tambores 023</t>
        </is>
      </c>
      <c r="L182" t="inlineStr">
        <is>
          <t>-1</t>
        </is>
      </c>
      <c r="M182" t="n">
        <v>1353.386177879388</v>
      </c>
      <c r="N182" t="n">
        <v>0</v>
      </c>
      <c r="O182" t="inlineStr">
        <is>
          <t>6</t>
        </is>
      </c>
      <c r="P182" s="2" t="n">
        <v>44659.60028225694</v>
      </c>
      <c r="Q182" t="n">
        <v>15</v>
      </c>
      <c r="R182" t="inlineStr">
        <is>
          <t>BARRO BLANCO 220</t>
        </is>
      </c>
      <c r="S182" t="n">
        <v>1342.215202836111</v>
      </c>
      <c r="T182" t="n">
        <v>93430.46638423919</v>
      </c>
      <c r="U182" t="n">
        <v>0</v>
      </c>
      <c r="V182" t="n">
        <v>0</v>
      </c>
      <c r="W182" t="inlineStr">
        <is>
          <t>SAESA</t>
        </is>
      </c>
      <c r="X182" t="n">
        <v>79.19130285958499</v>
      </c>
      <c r="Y182" t="n">
        <v>93.4304663842392</v>
      </c>
      <c r="Z182" t="n">
        <v>106291.7706305338</v>
      </c>
      <c r="AA182" t="n">
        <v>0</v>
      </c>
      <c r="AB182" t="n">
        <v>0</v>
      </c>
      <c r="AC182" t="n">
        <v>0</v>
      </c>
      <c r="AD182" s="2" t="n">
        <v>44166</v>
      </c>
    </row>
    <row r="183">
      <c r="A183" t="n">
        <v>-1</v>
      </c>
      <c r="B183" t="inlineStr">
        <is>
          <t>01-12-2020</t>
        </is>
      </c>
      <c r="C183" t="n">
        <v>2020</v>
      </c>
      <c r="D183" t="n">
        <v>12</v>
      </c>
      <c r="E183" t="inlineStr">
        <is>
          <t>Los Tambores 023</t>
        </is>
      </c>
      <c r="F183" t="inlineStr">
        <is>
          <t>SAESA</t>
        </is>
      </c>
      <c r="G183" t="inlineStr">
        <is>
          <t>SAESA</t>
        </is>
      </c>
      <c r="H183" t="inlineStr">
        <is>
          <t>Empresa Eléctrica Carén S.A.</t>
        </is>
      </c>
      <c r="I183" t="inlineStr">
        <is>
          <t>Empresa Eléctrica Carén S.A.</t>
        </is>
      </c>
      <c r="J183" t="inlineStr">
        <is>
          <t>SIC 2013/03_2_BS1A_BB_Saesa_Empresa Eléctrica Carén S.A.</t>
        </is>
      </c>
      <c r="K183" t="inlineStr">
        <is>
          <t>Los Tambores 023</t>
        </is>
      </c>
      <c r="L183" t="inlineStr">
        <is>
          <t>-1</t>
        </is>
      </c>
      <c r="M183" t="n">
        <v>1353.386177879388</v>
      </c>
      <c r="N183" t="n">
        <v>0</v>
      </c>
      <c r="O183" t="inlineStr">
        <is>
          <t>6</t>
        </is>
      </c>
      <c r="P183" s="2" t="n">
        <v>44659.60028225694</v>
      </c>
      <c r="Q183" t="n">
        <v>6</v>
      </c>
      <c r="R183" t="inlineStr">
        <is>
          <t>MELIPULLI 220</t>
        </is>
      </c>
      <c r="S183" t="n">
        <v>17.0137278569074</v>
      </c>
      <c r="T183" t="n">
        <v>1178.851632422429</v>
      </c>
      <c r="U183" t="n">
        <v>0</v>
      </c>
      <c r="V183" t="n">
        <v>0</v>
      </c>
      <c r="W183" t="inlineStr">
        <is>
          <t>SAESA</t>
        </is>
      </c>
      <c r="X183" t="n">
        <v>78.826236570774</v>
      </c>
      <c r="Y183" t="n">
        <v>1.178851632422429</v>
      </c>
      <c r="Z183" t="n">
        <v>1341.128136999351</v>
      </c>
      <c r="AA183" t="n">
        <v>0</v>
      </c>
      <c r="AB183" t="n">
        <v>0</v>
      </c>
      <c r="AC183" t="n">
        <v>0</v>
      </c>
      <c r="AD183" s="2" t="n">
        <v>44166</v>
      </c>
    </row>
    <row r="184">
      <c r="A184" t="n">
        <v>-1</v>
      </c>
      <c r="B184" t="inlineStr">
        <is>
          <t>01-12-2020</t>
        </is>
      </c>
      <c r="C184" t="n">
        <v>2020</v>
      </c>
      <c r="D184" t="n">
        <v>12</v>
      </c>
      <c r="E184" t="inlineStr">
        <is>
          <t>Los Tambores 023</t>
        </is>
      </c>
      <c r="F184" t="inlineStr">
        <is>
          <t>SAESA</t>
        </is>
      </c>
      <c r="G184" t="inlineStr">
        <is>
          <t>SAESA</t>
        </is>
      </c>
      <c r="H184" t="inlineStr">
        <is>
          <t>Empresa Eléctrica Carén S.A.</t>
        </is>
      </c>
      <c r="I184" t="inlineStr">
        <is>
          <t>Empresa Eléctrica Carén S.A.</t>
        </is>
      </c>
      <c r="J184" t="inlineStr">
        <is>
          <t>SIC 2013/03_2_BS1A_BB_Saesa_Empresa Eléctrica Carén S.A.</t>
        </is>
      </c>
      <c r="K184" t="inlineStr">
        <is>
          <t>Los Tambores 023</t>
        </is>
      </c>
      <c r="L184" t="inlineStr">
        <is>
          <t>-1</t>
        </is>
      </c>
      <c r="M184" t="n">
        <v>1353.386177879388</v>
      </c>
      <c r="N184" t="n">
        <v>0</v>
      </c>
      <c r="O184" t="inlineStr">
        <is>
          <t>6</t>
        </is>
      </c>
      <c r="P184" s="2" t="n">
        <v>44659.60028225694</v>
      </c>
      <c r="Q184" t="n">
        <v>17</v>
      </c>
      <c r="R184" t="inlineStr">
        <is>
          <t>VALDIVIA 220</t>
        </is>
      </c>
      <c r="S184" t="n">
        <v>16.59526535169608</v>
      </c>
      <c r="T184" t="n">
        <v>1251.720693773157</v>
      </c>
      <c r="U184" t="n">
        <v>0</v>
      </c>
      <c r="V184" t="n">
        <v>0</v>
      </c>
      <c r="W184" t="inlineStr">
        <is>
          <t>SAESA</t>
        </is>
      </c>
      <c r="X184" t="n">
        <v>85.80929939057698</v>
      </c>
      <c r="Y184" t="n">
        <v>1.251720693773157</v>
      </c>
      <c r="Z184" t="n">
        <v>1424.028093029758</v>
      </c>
      <c r="AA184" t="n">
        <v>0</v>
      </c>
      <c r="AB184" t="n">
        <v>0</v>
      </c>
      <c r="AC184" t="n">
        <v>0</v>
      </c>
      <c r="AD184" s="2" t="n">
        <v>44166</v>
      </c>
    </row>
    <row r="185">
      <c r="A185" t="n">
        <v>-1</v>
      </c>
      <c r="B185" t="inlineStr">
        <is>
          <t>01-12-2020</t>
        </is>
      </c>
      <c r="C185" t="n">
        <v>2020</v>
      </c>
      <c r="D185" t="n">
        <v>12</v>
      </c>
      <c r="E185" t="inlineStr">
        <is>
          <t>Mariquina 023</t>
        </is>
      </c>
      <c r="F185" t="inlineStr">
        <is>
          <t>SAESA</t>
        </is>
      </c>
      <c r="G185" t="inlineStr">
        <is>
          <t>SAESA</t>
        </is>
      </c>
      <c r="H185" t="inlineStr">
        <is>
          <t>Empresa Eléctrica Carén S.A.</t>
        </is>
      </c>
      <c r="I185" t="inlineStr">
        <is>
          <t>Empresa Eléctrica Carén S.A.</t>
        </is>
      </c>
      <c r="J185" t="inlineStr">
        <is>
          <t>SIC 2013/03_2_BS1A_BB_Saesa_Empresa Eléctrica Carén S.A.</t>
        </is>
      </c>
      <c r="K185" t="inlineStr">
        <is>
          <t>Mariquina 023</t>
        </is>
      </c>
      <c r="L185" t="inlineStr">
        <is>
          <t>-1</t>
        </is>
      </c>
      <c r="M185" t="n">
        <v>1323.976930538923</v>
      </c>
      <c r="N185" t="n">
        <v>0</v>
      </c>
      <c r="O185" t="inlineStr">
        <is>
          <t>6</t>
        </is>
      </c>
      <c r="P185" s="2" t="n">
        <v>44659.60028225694</v>
      </c>
      <c r="Q185" t="n">
        <v>1</v>
      </c>
      <c r="R185" t="inlineStr">
        <is>
          <t>LOS CIRUELOS 220</t>
        </is>
      </c>
      <c r="S185" t="n">
        <v>1345.927367822429</v>
      </c>
      <c r="T185" t="n">
        <v>98993.47311671644</v>
      </c>
      <c r="U185" t="n">
        <v>0</v>
      </c>
      <c r="V185" t="n">
        <v>0</v>
      </c>
      <c r="W185" t="inlineStr">
        <is>
          <t>SAESA</t>
        </is>
      </c>
      <c r="X185" t="n">
        <v>83.675065750101</v>
      </c>
      <c r="Y185" t="n">
        <v>98.99347311671644</v>
      </c>
      <c r="Z185" t="n">
        <v>112620.5609974021</v>
      </c>
      <c r="AA185" t="n">
        <v>0</v>
      </c>
      <c r="AB185" t="n">
        <v>0</v>
      </c>
      <c r="AC185" t="n">
        <v>0</v>
      </c>
      <c r="AD185" s="2" t="n">
        <v>44166</v>
      </c>
    </row>
    <row r="186">
      <c r="A186" t="n">
        <v>-1</v>
      </c>
      <c r="B186" t="inlineStr">
        <is>
          <t>01-12-2020</t>
        </is>
      </c>
      <c r="C186" t="n">
        <v>2020</v>
      </c>
      <c r="D186" t="n">
        <v>12</v>
      </c>
      <c r="E186" t="inlineStr">
        <is>
          <t>Melipulli 023</t>
        </is>
      </c>
      <c r="F186" t="inlineStr">
        <is>
          <t>SAESA</t>
        </is>
      </c>
      <c r="G186" t="inlineStr">
        <is>
          <t>SAESA</t>
        </is>
      </c>
      <c r="H186" t="inlineStr">
        <is>
          <t>Empresa Eléctrica Carén S.A.</t>
        </is>
      </c>
      <c r="I186" t="inlineStr">
        <is>
          <t>Empresa Eléctrica Carén S.A.</t>
        </is>
      </c>
      <c r="J186" t="inlineStr">
        <is>
          <t>SIC 2013/03_2_BS1A_BB_Saesa_Empresa Eléctrica Carén S.A.</t>
        </is>
      </c>
      <c r="K186" t="inlineStr">
        <is>
          <t>Melipulli 023</t>
        </is>
      </c>
      <c r="L186" t="inlineStr">
        <is>
          <t>-1</t>
        </is>
      </c>
      <c r="M186" t="n">
        <v>15216.54727532853</v>
      </c>
      <c r="N186" t="n">
        <v>0</v>
      </c>
      <c r="O186" t="inlineStr">
        <is>
          <t>6</t>
        </is>
      </c>
      <c r="P186" s="2" t="n">
        <v>44659.60028225694</v>
      </c>
      <c r="Q186" t="n">
        <v>6</v>
      </c>
      <c r="R186" t="inlineStr">
        <is>
          <t>MELIPULLI 220</t>
        </is>
      </c>
      <c r="S186" t="n">
        <v>15468.82498420269</v>
      </c>
      <c r="T186" t="n">
        <v>1071807.997497785</v>
      </c>
      <c r="U186" t="n">
        <v>0</v>
      </c>
      <c r="V186" t="n">
        <v>0</v>
      </c>
      <c r="W186" t="inlineStr">
        <is>
          <t>SAESA</t>
        </is>
      </c>
      <c r="X186" t="n">
        <v>78.826236570774</v>
      </c>
      <c r="Y186" t="n">
        <v>1071.807997497785</v>
      </c>
      <c r="Z186" t="n">
        <v>1219349.257676661</v>
      </c>
      <c r="AA186" t="n">
        <v>0</v>
      </c>
      <c r="AB186" t="n">
        <v>0</v>
      </c>
      <c r="AC186" t="n">
        <v>0</v>
      </c>
      <c r="AD186" s="2" t="n">
        <v>44166</v>
      </c>
    </row>
    <row r="187">
      <c r="A187" t="n">
        <v>-1</v>
      </c>
      <c r="B187" t="inlineStr">
        <is>
          <t>01-12-2020</t>
        </is>
      </c>
      <c r="C187" t="n">
        <v>2020</v>
      </c>
      <c r="D187" t="n">
        <v>12</v>
      </c>
      <c r="E187" t="inlineStr">
        <is>
          <t>Osorno 13.8</t>
        </is>
      </c>
      <c r="F187" t="inlineStr">
        <is>
          <t>SAESA</t>
        </is>
      </c>
      <c r="G187" t="inlineStr">
        <is>
          <t>SAESA</t>
        </is>
      </c>
      <c r="H187" t="inlineStr">
        <is>
          <t>Empresa Eléctrica Carén S.A.</t>
        </is>
      </c>
      <c r="I187" t="inlineStr">
        <is>
          <t>Empresa Eléctrica Carén S.A.</t>
        </is>
      </c>
      <c r="J187" t="inlineStr">
        <is>
          <t>SIC 2013/03_2_BS1A_BB_Saesa_Empresa Eléctrica Carén S.A.</t>
        </is>
      </c>
      <c r="K187" t="inlineStr">
        <is>
          <t>Osorno 13.8</t>
        </is>
      </c>
      <c r="L187" t="inlineStr">
        <is>
          <t>-1</t>
        </is>
      </c>
      <c r="M187" t="n">
        <v>7749.774496047028</v>
      </c>
      <c r="N187" t="n">
        <v>0</v>
      </c>
      <c r="O187" t="inlineStr">
        <is>
          <t>6</t>
        </is>
      </c>
      <c r="P187" s="2" t="n">
        <v>44659.60028225694</v>
      </c>
      <c r="Q187" t="n">
        <v>15</v>
      </c>
      <c r="R187" t="inlineStr">
        <is>
          <t>BARRO BLANCO 220</t>
        </is>
      </c>
      <c r="S187" t="n">
        <v>7745.37137013148</v>
      </c>
      <c r="T187" t="n">
        <v>539148.7578902639</v>
      </c>
      <c r="U187" t="n">
        <v>0</v>
      </c>
      <c r="V187" t="n">
        <v>0</v>
      </c>
      <c r="W187" t="inlineStr">
        <is>
          <t>SAESA</t>
        </is>
      </c>
      <c r="X187" t="n">
        <v>79.19130285958499</v>
      </c>
      <c r="Y187" t="n">
        <v>539.1487578902639</v>
      </c>
      <c r="Z187" t="n">
        <v>613366.0499320409</v>
      </c>
      <c r="AA187" t="n">
        <v>0</v>
      </c>
      <c r="AB187" t="n">
        <v>0</v>
      </c>
      <c r="AC187" t="n">
        <v>0</v>
      </c>
      <c r="AD187" s="2" t="n">
        <v>44166</v>
      </c>
    </row>
    <row r="188">
      <c r="A188" t="n">
        <v>-1</v>
      </c>
      <c r="B188" t="inlineStr">
        <is>
          <t>01-12-2020</t>
        </is>
      </c>
      <c r="C188" t="n">
        <v>2020</v>
      </c>
      <c r="D188" t="n">
        <v>12</v>
      </c>
      <c r="E188" t="inlineStr">
        <is>
          <t>Osorno 13.8</t>
        </is>
      </c>
      <c r="F188" t="inlineStr">
        <is>
          <t>SAESA</t>
        </is>
      </c>
      <c r="G188" t="inlineStr">
        <is>
          <t>SAESA</t>
        </is>
      </c>
      <c r="H188" t="inlineStr">
        <is>
          <t>Empresa Eléctrica Carén S.A.</t>
        </is>
      </c>
      <c r="I188" t="inlineStr">
        <is>
          <t>Empresa Eléctrica Carén S.A.</t>
        </is>
      </c>
      <c r="J188" t="inlineStr">
        <is>
          <t>SIC 2013/03_2_BS1A_BB_Saesa_Empresa Eléctrica Carén S.A.</t>
        </is>
      </c>
      <c r="K188" t="inlineStr">
        <is>
          <t>Osorno 13.8</t>
        </is>
      </c>
      <c r="L188" t="inlineStr">
        <is>
          <t>-1</t>
        </is>
      </c>
      <c r="M188" t="n">
        <v>7749.774496047028</v>
      </c>
      <c r="N188" t="n">
        <v>0</v>
      </c>
      <c r="O188" t="inlineStr">
        <is>
          <t>6</t>
        </is>
      </c>
      <c r="P188" s="2" t="n">
        <v>44659.60028225694</v>
      </c>
      <c r="Q188" t="n">
        <v>6</v>
      </c>
      <c r="R188" t="inlineStr">
        <is>
          <t>MELIPULLI 220</t>
        </is>
      </c>
      <c r="S188" t="n">
        <v>96.14391695056321</v>
      </c>
      <c r="T188" t="n">
        <v>6661.644902157244</v>
      </c>
      <c r="U188" t="n">
        <v>0</v>
      </c>
      <c r="V188" t="n">
        <v>0</v>
      </c>
      <c r="W188" t="inlineStr">
        <is>
          <t>SAESA</t>
        </is>
      </c>
      <c r="X188" t="n">
        <v>78.826236570774</v>
      </c>
      <c r="Y188" t="n">
        <v>6.661644902157245</v>
      </c>
      <c r="Z188" t="n">
        <v>7578.663142385944</v>
      </c>
      <c r="AA188" t="n">
        <v>0</v>
      </c>
      <c r="AB188" t="n">
        <v>0</v>
      </c>
      <c r="AC188" t="n">
        <v>0</v>
      </c>
      <c r="AD188" s="2" t="n">
        <v>44166</v>
      </c>
    </row>
    <row r="189">
      <c r="A189" t="n">
        <v>-1</v>
      </c>
      <c r="B189" t="inlineStr">
        <is>
          <t>01-12-2020</t>
        </is>
      </c>
      <c r="C189" t="n">
        <v>2020</v>
      </c>
      <c r="D189" t="n">
        <v>12</v>
      </c>
      <c r="E189" t="inlineStr">
        <is>
          <t>Osorno 13.8</t>
        </is>
      </c>
      <c r="F189" t="inlineStr">
        <is>
          <t>SAESA</t>
        </is>
      </c>
      <c r="G189" t="inlineStr">
        <is>
          <t>SAESA</t>
        </is>
      </c>
      <c r="H189" t="inlineStr">
        <is>
          <t>Empresa Eléctrica Carén S.A.</t>
        </is>
      </c>
      <c r="I189" t="inlineStr">
        <is>
          <t>Empresa Eléctrica Carén S.A.</t>
        </is>
      </c>
      <c r="J189" t="inlineStr">
        <is>
          <t>SIC 2013/03_2_BS1A_BB_Saesa_Empresa Eléctrica Carén S.A.</t>
        </is>
      </c>
      <c r="K189" t="inlineStr">
        <is>
          <t>Osorno 13.8</t>
        </is>
      </c>
      <c r="L189" t="inlineStr">
        <is>
          <t>-1</t>
        </is>
      </c>
      <c r="M189" t="n">
        <v>7749.774496047028</v>
      </c>
      <c r="N189" t="n">
        <v>0</v>
      </c>
      <c r="O189" t="inlineStr">
        <is>
          <t>6</t>
        </is>
      </c>
      <c r="P189" s="2" t="n">
        <v>44659.60028225694</v>
      </c>
      <c r="Q189" t="n">
        <v>17</v>
      </c>
      <c r="R189" t="inlineStr">
        <is>
          <t>VALDIVIA 220</t>
        </is>
      </c>
      <c r="S189" t="n">
        <v>36.74403004683581</v>
      </c>
      <c r="T189" t="n">
        <v>2771.468958617551</v>
      </c>
      <c r="U189" t="n">
        <v>0</v>
      </c>
      <c r="V189" t="n">
        <v>0</v>
      </c>
      <c r="W189" t="inlineStr">
        <is>
          <t>SAESA</t>
        </is>
      </c>
      <c r="X189" t="n">
        <v>85.80929939057698</v>
      </c>
      <c r="Y189" t="n">
        <v>2.77146895861755</v>
      </c>
      <c r="Z189" t="n">
        <v>3152.979475105291</v>
      </c>
      <c r="AA189" t="n">
        <v>0</v>
      </c>
      <c r="AB189" t="n">
        <v>0</v>
      </c>
      <c r="AC189" t="n">
        <v>0</v>
      </c>
      <c r="AD189" s="2" t="n">
        <v>44166</v>
      </c>
    </row>
    <row r="190">
      <c r="A190" t="n">
        <v>-1</v>
      </c>
      <c r="B190" t="inlineStr">
        <is>
          <t>01-12-2020</t>
        </is>
      </c>
      <c r="C190" t="n">
        <v>2020</v>
      </c>
      <c r="D190" t="n">
        <v>12</v>
      </c>
      <c r="E190" t="inlineStr">
        <is>
          <t>Panguipulli 023</t>
        </is>
      </c>
      <c r="F190" t="inlineStr">
        <is>
          <t>SAESA</t>
        </is>
      </c>
      <c r="G190" t="inlineStr">
        <is>
          <t>SAESA</t>
        </is>
      </c>
      <c r="H190" t="inlineStr">
        <is>
          <t>Empresa Eléctrica Carén S.A.</t>
        </is>
      </c>
      <c r="I190" t="inlineStr">
        <is>
          <t>Empresa Eléctrica Carén S.A.</t>
        </is>
      </c>
      <c r="J190" t="inlineStr">
        <is>
          <t>SIC 2013/03_2_BS1A_BB_Saesa_Empresa Eléctrica Carén S.A.</t>
        </is>
      </c>
      <c r="K190" t="inlineStr">
        <is>
          <t>Panguipulli 023</t>
        </is>
      </c>
      <c r="L190" t="inlineStr">
        <is>
          <t>-1</t>
        </is>
      </c>
      <c r="M190" t="n">
        <v>2806.659762814821</v>
      </c>
      <c r="N190" t="n">
        <v>0</v>
      </c>
      <c r="O190" t="inlineStr">
        <is>
          <t>6</t>
        </is>
      </c>
      <c r="P190" s="2" t="n">
        <v>44659.60028225694</v>
      </c>
      <c r="Q190" t="n">
        <v>15</v>
      </c>
      <c r="R190" t="inlineStr">
        <is>
          <t>BARRO BLANCO 220</t>
        </is>
      </c>
      <c r="S190" t="n">
        <v>749.6194871249342</v>
      </c>
      <c r="T190" t="n">
        <v>52180.37923040018</v>
      </c>
      <c r="U190" t="n">
        <v>0</v>
      </c>
      <c r="V190" t="n">
        <v>0</v>
      </c>
      <c r="W190" t="inlineStr">
        <is>
          <t>SAESA</t>
        </is>
      </c>
      <c r="X190" t="n">
        <v>79.19130285958499</v>
      </c>
      <c r="Y190" t="n">
        <v>52.18037923040018</v>
      </c>
      <c r="Z190" t="n">
        <v>59363.34383435743</v>
      </c>
      <c r="AA190" t="n">
        <v>0</v>
      </c>
      <c r="AB190" t="n">
        <v>0</v>
      </c>
      <c r="AC190" t="n">
        <v>0</v>
      </c>
      <c r="AD190" s="2" t="n">
        <v>44166</v>
      </c>
    </row>
    <row r="191">
      <c r="A191" t="n">
        <v>-1</v>
      </c>
      <c r="B191" t="inlineStr">
        <is>
          <t>01-12-2020</t>
        </is>
      </c>
      <c r="C191" t="n">
        <v>2020</v>
      </c>
      <c r="D191" t="n">
        <v>12</v>
      </c>
      <c r="E191" t="inlineStr">
        <is>
          <t>Panguipulli 023</t>
        </is>
      </c>
      <c r="F191" t="inlineStr">
        <is>
          <t>SAESA</t>
        </is>
      </c>
      <c r="G191" t="inlineStr">
        <is>
          <t>SAESA</t>
        </is>
      </c>
      <c r="H191" t="inlineStr">
        <is>
          <t>Empresa Eléctrica Carén S.A.</t>
        </is>
      </c>
      <c r="I191" t="inlineStr">
        <is>
          <t>Empresa Eléctrica Carén S.A.</t>
        </is>
      </c>
      <c r="J191" t="inlineStr">
        <is>
          <t>SIC 2013/03_2_BS1A_BB_Saesa_Empresa Eléctrica Carén S.A.</t>
        </is>
      </c>
      <c r="K191" t="inlineStr">
        <is>
          <t>Panguipulli 023</t>
        </is>
      </c>
      <c r="L191" t="inlineStr">
        <is>
          <t>-1</t>
        </is>
      </c>
      <c r="M191" t="n">
        <v>2806.659762814821</v>
      </c>
      <c r="N191" t="n">
        <v>0</v>
      </c>
      <c r="O191" t="inlineStr">
        <is>
          <t>6</t>
        </is>
      </c>
      <c r="P191" s="2" t="n">
        <v>44659.60028225694</v>
      </c>
      <c r="Q191" t="n">
        <v>6</v>
      </c>
      <c r="R191" t="inlineStr">
        <is>
          <t>MELIPULLI 220</t>
        </is>
      </c>
      <c r="S191" t="n">
        <v>11.6026665509084</v>
      </c>
      <c r="T191" t="n">
        <v>803.9285992480726</v>
      </c>
      <c r="U191" t="n">
        <v>0</v>
      </c>
      <c r="V191" t="n">
        <v>0</v>
      </c>
      <c r="W191" t="inlineStr">
        <is>
          <t>SAESA</t>
        </is>
      </c>
      <c r="X191" t="n">
        <v>78.82623657077399</v>
      </c>
      <c r="Y191" t="n">
        <v>0.8039285992480725</v>
      </c>
      <c r="Z191" t="n">
        <v>914.5945383937117</v>
      </c>
      <c r="AA191" t="n">
        <v>0</v>
      </c>
      <c r="AB191" t="n">
        <v>0</v>
      </c>
      <c r="AC191" t="n">
        <v>0</v>
      </c>
      <c r="AD191" s="2" t="n">
        <v>44166</v>
      </c>
    </row>
    <row r="192">
      <c r="A192" t="n">
        <v>-1</v>
      </c>
      <c r="B192" t="inlineStr">
        <is>
          <t>01-12-2020</t>
        </is>
      </c>
      <c r="C192" t="n">
        <v>2020</v>
      </c>
      <c r="D192" t="n">
        <v>12</v>
      </c>
      <c r="E192" t="inlineStr">
        <is>
          <t>Panguipulli 023</t>
        </is>
      </c>
      <c r="F192" t="inlineStr">
        <is>
          <t>SAESA</t>
        </is>
      </c>
      <c r="G192" t="inlineStr">
        <is>
          <t>SAESA</t>
        </is>
      </c>
      <c r="H192" t="inlineStr">
        <is>
          <t>Empresa Eléctrica Carén S.A.</t>
        </is>
      </c>
      <c r="I192" t="inlineStr">
        <is>
          <t>Empresa Eléctrica Carén S.A.</t>
        </is>
      </c>
      <c r="J192" t="inlineStr">
        <is>
          <t>SIC 2013/03_2_BS1A_BB_Saesa_Empresa Eléctrica Carén S.A.</t>
        </is>
      </c>
      <c r="K192" t="inlineStr">
        <is>
          <t>Panguipulli 023</t>
        </is>
      </c>
      <c r="L192" t="inlineStr">
        <is>
          <t>-1</t>
        </is>
      </c>
      <c r="M192" t="n">
        <v>2806.659762814821</v>
      </c>
      <c r="N192" t="n">
        <v>0</v>
      </c>
      <c r="O192" t="inlineStr">
        <is>
          <t>6</t>
        </is>
      </c>
      <c r="P192" s="2" t="n">
        <v>44659.60028225694</v>
      </c>
      <c r="Q192" t="n">
        <v>17</v>
      </c>
      <c r="R192" t="inlineStr">
        <is>
          <t>VALDIVIA 220</t>
        </is>
      </c>
      <c r="S192" t="n">
        <v>2091.969695672187</v>
      </c>
      <c r="T192" t="n">
        <v>157789.6890061831</v>
      </c>
      <c r="U192" t="n">
        <v>0</v>
      </c>
      <c r="V192" t="n">
        <v>0</v>
      </c>
      <c r="W192" t="inlineStr">
        <is>
          <t>SAESA</t>
        </is>
      </c>
      <c r="X192" t="n">
        <v>85.809299390577</v>
      </c>
      <c r="Y192" t="n">
        <v>157.7896890061831</v>
      </c>
      <c r="Z192" t="n">
        <v>179510.453931949</v>
      </c>
      <c r="AA192" t="n">
        <v>0</v>
      </c>
      <c r="AB192" t="n">
        <v>0</v>
      </c>
      <c r="AC192" t="n">
        <v>0</v>
      </c>
      <c r="AD192" s="2" t="n">
        <v>44166</v>
      </c>
    </row>
    <row r="193">
      <c r="A193" t="n">
        <v>-1</v>
      </c>
      <c r="B193" t="inlineStr">
        <is>
          <t>01-12-2020</t>
        </is>
      </c>
      <c r="C193" t="n">
        <v>2020</v>
      </c>
      <c r="D193" t="n">
        <v>12</v>
      </c>
      <c r="E193" t="inlineStr">
        <is>
          <t>Pargua 23</t>
        </is>
      </c>
      <c r="F193" t="inlineStr">
        <is>
          <t>SAESA</t>
        </is>
      </c>
      <c r="G193" t="inlineStr">
        <is>
          <t>SAESA</t>
        </is>
      </c>
      <c r="H193" t="inlineStr">
        <is>
          <t>Empresa Eléctrica Carén S.A.</t>
        </is>
      </c>
      <c r="I193" t="inlineStr">
        <is>
          <t>Empresa Eléctrica Carén S.A.</t>
        </is>
      </c>
      <c r="J193" t="inlineStr">
        <is>
          <t>SIC 2013/03_2_BS1A_BB_Saesa_Empresa Eléctrica Carén S.A.</t>
        </is>
      </c>
      <c r="K193" t="inlineStr">
        <is>
          <t>Pargua 23</t>
        </is>
      </c>
      <c r="L193" t="inlineStr">
        <is>
          <t>-1</t>
        </is>
      </c>
      <c r="M193" t="n">
        <v>223.9026254479122</v>
      </c>
      <c r="N193" t="n">
        <v>0</v>
      </c>
      <c r="O193" t="inlineStr">
        <is>
          <t>6</t>
        </is>
      </c>
      <c r="P193" s="2" t="n">
        <v>44659.60028225694</v>
      </c>
      <c r="Q193" t="n">
        <v>24</v>
      </c>
      <c r="R193" t="inlineStr">
        <is>
          <t>CHILOE 220</t>
        </is>
      </c>
      <c r="S193" t="n">
        <v>0.07186883821869149</v>
      </c>
      <c r="T193" t="n">
        <v>5.018103930512282</v>
      </c>
      <c r="U193" t="n">
        <v>0</v>
      </c>
      <c r="V193" t="n">
        <v>0</v>
      </c>
      <c r="W193" t="inlineStr">
        <is>
          <t>SAESA</t>
        </is>
      </c>
      <c r="X193" t="n">
        <v>79.434680359482</v>
      </c>
      <c r="Y193" t="n">
        <v>0.005018103930512283</v>
      </c>
      <c r="Z193" t="n">
        <v>5.708878191709081</v>
      </c>
      <c r="AA193" t="n">
        <v>0</v>
      </c>
      <c r="AB193" t="n">
        <v>0</v>
      </c>
      <c r="AC193" t="n">
        <v>0</v>
      </c>
      <c r="AD193" s="2" t="n">
        <v>44166</v>
      </c>
    </row>
    <row r="194">
      <c r="A194" t="n">
        <v>-1</v>
      </c>
      <c r="B194" t="inlineStr">
        <is>
          <t>01-12-2020</t>
        </is>
      </c>
      <c r="C194" t="n">
        <v>2020</v>
      </c>
      <c r="D194" t="n">
        <v>12</v>
      </c>
      <c r="E194" t="inlineStr">
        <is>
          <t>Pargua 23</t>
        </is>
      </c>
      <c r="F194" t="inlineStr">
        <is>
          <t>SAESA</t>
        </is>
      </c>
      <c r="G194" t="inlineStr">
        <is>
          <t>SAESA</t>
        </is>
      </c>
      <c r="H194" t="inlineStr">
        <is>
          <t>Empresa Eléctrica Carén S.A.</t>
        </is>
      </c>
      <c r="I194" t="inlineStr">
        <is>
          <t>Empresa Eléctrica Carén S.A.</t>
        </is>
      </c>
      <c r="J194" t="inlineStr">
        <is>
          <t>SIC 2013/03_2_BS1A_BB_Saesa_Empresa Eléctrica Carén S.A.</t>
        </is>
      </c>
      <c r="K194" t="inlineStr">
        <is>
          <t>Pargua 23</t>
        </is>
      </c>
      <c r="L194" t="inlineStr">
        <is>
          <t>-1</t>
        </is>
      </c>
      <c r="M194" t="n">
        <v>223.9026254479122</v>
      </c>
      <c r="N194" t="n">
        <v>0</v>
      </c>
      <c r="O194" t="inlineStr">
        <is>
          <t>6</t>
        </is>
      </c>
      <c r="P194" s="2" t="n">
        <v>44659.60028225694</v>
      </c>
      <c r="Q194" t="n">
        <v>6</v>
      </c>
      <c r="R194" t="inlineStr">
        <is>
          <t>MELIPULLI 220</t>
        </is>
      </c>
      <c r="S194" t="n">
        <v>227.542876076538</v>
      </c>
      <c r="T194" t="n">
        <v>15766.05040147147</v>
      </c>
      <c r="U194" t="n">
        <v>0</v>
      </c>
      <c r="V194" t="n">
        <v>0</v>
      </c>
      <c r="W194" t="inlineStr">
        <is>
          <t>SAESA</t>
        </is>
      </c>
      <c r="X194" t="n">
        <v>78.826236570774</v>
      </c>
      <c r="Y194" t="n">
        <v>15.76605040147147</v>
      </c>
      <c r="Z194" t="n">
        <v>17936.34857960349</v>
      </c>
      <c r="AA194" t="n">
        <v>0</v>
      </c>
      <c r="AB194" t="n">
        <v>0</v>
      </c>
      <c r="AC194" t="n">
        <v>0</v>
      </c>
      <c r="AD194" s="2" t="n">
        <v>44166</v>
      </c>
    </row>
    <row r="195">
      <c r="A195" t="n">
        <v>-1</v>
      </c>
      <c r="B195" t="inlineStr">
        <is>
          <t>01-12-2020</t>
        </is>
      </c>
      <c r="C195" t="n">
        <v>2020</v>
      </c>
      <c r="D195" t="n">
        <v>12</v>
      </c>
      <c r="E195" t="inlineStr">
        <is>
          <t>Picarte 13.8</t>
        </is>
      </c>
      <c r="F195" t="inlineStr">
        <is>
          <t>SAESA</t>
        </is>
      </c>
      <c r="G195" t="inlineStr">
        <is>
          <t>SAESA</t>
        </is>
      </c>
      <c r="H195" t="inlineStr">
        <is>
          <t>Empresa Eléctrica Carén S.A.</t>
        </is>
      </c>
      <c r="I195" t="inlineStr">
        <is>
          <t>Empresa Eléctrica Carén S.A.</t>
        </is>
      </c>
      <c r="J195" t="inlineStr">
        <is>
          <t>SIC 2013/03_2_BS1A_BB_Saesa_Empresa Eléctrica Carén S.A.</t>
        </is>
      </c>
      <c r="K195" t="inlineStr">
        <is>
          <t>Picarte 13.8</t>
        </is>
      </c>
      <c r="L195" t="inlineStr">
        <is>
          <t>-1</t>
        </is>
      </c>
      <c r="M195" t="n">
        <v>7871.573142343708</v>
      </c>
      <c r="N195" t="n">
        <v>0</v>
      </c>
      <c r="O195" t="inlineStr">
        <is>
          <t>6</t>
        </is>
      </c>
      <c r="P195" s="2" t="n">
        <v>44659.60028225694</v>
      </c>
      <c r="Q195" t="n">
        <v>15</v>
      </c>
      <c r="R195" t="inlineStr">
        <is>
          <t>BARRO BLANCO 220</t>
        </is>
      </c>
      <c r="S195" t="n">
        <v>672.4498276036843</v>
      </c>
      <c r="T195" t="n">
        <v>46808.66442300675</v>
      </c>
      <c r="U195" t="n">
        <v>0</v>
      </c>
      <c r="V195" t="n">
        <v>0</v>
      </c>
      <c r="W195" t="inlineStr">
        <is>
          <t>SAESA</t>
        </is>
      </c>
      <c r="X195" t="n">
        <v>79.19130285958499</v>
      </c>
      <c r="Y195" t="n">
        <v>46.80866442300675</v>
      </c>
      <c r="Z195" t="n">
        <v>53252.17795563908</v>
      </c>
      <c r="AA195" t="n">
        <v>0</v>
      </c>
      <c r="AB195" t="n">
        <v>0</v>
      </c>
      <c r="AC195" t="n">
        <v>0</v>
      </c>
      <c r="AD195" s="2" t="n">
        <v>44166</v>
      </c>
    </row>
    <row r="196">
      <c r="A196" t="n">
        <v>-1</v>
      </c>
      <c r="B196" t="inlineStr">
        <is>
          <t>01-12-2020</t>
        </is>
      </c>
      <c r="C196" t="n">
        <v>2020</v>
      </c>
      <c r="D196" t="n">
        <v>12</v>
      </c>
      <c r="E196" t="inlineStr">
        <is>
          <t>Picarte 13.8</t>
        </is>
      </c>
      <c r="F196" t="inlineStr">
        <is>
          <t>SAESA</t>
        </is>
      </c>
      <c r="G196" t="inlineStr">
        <is>
          <t>SAESA</t>
        </is>
      </c>
      <c r="H196" t="inlineStr">
        <is>
          <t>Empresa Eléctrica Carén S.A.</t>
        </is>
      </c>
      <c r="I196" t="inlineStr">
        <is>
          <t>Empresa Eléctrica Carén S.A.</t>
        </is>
      </c>
      <c r="J196" t="inlineStr">
        <is>
          <t>SIC 2013/03_2_BS1A_BB_Saesa_Empresa Eléctrica Carén S.A.</t>
        </is>
      </c>
      <c r="K196" t="inlineStr">
        <is>
          <t>Picarte 13.8</t>
        </is>
      </c>
      <c r="L196" t="inlineStr">
        <is>
          <t>-1</t>
        </is>
      </c>
      <c r="M196" t="n">
        <v>7871.573142343708</v>
      </c>
      <c r="N196" t="n">
        <v>0</v>
      </c>
      <c r="O196" t="inlineStr">
        <is>
          <t>6</t>
        </is>
      </c>
      <c r="P196" s="2" t="n">
        <v>44659.60028225694</v>
      </c>
      <c r="Q196" t="n">
        <v>6</v>
      </c>
      <c r="R196" t="inlineStr">
        <is>
          <t>MELIPULLI 220</t>
        </is>
      </c>
      <c r="S196" t="n">
        <v>12.66210842470917</v>
      </c>
      <c r="T196" t="n">
        <v>877.3354853162344</v>
      </c>
      <c r="U196" t="n">
        <v>0</v>
      </c>
      <c r="V196" t="n">
        <v>0</v>
      </c>
      <c r="W196" t="inlineStr">
        <is>
          <t>SAESA</t>
        </is>
      </c>
      <c r="X196" t="n">
        <v>78.82623657077399</v>
      </c>
      <c r="Y196" t="n">
        <v>0.8773354853162344</v>
      </c>
      <c r="Z196" t="n">
        <v>998.1063541709152</v>
      </c>
      <c r="AA196" t="n">
        <v>0</v>
      </c>
      <c r="AB196" t="n">
        <v>0</v>
      </c>
      <c r="AC196" t="n">
        <v>0</v>
      </c>
      <c r="AD196" s="2" t="n">
        <v>44166</v>
      </c>
    </row>
    <row r="197">
      <c r="A197" t="n">
        <v>-1</v>
      </c>
      <c r="B197" t="inlineStr">
        <is>
          <t>01-12-2020</t>
        </is>
      </c>
      <c r="C197" t="n">
        <v>2020</v>
      </c>
      <c r="D197" t="n">
        <v>12</v>
      </c>
      <c r="E197" t="inlineStr">
        <is>
          <t>Picarte 13.8</t>
        </is>
      </c>
      <c r="F197" t="inlineStr">
        <is>
          <t>SAESA</t>
        </is>
      </c>
      <c r="G197" t="inlineStr">
        <is>
          <t>SAESA</t>
        </is>
      </c>
      <c r="H197" t="inlineStr">
        <is>
          <t>Empresa Eléctrica Carén S.A.</t>
        </is>
      </c>
      <c r="I197" t="inlineStr">
        <is>
          <t>Empresa Eléctrica Carén S.A.</t>
        </is>
      </c>
      <c r="J197" t="inlineStr">
        <is>
          <t>SIC 2013/03_2_BS1A_BB_Saesa_Empresa Eléctrica Carén S.A.</t>
        </is>
      </c>
      <c r="K197" t="inlineStr">
        <is>
          <t>Picarte 13.8</t>
        </is>
      </c>
      <c r="L197" t="inlineStr">
        <is>
          <t>-1</t>
        </is>
      </c>
      <c r="M197" t="n">
        <v>7871.573142343708</v>
      </c>
      <c r="N197" t="n">
        <v>0</v>
      </c>
      <c r="O197" t="inlineStr">
        <is>
          <t>6</t>
        </is>
      </c>
      <c r="P197" s="2" t="n">
        <v>44659.60028225694</v>
      </c>
      <c r="Q197" t="n">
        <v>17</v>
      </c>
      <c r="R197" t="inlineStr">
        <is>
          <t>VALDIVIA 220</t>
        </is>
      </c>
      <c r="S197" t="n">
        <v>7316.965347738088</v>
      </c>
      <c r="T197" t="n">
        <v>551892.1660658362</v>
      </c>
      <c r="U197" t="n">
        <v>0</v>
      </c>
      <c r="V197" t="n">
        <v>0</v>
      </c>
      <c r="W197" t="inlineStr">
        <is>
          <t>SAESA</t>
        </is>
      </c>
      <c r="X197" t="n">
        <v>85.809299390577</v>
      </c>
      <c r="Y197" t="n">
        <v>551.8921660658361</v>
      </c>
      <c r="Z197" t="n">
        <v>627863.670154535</v>
      </c>
      <c r="AA197" t="n">
        <v>0</v>
      </c>
      <c r="AB197" t="n">
        <v>0</v>
      </c>
      <c r="AC197" t="n">
        <v>0</v>
      </c>
      <c r="AD197" s="2" t="n">
        <v>44166</v>
      </c>
    </row>
    <row r="198">
      <c r="A198" t="n">
        <v>-1</v>
      </c>
      <c r="B198" t="inlineStr">
        <is>
          <t>01-12-2020</t>
        </is>
      </c>
      <c r="C198" t="n">
        <v>2020</v>
      </c>
      <c r="D198" t="n">
        <v>12</v>
      </c>
      <c r="E198" t="inlineStr">
        <is>
          <t>Pichil 023</t>
        </is>
      </c>
      <c r="F198" t="inlineStr">
        <is>
          <t>SAESA</t>
        </is>
      </c>
      <c r="G198" t="inlineStr">
        <is>
          <t>SAESA</t>
        </is>
      </c>
      <c r="H198" t="inlineStr">
        <is>
          <t>Empresa Eléctrica Carén S.A.</t>
        </is>
      </c>
      <c r="I198" t="inlineStr">
        <is>
          <t>Empresa Eléctrica Carén S.A.</t>
        </is>
      </c>
      <c r="J198" t="inlineStr">
        <is>
          <t>SIC 2013/03_2_BS1A_BB_Saesa_Empresa Eléctrica Carén S.A.</t>
        </is>
      </c>
      <c r="K198" t="inlineStr">
        <is>
          <t>Pichil 023</t>
        </is>
      </c>
      <c r="L198" t="inlineStr">
        <is>
          <t>-1</t>
        </is>
      </c>
      <c r="M198" t="n">
        <v>248.2245103461327</v>
      </c>
      <c r="N198" t="n">
        <v>0</v>
      </c>
      <c r="O198" t="inlineStr">
        <is>
          <t>6</t>
        </is>
      </c>
      <c r="P198" s="2" t="n">
        <v>44659.60028225694</v>
      </c>
      <c r="Q198" t="n">
        <v>15</v>
      </c>
      <c r="R198" t="inlineStr">
        <is>
          <t>BARRO BLANCO 220</t>
        </is>
      </c>
      <c r="S198" t="n">
        <v>246.816728006045</v>
      </c>
      <c r="T198" t="n">
        <v>17180.70392907956</v>
      </c>
      <c r="U198" t="n">
        <v>0</v>
      </c>
      <c r="V198" t="n">
        <v>0</v>
      </c>
      <c r="W198" t="inlineStr">
        <is>
          <t>SAESA</t>
        </is>
      </c>
      <c r="X198" t="n">
        <v>79.19130285958499</v>
      </c>
      <c r="Y198" t="n">
        <v>17.18070392907956</v>
      </c>
      <c r="Z198" t="n">
        <v>19545.73825833852</v>
      </c>
      <c r="AA198" t="n">
        <v>0</v>
      </c>
      <c r="AB198" t="n">
        <v>0</v>
      </c>
      <c r="AC198" t="n">
        <v>0</v>
      </c>
      <c r="AD198" s="2" t="n">
        <v>44166</v>
      </c>
    </row>
    <row r="199">
      <c r="A199" t="n">
        <v>-1</v>
      </c>
      <c r="B199" t="inlineStr">
        <is>
          <t>01-12-2020</t>
        </is>
      </c>
      <c r="C199" t="n">
        <v>2020</v>
      </c>
      <c r="D199" t="n">
        <v>12</v>
      </c>
      <c r="E199" t="inlineStr">
        <is>
          <t>Pichil 023</t>
        </is>
      </c>
      <c r="F199" t="inlineStr">
        <is>
          <t>SAESA</t>
        </is>
      </c>
      <c r="G199" t="inlineStr">
        <is>
          <t>SAESA</t>
        </is>
      </c>
      <c r="H199" t="inlineStr">
        <is>
          <t>Empresa Eléctrica Carén S.A.</t>
        </is>
      </c>
      <c r="I199" t="inlineStr">
        <is>
          <t>Empresa Eléctrica Carén S.A.</t>
        </is>
      </c>
      <c r="J199" t="inlineStr">
        <is>
          <t>SIC 2013/03_2_BS1A_BB_Saesa_Empresa Eléctrica Carén S.A.</t>
        </is>
      </c>
      <c r="K199" t="inlineStr">
        <is>
          <t>Pichil 023</t>
        </is>
      </c>
      <c r="L199" t="inlineStr">
        <is>
          <t>-1</t>
        </is>
      </c>
      <c r="M199" t="n">
        <v>248.2245103461327</v>
      </c>
      <c r="N199" t="n">
        <v>0</v>
      </c>
      <c r="O199" t="inlineStr">
        <is>
          <t>6</t>
        </is>
      </c>
      <c r="P199" s="2" t="n">
        <v>44659.60028225694</v>
      </c>
      <c r="Q199" t="n">
        <v>6</v>
      </c>
      <c r="R199" t="inlineStr">
        <is>
          <t>MELIPULLI 220</t>
        </is>
      </c>
      <c r="S199" t="n">
        <v>4.481251995878987</v>
      </c>
      <c r="T199" t="n">
        <v>310.4981621352005</v>
      </c>
      <c r="U199" t="n">
        <v>0</v>
      </c>
      <c r="V199" t="n">
        <v>0</v>
      </c>
      <c r="W199" t="inlineStr">
        <is>
          <t>SAESA</t>
        </is>
      </c>
      <c r="X199" t="n">
        <v>78.826236570774</v>
      </c>
      <c r="Y199" t="n">
        <v>0.3104981621352005</v>
      </c>
      <c r="Z199" t="n">
        <v>353.2402299604101</v>
      </c>
      <c r="AA199" t="n">
        <v>0</v>
      </c>
      <c r="AB199" t="n">
        <v>0</v>
      </c>
      <c r="AC199" t="n">
        <v>0</v>
      </c>
      <c r="AD199" s="2" t="n">
        <v>44166</v>
      </c>
    </row>
    <row r="200">
      <c r="A200" t="n">
        <v>-1</v>
      </c>
      <c r="B200" t="inlineStr">
        <is>
          <t>01-12-2020</t>
        </is>
      </c>
      <c r="C200" t="n">
        <v>2020</v>
      </c>
      <c r="D200" t="n">
        <v>12</v>
      </c>
      <c r="E200" t="inlineStr">
        <is>
          <t>Pichil 023</t>
        </is>
      </c>
      <c r="F200" t="inlineStr">
        <is>
          <t>SAESA</t>
        </is>
      </c>
      <c r="G200" t="inlineStr">
        <is>
          <t>SAESA</t>
        </is>
      </c>
      <c r="H200" t="inlineStr">
        <is>
          <t>Empresa Eléctrica Carén S.A.</t>
        </is>
      </c>
      <c r="I200" t="inlineStr">
        <is>
          <t>Empresa Eléctrica Carén S.A.</t>
        </is>
      </c>
      <c r="J200" t="inlineStr">
        <is>
          <t>SIC 2013/03_2_BS1A_BB_Saesa_Empresa Eléctrica Carén S.A.</t>
        </is>
      </c>
      <c r="K200" t="inlineStr">
        <is>
          <t>Pichil 023</t>
        </is>
      </c>
      <c r="L200" t="inlineStr">
        <is>
          <t>-1</t>
        </is>
      </c>
      <c r="M200" t="n">
        <v>248.2245103461327</v>
      </c>
      <c r="N200" t="n">
        <v>0</v>
      </c>
      <c r="O200" t="inlineStr">
        <is>
          <t>6</t>
        </is>
      </c>
      <c r="P200" s="2" t="n">
        <v>44659.60028225694</v>
      </c>
      <c r="Q200" t="n">
        <v>17</v>
      </c>
      <c r="R200" t="inlineStr">
        <is>
          <t>VALDIVIA 220</t>
        </is>
      </c>
      <c r="S200" t="n">
        <v>1.041886451179461</v>
      </c>
      <c r="T200" t="n">
        <v>78.58571730339457</v>
      </c>
      <c r="U200" t="n">
        <v>0</v>
      </c>
      <c r="V200" t="n">
        <v>0</v>
      </c>
      <c r="W200" t="inlineStr">
        <is>
          <t>SAESA</t>
        </is>
      </c>
      <c r="X200" t="n">
        <v>85.809299390577</v>
      </c>
      <c r="Y200" t="n">
        <v>0.07858571730339459</v>
      </c>
      <c r="Z200" t="n">
        <v>89.40354642024411</v>
      </c>
      <c r="AA200" t="n">
        <v>0</v>
      </c>
      <c r="AB200" t="n">
        <v>0</v>
      </c>
      <c r="AC200" t="n">
        <v>0</v>
      </c>
      <c r="AD200" s="2" t="n">
        <v>44166</v>
      </c>
    </row>
    <row r="201">
      <c r="A201" t="n">
        <v>-1</v>
      </c>
      <c r="B201" t="inlineStr">
        <is>
          <t>01-12-2020</t>
        </is>
      </c>
      <c r="C201" t="n">
        <v>2020</v>
      </c>
      <c r="D201" t="n">
        <v>12</v>
      </c>
      <c r="E201" t="inlineStr">
        <is>
          <t>Pichirropulli 13.8</t>
        </is>
      </c>
      <c r="F201" t="inlineStr">
        <is>
          <t>SAESA</t>
        </is>
      </c>
      <c r="G201" t="inlineStr">
        <is>
          <t>SAESA</t>
        </is>
      </c>
      <c r="H201" t="inlineStr">
        <is>
          <t>Empresa Eléctrica Carén S.A.</t>
        </is>
      </c>
      <c r="I201" t="inlineStr">
        <is>
          <t>Empresa Eléctrica Carén S.A.</t>
        </is>
      </c>
      <c r="J201" t="inlineStr">
        <is>
          <t>SIC 2013/03_2_BS1A_BB_Saesa_Empresa Eléctrica Carén S.A.</t>
        </is>
      </c>
      <c r="K201" t="inlineStr">
        <is>
          <t>Pichirropulli 13.8</t>
        </is>
      </c>
      <c r="L201" t="inlineStr">
        <is>
          <t>-1</t>
        </is>
      </c>
      <c r="M201" t="n">
        <v>1670.524202998724</v>
      </c>
      <c r="N201" t="n">
        <v>0</v>
      </c>
      <c r="O201" t="inlineStr">
        <is>
          <t>6</t>
        </is>
      </c>
      <c r="P201" s="2" t="n">
        <v>44659.60028225694</v>
      </c>
      <c r="Q201" t="n">
        <v>15</v>
      </c>
      <c r="R201" t="inlineStr">
        <is>
          <t>BARRO BLANCO 220</t>
        </is>
      </c>
      <c r="S201" t="n">
        <v>1519.328549304509</v>
      </c>
      <c r="T201" t="n">
        <v>105759.1768089536</v>
      </c>
      <c r="U201" t="n">
        <v>0</v>
      </c>
      <c r="V201" t="n">
        <v>0</v>
      </c>
      <c r="W201" t="inlineStr">
        <is>
          <t>SAESA</t>
        </is>
      </c>
      <c r="X201" t="n">
        <v>79.19130285958499</v>
      </c>
      <c r="Y201" t="n">
        <v>105.7591768089536</v>
      </c>
      <c r="Z201" t="n">
        <v>120317.6072911873</v>
      </c>
      <c r="AA201" t="n">
        <v>0</v>
      </c>
      <c r="AB201" t="n">
        <v>0</v>
      </c>
      <c r="AC201" t="n">
        <v>0</v>
      </c>
      <c r="AD201" s="2" t="n">
        <v>44166</v>
      </c>
    </row>
    <row r="202">
      <c r="A202" t="n">
        <v>-1</v>
      </c>
      <c r="B202" t="inlineStr">
        <is>
          <t>01-12-2020</t>
        </is>
      </c>
      <c r="C202" t="n">
        <v>2020</v>
      </c>
      <c r="D202" t="n">
        <v>12</v>
      </c>
      <c r="E202" t="inlineStr">
        <is>
          <t>Pichirropulli 13.8</t>
        </is>
      </c>
      <c r="F202" t="inlineStr">
        <is>
          <t>SAESA</t>
        </is>
      </c>
      <c r="G202" t="inlineStr">
        <is>
          <t>SAESA</t>
        </is>
      </c>
      <c r="H202" t="inlineStr">
        <is>
          <t>Empresa Eléctrica Carén S.A.</t>
        </is>
      </c>
      <c r="I202" t="inlineStr">
        <is>
          <t>Empresa Eléctrica Carén S.A.</t>
        </is>
      </c>
      <c r="J202" t="inlineStr">
        <is>
          <t>SIC 2013/03_2_BS1A_BB_Saesa_Empresa Eléctrica Carén S.A.</t>
        </is>
      </c>
      <c r="K202" t="inlineStr">
        <is>
          <t>Pichirropulli 13.8</t>
        </is>
      </c>
      <c r="L202" t="inlineStr">
        <is>
          <t>-1</t>
        </is>
      </c>
      <c r="M202" t="n">
        <v>1670.524202998724</v>
      </c>
      <c r="N202" t="n">
        <v>0</v>
      </c>
      <c r="O202" t="inlineStr">
        <is>
          <t>6</t>
        </is>
      </c>
      <c r="P202" s="2" t="n">
        <v>44659.60028225694</v>
      </c>
      <c r="Q202" t="n">
        <v>6</v>
      </c>
      <c r="R202" t="inlineStr">
        <is>
          <t>MELIPULLI 220</t>
        </is>
      </c>
      <c r="S202" t="n">
        <v>18.93503216356941</v>
      </c>
      <c r="T202" t="n">
        <v>1311.975468499847</v>
      </c>
      <c r="U202" t="n">
        <v>0</v>
      </c>
      <c r="V202" t="n">
        <v>0</v>
      </c>
      <c r="W202" t="inlineStr">
        <is>
          <t>SAESA</t>
        </is>
      </c>
      <c r="X202" t="n">
        <v>78.826236570774</v>
      </c>
      <c r="Y202" t="n">
        <v>1.311975468499848</v>
      </c>
      <c r="Z202" t="n">
        <v>1492.577324800737</v>
      </c>
      <c r="AA202" t="n">
        <v>0</v>
      </c>
      <c r="AB202" t="n">
        <v>0</v>
      </c>
      <c r="AC202" t="n">
        <v>0</v>
      </c>
      <c r="AD202" s="2" t="n">
        <v>44166</v>
      </c>
    </row>
    <row r="203">
      <c r="A203" t="n">
        <v>-1</v>
      </c>
      <c r="B203" t="inlineStr">
        <is>
          <t>01-12-2020</t>
        </is>
      </c>
      <c r="C203" t="n">
        <v>2020</v>
      </c>
      <c r="D203" t="n">
        <v>12</v>
      </c>
      <c r="E203" t="inlineStr">
        <is>
          <t>Pichirropulli 13.8</t>
        </is>
      </c>
      <c r="F203" t="inlineStr">
        <is>
          <t>SAESA</t>
        </is>
      </c>
      <c r="G203" t="inlineStr">
        <is>
          <t>SAESA</t>
        </is>
      </c>
      <c r="H203" t="inlineStr">
        <is>
          <t>Empresa Eléctrica Carén S.A.</t>
        </is>
      </c>
      <c r="I203" t="inlineStr">
        <is>
          <t>Empresa Eléctrica Carén S.A.</t>
        </is>
      </c>
      <c r="J203" t="inlineStr">
        <is>
          <t>SIC 2013/03_2_BS1A_BB_Saesa_Empresa Eléctrica Carén S.A.</t>
        </is>
      </c>
      <c r="K203" t="inlineStr">
        <is>
          <t>Pichirropulli 13.8</t>
        </is>
      </c>
      <c r="L203" t="inlineStr">
        <is>
          <t>-1</t>
        </is>
      </c>
      <c r="M203" t="n">
        <v>1670.524202998724</v>
      </c>
      <c r="N203" t="n">
        <v>0</v>
      </c>
      <c r="O203" t="inlineStr">
        <is>
          <t>6</t>
        </is>
      </c>
      <c r="P203" s="2" t="n">
        <v>44659.60028225694</v>
      </c>
      <c r="Q203" t="n">
        <v>17</v>
      </c>
      <c r="R203" t="inlineStr">
        <is>
          <t>VALDIVIA 220</t>
        </is>
      </c>
      <c r="S203" t="n">
        <v>159.9565246107521</v>
      </c>
      <c r="T203" t="n">
        <v>12064.94067531439</v>
      </c>
      <c r="U203" t="n">
        <v>0</v>
      </c>
      <c r="V203" t="n">
        <v>0</v>
      </c>
      <c r="W203" t="inlineStr">
        <is>
          <t>SAESA</t>
        </is>
      </c>
      <c r="X203" t="n">
        <v>85.809299390577</v>
      </c>
      <c r="Y203" t="n">
        <v>12.06494067531439</v>
      </c>
      <c r="Z203" t="n">
        <v>13725.75730980022</v>
      </c>
      <c r="AA203" t="n">
        <v>0</v>
      </c>
      <c r="AB203" t="n">
        <v>0</v>
      </c>
      <c r="AC203" t="n">
        <v>0</v>
      </c>
      <c r="AD203" s="2" t="n">
        <v>44166</v>
      </c>
    </row>
    <row r="204">
      <c r="A204" t="n">
        <v>-1</v>
      </c>
      <c r="B204" t="inlineStr">
        <is>
          <t>01-12-2020</t>
        </is>
      </c>
      <c r="C204" t="n">
        <v>2020</v>
      </c>
      <c r="D204" t="n">
        <v>12</v>
      </c>
      <c r="E204" t="inlineStr">
        <is>
          <t>Pid Pid 023</t>
        </is>
      </c>
      <c r="F204" t="inlineStr">
        <is>
          <t>SAESA</t>
        </is>
      </c>
      <c r="G204" t="inlineStr">
        <is>
          <t>SAESA</t>
        </is>
      </c>
      <c r="H204" t="inlineStr">
        <is>
          <t>Empresa Eléctrica Carén S.A.</t>
        </is>
      </c>
      <c r="I204" t="inlineStr">
        <is>
          <t>Empresa Eléctrica Carén S.A.</t>
        </is>
      </c>
      <c r="J204" t="inlineStr">
        <is>
          <t>SIC 2013/03_2_BS1A_BB_Saesa_Empresa Eléctrica Carén S.A.</t>
        </is>
      </c>
      <c r="K204" t="inlineStr">
        <is>
          <t>Pid Pid 023</t>
        </is>
      </c>
      <c r="L204" t="inlineStr">
        <is>
          <t>-1</t>
        </is>
      </c>
      <c r="M204" t="n">
        <v>786.3644344756938</v>
      </c>
      <c r="N204" t="n">
        <v>0</v>
      </c>
      <c r="O204" t="inlineStr">
        <is>
          <t>6</t>
        </is>
      </c>
      <c r="P204" s="2" t="n">
        <v>44659.60028225694</v>
      </c>
      <c r="Q204" t="n">
        <v>24</v>
      </c>
      <c r="R204" t="inlineStr">
        <is>
          <t>CHILOE 220</t>
        </is>
      </c>
      <c r="S204" t="n">
        <v>799.4017033304557</v>
      </c>
      <c r="T204" t="n">
        <v>55816.69231015169</v>
      </c>
      <c r="U204" t="n">
        <v>0</v>
      </c>
      <c r="V204" t="n">
        <v>0</v>
      </c>
      <c r="W204" t="inlineStr">
        <is>
          <t>SAESA</t>
        </is>
      </c>
      <c r="X204" t="n">
        <v>79.43468035948199</v>
      </c>
      <c r="Y204" t="n">
        <v>55.81669231015169</v>
      </c>
      <c r="Z204" t="n">
        <v>63500.2187828802</v>
      </c>
      <c r="AA204" t="n">
        <v>0</v>
      </c>
      <c r="AB204" t="n">
        <v>0</v>
      </c>
      <c r="AC204" t="n">
        <v>0</v>
      </c>
      <c r="AD204" s="2" t="n">
        <v>44166</v>
      </c>
    </row>
    <row r="205">
      <c r="A205" t="n">
        <v>-1</v>
      </c>
      <c r="B205" t="inlineStr">
        <is>
          <t>01-12-2020</t>
        </is>
      </c>
      <c r="C205" t="n">
        <v>2020</v>
      </c>
      <c r="D205" t="n">
        <v>12</v>
      </c>
      <c r="E205" t="inlineStr">
        <is>
          <t>pilmaiquen 13.8</t>
        </is>
      </c>
      <c r="F205" t="inlineStr">
        <is>
          <t>SAESA</t>
        </is>
      </c>
      <c r="G205" t="inlineStr">
        <is>
          <t>SAESA</t>
        </is>
      </c>
      <c r="H205" t="inlineStr">
        <is>
          <t>Empresa Eléctrica Carén S.A.</t>
        </is>
      </c>
      <c r="I205" t="inlineStr">
        <is>
          <t>Empresa Eléctrica Carén S.A.</t>
        </is>
      </c>
      <c r="J205" t="inlineStr">
        <is>
          <t>SIC 2013/03_2_BS1A_BB_Saesa_Empresa Eléctrica Carén S.A.</t>
        </is>
      </c>
      <c r="K205" t="inlineStr">
        <is>
          <t>pilmaiquen 13.8</t>
        </is>
      </c>
      <c r="L205" t="inlineStr">
        <is>
          <t>-1</t>
        </is>
      </c>
      <c r="M205" t="n">
        <v>0</v>
      </c>
      <c r="N205" t="n">
        <v>0</v>
      </c>
      <c r="O205" t="inlineStr">
        <is>
          <t>6</t>
        </is>
      </c>
      <c r="P205" s="2" t="n">
        <v>44659.60028225694</v>
      </c>
      <c r="Q205" t="n">
        <v>15</v>
      </c>
      <c r="R205" t="inlineStr">
        <is>
          <t>BARRO BLANCO 220</t>
        </is>
      </c>
      <c r="S205" t="n">
        <v>0</v>
      </c>
      <c r="T205" t="n">
        <v>0</v>
      </c>
      <c r="U205" t="n">
        <v>0</v>
      </c>
      <c r="V205" t="n">
        <v>0</v>
      </c>
      <c r="W205" t="inlineStr">
        <is>
          <t>SAESA</t>
        </is>
      </c>
      <c r="X205" t="n">
        <v>0</v>
      </c>
      <c r="Y205" t="n">
        <v>0</v>
      </c>
      <c r="Z205" t="n">
        <v>0</v>
      </c>
      <c r="AA205" t="n">
        <v>0</v>
      </c>
      <c r="AB205" t="n">
        <v>0</v>
      </c>
      <c r="AC205" t="n">
        <v>0</v>
      </c>
      <c r="AD205" s="2" t="n">
        <v>44166</v>
      </c>
    </row>
    <row r="206">
      <c r="A206" t="n">
        <v>-1</v>
      </c>
      <c r="B206" t="inlineStr">
        <is>
          <t>01-12-2020</t>
        </is>
      </c>
      <c r="C206" t="n">
        <v>2020</v>
      </c>
      <c r="D206" t="n">
        <v>12</v>
      </c>
      <c r="E206" t="inlineStr">
        <is>
          <t>pilmaiquen 13.8</t>
        </is>
      </c>
      <c r="F206" t="inlineStr">
        <is>
          <t>SAESA</t>
        </is>
      </c>
      <c r="G206" t="inlineStr">
        <is>
          <t>SAESA</t>
        </is>
      </c>
      <c r="H206" t="inlineStr">
        <is>
          <t>Empresa Eléctrica Carén S.A.</t>
        </is>
      </c>
      <c r="I206" t="inlineStr">
        <is>
          <t>Empresa Eléctrica Carén S.A.</t>
        </is>
      </c>
      <c r="J206" t="inlineStr">
        <is>
          <t>SIC 2013/03_2_BS1A_BB_Saesa_Empresa Eléctrica Carén S.A.</t>
        </is>
      </c>
      <c r="K206" t="inlineStr">
        <is>
          <t>pilmaiquen 13.8</t>
        </is>
      </c>
      <c r="L206" t="inlineStr">
        <is>
          <t>-1</t>
        </is>
      </c>
      <c r="M206" t="n">
        <v>0</v>
      </c>
      <c r="N206" t="n">
        <v>0</v>
      </c>
      <c r="O206" t="inlineStr">
        <is>
          <t>6</t>
        </is>
      </c>
      <c r="P206" s="2" t="n">
        <v>44659.60028225694</v>
      </c>
      <c r="Q206" t="n">
        <v>6</v>
      </c>
      <c r="R206" t="inlineStr">
        <is>
          <t>MELIPULLI 220</t>
        </is>
      </c>
      <c r="S206" t="n">
        <v>0</v>
      </c>
      <c r="T206" t="n">
        <v>0</v>
      </c>
      <c r="U206" t="n">
        <v>0</v>
      </c>
      <c r="V206" t="n">
        <v>0</v>
      </c>
      <c r="W206" t="inlineStr">
        <is>
          <t>SAESA</t>
        </is>
      </c>
      <c r="X206" t="n">
        <v>0</v>
      </c>
      <c r="Y206" t="n">
        <v>0</v>
      </c>
      <c r="Z206" t="n">
        <v>0</v>
      </c>
      <c r="AA206" t="n">
        <v>0</v>
      </c>
      <c r="AB206" t="n">
        <v>0</v>
      </c>
      <c r="AC206" t="n">
        <v>0</v>
      </c>
      <c r="AD206" s="2" t="n">
        <v>44166</v>
      </c>
    </row>
    <row r="207">
      <c r="A207" t="n">
        <v>-1</v>
      </c>
      <c r="B207" t="inlineStr">
        <is>
          <t>01-12-2020</t>
        </is>
      </c>
      <c r="C207" t="n">
        <v>2020</v>
      </c>
      <c r="D207" t="n">
        <v>12</v>
      </c>
      <c r="E207" t="inlineStr">
        <is>
          <t>pilmaiquen 13.8</t>
        </is>
      </c>
      <c r="F207" t="inlineStr">
        <is>
          <t>SAESA</t>
        </is>
      </c>
      <c r="G207" t="inlineStr">
        <is>
          <t>SAESA</t>
        </is>
      </c>
      <c r="H207" t="inlineStr">
        <is>
          <t>Empresa Eléctrica Carén S.A.</t>
        </is>
      </c>
      <c r="I207" t="inlineStr">
        <is>
          <t>Empresa Eléctrica Carén S.A.</t>
        </is>
      </c>
      <c r="J207" t="inlineStr">
        <is>
          <t>SIC 2013/03_2_BS1A_BB_Saesa_Empresa Eléctrica Carén S.A.</t>
        </is>
      </c>
      <c r="K207" t="inlineStr">
        <is>
          <t>pilmaiquen 13.8</t>
        </is>
      </c>
      <c r="L207" t="inlineStr">
        <is>
          <t>-1</t>
        </is>
      </c>
      <c r="M207" t="n">
        <v>0</v>
      </c>
      <c r="N207" t="n">
        <v>0</v>
      </c>
      <c r="O207" t="inlineStr">
        <is>
          <t>6</t>
        </is>
      </c>
      <c r="P207" s="2" t="n">
        <v>44659.60028225694</v>
      </c>
      <c r="Q207" t="n">
        <v>17</v>
      </c>
      <c r="R207" t="inlineStr">
        <is>
          <t>VALDIVIA 220</t>
        </is>
      </c>
      <c r="S207" t="n">
        <v>0</v>
      </c>
      <c r="T207" t="n">
        <v>0</v>
      </c>
      <c r="U207" t="n">
        <v>0</v>
      </c>
      <c r="V207" t="n">
        <v>0</v>
      </c>
      <c r="W207" t="inlineStr">
        <is>
          <t>SAESA</t>
        </is>
      </c>
      <c r="X207" t="n">
        <v>0</v>
      </c>
      <c r="Y207" t="n">
        <v>0</v>
      </c>
      <c r="Z207" t="n">
        <v>0</v>
      </c>
      <c r="AA207" t="n">
        <v>0</v>
      </c>
      <c r="AB207" t="n">
        <v>0</v>
      </c>
      <c r="AC207" t="n">
        <v>0</v>
      </c>
      <c r="AD207" s="2" t="n">
        <v>44166</v>
      </c>
    </row>
    <row r="208">
      <c r="A208" t="n">
        <v>-1</v>
      </c>
      <c r="B208" t="inlineStr">
        <is>
          <t>01-12-2020</t>
        </is>
      </c>
      <c r="C208" t="n">
        <v>2020</v>
      </c>
      <c r="D208" t="n">
        <v>12</v>
      </c>
      <c r="E208" t="inlineStr">
        <is>
          <t>Puerto Varas 13.8</t>
        </is>
      </c>
      <c r="F208" t="inlineStr">
        <is>
          <t>SAESA</t>
        </is>
      </c>
      <c r="G208" t="inlineStr">
        <is>
          <t>SAESA</t>
        </is>
      </c>
      <c r="H208" t="inlineStr">
        <is>
          <t>Empresa Eléctrica Carén S.A.</t>
        </is>
      </c>
      <c r="I208" t="inlineStr">
        <is>
          <t>Empresa Eléctrica Carén S.A.</t>
        </is>
      </c>
      <c r="J208" t="inlineStr">
        <is>
          <t>SIC 2013/03_2_BS1A_BB_Saesa_Empresa Eléctrica Carén S.A.</t>
        </is>
      </c>
      <c r="K208" t="inlineStr">
        <is>
          <t>Puerto Varas 13.8</t>
        </is>
      </c>
      <c r="L208" t="inlineStr">
        <is>
          <t>-1</t>
        </is>
      </c>
      <c r="M208" t="n">
        <v>3014.230976201803</v>
      </c>
      <c r="N208" t="n">
        <v>0</v>
      </c>
      <c r="O208" t="inlineStr">
        <is>
          <t>6</t>
        </is>
      </c>
      <c r="P208" s="2" t="n">
        <v>44659.60028225694</v>
      </c>
      <c r="Q208" t="n">
        <v>15</v>
      </c>
      <c r="R208" t="inlineStr">
        <is>
          <t>BARRO BLANCO 220</t>
        </is>
      </c>
      <c r="S208" t="n">
        <v>246.4433727771283</v>
      </c>
      <c r="T208" t="n">
        <v>17154.7149870001</v>
      </c>
      <c r="U208" t="n">
        <v>0</v>
      </c>
      <c r="V208" t="n">
        <v>0</v>
      </c>
      <c r="W208" t="inlineStr">
        <is>
          <t>SAESA</t>
        </is>
      </c>
      <c r="X208" t="n">
        <v>79.19130285958501</v>
      </c>
      <c r="Y208" t="n">
        <v>17.1547149870001</v>
      </c>
      <c r="Z208" t="n">
        <v>19516.17177133118</v>
      </c>
      <c r="AA208" t="n">
        <v>0</v>
      </c>
      <c r="AB208" t="n">
        <v>0</v>
      </c>
      <c r="AC208" t="n">
        <v>0</v>
      </c>
      <c r="AD208" s="2" t="n">
        <v>44166</v>
      </c>
    </row>
    <row r="209">
      <c r="A209" t="n">
        <v>-1</v>
      </c>
      <c r="B209" t="inlineStr">
        <is>
          <t>01-12-2020</t>
        </is>
      </c>
      <c r="C209" t="n">
        <v>2020</v>
      </c>
      <c r="D209" t="n">
        <v>12</v>
      </c>
      <c r="E209" t="inlineStr">
        <is>
          <t>Puerto Varas 13.8</t>
        </is>
      </c>
      <c r="F209" t="inlineStr">
        <is>
          <t>SAESA</t>
        </is>
      </c>
      <c r="G209" t="inlineStr">
        <is>
          <t>SAESA</t>
        </is>
      </c>
      <c r="H209" t="inlineStr">
        <is>
          <t>Empresa Eléctrica Carén S.A.</t>
        </is>
      </c>
      <c r="I209" t="inlineStr">
        <is>
          <t>Empresa Eléctrica Carén S.A.</t>
        </is>
      </c>
      <c r="J209" t="inlineStr">
        <is>
          <t>SIC 2013/03_2_BS1A_BB_Saesa_Empresa Eléctrica Carén S.A.</t>
        </is>
      </c>
      <c r="K209" t="inlineStr">
        <is>
          <t>Puerto Varas 13.8</t>
        </is>
      </c>
      <c r="L209" t="inlineStr">
        <is>
          <t>-1</t>
        </is>
      </c>
      <c r="M209" t="n">
        <v>3014.230976201803</v>
      </c>
      <c r="N209" t="n">
        <v>0</v>
      </c>
      <c r="O209" t="inlineStr">
        <is>
          <t>6</t>
        </is>
      </c>
      <c r="P209" s="2" t="n">
        <v>44659.60028225694</v>
      </c>
      <c r="Q209" t="n">
        <v>6</v>
      </c>
      <c r="R209" t="inlineStr">
        <is>
          <t>MELIPULLI 220</t>
        </is>
      </c>
      <c r="S209" t="n">
        <v>2817.761048184161</v>
      </c>
      <c r="T209" t="n">
        <v>195237.7656070035</v>
      </c>
      <c r="U209" t="n">
        <v>0</v>
      </c>
      <c r="V209" t="n">
        <v>0</v>
      </c>
      <c r="W209" t="inlineStr">
        <is>
          <t>SAESA</t>
        </is>
      </c>
      <c r="X209" t="n">
        <v>78.82623657077399</v>
      </c>
      <c r="Y209" t="n">
        <v>195.2377656070034</v>
      </c>
      <c r="Z209" t="n">
        <v>222113.4989840768</v>
      </c>
      <c r="AA209" t="n">
        <v>0</v>
      </c>
      <c r="AB209" t="n">
        <v>0</v>
      </c>
      <c r="AC209" t="n">
        <v>0</v>
      </c>
      <c r="AD209" s="2" t="n">
        <v>44166</v>
      </c>
    </row>
    <row r="210">
      <c r="A210" t="n">
        <v>-1</v>
      </c>
      <c r="B210" t="inlineStr">
        <is>
          <t>01-12-2020</t>
        </is>
      </c>
      <c r="C210" t="n">
        <v>2020</v>
      </c>
      <c r="D210" t="n">
        <v>12</v>
      </c>
      <c r="E210" t="inlineStr">
        <is>
          <t>Pullinque 023</t>
        </is>
      </c>
      <c r="F210" t="inlineStr">
        <is>
          <t>SAESA</t>
        </is>
      </c>
      <c r="G210" t="inlineStr">
        <is>
          <t>SAESA</t>
        </is>
      </c>
      <c r="H210" t="inlineStr">
        <is>
          <t>Empresa Eléctrica Carén S.A.</t>
        </is>
      </c>
      <c r="I210" t="inlineStr">
        <is>
          <t>Empresa Eléctrica Carén S.A.</t>
        </is>
      </c>
      <c r="J210" t="inlineStr">
        <is>
          <t>SIC 2013/03_2_BS1A_BB_Saesa_Empresa Eléctrica Carén S.A.</t>
        </is>
      </c>
      <c r="K210" t="inlineStr">
        <is>
          <t>Pullinque 023</t>
        </is>
      </c>
      <c r="L210" t="inlineStr">
        <is>
          <t>-1</t>
        </is>
      </c>
      <c r="M210" t="n">
        <v>638.4655792225816</v>
      </c>
      <c r="N210" t="n">
        <v>0</v>
      </c>
      <c r="O210" t="inlineStr">
        <is>
          <t>6</t>
        </is>
      </c>
      <c r="P210" s="2" t="n">
        <v>44659.60028225694</v>
      </c>
      <c r="Q210" t="n">
        <v>15</v>
      </c>
      <c r="R210" t="inlineStr">
        <is>
          <t>BARRO BLANCO 220</t>
        </is>
      </c>
      <c r="S210" t="n">
        <v>171.5998735721868</v>
      </c>
      <c r="T210" t="n">
        <v>11944.92223411623</v>
      </c>
      <c r="U210" t="n">
        <v>0</v>
      </c>
      <c r="V210" t="n">
        <v>0</v>
      </c>
      <c r="W210" t="inlineStr">
        <is>
          <t>SAESA</t>
        </is>
      </c>
      <c r="X210" t="n">
        <v>79.19130285958501</v>
      </c>
      <c r="Y210" t="n">
        <v>11.94492223411623</v>
      </c>
      <c r="Z210" t="n">
        <v>13589.21755872154</v>
      </c>
      <c r="AA210" t="n">
        <v>0</v>
      </c>
      <c r="AB210" t="n">
        <v>0</v>
      </c>
      <c r="AC210" t="n">
        <v>0</v>
      </c>
      <c r="AD210" s="2" t="n">
        <v>44166</v>
      </c>
    </row>
    <row r="211">
      <c r="A211" t="n">
        <v>-1</v>
      </c>
      <c r="B211" t="inlineStr">
        <is>
          <t>01-12-2020</t>
        </is>
      </c>
      <c r="C211" t="n">
        <v>2020</v>
      </c>
      <c r="D211" t="n">
        <v>12</v>
      </c>
      <c r="E211" t="inlineStr">
        <is>
          <t>Pullinque 023</t>
        </is>
      </c>
      <c r="F211" t="inlineStr">
        <is>
          <t>SAESA</t>
        </is>
      </c>
      <c r="G211" t="inlineStr">
        <is>
          <t>SAESA</t>
        </is>
      </c>
      <c r="H211" t="inlineStr">
        <is>
          <t>Empresa Eléctrica Carén S.A.</t>
        </is>
      </c>
      <c r="I211" t="inlineStr">
        <is>
          <t>Empresa Eléctrica Carén S.A.</t>
        </is>
      </c>
      <c r="J211" t="inlineStr">
        <is>
          <t>SIC 2013/03_2_BS1A_BB_Saesa_Empresa Eléctrica Carén S.A.</t>
        </is>
      </c>
      <c r="K211" t="inlineStr">
        <is>
          <t>Pullinque 023</t>
        </is>
      </c>
      <c r="L211" t="inlineStr">
        <is>
          <t>-1</t>
        </is>
      </c>
      <c r="M211" t="n">
        <v>638.4655792225816</v>
      </c>
      <c r="N211" t="n">
        <v>0</v>
      </c>
      <c r="O211" t="inlineStr">
        <is>
          <t>6</t>
        </is>
      </c>
      <c r="P211" s="2" t="n">
        <v>44659.60028225694</v>
      </c>
      <c r="Q211" t="n">
        <v>6</v>
      </c>
      <c r="R211" t="inlineStr">
        <is>
          <t>MELIPULLI 220</t>
        </is>
      </c>
      <c r="S211" t="n">
        <v>2.094470823208705</v>
      </c>
      <c r="T211" t="n">
        <v>145.1222430361323</v>
      </c>
      <c r="U211" t="n">
        <v>0</v>
      </c>
      <c r="V211" t="n">
        <v>0</v>
      </c>
      <c r="W211" t="inlineStr">
        <is>
          <t>SAESA</t>
        </is>
      </c>
      <c r="X211" t="n">
        <v>78.826236570774</v>
      </c>
      <c r="Y211" t="n">
        <v>0.1451222430361324</v>
      </c>
      <c r="Z211" t="n">
        <v>165.0992526008332</v>
      </c>
      <c r="AA211" t="n">
        <v>0</v>
      </c>
      <c r="AB211" t="n">
        <v>0</v>
      </c>
      <c r="AC211" t="n">
        <v>0</v>
      </c>
      <c r="AD211" s="2" t="n">
        <v>44166</v>
      </c>
    </row>
    <row r="212">
      <c r="A212" t="n">
        <v>-1</v>
      </c>
      <c r="B212" t="inlineStr">
        <is>
          <t>01-12-2020</t>
        </is>
      </c>
      <c r="C212" t="n">
        <v>2020</v>
      </c>
      <c r="D212" t="n">
        <v>12</v>
      </c>
      <c r="E212" t="inlineStr">
        <is>
          <t>Pullinque 023</t>
        </is>
      </c>
      <c r="F212" t="inlineStr">
        <is>
          <t>SAESA</t>
        </is>
      </c>
      <c r="G212" t="inlineStr">
        <is>
          <t>SAESA</t>
        </is>
      </c>
      <c r="H212" t="inlineStr">
        <is>
          <t>Empresa Eléctrica Carén S.A.</t>
        </is>
      </c>
      <c r="I212" t="inlineStr">
        <is>
          <t>Empresa Eléctrica Carén S.A.</t>
        </is>
      </c>
      <c r="J212" t="inlineStr">
        <is>
          <t>SIC 2013/03_2_BS1A_BB_Saesa_Empresa Eléctrica Carén S.A.</t>
        </is>
      </c>
      <c r="K212" t="inlineStr">
        <is>
          <t>Pullinque 023</t>
        </is>
      </c>
      <c r="L212" t="inlineStr">
        <is>
          <t>-1</t>
        </is>
      </c>
      <c r="M212" t="n">
        <v>638.4655792225816</v>
      </c>
      <c r="N212" t="n">
        <v>0</v>
      </c>
      <c r="O212" t="inlineStr">
        <is>
          <t>6</t>
        </is>
      </c>
      <c r="P212" s="2" t="n">
        <v>44659.60028225694</v>
      </c>
      <c r="Q212" t="n">
        <v>17</v>
      </c>
      <c r="R212" t="inlineStr">
        <is>
          <t>VALDIVIA 220</t>
        </is>
      </c>
      <c r="S212" t="n">
        <v>475.3564635658003</v>
      </c>
      <c r="T212" t="n">
        <v>35854.41448234066</v>
      </c>
      <c r="U212" t="n">
        <v>0</v>
      </c>
      <c r="V212" t="n">
        <v>0</v>
      </c>
      <c r="W212" t="inlineStr">
        <is>
          <t>SAESA</t>
        </is>
      </c>
      <c r="X212" t="n">
        <v>85.809299390577</v>
      </c>
      <c r="Y212" t="n">
        <v>35.85441448234066</v>
      </c>
      <c r="Z212" t="n">
        <v>40790.00509936366</v>
      </c>
      <c r="AA212" t="n">
        <v>0</v>
      </c>
      <c r="AB212" t="n">
        <v>0</v>
      </c>
      <c r="AC212" t="n">
        <v>0</v>
      </c>
      <c r="AD212" s="2" t="n">
        <v>44166</v>
      </c>
    </row>
    <row r="213">
      <c r="A213" t="n">
        <v>-1</v>
      </c>
      <c r="B213" t="inlineStr">
        <is>
          <t>01-12-2020</t>
        </is>
      </c>
      <c r="C213" t="n">
        <v>2020</v>
      </c>
      <c r="D213" t="n">
        <v>12</v>
      </c>
      <c r="E213" t="inlineStr">
        <is>
          <t>Purranque 13.8</t>
        </is>
      </c>
      <c r="F213" t="inlineStr">
        <is>
          <t>SAESA</t>
        </is>
      </c>
      <c r="G213" t="inlineStr">
        <is>
          <t>SAESA</t>
        </is>
      </c>
      <c r="H213" t="inlineStr">
        <is>
          <t>Empresa Eléctrica Carén S.A.</t>
        </is>
      </c>
      <c r="I213" t="inlineStr">
        <is>
          <t>Empresa Eléctrica Carén S.A.</t>
        </is>
      </c>
      <c r="J213" t="inlineStr">
        <is>
          <t>SIC 2013/03_2_BS1A_BB_Saesa_Empresa Eléctrica Carén S.A.</t>
        </is>
      </c>
      <c r="K213" t="inlineStr">
        <is>
          <t>Purranque 13.8</t>
        </is>
      </c>
      <c r="L213" t="inlineStr">
        <is>
          <t>-1</t>
        </is>
      </c>
      <c r="M213" t="n">
        <v>976.2762752103465</v>
      </c>
      <c r="N213" t="n">
        <v>0</v>
      </c>
      <c r="O213" t="inlineStr">
        <is>
          <t>6</t>
        </is>
      </c>
      <c r="P213" s="2" t="n">
        <v>44659.60028225694</v>
      </c>
      <c r="Q213" t="n">
        <v>15</v>
      </c>
      <c r="R213" t="inlineStr">
        <is>
          <t>BARRO BLANCO 220</t>
        </is>
      </c>
      <c r="S213" t="n">
        <v>774.6997449605291</v>
      </c>
      <c r="T213" t="n">
        <v>53926.1947908746</v>
      </c>
      <c r="U213" t="n">
        <v>0</v>
      </c>
      <c r="V213" t="n">
        <v>0</v>
      </c>
      <c r="W213" t="inlineStr">
        <is>
          <t>SAESA</t>
        </is>
      </c>
      <c r="X213" t="n">
        <v>79.19130285958499</v>
      </c>
      <c r="Y213" t="n">
        <v>53.9261947908746</v>
      </c>
      <c r="Z213" t="n">
        <v>61349.48212841251</v>
      </c>
      <c r="AA213" t="n">
        <v>0</v>
      </c>
      <c r="AB213" t="n">
        <v>0</v>
      </c>
      <c r="AC213" t="n">
        <v>0</v>
      </c>
      <c r="AD213" s="2" t="n">
        <v>44166</v>
      </c>
    </row>
    <row r="214">
      <c r="A214" t="n">
        <v>-1</v>
      </c>
      <c r="B214" t="inlineStr">
        <is>
          <t>01-12-2020</t>
        </is>
      </c>
      <c r="C214" t="n">
        <v>2020</v>
      </c>
      <c r="D214" t="n">
        <v>12</v>
      </c>
      <c r="E214" t="inlineStr">
        <is>
          <t>Purranque 13.8</t>
        </is>
      </c>
      <c r="F214" t="inlineStr">
        <is>
          <t>SAESA</t>
        </is>
      </c>
      <c r="G214" t="inlineStr">
        <is>
          <t>SAESA</t>
        </is>
      </c>
      <c r="H214" t="inlineStr">
        <is>
          <t>Empresa Eléctrica Carén S.A.</t>
        </is>
      </c>
      <c r="I214" t="inlineStr">
        <is>
          <t>Empresa Eléctrica Carén S.A.</t>
        </is>
      </c>
      <c r="J214" t="inlineStr">
        <is>
          <t>SIC 2013/03_2_BS1A_BB_Saesa_Empresa Eléctrica Carén S.A.</t>
        </is>
      </c>
      <c r="K214" t="inlineStr">
        <is>
          <t>Purranque 13.8</t>
        </is>
      </c>
      <c r="L214" t="inlineStr">
        <is>
          <t>-1</t>
        </is>
      </c>
      <c r="M214" t="n">
        <v>976.2762752103465</v>
      </c>
      <c r="N214" t="n">
        <v>0</v>
      </c>
      <c r="O214" t="inlineStr">
        <is>
          <t>6</t>
        </is>
      </c>
      <c r="P214" s="2" t="n">
        <v>44659.60028225694</v>
      </c>
      <c r="Q214" t="n">
        <v>6</v>
      </c>
      <c r="R214" t="inlineStr">
        <is>
          <t>MELIPULLI 220</t>
        </is>
      </c>
      <c r="S214" t="n">
        <v>217.5178341743878</v>
      </c>
      <c r="T214" t="n">
        <v>15071.43267213857</v>
      </c>
      <c r="U214" t="n">
        <v>0</v>
      </c>
      <c r="V214" t="n">
        <v>0</v>
      </c>
      <c r="W214" t="inlineStr">
        <is>
          <t>SAESA</t>
        </is>
      </c>
      <c r="X214" t="n">
        <v>78.82623657077399</v>
      </c>
      <c r="Y214" t="n">
        <v>15.07143267213856</v>
      </c>
      <c r="Z214" t="n">
        <v>17146.11225499268</v>
      </c>
      <c r="AA214" t="n">
        <v>0</v>
      </c>
      <c r="AB214" t="n">
        <v>0</v>
      </c>
      <c r="AC214" t="n">
        <v>0</v>
      </c>
      <c r="AD214" s="2" t="n">
        <v>44166</v>
      </c>
    </row>
    <row r="215">
      <c r="A215" t="n">
        <v>-1</v>
      </c>
      <c r="B215" t="inlineStr">
        <is>
          <t>01-12-2020</t>
        </is>
      </c>
      <c r="C215" t="n">
        <v>2020</v>
      </c>
      <c r="D215" t="n">
        <v>12</v>
      </c>
      <c r="E215" t="inlineStr">
        <is>
          <t>Purranque 13.8</t>
        </is>
      </c>
      <c r="F215" t="inlineStr">
        <is>
          <t>SAESA</t>
        </is>
      </c>
      <c r="G215" t="inlineStr">
        <is>
          <t>SAESA</t>
        </is>
      </c>
      <c r="H215" t="inlineStr">
        <is>
          <t>Empresa Eléctrica Carén S.A.</t>
        </is>
      </c>
      <c r="I215" t="inlineStr">
        <is>
          <t>Empresa Eléctrica Carén S.A.</t>
        </is>
      </c>
      <c r="J215" t="inlineStr">
        <is>
          <t>SIC 2013/03_2_BS1A_BB_Saesa_Empresa Eléctrica Carén S.A.</t>
        </is>
      </c>
      <c r="K215" t="inlineStr">
        <is>
          <t>Purranque 13.8</t>
        </is>
      </c>
      <c r="L215" t="inlineStr">
        <is>
          <t>-1</t>
        </is>
      </c>
      <c r="M215" t="n">
        <v>976.2762752103465</v>
      </c>
      <c r="N215" t="n">
        <v>0</v>
      </c>
      <c r="O215" t="inlineStr">
        <is>
          <t>6</t>
        </is>
      </c>
      <c r="P215" s="2" t="n">
        <v>44659.60028225694</v>
      </c>
      <c r="Q215" t="n">
        <v>17</v>
      </c>
      <c r="R215" t="inlineStr">
        <is>
          <t>VALDIVIA 220</t>
        </is>
      </c>
      <c r="S215" t="n">
        <v>0.2445454328322119</v>
      </c>
      <c r="T215" t="n">
        <v>18.44517531697731</v>
      </c>
      <c r="U215" t="n">
        <v>0</v>
      </c>
      <c r="V215" t="n">
        <v>0</v>
      </c>
      <c r="W215" t="inlineStr">
        <is>
          <t>SAESA</t>
        </is>
      </c>
      <c r="X215" t="n">
        <v>85.80929939057698</v>
      </c>
      <c r="Y215" t="n">
        <v>0.01844517531697731</v>
      </c>
      <c r="Z215" t="n">
        <v>20.98427226049751</v>
      </c>
      <c r="AA215" t="n">
        <v>0</v>
      </c>
      <c r="AB215" t="n">
        <v>0</v>
      </c>
      <c r="AC215" t="n">
        <v>0</v>
      </c>
      <c r="AD215" s="2" t="n">
        <v>44166</v>
      </c>
    </row>
    <row r="216">
      <c r="A216" t="n">
        <v>-1</v>
      </c>
      <c r="B216" t="inlineStr">
        <is>
          <t>01-12-2020</t>
        </is>
      </c>
      <c r="C216" t="n">
        <v>2020</v>
      </c>
      <c r="D216" t="n">
        <v>12</v>
      </c>
      <c r="E216" t="inlineStr">
        <is>
          <t>Quellon 023</t>
        </is>
      </c>
      <c r="F216" t="inlineStr">
        <is>
          <t>SAESA</t>
        </is>
      </c>
      <c r="G216" t="inlineStr">
        <is>
          <t>SAESA</t>
        </is>
      </c>
      <c r="H216" t="inlineStr">
        <is>
          <t>Empresa Eléctrica Carén S.A.</t>
        </is>
      </c>
      <c r="I216" t="inlineStr">
        <is>
          <t>Empresa Eléctrica Carén S.A.</t>
        </is>
      </c>
      <c r="J216" t="inlineStr">
        <is>
          <t>SIC 2013/03_2_BS1A_BB_Saesa_Empresa Eléctrica Carén S.A.</t>
        </is>
      </c>
      <c r="K216" t="inlineStr">
        <is>
          <t>Quellon 023</t>
        </is>
      </c>
      <c r="L216" t="inlineStr">
        <is>
          <t>-1</t>
        </is>
      </c>
      <c r="M216" t="n">
        <v>1626.368728557147</v>
      </c>
      <c r="N216" t="n">
        <v>0</v>
      </c>
      <c r="O216" t="inlineStr">
        <is>
          <t>6</t>
        </is>
      </c>
      <c r="P216" s="2" t="n">
        <v>44659.60028225694</v>
      </c>
      <c r="Q216" t="n">
        <v>24</v>
      </c>
      <c r="R216" t="inlineStr">
        <is>
          <t>CHILOE 220</t>
        </is>
      </c>
      <c r="S216" t="n">
        <v>1653.332570564211</v>
      </c>
      <c r="T216" t="n">
        <v>115440.7790139355</v>
      </c>
      <c r="U216" t="n">
        <v>0</v>
      </c>
      <c r="V216" t="n">
        <v>0</v>
      </c>
      <c r="W216" t="inlineStr">
        <is>
          <t>SAESA</t>
        </is>
      </c>
      <c r="X216" t="n">
        <v>79.43468035948199</v>
      </c>
      <c r="Y216" t="n">
        <v>115.4407790139355</v>
      </c>
      <c r="Z216" t="n">
        <v>131331.9442706888</v>
      </c>
      <c r="AA216" t="n">
        <v>0</v>
      </c>
      <c r="AB216" t="n">
        <v>0</v>
      </c>
      <c r="AC216" t="n">
        <v>0</v>
      </c>
      <c r="AD216" s="2" t="n">
        <v>44166</v>
      </c>
    </row>
    <row r="217">
      <c r="A217" t="n">
        <v>-1</v>
      </c>
      <c r="B217" t="inlineStr">
        <is>
          <t>01-12-2020</t>
        </is>
      </c>
      <c r="C217" t="n">
        <v>2020</v>
      </c>
      <c r="D217" t="n">
        <v>12</v>
      </c>
      <c r="E217" t="inlineStr">
        <is>
          <t>Rio Negro 23</t>
        </is>
      </c>
      <c r="F217" t="inlineStr">
        <is>
          <t>SAESA</t>
        </is>
      </c>
      <c r="G217" t="inlineStr">
        <is>
          <t>SAESA</t>
        </is>
      </c>
      <c r="H217" t="inlineStr">
        <is>
          <t>Empresa Eléctrica Carén S.A.</t>
        </is>
      </c>
      <c r="I217" t="inlineStr">
        <is>
          <t>Empresa Eléctrica Carén S.A.</t>
        </is>
      </c>
      <c r="J217" t="inlineStr">
        <is>
          <t>SIC 2013/03_2_BS1A_BB_Saesa_Empresa Eléctrica Carén S.A.</t>
        </is>
      </c>
      <c r="K217" t="inlineStr">
        <is>
          <t>Rio Negro 23</t>
        </is>
      </c>
      <c r="L217" t="inlineStr">
        <is>
          <t>-1</t>
        </is>
      </c>
      <c r="M217" t="n">
        <v>1002.243427914198</v>
      </c>
      <c r="N217" t="n">
        <v>0</v>
      </c>
      <c r="O217" t="inlineStr">
        <is>
          <t>6</t>
        </is>
      </c>
      <c r="P217" s="2" t="n">
        <v>44659.60028225694</v>
      </c>
      <c r="Q217" t="n">
        <v>15</v>
      </c>
      <c r="R217" t="inlineStr">
        <is>
          <t>BARRO BLANCO 220</t>
        </is>
      </c>
      <c r="S217" t="n">
        <v>886.9458718918313</v>
      </c>
      <c r="T217" t="n">
        <v>61739.55286255827</v>
      </c>
      <c r="U217" t="n">
        <v>0</v>
      </c>
      <c r="V217" t="n">
        <v>0</v>
      </c>
      <c r="W217" t="inlineStr">
        <is>
          <t>SAESA</t>
        </is>
      </c>
      <c r="X217" t="n">
        <v>79.19130285958499</v>
      </c>
      <c r="Y217" t="n">
        <v>61.73955286255828</v>
      </c>
      <c r="Z217" t="n">
        <v>70238.39916104468</v>
      </c>
      <c r="AA217" t="n">
        <v>0</v>
      </c>
      <c r="AB217" t="n">
        <v>0</v>
      </c>
      <c r="AC217" t="n">
        <v>0</v>
      </c>
      <c r="AD217" s="2" t="n">
        <v>44166</v>
      </c>
    </row>
    <row r="218">
      <c r="A218" t="n">
        <v>-1</v>
      </c>
      <c r="B218" t="inlineStr">
        <is>
          <t>01-12-2020</t>
        </is>
      </c>
      <c r="C218" t="n">
        <v>2020</v>
      </c>
      <c r="D218" t="n">
        <v>12</v>
      </c>
      <c r="E218" t="inlineStr">
        <is>
          <t>Rio Negro 23</t>
        </is>
      </c>
      <c r="F218" t="inlineStr">
        <is>
          <t>SAESA</t>
        </is>
      </c>
      <c r="G218" t="inlineStr">
        <is>
          <t>SAESA</t>
        </is>
      </c>
      <c r="H218" t="inlineStr">
        <is>
          <t>Empresa Eléctrica Carén S.A.</t>
        </is>
      </c>
      <c r="I218" t="inlineStr">
        <is>
          <t>Empresa Eléctrica Carén S.A.</t>
        </is>
      </c>
      <c r="J218" t="inlineStr">
        <is>
          <t>SIC 2013/03_2_BS1A_BB_Saesa_Empresa Eléctrica Carén S.A.</t>
        </is>
      </c>
      <c r="K218" t="inlineStr">
        <is>
          <t>Rio Negro 23</t>
        </is>
      </c>
      <c r="L218" t="inlineStr">
        <is>
          <t>-1</t>
        </is>
      </c>
      <c r="M218" t="n">
        <v>1002.243427914198</v>
      </c>
      <c r="N218" t="n">
        <v>0</v>
      </c>
      <c r="O218" t="inlineStr">
        <is>
          <t>6</t>
        </is>
      </c>
      <c r="P218" s="2" t="n">
        <v>44659.60028225694</v>
      </c>
      <c r="Q218" t="n">
        <v>6</v>
      </c>
      <c r="R218" t="inlineStr">
        <is>
          <t>MELIPULLI 220</t>
        </is>
      </c>
      <c r="S218" t="n">
        <v>131.9139191928953</v>
      </c>
      <c r="T218" t="n">
        <v>9140.086187322599</v>
      </c>
      <c r="U218" t="n">
        <v>0</v>
      </c>
      <c r="V218" t="n">
        <v>0</v>
      </c>
      <c r="W218" t="inlineStr">
        <is>
          <t>SAESA</t>
        </is>
      </c>
      <c r="X218" t="n">
        <v>78.82623657077399</v>
      </c>
      <c r="Y218" t="n">
        <v>9.140086187322598</v>
      </c>
      <c r="Z218" t="n">
        <v>10398.27780127713</v>
      </c>
      <c r="AA218" t="n">
        <v>0</v>
      </c>
      <c r="AB218" t="n">
        <v>0</v>
      </c>
      <c r="AC218" t="n">
        <v>0</v>
      </c>
      <c r="AD218" s="2" t="n">
        <v>44166</v>
      </c>
    </row>
    <row r="219">
      <c r="A219" t="n">
        <v>-1</v>
      </c>
      <c r="B219" t="inlineStr">
        <is>
          <t>01-12-2020</t>
        </is>
      </c>
      <c r="C219" t="n">
        <v>2020</v>
      </c>
      <c r="D219" t="n">
        <v>12</v>
      </c>
      <c r="E219" t="inlineStr">
        <is>
          <t>Sangra 23</t>
        </is>
      </c>
      <c r="F219" t="inlineStr">
        <is>
          <t>SAESA</t>
        </is>
      </c>
      <c r="G219" t="inlineStr">
        <is>
          <t>SAESA</t>
        </is>
      </c>
      <c r="H219" t="inlineStr">
        <is>
          <t>Empresa Eléctrica Carén S.A.</t>
        </is>
      </c>
      <c r="I219" t="inlineStr">
        <is>
          <t>Empresa Eléctrica Carén S.A.</t>
        </is>
      </c>
      <c r="J219" t="inlineStr">
        <is>
          <t>SIC 2013/03_2_BS1A_BB_Saesa_Empresa Eléctrica Carén S.A.</t>
        </is>
      </c>
      <c r="K219" t="inlineStr">
        <is>
          <t>Sangra 23</t>
        </is>
      </c>
      <c r="L219" t="inlineStr">
        <is>
          <t>-1</t>
        </is>
      </c>
      <c r="M219" t="n">
        <v>1257.538553223934</v>
      </c>
      <c r="N219" t="n">
        <v>0</v>
      </c>
      <c r="O219" t="inlineStr">
        <is>
          <t>6</t>
        </is>
      </c>
      <c r="P219" s="2" t="n">
        <v>44659.60028225694</v>
      </c>
      <c r="Q219" t="n">
        <v>15</v>
      </c>
      <c r="R219" t="inlineStr">
        <is>
          <t>BARRO BLANCO 220</t>
        </is>
      </c>
      <c r="S219" t="n">
        <v>37.85917359551366</v>
      </c>
      <c r="T219" t="n">
        <v>2635.345091067799</v>
      </c>
      <c r="U219" t="n">
        <v>0</v>
      </c>
      <c r="V219" t="n">
        <v>0</v>
      </c>
      <c r="W219" t="inlineStr">
        <is>
          <t>SAESA</t>
        </is>
      </c>
      <c r="X219" t="n">
        <v>79.19130285958501</v>
      </c>
      <c r="Y219" t="n">
        <v>2.635345091067799</v>
      </c>
      <c r="Z219" t="n">
        <v>2998.117282215926</v>
      </c>
      <c r="AA219" t="n">
        <v>0</v>
      </c>
      <c r="AB219" t="n">
        <v>0</v>
      </c>
      <c r="AC219" t="n">
        <v>0</v>
      </c>
      <c r="AD219" s="2" t="n">
        <v>44166</v>
      </c>
    </row>
    <row r="220">
      <c r="A220" t="n">
        <v>-1</v>
      </c>
      <c r="B220" t="inlineStr">
        <is>
          <t>01-12-2020</t>
        </is>
      </c>
      <c r="C220" t="n">
        <v>2020</v>
      </c>
      <c r="D220" t="n">
        <v>12</v>
      </c>
      <c r="E220" t="inlineStr">
        <is>
          <t>Sangra 23</t>
        </is>
      </c>
      <c r="F220" t="inlineStr">
        <is>
          <t>SAESA</t>
        </is>
      </c>
      <c r="G220" t="inlineStr">
        <is>
          <t>SAESA</t>
        </is>
      </c>
      <c r="H220" t="inlineStr">
        <is>
          <t>Empresa Eléctrica Carén S.A.</t>
        </is>
      </c>
      <c r="I220" t="inlineStr">
        <is>
          <t>Empresa Eléctrica Carén S.A.</t>
        </is>
      </c>
      <c r="J220" t="inlineStr">
        <is>
          <t>SIC 2013/03_2_BS1A_BB_Saesa_Empresa Eléctrica Carén S.A.</t>
        </is>
      </c>
      <c r="K220" t="inlineStr">
        <is>
          <t>Sangra 23</t>
        </is>
      </c>
      <c r="L220" t="inlineStr">
        <is>
          <t>-1</t>
        </is>
      </c>
      <c r="M220" t="n">
        <v>1257.538553223934</v>
      </c>
      <c r="N220" t="n">
        <v>0</v>
      </c>
      <c r="O220" t="inlineStr">
        <is>
          <t>6</t>
        </is>
      </c>
      <c r="P220" s="2" t="n">
        <v>44659.60028225694</v>
      </c>
      <c r="Q220" t="n">
        <v>6</v>
      </c>
      <c r="R220" t="inlineStr">
        <is>
          <t>MELIPULLI 220</t>
        </is>
      </c>
      <c r="S220" t="n">
        <v>1240.528323826335</v>
      </c>
      <c r="T220" t="n">
        <v>85954.05145235207</v>
      </c>
      <c r="U220" t="n">
        <v>0</v>
      </c>
      <c r="V220" t="n">
        <v>0</v>
      </c>
      <c r="W220" t="inlineStr">
        <is>
          <t>SAESA</t>
        </is>
      </c>
      <c r="X220" t="n">
        <v>78.82623657077399</v>
      </c>
      <c r="Y220" t="n">
        <v>85.95405145235206</v>
      </c>
      <c r="Z220" t="n">
        <v>97786.17912668039</v>
      </c>
      <c r="AA220" t="n">
        <v>0</v>
      </c>
      <c r="AB220" t="n">
        <v>0</v>
      </c>
      <c r="AC220" t="n">
        <v>0</v>
      </c>
      <c r="AD220" s="2" t="n">
        <v>44166</v>
      </c>
    </row>
    <row r="221">
      <c r="A221" t="n">
        <v>-1</v>
      </c>
      <c r="B221" t="inlineStr">
        <is>
          <t>01-12-2020</t>
        </is>
      </c>
      <c r="C221" t="n">
        <v>2020</v>
      </c>
      <c r="D221" t="n">
        <v>12</v>
      </c>
      <c r="E221" t="inlineStr">
        <is>
          <t>Valdivia 13.8</t>
        </is>
      </c>
      <c r="F221" t="inlineStr">
        <is>
          <t>SAESA</t>
        </is>
      </c>
      <c r="G221" t="inlineStr">
        <is>
          <t>SAESA</t>
        </is>
      </c>
      <c r="H221" t="inlineStr">
        <is>
          <t>Empresa Eléctrica Carén S.A.</t>
        </is>
      </c>
      <c r="I221" t="inlineStr">
        <is>
          <t>Empresa Eléctrica Carén S.A.</t>
        </is>
      </c>
      <c r="J221" t="inlineStr">
        <is>
          <t>SIC 2013/03_2_BS1A_BB_Saesa_Empresa Eléctrica Carén S.A.</t>
        </is>
      </c>
      <c r="K221" t="inlineStr">
        <is>
          <t>Valdivia 13.8</t>
        </is>
      </c>
      <c r="L221" t="inlineStr">
        <is>
          <t>-1</t>
        </is>
      </c>
      <c r="M221" t="n">
        <v>2882.929303015511</v>
      </c>
      <c r="N221" t="n">
        <v>0</v>
      </c>
      <c r="O221" t="inlineStr">
        <is>
          <t>6</t>
        </is>
      </c>
      <c r="P221" s="2" t="n">
        <v>44659.60028225694</v>
      </c>
      <c r="Q221" t="n">
        <v>15</v>
      </c>
      <c r="R221" t="inlineStr">
        <is>
          <t>BARRO BLANCO 220</t>
        </is>
      </c>
      <c r="S221" t="n">
        <v>249.1185614395623</v>
      </c>
      <c r="T221" t="n">
        <v>17340.93260982907</v>
      </c>
      <c r="U221" t="n">
        <v>0</v>
      </c>
      <c r="V221" t="n">
        <v>0</v>
      </c>
      <c r="W221" t="inlineStr">
        <is>
          <t>SAESA</t>
        </is>
      </c>
      <c r="X221" t="n">
        <v>79.19130285958499</v>
      </c>
      <c r="Y221" t="n">
        <v>17.34093260982907</v>
      </c>
      <c r="Z221" t="n">
        <v>19728.02344690451</v>
      </c>
      <c r="AA221" t="n">
        <v>0</v>
      </c>
      <c r="AB221" t="n">
        <v>0</v>
      </c>
      <c r="AC221" t="n">
        <v>0</v>
      </c>
      <c r="AD221" s="2" t="n">
        <v>44166</v>
      </c>
    </row>
    <row r="222">
      <c r="A222" t="n">
        <v>-1</v>
      </c>
      <c r="B222" t="inlineStr">
        <is>
          <t>01-12-2020</t>
        </is>
      </c>
      <c r="C222" t="n">
        <v>2020</v>
      </c>
      <c r="D222" t="n">
        <v>12</v>
      </c>
      <c r="E222" t="inlineStr">
        <is>
          <t>Valdivia 13.8</t>
        </is>
      </c>
      <c r="F222" t="inlineStr">
        <is>
          <t>SAESA</t>
        </is>
      </c>
      <c r="G222" t="inlineStr">
        <is>
          <t>SAESA</t>
        </is>
      </c>
      <c r="H222" t="inlineStr">
        <is>
          <t>Empresa Eléctrica Carén S.A.</t>
        </is>
      </c>
      <c r="I222" t="inlineStr">
        <is>
          <t>Empresa Eléctrica Carén S.A.</t>
        </is>
      </c>
      <c r="J222" t="inlineStr">
        <is>
          <t>SIC 2013/03_2_BS1A_BB_Saesa_Empresa Eléctrica Carén S.A.</t>
        </is>
      </c>
      <c r="K222" t="inlineStr">
        <is>
          <t>Valdivia 13.8</t>
        </is>
      </c>
      <c r="L222" t="inlineStr">
        <is>
          <t>-1</t>
        </is>
      </c>
      <c r="M222" t="n">
        <v>2882.929303015511</v>
      </c>
      <c r="N222" t="n">
        <v>0</v>
      </c>
      <c r="O222" t="inlineStr">
        <is>
          <t>6</t>
        </is>
      </c>
      <c r="P222" s="2" t="n">
        <v>44659.60028225694</v>
      </c>
      <c r="Q222" t="n">
        <v>6</v>
      </c>
      <c r="R222" t="inlineStr">
        <is>
          <t>MELIPULLI 220</t>
        </is>
      </c>
      <c r="S222" t="n">
        <v>4.58539590804648</v>
      </c>
      <c r="T222" t="n">
        <v>317.7141128015128</v>
      </c>
      <c r="U222" t="n">
        <v>0</v>
      </c>
      <c r="V222" t="n">
        <v>0</v>
      </c>
      <c r="W222" t="inlineStr">
        <is>
          <t>SAESA</t>
        </is>
      </c>
      <c r="X222" t="n">
        <v>78.826236570774</v>
      </c>
      <c r="Y222" t="n">
        <v>0.3177141128015128</v>
      </c>
      <c r="Z222" t="n">
        <v>361.4495026183308</v>
      </c>
      <c r="AA222" t="n">
        <v>0</v>
      </c>
      <c r="AB222" t="n">
        <v>0</v>
      </c>
      <c r="AC222" t="n">
        <v>0</v>
      </c>
      <c r="AD222" s="2" t="n">
        <v>44166</v>
      </c>
    </row>
    <row r="223">
      <c r="A223" t="n">
        <v>-1</v>
      </c>
      <c r="B223" t="inlineStr">
        <is>
          <t>01-12-2020</t>
        </is>
      </c>
      <c r="C223" t="n">
        <v>2020</v>
      </c>
      <c r="D223" t="n">
        <v>12</v>
      </c>
      <c r="E223" t="inlineStr">
        <is>
          <t>Valdivia 13.8</t>
        </is>
      </c>
      <c r="F223" t="inlineStr">
        <is>
          <t>SAESA</t>
        </is>
      </c>
      <c r="G223" t="inlineStr">
        <is>
          <t>SAESA</t>
        </is>
      </c>
      <c r="H223" t="inlineStr">
        <is>
          <t>Empresa Eléctrica Carén S.A.</t>
        </is>
      </c>
      <c r="I223" t="inlineStr">
        <is>
          <t>Empresa Eléctrica Carén S.A.</t>
        </is>
      </c>
      <c r="J223" t="inlineStr">
        <is>
          <t>SIC 2013/03_2_BS1A_BB_Saesa_Empresa Eléctrica Carén S.A.</t>
        </is>
      </c>
      <c r="K223" t="inlineStr">
        <is>
          <t>Valdivia 13.8</t>
        </is>
      </c>
      <c r="L223" t="inlineStr">
        <is>
          <t>-1</t>
        </is>
      </c>
      <c r="M223" t="n">
        <v>2882.929303015511</v>
      </c>
      <c r="N223" t="n">
        <v>0</v>
      </c>
      <c r="O223" t="inlineStr">
        <is>
          <t>6</t>
        </is>
      </c>
      <c r="P223" s="2" t="n">
        <v>44659.60028225694</v>
      </c>
      <c r="Q223" t="n">
        <v>17</v>
      </c>
      <c r="R223" t="inlineStr">
        <is>
          <t>VALDIVIA 220</t>
        </is>
      </c>
      <c r="S223" t="n">
        <v>2677.021917797648</v>
      </c>
      <c r="T223" t="n">
        <v>201918.0568178833</v>
      </c>
      <c r="U223" t="n">
        <v>0</v>
      </c>
      <c r="V223" t="n">
        <v>0</v>
      </c>
      <c r="W223" t="inlineStr">
        <is>
          <t>SAESA</t>
        </is>
      </c>
      <c r="X223" t="n">
        <v>85.80929939057698</v>
      </c>
      <c r="Y223" t="n">
        <v>201.9180568178833</v>
      </c>
      <c r="Z223" t="n">
        <v>229713.3752194349</v>
      </c>
      <c r="AA223" t="n">
        <v>0</v>
      </c>
      <c r="AB223" t="n">
        <v>0</v>
      </c>
      <c r="AC223" t="n">
        <v>0</v>
      </c>
      <c r="AD223" s="2" t="n">
        <v>44166</v>
      </c>
    </row>
    <row r="224">
      <c r="A224" t="n">
        <v>-1</v>
      </c>
      <c r="B224" t="inlineStr">
        <is>
          <t>01-01-2021</t>
        </is>
      </c>
      <c r="C224" t="n">
        <v>2021</v>
      </c>
      <c r="D224" t="n">
        <v>1</v>
      </c>
      <c r="E224" t="inlineStr">
        <is>
          <t>Aihuapi 023</t>
        </is>
      </c>
      <c r="F224" t="inlineStr">
        <is>
          <t>Saesa</t>
        </is>
      </c>
      <c r="G224" t="inlineStr">
        <is>
          <t>Saesa</t>
        </is>
      </c>
      <c r="H224" t="inlineStr">
        <is>
          <t>Empresa Eléctrica Carén S.A.</t>
        </is>
      </c>
      <c r="I224" t="inlineStr">
        <is>
          <t>Empresa Eléctrica Carén S.A.</t>
        </is>
      </c>
      <c r="J224" t="inlineStr">
        <is>
          <t>SIC 2013/03_2_BS1A_BB_SAESA_Empresa Eléctrica Carén S.A.</t>
        </is>
      </c>
      <c r="K224" t="inlineStr">
        <is>
          <t>Aihuapi 023</t>
        </is>
      </c>
      <c r="L224" t="inlineStr">
        <is>
          <t>-1</t>
        </is>
      </c>
      <c r="M224" t="n">
        <v>79.75437017646468</v>
      </c>
      <c r="N224" t="n">
        <v>0</v>
      </c>
      <c r="O224" t="inlineStr">
        <is>
          <t>6</t>
        </is>
      </c>
      <c r="P224" s="2" t="n">
        <v>44659.60028225694</v>
      </c>
      <c r="Q224" t="n">
        <v>68</v>
      </c>
      <c r="R224" t="inlineStr">
        <is>
          <t>RAHUE 220</t>
        </is>
      </c>
      <c r="S224" t="n">
        <v>81.47081927797652</v>
      </c>
      <c r="T224" t="n">
        <v>5653.576302277074</v>
      </c>
      <c r="U224" t="n">
        <v>0</v>
      </c>
      <c r="V224" t="n">
        <v>0</v>
      </c>
      <c r="W224" t="inlineStr">
        <is>
          <t>SAESA</t>
        </is>
      </c>
      <c r="X224" t="n">
        <v>76.67832106315818</v>
      </c>
      <c r="Y224" t="n">
        <v>5.653576302277074</v>
      </c>
      <c r="Z224" t="n">
        <v>6247.04563787522</v>
      </c>
      <c r="AA224" t="n">
        <v>0</v>
      </c>
      <c r="AB224" t="n">
        <v>0</v>
      </c>
      <c r="AC224" t="n">
        <v>0</v>
      </c>
      <c r="AD224" s="2" t="n">
        <v>44197</v>
      </c>
    </row>
    <row r="225">
      <c r="A225" t="n">
        <v>-1</v>
      </c>
      <c r="B225" t="inlineStr">
        <is>
          <t>01-01-2021</t>
        </is>
      </c>
      <c r="C225" t="n">
        <v>2021</v>
      </c>
      <c r="D225" t="n">
        <v>1</v>
      </c>
      <c r="E225" t="inlineStr">
        <is>
          <t>Alto Bonito 023</t>
        </is>
      </c>
      <c r="F225" t="inlineStr">
        <is>
          <t>Saesa</t>
        </is>
      </c>
      <c r="G225" t="inlineStr">
        <is>
          <t>Saesa</t>
        </is>
      </c>
      <c r="H225" t="inlineStr">
        <is>
          <t>Empresa Eléctrica Carén S.A.</t>
        </is>
      </c>
      <c r="I225" t="inlineStr">
        <is>
          <t>Empresa Eléctrica Carén S.A.</t>
        </is>
      </c>
      <c r="J225" t="inlineStr">
        <is>
          <t>SIC 2013/03_2_BS1A_BB_SAESA_Empresa Eléctrica Carén S.A.</t>
        </is>
      </c>
      <c r="K225" t="inlineStr">
        <is>
          <t>Alto Bonito 023</t>
        </is>
      </c>
      <c r="L225" t="inlineStr">
        <is>
          <t>-1</t>
        </is>
      </c>
      <c r="M225" t="n">
        <v>2218.944953445929</v>
      </c>
      <c r="N225" t="n">
        <v>0</v>
      </c>
      <c r="O225" t="inlineStr">
        <is>
          <t>6</t>
        </is>
      </c>
      <c r="P225" s="2" t="n">
        <v>44659.60028225694</v>
      </c>
      <c r="Q225" t="n">
        <v>6</v>
      </c>
      <c r="R225" t="inlineStr">
        <is>
          <t>MELIPULLI 220</t>
        </is>
      </c>
      <c r="S225" t="n">
        <v>2266.700406384989</v>
      </c>
      <c r="T225" t="n">
        <v>154880.0848243779</v>
      </c>
      <c r="U225" t="n">
        <v>0</v>
      </c>
      <c r="V225" t="n">
        <v>0</v>
      </c>
      <c r="W225" t="inlineStr">
        <is>
          <t>SAESA</t>
        </is>
      </c>
      <c r="X225" t="n">
        <v>75.50102995238473</v>
      </c>
      <c r="Y225" t="n">
        <v>154.8800848243779</v>
      </c>
      <c r="Z225" t="n">
        <v>171138.2152755557</v>
      </c>
      <c r="AA225" t="n">
        <v>0</v>
      </c>
      <c r="AB225" t="n">
        <v>0</v>
      </c>
      <c r="AC225" t="n">
        <v>0</v>
      </c>
      <c r="AD225" s="2" t="n">
        <v>44197</v>
      </c>
    </row>
    <row r="226">
      <c r="A226" t="n">
        <v>-1</v>
      </c>
      <c r="B226" t="inlineStr">
        <is>
          <t>01-01-2021</t>
        </is>
      </c>
      <c r="C226" t="n">
        <v>2021</v>
      </c>
      <c r="D226" t="n">
        <v>1</v>
      </c>
      <c r="E226" t="inlineStr">
        <is>
          <t>Ancud 023</t>
        </is>
      </c>
      <c r="F226" t="inlineStr">
        <is>
          <t>Saesa</t>
        </is>
      </c>
      <c r="G226" t="inlineStr">
        <is>
          <t>Saesa</t>
        </is>
      </c>
      <c r="H226" t="inlineStr">
        <is>
          <t>Empresa Eléctrica Carén S.A.</t>
        </is>
      </c>
      <c r="I226" t="inlineStr">
        <is>
          <t>Empresa Eléctrica Carén S.A.</t>
        </is>
      </c>
      <c r="J226" t="inlineStr">
        <is>
          <t>SIC 2013/03_2_BS1A_BB_SAESA_Empresa Eléctrica Carén S.A.</t>
        </is>
      </c>
      <c r="K226" t="inlineStr">
        <is>
          <t>Ancud 023</t>
        </is>
      </c>
      <c r="L226" t="inlineStr">
        <is>
          <t>-1</t>
        </is>
      </c>
      <c r="M226" t="n">
        <v>1832.122965230691</v>
      </c>
      <c r="N226" t="n">
        <v>0</v>
      </c>
      <c r="O226" t="inlineStr">
        <is>
          <t>6</t>
        </is>
      </c>
      <c r="P226" s="2" t="n">
        <v>44659.60028225694</v>
      </c>
      <c r="Q226" t="n">
        <v>24</v>
      </c>
      <c r="R226" t="inlineStr">
        <is>
          <t>CHILOE 220</t>
        </is>
      </c>
      <c r="S226" t="n">
        <v>1871.553353942574</v>
      </c>
      <c r="T226" t="n">
        <v>129498.4236516069</v>
      </c>
      <c r="U226" t="n">
        <v>0</v>
      </c>
      <c r="V226" t="n">
        <v>0</v>
      </c>
      <c r="W226" t="inlineStr">
        <is>
          <t>SAESA</t>
        </is>
      </c>
      <c r="X226" t="n">
        <v>76.4563727392916</v>
      </c>
      <c r="Y226" t="n">
        <v>129.4984236516069</v>
      </c>
      <c r="Z226" t="n">
        <v>143092.1808305048</v>
      </c>
      <c r="AA226" t="n">
        <v>0</v>
      </c>
      <c r="AB226" t="n">
        <v>0</v>
      </c>
      <c r="AC226" t="n">
        <v>0</v>
      </c>
      <c r="AD226" s="2" t="n">
        <v>44197</v>
      </c>
    </row>
    <row r="227">
      <c r="A227" t="n">
        <v>-1</v>
      </c>
      <c r="B227" t="inlineStr">
        <is>
          <t>01-01-2021</t>
        </is>
      </c>
      <c r="C227" t="n">
        <v>2021</v>
      </c>
      <c r="D227" t="n">
        <v>1</v>
      </c>
      <c r="E227" t="inlineStr">
        <is>
          <t>Armazones 023</t>
        </is>
      </c>
      <c r="F227" t="inlineStr">
        <is>
          <t>Saesa</t>
        </is>
      </c>
      <c r="G227" t="inlineStr">
        <is>
          <t>Saesa</t>
        </is>
      </c>
      <c r="H227" t="inlineStr">
        <is>
          <t>Empresa Eléctrica Carén S.A.</t>
        </is>
      </c>
      <c r="I227" t="inlineStr">
        <is>
          <t>Empresa Eléctrica Carén S.A.</t>
        </is>
      </c>
      <c r="J227" t="inlineStr">
        <is>
          <t>SIC 2013/03_2_BS1A_BB_SAESA_Empresa Eléctrica Carén S.A.</t>
        </is>
      </c>
      <c r="K227" t="inlineStr">
        <is>
          <t>Armazones 023</t>
        </is>
      </c>
      <c r="L227" t="inlineStr">
        <is>
          <t>-1</t>
        </is>
      </c>
      <c r="M227" t="n">
        <v>486.1614094968557</v>
      </c>
      <c r="N227" t="n">
        <v>0</v>
      </c>
      <c r="O227" t="inlineStr">
        <is>
          <t>2</t>
        </is>
      </c>
      <c r="P227" s="2" t="n">
        <v>44659.60028225694</v>
      </c>
      <c r="Q227" t="n">
        <v>12</v>
      </c>
      <c r="R227" t="inlineStr">
        <is>
          <t>DIEGO DE ALMAGRO 220</t>
        </is>
      </c>
      <c r="S227" t="n">
        <v>498.7375619874662</v>
      </c>
      <c r="T227" t="n">
        <v>39783.74831869214</v>
      </c>
      <c r="U227" t="n">
        <v>0</v>
      </c>
      <c r="V227" t="n">
        <v>0</v>
      </c>
      <c r="W227" t="inlineStr">
        <is>
          <t>SAESA</t>
        </is>
      </c>
      <c r="X227" t="n">
        <v>88.14243450684235</v>
      </c>
      <c r="Y227" t="n">
        <v>39.78374831869214</v>
      </c>
      <c r="Z227" t="n">
        <v>43959.94289358247</v>
      </c>
      <c r="AA227" t="n">
        <v>0</v>
      </c>
      <c r="AB227" t="n">
        <v>0</v>
      </c>
      <c r="AC227" t="n">
        <v>0</v>
      </c>
      <c r="AD227" s="2" t="n">
        <v>44197</v>
      </c>
    </row>
    <row r="228">
      <c r="A228" t="n">
        <v>-1</v>
      </c>
      <c r="B228" t="inlineStr">
        <is>
          <t>01-01-2021</t>
        </is>
      </c>
      <c r="C228" t="n">
        <v>2021</v>
      </c>
      <c r="D228" t="n">
        <v>1</v>
      </c>
      <c r="E228" t="inlineStr">
        <is>
          <t>Barro Blanco 023</t>
        </is>
      </c>
      <c r="F228" t="inlineStr">
        <is>
          <t>Saesa</t>
        </is>
      </c>
      <c r="G228" t="inlineStr">
        <is>
          <t>Saesa</t>
        </is>
      </c>
      <c r="H228" t="inlineStr">
        <is>
          <t>Empresa Eléctrica Carén S.A.</t>
        </is>
      </c>
      <c r="I228" t="inlineStr">
        <is>
          <t>Empresa Eléctrica Carén S.A.</t>
        </is>
      </c>
      <c r="J228" t="inlineStr">
        <is>
          <t>SIC 2013/03_2_BS1A_BB_SAESA_Empresa Eléctrica Carén S.A.</t>
        </is>
      </c>
      <c r="K228" t="inlineStr">
        <is>
          <t>Barro Blanco 023</t>
        </is>
      </c>
      <c r="L228" t="inlineStr">
        <is>
          <t>-1</t>
        </is>
      </c>
      <c r="M228" t="n">
        <v>1419.356491902918</v>
      </c>
      <c r="N228" t="n">
        <v>0</v>
      </c>
      <c r="O228" t="inlineStr">
        <is>
          <t>6</t>
        </is>
      </c>
      <c r="P228" s="2" t="n">
        <v>44659.60028225694</v>
      </c>
      <c r="Q228" t="n">
        <v>6</v>
      </c>
      <c r="R228" t="inlineStr">
        <is>
          <t>MELIPULLI 220</t>
        </is>
      </c>
      <c r="S228" t="n">
        <v>23.50430116206864</v>
      </c>
      <c r="T228" t="n">
        <v>1606.012046172729</v>
      </c>
      <c r="U228" t="n">
        <v>0</v>
      </c>
      <c r="V228" t="n">
        <v>0</v>
      </c>
      <c r="W228" t="inlineStr">
        <is>
          <t>SAESA</t>
        </is>
      </c>
      <c r="X228" t="n">
        <v>75.50102995238471</v>
      </c>
      <c r="Y228" t="n">
        <v>1.60601204617273</v>
      </c>
      <c r="Z228" t="n">
        <v>1774.598946047215</v>
      </c>
      <c r="AA228" t="n">
        <v>0</v>
      </c>
      <c r="AB228" t="n">
        <v>0</v>
      </c>
      <c r="AC228" t="n">
        <v>0</v>
      </c>
      <c r="AD228" s="2" t="n">
        <v>44197</v>
      </c>
    </row>
    <row r="229">
      <c r="A229" t="n">
        <v>-1</v>
      </c>
      <c r="B229" t="inlineStr">
        <is>
          <t>01-01-2021</t>
        </is>
      </c>
      <c r="C229" t="n">
        <v>2021</v>
      </c>
      <c r="D229" t="n">
        <v>1</v>
      </c>
      <c r="E229" t="inlineStr">
        <is>
          <t>Barro Blanco 023</t>
        </is>
      </c>
      <c r="F229" t="inlineStr">
        <is>
          <t>Saesa</t>
        </is>
      </c>
      <c r="G229" t="inlineStr">
        <is>
          <t>Saesa</t>
        </is>
      </c>
      <c r="H229" t="inlineStr">
        <is>
          <t>Empresa Eléctrica Carén S.A.</t>
        </is>
      </c>
      <c r="I229" t="inlineStr">
        <is>
          <t>Empresa Eléctrica Carén S.A.</t>
        </is>
      </c>
      <c r="J229" t="inlineStr">
        <is>
          <t>SIC 2013/03_2_BS1A_BB_SAESA_Empresa Eléctrica Carén S.A.</t>
        </is>
      </c>
      <c r="K229" t="inlineStr">
        <is>
          <t>Barro Blanco 023</t>
        </is>
      </c>
      <c r="L229" t="inlineStr">
        <is>
          <t>-1</t>
        </is>
      </c>
      <c r="M229" t="n">
        <v>1419.356491902918</v>
      </c>
      <c r="N229" t="n">
        <v>0</v>
      </c>
      <c r="O229" t="inlineStr">
        <is>
          <t>6</t>
        </is>
      </c>
      <c r="P229" s="2" t="n">
        <v>44659.60028225694</v>
      </c>
      <c r="Q229" t="n">
        <v>68</v>
      </c>
      <c r="R229" t="inlineStr">
        <is>
          <t>RAHUE 220</t>
        </is>
      </c>
      <c r="S229" t="n">
        <v>1418.295758128534</v>
      </c>
      <c r="T229" t="n">
        <v>98421.04644138702</v>
      </c>
      <c r="U229" t="n">
        <v>0</v>
      </c>
      <c r="V229" t="n">
        <v>0</v>
      </c>
      <c r="W229" t="inlineStr">
        <is>
          <t>SAESA</t>
        </is>
      </c>
      <c r="X229" t="n">
        <v>76.67832106315817</v>
      </c>
      <c r="Y229" t="n">
        <v>98.42104644138701</v>
      </c>
      <c r="Z229" t="n">
        <v>108752.537504295</v>
      </c>
      <c r="AA229" t="n">
        <v>0</v>
      </c>
      <c r="AB229" t="n">
        <v>0</v>
      </c>
      <c r="AC229" t="n">
        <v>0</v>
      </c>
      <c r="AD229" s="2" t="n">
        <v>44197</v>
      </c>
    </row>
    <row r="230">
      <c r="A230" t="n">
        <v>-1</v>
      </c>
      <c r="B230" t="inlineStr">
        <is>
          <t>01-01-2021</t>
        </is>
      </c>
      <c r="C230" t="n">
        <v>2021</v>
      </c>
      <c r="D230" t="n">
        <v>1</v>
      </c>
      <c r="E230" t="inlineStr">
        <is>
          <t>Barro Blanco 023</t>
        </is>
      </c>
      <c r="F230" t="inlineStr">
        <is>
          <t>Saesa</t>
        </is>
      </c>
      <c r="G230" t="inlineStr">
        <is>
          <t>Saesa</t>
        </is>
      </c>
      <c r="H230" t="inlineStr">
        <is>
          <t>Empresa Eléctrica Carén S.A.</t>
        </is>
      </c>
      <c r="I230" t="inlineStr">
        <is>
          <t>Empresa Eléctrica Carén S.A.</t>
        </is>
      </c>
      <c r="J230" t="inlineStr">
        <is>
          <t>SIC 2013/03_2_BS1A_BB_SAESA_Empresa Eléctrica Carén S.A.</t>
        </is>
      </c>
      <c r="K230" t="inlineStr">
        <is>
          <t>Barro Blanco 023</t>
        </is>
      </c>
      <c r="L230" t="inlineStr">
        <is>
          <t>-1</t>
        </is>
      </c>
      <c r="M230" t="n">
        <v>1419.356491902918</v>
      </c>
      <c r="N230" t="n">
        <v>0</v>
      </c>
      <c r="O230" t="inlineStr">
        <is>
          <t>6</t>
        </is>
      </c>
      <c r="P230" s="2" t="n">
        <v>44659.60028225694</v>
      </c>
      <c r="Q230" t="n">
        <v>17</v>
      </c>
      <c r="R230" t="inlineStr">
        <is>
          <t>VALDIVIA 220</t>
        </is>
      </c>
      <c r="S230" t="n">
        <v>8.103387843249399</v>
      </c>
      <c r="T230" t="n">
        <v>618.8694618200706</v>
      </c>
      <c r="U230" t="n">
        <v>0</v>
      </c>
      <c r="V230" t="n">
        <v>0</v>
      </c>
      <c r="W230" t="inlineStr">
        <is>
          <t>SAESA</t>
        </is>
      </c>
      <c r="X230" t="n">
        <v>84.38861284905239</v>
      </c>
      <c r="Y230" t="n">
        <v>0.6188694618200704</v>
      </c>
      <c r="Z230" t="n">
        <v>683.8336594696912</v>
      </c>
      <c r="AA230" t="n">
        <v>0</v>
      </c>
      <c r="AB230" t="n">
        <v>0</v>
      </c>
      <c r="AC230" t="n">
        <v>0</v>
      </c>
      <c r="AD230" s="2" t="n">
        <v>44197</v>
      </c>
    </row>
    <row r="231">
      <c r="A231" t="n">
        <v>-1</v>
      </c>
      <c r="B231" t="inlineStr">
        <is>
          <t>01-01-2021</t>
        </is>
      </c>
      <c r="C231" t="n">
        <v>2021</v>
      </c>
      <c r="D231" t="n">
        <v>1</v>
      </c>
      <c r="E231" t="inlineStr">
        <is>
          <t>Calbuco 023</t>
        </is>
      </c>
      <c r="F231" t="inlineStr">
        <is>
          <t>Saesa</t>
        </is>
      </c>
      <c r="G231" t="inlineStr">
        <is>
          <t>Saesa</t>
        </is>
      </c>
      <c r="H231" t="inlineStr">
        <is>
          <t>Empresa Eléctrica Carén S.A.</t>
        </is>
      </c>
      <c r="I231" t="inlineStr">
        <is>
          <t>Empresa Eléctrica Carén S.A.</t>
        </is>
      </c>
      <c r="J231" t="inlineStr">
        <is>
          <t>SIC 2013/03_2_BS1A_BB_SAESA_Empresa Eléctrica Carén S.A.</t>
        </is>
      </c>
      <c r="K231" t="inlineStr">
        <is>
          <t>Calbuco 023</t>
        </is>
      </c>
      <c r="L231" t="inlineStr">
        <is>
          <t>-1</t>
        </is>
      </c>
      <c r="M231" t="n">
        <v>881.0371576845104</v>
      </c>
      <c r="N231" t="n">
        <v>0</v>
      </c>
      <c r="O231" t="inlineStr">
        <is>
          <t>6</t>
        </is>
      </c>
      <c r="P231" s="2" t="n">
        <v>44659.60028225694</v>
      </c>
      <c r="Q231" t="n">
        <v>6</v>
      </c>
      <c r="R231" t="inlineStr">
        <is>
          <t>MELIPULLI 220</t>
        </is>
      </c>
      <c r="S231" t="n">
        <v>899.9985692580719</v>
      </c>
      <c r="T231" t="n">
        <v>61495.49113586466</v>
      </c>
      <c r="U231" t="n">
        <v>0</v>
      </c>
      <c r="V231" t="n">
        <v>0</v>
      </c>
      <c r="W231" t="inlineStr">
        <is>
          <t>SAESA</t>
        </is>
      </c>
      <c r="X231" t="n">
        <v>75.50102995238473</v>
      </c>
      <c r="Y231" t="n">
        <v>61.49549113586467</v>
      </c>
      <c r="Z231" t="n">
        <v>67950.81893465709</v>
      </c>
      <c r="AA231" t="n">
        <v>0</v>
      </c>
      <c r="AB231" t="n">
        <v>0</v>
      </c>
      <c r="AC231" t="n">
        <v>0</v>
      </c>
      <c r="AD231" s="2" t="n">
        <v>44197</v>
      </c>
    </row>
    <row r="232">
      <c r="A232" t="n">
        <v>-1</v>
      </c>
      <c r="B232" t="inlineStr">
        <is>
          <t>01-01-2021</t>
        </is>
      </c>
      <c r="C232" t="n">
        <v>2021</v>
      </c>
      <c r="D232" t="n">
        <v>1</v>
      </c>
      <c r="E232" t="inlineStr">
        <is>
          <t>Castro 023</t>
        </is>
      </c>
      <c r="F232" t="inlineStr">
        <is>
          <t>Saesa</t>
        </is>
      </c>
      <c r="G232" t="inlineStr">
        <is>
          <t>Saesa</t>
        </is>
      </c>
      <c r="H232" t="inlineStr">
        <is>
          <t>Empresa Eléctrica Carén S.A.</t>
        </is>
      </c>
      <c r="I232" t="inlineStr">
        <is>
          <t>Empresa Eléctrica Carén S.A.</t>
        </is>
      </c>
      <c r="J232" t="inlineStr">
        <is>
          <t>SIC 2013/03_2_BS1A_BB_SAESA_Empresa Eléctrica Carén S.A.</t>
        </is>
      </c>
      <c r="K232" t="inlineStr">
        <is>
          <t>Castro 023</t>
        </is>
      </c>
      <c r="L232" t="inlineStr">
        <is>
          <t>-1</t>
        </is>
      </c>
      <c r="M232" t="n">
        <v>1642.793416086645</v>
      </c>
      <c r="N232" t="n">
        <v>0</v>
      </c>
      <c r="O232" t="inlineStr">
        <is>
          <t>6</t>
        </is>
      </c>
      <c r="P232" s="2" t="n">
        <v>44659.60028225694</v>
      </c>
      <c r="Q232" t="n">
        <v>24</v>
      </c>
      <c r="R232" t="inlineStr">
        <is>
          <t>CHILOE 220</t>
        </is>
      </c>
      <c r="S232" t="n">
        <v>1678.149112292037</v>
      </c>
      <c r="T232" t="n">
        <v>116116.2006075677</v>
      </c>
      <c r="U232" t="n">
        <v>0</v>
      </c>
      <c r="V232" t="n">
        <v>0</v>
      </c>
      <c r="W232" t="inlineStr">
        <is>
          <t>SAESA</t>
        </is>
      </c>
      <c r="X232" t="n">
        <v>76.4563727392916</v>
      </c>
      <c r="Y232" t="n">
        <v>116.1162006075677</v>
      </c>
      <c r="Z232" t="n">
        <v>128305.1940415113</v>
      </c>
      <c r="AA232" t="n">
        <v>0</v>
      </c>
      <c r="AB232" t="n">
        <v>0</v>
      </c>
      <c r="AC232" t="n">
        <v>0</v>
      </c>
      <c r="AD232" s="2" t="n">
        <v>44197</v>
      </c>
    </row>
    <row r="233">
      <c r="A233" t="n">
        <v>-1</v>
      </c>
      <c r="B233" t="inlineStr">
        <is>
          <t>01-01-2021</t>
        </is>
      </c>
      <c r="C233" t="n">
        <v>2021</v>
      </c>
      <c r="D233" t="n">
        <v>1</v>
      </c>
      <c r="E233" t="inlineStr">
        <is>
          <t>Chirre 23</t>
        </is>
      </c>
      <c r="F233" t="inlineStr">
        <is>
          <t>Saesa</t>
        </is>
      </c>
      <c r="G233" t="inlineStr">
        <is>
          <t>Saesa</t>
        </is>
      </c>
      <c r="H233" t="inlineStr">
        <is>
          <t>Empresa Eléctrica Carén S.A.</t>
        </is>
      </c>
      <c r="I233" t="inlineStr">
        <is>
          <t>Empresa Eléctrica Carén S.A.</t>
        </is>
      </c>
      <c r="J233" t="inlineStr">
        <is>
          <t>SIC 2013/03_2_BS1A_BB_SAESA_Empresa Eléctrica Carén S.A.</t>
        </is>
      </c>
      <c r="K233" t="inlineStr">
        <is>
          <t>Chirre 23</t>
        </is>
      </c>
      <c r="L233" t="inlineStr">
        <is>
          <t>-1</t>
        </is>
      </c>
      <c r="M233" t="n">
        <v>926.9180940096027</v>
      </c>
      <c r="N233" t="n">
        <v>0</v>
      </c>
      <c r="O233" t="inlineStr">
        <is>
          <t>6</t>
        </is>
      </c>
      <c r="P233" s="2" t="n">
        <v>44659.60028225694</v>
      </c>
      <c r="Q233" t="n">
        <v>68</v>
      </c>
      <c r="R233" t="inlineStr">
        <is>
          <t>RAHUE 220</t>
        </is>
      </c>
      <c r="S233" t="n">
        <v>946.8669410272342</v>
      </c>
      <c r="T233" t="n">
        <v>65706.77141389993</v>
      </c>
      <c r="U233" t="n">
        <v>0</v>
      </c>
      <c r="V233" t="n">
        <v>0</v>
      </c>
      <c r="W233" t="inlineStr">
        <is>
          <t>SAESA</t>
        </is>
      </c>
      <c r="X233" t="n">
        <v>76.67832106315817</v>
      </c>
      <c r="Y233" t="n">
        <v>65.70677141389994</v>
      </c>
      <c r="Z233" t="n">
        <v>72604.16730817672</v>
      </c>
      <c r="AA233" t="n">
        <v>0</v>
      </c>
      <c r="AB233" t="n">
        <v>0</v>
      </c>
      <c r="AC233" t="n">
        <v>0</v>
      </c>
      <c r="AD233" s="2" t="n">
        <v>44197</v>
      </c>
    </row>
    <row r="234">
      <c r="A234" t="n">
        <v>-1</v>
      </c>
      <c r="B234" t="inlineStr">
        <is>
          <t>01-01-2021</t>
        </is>
      </c>
      <c r="C234" t="n">
        <v>2021</v>
      </c>
      <c r="D234" t="n">
        <v>1</v>
      </c>
      <c r="E234" t="inlineStr">
        <is>
          <t>Chonchi 023</t>
        </is>
      </c>
      <c r="F234" t="inlineStr">
        <is>
          <t>Saesa</t>
        </is>
      </c>
      <c r="G234" t="inlineStr">
        <is>
          <t>Saesa</t>
        </is>
      </c>
      <c r="H234" t="inlineStr">
        <is>
          <t>Empresa Eléctrica Carén S.A.</t>
        </is>
      </c>
      <c r="I234" t="inlineStr">
        <is>
          <t>Empresa Eléctrica Carén S.A.</t>
        </is>
      </c>
      <c r="J234" t="inlineStr">
        <is>
          <t>SIC 2013/03_2_BS1A_BB_SAESA_Empresa Eléctrica Carén S.A.</t>
        </is>
      </c>
      <c r="K234" t="inlineStr">
        <is>
          <t>Chonchi 023</t>
        </is>
      </c>
      <c r="L234" t="inlineStr">
        <is>
          <t>-1</t>
        </is>
      </c>
      <c r="M234" t="n">
        <v>1129.297025960393</v>
      </c>
      <c r="N234" t="n">
        <v>0</v>
      </c>
      <c r="O234" t="inlineStr">
        <is>
          <t>6</t>
        </is>
      </c>
      <c r="P234" s="2" t="n">
        <v>44659.60028225694</v>
      </c>
      <c r="Q234" t="n">
        <v>24</v>
      </c>
      <c r="R234" t="inlineStr">
        <is>
          <t>CHILOE 220</t>
        </is>
      </c>
      <c r="S234" t="n">
        <v>1153.601410300221</v>
      </c>
      <c r="T234" t="n">
        <v>79821.16237372998</v>
      </c>
      <c r="U234" t="n">
        <v>0</v>
      </c>
      <c r="V234" t="n">
        <v>0</v>
      </c>
      <c r="W234" t="inlineStr">
        <is>
          <t>SAESA</t>
        </is>
      </c>
      <c r="X234" t="n">
        <v>76.45637273929161</v>
      </c>
      <c r="Y234" t="n">
        <v>79.82116237372998</v>
      </c>
      <c r="Z234" t="n">
        <v>88200.17941848616</v>
      </c>
      <c r="AA234" t="n">
        <v>0</v>
      </c>
      <c r="AB234" t="n">
        <v>0</v>
      </c>
      <c r="AC234" t="n">
        <v>0</v>
      </c>
      <c r="AD234" s="2" t="n">
        <v>44197</v>
      </c>
    </row>
    <row r="235">
      <c r="A235" t="n">
        <v>-1</v>
      </c>
      <c r="B235" t="inlineStr">
        <is>
          <t>01-01-2021</t>
        </is>
      </c>
      <c r="C235" t="n">
        <v>2021</v>
      </c>
      <c r="D235" t="n">
        <v>1</v>
      </c>
      <c r="E235" t="inlineStr">
        <is>
          <t>Colaco 023</t>
        </is>
      </c>
      <c r="F235" t="inlineStr">
        <is>
          <t>Saesa</t>
        </is>
      </c>
      <c r="G235" t="inlineStr">
        <is>
          <t>Saesa</t>
        </is>
      </c>
      <c r="H235" t="inlineStr">
        <is>
          <t>Empresa Eléctrica Carén S.A.</t>
        </is>
      </c>
      <c r="I235" t="inlineStr">
        <is>
          <t>Empresa Eléctrica Carén S.A.</t>
        </is>
      </c>
      <c r="J235" t="inlineStr">
        <is>
          <t>SIC 2013/03_2_BS1A_BB_SAESA_Empresa Eléctrica Carén S.A.</t>
        </is>
      </c>
      <c r="K235" t="inlineStr">
        <is>
          <t>Colaco 023</t>
        </is>
      </c>
      <c r="L235" t="inlineStr">
        <is>
          <t>-1</t>
        </is>
      </c>
      <c r="M235" t="n">
        <v>950.5686457264728</v>
      </c>
      <c r="N235" t="n">
        <v>0</v>
      </c>
      <c r="O235" t="inlineStr">
        <is>
          <t>6</t>
        </is>
      </c>
      <c r="P235" s="2" t="n">
        <v>44659.60028225694</v>
      </c>
      <c r="Q235" t="n">
        <v>6</v>
      </c>
      <c r="R235" t="inlineStr">
        <is>
          <t>MELIPULLI 220</t>
        </is>
      </c>
      <c r="S235" t="n">
        <v>971.0264926666774</v>
      </c>
      <c r="T235" t="n">
        <v>66348.71777818423</v>
      </c>
      <c r="U235" t="n">
        <v>0</v>
      </c>
      <c r="V235" t="n">
        <v>0</v>
      </c>
      <c r="W235" t="inlineStr">
        <is>
          <t>SAESA</t>
        </is>
      </c>
      <c r="X235" t="n">
        <v>75.50102995238471</v>
      </c>
      <c r="Y235" t="n">
        <v>66.34871777818422</v>
      </c>
      <c r="Z235" t="n">
        <v>73313.5003073859</v>
      </c>
      <c r="AA235" t="n">
        <v>0</v>
      </c>
      <c r="AB235" t="n">
        <v>0</v>
      </c>
      <c r="AC235" t="n">
        <v>0</v>
      </c>
      <c r="AD235" s="2" t="n">
        <v>44197</v>
      </c>
    </row>
    <row r="236">
      <c r="A236" t="n">
        <v>-1</v>
      </c>
      <c r="B236" t="inlineStr">
        <is>
          <t>01-01-2021</t>
        </is>
      </c>
      <c r="C236" t="n">
        <v>2021</v>
      </c>
      <c r="D236" t="n">
        <v>1</v>
      </c>
      <c r="E236" t="inlineStr">
        <is>
          <t>Corral 13.8</t>
        </is>
      </c>
      <c r="F236" t="inlineStr">
        <is>
          <t>Saesa</t>
        </is>
      </c>
      <c r="G236" t="inlineStr">
        <is>
          <t>Saesa</t>
        </is>
      </c>
      <c r="H236" t="inlineStr">
        <is>
          <t>Empresa Eléctrica Carén S.A.</t>
        </is>
      </c>
      <c r="I236" t="inlineStr">
        <is>
          <t>Empresa Eléctrica Carén S.A.</t>
        </is>
      </c>
      <c r="J236" t="inlineStr">
        <is>
          <t>SIC 2013/03_2_BS1A_BB_SAESA_Empresa Eléctrica Carén S.A.</t>
        </is>
      </c>
      <c r="K236" t="inlineStr">
        <is>
          <t>Corral 13.8</t>
        </is>
      </c>
      <c r="L236" t="inlineStr">
        <is>
          <t>-1</t>
        </is>
      </c>
      <c r="M236" t="n">
        <v>280.6275204724932</v>
      </c>
      <c r="N236" t="n">
        <v>0</v>
      </c>
      <c r="O236" t="inlineStr">
        <is>
          <t>6</t>
        </is>
      </c>
      <c r="P236" s="2" t="n">
        <v>44659.60028225694</v>
      </c>
      <c r="Q236" t="n">
        <v>6</v>
      </c>
      <c r="R236" t="inlineStr">
        <is>
          <t>MELIPULLI 220</t>
        </is>
      </c>
      <c r="S236" t="n">
        <v>0.4361901925843001</v>
      </c>
      <c r="T236" t="n">
        <v>29.80419195969555</v>
      </c>
      <c r="U236" t="n">
        <v>0</v>
      </c>
      <c r="V236" t="n">
        <v>0</v>
      </c>
      <c r="W236" t="inlineStr">
        <is>
          <t>SAESA</t>
        </is>
      </c>
      <c r="X236" t="n">
        <v>75.50102995238473</v>
      </c>
      <c r="Y236" t="n">
        <v>0.02980419195969555</v>
      </c>
      <c r="Z236" t="n">
        <v>32.9328087952437</v>
      </c>
      <c r="AA236" t="n">
        <v>0</v>
      </c>
      <c r="AB236" t="n">
        <v>0</v>
      </c>
      <c r="AC236" t="n">
        <v>0</v>
      </c>
      <c r="AD236" s="2" t="n">
        <v>44197</v>
      </c>
    </row>
    <row r="237">
      <c r="A237" t="n">
        <v>-1</v>
      </c>
      <c r="B237" t="inlineStr">
        <is>
          <t>01-01-2021</t>
        </is>
      </c>
      <c r="C237" t="n">
        <v>2021</v>
      </c>
      <c r="D237" t="n">
        <v>1</v>
      </c>
      <c r="E237" t="inlineStr">
        <is>
          <t>Corral 13.8</t>
        </is>
      </c>
      <c r="F237" t="inlineStr">
        <is>
          <t>Saesa</t>
        </is>
      </c>
      <c r="G237" t="inlineStr">
        <is>
          <t>Saesa</t>
        </is>
      </c>
      <c r="H237" t="inlineStr">
        <is>
          <t>Empresa Eléctrica Carén S.A.</t>
        </is>
      </c>
      <c r="I237" t="inlineStr">
        <is>
          <t>Empresa Eléctrica Carén S.A.</t>
        </is>
      </c>
      <c r="J237" t="inlineStr">
        <is>
          <t>SIC 2013/03_2_BS1A_BB_SAESA_Empresa Eléctrica Carén S.A.</t>
        </is>
      </c>
      <c r="K237" t="inlineStr">
        <is>
          <t>Corral 13.8</t>
        </is>
      </c>
      <c r="L237" t="inlineStr">
        <is>
          <t>-1</t>
        </is>
      </c>
      <c r="M237" t="n">
        <v>280.6275204724932</v>
      </c>
      <c r="N237" t="n">
        <v>0</v>
      </c>
      <c r="O237" t="inlineStr">
        <is>
          <t>6</t>
        </is>
      </c>
      <c r="P237" s="2" t="n">
        <v>44659.60028225694</v>
      </c>
      <c r="Q237" t="n">
        <v>68</v>
      </c>
      <c r="R237" t="inlineStr">
        <is>
          <t>RAHUE 220</t>
        </is>
      </c>
      <c r="S237" t="n">
        <v>26.23794470367745</v>
      </c>
      <c r="T237" t="n">
        <v>1820.752800963503</v>
      </c>
      <c r="U237" t="n">
        <v>0</v>
      </c>
      <c r="V237" t="n">
        <v>0</v>
      </c>
      <c r="W237" t="inlineStr">
        <is>
          <t>SAESA</t>
        </is>
      </c>
      <c r="X237" t="n">
        <v>76.67832106315818</v>
      </c>
      <c r="Y237" t="n">
        <v>1.820752800963503</v>
      </c>
      <c r="Z237" t="n">
        <v>2011.881548025971</v>
      </c>
      <c r="AA237" t="n">
        <v>0</v>
      </c>
      <c r="AB237" t="n">
        <v>0</v>
      </c>
      <c r="AC237" t="n">
        <v>0</v>
      </c>
      <c r="AD237" s="2" t="n">
        <v>44197</v>
      </c>
    </row>
    <row r="238">
      <c r="A238" t="n">
        <v>-1</v>
      </c>
      <c r="B238" t="inlineStr">
        <is>
          <t>01-01-2021</t>
        </is>
      </c>
      <c r="C238" t="n">
        <v>2021</v>
      </c>
      <c r="D238" t="n">
        <v>1</v>
      </c>
      <c r="E238" t="inlineStr">
        <is>
          <t>Corral 13.8</t>
        </is>
      </c>
      <c r="F238" t="inlineStr">
        <is>
          <t>Saesa</t>
        </is>
      </c>
      <c r="G238" t="inlineStr">
        <is>
          <t>Saesa</t>
        </is>
      </c>
      <c r="H238" t="inlineStr">
        <is>
          <t>Empresa Eléctrica Carén S.A.</t>
        </is>
      </c>
      <c r="I238" t="inlineStr">
        <is>
          <t>Empresa Eléctrica Carén S.A.</t>
        </is>
      </c>
      <c r="J238" t="inlineStr">
        <is>
          <t>SIC 2013/03_2_BS1A_BB_SAESA_Empresa Eléctrica Carén S.A.</t>
        </is>
      </c>
      <c r="K238" t="inlineStr">
        <is>
          <t>Corral 13.8</t>
        </is>
      </c>
      <c r="L238" t="inlineStr">
        <is>
          <t>-1</t>
        </is>
      </c>
      <c r="M238" t="n">
        <v>280.6275204724932</v>
      </c>
      <c r="N238" t="n">
        <v>0</v>
      </c>
      <c r="O238" t="inlineStr">
        <is>
          <t>6</t>
        </is>
      </c>
      <c r="P238" s="2" t="n">
        <v>44659.60028225694</v>
      </c>
      <c r="Q238" t="n">
        <v>17</v>
      </c>
      <c r="R238" t="inlineStr">
        <is>
          <t>VALDIVIA 220</t>
        </is>
      </c>
      <c r="S238" t="n">
        <v>259.9929650288524</v>
      </c>
      <c r="T238" t="n">
        <v>19856.10333071382</v>
      </c>
      <c r="U238" t="n">
        <v>0</v>
      </c>
      <c r="V238" t="n">
        <v>0</v>
      </c>
      <c r="W238" t="inlineStr">
        <is>
          <t>SAESA</t>
        </is>
      </c>
      <c r="X238" t="n">
        <v>84.38861284905239</v>
      </c>
      <c r="Y238" t="n">
        <v>19.85610333071382</v>
      </c>
      <c r="Z238" t="n">
        <v>21940.44566929704</v>
      </c>
      <c r="AA238" t="n">
        <v>0</v>
      </c>
      <c r="AB238" t="n">
        <v>0</v>
      </c>
      <c r="AC238" t="n">
        <v>0</v>
      </c>
      <c r="AD238" s="2" t="n">
        <v>44197</v>
      </c>
    </row>
    <row r="239">
      <c r="A239" t="n">
        <v>-1</v>
      </c>
      <c r="B239" t="inlineStr">
        <is>
          <t>01-01-2021</t>
        </is>
      </c>
      <c r="C239" t="n">
        <v>2021</v>
      </c>
      <c r="D239" t="n">
        <v>1</v>
      </c>
      <c r="E239" t="inlineStr">
        <is>
          <t>Dalcahue 023</t>
        </is>
      </c>
      <c r="F239" t="inlineStr">
        <is>
          <t>Saesa</t>
        </is>
      </c>
      <c r="G239" t="inlineStr">
        <is>
          <t>Saesa</t>
        </is>
      </c>
      <c r="H239" t="inlineStr">
        <is>
          <t>Empresa Eléctrica Carén S.A.</t>
        </is>
      </c>
      <c r="I239" t="inlineStr">
        <is>
          <t>Empresa Eléctrica Carén S.A.</t>
        </is>
      </c>
      <c r="J239" t="inlineStr">
        <is>
          <t>SIC 2013/03_2_BS1A_BB_SAESA_Empresa Eléctrica Carén S.A.</t>
        </is>
      </c>
      <c r="K239" t="inlineStr">
        <is>
          <t>Dalcahue 023</t>
        </is>
      </c>
      <c r="L239" t="inlineStr">
        <is>
          <t>-1</t>
        </is>
      </c>
      <c r="M239" t="n">
        <v>1403.656562949842</v>
      </c>
      <c r="N239" t="n">
        <v>0</v>
      </c>
      <c r="O239" t="inlineStr">
        <is>
          <t>6</t>
        </is>
      </c>
      <c r="P239" s="2" t="n">
        <v>44659.60028225694</v>
      </c>
      <c r="Q239" t="n">
        <v>24</v>
      </c>
      <c r="R239" t="inlineStr">
        <is>
          <t>CHILOE 220</t>
        </is>
      </c>
      <c r="S239" t="n">
        <v>1433.865629123591</v>
      </c>
      <c r="T239" t="n">
        <v>99213.48932349056</v>
      </c>
      <c r="U239" t="n">
        <v>0</v>
      </c>
      <c r="V239" t="n">
        <v>0</v>
      </c>
      <c r="W239" t="inlineStr">
        <is>
          <t>SAESA</t>
        </is>
      </c>
      <c r="X239" t="n">
        <v>76.4563727392916</v>
      </c>
      <c r="Y239" t="n">
        <v>99.21348932349055</v>
      </c>
      <c r="Z239" t="n">
        <v>109628.1649983321</v>
      </c>
      <c r="AA239" t="n">
        <v>0</v>
      </c>
      <c r="AB239" t="n">
        <v>0</v>
      </c>
      <c r="AC239" t="n">
        <v>0</v>
      </c>
      <c r="AD239" s="2" t="n">
        <v>44197</v>
      </c>
    </row>
    <row r="240">
      <c r="A240" t="n">
        <v>-1</v>
      </c>
      <c r="B240" t="inlineStr">
        <is>
          <t>01-01-2021</t>
        </is>
      </c>
      <c r="C240" t="n">
        <v>2021</v>
      </c>
      <c r="D240" t="n">
        <v>1</v>
      </c>
      <c r="E240" t="inlineStr">
        <is>
          <t>Degañ 023</t>
        </is>
      </c>
      <c r="F240" t="inlineStr">
        <is>
          <t>Saesa</t>
        </is>
      </c>
      <c r="G240" t="inlineStr">
        <is>
          <t>Saesa</t>
        </is>
      </c>
      <c r="H240" t="inlineStr">
        <is>
          <t>Empresa Eléctrica Carén S.A.</t>
        </is>
      </c>
      <c r="I240" t="inlineStr">
        <is>
          <t>Empresa Eléctrica Carén S.A.</t>
        </is>
      </c>
      <c r="J240" t="inlineStr">
        <is>
          <t>SIC 2013/03_2_BS1A_BB_SAESA_Empresa Eléctrica Carén S.A.</t>
        </is>
      </c>
      <c r="K240" t="inlineStr">
        <is>
          <t>Degañ 023</t>
        </is>
      </c>
      <c r="L240" t="inlineStr">
        <is>
          <t>-1</t>
        </is>
      </c>
      <c r="M240" t="n">
        <v>526.9055564996308</v>
      </c>
      <c r="N240" t="n">
        <v>0</v>
      </c>
      <c r="O240" t="inlineStr">
        <is>
          <t>6</t>
        </is>
      </c>
      <c r="P240" s="2" t="n">
        <v>44659.60028225694</v>
      </c>
      <c r="Q240" t="n">
        <v>24</v>
      </c>
      <c r="R240" t="inlineStr">
        <is>
          <t>CHILOE 220</t>
        </is>
      </c>
      <c r="S240" t="n">
        <v>538.245456332509</v>
      </c>
      <c r="T240" t="n">
        <v>37242.82718730251</v>
      </c>
      <c r="U240" t="n">
        <v>0</v>
      </c>
      <c r="V240" t="n">
        <v>0</v>
      </c>
      <c r="W240" t="inlineStr">
        <is>
          <t>SAESA</t>
        </is>
      </c>
      <c r="X240" t="n">
        <v>76.4563727392916</v>
      </c>
      <c r="Y240" t="n">
        <v>37.2428271873025</v>
      </c>
      <c r="Z240" t="n">
        <v>41152.2952345884</v>
      </c>
      <c r="AA240" t="n">
        <v>0</v>
      </c>
      <c r="AB240" t="n">
        <v>0</v>
      </c>
      <c r="AC240" t="n">
        <v>0</v>
      </c>
      <c r="AD240" s="2" t="n">
        <v>44197</v>
      </c>
    </row>
    <row r="241">
      <c r="A241" t="n">
        <v>-1</v>
      </c>
      <c r="B241" t="inlineStr">
        <is>
          <t>01-01-2021</t>
        </is>
      </c>
      <c r="C241" t="n">
        <v>2021</v>
      </c>
      <c r="D241" t="n">
        <v>1</v>
      </c>
      <c r="E241" t="inlineStr">
        <is>
          <t>El Empalme 023</t>
        </is>
      </c>
      <c r="F241" t="inlineStr">
        <is>
          <t>Saesa</t>
        </is>
      </c>
      <c r="G241" t="inlineStr">
        <is>
          <t>Saesa</t>
        </is>
      </c>
      <c r="H241" t="inlineStr">
        <is>
          <t>Empresa Eléctrica Carén S.A.</t>
        </is>
      </c>
      <c r="I241" t="inlineStr">
        <is>
          <t>Empresa Eléctrica Carén S.A.</t>
        </is>
      </c>
      <c r="J241" t="inlineStr">
        <is>
          <t>SIC 2013/03_2_BS1A_BB_SAESA_Empresa Eléctrica Carén S.A.</t>
        </is>
      </c>
      <c r="K241" t="inlineStr">
        <is>
          <t>El Empalme 023</t>
        </is>
      </c>
      <c r="L241" t="inlineStr">
        <is>
          <t>-1</t>
        </is>
      </c>
      <c r="M241" t="n">
        <v>792.7387128517997</v>
      </c>
      <c r="N241" t="n">
        <v>0</v>
      </c>
      <c r="O241" t="inlineStr">
        <is>
          <t>6</t>
        </is>
      </c>
      <c r="P241" s="2" t="n">
        <v>44659.60028225694</v>
      </c>
      <c r="Q241" t="n">
        <v>6</v>
      </c>
      <c r="R241" t="inlineStr">
        <is>
          <t>MELIPULLI 220</t>
        </is>
      </c>
      <c r="S241" t="n">
        <v>809.7997923687899</v>
      </c>
      <c r="T241" t="n">
        <v>55332.35013305919</v>
      </c>
      <c r="U241" t="n">
        <v>0</v>
      </c>
      <c r="V241" t="n">
        <v>0</v>
      </c>
      <c r="W241" t="inlineStr">
        <is>
          <t>SAESA</t>
        </is>
      </c>
      <c r="X241" t="n">
        <v>75.50102995238471</v>
      </c>
      <c r="Y241" t="n">
        <v>55.33235013305919</v>
      </c>
      <c r="Z241" t="n">
        <v>61140.71837907092</v>
      </c>
      <c r="AA241" t="n">
        <v>0</v>
      </c>
      <c r="AB241" t="n">
        <v>0</v>
      </c>
      <c r="AC241" t="n">
        <v>0</v>
      </c>
      <c r="AD241" s="2" t="n">
        <v>44197</v>
      </c>
    </row>
    <row r="242">
      <c r="A242" t="n">
        <v>-1</v>
      </c>
      <c r="B242" t="inlineStr">
        <is>
          <t>01-01-2021</t>
        </is>
      </c>
      <c r="C242" t="n">
        <v>2021</v>
      </c>
      <c r="D242" t="n">
        <v>1</v>
      </c>
      <c r="E242" t="inlineStr">
        <is>
          <t>Frutillar 13.2</t>
        </is>
      </c>
      <c r="F242" t="inlineStr">
        <is>
          <t>Saesa</t>
        </is>
      </c>
      <c r="G242" t="inlineStr">
        <is>
          <t>Saesa</t>
        </is>
      </c>
      <c r="H242" t="inlineStr">
        <is>
          <t>Empresa Eléctrica Carén S.A.</t>
        </is>
      </c>
      <c r="I242" t="inlineStr">
        <is>
          <t>Empresa Eléctrica Carén S.A.</t>
        </is>
      </c>
      <c r="J242" t="inlineStr">
        <is>
          <t>SIC 2013/03_2_BS1A_BB_SAESA_Empresa Eléctrica Carén S.A.</t>
        </is>
      </c>
      <c r="K242" t="inlineStr">
        <is>
          <t>Frutillar 13.2</t>
        </is>
      </c>
      <c r="L242" t="inlineStr">
        <is>
          <t>-1</t>
        </is>
      </c>
      <c r="M242" t="n">
        <v>1705.826024477732</v>
      </c>
      <c r="N242" t="n">
        <v>0</v>
      </c>
      <c r="O242" t="inlineStr">
        <is>
          <t>6</t>
        </is>
      </c>
      <c r="P242" s="2" t="n">
        <v>44659.60028225694</v>
      </c>
      <c r="Q242" t="n">
        <v>6</v>
      </c>
      <c r="R242" t="inlineStr">
        <is>
          <t>MELIPULLI 220</t>
        </is>
      </c>
      <c r="S242" t="n">
        <v>817.6402226671026</v>
      </c>
      <c r="T242" t="n">
        <v>55868.07444238639</v>
      </c>
      <c r="U242" t="n">
        <v>0</v>
      </c>
      <c r="V242" t="n">
        <v>0</v>
      </c>
      <c r="W242" t="inlineStr">
        <is>
          <t>SAESA</t>
        </is>
      </c>
      <c r="X242" t="n">
        <v>75.50102995238471</v>
      </c>
      <c r="Y242" t="n">
        <v>55.86807444238639</v>
      </c>
      <c r="Z242" t="n">
        <v>61732.67894186341</v>
      </c>
      <c r="AA242" t="n">
        <v>0</v>
      </c>
      <c r="AB242" t="n">
        <v>0</v>
      </c>
      <c r="AC242" t="n">
        <v>0</v>
      </c>
      <c r="AD242" s="2" t="n">
        <v>44197</v>
      </c>
    </row>
    <row r="243">
      <c r="A243" t="n">
        <v>-1</v>
      </c>
      <c r="B243" t="inlineStr">
        <is>
          <t>01-01-2021</t>
        </is>
      </c>
      <c r="C243" t="n">
        <v>2021</v>
      </c>
      <c r="D243" t="n">
        <v>1</v>
      </c>
      <c r="E243" t="inlineStr">
        <is>
          <t>Frutillar 13.2</t>
        </is>
      </c>
      <c r="F243" t="inlineStr">
        <is>
          <t>Saesa</t>
        </is>
      </c>
      <c r="G243" t="inlineStr">
        <is>
          <t>Saesa</t>
        </is>
      </c>
      <c r="H243" t="inlineStr">
        <is>
          <t>Empresa Eléctrica Carén S.A.</t>
        </is>
      </c>
      <c r="I243" t="inlineStr">
        <is>
          <t>Empresa Eléctrica Carén S.A.</t>
        </is>
      </c>
      <c r="J243" t="inlineStr">
        <is>
          <t>SIC 2013/03_2_BS1A_BB_SAESA_Empresa Eléctrica Carén S.A.</t>
        </is>
      </c>
      <c r="K243" t="inlineStr">
        <is>
          <t>Frutillar 13.2</t>
        </is>
      </c>
      <c r="L243" t="inlineStr">
        <is>
          <t>-1</t>
        </is>
      </c>
      <c r="M243" t="n">
        <v>1705.826024477732</v>
      </c>
      <c r="N243" t="n">
        <v>0</v>
      </c>
      <c r="O243" t="inlineStr">
        <is>
          <t>6</t>
        </is>
      </c>
      <c r="P243" s="2" t="n">
        <v>44659.60028225694</v>
      </c>
      <c r="Q243" t="n">
        <v>68</v>
      </c>
      <c r="R243" t="inlineStr">
        <is>
          <t>RAHUE 220</t>
        </is>
      </c>
      <c r="S243" t="n">
        <v>924.8980664874354</v>
      </c>
      <c r="T243" t="n">
        <v>64182.2659580001</v>
      </c>
      <c r="U243" t="n">
        <v>0</v>
      </c>
      <c r="V243" t="n">
        <v>0</v>
      </c>
      <c r="W243" t="inlineStr">
        <is>
          <t>SAESA</t>
        </is>
      </c>
      <c r="X243" t="n">
        <v>76.67832106315818</v>
      </c>
      <c r="Y243" t="n">
        <v>64.1822659580001</v>
      </c>
      <c r="Z243" t="n">
        <v>70919.63089281779</v>
      </c>
      <c r="AA243" t="n">
        <v>0</v>
      </c>
      <c r="AB243" t="n">
        <v>0</v>
      </c>
      <c r="AC243" t="n">
        <v>0</v>
      </c>
      <c r="AD243" s="2" t="n">
        <v>44197</v>
      </c>
    </row>
    <row r="244">
      <c r="A244" t="n">
        <v>-1</v>
      </c>
      <c r="B244" t="inlineStr">
        <is>
          <t>01-01-2021</t>
        </is>
      </c>
      <c r="C244" t="n">
        <v>2021</v>
      </c>
      <c r="D244" t="n">
        <v>1</v>
      </c>
      <c r="E244" t="inlineStr">
        <is>
          <t>La Union 1 023</t>
        </is>
      </c>
      <c r="F244" t="inlineStr">
        <is>
          <t>Saesa</t>
        </is>
      </c>
      <c r="G244" t="inlineStr">
        <is>
          <t>Saesa</t>
        </is>
      </c>
      <c r="H244" t="inlineStr">
        <is>
          <t>Empresa Eléctrica Carén S.A.</t>
        </is>
      </c>
      <c r="I244" t="inlineStr">
        <is>
          <t>Empresa Eléctrica Carén S.A.</t>
        </is>
      </c>
      <c r="J244" t="inlineStr">
        <is>
          <t>SIC 2013/03_2_BS1A_BB_SAESA_Empresa Eléctrica Carén S.A.</t>
        </is>
      </c>
      <c r="K244" t="inlineStr">
        <is>
          <t>La Union 1 023</t>
        </is>
      </c>
      <c r="L244" t="inlineStr">
        <is>
          <t>-1</t>
        </is>
      </c>
      <c r="M244" t="n">
        <v>1458.921936437294</v>
      </c>
      <c r="N244" t="n">
        <v>0</v>
      </c>
      <c r="O244" t="inlineStr">
        <is>
          <t>6</t>
        </is>
      </c>
      <c r="P244" s="2" t="n">
        <v>44659.60028225694</v>
      </c>
      <c r="Q244" t="n">
        <v>6</v>
      </c>
      <c r="R244" t="inlineStr">
        <is>
          <t>MELIPULLI 220</t>
        </is>
      </c>
      <c r="S244" t="n">
        <v>16.25765080916427</v>
      </c>
      <c r="T244" t="n">
        <v>1110.859789531801</v>
      </c>
      <c r="U244" t="n">
        <v>0</v>
      </c>
      <c r="V244" t="n">
        <v>0</v>
      </c>
      <c r="W244" t="inlineStr">
        <is>
          <t>SAESA</t>
        </is>
      </c>
      <c r="X244" t="n">
        <v>75.50102995238471</v>
      </c>
      <c r="Y244" t="n">
        <v>1.110859789531801</v>
      </c>
      <c r="Z244" t="n">
        <v>1227.469380698123</v>
      </c>
      <c r="AA244" t="n">
        <v>0</v>
      </c>
      <c r="AB244" t="n">
        <v>0</v>
      </c>
      <c r="AC244" t="n">
        <v>0</v>
      </c>
      <c r="AD244" s="2" t="n">
        <v>44197</v>
      </c>
    </row>
    <row r="245">
      <c r="A245" t="n">
        <v>-1</v>
      </c>
      <c r="B245" t="inlineStr">
        <is>
          <t>01-01-2021</t>
        </is>
      </c>
      <c r="C245" t="n">
        <v>2021</v>
      </c>
      <c r="D245" t="n">
        <v>1</v>
      </c>
      <c r="E245" t="inlineStr">
        <is>
          <t>La Union 1 023</t>
        </is>
      </c>
      <c r="F245" t="inlineStr">
        <is>
          <t>Saesa</t>
        </is>
      </c>
      <c r="G245" t="inlineStr">
        <is>
          <t>Saesa</t>
        </is>
      </c>
      <c r="H245" t="inlineStr">
        <is>
          <t>Empresa Eléctrica Carén S.A.</t>
        </is>
      </c>
      <c r="I245" t="inlineStr">
        <is>
          <t>Empresa Eléctrica Carén S.A.</t>
        </is>
      </c>
      <c r="J245" t="inlineStr">
        <is>
          <t>SIC 2013/03_2_BS1A_BB_SAESA_Empresa Eléctrica Carén S.A.</t>
        </is>
      </c>
      <c r="K245" t="inlineStr">
        <is>
          <t>La Union 1 023</t>
        </is>
      </c>
      <c r="L245" t="inlineStr">
        <is>
          <t>-1</t>
        </is>
      </c>
      <c r="M245" t="n">
        <v>1458.921936437294</v>
      </c>
      <c r="N245" t="n">
        <v>0</v>
      </c>
      <c r="O245" t="inlineStr">
        <is>
          <t>6</t>
        </is>
      </c>
      <c r="P245" s="2" t="n">
        <v>44659.60028225694</v>
      </c>
      <c r="Q245" t="n">
        <v>68</v>
      </c>
      <c r="R245" t="inlineStr">
        <is>
          <t>RAHUE 220</t>
        </is>
      </c>
      <c r="S245" t="n">
        <v>1448.596837110591</v>
      </c>
      <c r="T245" t="n">
        <v>100523.7558971725</v>
      </c>
      <c r="U245" t="n">
        <v>0</v>
      </c>
      <c r="V245" t="n">
        <v>0</v>
      </c>
      <c r="W245" t="inlineStr">
        <is>
          <t>SAESA</t>
        </is>
      </c>
      <c r="X245" t="n">
        <v>76.67832106315818</v>
      </c>
      <c r="Y245" t="n">
        <v>100.5237558971724</v>
      </c>
      <c r="Z245" t="n">
        <v>111075.9733670414</v>
      </c>
      <c r="AA245" t="n">
        <v>0</v>
      </c>
      <c r="AB245" t="n">
        <v>0</v>
      </c>
      <c r="AC245" t="n">
        <v>0</v>
      </c>
      <c r="AD245" s="2" t="n">
        <v>44197</v>
      </c>
    </row>
    <row r="246">
      <c r="A246" t="n">
        <v>-1</v>
      </c>
      <c r="B246" t="inlineStr">
        <is>
          <t>01-01-2021</t>
        </is>
      </c>
      <c r="C246" t="n">
        <v>2021</v>
      </c>
      <c r="D246" t="n">
        <v>1</v>
      </c>
      <c r="E246" t="inlineStr">
        <is>
          <t>La Union 1 023</t>
        </is>
      </c>
      <c r="F246" t="inlineStr">
        <is>
          <t>Saesa</t>
        </is>
      </c>
      <c r="G246" t="inlineStr">
        <is>
          <t>Saesa</t>
        </is>
      </c>
      <c r="H246" t="inlineStr">
        <is>
          <t>Empresa Eléctrica Carén S.A.</t>
        </is>
      </c>
      <c r="I246" t="inlineStr">
        <is>
          <t>Empresa Eléctrica Carén S.A.</t>
        </is>
      </c>
      <c r="J246" t="inlineStr">
        <is>
          <t>SIC 2013/03_2_BS1A_BB_SAESA_Empresa Eléctrica Carén S.A.</t>
        </is>
      </c>
      <c r="K246" t="inlineStr">
        <is>
          <t>La Union 1 023</t>
        </is>
      </c>
      <c r="L246" t="inlineStr">
        <is>
          <t>-1</t>
        </is>
      </c>
      <c r="M246" t="n">
        <v>1458.921936437294</v>
      </c>
      <c r="N246" t="n">
        <v>0</v>
      </c>
      <c r="O246" t="inlineStr">
        <is>
          <t>6</t>
        </is>
      </c>
      <c r="P246" s="2" t="n">
        <v>44659.60028225694</v>
      </c>
      <c r="Q246" t="n">
        <v>17</v>
      </c>
      <c r="R246" t="inlineStr">
        <is>
          <t>VALDIVIA 220</t>
        </is>
      </c>
      <c r="S246" t="n">
        <v>25.46591911461077</v>
      </c>
      <c r="T246" t="n">
        <v>1944.875398052395</v>
      </c>
      <c r="U246" t="n">
        <v>0</v>
      </c>
      <c r="V246" t="n">
        <v>0</v>
      </c>
      <c r="W246" t="inlineStr">
        <is>
          <t>SAESA</t>
        </is>
      </c>
      <c r="X246" t="n">
        <v>84.38861284905238</v>
      </c>
      <c r="Y246" t="n">
        <v>1.944875398052395</v>
      </c>
      <c r="Z246" t="n">
        <v>2149.033589008171</v>
      </c>
      <c r="AA246" t="n">
        <v>0</v>
      </c>
      <c r="AB246" t="n">
        <v>0</v>
      </c>
      <c r="AC246" t="n">
        <v>0</v>
      </c>
      <c r="AD246" s="2" t="n">
        <v>44197</v>
      </c>
    </row>
    <row r="247">
      <c r="A247" t="n">
        <v>-1</v>
      </c>
      <c r="B247" t="inlineStr">
        <is>
          <t>01-01-2021</t>
        </is>
      </c>
      <c r="C247" t="n">
        <v>2021</v>
      </c>
      <c r="D247" t="n">
        <v>1</v>
      </c>
      <c r="E247" t="inlineStr">
        <is>
          <t>Loncoche 13.2</t>
        </is>
      </c>
      <c r="F247" t="inlineStr">
        <is>
          <t>Saesa</t>
        </is>
      </c>
      <c r="G247" t="inlineStr">
        <is>
          <t>Saesa</t>
        </is>
      </c>
      <c r="H247" t="inlineStr">
        <is>
          <t>Empresa Eléctrica Carén S.A.</t>
        </is>
      </c>
      <c r="I247" t="inlineStr">
        <is>
          <t>Empresa Eléctrica Carén S.A.</t>
        </is>
      </c>
      <c r="J247" t="inlineStr">
        <is>
          <t>SIC 2013/03_2_BS1A_BB_SAESA_Empresa Eléctrica Carén S.A.</t>
        </is>
      </c>
      <c r="K247" t="inlineStr">
        <is>
          <t>Loncoche 13.2</t>
        </is>
      </c>
      <c r="L247" t="inlineStr">
        <is>
          <t>-1</t>
        </is>
      </c>
      <c r="M247" t="n">
        <v>1612.400509328932</v>
      </c>
      <c r="N247" t="n">
        <v>0</v>
      </c>
      <c r="O247" t="inlineStr">
        <is>
          <t>5</t>
        </is>
      </c>
      <c r="P247" s="2" t="n">
        <v>44659.60028225694</v>
      </c>
      <c r="Q247" t="n">
        <v>14</v>
      </c>
      <c r="R247" t="inlineStr">
        <is>
          <t>CAUTÍN 220</t>
        </is>
      </c>
      <c r="S247" t="n">
        <v>414.5526995929315</v>
      </c>
      <c r="T247" t="n">
        <v>32612.24818345005</v>
      </c>
      <c r="U247" t="n">
        <v>0</v>
      </c>
      <c r="V247" t="n">
        <v>0</v>
      </c>
      <c r="W247" t="inlineStr">
        <is>
          <t>SAESA</t>
        </is>
      </c>
      <c r="X247" t="n">
        <v>86.92654368736125</v>
      </c>
      <c r="Y247" t="n">
        <v>32.61224818345004</v>
      </c>
      <c r="Z247" t="n">
        <v>36035.6333518785</v>
      </c>
      <c r="AA247" t="n">
        <v>0</v>
      </c>
      <c r="AB247" t="n">
        <v>0</v>
      </c>
      <c r="AC247" t="n">
        <v>0</v>
      </c>
      <c r="AD247" s="2" t="n">
        <v>44197</v>
      </c>
    </row>
    <row r="248">
      <c r="A248" t="n">
        <v>-1</v>
      </c>
      <c r="B248" t="inlineStr">
        <is>
          <t>01-01-2021</t>
        </is>
      </c>
      <c r="C248" t="n">
        <v>2021</v>
      </c>
      <c r="D248" t="n">
        <v>1</v>
      </c>
      <c r="E248" t="inlineStr">
        <is>
          <t>Loncoche 13.2</t>
        </is>
      </c>
      <c r="F248" t="inlineStr">
        <is>
          <t>Saesa</t>
        </is>
      </c>
      <c r="G248" t="inlineStr">
        <is>
          <t>Saesa</t>
        </is>
      </c>
      <c r="H248" t="inlineStr">
        <is>
          <t>Empresa Eléctrica Carén S.A.</t>
        </is>
      </c>
      <c r="I248" t="inlineStr">
        <is>
          <t>Empresa Eléctrica Carén S.A.</t>
        </is>
      </c>
      <c r="J248" t="inlineStr">
        <is>
          <t>SIC 2013/03_2_BS1A_BB_SAESA_Empresa Eléctrica Carén S.A.</t>
        </is>
      </c>
      <c r="K248" t="inlineStr">
        <is>
          <t>Loncoche 13.2</t>
        </is>
      </c>
      <c r="L248" t="inlineStr">
        <is>
          <t>-1</t>
        </is>
      </c>
      <c r="M248" t="n">
        <v>1612.400509328932</v>
      </c>
      <c r="N248" t="n">
        <v>0</v>
      </c>
      <c r="O248" t="inlineStr">
        <is>
          <t>5</t>
        </is>
      </c>
      <c r="P248" s="2" t="n">
        <v>44659.60028225694</v>
      </c>
      <c r="Q248" t="n">
        <v>4</v>
      </c>
      <c r="R248" t="inlineStr">
        <is>
          <t>TEMUCO 220</t>
        </is>
      </c>
      <c r="S248" t="n">
        <v>1240.087005994599</v>
      </c>
      <c r="T248" t="n">
        <v>96191.2435406791</v>
      </c>
      <c r="U248" t="n">
        <v>0</v>
      </c>
      <c r="V248" t="n">
        <v>0</v>
      </c>
      <c r="W248" t="inlineStr">
        <is>
          <t>SAESA</t>
        </is>
      </c>
      <c r="X248" t="n">
        <v>85.71065286707869</v>
      </c>
      <c r="Y248" t="n">
        <v>96.19124354067911</v>
      </c>
      <c r="Z248" t="n">
        <v>106288.666895778</v>
      </c>
      <c r="AA248" t="n">
        <v>0</v>
      </c>
      <c r="AB248" t="n">
        <v>0</v>
      </c>
      <c r="AC248" t="n">
        <v>0</v>
      </c>
      <c r="AD248" s="2" t="n">
        <v>44197</v>
      </c>
    </row>
    <row r="249">
      <c r="A249" t="n">
        <v>-1</v>
      </c>
      <c r="B249" t="inlineStr">
        <is>
          <t>01-01-2021</t>
        </is>
      </c>
      <c r="C249" t="n">
        <v>2021</v>
      </c>
      <c r="D249" t="n">
        <v>1</v>
      </c>
      <c r="E249" t="inlineStr">
        <is>
          <t>Los Lagos 13.8</t>
        </is>
      </c>
      <c r="F249" t="inlineStr">
        <is>
          <t>Saesa</t>
        </is>
      </c>
      <c r="G249" t="inlineStr">
        <is>
          <t>Saesa</t>
        </is>
      </c>
      <c r="H249" t="inlineStr">
        <is>
          <t>Empresa Eléctrica Carén S.A.</t>
        </is>
      </c>
      <c r="I249" t="inlineStr">
        <is>
          <t>Empresa Eléctrica Carén S.A.</t>
        </is>
      </c>
      <c r="J249" t="inlineStr">
        <is>
          <t>SIC 2013/03_2_BS1A_BB_SAESA_Empresa Eléctrica Carén S.A.</t>
        </is>
      </c>
      <c r="K249" t="inlineStr">
        <is>
          <t>Los Lagos 13.8</t>
        </is>
      </c>
      <c r="L249" t="inlineStr">
        <is>
          <t>-1</t>
        </is>
      </c>
      <c r="M249" t="n">
        <v>514.0518277815786</v>
      </c>
      <c r="N249" t="n">
        <v>0</v>
      </c>
      <c r="O249" t="inlineStr">
        <is>
          <t>6</t>
        </is>
      </c>
      <c r="P249" s="2" t="n">
        <v>44659.60028225694</v>
      </c>
      <c r="Q249" t="n">
        <v>6</v>
      </c>
      <c r="R249" t="inlineStr">
        <is>
          <t>MELIPULLI 220</t>
        </is>
      </c>
      <c r="S249" t="n">
        <v>1.808211167439411</v>
      </c>
      <c r="T249" t="n">
        <v>123.552233989337</v>
      </c>
      <c r="U249" t="n">
        <v>0</v>
      </c>
      <c r="V249" t="n">
        <v>0</v>
      </c>
      <c r="W249" t="inlineStr">
        <is>
          <t>SAESA</t>
        </is>
      </c>
      <c r="X249" t="n">
        <v>75.50102995238471</v>
      </c>
      <c r="Y249" t="n">
        <v>0.123552233989337</v>
      </c>
      <c r="Z249" t="n">
        <v>136.5218055130795</v>
      </c>
      <c r="AA249" t="n">
        <v>0</v>
      </c>
      <c r="AB249" t="n">
        <v>0</v>
      </c>
      <c r="AC249" t="n">
        <v>0</v>
      </c>
      <c r="AD249" s="2" t="n">
        <v>44197</v>
      </c>
    </row>
    <row r="250">
      <c r="A250" t="n">
        <v>-1</v>
      </c>
      <c r="B250" t="inlineStr">
        <is>
          <t>01-01-2021</t>
        </is>
      </c>
      <c r="C250" t="n">
        <v>2021</v>
      </c>
      <c r="D250" t="n">
        <v>1</v>
      </c>
      <c r="E250" t="inlineStr">
        <is>
          <t>Los Lagos 13.8</t>
        </is>
      </c>
      <c r="F250" t="inlineStr">
        <is>
          <t>Saesa</t>
        </is>
      </c>
      <c r="G250" t="inlineStr">
        <is>
          <t>Saesa</t>
        </is>
      </c>
      <c r="H250" t="inlineStr">
        <is>
          <t>Empresa Eléctrica Carén S.A.</t>
        </is>
      </c>
      <c r="I250" t="inlineStr">
        <is>
          <t>Empresa Eléctrica Carén S.A.</t>
        </is>
      </c>
      <c r="J250" t="inlineStr">
        <is>
          <t>SIC 2013/03_2_BS1A_BB_SAESA_Empresa Eléctrica Carén S.A.</t>
        </is>
      </c>
      <c r="K250" t="inlineStr">
        <is>
          <t>Los Lagos 13.8</t>
        </is>
      </c>
      <c r="L250" t="inlineStr">
        <is>
          <t>-1</t>
        </is>
      </c>
      <c r="M250" t="n">
        <v>514.0518277815786</v>
      </c>
      <c r="N250" t="n">
        <v>0</v>
      </c>
      <c r="O250" t="inlineStr">
        <is>
          <t>6</t>
        </is>
      </c>
      <c r="P250" s="2" t="n">
        <v>44659.60028225694</v>
      </c>
      <c r="Q250" t="n">
        <v>68</v>
      </c>
      <c r="R250" t="inlineStr">
        <is>
          <t>RAHUE 220</t>
        </is>
      </c>
      <c r="S250" t="n">
        <v>146.5380236968019</v>
      </c>
      <c r="T250" t="n">
        <v>10168.84211423057</v>
      </c>
      <c r="U250" t="n">
        <v>0</v>
      </c>
      <c r="V250" t="n">
        <v>0</v>
      </c>
      <c r="W250" t="inlineStr">
        <is>
          <t>SAESA</t>
        </is>
      </c>
      <c r="X250" t="n">
        <v>76.67832106315819</v>
      </c>
      <c r="Y250" t="n">
        <v>10.16884211423057</v>
      </c>
      <c r="Z250" t="n">
        <v>11236.28962898406</v>
      </c>
      <c r="AA250" t="n">
        <v>0</v>
      </c>
      <c r="AB250" t="n">
        <v>0</v>
      </c>
      <c r="AC250" t="n">
        <v>0</v>
      </c>
      <c r="AD250" s="2" t="n">
        <v>44197</v>
      </c>
    </row>
    <row r="251">
      <c r="A251" t="n">
        <v>-1</v>
      </c>
      <c r="B251" t="inlineStr">
        <is>
          <t>01-01-2021</t>
        </is>
      </c>
      <c r="C251" t="n">
        <v>2021</v>
      </c>
      <c r="D251" t="n">
        <v>1</v>
      </c>
      <c r="E251" t="inlineStr">
        <is>
          <t>Los Lagos 13.8</t>
        </is>
      </c>
      <c r="F251" t="inlineStr">
        <is>
          <t>Saesa</t>
        </is>
      </c>
      <c r="G251" t="inlineStr">
        <is>
          <t>Saesa</t>
        </is>
      </c>
      <c r="H251" t="inlineStr">
        <is>
          <t>Empresa Eléctrica Carén S.A.</t>
        </is>
      </c>
      <c r="I251" t="inlineStr">
        <is>
          <t>Empresa Eléctrica Carén S.A.</t>
        </is>
      </c>
      <c r="J251" t="inlineStr">
        <is>
          <t>SIC 2013/03_2_BS1A_BB_SAESA_Empresa Eléctrica Carén S.A.</t>
        </is>
      </c>
      <c r="K251" t="inlineStr">
        <is>
          <t>Los Lagos 13.8</t>
        </is>
      </c>
      <c r="L251" t="inlineStr">
        <is>
          <t>-1</t>
        </is>
      </c>
      <c r="M251" t="n">
        <v>514.0518277815786</v>
      </c>
      <c r="N251" t="n">
        <v>0</v>
      </c>
      <c r="O251" t="inlineStr">
        <is>
          <t>6</t>
        </is>
      </c>
      <c r="P251" s="2" t="n">
        <v>44659.60028225694</v>
      </c>
      <c r="Q251" t="n">
        <v>17</v>
      </c>
      <c r="R251" t="inlineStr">
        <is>
          <t>VALDIVIA 220</t>
        </is>
      </c>
      <c r="S251" t="n">
        <v>376.7688587418173</v>
      </c>
      <c r="T251" t="n">
        <v>28774.47622531798</v>
      </c>
      <c r="U251" t="n">
        <v>0</v>
      </c>
      <c r="V251" t="n">
        <v>0</v>
      </c>
      <c r="W251" t="inlineStr">
        <is>
          <t>SAESA</t>
        </is>
      </c>
      <c r="X251" t="n">
        <v>84.38861284905238</v>
      </c>
      <c r="Y251" t="n">
        <v>28.77447622531798</v>
      </c>
      <c r="Z251" t="n">
        <v>31795.00135394252</v>
      </c>
      <c r="AA251" t="n">
        <v>0</v>
      </c>
      <c r="AB251" t="n">
        <v>0</v>
      </c>
      <c r="AC251" t="n">
        <v>0</v>
      </c>
      <c r="AD251" s="2" t="n">
        <v>44197</v>
      </c>
    </row>
    <row r="252">
      <c r="A252" t="n">
        <v>-1</v>
      </c>
      <c r="B252" t="inlineStr">
        <is>
          <t>01-01-2021</t>
        </is>
      </c>
      <c r="C252" t="n">
        <v>2021</v>
      </c>
      <c r="D252" t="n">
        <v>1</v>
      </c>
      <c r="E252" t="inlineStr">
        <is>
          <t>Los Tambores 023</t>
        </is>
      </c>
      <c r="F252" t="inlineStr">
        <is>
          <t>Saesa</t>
        </is>
      </c>
      <c r="G252" t="inlineStr">
        <is>
          <t>Saesa</t>
        </is>
      </c>
      <c r="H252" t="inlineStr">
        <is>
          <t>Empresa Eléctrica Carén S.A.</t>
        </is>
      </c>
      <c r="I252" t="inlineStr">
        <is>
          <t>Empresa Eléctrica Carén S.A.</t>
        </is>
      </c>
      <c r="J252" t="inlineStr">
        <is>
          <t>SIC 2013/03_2_BS1A_BB_SAESA_Empresa Eléctrica Carén S.A.</t>
        </is>
      </c>
      <c r="K252" t="inlineStr">
        <is>
          <t>Los Tambores 023</t>
        </is>
      </c>
      <c r="L252" t="inlineStr">
        <is>
          <t>-1</t>
        </is>
      </c>
      <c r="M252" t="n">
        <v>1176.102003990446</v>
      </c>
      <c r="N252" t="n">
        <v>0</v>
      </c>
      <c r="O252" t="inlineStr">
        <is>
          <t>6</t>
        </is>
      </c>
      <c r="P252" s="2" t="n">
        <v>44659.60028225694</v>
      </c>
      <c r="Q252" t="n">
        <v>6</v>
      </c>
      <c r="R252" t="inlineStr">
        <is>
          <t>MELIPULLI 220</t>
        </is>
      </c>
      <c r="S252" t="n">
        <v>12.88268985160959</v>
      </c>
      <c r="T252" t="n">
        <v>880.253998880061</v>
      </c>
      <c r="U252" t="n">
        <v>0</v>
      </c>
      <c r="V252" t="n">
        <v>0</v>
      </c>
      <c r="W252" t="inlineStr">
        <is>
          <t>SAESA</t>
        </is>
      </c>
      <c r="X252" t="n">
        <v>75.50102995238471</v>
      </c>
      <c r="Y252" t="n">
        <v>0.8802539988800608</v>
      </c>
      <c r="Z252" t="n">
        <v>972.6563523536585</v>
      </c>
      <c r="AA252" t="n">
        <v>0</v>
      </c>
      <c r="AB252" t="n">
        <v>0</v>
      </c>
      <c r="AC252" t="n">
        <v>0</v>
      </c>
      <c r="AD252" s="2" t="n">
        <v>44197</v>
      </c>
    </row>
    <row r="253">
      <c r="A253" t="n">
        <v>-1</v>
      </c>
      <c r="B253" t="inlineStr">
        <is>
          <t>01-01-2021</t>
        </is>
      </c>
      <c r="C253" t="n">
        <v>2021</v>
      </c>
      <c r="D253" t="n">
        <v>1</v>
      </c>
      <c r="E253" t="inlineStr">
        <is>
          <t>Los Tambores 023</t>
        </is>
      </c>
      <c r="F253" t="inlineStr">
        <is>
          <t>Saesa</t>
        </is>
      </c>
      <c r="G253" t="inlineStr">
        <is>
          <t>Saesa</t>
        </is>
      </c>
      <c r="H253" t="inlineStr">
        <is>
          <t>Empresa Eléctrica Carén S.A.</t>
        </is>
      </c>
      <c r="I253" t="inlineStr">
        <is>
          <t>Empresa Eléctrica Carén S.A.</t>
        </is>
      </c>
      <c r="J253" t="inlineStr">
        <is>
          <t>SIC 2013/03_2_BS1A_BB_SAESA_Empresa Eléctrica Carén S.A.</t>
        </is>
      </c>
      <c r="K253" t="inlineStr">
        <is>
          <t>Los Tambores 023</t>
        </is>
      </c>
      <c r="L253" t="inlineStr">
        <is>
          <t>-1</t>
        </is>
      </c>
      <c r="M253" t="n">
        <v>1176.102003990446</v>
      </c>
      <c r="N253" t="n">
        <v>0</v>
      </c>
      <c r="O253" t="inlineStr">
        <is>
          <t>6</t>
        </is>
      </c>
      <c r="P253" s="2" t="n">
        <v>44659.60028225694</v>
      </c>
      <c r="Q253" t="n">
        <v>68</v>
      </c>
      <c r="R253" t="inlineStr">
        <is>
          <t>RAHUE 220</t>
        </is>
      </c>
      <c r="S253" t="n">
        <v>1171.991873371818</v>
      </c>
      <c r="T253" t="n">
        <v>81329.06408058388</v>
      </c>
      <c r="U253" t="n">
        <v>0</v>
      </c>
      <c r="V253" t="n">
        <v>0</v>
      </c>
      <c r="W253" t="inlineStr">
        <is>
          <t>SAESA</t>
        </is>
      </c>
      <c r="X253" t="n">
        <v>76.67832106315817</v>
      </c>
      <c r="Y253" t="n">
        <v>81.32906408058388</v>
      </c>
      <c r="Z253" t="n">
        <v>89866.36914981644</v>
      </c>
      <c r="AA253" t="n">
        <v>0</v>
      </c>
      <c r="AB253" t="n">
        <v>0</v>
      </c>
      <c r="AC253" t="n">
        <v>0</v>
      </c>
      <c r="AD253" s="2" t="n">
        <v>44197</v>
      </c>
    </row>
    <row r="254">
      <c r="A254" t="n">
        <v>-1</v>
      </c>
      <c r="B254" t="inlineStr">
        <is>
          <t>01-01-2021</t>
        </is>
      </c>
      <c r="C254" t="n">
        <v>2021</v>
      </c>
      <c r="D254" t="n">
        <v>1</v>
      </c>
      <c r="E254" t="inlineStr">
        <is>
          <t>Los Tambores 023</t>
        </is>
      </c>
      <c r="F254" t="inlineStr">
        <is>
          <t>Saesa</t>
        </is>
      </c>
      <c r="G254" t="inlineStr">
        <is>
          <t>Saesa</t>
        </is>
      </c>
      <c r="H254" t="inlineStr">
        <is>
          <t>Empresa Eléctrica Carén S.A.</t>
        </is>
      </c>
      <c r="I254" t="inlineStr">
        <is>
          <t>Empresa Eléctrica Carén S.A.</t>
        </is>
      </c>
      <c r="J254" t="inlineStr">
        <is>
          <t>SIC 2013/03_2_BS1A_BB_SAESA_Empresa Eléctrica Carén S.A.</t>
        </is>
      </c>
      <c r="K254" t="inlineStr">
        <is>
          <t>Los Tambores 023</t>
        </is>
      </c>
      <c r="L254" t="inlineStr">
        <is>
          <t>-1</t>
        </is>
      </c>
      <c r="M254" t="n">
        <v>1176.102003990446</v>
      </c>
      <c r="N254" t="n">
        <v>0</v>
      </c>
      <c r="O254" t="inlineStr">
        <is>
          <t>6</t>
        </is>
      </c>
      <c r="P254" s="2" t="n">
        <v>44659.60028225694</v>
      </c>
      <c r="Q254" t="n">
        <v>17</v>
      </c>
      <c r="R254" t="inlineStr">
        <is>
          <t>VALDIVIA 220</t>
        </is>
      </c>
      <c r="S254" t="n">
        <v>16.53914749317116</v>
      </c>
      <c r="T254" t="n">
        <v>1263.12272176241</v>
      </c>
      <c r="U254" t="n">
        <v>0</v>
      </c>
      <c r="V254" t="n">
        <v>0</v>
      </c>
      <c r="W254" t="inlineStr">
        <is>
          <t>SAESA</t>
        </is>
      </c>
      <c r="X254" t="n">
        <v>84.38861284905238</v>
      </c>
      <c r="Y254" t="n">
        <v>1.26312272176241</v>
      </c>
      <c r="Z254" t="n">
        <v>1395.715714654596</v>
      </c>
      <c r="AA254" t="n">
        <v>0</v>
      </c>
      <c r="AB254" t="n">
        <v>0</v>
      </c>
      <c r="AC254" t="n">
        <v>0</v>
      </c>
      <c r="AD254" s="2" t="n">
        <v>44197</v>
      </c>
    </row>
    <row r="255">
      <c r="A255" t="n">
        <v>-1</v>
      </c>
      <c r="B255" t="inlineStr">
        <is>
          <t>01-01-2021</t>
        </is>
      </c>
      <c r="C255" t="n">
        <v>2021</v>
      </c>
      <c r="D255" t="n">
        <v>1</v>
      </c>
      <c r="E255" t="inlineStr">
        <is>
          <t>Mariquina 023</t>
        </is>
      </c>
      <c r="F255" t="inlineStr">
        <is>
          <t>Saesa</t>
        </is>
      </c>
      <c r="G255" t="inlineStr">
        <is>
          <t>Saesa</t>
        </is>
      </c>
      <c r="H255" t="inlineStr">
        <is>
          <t>Empresa Eléctrica Carén S.A.</t>
        </is>
      </c>
      <c r="I255" t="inlineStr">
        <is>
          <t>Empresa Eléctrica Carén S.A.</t>
        </is>
      </c>
      <c r="J255" t="inlineStr">
        <is>
          <t>SIC 2013/03_2_BS1A_BB_SAESA_Empresa Eléctrica Carén S.A.</t>
        </is>
      </c>
      <c r="K255" t="inlineStr">
        <is>
          <t>Mariquina 023</t>
        </is>
      </c>
      <c r="L255" t="inlineStr">
        <is>
          <t>-1</t>
        </is>
      </c>
      <c r="M255" t="n">
        <v>1023.326394143348</v>
      </c>
      <c r="N255" t="n">
        <v>0</v>
      </c>
      <c r="O255" t="inlineStr">
        <is>
          <t>6</t>
        </is>
      </c>
      <c r="P255" s="2" t="n">
        <v>44659.60028225694</v>
      </c>
      <c r="Q255" t="n">
        <v>1</v>
      </c>
      <c r="R255" t="inlineStr">
        <is>
          <t>LOS CIRUELOS 220</t>
        </is>
      </c>
      <c r="S255" t="n">
        <v>1045.350111036783</v>
      </c>
      <c r="T255" t="n">
        <v>75316.18816997715</v>
      </c>
      <c r="U255" t="n">
        <v>0</v>
      </c>
      <c r="V255" t="n">
        <v>0</v>
      </c>
      <c r="W255" t="inlineStr">
        <is>
          <t>SAESA</t>
        </is>
      </c>
      <c r="X255" t="n">
        <v>79.61189891451794</v>
      </c>
      <c r="Y255" t="n">
        <v>75.31618816997715</v>
      </c>
      <c r="Z255" t="n">
        <v>83222.30737014049</v>
      </c>
      <c r="AA255" t="n">
        <v>0</v>
      </c>
      <c r="AB255" t="n">
        <v>0</v>
      </c>
      <c r="AC255" t="n">
        <v>0</v>
      </c>
      <c r="AD255" s="2" t="n">
        <v>44197</v>
      </c>
    </row>
    <row r="256">
      <c r="A256" t="n">
        <v>-1</v>
      </c>
      <c r="B256" t="inlineStr">
        <is>
          <t>01-01-2021</t>
        </is>
      </c>
      <c r="C256" t="n">
        <v>2021</v>
      </c>
      <c r="D256" t="n">
        <v>1</v>
      </c>
      <c r="E256" t="inlineStr">
        <is>
          <t>Melipulli 023</t>
        </is>
      </c>
      <c r="F256" t="inlineStr">
        <is>
          <t>Saesa</t>
        </is>
      </c>
      <c r="G256" t="inlineStr">
        <is>
          <t>Saesa</t>
        </is>
      </c>
      <c r="H256" t="inlineStr">
        <is>
          <t>Empresa Eléctrica Carén S.A.</t>
        </is>
      </c>
      <c r="I256" t="inlineStr">
        <is>
          <t>Empresa Eléctrica Carén S.A.</t>
        </is>
      </c>
      <c r="J256" t="inlineStr">
        <is>
          <t>SIC 2013/03_2_BS1A_BB_SAESA_Empresa Eléctrica Carén S.A.</t>
        </is>
      </c>
      <c r="K256" t="inlineStr">
        <is>
          <t>Melipulli 023</t>
        </is>
      </c>
      <c r="L256" t="inlineStr">
        <is>
          <t>-1</t>
        </is>
      </c>
      <c r="M256" t="n">
        <v>12366.85374784705</v>
      </c>
      <c r="N256" t="n">
        <v>0</v>
      </c>
      <c r="O256" t="inlineStr">
        <is>
          <t>6</t>
        </is>
      </c>
      <c r="P256" s="2" t="n">
        <v>44659.60028225694</v>
      </c>
      <c r="Q256" t="n">
        <v>6</v>
      </c>
      <c r="R256" t="inlineStr">
        <is>
          <t>MELIPULLI 220</t>
        </is>
      </c>
      <c r="S256" t="n">
        <v>12633.00938241671</v>
      </c>
      <c r="T256" t="n">
        <v>863193.723892394</v>
      </c>
      <c r="U256" t="n">
        <v>0</v>
      </c>
      <c r="V256" t="n">
        <v>0</v>
      </c>
      <c r="W256" t="inlineStr">
        <is>
          <t>SAESA</t>
        </is>
      </c>
      <c r="X256" t="n">
        <v>75.50102995238471</v>
      </c>
      <c r="Y256" t="n">
        <v>863.193723892394</v>
      </c>
      <c r="Z256" t="n">
        <v>953805.219770601</v>
      </c>
      <c r="AA256" t="n">
        <v>0</v>
      </c>
      <c r="AB256" t="n">
        <v>0</v>
      </c>
      <c r="AC256" t="n">
        <v>0</v>
      </c>
      <c r="AD256" s="2" t="n">
        <v>44197</v>
      </c>
    </row>
    <row r="257">
      <c r="A257" t="n">
        <v>-1</v>
      </c>
      <c r="B257" t="inlineStr">
        <is>
          <t>01-01-2021</t>
        </is>
      </c>
      <c r="C257" t="n">
        <v>2021</v>
      </c>
      <c r="D257" t="n">
        <v>1</v>
      </c>
      <c r="E257" t="inlineStr">
        <is>
          <t>Osorno 13.8</t>
        </is>
      </c>
      <c r="F257" t="inlineStr">
        <is>
          <t>Saesa</t>
        </is>
      </c>
      <c r="G257" t="inlineStr">
        <is>
          <t>Saesa</t>
        </is>
      </c>
      <c r="H257" t="inlineStr">
        <is>
          <t>Empresa Eléctrica Carén S.A.</t>
        </is>
      </c>
      <c r="I257" t="inlineStr">
        <is>
          <t>Empresa Eléctrica Carén S.A.</t>
        </is>
      </c>
      <c r="J257" t="inlineStr">
        <is>
          <t>SIC 2013/03_2_BS1A_BB_SAESA_Empresa Eléctrica Carén S.A.</t>
        </is>
      </c>
      <c r="K257" t="inlineStr">
        <is>
          <t>Osorno 13.8</t>
        </is>
      </c>
      <c r="L257" t="inlineStr">
        <is>
          <t>-1</t>
        </is>
      </c>
      <c r="M257" t="n">
        <v>6400.282433347835</v>
      </c>
      <c r="N257" t="n">
        <v>0</v>
      </c>
      <c r="O257" t="inlineStr">
        <is>
          <t>6</t>
        </is>
      </c>
      <c r="P257" s="2" t="n">
        <v>44659.60028225694</v>
      </c>
      <c r="Q257" t="n">
        <v>6</v>
      </c>
      <c r="R257" t="inlineStr">
        <is>
          <t>MELIPULLI 220</t>
        </is>
      </c>
      <c r="S257" t="n">
        <v>70.81414383715222</v>
      </c>
      <c r="T257" t="n">
        <v>4838.619419385685</v>
      </c>
      <c r="U257" t="n">
        <v>0</v>
      </c>
      <c r="V257" t="n">
        <v>0</v>
      </c>
      <c r="W257" t="inlineStr">
        <is>
          <t>SAESA</t>
        </is>
      </c>
      <c r="X257" t="n">
        <v>75.50102995238471</v>
      </c>
      <c r="Y257" t="n">
        <v>4.838619419385684</v>
      </c>
      <c r="Z257" t="n">
        <v>5346.540794901309</v>
      </c>
      <c r="AA257" t="n">
        <v>0</v>
      </c>
      <c r="AB257" t="n">
        <v>0</v>
      </c>
      <c r="AC257" t="n">
        <v>0</v>
      </c>
      <c r="AD257" s="2" t="n">
        <v>44197</v>
      </c>
    </row>
    <row r="258">
      <c r="A258" t="n">
        <v>-1</v>
      </c>
      <c r="B258" t="inlineStr">
        <is>
          <t>01-01-2021</t>
        </is>
      </c>
      <c r="C258" t="n">
        <v>2021</v>
      </c>
      <c r="D258" t="n">
        <v>1</v>
      </c>
      <c r="E258" t="inlineStr">
        <is>
          <t>Osorno 13.8</t>
        </is>
      </c>
      <c r="F258" t="inlineStr">
        <is>
          <t>Saesa</t>
        </is>
      </c>
      <c r="G258" t="inlineStr">
        <is>
          <t>Saesa</t>
        </is>
      </c>
      <c r="H258" t="inlineStr">
        <is>
          <t>Empresa Eléctrica Carén S.A.</t>
        </is>
      </c>
      <c r="I258" t="inlineStr">
        <is>
          <t>Empresa Eléctrica Carén S.A.</t>
        </is>
      </c>
      <c r="J258" t="inlineStr">
        <is>
          <t>SIC 2013/03_2_BS1A_BB_SAESA_Empresa Eléctrica Carén S.A.</t>
        </is>
      </c>
      <c r="K258" t="inlineStr">
        <is>
          <t>Osorno 13.8</t>
        </is>
      </c>
      <c r="L258" t="inlineStr">
        <is>
          <t>-1</t>
        </is>
      </c>
      <c r="M258" t="n">
        <v>6400.282433347835</v>
      </c>
      <c r="N258" t="n">
        <v>0</v>
      </c>
      <c r="O258" t="inlineStr">
        <is>
          <t>6</t>
        </is>
      </c>
      <c r="P258" s="2" t="n">
        <v>44659.60028225694</v>
      </c>
      <c r="Q258" t="n">
        <v>68</v>
      </c>
      <c r="R258" t="inlineStr">
        <is>
          <t>RAHUE 220</t>
        </is>
      </c>
      <c r="S258" t="n">
        <v>6427.655239613041</v>
      </c>
      <c r="T258" t="n">
        <v>446039.9399924374</v>
      </c>
      <c r="U258" t="n">
        <v>0</v>
      </c>
      <c r="V258" t="n">
        <v>0</v>
      </c>
      <c r="W258" t="inlineStr">
        <is>
          <t>SAESA</t>
        </is>
      </c>
      <c r="X258" t="n">
        <v>76.67832106315817</v>
      </c>
      <c r="Y258" t="n">
        <v>446.0399399924374</v>
      </c>
      <c r="Z258" t="n">
        <v>492861.8121463397</v>
      </c>
      <c r="AA258" t="n">
        <v>0</v>
      </c>
      <c r="AB258" t="n">
        <v>0</v>
      </c>
      <c r="AC258" t="n">
        <v>0</v>
      </c>
      <c r="AD258" s="2" t="n">
        <v>44197</v>
      </c>
    </row>
    <row r="259">
      <c r="A259" t="n">
        <v>-1</v>
      </c>
      <c r="B259" t="inlineStr">
        <is>
          <t>01-01-2021</t>
        </is>
      </c>
      <c r="C259" t="n">
        <v>2021</v>
      </c>
      <c r="D259" t="n">
        <v>1</v>
      </c>
      <c r="E259" t="inlineStr">
        <is>
          <t>Osorno 13.8</t>
        </is>
      </c>
      <c r="F259" t="inlineStr">
        <is>
          <t>Saesa</t>
        </is>
      </c>
      <c r="G259" t="inlineStr">
        <is>
          <t>Saesa</t>
        </is>
      </c>
      <c r="H259" t="inlineStr">
        <is>
          <t>Empresa Eléctrica Carén S.A.</t>
        </is>
      </c>
      <c r="I259" t="inlineStr">
        <is>
          <t>Empresa Eléctrica Carén S.A.</t>
        </is>
      </c>
      <c r="J259" t="inlineStr">
        <is>
          <t>SIC 2013/03_2_BS1A_BB_SAESA_Empresa Eléctrica Carén S.A.</t>
        </is>
      </c>
      <c r="K259" t="inlineStr">
        <is>
          <t>Osorno 13.8</t>
        </is>
      </c>
      <c r="L259" t="inlineStr">
        <is>
          <t>-1</t>
        </is>
      </c>
      <c r="M259" t="n">
        <v>6400.282433347835</v>
      </c>
      <c r="N259" t="n">
        <v>0</v>
      </c>
      <c r="O259" t="inlineStr">
        <is>
          <t>6</t>
        </is>
      </c>
      <c r="P259" s="2" t="n">
        <v>44659.60028225694</v>
      </c>
      <c r="Q259" t="n">
        <v>17</v>
      </c>
      <c r="R259" t="inlineStr">
        <is>
          <t>VALDIVIA 220</t>
        </is>
      </c>
      <c r="S259" t="n">
        <v>39.55796604248872</v>
      </c>
      <c r="T259" t="n">
        <v>3021.108902717265</v>
      </c>
      <c r="U259" t="n">
        <v>0</v>
      </c>
      <c r="V259" t="n">
        <v>0</v>
      </c>
      <c r="W259" t="inlineStr">
        <is>
          <t>SAESA</t>
        </is>
      </c>
      <c r="X259" t="n">
        <v>84.38861284905238</v>
      </c>
      <c r="Y259" t="n">
        <v>3.021108902717266</v>
      </c>
      <c r="Z259" t="n">
        <v>3338.241881455542</v>
      </c>
      <c r="AA259" t="n">
        <v>0</v>
      </c>
      <c r="AB259" t="n">
        <v>0</v>
      </c>
      <c r="AC259" t="n">
        <v>0</v>
      </c>
      <c r="AD259" s="2" t="n">
        <v>44197</v>
      </c>
    </row>
    <row r="260">
      <c r="A260" t="n">
        <v>-1</v>
      </c>
      <c r="B260" t="inlineStr">
        <is>
          <t>01-01-2021</t>
        </is>
      </c>
      <c r="C260" t="n">
        <v>2021</v>
      </c>
      <c r="D260" t="n">
        <v>1</v>
      </c>
      <c r="E260" t="inlineStr">
        <is>
          <t>Panguipulli 023</t>
        </is>
      </c>
      <c r="F260" t="inlineStr">
        <is>
          <t>Saesa</t>
        </is>
      </c>
      <c r="G260" t="inlineStr">
        <is>
          <t>Saesa</t>
        </is>
      </c>
      <c r="H260" t="inlineStr">
        <is>
          <t>Empresa Eléctrica Carén S.A.</t>
        </is>
      </c>
      <c r="I260" t="inlineStr">
        <is>
          <t>Empresa Eléctrica Carén S.A.</t>
        </is>
      </c>
      <c r="J260" t="inlineStr">
        <is>
          <t>SIC 2013/03_2_BS1A_BB_SAESA_Empresa Eléctrica Carén S.A.</t>
        </is>
      </c>
      <c r="K260" t="inlineStr">
        <is>
          <t>Panguipulli 023</t>
        </is>
      </c>
      <c r="L260" t="inlineStr">
        <is>
          <t>-1</t>
        </is>
      </c>
      <c r="M260" t="n">
        <v>2595.732397717878</v>
      </c>
      <c r="N260" t="n">
        <v>0</v>
      </c>
      <c r="O260" t="inlineStr">
        <is>
          <t>6</t>
        </is>
      </c>
      <c r="P260" s="2" t="n">
        <v>44659.60028225694</v>
      </c>
      <c r="Q260" t="n">
        <v>6</v>
      </c>
      <c r="R260" t="inlineStr">
        <is>
          <t>MELIPULLI 220</t>
        </is>
      </c>
      <c r="S260" t="n">
        <v>9.458132881493041</v>
      </c>
      <c r="T260" t="n">
        <v>646.259390451213</v>
      </c>
      <c r="U260" t="n">
        <v>0</v>
      </c>
      <c r="V260" t="n">
        <v>0</v>
      </c>
      <c r="W260" t="inlineStr">
        <is>
          <t>SAESA</t>
        </is>
      </c>
      <c r="X260" t="n">
        <v>75.50102995238471</v>
      </c>
      <c r="Y260" t="n">
        <v>0.6462593904512129</v>
      </c>
      <c r="Z260" t="n">
        <v>714.0987739792408</v>
      </c>
      <c r="AA260" t="n">
        <v>0</v>
      </c>
      <c r="AB260" t="n">
        <v>0</v>
      </c>
      <c r="AC260" t="n">
        <v>0</v>
      </c>
      <c r="AD260" s="2" t="n">
        <v>44197</v>
      </c>
    </row>
    <row r="261">
      <c r="A261" t="n">
        <v>-1</v>
      </c>
      <c r="B261" t="inlineStr">
        <is>
          <t>01-01-2021</t>
        </is>
      </c>
      <c r="C261" t="n">
        <v>2021</v>
      </c>
      <c r="D261" t="n">
        <v>1</v>
      </c>
      <c r="E261" t="inlineStr">
        <is>
          <t>Panguipulli 023</t>
        </is>
      </c>
      <c r="F261" t="inlineStr">
        <is>
          <t>Saesa</t>
        </is>
      </c>
      <c r="G261" t="inlineStr">
        <is>
          <t>Saesa</t>
        </is>
      </c>
      <c r="H261" t="inlineStr">
        <is>
          <t>Empresa Eléctrica Carén S.A.</t>
        </is>
      </c>
      <c r="I261" t="inlineStr">
        <is>
          <t>Empresa Eléctrica Carén S.A.</t>
        </is>
      </c>
      <c r="J261" t="inlineStr">
        <is>
          <t>SIC 2013/03_2_BS1A_BB_SAESA_Empresa Eléctrica Carén S.A.</t>
        </is>
      </c>
      <c r="K261" t="inlineStr">
        <is>
          <t>Panguipulli 023</t>
        </is>
      </c>
      <c r="L261" t="inlineStr">
        <is>
          <t>-1</t>
        </is>
      </c>
      <c r="M261" t="n">
        <v>2595.732397717878</v>
      </c>
      <c r="N261" t="n">
        <v>0</v>
      </c>
      <c r="O261" t="inlineStr">
        <is>
          <t>6</t>
        </is>
      </c>
      <c r="P261" s="2" t="n">
        <v>44659.60028225694</v>
      </c>
      <c r="Q261" t="n">
        <v>68</v>
      </c>
      <c r="R261" t="inlineStr">
        <is>
          <t>RAHUE 220</t>
        </is>
      </c>
      <c r="S261" t="n">
        <v>742.762561943051</v>
      </c>
      <c r="T261" t="n">
        <v>51543.17650951868</v>
      </c>
      <c r="U261" t="n">
        <v>0</v>
      </c>
      <c r="V261" t="n">
        <v>0</v>
      </c>
      <c r="W261" t="inlineStr">
        <is>
          <t>SAESA</t>
        </is>
      </c>
      <c r="X261" t="n">
        <v>76.67832106315819</v>
      </c>
      <c r="Y261" t="n">
        <v>51.54317650951869</v>
      </c>
      <c r="Z261" t="n">
        <v>56953.78619836318</v>
      </c>
      <c r="AA261" t="n">
        <v>0</v>
      </c>
      <c r="AB261" t="n">
        <v>0</v>
      </c>
      <c r="AC261" t="n">
        <v>0</v>
      </c>
      <c r="AD261" s="2" t="n">
        <v>44197</v>
      </c>
    </row>
    <row r="262">
      <c r="A262" t="n">
        <v>-1</v>
      </c>
      <c r="B262" t="inlineStr">
        <is>
          <t>01-01-2021</t>
        </is>
      </c>
      <c r="C262" t="n">
        <v>2021</v>
      </c>
      <c r="D262" t="n">
        <v>1</v>
      </c>
      <c r="E262" t="inlineStr">
        <is>
          <t>Panguipulli 023</t>
        </is>
      </c>
      <c r="F262" t="inlineStr">
        <is>
          <t>Saesa</t>
        </is>
      </c>
      <c r="G262" t="inlineStr">
        <is>
          <t>Saesa</t>
        </is>
      </c>
      <c r="H262" t="inlineStr">
        <is>
          <t>Empresa Eléctrica Carén S.A.</t>
        </is>
      </c>
      <c r="I262" t="inlineStr">
        <is>
          <t>Empresa Eléctrica Carén S.A.</t>
        </is>
      </c>
      <c r="J262" t="inlineStr">
        <is>
          <t>SIC 2013/03_2_BS1A_BB_SAESA_Empresa Eléctrica Carén S.A.</t>
        </is>
      </c>
      <c r="K262" t="inlineStr">
        <is>
          <t>Panguipulli 023</t>
        </is>
      </c>
      <c r="L262" t="inlineStr">
        <is>
          <t>-1</t>
        </is>
      </c>
      <c r="M262" t="n">
        <v>2595.732397717878</v>
      </c>
      <c r="N262" t="n">
        <v>0</v>
      </c>
      <c r="O262" t="inlineStr">
        <is>
          <t>6</t>
        </is>
      </c>
      <c r="P262" s="2" t="n">
        <v>44659.60028225694</v>
      </c>
      <c r="Q262" t="n">
        <v>17</v>
      </c>
      <c r="R262" t="inlineStr">
        <is>
          <t>VALDIVIA 220</t>
        </is>
      </c>
      <c r="S262" t="n">
        <v>1899.376259681505</v>
      </c>
      <c r="T262" t="n">
        <v>145058.583688814</v>
      </c>
      <c r="U262" t="n">
        <v>0</v>
      </c>
      <c r="V262" t="n">
        <v>0</v>
      </c>
      <c r="W262" t="inlineStr">
        <is>
          <t>SAESA</t>
        </is>
      </c>
      <c r="X262" t="n">
        <v>84.38861284905236</v>
      </c>
      <c r="Y262" t="n">
        <v>145.0585836888141</v>
      </c>
      <c r="Z262" t="n">
        <v>160285.7278329437</v>
      </c>
      <c r="AA262" t="n">
        <v>0</v>
      </c>
      <c r="AB262" t="n">
        <v>0</v>
      </c>
      <c r="AC262" t="n">
        <v>0</v>
      </c>
      <c r="AD262" s="2" t="n">
        <v>44197</v>
      </c>
    </row>
    <row r="263">
      <c r="A263" t="n">
        <v>-1</v>
      </c>
      <c r="B263" t="inlineStr">
        <is>
          <t>01-01-2021</t>
        </is>
      </c>
      <c r="C263" t="n">
        <v>2021</v>
      </c>
      <c r="D263" t="n">
        <v>1</v>
      </c>
      <c r="E263" t="inlineStr">
        <is>
          <t>Pargua 23</t>
        </is>
      </c>
      <c r="F263" t="inlineStr">
        <is>
          <t>Saesa</t>
        </is>
      </c>
      <c r="G263" t="inlineStr">
        <is>
          <t>Saesa</t>
        </is>
      </c>
      <c r="H263" t="inlineStr">
        <is>
          <t>Empresa Eléctrica Carén S.A.</t>
        </is>
      </c>
      <c r="I263" t="inlineStr">
        <is>
          <t>Empresa Eléctrica Carén S.A.</t>
        </is>
      </c>
      <c r="J263" t="inlineStr">
        <is>
          <t>SIC 2013/03_2_BS1A_BB_SAESA_Empresa Eléctrica Carén S.A.</t>
        </is>
      </c>
      <c r="K263" t="inlineStr">
        <is>
          <t>Pargua 23</t>
        </is>
      </c>
      <c r="L263" t="inlineStr">
        <is>
          <t>-1</t>
        </is>
      </c>
      <c r="M263" t="n">
        <v>216.2888101314846</v>
      </c>
      <c r="N263" t="n">
        <v>0</v>
      </c>
      <c r="O263" t="inlineStr">
        <is>
          <t>6</t>
        </is>
      </c>
      <c r="P263" s="2" t="n">
        <v>44659.60028225694</v>
      </c>
      <c r="Q263" t="n">
        <v>6</v>
      </c>
      <c r="R263" t="inlineStr">
        <is>
          <t>MELIPULLI 220</t>
        </is>
      </c>
      <c r="S263" t="n">
        <v>220.9437115869889</v>
      </c>
      <c r="T263" t="n">
        <v>15096.73739661987</v>
      </c>
      <c r="U263" t="n">
        <v>0</v>
      </c>
      <c r="V263" t="n">
        <v>0</v>
      </c>
      <c r="W263" t="inlineStr">
        <is>
          <t>SAESA</t>
        </is>
      </c>
      <c r="X263" t="n">
        <v>75.50102995238473</v>
      </c>
      <c r="Y263" t="n">
        <v>15.09673739661987</v>
      </c>
      <c r="Z263" t="n">
        <v>16681.4777863203</v>
      </c>
      <c r="AA263" t="n">
        <v>0</v>
      </c>
      <c r="AB263" t="n">
        <v>0</v>
      </c>
      <c r="AC263" t="n">
        <v>0</v>
      </c>
      <c r="AD263" s="2" t="n">
        <v>44197</v>
      </c>
    </row>
    <row r="264">
      <c r="A264" t="n">
        <v>-1</v>
      </c>
      <c r="B264" t="inlineStr">
        <is>
          <t>01-01-2021</t>
        </is>
      </c>
      <c r="C264" t="n">
        <v>2021</v>
      </c>
      <c r="D264" t="n">
        <v>1</v>
      </c>
      <c r="E264" t="inlineStr">
        <is>
          <t>Picarte 13.8</t>
        </is>
      </c>
      <c r="F264" t="inlineStr">
        <is>
          <t>Saesa</t>
        </is>
      </c>
      <c r="G264" t="inlineStr">
        <is>
          <t>Saesa</t>
        </is>
      </c>
      <c r="H264" t="inlineStr">
        <is>
          <t>Empresa Eléctrica Carén S.A.</t>
        </is>
      </c>
      <c r="I264" t="inlineStr">
        <is>
          <t>Empresa Eléctrica Carén S.A.</t>
        </is>
      </c>
      <c r="J264" t="inlineStr">
        <is>
          <t>SIC 2013/03_2_BS1A_BB_SAESA_Empresa Eléctrica Carén S.A.</t>
        </is>
      </c>
      <c r="K264" t="inlineStr">
        <is>
          <t>Picarte 13.8</t>
        </is>
      </c>
      <c r="L264" t="inlineStr">
        <is>
          <t>-1</t>
        </is>
      </c>
      <c r="M264" t="n">
        <v>6521.417118432421</v>
      </c>
      <c r="N264" t="n">
        <v>0</v>
      </c>
      <c r="O264" t="inlineStr">
        <is>
          <t>6</t>
        </is>
      </c>
      <c r="P264" s="2" t="n">
        <v>44659.60028225694</v>
      </c>
      <c r="Q264" t="n">
        <v>6</v>
      </c>
      <c r="R264" t="inlineStr">
        <is>
          <t>MELIPULLI 220</t>
        </is>
      </c>
      <c r="S264" t="n">
        <v>9.469232798268088</v>
      </c>
      <c r="T264" t="n">
        <v>647.017830360969</v>
      </c>
      <c r="U264" t="n">
        <v>0</v>
      </c>
      <c r="V264" t="n">
        <v>0</v>
      </c>
      <c r="W264" t="inlineStr">
        <is>
          <t>SAESA</t>
        </is>
      </c>
      <c r="X264" t="n">
        <v>75.50102995238471</v>
      </c>
      <c r="Y264" t="n">
        <v>0.647017830360969</v>
      </c>
      <c r="Z264" t="n">
        <v>714.9368291281426</v>
      </c>
      <c r="AA264" t="n">
        <v>0</v>
      </c>
      <c r="AB264" t="n">
        <v>0</v>
      </c>
      <c r="AC264" t="n">
        <v>0</v>
      </c>
      <c r="AD264" s="2" t="n">
        <v>44197</v>
      </c>
    </row>
    <row r="265">
      <c r="A265" t="n">
        <v>-1</v>
      </c>
      <c r="B265" t="inlineStr">
        <is>
          <t>01-01-2021</t>
        </is>
      </c>
      <c r="C265" t="n">
        <v>2021</v>
      </c>
      <c r="D265" t="n">
        <v>1</v>
      </c>
      <c r="E265" t="inlineStr">
        <is>
          <t>Picarte 13.8</t>
        </is>
      </c>
      <c r="F265" t="inlineStr">
        <is>
          <t>Saesa</t>
        </is>
      </c>
      <c r="G265" t="inlineStr">
        <is>
          <t>Saesa</t>
        </is>
      </c>
      <c r="H265" t="inlineStr">
        <is>
          <t>Empresa Eléctrica Carén S.A.</t>
        </is>
      </c>
      <c r="I265" t="inlineStr">
        <is>
          <t>Empresa Eléctrica Carén S.A.</t>
        </is>
      </c>
      <c r="J265" t="inlineStr">
        <is>
          <t>SIC 2013/03_2_BS1A_BB_SAESA_Empresa Eléctrica Carén S.A.</t>
        </is>
      </c>
      <c r="K265" t="inlineStr">
        <is>
          <t>Picarte 13.8</t>
        </is>
      </c>
      <c r="L265" t="inlineStr">
        <is>
          <t>-1</t>
        </is>
      </c>
      <c r="M265" t="n">
        <v>6521.417118432421</v>
      </c>
      <c r="N265" t="n">
        <v>0</v>
      </c>
      <c r="O265" t="inlineStr">
        <is>
          <t>6</t>
        </is>
      </c>
      <c r="P265" s="2" t="n">
        <v>44659.60028225694</v>
      </c>
      <c r="Q265" t="n">
        <v>68</v>
      </c>
      <c r="R265" t="inlineStr">
        <is>
          <t>RAHUE 220</t>
        </is>
      </c>
      <c r="S265" t="n">
        <v>611.1801372902494</v>
      </c>
      <c r="T265" t="n">
        <v>42412.16144908299</v>
      </c>
      <c r="U265" t="n">
        <v>0</v>
      </c>
      <c r="V265" t="n">
        <v>0</v>
      </c>
      <c r="W265" t="inlineStr">
        <is>
          <t>SAESA</t>
        </is>
      </c>
      <c r="X265" t="n">
        <v>76.67832106315819</v>
      </c>
      <c r="Y265" t="n">
        <v>42.41216144908299</v>
      </c>
      <c r="Z265" t="n">
        <v>46864.26679456684</v>
      </c>
      <c r="AA265" t="n">
        <v>0</v>
      </c>
      <c r="AB265" t="n">
        <v>0</v>
      </c>
      <c r="AC265" t="n">
        <v>0</v>
      </c>
      <c r="AD265" s="2" t="n">
        <v>44197</v>
      </c>
    </row>
    <row r="266">
      <c r="A266" t="n">
        <v>-1</v>
      </c>
      <c r="B266" t="inlineStr">
        <is>
          <t>01-01-2021</t>
        </is>
      </c>
      <c r="C266" t="n">
        <v>2021</v>
      </c>
      <c r="D266" t="n">
        <v>1</v>
      </c>
      <c r="E266" t="inlineStr">
        <is>
          <t>Picarte 13.8</t>
        </is>
      </c>
      <c r="F266" t="inlineStr">
        <is>
          <t>Saesa</t>
        </is>
      </c>
      <c r="G266" t="inlineStr">
        <is>
          <t>Saesa</t>
        </is>
      </c>
      <c r="H266" t="inlineStr">
        <is>
          <t>Empresa Eléctrica Carén S.A.</t>
        </is>
      </c>
      <c r="I266" t="inlineStr">
        <is>
          <t>Empresa Eléctrica Carén S.A.</t>
        </is>
      </c>
      <c r="J266" t="inlineStr">
        <is>
          <t>SIC 2013/03_2_BS1A_BB_SAESA_Empresa Eléctrica Carén S.A.</t>
        </is>
      </c>
      <c r="K266" t="inlineStr">
        <is>
          <t>Picarte 13.8</t>
        </is>
      </c>
      <c r="L266" t="inlineStr">
        <is>
          <t>-1</t>
        </is>
      </c>
      <c r="M266" t="n">
        <v>6521.417118432421</v>
      </c>
      <c r="N266" t="n">
        <v>0</v>
      </c>
      <c r="O266" t="inlineStr">
        <is>
          <t>6</t>
        </is>
      </c>
      <c r="P266" s="2" t="n">
        <v>44659.60028225694</v>
      </c>
      <c r="Q266" t="n">
        <v>17</v>
      </c>
      <c r="R266" t="inlineStr">
        <is>
          <t>VALDIVIA 220</t>
        </is>
      </c>
      <c r="S266" t="n">
        <v>6041.119688040125</v>
      </c>
      <c r="T266" t="n">
        <v>461370.5480285696</v>
      </c>
      <c r="U266" t="n">
        <v>0</v>
      </c>
      <c r="V266" t="n">
        <v>0</v>
      </c>
      <c r="W266" t="inlineStr">
        <is>
          <t>SAESA</t>
        </is>
      </c>
      <c r="X266" t="n">
        <v>84.38861284905238</v>
      </c>
      <c r="Y266" t="n">
        <v>461.3705480285696</v>
      </c>
      <c r="Z266" t="n">
        <v>509801.7105288061</v>
      </c>
      <c r="AA266" t="n">
        <v>0</v>
      </c>
      <c r="AB266" t="n">
        <v>0</v>
      </c>
      <c r="AC266" t="n">
        <v>0</v>
      </c>
      <c r="AD266" s="2" t="n">
        <v>44197</v>
      </c>
    </row>
    <row r="267">
      <c r="A267" t="n">
        <v>-1</v>
      </c>
      <c r="B267" t="inlineStr">
        <is>
          <t>01-01-2021</t>
        </is>
      </c>
      <c r="C267" t="n">
        <v>2021</v>
      </c>
      <c r="D267" t="n">
        <v>1</v>
      </c>
      <c r="E267" t="inlineStr">
        <is>
          <t>Pichil 023</t>
        </is>
      </c>
      <c r="F267" t="inlineStr">
        <is>
          <t>Saesa</t>
        </is>
      </c>
      <c r="G267" t="inlineStr">
        <is>
          <t>Saesa</t>
        </is>
      </c>
      <c r="H267" t="inlineStr">
        <is>
          <t>Empresa Eléctrica Carén S.A.</t>
        </is>
      </c>
      <c r="I267" t="inlineStr">
        <is>
          <t>Empresa Eléctrica Carén S.A.</t>
        </is>
      </c>
      <c r="J267" t="inlineStr">
        <is>
          <t>SIC 2013/03_2_BS1A_BB_SAESA_Empresa Eléctrica Carén S.A.</t>
        </is>
      </c>
      <c r="K267" t="inlineStr">
        <is>
          <t>Pichil 023</t>
        </is>
      </c>
      <c r="L267" t="inlineStr">
        <is>
          <t>-1</t>
        </is>
      </c>
      <c r="M267" t="n">
        <v>263.5688601308561</v>
      </c>
      <c r="N267" t="n">
        <v>0</v>
      </c>
      <c r="O267" t="inlineStr">
        <is>
          <t>6</t>
        </is>
      </c>
      <c r="P267" s="2" t="n">
        <v>44659.60028225694</v>
      </c>
      <c r="Q267" t="n">
        <v>6</v>
      </c>
      <c r="R267" t="inlineStr">
        <is>
          <t>MELIPULLI 220</t>
        </is>
      </c>
      <c r="S267" t="n">
        <v>4.264586878767073</v>
      </c>
      <c r="T267" t="n">
        <v>291.3925350098474</v>
      </c>
      <c r="U267" t="n">
        <v>0</v>
      </c>
      <c r="V267" t="n">
        <v>0</v>
      </c>
      <c r="W267" t="inlineStr">
        <is>
          <t>SAESA</t>
        </is>
      </c>
      <c r="X267" t="n">
        <v>75.50102995238471</v>
      </c>
      <c r="Y267" t="n">
        <v>0.2913925350098474</v>
      </c>
      <c r="Z267" t="n">
        <v>321.9807016683396</v>
      </c>
      <c r="AA267" t="n">
        <v>0</v>
      </c>
      <c r="AB267" t="n">
        <v>0</v>
      </c>
      <c r="AC267" t="n">
        <v>0</v>
      </c>
      <c r="AD267" s="2" t="n">
        <v>44197</v>
      </c>
    </row>
    <row r="268">
      <c r="A268" t="n">
        <v>-1</v>
      </c>
      <c r="B268" t="inlineStr">
        <is>
          <t>01-01-2021</t>
        </is>
      </c>
      <c r="C268" t="n">
        <v>2021</v>
      </c>
      <c r="D268" t="n">
        <v>1</v>
      </c>
      <c r="E268" t="inlineStr">
        <is>
          <t>Pichil 023</t>
        </is>
      </c>
      <c r="F268" t="inlineStr">
        <is>
          <t>Saesa</t>
        </is>
      </c>
      <c r="G268" t="inlineStr">
        <is>
          <t>Saesa</t>
        </is>
      </c>
      <c r="H268" t="inlineStr">
        <is>
          <t>Empresa Eléctrica Carén S.A.</t>
        </is>
      </c>
      <c r="I268" t="inlineStr">
        <is>
          <t>Empresa Eléctrica Carén S.A.</t>
        </is>
      </c>
      <c r="J268" t="inlineStr">
        <is>
          <t>SIC 2013/03_2_BS1A_BB_SAESA_Empresa Eléctrica Carén S.A.</t>
        </is>
      </c>
      <c r="K268" t="inlineStr">
        <is>
          <t>Pichil 023</t>
        </is>
      </c>
      <c r="L268" t="inlineStr">
        <is>
          <t>-1</t>
        </is>
      </c>
      <c r="M268" t="n">
        <v>263.5688601308561</v>
      </c>
      <c r="N268" t="n">
        <v>0</v>
      </c>
      <c r="O268" t="inlineStr">
        <is>
          <t>6</t>
        </is>
      </c>
      <c r="P268" s="2" t="n">
        <v>44659.60028225694</v>
      </c>
      <c r="Q268" t="n">
        <v>68</v>
      </c>
      <c r="R268" t="inlineStr">
        <is>
          <t>RAHUE 220</t>
        </is>
      </c>
      <c r="S268" t="n">
        <v>263.4139974277159</v>
      </c>
      <c r="T268" t="n">
        <v>18279.31947589955</v>
      </c>
      <c r="U268" t="n">
        <v>0</v>
      </c>
      <c r="V268" t="n">
        <v>0</v>
      </c>
      <c r="W268" t="inlineStr">
        <is>
          <t>SAESA</t>
        </is>
      </c>
      <c r="X268" t="n">
        <v>76.67832106315818</v>
      </c>
      <c r="Y268" t="n">
        <v>18.27931947589956</v>
      </c>
      <c r="Z268" t="n">
        <v>20198.14306729232</v>
      </c>
      <c r="AA268" t="n">
        <v>0</v>
      </c>
      <c r="AB268" t="n">
        <v>0</v>
      </c>
      <c r="AC268" t="n">
        <v>0</v>
      </c>
      <c r="AD268" s="2" t="n">
        <v>44197</v>
      </c>
    </row>
    <row r="269">
      <c r="A269" t="n">
        <v>-1</v>
      </c>
      <c r="B269" t="inlineStr">
        <is>
          <t>01-01-2021</t>
        </is>
      </c>
      <c r="C269" t="n">
        <v>2021</v>
      </c>
      <c r="D269" t="n">
        <v>1</v>
      </c>
      <c r="E269" t="inlineStr">
        <is>
          <t>Pichil 023</t>
        </is>
      </c>
      <c r="F269" t="inlineStr">
        <is>
          <t>Saesa</t>
        </is>
      </c>
      <c r="G269" t="inlineStr">
        <is>
          <t>Saesa</t>
        </is>
      </c>
      <c r="H269" t="inlineStr">
        <is>
          <t>Empresa Eléctrica Carén S.A.</t>
        </is>
      </c>
      <c r="I269" t="inlineStr">
        <is>
          <t>Empresa Eléctrica Carén S.A.</t>
        </is>
      </c>
      <c r="J269" t="inlineStr">
        <is>
          <t>SIC 2013/03_2_BS1A_BB_SAESA_Empresa Eléctrica Carén S.A.</t>
        </is>
      </c>
      <c r="K269" t="inlineStr">
        <is>
          <t>Pichil 023</t>
        </is>
      </c>
      <c r="L269" t="inlineStr">
        <is>
          <t>-1</t>
        </is>
      </c>
      <c r="M269" t="n">
        <v>263.5688601308561</v>
      </c>
      <c r="N269" t="n">
        <v>0</v>
      </c>
      <c r="O269" t="inlineStr">
        <is>
          <t>6</t>
        </is>
      </c>
      <c r="P269" s="2" t="n">
        <v>44659.60028225694</v>
      </c>
      <c r="Q269" t="n">
        <v>17</v>
      </c>
      <c r="R269" t="inlineStr">
        <is>
          <t>VALDIVIA 220</t>
        </is>
      </c>
      <c r="S269" t="n">
        <v>1.562724019464135</v>
      </c>
      <c r="T269" t="n">
        <v>119.3478816029689</v>
      </c>
      <c r="U269" t="n">
        <v>0</v>
      </c>
      <c r="V269" t="n">
        <v>0</v>
      </c>
      <c r="W269" t="inlineStr">
        <is>
          <t>SAESA</t>
        </is>
      </c>
      <c r="X269" t="n">
        <v>84.38861284905238</v>
      </c>
      <c r="Y269" t="n">
        <v>0.1193478816029689</v>
      </c>
      <c r="Z269" t="n">
        <v>131.8761122684739</v>
      </c>
      <c r="AA269" t="n">
        <v>0</v>
      </c>
      <c r="AB269" t="n">
        <v>0</v>
      </c>
      <c r="AC269" t="n">
        <v>0</v>
      </c>
      <c r="AD269" s="2" t="n">
        <v>44197</v>
      </c>
    </row>
    <row r="270">
      <c r="A270" t="n">
        <v>-1</v>
      </c>
      <c r="B270" t="inlineStr">
        <is>
          <t>01-01-2021</t>
        </is>
      </c>
      <c r="C270" t="n">
        <v>2021</v>
      </c>
      <c r="D270" t="n">
        <v>1</v>
      </c>
      <c r="E270" t="inlineStr">
        <is>
          <t>Pichirropulli 13.8</t>
        </is>
      </c>
      <c r="F270" t="inlineStr">
        <is>
          <t>Saesa</t>
        </is>
      </c>
      <c r="G270" t="inlineStr">
        <is>
          <t>Saesa</t>
        </is>
      </c>
      <c r="H270" t="inlineStr">
        <is>
          <t>Empresa Eléctrica Carén S.A.</t>
        </is>
      </c>
      <c r="I270" t="inlineStr">
        <is>
          <t>Empresa Eléctrica Carén S.A.</t>
        </is>
      </c>
      <c r="J270" t="inlineStr">
        <is>
          <t>SIC 2013/03_2_BS1A_BB_SAESA_Empresa Eléctrica Carén S.A.</t>
        </is>
      </c>
      <c r="K270" t="inlineStr">
        <is>
          <t>Pichirropulli 13.8</t>
        </is>
      </c>
      <c r="L270" t="inlineStr">
        <is>
          <t>-1</t>
        </is>
      </c>
      <c r="M270" t="n">
        <v>1683.075981727425</v>
      </c>
      <c r="N270" t="n">
        <v>0</v>
      </c>
      <c r="O270" t="inlineStr">
        <is>
          <t>6</t>
        </is>
      </c>
      <c r="P270" s="2" t="n">
        <v>44659.60028225694</v>
      </c>
      <c r="Q270" t="n">
        <v>6</v>
      </c>
      <c r="R270" t="inlineStr">
        <is>
          <t>MELIPULLI 220</t>
        </is>
      </c>
      <c r="S270" t="n">
        <v>15.88226303373293</v>
      </c>
      <c r="T270" t="n">
        <v>1085.210131404478</v>
      </c>
      <c r="U270" t="n">
        <v>0</v>
      </c>
      <c r="V270" t="n">
        <v>0</v>
      </c>
      <c r="W270" t="inlineStr">
        <is>
          <t>SAESA</t>
        </is>
      </c>
      <c r="X270" t="n">
        <v>75.50102995238471</v>
      </c>
      <c r="Y270" t="n">
        <v>1.085210131404478</v>
      </c>
      <c r="Z270" t="n">
        <v>1199.127217021522</v>
      </c>
      <c r="AA270" t="n">
        <v>0</v>
      </c>
      <c r="AB270" t="n">
        <v>0</v>
      </c>
      <c r="AC270" t="n">
        <v>0</v>
      </c>
      <c r="AD270" s="2" t="n">
        <v>44197</v>
      </c>
    </row>
    <row r="271">
      <c r="A271" t="n">
        <v>-1</v>
      </c>
      <c r="B271" t="inlineStr">
        <is>
          <t>01-01-2021</t>
        </is>
      </c>
      <c r="C271" t="n">
        <v>2021</v>
      </c>
      <c r="D271" t="n">
        <v>1</v>
      </c>
      <c r="E271" t="inlineStr">
        <is>
          <t>Pichirropulli 13.8</t>
        </is>
      </c>
      <c r="F271" t="inlineStr">
        <is>
          <t>Saesa</t>
        </is>
      </c>
      <c r="G271" t="inlineStr">
        <is>
          <t>Saesa</t>
        </is>
      </c>
      <c r="H271" t="inlineStr">
        <is>
          <t>Empresa Eléctrica Carén S.A.</t>
        </is>
      </c>
      <c r="I271" t="inlineStr">
        <is>
          <t>Empresa Eléctrica Carén S.A.</t>
        </is>
      </c>
      <c r="J271" t="inlineStr">
        <is>
          <t>SIC 2013/03_2_BS1A_BB_SAESA_Empresa Eléctrica Carén S.A.</t>
        </is>
      </c>
      <c r="K271" t="inlineStr">
        <is>
          <t>Pichirropulli 13.8</t>
        </is>
      </c>
      <c r="L271" t="inlineStr">
        <is>
          <t>-1</t>
        </is>
      </c>
      <c r="M271" t="n">
        <v>1683.075981727425</v>
      </c>
      <c r="N271" t="n">
        <v>0</v>
      </c>
      <c r="O271" t="inlineStr">
        <is>
          <t>6</t>
        </is>
      </c>
      <c r="P271" s="2" t="n">
        <v>44659.60028225694</v>
      </c>
      <c r="Q271" t="n">
        <v>68</v>
      </c>
      <c r="R271" t="inlineStr">
        <is>
          <t>RAHUE 220</t>
        </is>
      </c>
      <c r="S271" t="n">
        <v>1550.562721520615</v>
      </c>
      <c r="T271" t="n">
        <v>107599.5643013365</v>
      </c>
      <c r="U271" t="n">
        <v>0</v>
      </c>
      <c r="V271" t="n">
        <v>0</v>
      </c>
      <c r="W271" t="inlineStr">
        <is>
          <t>SAESA</t>
        </is>
      </c>
      <c r="X271" t="n">
        <v>76.67832106315818</v>
      </c>
      <c r="Y271" t="n">
        <v>107.5995643013365</v>
      </c>
      <c r="Z271" t="n">
        <v>118894.5461893221</v>
      </c>
      <c r="AA271" t="n">
        <v>0</v>
      </c>
      <c r="AB271" t="n">
        <v>0</v>
      </c>
      <c r="AC271" t="n">
        <v>0</v>
      </c>
      <c r="AD271" s="2" t="n">
        <v>44197</v>
      </c>
    </row>
    <row r="272">
      <c r="A272" t="n">
        <v>-1</v>
      </c>
      <c r="B272" t="inlineStr">
        <is>
          <t>01-01-2021</t>
        </is>
      </c>
      <c r="C272" t="n">
        <v>2021</v>
      </c>
      <c r="D272" t="n">
        <v>1</v>
      </c>
      <c r="E272" t="inlineStr">
        <is>
          <t>Pichirropulli 13.8</t>
        </is>
      </c>
      <c r="F272" t="inlineStr">
        <is>
          <t>Saesa</t>
        </is>
      </c>
      <c r="G272" t="inlineStr">
        <is>
          <t>Saesa</t>
        </is>
      </c>
      <c r="H272" t="inlineStr">
        <is>
          <t>Empresa Eléctrica Carén S.A.</t>
        </is>
      </c>
      <c r="I272" t="inlineStr">
        <is>
          <t>Empresa Eléctrica Carén S.A.</t>
        </is>
      </c>
      <c r="J272" t="inlineStr">
        <is>
          <t>SIC 2013/03_2_BS1A_BB_SAESA_Empresa Eléctrica Carén S.A.</t>
        </is>
      </c>
      <c r="K272" t="inlineStr">
        <is>
          <t>Pichirropulli 13.8</t>
        </is>
      </c>
      <c r="L272" t="inlineStr">
        <is>
          <t>-1</t>
        </is>
      </c>
      <c r="M272" t="n">
        <v>1683.075981727425</v>
      </c>
      <c r="N272" t="n">
        <v>0</v>
      </c>
      <c r="O272" t="inlineStr">
        <is>
          <t>6</t>
        </is>
      </c>
      <c r="P272" s="2" t="n">
        <v>44659.60028225694</v>
      </c>
      <c r="Q272" t="n">
        <v>17</v>
      </c>
      <c r="R272" t="inlineStr">
        <is>
          <t>VALDIVIA 220</t>
        </is>
      </c>
      <c r="S272" t="n">
        <v>152.8536424051833</v>
      </c>
      <c r="T272" t="n">
        <v>11673.69170060615</v>
      </c>
      <c r="U272" t="n">
        <v>0</v>
      </c>
      <c r="V272" t="n">
        <v>0</v>
      </c>
      <c r="W272" t="inlineStr">
        <is>
          <t>SAESA</t>
        </is>
      </c>
      <c r="X272" t="n">
        <v>84.38861284905238</v>
      </c>
      <c r="Y272" t="n">
        <v>11.67369170060615</v>
      </c>
      <c r="Z272" t="n">
        <v>12899.10685149851</v>
      </c>
      <c r="AA272" t="n">
        <v>0</v>
      </c>
      <c r="AB272" t="n">
        <v>0</v>
      </c>
      <c r="AC272" t="n">
        <v>0</v>
      </c>
      <c r="AD272" s="2" t="n">
        <v>44197</v>
      </c>
    </row>
    <row r="273">
      <c r="A273" t="n">
        <v>-1</v>
      </c>
      <c r="B273" t="inlineStr">
        <is>
          <t>01-01-2021</t>
        </is>
      </c>
      <c r="C273" t="n">
        <v>2021</v>
      </c>
      <c r="D273" t="n">
        <v>1</v>
      </c>
      <c r="E273" t="inlineStr">
        <is>
          <t>Pid Pid 023</t>
        </is>
      </c>
      <c r="F273" t="inlineStr">
        <is>
          <t>Saesa</t>
        </is>
      </c>
      <c r="G273" t="inlineStr">
        <is>
          <t>Saesa</t>
        </is>
      </c>
      <c r="H273" t="inlineStr">
        <is>
          <t>Empresa Eléctrica Carén S.A.</t>
        </is>
      </c>
      <c r="I273" t="inlineStr">
        <is>
          <t>Empresa Eléctrica Carén S.A.</t>
        </is>
      </c>
      <c r="J273" t="inlineStr">
        <is>
          <t>SIC 2013/03_2_BS1A_BB_SAESA_Empresa Eléctrica Carén S.A.</t>
        </is>
      </c>
      <c r="K273" t="inlineStr">
        <is>
          <t>Pid Pid 023</t>
        </is>
      </c>
      <c r="L273" t="inlineStr">
        <is>
          <t>-1</t>
        </is>
      </c>
      <c r="M273" t="n">
        <v>580.0549540270246</v>
      </c>
      <c r="N273" t="n">
        <v>0</v>
      </c>
      <c r="O273" t="inlineStr">
        <is>
          <t>6</t>
        </is>
      </c>
      <c r="P273" s="2" t="n">
        <v>44659.60028225694</v>
      </c>
      <c r="Q273" t="n">
        <v>24</v>
      </c>
      <c r="R273" t="inlineStr">
        <is>
          <t>CHILOE 220</t>
        </is>
      </c>
      <c r="S273" t="n">
        <v>592.5387188973914</v>
      </c>
      <c r="T273" t="n">
        <v>40999.54184480556</v>
      </c>
      <c r="U273" t="n">
        <v>0</v>
      </c>
      <c r="V273" t="n">
        <v>0</v>
      </c>
      <c r="W273" t="inlineStr">
        <is>
          <t>SAESA</t>
        </is>
      </c>
      <c r="X273" t="n">
        <v>76.45637273929161</v>
      </c>
      <c r="Y273" t="n">
        <v>40.99954184480556</v>
      </c>
      <c r="Z273" t="n">
        <v>45303.36115448128</v>
      </c>
      <c r="AA273" t="n">
        <v>0</v>
      </c>
      <c r="AB273" t="n">
        <v>0</v>
      </c>
      <c r="AC273" t="n">
        <v>0</v>
      </c>
      <c r="AD273" s="2" t="n">
        <v>44197</v>
      </c>
    </row>
    <row r="274">
      <c r="A274" t="n">
        <v>-1</v>
      </c>
      <c r="B274" t="inlineStr">
        <is>
          <t>01-01-2021</t>
        </is>
      </c>
      <c r="C274" t="n">
        <v>2021</v>
      </c>
      <c r="D274" t="n">
        <v>1</v>
      </c>
      <c r="E274" t="inlineStr">
        <is>
          <t>pilmaiquen 13.8</t>
        </is>
      </c>
      <c r="F274" t="inlineStr">
        <is>
          <t>Saesa</t>
        </is>
      </c>
      <c r="G274" t="inlineStr">
        <is>
          <t>Saesa</t>
        </is>
      </c>
      <c r="H274" t="inlineStr">
        <is>
          <t>Empresa Eléctrica Carén S.A.</t>
        </is>
      </c>
      <c r="I274" t="inlineStr">
        <is>
          <t>Empresa Eléctrica Carén S.A.</t>
        </is>
      </c>
      <c r="J274" t="inlineStr">
        <is>
          <t>SIC 2013/03_2_BS1A_BB_SAESA_Empresa Eléctrica Carén S.A.</t>
        </is>
      </c>
      <c r="K274" t="inlineStr">
        <is>
          <t>pilmaiquen 13.8</t>
        </is>
      </c>
      <c r="L274" t="inlineStr">
        <is>
          <t>-1</t>
        </is>
      </c>
      <c r="M274" t="n">
        <v>0</v>
      </c>
      <c r="N274" t="n">
        <v>0</v>
      </c>
      <c r="O274" t="inlineStr">
        <is>
          <t>6</t>
        </is>
      </c>
      <c r="P274" s="2" t="n">
        <v>44659.60028225694</v>
      </c>
      <c r="Q274" t="n">
        <v>6</v>
      </c>
      <c r="R274" t="inlineStr">
        <is>
          <t>MELIPULLI 220</t>
        </is>
      </c>
      <c r="S274" t="n">
        <v>0</v>
      </c>
      <c r="T274" t="n">
        <v>0</v>
      </c>
      <c r="U274" t="n">
        <v>0</v>
      </c>
      <c r="V274" t="n">
        <v>0</v>
      </c>
      <c r="W274" t="inlineStr">
        <is>
          <t>SAESA</t>
        </is>
      </c>
      <c r="X274" t="n">
        <v>0</v>
      </c>
      <c r="Y274" t="n">
        <v>0</v>
      </c>
      <c r="Z274" t="n">
        <v>0</v>
      </c>
      <c r="AA274" t="n">
        <v>0</v>
      </c>
      <c r="AB274" t="n">
        <v>0</v>
      </c>
      <c r="AC274" t="n">
        <v>0</v>
      </c>
      <c r="AD274" s="2" t="n">
        <v>44197</v>
      </c>
    </row>
    <row r="275">
      <c r="A275" t="n">
        <v>-1</v>
      </c>
      <c r="B275" t="inlineStr">
        <is>
          <t>01-01-2021</t>
        </is>
      </c>
      <c r="C275" t="n">
        <v>2021</v>
      </c>
      <c r="D275" t="n">
        <v>1</v>
      </c>
      <c r="E275" t="inlineStr">
        <is>
          <t>pilmaiquen 13.8</t>
        </is>
      </c>
      <c r="F275" t="inlineStr">
        <is>
          <t>Saesa</t>
        </is>
      </c>
      <c r="G275" t="inlineStr">
        <is>
          <t>Saesa</t>
        </is>
      </c>
      <c r="H275" t="inlineStr">
        <is>
          <t>Empresa Eléctrica Carén S.A.</t>
        </is>
      </c>
      <c r="I275" t="inlineStr">
        <is>
          <t>Empresa Eléctrica Carén S.A.</t>
        </is>
      </c>
      <c r="J275" t="inlineStr">
        <is>
          <t>SIC 2013/03_2_BS1A_BB_SAESA_Empresa Eléctrica Carén S.A.</t>
        </is>
      </c>
      <c r="K275" t="inlineStr">
        <is>
          <t>pilmaiquen 13.8</t>
        </is>
      </c>
      <c r="L275" t="inlineStr">
        <is>
          <t>-1</t>
        </is>
      </c>
      <c r="M275" t="n">
        <v>0</v>
      </c>
      <c r="N275" t="n">
        <v>0</v>
      </c>
      <c r="O275" t="inlineStr">
        <is>
          <t>6</t>
        </is>
      </c>
      <c r="P275" s="2" t="n">
        <v>44659.60028225694</v>
      </c>
      <c r="Q275" t="n">
        <v>68</v>
      </c>
      <c r="R275" t="inlineStr">
        <is>
          <t>RAHUE 220</t>
        </is>
      </c>
      <c r="S275" t="n">
        <v>0</v>
      </c>
      <c r="T275" t="n">
        <v>0</v>
      </c>
      <c r="U275" t="n">
        <v>0</v>
      </c>
      <c r="V275" t="n">
        <v>0</v>
      </c>
      <c r="W275" t="inlineStr">
        <is>
          <t>SAESA</t>
        </is>
      </c>
      <c r="X275" t="n">
        <v>0</v>
      </c>
      <c r="Y275" t="n">
        <v>0</v>
      </c>
      <c r="Z275" t="n">
        <v>0</v>
      </c>
      <c r="AA275" t="n">
        <v>0</v>
      </c>
      <c r="AB275" t="n">
        <v>0</v>
      </c>
      <c r="AC275" t="n">
        <v>0</v>
      </c>
      <c r="AD275" s="2" t="n">
        <v>44197</v>
      </c>
    </row>
    <row r="276">
      <c r="A276" t="n">
        <v>-1</v>
      </c>
      <c r="B276" t="inlineStr">
        <is>
          <t>01-01-2021</t>
        </is>
      </c>
      <c r="C276" t="n">
        <v>2021</v>
      </c>
      <c r="D276" t="n">
        <v>1</v>
      </c>
      <c r="E276" t="inlineStr">
        <is>
          <t>pilmaiquen 13.8</t>
        </is>
      </c>
      <c r="F276" t="inlineStr">
        <is>
          <t>Saesa</t>
        </is>
      </c>
      <c r="G276" t="inlineStr">
        <is>
          <t>Saesa</t>
        </is>
      </c>
      <c r="H276" t="inlineStr">
        <is>
          <t>Empresa Eléctrica Carén S.A.</t>
        </is>
      </c>
      <c r="I276" t="inlineStr">
        <is>
          <t>Empresa Eléctrica Carén S.A.</t>
        </is>
      </c>
      <c r="J276" t="inlineStr">
        <is>
          <t>SIC 2013/03_2_BS1A_BB_SAESA_Empresa Eléctrica Carén S.A.</t>
        </is>
      </c>
      <c r="K276" t="inlineStr">
        <is>
          <t>pilmaiquen 13.8</t>
        </is>
      </c>
      <c r="L276" t="inlineStr">
        <is>
          <t>-1</t>
        </is>
      </c>
      <c r="M276" t="n">
        <v>0</v>
      </c>
      <c r="N276" t="n">
        <v>0</v>
      </c>
      <c r="O276" t="inlineStr">
        <is>
          <t>6</t>
        </is>
      </c>
      <c r="P276" s="2" t="n">
        <v>44659.60028225694</v>
      </c>
      <c r="Q276" t="n">
        <v>17</v>
      </c>
      <c r="R276" t="inlineStr">
        <is>
          <t>VALDIVIA 220</t>
        </is>
      </c>
      <c r="S276" t="n">
        <v>0</v>
      </c>
      <c r="T276" t="n">
        <v>0</v>
      </c>
      <c r="U276" t="n">
        <v>0</v>
      </c>
      <c r="V276" t="n">
        <v>0</v>
      </c>
      <c r="W276" t="inlineStr">
        <is>
          <t>SAESA</t>
        </is>
      </c>
      <c r="X276" t="n">
        <v>0</v>
      </c>
      <c r="Y276" t="n">
        <v>0</v>
      </c>
      <c r="Z276" t="n">
        <v>0</v>
      </c>
      <c r="AA276" t="n">
        <v>0</v>
      </c>
      <c r="AB276" t="n">
        <v>0</v>
      </c>
      <c r="AC276" t="n">
        <v>0</v>
      </c>
      <c r="AD276" s="2" t="n">
        <v>44197</v>
      </c>
    </row>
    <row r="277">
      <c r="A277" t="n">
        <v>-1</v>
      </c>
      <c r="B277" t="inlineStr">
        <is>
          <t>01-01-2021</t>
        </is>
      </c>
      <c r="C277" t="n">
        <v>2021</v>
      </c>
      <c r="D277" t="n">
        <v>1</v>
      </c>
      <c r="E277" t="inlineStr">
        <is>
          <t>Puerto Varas 13.8</t>
        </is>
      </c>
      <c r="F277" t="inlineStr">
        <is>
          <t>Saesa</t>
        </is>
      </c>
      <c r="G277" t="inlineStr">
        <is>
          <t>Saesa</t>
        </is>
      </c>
      <c r="H277" t="inlineStr">
        <is>
          <t>Empresa Eléctrica Carén S.A.</t>
        </is>
      </c>
      <c r="I277" t="inlineStr">
        <is>
          <t>Empresa Eléctrica Carén S.A.</t>
        </is>
      </c>
      <c r="J277" t="inlineStr">
        <is>
          <t>SIC 2013/03_2_BS1A_BB_SAESA_Empresa Eléctrica Carén S.A.</t>
        </is>
      </c>
      <c r="K277" t="inlineStr">
        <is>
          <t>Puerto Varas 13.8</t>
        </is>
      </c>
      <c r="L277" t="inlineStr">
        <is>
          <t>-1</t>
        </is>
      </c>
      <c r="M277" t="n">
        <v>2444.611503617664</v>
      </c>
      <c r="N277" t="n">
        <v>0</v>
      </c>
      <c r="O277" t="inlineStr">
        <is>
          <t>6</t>
        </is>
      </c>
      <c r="P277" s="2" t="n">
        <v>44659.60028225694</v>
      </c>
      <c r="Q277" t="n">
        <v>6</v>
      </c>
      <c r="R277" t="inlineStr">
        <is>
          <t>MELIPULLI 220</t>
        </is>
      </c>
      <c r="S277" t="n">
        <v>2415.303784937999</v>
      </c>
      <c r="T277" t="n">
        <v>165033.9206866944</v>
      </c>
      <c r="U277" t="n">
        <v>0</v>
      </c>
      <c r="V277" t="n">
        <v>0</v>
      </c>
      <c r="W277" t="inlineStr">
        <is>
          <t>SAESA</t>
        </is>
      </c>
      <c r="X277" t="n">
        <v>75.50102995238471</v>
      </c>
      <c r="Y277" t="n">
        <v>165.0339206866944</v>
      </c>
      <c r="Z277" t="n">
        <v>182357.9234107121</v>
      </c>
      <c r="AA277" t="n">
        <v>0</v>
      </c>
      <c r="AB277" t="n">
        <v>0</v>
      </c>
      <c r="AC277" t="n">
        <v>0</v>
      </c>
      <c r="AD277" s="2" t="n">
        <v>44197</v>
      </c>
    </row>
    <row r="278">
      <c r="A278" t="n">
        <v>-1</v>
      </c>
      <c r="B278" t="inlineStr">
        <is>
          <t>01-01-2021</t>
        </is>
      </c>
      <c r="C278" t="n">
        <v>2021</v>
      </c>
      <c r="D278" t="n">
        <v>1</v>
      </c>
      <c r="E278" t="inlineStr">
        <is>
          <t>Puerto Varas 13.8</t>
        </is>
      </c>
      <c r="F278" t="inlineStr">
        <is>
          <t>Saesa</t>
        </is>
      </c>
      <c r="G278" t="inlineStr">
        <is>
          <t>Saesa</t>
        </is>
      </c>
      <c r="H278" t="inlineStr">
        <is>
          <t>Empresa Eléctrica Carén S.A.</t>
        </is>
      </c>
      <c r="I278" t="inlineStr">
        <is>
          <t>Empresa Eléctrica Carén S.A.</t>
        </is>
      </c>
      <c r="J278" t="inlineStr">
        <is>
          <t>SIC 2013/03_2_BS1A_BB_SAESA_Empresa Eléctrica Carén S.A.</t>
        </is>
      </c>
      <c r="K278" t="inlineStr">
        <is>
          <t>Puerto Varas 13.8</t>
        </is>
      </c>
      <c r="L278" t="inlineStr">
        <is>
          <t>-1</t>
        </is>
      </c>
      <c r="M278" t="n">
        <v>2444.611503617664</v>
      </c>
      <c r="N278" t="n">
        <v>0</v>
      </c>
      <c r="O278" t="inlineStr">
        <is>
          <t>6</t>
        </is>
      </c>
      <c r="P278" s="2" t="n">
        <v>44659.60028225694</v>
      </c>
      <c r="Q278" t="n">
        <v>68</v>
      </c>
      <c r="R278" t="inlineStr">
        <is>
          <t>RAHUE 220</t>
        </is>
      </c>
      <c r="S278" t="n">
        <v>81.91989792007425</v>
      </c>
      <c r="T278" t="n">
        <v>5684.739611929821</v>
      </c>
      <c r="U278" t="n">
        <v>0</v>
      </c>
      <c r="V278" t="n">
        <v>0</v>
      </c>
      <c r="W278" t="inlineStr">
        <is>
          <t>SAESA</t>
        </is>
      </c>
      <c r="X278" t="n">
        <v>76.67832106315818</v>
      </c>
      <c r="Y278" t="n">
        <v>5.684739611929821</v>
      </c>
      <c r="Z278" t="n">
        <v>6281.480234176597</v>
      </c>
      <c r="AA278" t="n">
        <v>0</v>
      </c>
      <c r="AB278" t="n">
        <v>0</v>
      </c>
      <c r="AC278" t="n">
        <v>0</v>
      </c>
      <c r="AD278" s="2" t="n">
        <v>44197</v>
      </c>
    </row>
    <row r="279">
      <c r="A279" t="n">
        <v>-1</v>
      </c>
      <c r="B279" t="inlineStr">
        <is>
          <t>01-01-2021</t>
        </is>
      </c>
      <c r="C279" t="n">
        <v>2021</v>
      </c>
      <c r="D279" t="n">
        <v>1</v>
      </c>
      <c r="E279" t="inlineStr">
        <is>
          <t>Pullinque 023</t>
        </is>
      </c>
      <c r="F279" t="inlineStr">
        <is>
          <t>Saesa</t>
        </is>
      </c>
      <c r="G279" t="inlineStr">
        <is>
          <t>Saesa</t>
        </is>
      </c>
      <c r="H279" t="inlineStr">
        <is>
          <t>Empresa Eléctrica Carén S.A.</t>
        </is>
      </c>
      <c r="I279" t="inlineStr">
        <is>
          <t>Empresa Eléctrica Carén S.A.</t>
        </is>
      </c>
      <c r="J279" t="inlineStr">
        <is>
          <t>SIC 2013/03_2_BS1A_BB_SAESA_Empresa Eléctrica Carén S.A.</t>
        </is>
      </c>
      <c r="K279" t="inlineStr">
        <is>
          <t>Pullinque 023</t>
        </is>
      </c>
      <c r="L279" t="inlineStr">
        <is>
          <t>-1</t>
        </is>
      </c>
      <c r="M279" t="n">
        <v>650.4858379504459</v>
      </c>
      <c r="N279" t="n">
        <v>0</v>
      </c>
      <c r="O279" t="inlineStr">
        <is>
          <t>6</t>
        </is>
      </c>
      <c r="P279" s="2" t="n">
        <v>44659.60028225694</v>
      </c>
      <c r="Q279" t="n">
        <v>6</v>
      </c>
      <c r="R279" t="inlineStr">
        <is>
          <t>MELIPULLI 220</t>
        </is>
      </c>
      <c r="S279" t="n">
        <v>2.315736115443211</v>
      </c>
      <c r="T279" t="n">
        <v>158.2306179415767</v>
      </c>
      <c r="U279" t="n">
        <v>0</v>
      </c>
      <c r="V279" t="n">
        <v>0</v>
      </c>
      <c r="W279" t="inlineStr">
        <is>
          <t>SAESA</t>
        </is>
      </c>
      <c r="X279" t="n">
        <v>75.50102995238471</v>
      </c>
      <c r="Y279" t="n">
        <v>0.1582306179415767</v>
      </c>
      <c r="Z279" t="n">
        <v>174.8404618138969</v>
      </c>
      <c r="AA279" t="n">
        <v>0</v>
      </c>
      <c r="AB279" t="n">
        <v>0</v>
      </c>
      <c r="AC279" t="n">
        <v>0</v>
      </c>
      <c r="AD279" s="2" t="n">
        <v>44197</v>
      </c>
    </row>
    <row r="280">
      <c r="A280" t="n">
        <v>-1</v>
      </c>
      <c r="B280" t="inlineStr">
        <is>
          <t>01-01-2021</t>
        </is>
      </c>
      <c r="C280" t="n">
        <v>2021</v>
      </c>
      <c r="D280" t="n">
        <v>1</v>
      </c>
      <c r="E280" t="inlineStr">
        <is>
          <t>Pullinque 023</t>
        </is>
      </c>
      <c r="F280" t="inlineStr">
        <is>
          <t>Saesa</t>
        </is>
      </c>
      <c r="G280" t="inlineStr">
        <is>
          <t>Saesa</t>
        </is>
      </c>
      <c r="H280" t="inlineStr">
        <is>
          <t>Empresa Eléctrica Carén S.A.</t>
        </is>
      </c>
      <c r="I280" t="inlineStr">
        <is>
          <t>Empresa Eléctrica Carén S.A.</t>
        </is>
      </c>
      <c r="J280" t="inlineStr">
        <is>
          <t>SIC 2013/03_2_BS1A_BB_SAESA_Empresa Eléctrica Carén S.A.</t>
        </is>
      </c>
      <c r="K280" t="inlineStr">
        <is>
          <t>Pullinque 023</t>
        </is>
      </c>
      <c r="L280" t="inlineStr">
        <is>
          <t>-1</t>
        </is>
      </c>
      <c r="M280" t="n">
        <v>650.4858379504459</v>
      </c>
      <c r="N280" t="n">
        <v>0</v>
      </c>
      <c r="O280" t="inlineStr">
        <is>
          <t>6</t>
        </is>
      </c>
      <c r="P280" s="2" t="n">
        <v>44659.60028225694</v>
      </c>
      <c r="Q280" t="n">
        <v>68</v>
      </c>
      <c r="R280" t="inlineStr">
        <is>
          <t>RAHUE 220</t>
        </is>
      </c>
      <c r="S280" t="n">
        <v>186.667972270602</v>
      </c>
      <c r="T280" t="n">
        <v>12953.6149725264</v>
      </c>
      <c r="U280" t="n">
        <v>0</v>
      </c>
      <c r="V280" t="n">
        <v>0</v>
      </c>
      <c r="W280" t="inlineStr">
        <is>
          <t>SAESA</t>
        </is>
      </c>
      <c r="X280" t="n">
        <v>76.67832106315818</v>
      </c>
      <c r="Y280" t="n">
        <v>12.9536149725264</v>
      </c>
      <c r="Z280" t="n">
        <v>14313.38670997393</v>
      </c>
      <c r="AA280" t="n">
        <v>0</v>
      </c>
      <c r="AB280" t="n">
        <v>0</v>
      </c>
      <c r="AC280" t="n">
        <v>0</v>
      </c>
      <c r="AD280" s="2" t="n">
        <v>44197</v>
      </c>
    </row>
    <row r="281">
      <c r="A281" t="n">
        <v>-1</v>
      </c>
      <c r="B281" t="inlineStr">
        <is>
          <t>01-01-2021</t>
        </is>
      </c>
      <c r="C281" t="n">
        <v>2021</v>
      </c>
      <c r="D281" t="n">
        <v>1</v>
      </c>
      <c r="E281" t="inlineStr">
        <is>
          <t>Pullinque 023</t>
        </is>
      </c>
      <c r="F281" t="inlineStr">
        <is>
          <t>Saesa</t>
        </is>
      </c>
      <c r="G281" t="inlineStr">
        <is>
          <t>Saesa</t>
        </is>
      </c>
      <c r="H281" t="inlineStr">
        <is>
          <t>Empresa Eléctrica Carén S.A.</t>
        </is>
      </c>
      <c r="I281" t="inlineStr">
        <is>
          <t>Empresa Eléctrica Carén S.A.</t>
        </is>
      </c>
      <c r="J281" t="inlineStr">
        <is>
          <t>SIC 2013/03_2_BS1A_BB_SAESA_Empresa Eléctrica Carén S.A.</t>
        </is>
      </c>
      <c r="K281" t="inlineStr">
        <is>
          <t>Pullinque 023</t>
        </is>
      </c>
      <c r="L281" t="inlineStr">
        <is>
          <t>-1</t>
        </is>
      </c>
      <c r="M281" t="n">
        <v>650.4858379504459</v>
      </c>
      <c r="N281" t="n">
        <v>0</v>
      </c>
      <c r="O281" t="inlineStr">
        <is>
          <t>6</t>
        </is>
      </c>
      <c r="P281" s="2" t="n">
        <v>44659.60028225694</v>
      </c>
      <c r="Q281" t="n">
        <v>17</v>
      </c>
      <c r="R281" t="inlineStr">
        <is>
          <t>VALDIVIA 220</t>
        </is>
      </c>
      <c r="S281" t="n">
        <v>475.5016863238079</v>
      </c>
      <c r="T281" t="n">
        <v>36314.86958320749</v>
      </c>
      <c r="U281" t="n">
        <v>0</v>
      </c>
      <c r="V281" t="n">
        <v>0</v>
      </c>
      <c r="W281" t="inlineStr">
        <is>
          <t>SAESA</t>
        </is>
      </c>
      <c r="X281" t="n">
        <v>84.38861284905238</v>
      </c>
      <c r="Y281" t="n">
        <v>36.31486958320749</v>
      </c>
      <c r="Z281" t="n">
        <v>40126.92771625137</v>
      </c>
      <c r="AA281" t="n">
        <v>0</v>
      </c>
      <c r="AB281" t="n">
        <v>0</v>
      </c>
      <c r="AC281" t="n">
        <v>0</v>
      </c>
      <c r="AD281" s="2" t="n">
        <v>44197</v>
      </c>
    </row>
    <row r="282">
      <c r="A282" t="n">
        <v>-1</v>
      </c>
      <c r="B282" t="inlineStr">
        <is>
          <t>01-01-2021</t>
        </is>
      </c>
      <c r="C282" t="n">
        <v>2021</v>
      </c>
      <c r="D282" t="n">
        <v>1</v>
      </c>
      <c r="E282" t="inlineStr">
        <is>
          <t>Purranque 13.8</t>
        </is>
      </c>
      <c r="F282" t="inlineStr">
        <is>
          <t>Saesa</t>
        </is>
      </c>
      <c r="G282" t="inlineStr">
        <is>
          <t>Saesa</t>
        </is>
      </c>
      <c r="H282" t="inlineStr">
        <is>
          <t>Empresa Eléctrica Carén S.A.</t>
        </is>
      </c>
      <c r="I282" t="inlineStr">
        <is>
          <t>Empresa Eléctrica Carén S.A.</t>
        </is>
      </c>
      <c r="J282" t="inlineStr">
        <is>
          <t>SIC 2013/03_2_BS1A_BB_SAESA_Empresa Eléctrica Carén S.A.</t>
        </is>
      </c>
      <c r="K282" t="inlineStr">
        <is>
          <t>Purranque 13.8</t>
        </is>
      </c>
      <c r="L282" t="inlineStr">
        <is>
          <t>-1</t>
        </is>
      </c>
      <c r="M282" t="n">
        <v>818.7102939039573</v>
      </c>
      <c r="N282" t="n">
        <v>0</v>
      </c>
      <c r="O282" t="inlineStr">
        <is>
          <t>6</t>
        </is>
      </c>
      <c r="P282" s="2" t="n">
        <v>44659.60028225694</v>
      </c>
      <c r="Q282" t="n">
        <v>6</v>
      </c>
      <c r="R282" t="inlineStr">
        <is>
          <t>MELIPULLI 220</t>
        </is>
      </c>
      <c r="S282" t="n">
        <v>170.9560539583695</v>
      </c>
      <c r="T282" t="n">
        <v>11681.15912615938</v>
      </c>
      <c r="U282" t="n">
        <v>0</v>
      </c>
      <c r="V282" t="n">
        <v>0</v>
      </c>
      <c r="W282" t="inlineStr">
        <is>
          <t>SAESA</t>
        </is>
      </c>
      <c r="X282" t="n">
        <v>75.5010299523847</v>
      </c>
      <c r="Y282" t="n">
        <v>11.68115912615938</v>
      </c>
      <c r="Z282" t="n">
        <v>12907.35815045235</v>
      </c>
      <c r="AA282" t="n">
        <v>0</v>
      </c>
      <c r="AB282" t="n">
        <v>0</v>
      </c>
      <c r="AC282" t="n">
        <v>0</v>
      </c>
      <c r="AD282" s="2" t="n">
        <v>44197</v>
      </c>
    </row>
    <row r="283">
      <c r="A283" t="n">
        <v>-1</v>
      </c>
      <c r="B283" t="inlineStr">
        <is>
          <t>01-01-2021</t>
        </is>
      </c>
      <c r="C283" t="n">
        <v>2021</v>
      </c>
      <c r="D283" t="n">
        <v>1</v>
      </c>
      <c r="E283" t="inlineStr">
        <is>
          <t>Purranque 13.8</t>
        </is>
      </c>
      <c r="F283" t="inlineStr">
        <is>
          <t>Saesa</t>
        </is>
      </c>
      <c r="G283" t="inlineStr">
        <is>
          <t>Saesa</t>
        </is>
      </c>
      <c r="H283" t="inlineStr">
        <is>
          <t>Empresa Eléctrica Carén S.A.</t>
        </is>
      </c>
      <c r="I283" t="inlineStr">
        <is>
          <t>Empresa Eléctrica Carén S.A.</t>
        </is>
      </c>
      <c r="J283" t="inlineStr">
        <is>
          <t>SIC 2013/03_2_BS1A_BB_SAESA_Empresa Eléctrica Carén S.A.</t>
        </is>
      </c>
      <c r="K283" t="inlineStr">
        <is>
          <t>Purranque 13.8</t>
        </is>
      </c>
      <c r="L283" t="inlineStr">
        <is>
          <t>-1</t>
        </is>
      </c>
      <c r="M283" t="n">
        <v>818.7102939039573</v>
      </c>
      <c r="N283" t="n">
        <v>0</v>
      </c>
      <c r="O283" t="inlineStr">
        <is>
          <t>6</t>
        </is>
      </c>
      <c r="P283" s="2" t="n">
        <v>44659.60028225694</v>
      </c>
      <c r="Q283" t="n">
        <v>68</v>
      </c>
      <c r="R283" t="inlineStr">
        <is>
          <t>RAHUE 220</t>
        </is>
      </c>
      <c r="S283" t="n">
        <v>664.4241097026068</v>
      </c>
      <c r="T283" t="n">
        <v>46106.96731132096</v>
      </c>
      <c r="U283" t="n">
        <v>0</v>
      </c>
      <c r="V283" t="n">
        <v>0</v>
      </c>
      <c r="W283" t="inlineStr">
        <is>
          <t>SAESA</t>
        </is>
      </c>
      <c r="X283" t="n">
        <v>76.67832106315818</v>
      </c>
      <c r="Y283" t="n">
        <v>46.10696731132096</v>
      </c>
      <c r="Z283" t="n">
        <v>50946.92520587951</v>
      </c>
      <c r="AA283" t="n">
        <v>0</v>
      </c>
      <c r="AB283" t="n">
        <v>0</v>
      </c>
      <c r="AC283" t="n">
        <v>0</v>
      </c>
      <c r="AD283" s="2" t="n">
        <v>44197</v>
      </c>
    </row>
    <row r="284">
      <c r="A284" t="n">
        <v>-1</v>
      </c>
      <c r="B284" t="inlineStr">
        <is>
          <t>01-01-2021</t>
        </is>
      </c>
      <c r="C284" t="n">
        <v>2021</v>
      </c>
      <c r="D284" t="n">
        <v>1</v>
      </c>
      <c r="E284" t="inlineStr">
        <is>
          <t>Purranque 13.8</t>
        </is>
      </c>
      <c r="F284" t="inlineStr">
        <is>
          <t>Saesa</t>
        </is>
      </c>
      <c r="G284" t="inlineStr">
        <is>
          <t>Saesa</t>
        </is>
      </c>
      <c r="H284" t="inlineStr">
        <is>
          <t>Empresa Eléctrica Carén S.A.</t>
        </is>
      </c>
      <c r="I284" t="inlineStr">
        <is>
          <t>Empresa Eléctrica Carén S.A.</t>
        </is>
      </c>
      <c r="J284" t="inlineStr">
        <is>
          <t>SIC 2013/03_2_BS1A_BB_SAESA_Empresa Eléctrica Carén S.A.</t>
        </is>
      </c>
      <c r="K284" t="inlineStr">
        <is>
          <t>Purranque 13.8</t>
        </is>
      </c>
      <c r="L284" t="inlineStr">
        <is>
          <t>-1</t>
        </is>
      </c>
      <c r="M284" t="n">
        <v>818.7102939039573</v>
      </c>
      <c r="N284" t="n">
        <v>0</v>
      </c>
      <c r="O284" t="inlineStr">
        <is>
          <t>6</t>
        </is>
      </c>
      <c r="P284" s="2" t="n">
        <v>44659.60028225694</v>
      </c>
      <c r="Q284" t="n">
        <v>17</v>
      </c>
      <c r="R284" t="inlineStr">
        <is>
          <t>VALDIVIA 220</t>
        </is>
      </c>
      <c r="S284" t="n">
        <v>0.9501621642495111</v>
      </c>
      <c r="T284" t="n">
        <v>72.56549465551609</v>
      </c>
      <c r="U284" t="n">
        <v>0</v>
      </c>
      <c r="V284" t="n">
        <v>0</v>
      </c>
      <c r="W284" t="inlineStr">
        <is>
          <t>SAESA</t>
        </is>
      </c>
      <c r="X284" t="n">
        <v>84.38861284905238</v>
      </c>
      <c r="Y284" t="n">
        <v>0.07256549465551609</v>
      </c>
      <c r="Z284" t="n">
        <v>80.18286702266971</v>
      </c>
      <c r="AA284" t="n">
        <v>0</v>
      </c>
      <c r="AB284" t="n">
        <v>0</v>
      </c>
      <c r="AC284" t="n">
        <v>0</v>
      </c>
      <c r="AD284" s="2" t="n">
        <v>44197</v>
      </c>
    </row>
    <row r="285">
      <c r="A285" t="n">
        <v>-1</v>
      </c>
      <c r="B285" t="inlineStr">
        <is>
          <t>01-01-2021</t>
        </is>
      </c>
      <c r="C285" t="n">
        <v>2021</v>
      </c>
      <c r="D285" t="n">
        <v>1</v>
      </c>
      <c r="E285" t="inlineStr">
        <is>
          <t>Quellon 023</t>
        </is>
      </c>
      <c r="F285" t="inlineStr">
        <is>
          <t>Saesa</t>
        </is>
      </c>
      <c r="G285" t="inlineStr">
        <is>
          <t>Saesa</t>
        </is>
      </c>
      <c r="H285" t="inlineStr">
        <is>
          <t>Empresa Eléctrica Carén S.A.</t>
        </is>
      </c>
      <c r="I285" t="inlineStr">
        <is>
          <t>Empresa Eléctrica Carén S.A.</t>
        </is>
      </c>
      <c r="J285" t="inlineStr">
        <is>
          <t>SIC 2013/03_2_BS1A_BB_SAESA_Empresa Eléctrica Carén S.A.</t>
        </is>
      </c>
      <c r="K285" t="inlineStr">
        <is>
          <t>Quellon 023</t>
        </is>
      </c>
      <c r="L285" t="inlineStr">
        <is>
          <t>-1</t>
        </is>
      </c>
      <c r="M285" t="n">
        <v>1241.402573248325</v>
      </c>
      <c r="N285" t="n">
        <v>0</v>
      </c>
      <c r="O285" t="inlineStr">
        <is>
          <t>6</t>
        </is>
      </c>
      <c r="P285" s="2" t="n">
        <v>44659.60028225694</v>
      </c>
      <c r="Q285" t="n">
        <v>24</v>
      </c>
      <c r="R285" t="inlineStr">
        <is>
          <t>CHILOE 220</t>
        </is>
      </c>
      <c r="S285" t="n">
        <v>1268.119658804289</v>
      </c>
      <c r="T285" t="n">
        <v>87745.0255269654</v>
      </c>
      <c r="U285" t="n">
        <v>0</v>
      </c>
      <c r="V285" t="n">
        <v>0</v>
      </c>
      <c r="W285" t="inlineStr">
        <is>
          <t>SAESA</t>
        </is>
      </c>
      <c r="X285" t="n">
        <v>76.4563727392916</v>
      </c>
      <c r="Y285" t="n">
        <v>87.74502552696539</v>
      </c>
      <c r="Z285" t="n">
        <v>96955.82931156398</v>
      </c>
      <c r="AA285" t="n">
        <v>0</v>
      </c>
      <c r="AB285" t="n">
        <v>0</v>
      </c>
      <c r="AC285" t="n">
        <v>0</v>
      </c>
      <c r="AD285" s="2" t="n">
        <v>44197</v>
      </c>
    </row>
    <row r="286">
      <c r="A286" t="n">
        <v>-1</v>
      </c>
      <c r="B286" t="inlineStr">
        <is>
          <t>01-01-2021</t>
        </is>
      </c>
      <c r="C286" t="n">
        <v>2021</v>
      </c>
      <c r="D286" t="n">
        <v>1</v>
      </c>
      <c r="E286" t="inlineStr">
        <is>
          <t>Rio Negro 23</t>
        </is>
      </c>
      <c r="F286" t="inlineStr">
        <is>
          <t>Saesa</t>
        </is>
      </c>
      <c r="G286" t="inlineStr">
        <is>
          <t>Saesa</t>
        </is>
      </c>
      <c r="H286" t="inlineStr">
        <is>
          <t>Empresa Eléctrica Carén S.A.</t>
        </is>
      </c>
      <c r="I286" t="inlineStr">
        <is>
          <t>Empresa Eléctrica Carén S.A.</t>
        </is>
      </c>
      <c r="J286" t="inlineStr">
        <is>
          <t>SIC 2013/03_2_BS1A_BB_SAESA_Empresa Eléctrica Carén S.A.</t>
        </is>
      </c>
      <c r="K286" t="inlineStr">
        <is>
          <t>Rio Negro 23</t>
        </is>
      </c>
      <c r="L286" t="inlineStr">
        <is>
          <t>-1</t>
        </is>
      </c>
      <c r="M286" t="n">
        <v>738.4873630944519</v>
      </c>
      <c r="N286" t="n">
        <v>0</v>
      </c>
      <c r="O286" t="inlineStr">
        <is>
          <t>6</t>
        </is>
      </c>
      <c r="P286" s="2" t="n">
        <v>44659.60028225694</v>
      </c>
      <c r="Q286" t="n">
        <v>6</v>
      </c>
      <c r="R286" t="inlineStr">
        <is>
          <t>MELIPULLI 220</t>
        </is>
      </c>
      <c r="S286" t="n">
        <v>90.18795916830582</v>
      </c>
      <c r="T286" t="n">
        <v>6162.40184489219</v>
      </c>
      <c r="U286" t="n">
        <v>0</v>
      </c>
      <c r="V286" t="n">
        <v>0</v>
      </c>
      <c r="W286" t="inlineStr">
        <is>
          <t>SAESA</t>
        </is>
      </c>
      <c r="X286" t="n">
        <v>75.50102995238471</v>
      </c>
      <c r="Y286" t="n">
        <v>6.162401844892191</v>
      </c>
      <c r="Z286" t="n">
        <v>6809.283806510707</v>
      </c>
      <c r="AA286" t="n">
        <v>0</v>
      </c>
      <c r="AB286" t="n">
        <v>0</v>
      </c>
      <c r="AC286" t="n">
        <v>0</v>
      </c>
      <c r="AD286" s="2" t="n">
        <v>44197</v>
      </c>
    </row>
    <row r="287">
      <c r="A287" t="n">
        <v>-1</v>
      </c>
      <c r="B287" t="inlineStr">
        <is>
          <t>01-01-2021</t>
        </is>
      </c>
      <c r="C287" t="n">
        <v>2021</v>
      </c>
      <c r="D287" t="n">
        <v>1</v>
      </c>
      <c r="E287" t="inlineStr">
        <is>
          <t>Rio Negro 23</t>
        </is>
      </c>
      <c r="F287" t="inlineStr">
        <is>
          <t>Saesa</t>
        </is>
      </c>
      <c r="G287" t="inlineStr">
        <is>
          <t>Saesa</t>
        </is>
      </c>
      <c r="H287" t="inlineStr">
        <is>
          <t>Empresa Eléctrica Carén S.A.</t>
        </is>
      </c>
      <c r="I287" t="inlineStr">
        <is>
          <t>Empresa Eléctrica Carén S.A.</t>
        </is>
      </c>
      <c r="J287" t="inlineStr">
        <is>
          <t>SIC 2013/03_2_BS1A_BB_SAESA_Empresa Eléctrica Carén S.A.</t>
        </is>
      </c>
      <c r="K287" t="inlineStr">
        <is>
          <t>Rio Negro 23</t>
        </is>
      </c>
      <c r="L287" t="inlineStr">
        <is>
          <t>-1</t>
        </is>
      </c>
      <c r="M287" t="n">
        <v>738.4873630944519</v>
      </c>
      <c r="N287" t="n">
        <v>0</v>
      </c>
      <c r="O287" t="inlineStr">
        <is>
          <t>6</t>
        </is>
      </c>
      <c r="P287" s="2" t="n">
        <v>44659.60028225694</v>
      </c>
      <c r="Q287" t="n">
        <v>68</v>
      </c>
      <c r="R287" t="inlineStr">
        <is>
          <t>RAHUE 220</t>
        </is>
      </c>
      <c r="S287" t="n">
        <v>661.5381054910918</v>
      </c>
      <c r="T287" t="n">
        <v>45906.6962797652</v>
      </c>
      <c r="U287" t="n">
        <v>0</v>
      </c>
      <c r="V287" t="n">
        <v>0</v>
      </c>
      <c r="W287" t="inlineStr">
        <is>
          <t>SAESA</t>
        </is>
      </c>
      <c r="X287" t="n">
        <v>76.67832106315818</v>
      </c>
      <c r="Y287" t="n">
        <v>45.90669627976521</v>
      </c>
      <c r="Z287" t="n">
        <v>50725.63124835934</v>
      </c>
      <c r="AA287" t="n">
        <v>0</v>
      </c>
      <c r="AB287" t="n">
        <v>0</v>
      </c>
      <c r="AC287" t="n">
        <v>0</v>
      </c>
      <c r="AD287" s="2" t="n">
        <v>44197</v>
      </c>
    </row>
    <row r="288">
      <c r="A288" t="n">
        <v>-1</v>
      </c>
      <c r="B288" t="inlineStr">
        <is>
          <t>01-01-2021</t>
        </is>
      </c>
      <c r="C288" t="n">
        <v>2021</v>
      </c>
      <c r="D288" t="n">
        <v>1</v>
      </c>
      <c r="E288" t="inlineStr">
        <is>
          <t>Rio Negro 23</t>
        </is>
      </c>
      <c r="F288" t="inlineStr">
        <is>
          <t>Saesa</t>
        </is>
      </c>
      <c r="G288" t="inlineStr">
        <is>
          <t>Saesa</t>
        </is>
      </c>
      <c r="H288" t="inlineStr">
        <is>
          <t>Empresa Eléctrica Carén S.A.</t>
        </is>
      </c>
      <c r="I288" t="inlineStr">
        <is>
          <t>Empresa Eléctrica Carén S.A.</t>
        </is>
      </c>
      <c r="J288" t="inlineStr">
        <is>
          <t>SIC 2013/03_2_BS1A_BB_SAESA_Empresa Eléctrica Carén S.A.</t>
        </is>
      </c>
      <c r="K288" t="inlineStr">
        <is>
          <t>Rio Negro 23</t>
        </is>
      </c>
      <c r="L288" t="inlineStr">
        <is>
          <t>-1</t>
        </is>
      </c>
      <c r="M288" t="n">
        <v>738.4873630944519</v>
      </c>
      <c r="N288" t="n">
        <v>0</v>
      </c>
      <c r="O288" t="inlineStr">
        <is>
          <t>6</t>
        </is>
      </c>
      <c r="P288" s="2" t="n">
        <v>44659.60028225694</v>
      </c>
      <c r="Q288" t="n">
        <v>17</v>
      </c>
      <c r="R288" t="inlineStr">
        <is>
          <t>VALDIVIA 220</t>
        </is>
      </c>
      <c r="S288" t="n">
        <v>2.654797036530997</v>
      </c>
      <c r="T288" t="n">
        <v>202.7513485743064</v>
      </c>
      <c r="U288" t="n">
        <v>0</v>
      </c>
      <c r="V288" t="n">
        <v>0</v>
      </c>
      <c r="W288" t="inlineStr">
        <is>
          <t>SAESA</t>
        </is>
      </c>
      <c r="X288" t="n">
        <v>84.38861284905236</v>
      </c>
      <c r="Y288" t="n">
        <v>0.2027513485743064</v>
      </c>
      <c r="Z288" t="n">
        <v>224.0346393086259</v>
      </c>
      <c r="AA288" t="n">
        <v>0</v>
      </c>
      <c r="AB288" t="n">
        <v>0</v>
      </c>
      <c r="AC288" t="n">
        <v>0</v>
      </c>
      <c r="AD288" s="2" t="n">
        <v>44197</v>
      </c>
    </row>
    <row r="289">
      <c r="A289" t="n">
        <v>-1</v>
      </c>
      <c r="B289" t="inlineStr">
        <is>
          <t>01-01-2021</t>
        </is>
      </c>
      <c r="C289" t="n">
        <v>2021</v>
      </c>
      <c r="D289" t="n">
        <v>1</v>
      </c>
      <c r="E289" t="inlineStr">
        <is>
          <t>Sangra 23</t>
        </is>
      </c>
      <c r="F289" t="inlineStr">
        <is>
          <t>Saesa</t>
        </is>
      </c>
      <c r="G289" t="inlineStr">
        <is>
          <t>Saesa</t>
        </is>
      </c>
      <c r="H289" t="inlineStr">
        <is>
          <t>Empresa Eléctrica Carén S.A.</t>
        </is>
      </c>
      <c r="I289" t="inlineStr">
        <is>
          <t>Empresa Eléctrica Carén S.A.</t>
        </is>
      </c>
      <c r="J289" t="inlineStr">
        <is>
          <t>SIC 2013/03_2_BS1A_BB_SAESA_Empresa Eléctrica Carén S.A.</t>
        </is>
      </c>
      <c r="K289" t="inlineStr">
        <is>
          <t>Sangra 23</t>
        </is>
      </c>
      <c r="L289" t="inlineStr">
        <is>
          <t>-1</t>
        </is>
      </c>
      <c r="M289" t="n">
        <v>1033.802147182139</v>
      </c>
      <c r="N289" t="n">
        <v>0</v>
      </c>
      <c r="O289" t="inlineStr">
        <is>
          <t>6</t>
        </is>
      </c>
      <c r="P289" s="2" t="n">
        <v>44659.60028225694</v>
      </c>
      <c r="Q289" t="n">
        <v>6</v>
      </c>
      <c r="R289" t="inlineStr">
        <is>
          <t>MELIPULLI 220</t>
        </is>
      </c>
      <c r="S289" t="n">
        <v>1056.051320020513</v>
      </c>
      <c r="T289" t="n">
        <v>72158.33092143234</v>
      </c>
      <c r="U289" t="n">
        <v>0</v>
      </c>
      <c r="V289" t="n">
        <v>0</v>
      </c>
      <c r="W289" t="inlineStr">
        <is>
          <t>SAESA</t>
        </is>
      </c>
      <c r="X289" t="n">
        <v>75.50102995238471</v>
      </c>
      <c r="Y289" t="n">
        <v>72.15833092143234</v>
      </c>
      <c r="Z289" t="n">
        <v>79732.96234412413</v>
      </c>
      <c r="AA289" t="n">
        <v>0</v>
      </c>
      <c r="AB289" t="n">
        <v>0</v>
      </c>
      <c r="AC289" t="n">
        <v>0</v>
      </c>
      <c r="AD289" s="2" t="n">
        <v>44197</v>
      </c>
    </row>
    <row r="290">
      <c r="A290" t="n">
        <v>-1</v>
      </c>
      <c r="B290" t="inlineStr">
        <is>
          <t>01-01-2021</t>
        </is>
      </c>
      <c r="C290" t="n">
        <v>2021</v>
      </c>
      <c r="D290" t="n">
        <v>1</v>
      </c>
      <c r="E290" t="inlineStr">
        <is>
          <t>Valdivia 13.8</t>
        </is>
      </c>
      <c r="F290" t="inlineStr">
        <is>
          <t>Saesa</t>
        </is>
      </c>
      <c r="G290" t="inlineStr">
        <is>
          <t>Saesa</t>
        </is>
      </c>
      <c r="H290" t="inlineStr">
        <is>
          <t>Empresa Eléctrica Carén S.A.</t>
        </is>
      </c>
      <c r="I290" t="inlineStr">
        <is>
          <t>Empresa Eléctrica Carén S.A.</t>
        </is>
      </c>
      <c r="J290" t="inlineStr">
        <is>
          <t>SIC 2013/03_2_BS1A_BB_SAESA_Empresa Eléctrica Carén S.A.</t>
        </is>
      </c>
      <c r="K290" t="inlineStr">
        <is>
          <t>Valdivia 13.8</t>
        </is>
      </c>
      <c r="L290" t="inlineStr">
        <is>
          <t>-1</t>
        </is>
      </c>
      <c r="M290" t="n">
        <v>2597.693127340207</v>
      </c>
      <c r="N290" t="n">
        <v>0</v>
      </c>
      <c r="O290" t="inlineStr">
        <is>
          <t>6</t>
        </is>
      </c>
      <c r="P290" s="2" t="n">
        <v>44659.60028225694</v>
      </c>
      <c r="Q290" t="n">
        <v>6</v>
      </c>
      <c r="R290" t="inlineStr">
        <is>
          <t>MELIPULLI 220</t>
        </is>
      </c>
      <c r="S290" t="n">
        <v>3.584100355258564</v>
      </c>
      <c r="T290" t="n">
        <v>244.8959577886303</v>
      </c>
      <c r="U290" t="n">
        <v>0</v>
      </c>
      <c r="V290" t="n">
        <v>0</v>
      </c>
      <c r="W290" t="inlineStr">
        <is>
          <t>SAESA</t>
        </is>
      </c>
      <c r="X290" t="n">
        <v>75.50102995238471</v>
      </c>
      <c r="Y290" t="n">
        <v>0.2448959577886302</v>
      </c>
      <c r="Z290" t="n">
        <v>270.6032682747295</v>
      </c>
      <c r="AA290" t="n">
        <v>0</v>
      </c>
      <c r="AB290" t="n">
        <v>0</v>
      </c>
      <c r="AC290" t="n">
        <v>0</v>
      </c>
      <c r="AD290" s="2" t="n">
        <v>44197</v>
      </c>
    </row>
    <row r="291">
      <c r="A291" t="n">
        <v>-1</v>
      </c>
      <c r="B291" t="inlineStr">
        <is>
          <t>01-01-2021</t>
        </is>
      </c>
      <c r="C291" t="n">
        <v>2021</v>
      </c>
      <c r="D291" t="n">
        <v>1</v>
      </c>
      <c r="E291" t="inlineStr">
        <is>
          <t>Valdivia 13.8</t>
        </is>
      </c>
      <c r="F291" t="inlineStr">
        <is>
          <t>Saesa</t>
        </is>
      </c>
      <c r="G291" t="inlineStr">
        <is>
          <t>Saesa</t>
        </is>
      </c>
      <c r="H291" t="inlineStr">
        <is>
          <t>Empresa Eléctrica Carén S.A.</t>
        </is>
      </c>
      <c r="I291" t="inlineStr">
        <is>
          <t>Empresa Eléctrica Carén S.A.</t>
        </is>
      </c>
      <c r="J291" t="inlineStr">
        <is>
          <t>SIC 2013/03_2_BS1A_BB_SAESA_Empresa Eléctrica Carén S.A.</t>
        </is>
      </c>
      <c r="K291" t="inlineStr">
        <is>
          <t>Valdivia 13.8</t>
        </is>
      </c>
      <c r="L291" t="inlineStr">
        <is>
          <t>-1</t>
        </is>
      </c>
      <c r="M291" t="n">
        <v>2597.693127340207</v>
      </c>
      <c r="N291" t="n">
        <v>0</v>
      </c>
      <c r="O291" t="inlineStr">
        <is>
          <t>6</t>
        </is>
      </c>
      <c r="P291" s="2" t="n">
        <v>44659.60028225694</v>
      </c>
      <c r="Q291" t="n">
        <v>68</v>
      </c>
      <c r="R291" t="inlineStr">
        <is>
          <t>RAHUE 220</t>
        </is>
      </c>
      <c r="S291" t="n">
        <v>242.5309877686726</v>
      </c>
      <c r="T291" t="n">
        <v>16830.16639784151</v>
      </c>
      <c r="U291" t="n">
        <v>0</v>
      </c>
      <c r="V291" t="n">
        <v>0</v>
      </c>
      <c r="W291" t="inlineStr">
        <is>
          <t>SAESA</t>
        </is>
      </c>
      <c r="X291" t="n">
        <v>76.67832106315818</v>
      </c>
      <c r="Y291" t="n">
        <v>16.83016639784151</v>
      </c>
      <c r="Z291" t="n">
        <v>18596.86894789117</v>
      </c>
      <c r="AA291" t="n">
        <v>0</v>
      </c>
      <c r="AB291" t="n">
        <v>0</v>
      </c>
      <c r="AC291" t="n">
        <v>0</v>
      </c>
      <c r="AD291" s="2" t="n">
        <v>44197</v>
      </c>
    </row>
    <row r="292">
      <c r="A292" t="n">
        <v>-1</v>
      </c>
      <c r="B292" t="inlineStr">
        <is>
          <t>01-01-2021</t>
        </is>
      </c>
      <c r="C292" t="n">
        <v>2021</v>
      </c>
      <c r="D292" t="n">
        <v>1</v>
      </c>
      <c r="E292" t="inlineStr">
        <is>
          <t>Valdivia 13.8</t>
        </is>
      </c>
      <c r="F292" t="inlineStr">
        <is>
          <t>Saesa</t>
        </is>
      </c>
      <c r="G292" t="inlineStr">
        <is>
          <t>Saesa</t>
        </is>
      </c>
      <c r="H292" t="inlineStr">
        <is>
          <t>Empresa Eléctrica Carén S.A.</t>
        </is>
      </c>
      <c r="I292" t="inlineStr">
        <is>
          <t>Empresa Eléctrica Carén S.A.</t>
        </is>
      </c>
      <c r="J292" t="inlineStr">
        <is>
          <t>SIC 2013/03_2_BS1A_BB_SAESA_Empresa Eléctrica Carén S.A.</t>
        </is>
      </c>
      <c r="K292" t="inlineStr">
        <is>
          <t>Valdivia 13.8</t>
        </is>
      </c>
      <c r="L292" t="inlineStr">
        <is>
          <t>-1</t>
        </is>
      </c>
      <c r="M292" t="n">
        <v>2597.693127340207</v>
      </c>
      <c r="N292" t="n">
        <v>0</v>
      </c>
      <c r="O292" t="inlineStr">
        <is>
          <t>6</t>
        </is>
      </c>
      <c r="P292" s="2" t="n">
        <v>44659.60028225694</v>
      </c>
      <c r="Q292" t="n">
        <v>17</v>
      </c>
      <c r="R292" t="inlineStr">
        <is>
          <t>VALDIVIA 220</t>
        </is>
      </c>
      <c r="S292" t="n">
        <v>2407.484794226203</v>
      </c>
      <c r="T292" t="n">
        <v>183863.6935271417</v>
      </c>
      <c r="U292" t="n">
        <v>0</v>
      </c>
      <c r="V292" t="n">
        <v>0</v>
      </c>
      <c r="W292" t="inlineStr">
        <is>
          <t>SAESA</t>
        </is>
      </c>
      <c r="X292" t="n">
        <v>84.38861284905238</v>
      </c>
      <c r="Y292" t="n">
        <v>183.8636935271417</v>
      </c>
      <c r="Z292" t="n">
        <v>203164.3022399356</v>
      </c>
      <c r="AA292" t="n">
        <v>0</v>
      </c>
      <c r="AB292" t="n">
        <v>0</v>
      </c>
      <c r="AC292" t="n">
        <v>0</v>
      </c>
      <c r="AD292" s="2" t="n">
        <v>44197</v>
      </c>
    </row>
    <row r="293">
      <c r="A293" t="n">
        <v>-1</v>
      </c>
      <c r="B293" t="inlineStr">
        <is>
          <t>01-02-2021</t>
        </is>
      </c>
      <c r="C293" t="n">
        <v>2021</v>
      </c>
      <c r="D293" t="n">
        <v>2</v>
      </c>
      <c r="E293" t="inlineStr">
        <is>
          <t>Aihuapi 023</t>
        </is>
      </c>
      <c r="F293" t="inlineStr">
        <is>
          <t>Saesa</t>
        </is>
      </c>
      <c r="G293" t="inlineStr">
        <is>
          <t>Saesa</t>
        </is>
      </c>
      <c r="H293" t="inlineStr">
        <is>
          <t>Empresa Eléctrica Carén S.A.</t>
        </is>
      </c>
      <c r="I293" t="inlineStr">
        <is>
          <t>Empresa Eléctrica Carén S.A.</t>
        </is>
      </c>
      <c r="J293" t="inlineStr">
        <is>
          <t>SIC 2013/03_2_BS1A_BB_SAESA_Empresa Eléctrica Carén S.A.</t>
        </is>
      </c>
      <c r="K293" t="inlineStr">
        <is>
          <t>Aihuapi 023</t>
        </is>
      </c>
      <c r="L293" t="inlineStr">
        <is>
          <t>-1</t>
        </is>
      </c>
      <c r="M293" t="n">
        <v>72.8895622633533</v>
      </c>
      <c r="N293" t="n">
        <v>0</v>
      </c>
      <c r="O293" t="inlineStr">
        <is>
          <t>6</t>
        </is>
      </c>
      <c r="P293" s="2" t="n">
        <v>44659.60028225694</v>
      </c>
      <c r="Q293" t="n">
        <v>68</v>
      </c>
      <c r="R293" t="inlineStr">
        <is>
          <t>RAHUE 220</t>
        </is>
      </c>
      <c r="S293" t="n">
        <v>74.45826907377263</v>
      </c>
      <c r="T293" t="n">
        <v>5166.948230970412</v>
      </c>
      <c r="U293" t="n">
        <v>0</v>
      </c>
      <c r="V293" t="n">
        <v>0</v>
      </c>
      <c r="W293" t="inlineStr">
        <is>
          <t>SAESA</t>
        </is>
      </c>
      <c r="X293" t="n">
        <v>76.67832106315818</v>
      </c>
      <c r="Y293" t="n">
        <v>5.166948230970412</v>
      </c>
      <c r="Z293" t="n">
        <v>5709.335061845759</v>
      </c>
      <c r="AA293" t="n">
        <v>0</v>
      </c>
      <c r="AB293" t="n">
        <v>0</v>
      </c>
      <c r="AC293" t="n">
        <v>0</v>
      </c>
      <c r="AD293" s="2" t="n">
        <v>44228</v>
      </c>
    </row>
    <row r="294">
      <c r="A294" t="n">
        <v>-1</v>
      </c>
      <c r="B294" t="inlineStr">
        <is>
          <t>01-02-2021</t>
        </is>
      </c>
      <c r="C294" t="n">
        <v>2021</v>
      </c>
      <c r="D294" t="n">
        <v>2</v>
      </c>
      <c r="E294" t="inlineStr">
        <is>
          <t>Alto Bonito 023</t>
        </is>
      </c>
      <c r="F294" t="inlineStr">
        <is>
          <t>Saesa</t>
        </is>
      </c>
      <c r="G294" t="inlineStr">
        <is>
          <t>Saesa</t>
        </is>
      </c>
      <c r="H294" t="inlineStr">
        <is>
          <t>Empresa Eléctrica Carén S.A.</t>
        </is>
      </c>
      <c r="I294" t="inlineStr">
        <is>
          <t>Empresa Eléctrica Carén S.A.</t>
        </is>
      </c>
      <c r="J294" t="inlineStr">
        <is>
          <t>SIC 2013/03_2_BS1A_BB_SAESA_Empresa Eléctrica Carén S.A.</t>
        </is>
      </c>
      <c r="K294" t="inlineStr">
        <is>
          <t>Alto Bonito 023</t>
        </is>
      </c>
      <c r="L294" t="inlineStr">
        <is>
          <t>-1</t>
        </is>
      </c>
      <c r="M294" t="n">
        <v>2020.623255922633</v>
      </c>
      <c r="N294" t="n">
        <v>0</v>
      </c>
      <c r="O294" t="inlineStr">
        <is>
          <t>6</t>
        </is>
      </c>
      <c r="P294" s="2" t="n">
        <v>44659.60028225694</v>
      </c>
      <c r="Q294" t="n">
        <v>6</v>
      </c>
      <c r="R294" t="inlineStr">
        <is>
          <t>MELIPULLI 220</t>
        </is>
      </c>
      <c r="S294" t="n">
        <v>2064.110490094859</v>
      </c>
      <c r="T294" t="n">
        <v>141037.4334836035</v>
      </c>
      <c r="U294" t="n">
        <v>0</v>
      </c>
      <c r="V294" t="n">
        <v>0</v>
      </c>
      <c r="W294" t="inlineStr">
        <is>
          <t>SAESA</t>
        </is>
      </c>
      <c r="X294" t="n">
        <v>75.5010299523847</v>
      </c>
      <c r="Y294" t="n">
        <v>141.0374334836035</v>
      </c>
      <c r="Z294" t="n">
        <v>155842.4679376835</v>
      </c>
      <c r="AA294" t="n">
        <v>0</v>
      </c>
      <c r="AB294" t="n">
        <v>0</v>
      </c>
      <c r="AC294" t="n">
        <v>0</v>
      </c>
      <c r="AD294" s="2" t="n">
        <v>44228</v>
      </c>
    </row>
    <row r="295">
      <c r="A295" t="n">
        <v>-1</v>
      </c>
      <c r="B295" t="inlineStr">
        <is>
          <t>01-02-2021</t>
        </is>
      </c>
      <c r="C295" t="n">
        <v>2021</v>
      </c>
      <c r="D295" t="n">
        <v>2</v>
      </c>
      <c r="E295" t="inlineStr">
        <is>
          <t>Ancud 023</t>
        </is>
      </c>
      <c r="F295" t="inlineStr">
        <is>
          <t>Saesa</t>
        </is>
      </c>
      <c r="G295" t="inlineStr">
        <is>
          <t>Saesa</t>
        </is>
      </c>
      <c r="H295" t="inlineStr">
        <is>
          <t>Empresa Eléctrica Carén S.A.</t>
        </is>
      </c>
      <c r="I295" t="inlineStr">
        <is>
          <t>Empresa Eléctrica Carén S.A.</t>
        </is>
      </c>
      <c r="J295" t="inlineStr">
        <is>
          <t>SIC 2013/03_2_BS1A_BB_SAESA_Empresa Eléctrica Carén S.A.</t>
        </is>
      </c>
      <c r="K295" t="inlineStr">
        <is>
          <t>Ancud 023</t>
        </is>
      </c>
      <c r="L295" t="inlineStr">
        <is>
          <t>-1</t>
        </is>
      </c>
      <c r="M295" t="n">
        <v>1653.371514340606</v>
      </c>
      <c r="N295" t="n">
        <v>0</v>
      </c>
      <c r="O295" t="inlineStr">
        <is>
          <t>6</t>
        </is>
      </c>
      <c r="P295" s="2" t="n">
        <v>44659.60028225694</v>
      </c>
      <c r="Q295" t="n">
        <v>24</v>
      </c>
      <c r="R295" t="inlineStr">
        <is>
          <t>CHILOE 220</t>
        </is>
      </c>
      <c r="S295" t="n">
        <v>1688.954869133277</v>
      </c>
      <c r="T295" t="n">
        <v>116863.8835279373</v>
      </c>
      <c r="U295" t="n">
        <v>0</v>
      </c>
      <c r="V295" t="n">
        <v>0</v>
      </c>
      <c r="W295" t="inlineStr">
        <is>
          <t>SAESA</t>
        </is>
      </c>
      <c r="X295" t="n">
        <v>76.45637273929161</v>
      </c>
      <c r="Y295" t="n">
        <v>116.8638835279373</v>
      </c>
      <c r="Z295" t="n">
        <v>129131.3630142953</v>
      </c>
      <c r="AA295" t="n">
        <v>0</v>
      </c>
      <c r="AB295" t="n">
        <v>0</v>
      </c>
      <c r="AC295" t="n">
        <v>0</v>
      </c>
      <c r="AD295" s="2" t="n">
        <v>44228</v>
      </c>
    </row>
    <row r="296">
      <c r="A296" t="n">
        <v>-1</v>
      </c>
      <c r="B296" t="inlineStr">
        <is>
          <t>01-02-2021</t>
        </is>
      </c>
      <c r="C296" t="n">
        <v>2021</v>
      </c>
      <c r="D296" t="n">
        <v>2</v>
      </c>
      <c r="E296" t="inlineStr">
        <is>
          <t>Armazones 023</t>
        </is>
      </c>
      <c r="F296" t="inlineStr">
        <is>
          <t>Saesa</t>
        </is>
      </c>
      <c r="G296" t="inlineStr">
        <is>
          <t>Saesa</t>
        </is>
      </c>
      <c r="H296" t="inlineStr">
        <is>
          <t>Empresa Eléctrica Carén S.A.</t>
        </is>
      </c>
      <c r="I296" t="inlineStr">
        <is>
          <t>Empresa Eléctrica Carén S.A.</t>
        </is>
      </c>
      <c r="J296" t="inlineStr">
        <is>
          <t>SIC 2013/03_2_BS1A_BB_SAESA_Empresa Eléctrica Carén S.A.</t>
        </is>
      </c>
      <c r="K296" t="inlineStr">
        <is>
          <t>Armazones 023</t>
        </is>
      </c>
      <c r="L296" t="inlineStr">
        <is>
          <t>-1</t>
        </is>
      </c>
      <c r="M296" t="n">
        <v>445.7309063568946</v>
      </c>
      <c r="N296" t="n">
        <v>0</v>
      </c>
      <c r="O296" t="inlineStr">
        <is>
          <t>2</t>
        </is>
      </c>
      <c r="P296" s="2" t="n">
        <v>44659.60028225694</v>
      </c>
      <c r="Q296" t="n">
        <v>12</v>
      </c>
      <c r="R296" t="inlineStr">
        <is>
          <t>DIEGO DE ALMAGRO 220</t>
        </is>
      </c>
      <c r="S296" t="n">
        <v>457.261191851837</v>
      </c>
      <c r="T296" t="n">
        <v>36475.2237630657</v>
      </c>
      <c r="U296" t="n">
        <v>0</v>
      </c>
      <c r="V296" t="n">
        <v>0</v>
      </c>
      <c r="W296" t="inlineStr">
        <is>
          <t>SAESA</t>
        </is>
      </c>
      <c r="X296" t="n">
        <v>88.14243450684235</v>
      </c>
      <c r="Y296" t="n">
        <v>36.4752237630657</v>
      </c>
      <c r="Z296" t="n">
        <v>40304.11465532122</v>
      </c>
      <c r="AA296" t="n">
        <v>0</v>
      </c>
      <c r="AB296" t="n">
        <v>0</v>
      </c>
      <c r="AC296" t="n">
        <v>0</v>
      </c>
      <c r="AD296" s="2" t="n">
        <v>44228</v>
      </c>
    </row>
    <row r="297">
      <c r="A297" t="n">
        <v>-1</v>
      </c>
      <c r="B297" t="inlineStr">
        <is>
          <t>01-02-2021</t>
        </is>
      </c>
      <c r="C297" t="n">
        <v>2021</v>
      </c>
      <c r="D297" t="n">
        <v>2</v>
      </c>
      <c r="E297" t="inlineStr">
        <is>
          <t>Barro Blanco 023</t>
        </is>
      </c>
      <c r="F297" t="inlineStr">
        <is>
          <t>Saesa</t>
        </is>
      </c>
      <c r="G297" t="inlineStr">
        <is>
          <t>Saesa</t>
        </is>
      </c>
      <c r="H297" t="inlineStr">
        <is>
          <t>Empresa Eléctrica Carén S.A.</t>
        </is>
      </c>
      <c r="I297" t="inlineStr">
        <is>
          <t>Empresa Eléctrica Carén S.A.</t>
        </is>
      </c>
      <c r="J297" t="inlineStr">
        <is>
          <t>SIC 2013/03_2_BS1A_BB_SAESA_Empresa Eléctrica Carén S.A.</t>
        </is>
      </c>
      <c r="K297" t="inlineStr">
        <is>
          <t>Barro Blanco 023</t>
        </is>
      </c>
      <c r="L297" t="inlineStr">
        <is>
          <t>-1</t>
        </is>
      </c>
      <c r="M297" t="n">
        <v>1186.968853400929</v>
      </c>
      <c r="N297" t="n">
        <v>0</v>
      </c>
      <c r="O297" t="inlineStr">
        <is>
          <t>6</t>
        </is>
      </c>
      <c r="P297" s="2" t="n">
        <v>44659.60028225694</v>
      </c>
      <c r="Q297" t="n">
        <v>6</v>
      </c>
      <c r="R297" t="inlineStr">
        <is>
          <t>MELIPULLI 220</t>
        </is>
      </c>
      <c r="S297" t="n">
        <v>19.65600154681857</v>
      </c>
      <c r="T297" t="n">
        <v>1343.063767185074</v>
      </c>
      <c r="U297" t="n">
        <v>0</v>
      </c>
      <c r="V297" t="n">
        <v>0</v>
      </c>
      <c r="W297" t="inlineStr">
        <is>
          <t>SAESA</t>
        </is>
      </c>
      <c r="X297" t="n">
        <v>75.50102995238471</v>
      </c>
      <c r="Y297" t="n">
        <v>1.343063767185074</v>
      </c>
      <c r="Z297" t="n">
        <v>1484.048361530469</v>
      </c>
      <c r="AA297" t="n">
        <v>0</v>
      </c>
      <c r="AB297" t="n">
        <v>0</v>
      </c>
      <c r="AC297" t="n">
        <v>0</v>
      </c>
      <c r="AD297" s="2" t="n">
        <v>44228</v>
      </c>
    </row>
    <row r="298">
      <c r="A298" t="n">
        <v>-1</v>
      </c>
      <c r="B298" t="inlineStr">
        <is>
          <t>01-02-2021</t>
        </is>
      </c>
      <c r="C298" t="n">
        <v>2021</v>
      </c>
      <c r="D298" t="n">
        <v>2</v>
      </c>
      <c r="E298" t="inlineStr">
        <is>
          <t>Barro Blanco 023</t>
        </is>
      </c>
      <c r="F298" t="inlineStr">
        <is>
          <t>Saesa</t>
        </is>
      </c>
      <c r="G298" t="inlineStr">
        <is>
          <t>Saesa</t>
        </is>
      </c>
      <c r="H298" t="inlineStr">
        <is>
          <t>Empresa Eléctrica Carén S.A.</t>
        </is>
      </c>
      <c r="I298" t="inlineStr">
        <is>
          <t>Empresa Eléctrica Carén S.A.</t>
        </is>
      </c>
      <c r="J298" t="inlineStr">
        <is>
          <t>SIC 2013/03_2_BS1A_BB_SAESA_Empresa Eléctrica Carén S.A.</t>
        </is>
      </c>
      <c r="K298" t="inlineStr">
        <is>
          <t>Barro Blanco 023</t>
        </is>
      </c>
      <c r="L298" t="inlineStr">
        <is>
          <t>-1</t>
        </is>
      </c>
      <c r="M298" t="n">
        <v>1186.968853400929</v>
      </c>
      <c r="N298" t="n">
        <v>0</v>
      </c>
      <c r="O298" t="inlineStr">
        <is>
          <t>6</t>
        </is>
      </c>
      <c r="P298" s="2" t="n">
        <v>44659.60028225694</v>
      </c>
      <c r="Q298" t="n">
        <v>68</v>
      </c>
      <c r="R298" t="inlineStr">
        <is>
          <t>RAHUE 220</t>
        </is>
      </c>
      <c r="S298" t="n">
        <v>1186.081790877083</v>
      </c>
      <c r="T298" t="n">
        <v>82306.81813307495</v>
      </c>
      <c r="U298" t="n">
        <v>0</v>
      </c>
      <c r="V298" t="n">
        <v>0</v>
      </c>
      <c r="W298" t="inlineStr">
        <is>
          <t>SAESA</t>
        </is>
      </c>
      <c r="X298" t="n">
        <v>76.67832106315818</v>
      </c>
      <c r="Y298" t="n">
        <v>82.30681813307496</v>
      </c>
      <c r="Z298" t="n">
        <v>90946.76036803862</v>
      </c>
      <c r="AA298" t="n">
        <v>0</v>
      </c>
      <c r="AB298" t="n">
        <v>0</v>
      </c>
      <c r="AC298" t="n">
        <v>0</v>
      </c>
      <c r="AD298" s="2" t="n">
        <v>44228</v>
      </c>
    </row>
    <row r="299">
      <c r="A299" t="n">
        <v>-1</v>
      </c>
      <c r="B299" t="inlineStr">
        <is>
          <t>01-02-2021</t>
        </is>
      </c>
      <c r="C299" t="n">
        <v>2021</v>
      </c>
      <c r="D299" t="n">
        <v>2</v>
      </c>
      <c r="E299" t="inlineStr">
        <is>
          <t>Barro Blanco 023</t>
        </is>
      </c>
      <c r="F299" t="inlineStr">
        <is>
          <t>Saesa</t>
        </is>
      </c>
      <c r="G299" t="inlineStr">
        <is>
          <t>Saesa</t>
        </is>
      </c>
      <c r="H299" t="inlineStr">
        <is>
          <t>Empresa Eléctrica Carén S.A.</t>
        </is>
      </c>
      <c r="I299" t="inlineStr">
        <is>
          <t>Empresa Eléctrica Carén S.A.</t>
        </is>
      </c>
      <c r="J299" t="inlineStr">
        <is>
          <t>SIC 2013/03_2_BS1A_BB_SAESA_Empresa Eléctrica Carén S.A.</t>
        </is>
      </c>
      <c r="K299" t="inlineStr">
        <is>
          <t>Barro Blanco 023</t>
        </is>
      </c>
      <c r="L299" t="inlineStr">
        <is>
          <t>-1</t>
        </is>
      </c>
      <c r="M299" t="n">
        <v>1186.968853400929</v>
      </c>
      <c r="N299" t="n">
        <v>0</v>
      </c>
      <c r="O299" t="inlineStr">
        <is>
          <t>6</t>
        </is>
      </c>
      <c r="P299" s="2" t="n">
        <v>44659.60028225694</v>
      </c>
      <c r="Q299" t="n">
        <v>17</v>
      </c>
      <c r="R299" t="inlineStr">
        <is>
          <t>VALDIVIA 220</t>
        </is>
      </c>
      <c r="S299" t="n">
        <v>6.776640704316203</v>
      </c>
      <c r="T299" t="n">
        <v>517.5435344763712</v>
      </c>
      <c r="U299" t="n">
        <v>0</v>
      </c>
      <c r="V299" t="n">
        <v>0</v>
      </c>
      <c r="W299" t="inlineStr">
        <is>
          <t>SAESA</t>
        </is>
      </c>
      <c r="X299" t="n">
        <v>84.38861284905238</v>
      </c>
      <c r="Y299" t="n">
        <v>0.517543534476371</v>
      </c>
      <c r="Z299" t="n">
        <v>571.8713088136698</v>
      </c>
      <c r="AA299" t="n">
        <v>0</v>
      </c>
      <c r="AB299" t="n">
        <v>0</v>
      </c>
      <c r="AC299" t="n">
        <v>0</v>
      </c>
      <c r="AD299" s="2" t="n">
        <v>44228</v>
      </c>
    </row>
    <row r="300">
      <c r="A300" t="n">
        <v>-1</v>
      </c>
      <c r="B300" t="inlineStr">
        <is>
          <t>01-02-2021</t>
        </is>
      </c>
      <c r="C300" t="n">
        <v>2021</v>
      </c>
      <c r="D300" t="n">
        <v>2</v>
      </c>
      <c r="E300" t="inlineStr">
        <is>
          <t>Calbuco 023</t>
        </is>
      </c>
      <c r="F300" t="inlineStr">
        <is>
          <t>Saesa</t>
        </is>
      </c>
      <c r="G300" t="inlineStr">
        <is>
          <t>Saesa</t>
        </is>
      </c>
      <c r="H300" t="inlineStr">
        <is>
          <t>Empresa Eléctrica Carén S.A.</t>
        </is>
      </c>
      <c r="I300" t="inlineStr">
        <is>
          <t>Empresa Eléctrica Carén S.A.</t>
        </is>
      </c>
      <c r="J300" t="inlineStr">
        <is>
          <t>SIC 2013/03_2_BS1A_BB_SAESA_Empresa Eléctrica Carén S.A.</t>
        </is>
      </c>
      <c r="K300" t="inlineStr">
        <is>
          <t>Calbuco 023</t>
        </is>
      </c>
      <c r="L300" t="inlineStr">
        <is>
          <t>-1</t>
        </is>
      </c>
      <c r="M300" t="n">
        <v>794.4871240874056</v>
      </c>
      <c r="N300" t="n">
        <v>0</v>
      </c>
      <c r="O300" t="inlineStr">
        <is>
          <t>6</t>
        </is>
      </c>
      <c r="P300" s="2" t="n">
        <v>44659.60028225694</v>
      </c>
      <c r="Q300" t="n">
        <v>6</v>
      </c>
      <c r="R300" t="inlineStr">
        <is>
          <t>MELIPULLI 220</t>
        </is>
      </c>
      <c r="S300" t="n">
        <v>811.5858323749294</v>
      </c>
      <c r="T300" t="n">
        <v>55454.38744635892</v>
      </c>
      <c r="U300" t="n">
        <v>0</v>
      </c>
      <c r="V300" t="n">
        <v>0</v>
      </c>
      <c r="W300" t="inlineStr">
        <is>
          <t>SAESA</t>
        </is>
      </c>
      <c r="X300" t="n">
        <v>75.50102995238471</v>
      </c>
      <c r="Y300" t="n">
        <v>55.45438744635891</v>
      </c>
      <c r="Z300" t="n">
        <v>61275.56623907063</v>
      </c>
      <c r="AA300" t="n">
        <v>0</v>
      </c>
      <c r="AB300" t="n">
        <v>0</v>
      </c>
      <c r="AC300" t="n">
        <v>0</v>
      </c>
      <c r="AD300" s="2" t="n">
        <v>44228</v>
      </c>
    </row>
    <row r="301">
      <c r="A301" t="n">
        <v>-1</v>
      </c>
      <c r="B301" t="inlineStr">
        <is>
          <t>01-02-2021</t>
        </is>
      </c>
      <c r="C301" t="n">
        <v>2021</v>
      </c>
      <c r="D301" t="n">
        <v>2</v>
      </c>
      <c r="E301" t="inlineStr">
        <is>
          <t>Castro 023</t>
        </is>
      </c>
      <c r="F301" t="inlineStr">
        <is>
          <t>Saesa</t>
        </is>
      </c>
      <c r="G301" t="inlineStr">
        <is>
          <t>Saesa</t>
        </is>
      </c>
      <c r="H301" t="inlineStr">
        <is>
          <t>Empresa Eléctrica Carén S.A.</t>
        </is>
      </c>
      <c r="I301" t="inlineStr">
        <is>
          <t>Empresa Eléctrica Carén S.A.</t>
        </is>
      </c>
      <c r="J301" t="inlineStr">
        <is>
          <t>SIC 2013/03_2_BS1A_BB_SAESA_Empresa Eléctrica Carén S.A.</t>
        </is>
      </c>
      <c r="K301" t="inlineStr">
        <is>
          <t>Castro 023</t>
        </is>
      </c>
      <c r="L301" t="inlineStr">
        <is>
          <t>-1</t>
        </is>
      </c>
      <c r="M301" t="n">
        <v>1512.597467625648</v>
      </c>
      <c r="N301" t="n">
        <v>0</v>
      </c>
      <c r="O301" t="inlineStr">
        <is>
          <t>6</t>
        </is>
      </c>
      <c r="P301" s="2" t="n">
        <v>44659.60028225694</v>
      </c>
      <c r="Q301" t="n">
        <v>24</v>
      </c>
      <c r="R301" t="inlineStr">
        <is>
          <t>CHILOE 220</t>
        </is>
      </c>
      <c r="S301" t="n">
        <v>1545.151126547542</v>
      </c>
      <c r="T301" t="n">
        <v>106913.668675219</v>
      </c>
      <c r="U301" t="n">
        <v>0</v>
      </c>
      <c r="V301" t="n">
        <v>0</v>
      </c>
      <c r="W301" t="inlineStr">
        <is>
          <t>SAESA</t>
        </is>
      </c>
      <c r="X301" t="n">
        <v>76.45637273929161</v>
      </c>
      <c r="Y301" t="n">
        <v>106.913668675219</v>
      </c>
      <c r="Z301" t="n">
        <v>118136.6504698552</v>
      </c>
      <c r="AA301" t="n">
        <v>0</v>
      </c>
      <c r="AB301" t="n">
        <v>0</v>
      </c>
      <c r="AC301" t="n">
        <v>0</v>
      </c>
      <c r="AD301" s="2" t="n">
        <v>44228</v>
      </c>
    </row>
    <row r="302">
      <c r="A302" t="n">
        <v>-1</v>
      </c>
      <c r="B302" t="inlineStr">
        <is>
          <t>01-02-2021</t>
        </is>
      </c>
      <c r="C302" t="n">
        <v>2021</v>
      </c>
      <c r="D302" t="n">
        <v>2</v>
      </c>
      <c r="E302" t="inlineStr">
        <is>
          <t>Chirre 23</t>
        </is>
      </c>
      <c r="F302" t="inlineStr">
        <is>
          <t>Saesa</t>
        </is>
      </c>
      <c r="G302" t="inlineStr">
        <is>
          <t>Saesa</t>
        </is>
      </c>
      <c r="H302" t="inlineStr">
        <is>
          <t>Empresa Eléctrica Carén S.A.</t>
        </is>
      </c>
      <c r="I302" t="inlineStr">
        <is>
          <t>Empresa Eléctrica Carén S.A.</t>
        </is>
      </c>
      <c r="J302" t="inlineStr">
        <is>
          <t>SIC 2013/03_2_BS1A_BB_SAESA_Empresa Eléctrica Carén S.A.</t>
        </is>
      </c>
      <c r="K302" t="inlineStr">
        <is>
          <t>Chirre 23</t>
        </is>
      </c>
      <c r="L302" t="inlineStr">
        <is>
          <t>-1</t>
        </is>
      </c>
      <c r="M302" t="n">
        <v>972.2801161198583</v>
      </c>
      <c r="N302" t="n">
        <v>0</v>
      </c>
      <c r="O302" t="inlineStr">
        <is>
          <t>6</t>
        </is>
      </c>
      <c r="P302" s="2" t="n">
        <v>44659.60028225694</v>
      </c>
      <c r="Q302" t="n">
        <v>68</v>
      </c>
      <c r="R302" t="inlineStr">
        <is>
          <t>RAHUE 220</t>
        </is>
      </c>
      <c r="S302" t="n">
        <v>993.2052306689322</v>
      </c>
      <c r="T302" t="n">
        <v>68922.36515075061</v>
      </c>
      <c r="U302" t="n">
        <v>0</v>
      </c>
      <c r="V302" t="n">
        <v>0</v>
      </c>
      <c r="W302" t="inlineStr">
        <is>
          <t>SAESA</t>
        </is>
      </c>
      <c r="X302" t="n">
        <v>76.67832106315817</v>
      </c>
      <c r="Y302" t="n">
        <v>68.92236515075061</v>
      </c>
      <c r="Z302" t="n">
        <v>76157.30955884045</v>
      </c>
      <c r="AA302" t="n">
        <v>0</v>
      </c>
      <c r="AB302" t="n">
        <v>0</v>
      </c>
      <c r="AC302" t="n">
        <v>0</v>
      </c>
      <c r="AD302" s="2" t="n">
        <v>44228</v>
      </c>
    </row>
    <row r="303">
      <c r="A303" t="n">
        <v>-1</v>
      </c>
      <c r="B303" t="inlineStr">
        <is>
          <t>01-02-2021</t>
        </is>
      </c>
      <c r="C303" t="n">
        <v>2021</v>
      </c>
      <c r="D303" t="n">
        <v>2</v>
      </c>
      <c r="E303" t="inlineStr">
        <is>
          <t>Chonchi 023</t>
        </is>
      </c>
      <c r="F303" t="inlineStr">
        <is>
          <t>Saesa</t>
        </is>
      </c>
      <c r="G303" t="inlineStr">
        <is>
          <t>Saesa</t>
        </is>
      </c>
      <c r="H303" t="inlineStr">
        <is>
          <t>Empresa Eléctrica Carén S.A.</t>
        </is>
      </c>
      <c r="I303" t="inlineStr">
        <is>
          <t>Empresa Eléctrica Carén S.A.</t>
        </is>
      </c>
      <c r="J303" t="inlineStr">
        <is>
          <t>SIC 2013/03_2_BS1A_BB_SAESA_Empresa Eléctrica Carén S.A.</t>
        </is>
      </c>
      <c r="K303" t="inlineStr">
        <is>
          <t>Chonchi 023</t>
        </is>
      </c>
      <c r="L303" t="inlineStr">
        <is>
          <t>-1</t>
        </is>
      </c>
      <c r="M303" t="n">
        <v>1099.984166136787</v>
      </c>
      <c r="N303" t="n">
        <v>0</v>
      </c>
      <c r="O303" t="inlineStr">
        <is>
          <t>6</t>
        </is>
      </c>
      <c r="P303" s="2" t="n">
        <v>44659.60028225694</v>
      </c>
      <c r="Q303" t="n">
        <v>24</v>
      </c>
      <c r="R303" t="inlineStr">
        <is>
          <t>CHILOE 220</t>
        </is>
      </c>
      <c r="S303" t="n">
        <v>1123.657688095085</v>
      </c>
      <c r="T303" t="n">
        <v>77749.26588429345</v>
      </c>
      <c r="U303" t="n">
        <v>0</v>
      </c>
      <c r="V303" t="n">
        <v>0</v>
      </c>
      <c r="W303" t="inlineStr">
        <is>
          <t>SAESA</t>
        </is>
      </c>
      <c r="X303" t="n">
        <v>76.4563727392916</v>
      </c>
      <c r="Y303" t="n">
        <v>77.74926588429345</v>
      </c>
      <c r="Z303" t="n">
        <v>85910.79103236845</v>
      </c>
      <c r="AA303" t="n">
        <v>0</v>
      </c>
      <c r="AB303" t="n">
        <v>0</v>
      </c>
      <c r="AC303" t="n">
        <v>0</v>
      </c>
      <c r="AD303" s="2" t="n">
        <v>44228</v>
      </c>
    </row>
    <row r="304">
      <c r="A304" t="n">
        <v>-1</v>
      </c>
      <c r="B304" t="inlineStr">
        <is>
          <t>01-02-2021</t>
        </is>
      </c>
      <c r="C304" t="n">
        <v>2021</v>
      </c>
      <c r="D304" t="n">
        <v>2</v>
      </c>
      <c r="E304" t="inlineStr">
        <is>
          <t>Colaco 023</t>
        </is>
      </c>
      <c r="F304" t="inlineStr">
        <is>
          <t>Saesa</t>
        </is>
      </c>
      <c r="G304" t="inlineStr">
        <is>
          <t>Saesa</t>
        </is>
      </c>
      <c r="H304" t="inlineStr">
        <is>
          <t>Empresa Eléctrica Carén S.A.</t>
        </is>
      </c>
      <c r="I304" t="inlineStr">
        <is>
          <t>Empresa Eléctrica Carén S.A.</t>
        </is>
      </c>
      <c r="J304" t="inlineStr">
        <is>
          <t>SIC 2013/03_2_BS1A_BB_SAESA_Empresa Eléctrica Carén S.A.</t>
        </is>
      </c>
      <c r="K304" t="inlineStr">
        <is>
          <t>Colaco 023</t>
        </is>
      </c>
      <c r="L304" t="inlineStr">
        <is>
          <t>-1</t>
        </is>
      </c>
      <c r="M304" t="n">
        <v>931.0798836630665</v>
      </c>
      <c r="N304" t="n">
        <v>0</v>
      </c>
      <c r="O304" t="inlineStr">
        <is>
          <t>6</t>
        </is>
      </c>
      <c r="P304" s="2" t="n">
        <v>44659.60028225694</v>
      </c>
      <c r="Q304" t="n">
        <v>6</v>
      </c>
      <c r="R304" t="inlineStr">
        <is>
          <t>MELIPULLI 220</t>
        </is>
      </c>
      <c r="S304" t="n">
        <v>951.1182994415769</v>
      </c>
      <c r="T304" t="n">
        <v>64988.42214903174</v>
      </c>
      <c r="U304" t="n">
        <v>0</v>
      </c>
      <c r="V304" t="n">
        <v>0</v>
      </c>
      <c r="W304" t="inlineStr">
        <is>
          <t>SAESA</t>
        </is>
      </c>
      <c r="X304" t="n">
        <v>75.50102995238473</v>
      </c>
      <c r="Y304" t="n">
        <v>64.98842214903175</v>
      </c>
      <c r="Z304" t="n">
        <v>71810.4112143997</v>
      </c>
      <c r="AA304" t="n">
        <v>0</v>
      </c>
      <c r="AB304" t="n">
        <v>0</v>
      </c>
      <c r="AC304" t="n">
        <v>0</v>
      </c>
      <c r="AD304" s="2" t="n">
        <v>44228</v>
      </c>
    </row>
    <row r="305">
      <c r="A305" t="n">
        <v>-1</v>
      </c>
      <c r="B305" t="inlineStr">
        <is>
          <t>01-02-2021</t>
        </is>
      </c>
      <c r="C305" t="n">
        <v>2021</v>
      </c>
      <c r="D305" t="n">
        <v>2</v>
      </c>
      <c r="E305" t="inlineStr">
        <is>
          <t>Corral 13.8</t>
        </is>
      </c>
      <c r="F305" t="inlineStr">
        <is>
          <t>Saesa</t>
        </is>
      </c>
      <c r="G305" t="inlineStr">
        <is>
          <t>Saesa</t>
        </is>
      </c>
      <c r="H305" t="inlineStr">
        <is>
          <t>Empresa Eléctrica Carén S.A.</t>
        </is>
      </c>
      <c r="I305" t="inlineStr">
        <is>
          <t>Empresa Eléctrica Carén S.A.</t>
        </is>
      </c>
      <c r="J305" t="inlineStr">
        <is>
          <t>SIC 2013/03_2_BS1A_BB_SAESA_Empresa Eléctrica Carén S.A.</t>
        </is>
      </c>
      <c r="K305" t="inlineStr">
        <is>
          <t>Corral 13.8</t>
        </is>
      </c>
      <c r="L305" t="inlineStr">
        <is>
          <t>-1</t>
        </is>
      </c>
      <c r="M305" t="n">
        <v>268.3467269286101</v>
      </c>
      <c r="N305" t="n">
        <v>0</v>
      </c>
      <c r="O305" t="inlineStr">
        <is>
          <t>6</t>
        </is>
      </c>
      <c r="P305" s="2" t="n">
        <v>44659.60028225694</v>
      </c>
      <c r="Q305" t="n">
        <v>6</v>
      </c>
      <c r="R305" t="inlineStr">
        <is>
          <t>MELIPULLI 220</t>
        </is>
      </c>
      <c r="S305" t="n">
        <v>0.4171016809088408</v>
      </c>
      <c r="T305" t="n">
        <v>28.499903885657</v>
      </c>
      <c r="U305" t="n">
        <v>0</v>
      </c>
      <c r="V305" t="n">
        <v>0</v>
      </c>
      <c r="W305" t="inlineStr">
        <is>
          <t>SAESA</t>
        </is>
      </c>
      <c r="X305" t="n">
        <v>75.50102995238471</v>
      </c>
      <c r="Y305" t="n">
        <v>0.028499903885657</v>
      </c>
      <c r="Z305" t="n">
        <v>31.4916065034884</v>
      </c>
      <c r="AA305" t="n">
        <v>0</v>
      </c>
      <c r="AB305" t="n">
        <v>0</v>
      </c>
      <c r="AC305" t="n">
        <v>0</v>
      </c>
      <c r="AD305" s="2" t="n">
        <v>44228</v>
      </c>
    </row>
    <row r="306">
      <c r="A306" t="n">
        <v>-1</v>
      </c>
      <c r="B306" t="inlineStr">
        <is>
          <t>01-02-2021</t>
        </is>
      </c>
      <c r="C306" t="n">
        <v>2021</v>
      </c>
      <c r="D306" t="n">
        <v>2</v>
      </c>
      <c r="E306" t="inlineStr">
        <is>
          <t>Corral 13.8</t>
        </is>
      </c>
      <c r="F306" t="inlineStr">
        <is>
          <t>Saesa</t>
        </is>
      </c>
      <c r="G306" t="inlineStr">
        <is>
          <t>Saesa</t>
        </is>
      </c>
      <c r="H306" t="inlineStr">
        <is>
          <t>Empresa Eléctrica Carén S.A.</t>
        </is>
      </c>
      <c r="I306" t="inlineStr">
        <is>
          <t>Empresa Eléctrica Carén S.A.</t>
        </is>
      </c>
      <c r="J306" t="inlineStr">
        <is>
          <t>SIC 2013/03_2_BS1A_BB_SAESA_Empresa Eléctrica Carén S.A.</t>
        </is>
      </c>
      <c r="K306" t="inlineStr">
        <is>
          <t>Corral 13.8</t>
        </is>
      </c>
      <c r="L306" t="inlineStr">
        <is>
          <t>-1</t>
        </is>
      </c>
      <c r="M306" t="n">
        <v>268.3467269286101</v>
      </c>
      <c r="N306" t="n">
        <v>0</v>
      </c>
      <c r="O306" t="inlineStr">
        <is>
          <t>6</t>
        </is>
      </c>
      <c r="P306" s="2" t="n">
        <v>44659.60028225694</v>
      </c>
      <c r="Q306" t="n">
        <v>68</v>
      </c>
      <c r="R306" t="inlineStr">
        <is>
          <t>RAHUE 220</t>
        </is>
      </c>
      <c r="S306" t="n">
        <v>25.08972238614011</v>
      </c>
      <c r="T306" t="n">
        <v>1741.073198601513</v>
      </c>
      <c r="U306" t="n">
        <v>0</v>
      </c>
      <c r="V306" t="n">
        <v>0</v>
      </c>
      <c r="W306" t="inlineStr">
        <is>
          <t>SAESA</t>
        </is>
      </c>
      <c r="X306" t="n">
        <v>76.67832106315818</v>
      </c>
      <c r="Y306" t="n">
        <v>1.741073198601513</v>
      </c>
      <c r="Z306" t="n">
        <v>1923.837788509959</v>
      </c>
      <c r="AA306" t="n">
        <v>0</v>
      </c>
      <c r="AB306" t="n">
        <v>0</v>
      </c>
      <c r="AC306" t="n">
        <v>0</v>
      </c>
      <c r="AD306" s="2" t="n">
        <v>44228</v>
      </c>
    </row>
    <row r="307">
      <c r="A307" t="n">
        <v>-1</v>
      </c>
      <c r="B307" t="inlineStr">
        <is>
          <t>01-02-2021</t>
        </is>
      </c>
      <c r="C307" t="n">
        <v>2021</v>
      </c>
      <c r="D307" t="n">
        <v>2</v>
      </c>
      <c r="E307" t="inlineStr">
        <is>
          <t>Corral 13.8</t>
        </is>
      </c>
      <c r="F307" t="inlineStr">
        <is>
          <t>Saesa</t>
        </is>
      </c>
      <c r="G307" t="inlineStr">
        <is>
          <t>Saesa</t>
        </is>
      </c>
      <c r="H307" t="inlineStr">
        <is>
          <t>Empresa Eléctrica Carén S.A.</t>
        </is>
      </c>
      <c r="I307" t="inlineStr">
        <is>
          <t>Empresa Eléctrica Carén S.A.</t>
        </is>
      </c>
      <c r="J307" t="inlineStr">
        <is>
          <t>SIC 2013/03_2_BS1A_BB_SAESA_Empresa Eléctrica Carén S.A.</t>
        </is>
      </c>
      <c r="K307" t="inlineStr">
        <is>
          <t>Corral 13.8</t>
        </is>
      </c>
      <c r="L307" t="inlineStr">
        <is>
          <t>-1</t>
        </is>
      </c>
      <c r="M307" t="n">
        <v>268.3467269286101</v>
      </c>
      <c r="N307" t="n">
        <v>0</v>
      </c>
      <c r="O307" t="inlineStr">
        <is>
          <t>6</t>
        </is>
      </c>
      <c r="P307" s="2" t="n">
        <v>44659.60028225694</v>
      </c>
      <c r="Q307" t="n">
        <v>17</v>
      </c>
      <c r="R307" t="inlineStr">
        <is>
          <t>VALDIVIA 220</t>
        </is>
      </c>
      <c r="S307" t="n">
        <v>248.6151788409353</v>
      </c>
      <c r="T307" t="n">
        <v>18987.16251842308</v>
      </c>
      <c r="U307" t="n">
        <v>0</v>
      </c>
      <c r="V307" t="n">
        <v>0</v>
      </c>
      <c r="W307" t="inlineStr">
        <is>
          <t>SAESA</t>
        </is>
      </c>
      <c r="X307" t="n">
        <v>84.38861284905238</v>
      </c>
      <c r="Y307" t="n">
        <v>18.98716251842308</v>
      </c>
      <c r="Z307" t="n">
        <v>20980.29007560561</v>
      </c>
      <c r="AA307" t="n">
        <v>0</v>
      </c>
      <c r="AB307" t="n">
        <v>0</v>
      </c>
      <c r="AC307" t="n">
        <v>0</v>
      </c>
      <c r="AD307" s="2" t="n">
        <v>44228</v>
      </c>
    </row>
    <row r="308">
      <c r="A308" t="n">
        <v>-1</v>
      </c>
      <c r="B308" t="inlineStr">
        <is>
          <t>01-02-2021</t>
        </is>
      </c>
      <c r="C308" t="n">
        <v>2021</v>
      </c>
      <c r="D308" t="n">
        <v>2</v>
      </c>
      <c r="E308" t="inlineStr">
        <is>
          <t>Dalcahue 023</t>
        </is>
      </c>
      <c r="F308" t="inlineStr">
        <is>
          <t>Saesa</t>
        </is>
      </c>
      <c r="G308" t="inlineStr">
        <is>
          <t>Saesa</t>
        </is>
      </c>
      <c r="H308" t="inlineStr">
        <is>
          <t>Empresa Eléctrica Carén S.A.</t>
        </is>
      </c>
      <c r="I308" t="inlineStr">
        <is>
          <t>Empresa Eléctrica Carén S.A.</t>
        </is>
      </c>
      <c r="J308" t="inlineStr">
        <is>
          <t>SIC 2013/03_2_BS1A_BB_SAESA_Empresa Eléctrica Carén S.A.</t>
        </is>
      </c>
      <c r="K308" t="inlineStr">
        <is>
          <t>Dalcahue 023</t>
        </is>
      </c>
      <c r="L308" t="inlineStr">
        <is>
          <t>-1</t>
        </is>
      </c>
      <c r="M308" t="n">
        <v>1349.808617625358</v>
      </c>
      <c r="N308" t="n">
        <v>0</v>
      </c>
      <c r="O308" t="inlineStr">
        <is>
          <t>6</t>
        </is>
      </c>
      <c r="P308" s="2" t="n">
        <v>44659.60028225694</v>
      </c>
      <c r="Q308" t="n">
        <v>24</v>
      </c>
      <c r="R308" t="inlineStr">
        <is>
          <t>CHILOE 220</t>
        </is>
      </c>
      <c r="S308" t="n">
        <v>1378.85878483011</v>
      </c>
      <c r="T308" t="n">
        <v>95407.3997930749</v>
      </c>
      <c r="U308" t="n">
        <v>0</v>
      </c>
      <c r="V308" t="n">
        <v>0</v>
      </c>
      <c r="W308" t="inlineStr">
        <is>
          <t>SAESA</t>
        </is>
      </c>
      <c r="X308" t="n">
        <v>76.45637273929161</v>
      </c>
      <c r="Y308" t="n">
        <v>95.40739979307492</v>
      </c>
      <c r="Z308" t="n">
        <v>105422.5412078176</v>
      </c>
      <c r="AA308" t="n">
        <v>0</v>
      </c>
      <c r="AB308" t="n">
        <v>0</v>
      </c>
      <c r="AC308" t="n">
        <v>0</v>
      </c>
      <c r="AD308" s="2" t="n">
        <v>44228</v>
      </c>
    </row>
    <row r="309">
      <c r="A309" t="n">
        <v>-1</v>
      </c>
      <c r="B309" t="inlineStr">
        <is>
          <t>01-02-2021</t>
        </is>
      </c>
      <c r="C309" t="n">
        <v>2021</v>
      </c>
      <c r="D309" t="n">
        <v>2</v>
      </c>
      <c r="E309" t="inlineStr">
        <is>
          <t>Degañ 023</t>
        </is>
      </c>
      <c r="F309" t="inlineStr">
        <is>
          <t>Saesa</t>
        </is>
      </c>
      <c r="G309" t="inlineStr">
        <is>
          <t>Saesa</t>
        </is>
      </c>
      <c r="H309" t="inlineStr">
        <is>
          <t>Empresa Eléctrica Carén S.A.</t>
        </is>
      </c>
      <c r="I309" t="inlineStr">
        <is>
          <t>Empresa Eléctrica Carén S.A.</t>
        </is>
      </c>
      <c r="J309" t="inlineStr">
        <is>
          <t>SIC 2013/03_2_BS1A_BB_SAESA_Empresa Eléctrica Carén S.A.</t>
        </is>
      </c>
      <c r="K309" t="inlineStr">
        <is>
          <t>Degañ 023</t>
        </is>
      </c>
      <c r="L309" t="inlineStr">
        <is>
          <t>-1</t>
        </is>
      </c>
      <c r="M309" t="n">
        <v>424.3660079935261</v>
      </c>
      <c r="N309" t="n">
        <v>0</v>
      </c>
      <c r="O309" t="inlineStr">
        <is>
          <t>6</t>
        </is>
      </c>
      <c r="P309" s="2" t="n">
        <v>44659.60028225694</v>
      </c>
      <c r="Q309" t="n">
        <v>24</v>
      </c>
      <c r="R309" t="inlineStr">
        <is>
          <t>CHILOE 220</t>
        </is>
      </c>
      <c r="S309" t="n">
        <v>433.4990831030279</v>
      </c>
      <c r="T309" t="n">
        <v>29995.10956927896</v>
      </c>
      <c r="U309" t="n">
        <v>0</v>
      </c>
      <c r="V309" t="n">
        <v>0</v>
      </c>
      <c r="W309" t="inlineStr">
        <is>
          <t>SAESA</t>
        </is>
      </c>
      <c r="X309" t="n">
        <v>76.45637273929161</v>
      </c>
      <c r="Y309" t="n">
        <v>29.99510956927896</v>
      </c>
      <c r="Z309" t="n">
        <v>33143.76747986625</v>
      </c>
      <c r="AA309" t="n">
        <v>0</v>
      </c>
      <c r="AB309" t="n">
        <v>0</v>
      </c>
      <c r="AC309" t="n">
        <v>0</v>
      </c>
      <c r="AD309" s="2" t="n">
        <v>44228</v>
      </c>
    </row>
    <row r="310">
      <c r="A310" t="n">
        <v>-1</v>
      </c>
      <c r="B310" t="inlineStr">
        <is>
          <t>01-02-2021</t>
        </is>
      </c>
      <c r="C310" t="n">
        <v>2021</v>
      </c>
      <c r="D310" t="n">
        <v>2</v>
      </c>
      <c r="E310" t="inlineStr">
        <is>
          <t>El Empalme 023</t>
        </is>
      </c>
      <c r="F310" t="inlineStr">
        <is>
          <t>Saesa</t>
        </is>
      </c>
      <c r="G310" t="inlineStr">
        <is>
          <t>Saesa</t>
        </is>
      </c>
      <c r="H310" t="inlineStr">
        <is>
          <t>Empresa Eléctrica Carén S.A.</t>
        </is>
      </c>
      <c r="I310" t="inlineStr">
        <is>
          <t>Empresa Eléctrica Carén S.A.</t>
        </is>
      </c>
      <c r="J310" t="inlineStr">
        <is>
          <t>SIC 2013/03_2_BS1A_BB_SAESA_Empresa Eléctrica Carén S.A.</t>
        </is>
      </c>
      <c r="K310" t="inlineStr">
        <is>
          <t>El Empalme 023</t>
        </is>
      </c>
      <c r="L310" t="inlineStr">
        <is>
          <t>-1</t>
        </is>
      </c>
      <c r="M310" t="n">
        <v>737.182828808437</v>
      </c>
      <c r="N310" t="n">
        <v>0</v>
      </c>
      <c r="O310" t="inlineStr">
        <is>
          <t>6</t>
        </is>
      </c>
      <c r="P310" s="2" t="n">
        <v>44659.60028225694</v>
      </c>
      <c r="Q310" t="n">
        <v>6</v>
      </c>
      <c r="R310" t="inlineStr">
        <is>
          <t>MELIPULLI 220</t>
        </is>
      </c>
      <c r="S310" t="n">
        <v>753.0482516229927</v>
      </c>
      <c r="T310" t="n">
        <v>51454.60633424756</v>
      </c>
      <c r="U310" t="n">
        <v>0</v>
      </c>
      <c r="V310" t="n">
        <v>0</v>
      </c>
      <c r="W310" t="inlineStr">
        <is>
          <t>SAESA</t>
        </is>
      </c>
      <c r="X310" t="n">
        <v>75.50102995238473</v>
      </c>
      <c r="Y310" t="n">
        <v>51.45460633424756</v>
      </c>
      <c r="Z310" t="n">
        <v>56855.91860137851</v>
      </c>
      <c r="AA310" t="n">
        <v>0</v>
      </c>
      <c r="AB310" t="n">
        <v>0</v>
      </c>
      <c r="AC310" t="n">
        <v>0</v>
      </c>
      <c r="AD310" s="2" t="n">
        <v>44228</v>
      </c>
    </row>
    <row r="311">
      <c r="A311" t="n">
        <v>-1</v>
      </c>
      <c r="B311" t="inlineStr">
        <is>
          <t>01-02-2021</t>
        </is>
      </c>
      <c r="C311" t="n">
        <v>2021</v>
      </c>
      <c r="D311" t="n">
        <v>2</v>
      </c>
      <c r="E311" t="inlineStr">
        <is>
          <t>Frutillar 13.2</t>
        </is>
      </c>
      <c r="F311" t="inlineStr">
        <is>
          <t>Saesa</t>
        </is>
      </c>
      <c r="G311" t="inlineStr">
        <is>
          <t>Saesa</t>
        </is>
      </c>
      <c r="H311" t="inlineStr">
        <is>
          <t>Empresa Eléctrica Carén S.A.</t>
        </is>
      </c>
      <c r="I311" t="inlineStr">
        <is>
          <t>Empresa Eléctrica Carén S.A.</t>
        </is>
      </c>
      <c r="J311" t="inlineStr">
        <is>
          <t>SIC 2013/03_2_BS1A_BB_SAESA_Empresa Eléctrica Carén S.A.</t>
        </is>
      </c>
      <c r="K311" t="inlineStr">
        <is>
          <t>Frutillar 13.2</t>
        </is>
      </c>
      <c r="L311" t="inlineStr">
        <is>
          <t>-1</t>
        </is>
      </c>
      <c r="M311" t="n">
        <v>1615.429040682738</v>
      </c>
      <c r="N311" t="n">
        <v>0</v>
      </c>
      <c r="O311" t="inlineStr">
        <is>
          <t>6</t>
        </is>
      </c>
      <c r="P311" s="2" t="n">
        <v>44659.60028225694</v>
      </c>
      <c r="Q311" t="n">
        <v>6</v>
      </c>
      <c r="R311" t="inlineStr">
        <is>
          <t>MELIPULLI 220</t>
        </is>
      </c>
      <c r="S311" t="n">
        <v>774.3109447114549</v>
      </c>
      <c r="T311" t="n">
        <v>52907.45281535257</v>
      </c>
      <c r="U311" t="n">
        <v>0</v>
      </c>
      <c r="V311" t="n">
        <v>0</v>
      </c>
      <c r="W311" t="inlineStr">
        <is>
          <t>SAESA</t>
        </is>
      </c>
      <c r="X311" t="n">
        <v>75.50102995238471</v>
      </c>
      <c r="Y311" t="n">
        <v>52.90745281535257</v>
      </c>
      <c r="Z311" t="n">
        <v>58461.27382911886</v>
      </c>
      <c r="AA311" t="n">
        <v>0</v>
      </c>
      <c r="AB311" t="n">
        <v>0</v>
      </c>
      <c r="AC311" t="n">
        <v>0</v>
      </c>
      <c r="AD311" s="2" t="n">
        <v>44228</v>
      </c>
    </row>
    <row r="312">
      <c r="A312" t="n">
        <v>-1</v>
      </c>
      <c r="B312" t="inlineStr">
        <is>
          <t>01-02-2021</t>
        </is>
      </c>
      <c r="C312" t="n">
        <v>2021</v>
      </c>
      <c r="D312" t="n">
        <v>2</v>
      </c>
      <c r="E312" t="inlineStr">
        <is>
          <t>Frutillar 13.2</t>
        </is>
      </c>
      <c r="F312" t="inlineStr">
        <is>
          <t>Saesa</t>
        </is>
      </c>
      <c r="G312" t="inlineStr">
        <is>
          <t>Saesa</t>
        </is>
      </c>
      <c r="H312" t="inlineStr">
        <is>
          <t>Empresa Eléctrica Carén S.A.</t>
        </is>
      </c>
      <c r="I312" t="inlineStr">
        <is>
          <t>Empresa Eléctrica Carén S.A.</t>
        </is>
      </c>
      <c r="J312" t="inlineStr">
        <is>
          <t>SIC 2013/03_2_BS1A_BB_SAESA_Empresa Eléctrica Carén S.A.</t>
        </is>
      </c>
      <c r="K312" t="inlineStr">
        <is>
          <t>Frutillar 13.2</t>
        </is>
      </c>
      <c r="L312" t="inlineStr">
        <is>
          <t>-1</t>
        </is>
      </c>
      <c r="M312" t="n">
        <v>1615.429040682738</v>
      </c>
      <c r="N312" t="n">
        <v>0</v>
      </c>
      <c r="O312" t="inlineStr">
        <is>
          <t>6</t>
        </is>
      </c>
      <c r="P312" s="2" t="n">
        <v>44659.60028225694</v>
      </c>
      <c r="Q312" t="n">
        <v>68</v>
      </c>
      <c r="R312" t="inlineStr">
        <is>
          <t>RAHUE 220</t>
        </is>
      </c>
      <c r="S312" t="n">
        <v>875.8848644794029</v>
      </c>
      <c r="T312" t="n">
        <v>60781.04967188577</v>
      </c>
      <c r="U312" t="n">
        <v>0</v>
      </c>
      <c r="V312" t="n">
        <v>0</v>
      </c>
      <c r="W312" t="inlineStr">
        <is>
          <t>SAESA</t>
        </is>
      </c>
      <c r="X312" t="n">
        <v>76.67832106315818</v>
      </c>
      <c r="Y312" t="n">
        <v>60.78104967188576</v>
      </c>
      <c r="Z312" t="n">
        <v>67161.38085291245</v>
      </c>
      <c r="AA312" t="n">
        <v>0</v>
      </c>
      <c r="AB312" t="n">
        <v>0</v>
      </c>
      <c r="AC312" t="n">
        <v>0</v>
      </c>
      <c r="AD312" s="2" t="n">
        <v>44228</v>
      </c>
    </row>
    <row r="313">
      <c r="A313" t="n">
        <v>-1</v>
      </c>
      <c r="B313" t="inlineStr">
        <is>
          <t>01-02-2021</t>
        </is>
      </c>
      <c r="C313" t="n">
        <v>2021</v>
      </c>
      <c r="D313" t="n">
        <v>2</v>
      </c>
      <c r="E313" t="inlineStr">
        <is>
          <t>La Union 1 023</t>
        </is>
      </c>
      <c r="F313" t="inlineStr">
        <is>
          <t>Saesa</t>
        </is>
      </c>
      <c r="G313" t="inlineStr">
        <is>
          <t>Saesa</t>
        </is>
      </c>
      <c r="H313" t="inlineStr">
        <is>
          <t>Empresa Eléctrica Carén S.A.</t>
        </is>
      </c>
      <c r="I313" t="inlineStr">
        <is>
          <t>Empresa Eléctrica Carén S.A.</t>
        </is>
      </c>
      <c r="J313" t="inlineStr">
        <is>
          <t>SIC 2013/03_2_BS1A_BB_SAESA_Empresa Eléctrica Carén S.A.</t>
        </is>
      </c>
      <c r="K313" t="inlineStr">
        <is>
          <t>La Union 1 023</t>
        </is>
      </c>
      <c r="L313" t="inlineStr">
        <is>
          <t>-1</t>
        </is>
      </c>
      <c r="M313" t="n">
        <v>1348.146128572284</v>
      </c>
      <c r="N313" t="n">
        <v>0</v>
      </c>
      <c r="O313" t="inlineStr">
        <is>
          <t>6</t>
        </is>
      </c>
      <c r="P313" s="2" t="n">
        <v>44659.60028225694</v>
      </c>
      <c r="Q313" t="n">
        <v>6</v>
      </c>
      <c r="R313" t="inlineStr">
        <is>
          <t>MELIPULLI 220</t>
        </is>
      </c>
      <c r="S313" t="n">
        <v>15.02320888503339</v>
      </c>
      <c r="T313" t="n">
        <v>1026.512308328903</v>
      </c>
      <c r="U313" t="n">
        <v>0</v>
      </c>
      <c r="V313" t="n">
        <v>0</v>
      </c>
      <c r="W313" t="inlineStr">
        <is>
          <t>SAESA</t>
        </is>
      </c>
      <c r="X313" t="n">
        <v>75.50102995238471</v>
      </c>
      <c r="Y313" t="n">
        <v>1.026512308328903</v>
      </c>
      <c r="Z313" t="n">
        <v>1134.267744009838</v>
      </c>
      <c r="AA313" t="n">
        <v>0</v>
      </c>
      <c r="AB313" t="n">
        <v>0</v>
      </c>
      <c r="AC313" t="n">
        <v>0</v>
      </c>
      <c r="AD313" s="2" t="n">
        <v>44228</v>
      </c>
    </row>
    <row r="314">
      <c r="A314" t="n">
        <v>-1</v>
      </c>
      <c r="B314" t="inlineStr">
        <is>
          <t>01-02-2021</t>
        </is>
      </c>
      <c r="C314" t="n">
        <v>2021</v>
      </c>
      <c r="D314" t="n">
        <v>2</v>
      </c>
      <c r="E314" t="inlineStr">
        <is>
          <t>La Union 1 023</t>
        </is>
      </c>
      <c r="F314" t="inlineStr">
        <is>
          <t>Saesa</t>
        </is>
      </c>
      <c r="G314" t="inlineStr">
        <is>
          <t>Saesa</t>
        </is>
      </c>
      <c r="H314" t="inlineStr">
        <is>
          <t>Empresa Eléctrica Carén S.A.</t>
        </is>
      </c>
      <c r="I314" t="inlineStr">
        <is>
          <t>Empresa Eléctrica Carén S.A.</t>
        </is>
      </c>
      <c r="J314" t="inlineStr">
        <is>
          <t>SIC 2013/03_2_BS1A_BB_SAESA_Empresa Eléctrica Carén S.A.</t>
        </is>
      </c>
      <c r="K314" t="inlineStr">
        <is>
          <t>La Union 1 023</t>
        </is>
      </c>
      <c r="L314" t="inlineStr">
        <is>
          <t>-1</t>
        </is>
      </c>
      <c r="M314" t="n">
        <v>1348.146128572284</v>
      </c>
      <c r="N314" t="n">
        <v>0</v>
      </c>
      <c r="O314" t="inlineStr">
        <is>
          <t>6</t>
        </is>
      </c>
      <c r="P314" s="2" t="n">
        <v>44659.60028225694</v>
      </c>
      <c r="Q314" t="n">
        <v>68</v>
      </c>
      <c r="R314" t="inlineStr">
        <is>
          <t>RAHUE 220</t>
        </is>
      </c>
      <c r="S314" t="n">
        <v>1338.605013083671</v>
      </c>
      <c r="T314" t="n">
        <v>92890.99639783446</v>
      </c>
      <c r="U314" t="n">
        <v>0</v>
      </c>
      <c r="V314" t="n">
        <v>0</v>
      </c>
      <c r="W314" t="inlineStr">
        <is>
          <t>SAESA</t>
        </is>
      </c>
      <c r="X314" t="n">
        <v>76.67832106315819</v>
      </c>
      <c r="Y314" t="n">
        <v>92.89099639783446</v>
      </c>
      <c r="Z314" t="n">
        <v>102641.9849699828</v>
      </c>
      <c r="AA314" t="n">
        <v>0</v>
      </c>
      <c r="AB314" t="n">
        <v>0</v>
      </c>
      <c r="AC314" t="n">
        <v>0</v>
      </c>
      <c r="AD314" s="2" t="n">
        <v>44228</v>
      </c>
    </row>
    <row r="315">
      <c r="A315" t="n">
        <v>-1</v>
      </c>
      <c r="B315" t="inlineStr">
        <is>
          <t>01-02-2021</t>
        </is>
      </c>
      <c r="C315" t="n">
        <v>2021</v>
      </c>
      <c r="D315" t="n">
        <v>2</v>
      </c>
      <c r="E315" t="inlineStr">
        <is>
          <t>La Union 1 023</t>
        </is>
      </c>
      <c r="F315" t="inlineStr">
        <is>
          <t>Saesa</t>
        </is>
      </c>
      <c r="G315" t="inlineStr">
        <is>
          <t>Saesa</t>
        </is>
      </c>
      <c r="H315" t="inlineStr">
        <is>
          <t>Empresa Eléctrica Carén S.A.</t>
        </is>
      </c>
      <c r="I315" t="inlineStr">
        <is>
          <t>Empresa Eléctrica Carén S.A.</t>
        </is>
      </c>
      <c r="J315" t="inlineStr">
        <is>
          <t>SIC 2013/03_2_BS1A_BB_SAESA_Empresa Eléctrica Carén S.A.</t>
        </is>
      </c>
      <c r="K315" t="inlineStr">
        <is>
          <t>La Union 1 023</t>
        </is>
      </c>
      <c r="L315" t="inlineStr">
        <is>
          <t>-1</t>
        </is>
      </c>
      <c r="M315" t="n">
        <v>1348.146128572284</v>
      </c>
      <c r="N315" t="n">
        <v>0</v>
      </c>
      <c r="O315" t="inlineStr">
        <is>
          <t>6</t>
        </is>
      </c>
      <c r="P315" s="2" t="n">
        <v>44659.60028225694</v>
      </c>
      <c r="Q315" t="n">
        <v>17</v>
      </c>
      <c r="R315" t="inlineStr">
        <is>
          <t>VALDIVIA 220</t>
        </is>
      </c>
      <c r="S315" t="n">
        <v>23.53229422866591</v>
      </c>
      <c r="T315" t="n">
        <v>1797.201188737154</v>
      </c>
      <c r="U315" t="n">
        <v>0</v>
      </c>
      <c r="V315" t="n">
        <v>0</v>
      </c>
      <c r="W315" t="inlineStr">
        <is>
          <t>SAESA</t>
        </is>
      </c>
      <c r="X315" t="n">
        <v>84.38861284905238</v>
      </c>
      <c r="Y315" t="n">
        <v>1.797201188737154</v>
      </c>
      <c r="Z315" t="n">
        <v>1985.857667112878</v>
      </c>
      <c r="AA315" t="n">
        <v>0</v>
      </c>
      <c r="AB315" t="n">
        <v>0</v>
      </c>
      <c r="AC315" t="n">
        <v>0</v>
      </c>
      <c r="AD315" s="2" t="n">
        <v>44228</v>
      </c>
    </row>
    <row r="316">
      <c r="A316" t="n">
        <v>-1</v>
      </c>
      <c r="B316" t="inlineStr">
        <is>
          <t>01-02-2021</t>
        </is>
      </c>
      <c r="C316" t="n">
        <v>2021</v>
      </c>
      <c r="D316" t="n">
        <v>2</v>
      </c>
      <c r="E316" t="inlineStr">
        <is>
          <t>Loncoche 13.2</t>
        </is>
      </c>
      <c r="F316" t="inlineStr">
        <is>
          <t>Saesa</t>
        </is>
      </c>
      <c r="G316" t="inlineStr">
        <is>
          <t>Saesa</t>
        </is>
      </c>
      <c r="H316" t="inlineStr">
        <is>
          <t>Empresa Eléctrica Carén S.A.</t>
        </is>
      </c>
      <c r="I316" t="inlineStr">
        <is>
          <t>Empresa Eléctrica Carén S.A.</t>
        </is>
      </c>
      <c r="J316" t="inlineStr">
        <is>
          <t>SIC 2013/03_2_BS1A_BB_SAESA_Empresa Eléctrica Carén S.A.</t>
        </is>
      </c>
      <c r="K316" t="inlineStr">
        <is>
          <t>Loncoche 13.2</t>
        </is>
      </c>
      <c r="L316" t="inlineStr">
        <is>
          <t>-1</t>
        </is>
      </c>
      <c r="M316" t="n">
        <v>1609.754731624104</v>
      </c>
      <c r="N316" t="n">
        <v>0</v>
      </c>
      <c r="O316" t="inlineStr">
        <is>
          <t>5</t>
        </is>
      </c>
      <c r="P316" s="2" t="n">
        <v>44659.60028225694</v>
      </c>
      <c r="Q316" t="n">
        <v>14</v>
      </c>
      <c r="R316" t="inlineStr">
        <is>
          <t>CAUTÍN 220</t>
        </is>
      </c>
      <c r="S316" t="n">
        <v>413.8724627139964</v>
      </c>
      <c r="T316" t="n">
        <v>32558.73495354912</v>
      </c>
      <c r="U316" t="n">
        <v>0</v>
      </c>
      <c r="V316" t="n">
        <v>0</v>
      </c>
      <c r="W316" t="inlineStr">
        <is>
          <t>SAESA</t>
        </is>
      </c>
      <c r="X316" t="n">
        <v>86.92654368736126</v>
      </c>
      <c r="Y316" t="n">
        <v>32.55873495354913</v>
      </c>
      <c r="Z316" t="n">
        <v>35976.502711104</v>
      </c>
      <c r="AA316" t="n">
        <v>0</v>
      </c>
      <c r="AB316" t="n">
        <v>0</v>
      </c>
      <c r="AC316" t="n">
        <v>0</v>
      </c>
      <c r="AD316" s="2" t="n">
        <v>44228</v>
      </c>
    </row>
    <row r="317">
      <c r="A317" t="n">
        <v>-1</v>
      </c>
      <c r="B317" t="inlineStr">
        <is>
          <t>01-02-2021</t>
        </is>
      </c>
      <c r="C317" t="n">
        <v>2021</v>
      </c>
      <c r="D317" t="n">
        <v>2</v>
      </c>
      <c r="E317" t="inlineStr">
        <is>
          <t>Loncoche 13.2</t>
        </is>
      </c>
      <c r="F317" t="inlineStr">
        <is>
          <t>Saesa</t>
        </is>
      </c>
      <c r="G317" t="inlineStr">
        <is>
          <t>Saesa</t>
        </is>
      </c>
      <c r="H317" t="inlineStr">
        <is>
          <t>Empresa Eléctrica Carén S.A.</t>
        </is>
      </c>
      <c r="I317" t="inlineStr">
        <is>
          <t>Empresa Eléctrica Carén S.A.</t>
        </is>
      </c>
      <c r="J317" t="inlineStr">
        <is>
          <t>SIC 2013/03_2_BS1A_BB_SAESA_Empresa Eléctrica Carén S.A.</t>
        </is>
      </c>
      <c r="K317" t="inlineStr">
        <is>
          <t>Loncoche 13.2</t>
        </is>
      </c>
      <c r="L317" t="inlineStr">
        <is>
          <t>-1</t>
        </is>
      </c>
      <c r="M317" t="n">
        <v>1609.754731624104</v>
      </c>
      <c r="N317" t="n">
        <v>0</v>
      </c>
      <c r="O317" t="inlineStr">
        <is>
          <t>5</t>
        </is>
      </c>
      <c r="P317" s="2" t="n">
        <v>44659.60028225694</v>
      </c>
      <c r="Q317" t="n">
        <v>4</v>
      </c>
      <c r="R317" t="inlineStr">
        <is>
          <t>TEMUCO 220</t>
        </is>
      </c>
      <c r="S317" t="n">
        <v>1238.052155141152</v>
      </c>
      <c r="T317" t="n">
        <v>96033.40394308092</v>
      </c>
      <c r="U317" t="n">
        <v>0</v>
      </c>
      <c r="V317" t="n">
        <v>0</v>
      </c>
      <c r="W317" t="inlineStr">
        <is>
          <t>SAESA</t>
        </is>
      </c>
      <c r="X317" t="n">
        <v>85.71065286707869</v>
      </c>
      <c r="Y317" t="n">
        <v>96.03340394308091</v>
      </c>
      <c r="Z317" t="n">
        <v>106114.2585006419</v>
      </c>
      <c r="AA317" t="n">
        <v>0</v>
      </c>
      <c r="AB317" t="n">
        <v>0</v>
      </c>
      <c r="AC317" t="n">
        <v>0</v>
      </c>
      <c r="AD317" s="2" t="n">
        <v>44228</v>
      </c>
    </row>
    <row r="318">
      <c r="A318" t="n">
        <v>-1</v>
      </c>
      <c r="B318" t="inlineStr">
        <is>
          <t>01-02-2021</t>
        </is>
      </c>
      <c r="C318" t="n">
        <v>2021</v>
      </c>
      <c r="D318" t="n">
        <v>2</v>
      </c>
      <c r="E318" t="inlineStr">
        <is>
          <t>Los Lagos 13.8</t>
        </is>
      </c>
      <c r="F318" t="inlineStr">
        <is>
          <t>Saesa</t>
        </is>
      </c>
      <c r="G318" t="inlineStr">
        <is>
          <t>Saesa</t>
        </is>
      </c>
      <c r="H318" t="inlineStr">
        <is>
          <t>Empresa Eléctrica Carén S.A.</t>
        </is>
      </c>
      <c r="I318" t="inlineStr">
        <is>
          <t>Empresa Eléctrica Carén S.A.</t>
        </is>
      </c>
      <c r="J318" t="inlineStr">
        <is>
          <t>SIC 2013/03_2_BS1A_BB_SAESA_Empresa Eléctrica Carén S.A.</t>
        </is>
      </c>
      <c r="K318" t="inlineStr">
        <is>
          <t>Los Lagos 13.8</t>
        </is>
      </c>
      <c r="L318" t="inlineStr">
        <is>
          <t>-1</t>
        </is>
      </c>
      <c r="M318" t="n">
        <v>725.5990564798283</v>
      </c>
      <c r="N318" t="n">
        <v>0</v>
      </c>
      <c r="O318" t="inlineStr">
        <is>
          <t>6</t>
        </is>
      </c>
      <c r="P318" s="2" t="n">
        <v>44659.60028225694</v>
      </c>
      <c r="Q318" t="n">
        <v>6</v>
      </c>
      <c r="R318" t="inlineStr">
        <is>
          <t>MELIPULLI 220</t>
        </is>
      </c>
      <c r="S318" t="n">
        <v>2.552342480081234</v>
      </c>
      <c r="T318" t="n">
        <v>174.3975598638082</v>
      </c>
      <c r="U318" t="n">
        <v>0</v>
      </c>
      <c r="V318" t="n">
        <v>0</v>
      </c>
      <c r="W318" t="inlineStr">
        <is>
          <t>SAESA</t>
        </is>
      </c>
      <c r="X318" t="n">
        <v>75.50102995238471</v>
      </c>
      <c r="Y318" t="n">
        <v>0.1743975598638082</v>
      </c>
      <c r="Z318" t="n">
        <v>192.7044860373571</v>
      </c>
      <c r="AA318" t="n">
        <v>0</v>
      </c>
      <c r="AB318" t="n">
        <v>0</v>
      </c>
      <c r="AC318" t="n">
        <v>0</v>
      </c>
      <c r="AD318" s="2" t="n">
        <v>44228</v>
      </c>
    </row>
    <row r="319">
      <c r="A319" t="n">
        <v>-1</v>
      </c>
      <c r="B319" t="inlineStr">
        <is>
          <t>01-02-2021</t>
        </is>
      </c>
      <c r="C319" t="n">
        <v>2021</v>
      </c>
      <c r="D319" t="n">
        <v>2</v>
      </c>
      <c r="E319" t="inlineStr">
        <is>
          <t>Los Lagos 13.8</t>
        </is>
      </c>
      <c r="F319" t="inlineStr">
        <is>
          <t>Saesa</t>
        </is>
      </c>
      <c r="G319" t="inlineStr">
        <is>
          <t>Saesa</t>
        </is>
      </c>
      <c r="H319" t="inlineStr">
        <is>
          <t>Empresa Eléctrica Carén S.A.</t>
        </is>
      </c>
      <c r="I319" t="inlineStr">
        <is>
          <t>Empresa Eléctrica Carén S.A.</t>
        </is>
      </c>
      <c r="J319" t="inlineStr">
        <is>
          <t>SIC 2013/03_2_BS1A_BB_SAESA_Empresa Eléctrica Carén S.A.</t>
        </is>
      </c>
      <c r="K319" t="inlineStr">
        <is>
          <t>Los Lagos 13.8</t>
        </is>
      </c>
      <c r="L319" t="inlineStr">
        <is>
          <t>-1</t>
        </is>
      </c>
      <c r="M319" t="n">
        <v>725.5990564798283</v>
      </c>
      <c r="N319" t="n">
        <v>0</v>
      </c>
      <c r="O319" t="inlineStr">
        <is>
          <t>6</t>
        </is>
      </c>
      <c r="P319" s="2" t="n">
        <v>44659.60028225694</v>
      </c>
      <c r="Q319" t="n">
        <v>68</v>
      </c>
      <c r="R319" t="inlineStr">
        <is>
          <t>RAHUE 220</t>
        </is>
      </c>
      <c r="S319" t="n">
        <v>206.8426683583295</v>
      </c>
      <c r="T319" t="n">
        <v>14353.61542321601</v>
      </c>
      <c r="U319" t="n">
        <v>0</v>
      </c>
      <c r="V319" t="n">
        <v>0</v>
      </c>
      <c r="W319" t="inlineStr">
        <is>
          <t>SAESA</t>
        </is>
      </c>
      <c r="X319" t="n">
        <v>76.67832106315817</v>
      </c>
      <c r="Y319" t="n">
        <v>14.35361542321601</v>
      </c>
      <c r="Z319" t="n">
        <v>15860.34853394034</v>
      </c>
      <c r="AA319" t="n">
        <v>0</v>
      </c>
      <c r="AB319" t="n">
        <v>0</v>
      </c>
      <c r="AC319" t="n">
        <v>0</v>
      </c>
      <c r="AD319" s="2" t="n">
        <v>44228</v>
      </c>
    </row>
    <row r="320">
      <c r="A320" t="n">
        <v>-1</v>
      </c>
      <c r="B320" t="inlineStr">
        <is>
          <t>01-02-2021</t>
        </is>
      </c>
      <c r="C320" t="n">
        <v>2021</v>
      </c>
      <c r="D320" t="n">
        <v>2</v>
      </c>
      <c r="E320" t="inlineStr">
        <is>
          <t>Los Lagos 13.8</t>
        </is>
      </c>
      <c r="F320" t="inlineStr">
        <is>
          <t>Saesa</t>
        </is>
      </c>
      <c r="G320" t="inlineStr">
        <is>
          <t>Saesa</t>
        </is>
      </c>
      <c r="H320" t="inlineStr">
        <is>
          <t>Empresa Eléctrica Carén S.A.</t>
        </is>
      </c>
      <c r="I320" t="inlineStr">
        <is>
          <t>Empresa Eléctrica Carén S.A.</t>
        </is>
      </c>
      <c r="J320" t="inlineStr">
        <is>
          <t>SIC 2013/03_2_BS1A_BB_SAESA_Empresa Eléctrica Carén S.A.</t>
        </is>
      </c>
      <c r="K320" t="inlineStr">
        <is>
          <t>Los Lagos 13.8</t>
        </is>
      </c>
      <c r="L320" t="inlineStr">
        <is>
          <t>-1</t>
        </is>
      </c>
      <c r="M320" t="n">
        <v>725.5990564798283</v>
      </c>
      <c r="N320" t="n">
        <v>0</v>
      </c>
      <c r="O320" t="inlineStr">
        <is>
          <t>6</t>
        </is>
      </c>
      <c r="P320" s="2" t="n">
        <v>44659.60028225694</v>
      </c>
      <c r="Q320" t="n">
        <v>17</v>
      </c>
      <c r="R320" t="inlineStr">
        <is>
          <t>VALDIVIA 220</t>
        </is>
      </c>
      <c r="S320" t="n">
        <v>531.8201660596083</v>
      </c>
      <c r="T320" t="n">
        <v>40616.00731952534</v>
      </c>
      <c r="U320" t="n">
        <v>0</v>
      </c>
      <c r="V320" t="n">
        <v>0</v>
      </c>
      <c r="W320" t="inlineStr">
        <is>
          <t>SAESA</t>
        </is>
      </c>
      <c r="X320" t="n">
        <v>84.38861284905239</v>
      </c>
      <c r="Y320" t="n">
        <v>40.61600731952534</v>
      </c>
      <c r="Z320" t="n">
        <v>44879.56609892303</v>
      </c>
      <c r="AA320" t="n">
        <v>0</v>
      </c>
      <c r="AB320" t="n">
        <v>0</v>
      </c>
      <c r="AC320" t="n">
        <v>0</v>
      </c>
      <c r="AD320" s="2" t="n">
        <v>44228</v>
      </c>
    </row>
    <row r="321">
      <c r="A321" t="n">
        <v>-1</v>
      </c>
      <c r="B321" t="inlineStr">
        <is>
          <t>01-02-2021</t>
        </is>
      </c>
      <c r="C321" t="n">
        <v>2021</v>
      </c>
      <c r="D321" t="n">
        <v>2</v>
      </c>
      <c r="E321" t="inlineStr">
        <is>
          <t>Los Tambores 023</t>
        </is>
      </c>
      <c r="F321" t="inlineStr">
        <is>
          <t>Saesa</t>
        </is>
      </c>
      <c r="G321" t="inlineStr">
        <is>
          <t>Saesa</t>
        </is>
      </c>
      <c r="H321" t="inlineStr">
        <is>
          <t>Empresa Eléctrica Carén S.A.</t>
        </is>
      </c>
      <c r="I321" t="inlineStr">
        <is>
          <t>Empresa Eléctrica Carén S.A.</t>
        </is>
      </c>
      <c r="J321" t="inlineStr">
        <is>
          <t>SIC 2013/03_2_BS1A_BB_SAESA_Empresa Eléctrica Carén S.A.</t>
        </is>
      </c>
      <c r="K321" t="inlineStr">
        <is>
          <t>Los Tambores 023</t>
        </is>
      </c>
      <c r="L321" t="inlineStr">
        <is>
          <t>-1</t>
        </is>
      </c>
      <c r="M321" t="n">
        <v>1110.846760508486</v>
      </c>
      <c r="N321" t="n">
        <v>0</v>
      </c>
      <c r="O321" t="inlineStr">
        <is>
          <t>6</t>
        </is>
      </c>
      <c r="P321" s="2" t="n">
        <v>44659.60028225694</v>
      </c>
      <c r="Q321" t="n">
        <v>6</v>
      </c>
      <c r="R321" t="inlineStr">
        <is>
          <t>MELIPULLI 220</t>
        </is>
      </c>
      <c r="S321" t="n">
        <v>12.16790230757256</v>
      </c>
      <c r="T321" t="n">
        <v>831.413686706463</v>
      </c>
      <c r="U321" t="n">
        <v>0</v>
      </c>
      <c r="V321" t="n">
        <v>0</v>
      </c>
      <c r="W321" t="inlineStr">
        <is>
          <t>SAESA</t>
        </is>
      </c>
      <c r="X321" t="n">
        <v>75.50102995238471</v>
      </c>
      <c r="Y321" t="n">
        <v>0.831413686706463</v>
      </c>
      <c r="Z321" t="n">
        <v>918.689156581727</v>
      </c>
      <c r="AA321" t="n">
        <v>0</v>
      </c>
      <c r="AB321" t="n">
        <v>0</v>
      </c>
      <c r="AC321" t="n">
        <v>0</v>
      </c>
      <c r="AD321" s="2" t="n">
        <v>44228</v>
      </c>
    </row>
    <row r="322">
      <c r="A322" t="n">
        <v>-1</v>
      </c>
      <c r="B322" t="inlineStr">
        <is>
          <t>01-02-2021</t>
        </is>
      </c>
      <c r="C322" t="n">
        <v>2021</v>
      </c>
      <c r="D322" t="n">
        <v>2</v>
      </c>
      <c r="E322" t="inlineStr">
        <is>
          <t>Los Tambores 023</t>
        </is>
      </c>
      <c r="F322" t="inlineStr">
        <is>
          <t>Saesa</t>
        </is>
      </c>
      <c r="G322" t="inlineStr">
        <is>
          <t>Saesa</t>
        </is>
      </c>
      <c r="H322" t="inlineStr">
        <is>
          <t>Empresa Eléctrica Carén S.A.</t>
        </is>
      </c>
      <c r="I322" t="inlineStr">
        <is>
          <t>Empresa Eléctrica Carén S.A.</t>
        </is>
      </c>
      <c r="J322" t="inlineStr">
        <is>
          <t>SIC 2013/03_2_BS1A_BB_SAESA_Empresa Eléctrica Carén S.A.</t>
        </is>
      </c>
      <c r="K322" t="inlineStr">
        <is>
          <t>Los Tambores 023</t>
        </is>
      </c>
      <c r="L322" t="inlineStr">
        <is>
          <t>-1</t>
        </is>
      </c>
      <c r="M322" t="n">
        <v>1110.846760508486</v>
      </c>
      <c r="N322" t="n">
        <v>0</v>
      </c>
      <c r="O322" t="inlineStr">
        <is>
          <t>6</t>
        </is>
      </c>
      <c r="P322" s="2" t="n">
        <v>44659.60028225694</v>
      </c>
      <c r="Q322" t="n">
        <v>68</v>
      </c>
      <c r="R322" t="inlineStr">
        <is>
          <t>RAHUE 220</t>
        </is>
      </c>
      <c r="S322" t="n">
        <v>1106.964677774608</v>
      </c>
      <c r="T322" t="n">
        <v>76816.57463601905</v>
      </c>
      <c r="U322" t="n">
        <v>0</v>
      </c>
      <c r="V322" t="n">
        <v>0</v>
      </c>
      <c r="W322" t="inlineStr">
        <is>
          <t>SAESA</t>
        </is>
      </c>
      <c r="X322" t="n">
        <v>76.67832106315818</v>
      </c>
      <c r="Y322" t="n">
        <v>76.81657463601906</v>
      </c>
      <c r="Z322" t="n">
        <v>84880.19296797685</v>
      </c>
      <c r="AA322" t="n">
        <v>0</v>
      </c>
      <c r="AB322" t="n">
        <v>0</v>
      </c>
      <c r="AC322" t="n">
        <v>0</v>
      </c>
      <c r="AD322" s="2" t="n">
        <v>44228</v>
      </c>
    </row>
    <row r="323">
      <c r="A323" t="n">
        <v>-1</v>
      </c>
      <c r="B323" t="inlineStr">
        <is>
          <t>01-02-2021</t>
        </is>
      </c>
      <c r="C323" t="n">
        <v>2021</v>
      </c>
      <c r="D323" t="n">
        <v>2</v>
      </c>
      <c r="E323" t="inlineStr">
        <is>
          <t>Los Tambores 023</t>
        </is>
      </c>
      <c r="F323" t="inlineStr">
        <is>
          <t>Saesa</t>
        </is>
      </c>
      <c r="G323" t="inlineStr">
        <is>
          <t>Saesa</t>
        </is>
      </c>
      <c r="H323" t="inlineStr">
        <is>
          <t>Empresa Eléctrica Carén S.A.</t>
        </is>
      </c>
      <c r="I323" t="inlineStr">
        <is>
          <t>Empresa Eléctrica Carén S.A.</t>
        </is>
      </c>
      <c r="J323" t="inlineStr">
        <is>
          <t>SIC 2013/03_2_BS1A_BB_SAESA_Empresa Eléctrica Carén S.A.</t>
        </is>
      </c>
      <c r="K323" t="inlineStr">
        <is>
          <t>Los Tambores 023</t>
        </is>
      </c>
      <c r="L323" t="inlineStr">
        <is>
          <t>-1</t>
        </is>
      </c>
      <c r="M323" t="n">
        <v>1110.846760508486</v>
      </c>
      <c r="N323" t="n">
        <v>0</v>
      </c>
      <c r="O323" t="inlineStr">
        <is>
          <t>6</t>
        </is>
      </c>
      <c r="P323" s="2" t="n">
        <v>44659.60028225694</v>
      </c>
      <c r="Q323" t="n">
        <v>17</v>
      </c>
      <c r="R323" t="inlineStr">
        <is>
          <t>VALDIVIA 220</t>
        </is>
      </c>
      <c r="S323" t="n">
        <v>15.62148381009857</v>
      </c>
      <c r="T323" t="n">
        <v>1193.039191187223</v>
      </c>
      <c r="U323" t="n">
        <v>0</v>
      </c>
      <c r="V323" t="n">
        <v>0</v>
      </c>
      <c r="W323" t="inlineStr">
        <is>
          <t>SAESA</t>
        </is>
      </c>
      <c r="X323" t="n">
        <v>84.38861284905238</v>
      </c>
      <c r="Y323" t="n">
        <v>1.193039191187223</v>
      </c>
      <c r="Z323" t="n">
        <v>1318.275349378147</v>
      </c>
      <c r="AA323" t="n">
        <v>0</v>
      </c>
      <c r="AB323" t="n">
        <v>0</v>
      </c>
      <c r="AC323" t="n">
        <v>0</v>
      </c>
      <c r="AD323" s="2" t="n">
        <v>44228</v>
      </c>
    </row>
    <row r="324">
      <c r="A324" t="n">
        <v>-1</v>
      </c>
      <c r="B324" t="inlineStr">
        <is>
          <t>01-02-2021</t>
        </is>
      </c>
      <c r="C324" t="n">
        <v>2021</v>
      </c>
      <c r="D324" t="n">
        <v>2</v>
      </c>
      <c r="E324" t="inlineStr">
        <is>
          <t>Mariquina 023</t>
        </is>
      </c>
      <c r="F324" t="inlineStr">
        <is>
          <t>Saesa</t>
        </is>
      </c>
      <c r="G324" t="inlineStr">
        <is>
          <t>Saesa</t>
        </is>
      </c>
      <c r="H324" t="inlineStr">
        <is>
          <t>Empresa Eléctrica Carén S.A.</t>
        </is>
      </c>
      <c r="I324" t="inlineStr">
        <is>
          <t>Empresa Eléctrica Carén S.A.</t>
        </is>
      </c>
      <c r="J324" t="inlineStr">
        <is>
          <t>SIC 2013/03_2_BS1A_BB_SAESA_Empresa Eléctrica Carén S.A.</t>
        </is>
      </c>
      <c r="K324" t="inlineStr">
        <is>
          <t>Mariquina 023</t>
        </is>
      </c>
      <c r="L324" t="inlineStr">
        <is>
          <t>-1</t>
        </is>
      </c>
      <c r="M324" t="n">
        <v>1035.849112060389</v>
      </c>
      <c r="N324" t="n">
        <v>0</v>
      </c>
      <c r="O324" t="inlineStr">
        <is>
          <t>6</t>
        </is>
      </c>
      <c r="P324" s="2" t="n">
        <v>44659.60028225694</v>
      </c>
      <c r="Q324" t="n">
        <v>1</v>
      </c>
      <c r="R324" t="inlineStr">
        <is>
          <t>LOS CIRUELOS 220</t>
        </is>
      </c>
      <c r="S324" t="n">
        <v>1058.142339049254</v>
      </c>
      <c r="T324" t="n">
        <v>76237.85244487252</v>
      </c>
      <c r="U324" t="n">
        <v>0</v>
      </c>
      <c r="V324" t="n">
        <v>0</v>
      </c>
      <c r="W324" t="inlineStr">
        <is>
          <t>SAESA</t>
        </is>
      </c>
      <c r="X324" t="n">
        <v>79.61189891451794</v>
      </c>
      <c r="Y324" t="n">
        <v>76.23785244487252</v>
      </c>
      <c r="Z324" t="n">
        <v>84240.72093356079</v>
      </c>
      <c r="AA324" t="n">
        <v>0</v>
      </c>
      <c r="AB324" t="n">
        <v>0</v>
      </c>
      <c r="AC324" t="n">
        <v>0</v>
      </c>
      <c r="AD324" s="2" t="n">
        <v>44228</v>
      </c>
    </row>
    <row r="325">
      <c r="A325" t="n">
        <v>-1</v>
      </c>
      <c r="B325" t="inlineStr">
        <is>
          <t>01-02-2021</t>
        </is>
      </c>
      <c r="C325" t="n">
        <v>2021</v>
      </c>
      <c r="D325" t="n">
        <v>2</v>
      </c>
      <c r="E325" t="inlineStr">
        <is>
          <t>Melipulli 023</t>
        </is>
      </c>
      <c r="F325" t="inlineStr">
        <is>
          <t>Saesa</t>
        </is>
      </c>
      <c r="G325" t="inlineStr">
        <is>
          <t>Saesa</t>
        </is>
      </c>
      <c r="H325" t="inlineStr">
        <is>
          <t>Empresa Eléctrica Carén S.A.</t>
        </is>
      </c>
      <c r="I325" t="inlineStr">
        <is>
          <t>Empresa Eléctrica Carén S.A.</t>
        </is>
      </c>
      <c r="J325" t="inlineStr">
        <is>
          <t>SIC 2013/03_2_BS1A_BB_SAESA_Empresa Eléctrica Carén S.A.</t>
        </is>
      </c>
      <c r="K325" t="inlineStr">
        <is>
          <t>Melipulli 023</t>
        </is>
      </c>
      <c r="L325" t="inlineStr">
        <is>
          <t>-1</t>
        </is>
      </c>
      <c r="M325" t="n">
        <v>11198.10603123179</v>
      </c>
      <c r="N325" t="n">
        <v>0</v>
      </c>
      <c r="O325" t="inlineStr">
        <is>
          <t>6</t>
        </is>
      </c>
      <c r="P325" s="2" t="n">
        <v>44659.60028225694</v>
      </c>
      <c r="Q325" t="n">
        <v>6</v>
      </c>
      <c r="R325" t="inlineStr">
        <is>
          <t>MELIPULLI 220</t>
        </is>
      </c>
      <c r="S325" t="n">
        <v>11439.10823579329</v>
      </c>
      <c r="T325" t="n">
        <v>781616.3304529763</v>
      </c>
      <c r="U325" t="n">
        <v>0</v>
      </c>
      <c r="V325" t="n">
        <v>0</v>
      </c>
      <c r="W325" t="inlineStr">
        <is>
          <t>SAESA</t>
        </is>
      </c>
      <c r="X325" t="n">
        <v>75.50102995238473</v>
      </c>
      <c r="Y325" t="n">
        <v>781.6163304529763</v>
      </c>
      <c r="Z325" t="n">
        <v>863664.4535392002</v>
      </c>
      <c r="AA325" t="n">
        <v>0</v>
      </c>
      <c r="AB325" t="n">
        <v>0</v>
      </c>
      <c r="AC325" t="n">
        <v>0</v>
      </c>
      <c r="AD325" s="2" t="n">
        <v>44228</v>
      </c>
    </row>
    <row r="326">
      <c r="A326" t="n">
        <v>-1</v>
      </c>
      <c r="B326" t="inlineStr">
        <is>
          <t>01-02-2021</t>
        </is>
      </c>
      <c r="C326" t="n">
        <v>2021</v>
      </c>
      <c r="D326" t="n">
        <v>2</v>
      </c>
      <c r="E326" t="inlineStr">
        <is>
          <t>Osorno 13.8</t>
        </is>
      </c>
      <c r="F326" t="inlineStr">
        <is>
          <t>Saesa</t>
        </is>
      </c>
      <c r="G326" t="inlineStr">
        <is>
          <t>Saesa</t>
        </is>
      </c>
      <c r="H326" t="inlineStr">
        <is>
          <t>Empresa Eléctrica Carén S.A.</t>
        </is>
      </c>
      <c r="I326" t="inlineStr">
        <is>
          <t>Empresa Eléctrica Carén S.A.</t>
        </is>
      </c>
      <c r="J326" t="inlineStr">
        <is>
          <t>SIC 2013/03_2_BS1A_BB_SAESA_Empresa Eléctrica Carén S.A.</t>
        </is>
      </c>
      <c r="K326" t="inlineStr">
        <is>
          <t>Osorno 13.8</t>
        </is>
      </c>
      <c r="L326" t="inlineStr">
        <is>
          <t>-1</t>
        </is>
      </c>
      <c r="M326" t="n">
        <v>6155.740158568718</v>
      </c>
      <c r="N326" t="n">
        <v>0</v>
      </c>
      <c r="O326" t="inlineStr">
        <is>
          <t>6</t>
        </is>
      </c>
      <c r="P326" s="2" t="n">
        <v>44659.60028225694</v>
      </c>
      <c r="Q326" t="n">
        <v>6</v>
      </c>
      <c r="R326" t="inlineStr">
        <is>
          <t>MELIPULLI 220</t>
        </is>
      </c>
      <c r="S326" t="n">
        <v>68.10847389198783</v>
      </c>
      <c r="T326" t="n">
        <v>4653.745234233818</v>
      </c>
      <c r="U326" t="n">
        <v>0</v>
      </c>
      <c r="V326" t="n">
        <v>0</v>
      </c>
      <c r="W326" t="inlineStr">
        <is>
          <t>SAESA</t>
        </is>
      </c>
      <c r="X326" t="n">
        <v>75.50102995238473</v>
      </c>
      <c r="Y326" t="n">
        <v>4.653745234233819</v>
      </c>
      <c r="Z326" t="n">
        <v>5142.259927330186</v>
      </c>
      <c r="AA326" t="n">
        <v>0</v>
      </c>
      <c r="AB326" t="n">
        <v>0</v>
      </c>
      <c r="AC326" t="n">
        <v>0</v>
      </c>
      <c r="AD326" s="2" t="n">
        <v>44228</v>
      </c>
    </row>
    <row r="327">
      <c r="A327" t="n">
        <v>-1</v>
      </c>
      <c r="B327" t="inlineStr">
        <is>
          <t>01-02-2021</t>
        </is>
      </c>
      <c r="C327" t="n">
        <v>2021</v>
      </c>
      <c r="D327" t="n">
        <v>2</v>
      </c>
      <c r="E327" t="inlineStr">
        <is>
          <t>Osorno 13.8</t>
        </is>
      </c>
      <c r="F327" t="inlineStr">
        <is>
          <t>Saesa</t>
        </is>
      </c>
      <c r="G327" t="inlineStr">
        <is>
          <t>Saesa</t>
        </is>
      </c>
      <c r="H327" t="inlineStr">
        <is>
          <t>Empresa Eléctrica Carén S.A.</t>
        </is>
      </c>
      <c r="I327" t="inlineStr">
        <is>
          <t>Empresa Eléctrica Carén S.A.</t>
        </is>
      </c>
      <c r="J327" t="inlineStr">
        <is>
          <t>SIC 2013/03_2_BS1A_BB_SAESA_Empresa Eléctrica Carén S.A.</t>
        </is>
      </c>
      <c r="K327" t="inlineStr">
        <is>
          <t>Osorno 13.8</t>
        </is>
      </c>
      <c r="L327" t="inlineStr">
        <is>
          <t>-1</t>
        </is>
      </c>
      <c r="M327" t="n">
        <v>6155.740158568718</v>
      </c>
      <c r="N327" t="n">
        <v>0</v>
      </c>
      <c r="O327" t="inlineStr">
        <is>
          <t>6</t>
        </is>
      </c>
      <c r="P327" s="2" t="n">
        <v>44659.60028225694</v>
      </c>
      <c r="Q327" t="n">
        <v>68</v>
      </c>
      <c r="R327" t="inlineStr">
        <is>
          <t>RAHUE 220</t>
        </is>
      </c>
      <c r="S327" t="n">
        <v>6182.067103439384</v>
      </c>
      <c r="T327" t="n">
        <v>428997.6262033196</v>
      </c>
      <c r="U327" t="n">
        <v>0</v>
      </c>
      <c r="V327" t="n">
        <v>0</v>
      </c>
      <c r="W327" t="inlineStr">
        <is>
          <t>SAESA</t>
        </is>
      </c>
      <c r="X327" t="n">
        <v>76.67832106315818</v>
      </c>
      <c r="Y327" t="n">
        <v>428.9976262033197</v>
      </c>
      <c r="Z327" t="n">
        <v>474030.5261915134</v>
      </c>
      <c r="AA327" t="n">
        <v>0</v>
      </c>
      <c r="AB327" t="n">
        <v>0</v>
      </c>
      <c r="AC327" t="n">
        <v>0</v>
      </c>
      <c r="AD327" s="2" t="n">
        <v>44228</v>
      </c>
    </row>
    <row r="328">
      <c r="A328" t="n">
        <v>-1</v>
      </c>
      <c r="B328" t="inlineStr">
        <is>
          <t>01-02-2021</t>
        </is>
      </c>
      <c r="C328" t="n">
        <v>2021</v>
      </c>
      <c r="D328" t="n">
        <v>2</v>
      </c>
      <c r="E328" t="inlineStr">
        <is>
          <t>Osorno 13.8</t>
        </is>
      </c>
      <c r="F328" t="inlineStr">
        <is>
          <t>Saesa</t>
        </is>
      </c>
      <c r="G328" t="inlineStr">
        <is>
          <t>Saesa</t>
        </is>
      </c>
      <c r="H328" t="inlineStr">
        <is>
          <t>Empresa Eléctrica Carén S.A.</t>
        </is>
      </c>
      <c r="I328" t="inlineStr">
        <is>
          <t>Empresa Eléctrica Carén S.A.</t>
        </is>
      </c>
      <c r="J328" t="inlineStr">
        <is>
          <t>SIC 2013/03_2_BS1A_BB_SAESA_Empresa Eléctrica Carén S.A.</t>
        </is>
      </c>
      <c r="K328" t="inlineStr">
        <is>
          <t>Osorno 13.8</t>
        </is>
      </c>
      <c r="L328" t="inlineStr">
        <is>
          <t>-1</t>
        </is>
      </c>
      <c r="M328" t="n">
        <v>6155.740158568718</v>
      </c>
      <c r="N328" t="n">
        <v>0</v>
      </c>
      <c r="O328" t="inlineStr">
        <is>
          <t>6</t>
        </is>
      </c>
      <c r="P328" s="2" t="n">
        <v>44659.60028225694</v>
      </c>
      <c r="Q328" t="n">
        <v>17</v>
      </c>
      <c r="R328" t="inlineStr">
        <is>
          <t>VALDIVIA 220</t>
        </is>
      </c>
      <c r="S328" t="n">
        <v>38.0465335233139</v>
      </c>
      <c r="T328" t="n">
        <v>2905.678239911424</v>
      </c>
      <c r="U328" t="n">
        <v>0</v>
      </c>
      <c r="V328" t="n">
        <v>0</v>
      </c>
      <c r="W328" t="inlineStr">
        <is>
          <t>SAESA</t>
        </is>
      </c>
      <c r="X328" t="n">
        <v>84.38861284905239</v>
      </c>
      <c r="Y328" t="n">
        <v>2.905678239911424</v>
      </c>
      <c r="Z328" t="n">
        <v>3210.69418774743</v>
      </c>
      <c r="AA328" t="n">
        <v>0</v>
      </c>
      <c r="AB328" t="n">
        <v>0</v>
      </c>
      <c r="AC328" t="n">
        <v>0</v>
      </c>
      <c r="AD328" s="2" t="n">
        <v>44228</v>
      </c>
    </row>
    <row r="329">
      <c r="A329" t="n">
        <v>-1</v>
      </c>
      <c r="B329" t="inlineStr">
        <is>
          <t>01-02-2021</t>
        </is>
      </c>
      <c r="C329" t="n">
        <v>2021</v>
      </c>
      <c r="D329" t="n">
        <v>2</v>
      </c>
      <c r="E329" t="inlineStr">
        <is>
          <t>Panguipulli 023</t>
        </is>
      </c>
      <c r="F329" t="inlineStr">
        <is>
          <t>Saesa</t>
        </is>
      </c>
      <c r="G329" t="inlineStr">
        <is>
          <t>Saesa</t>
        </is>
      </c>
      <c r="H329" t="inlineStr">
        <is>
          <t>Empresa Eléctrica Carén S.A.</t>
        </is>
      </c>
      <c r="I329" t="inlineStr">
        <is>
          <t>Empresa Eléctrica Carén S.A.</t>
        </is>
      </c>
      <c r="J329" t="inlineStr">
        <is>
          <t>SIC 2013/03_2_BS1A_BB_SAESA_Empresa Eléctrica Carén S.A.</t>
        </is>
      </c>
      <c r="K329" t="inlineStr">
        <is>
          <t>Panguipulli 023</t>
        </is>
      </c>
      <c r="L329" t="inlineStr">
        <is>
          <t>-1</t>
        </is>
      </c>
      <c r="M329" t="n">
        <v>2705.956165807076</v>
      </c>
      <c r="N329" t="n">
        <v>0</v>
      </c>
      <c r="O329" t="inlineStr">
        <is>
          <t>6</t>
        </is>
      </c>
      <c r="P329" s="2" t="n">
        <v>44659.60028225694</v>
      </c>
      <c r="Q329" t="n">
        <v>6</v>
      </c>
      <c r="R329" t="inlineStr">
        <is>
          <t>MELIPULLI 220</t>
        </is>
      </c>
      <c r="S329" t="n">
        <v>9.859757889603689</v>
      </c>
      <c r="T329" t="n">
        <v>673.7017975503379</v>
      </c>
      <c r="U329" t="n">
        <v>0</v>
      </c>
      <c r="V329" t="n">
        <v>0</v>
      </c>
      <c r="W329" t="inlineStr">
        <is>
          <t>SAESA</t>
        </is>
      </c>
      <c r="X329" t="n">
        <v>75.50102995238473</v>
      </c>
      <c r="Y329" t="n">
        <v>0.673701797550338</v>
      </c>
      <c r="Z329" t="n">
        <v>744.4218757462297</v>
      </c>
      <c r="AA329" t="n">
        <v>0</v>
      </c>
      <c r="AB329" t="n">
        <v>0</v>
      </c>
      <c r="AC329" t="n">
        <v>0</v>
      </c>
      <c r="AD329" s="2" t="n">
        <v>44228</v>
      </c>
    </row>
    <row r="330">
      <c r="A330" t="n">
        <v>-1</v>
      </c>
      <c r="B330" t="inlineStr">
        <is>
          <t>01-02-2021</t>
        </is>
      </c>
      <c r="C330" t="n">
        <v>2021</v>
      </c>
      <c r="D330" t="n">
        <v>2</v>
      </c>
      <c r="E330" t="inlineStr">
        <is>
          <t>Panguipulli 023</t>
        </is>
      </c>
      <c r="F330" t="inlineStr">
        <is>
          <t>Saesa</t>
        </is>
      </c>
      <c r="G330" t="inlineStr">
        <is>
          <t>Saesa</t>
        </is>
      </c>
      <c r="H330" t="inlineStr">
        <is>
          <t>Empresa Eléctrica Carén S.A.</t>
        </is>
      </c>
      <c r="I330" t="inlineStr">
        <is>
          <t>Empresa Eléctrica Carén S.A.</t>
        </is>
      </c>
      <c r="J330" t="inlineStr">
        <is>
          <t>SIC 2013/03_2_BS1A_BB_SAESA_Empresa Eléctrica Carén S.A.</t>
        </is>
      </c>
      <c r="K330" t="inlineStr">
        <is>
          <t>Panguipulli 023</t>
        </is>
      </c>
      <c r="L330" t="inlineStr">
        <is>
          <t>-1</t>
        </is>
      </c>
      <c r="M330" t="n">
        <v>2705.956165807076</v>
      </c>
      <c r="N330" t="n">
        <v>0</v>
      </c>
      <c r="O330" t="inlineStr">
        <is>
          <t>6</t>
        </is>
      </c>
      <c r="P330" s="2" t="n">
        <v>44659.60028225694</v>
      </c>
      <c r="Q330" t="n">
        <v>68</v>
      </c>
      <c r="R330" t="inlineStr">
        <is>
          <t>RAHUE 220</t>
        </is>
      </c>
      <c r="S330" t="n">
        <v>774.3028272049587</v>
      </c>
      <c r="T330" t="n">
        <v>53731.87791000229</v>
      </c>
      <c r="U330" t="n">
        <v>0</v>
      </c>
      <c r="V330" t="n">
        <v>0</v>
      </c>
      <c r="W330" t="inlineStr">
        <is>
          <t>SAESA</t>
        </is>
      </c>
      <c r="X330" t="n">
        <v>76.67832106315818</v>
      </c>
      <c r="Y330" t="n">
        <v>53.73187791000229</v>
      </c>
      <c r="Z330" t="n">
        <v>59372.24078453291</v>
      </c>
      <c r="AA330" t="n">
        <v>0</v>
      </c>
      <c r="AB330" t="n">
        <v>0</v>
      </c>
      <c r="AC330" t="n">
        <v>0</v>
      </c>
      <c r="AD330" s="2" t="n">
        <v>44228</v>
      </c>
    </row>
    <row r="331">
      <c r="A331" t="n">
        <v>-1</v>
      </c>
      <c r="B331" t="inlineStr">
        <is>
          <t>01-02-2021</t>
        </is>
      </c>
      <c r="C331" t="n">
        <v>2021</v>
      </c>
      <c r="D331" t="n">
        <v>2</v>
      </c>
      <c r="E331" t="inlineStr">
        <is>
          <t>Panguipulli 023</t>
        </is>
      </c>
      <c r="F331" t="inlineStr">
        <is>
          <t>Saesa</t>
        </is>
      </c>
      <c r="G331" t="inlineStr">
        <is>
          <t>Saesa</t>
        </is>
      </c>
      <c r="H331" t="inlineStr">
        <is>
          <t>Empresa Eléctrica Carén S.A.</t>
        </is>
      </c>
      <c r="I331" t="inlineStr">
        <is>
          <t>Empresa Eléctrica Carén S.A.</t>
        </is>
      </c>
      <c r="J331" t="inlineStr">
        <is>
          <t>SIC 2013/03_2_BS1A_BB_SAESA_Empresa Eléctrica Carén S.A.</t>
        </is>
      </c>
      <c r="K331" t="inlineStr">
        <is>
          <t>Panguipulli 023</t>
        </is>
      </c>
      <c r="L331" t="inlineStr">
        <is>
          <t>-1</t>
        </is>
      </c>
      <c r="M331" t="n">
        <v>2705.956165807076</v>
      </c>
      <c r="N331" t="n">
        <v>0</v>
      </c>
      <c r="O331" t="inlineStr">
        <is>
          <t>6</t>
        </is>
      </c>
      <c r="P331" s="2" t="n">
        <v>44659.60028225694</v>
      </c>
      <c r="Q331" t="n">
        <v>17</v>
      </c>
      <c r="R331" t="inlineStr">
        <is>
          <t>VALDIVIA 220</t>
        </is>
      </c>
      <c r="S331" t="n">
        <v>1980.030339641876</v>
      </c>
      <c r="T331" t="n">
        <v>151218.2724540815</v>
      </c>
      <c r="U331" t="n">
        <v>0</v>
      </c>
      <c r="V331" t="n">
        <v>0</v>
      </c>
      <c r="W331" t="inlineStr">
        <is>
          <t>SAESA</t>
        </is>
      </c>
      <c r="X331" t="n">
        <v>84.38861284905239</v>
      </c>
      <c r="Y331" t="n">
        <v>151.2182724540814</v>
      </c>
      <c r="Z331" t="n">
        <v>167092.013761416</v>
      </c>
      <c r="AA331" t="n">
        <v>0</v>
      </c>
      <c r="AB331" t="n">
        <v>0</v>
      </c>
      <c r="AC331" t="n">
        <v>0</v>
      </c>
      <c r="AD331" s="2" t="n">
        <v>44228</v>
      </c>
    </row>
    <row r="332">
      <c r="A332" t="n">
        <v>-1</v>
      </c>
      <c r="B332" t="inlineStr">
        <is>
          <t>01-02-2021</t>
        </is>
      </c>
      <c r="C332" t="n">
        <v>2021</v>
      </c>
      <c r="D332" t="n">
        <v>2</v>
      </c>
      <c r="E332" t="inlineStr">
        <is>
          <t>Pargua 23</t>
        </is>
      </c>
      <c r="F332" t="inlineStr">
        <is>
          <t>Saesa</t>
        </is>
      </c>
      <c r="G332" t="inlineStr">
        <is>
          <t>Saesa</t>
        </is>
      </c>
      <c r="H332" t="inlineStr">
        <is>
          <t>Empresa Eléctrica Carén S.A.</t>
        </is>
      </c>
      <c r="I332" t="inlineStr">
        <is>
          <t>Empresa Eléctrica Carén S.A.</t>
        </is>
      </c>
      <c r="J332" t="inlineStr">
        <is>
          <t>SIC 2013/03_2_BS1A_BB_SAESA_Empresa Eléctrica Carén S.A.</t>
        </is>
      </c>
      <c r="K332" t="inlineStr">
        <is>
          <t>Pargua 23</t>
        </is>
      </c>
      <c r="L332" t="inlineStr">
        <is>
          <t>-1</t>
        </is>
      </c>
      <c r="M332" t="n">
        <v>183.2901608230771</v>
      </c>
      <c r="N332" t="n">
        <v>0</v>
      </c>
      <c r="O332" t="inlineStr">
        <is>
          <t>6</t>
        </is>
      </c>
      <c r="P332" s="2" t="n">
        <v>44659.60028225694</v>
      </c>
      <c r="Q332" t="n">
        <v>6</v>
      </c>
      <c r="R332" t="inlineStr">
        <is>
          <t>MELIPULLI 220</t>
        </is>
      </c>
      <c r="S332" t="n">
        <v>187.2348754658563</v>
      </c>
      <c r="T332" t="n">
        <v>12793.46547631416</v>
      </c>
      <c r="U332" t="n">
        <v>0</v>
      </c>
      <c r="V332" t="n">
        <v>0</v>
      </c>
      <c r="W332" t="inlineStr">
        <is>
          <t>SAESA</t>
        </is>
      </c>
      <c r="X332" t="n">
        <v>75.50102995238471</v>
      </c>
      <c r="Y332" t="n">
        <v>12.79346547631416</v>
      </c>
      <c r="Z332" t="n">
        <v>14136.42594067864</v>
      </c>
      <c r="AA332" t="n">
        <v>0</v>
      </c>
      <c r="AB332" t="n">
        <v>0</v>
      </c>
      <c r="AC332" t="n">
        <v>0</v>
      </c>
      <c r="AD332" s="2" t="n">
        <v>44228</v>
      </c>
    </row>
    <row r="333">
      <c r="A333" t="n">
        <v>-1</v>
      </c>
      <c r="B333" t="inlineStr">
        <is>
          <t>01-02-2021</t>
        </is>
      </c>
      <c r="C333" t="n">
        <v>2021</v>
      </c>
      <c r="D333" t="n">
        <v>2</v>
      </c>
      <c r="E333" t="inlineStr">
        <is>
          <t>Picarte 13.8</t>
        </is>
      </c>
      <c r="F333" t="inlineStr">
        <is>
          <t>Saesa</t>
        </is>
      </c>
      <c r="G333" t="inlineStr">
        <is>
          <t>Saesa</t>
        </is>
      </c>
      <c r="H333" t="inlineStr">
        <is>
          <t>Empresa Eléctrica Carén S.A.</t>
        </is>
      </c>
      <c r="I333" t="inlineStr">
        <is>
          <t>Empresa Eléctrica Carén S.A.</t>
        </is>
      </c>
      <c r="J333" t="inlineStr">
        <is>
          <t>SIC 2013/03_2_BS1A_BB_SAESA_Empresa Eléctrica Carén S.A.</t>
        </is>
      </c>
      <c r="K333" t="inlineStr">
        <is>
          <t>Picarte 13.8</t>
        </is>
      </c>
      <c r="L333" t="inlineStr">
        <is>
          <t>-1</t>
        </is>
      </c>
      <c r="M333" t="n">
        <v>6081.582298819378</v>
      </c>
      <c r="N333" t="n">
        <v>0</v>
      </c>
      <c r="O333" t="inlineStr">
        <is>
          <t>6</t>
        </is>
      </c>
      <c r="P333" s="2" t="n">
        <v>44659.60028225694</v>
      </c>
      <c r="Q333" t="n">
        <v>6</v>
      </c>
      <c r="R333" t="inlineStr">
        <is>
          <t>MELIPULLI 220</t>
        </is>
      </c>
      <c r="S333" t="n">
        <v>8.830583525561961</v>
      </c>
      <c r="T333" t="n">
        <v>603.3799268907421</v>
      </c>
      <c r="U333" t="n">
        <v>0</v>
      </c>
      <c r="V333" t="n">
        <v>0</v>
      </c>
      <c r="W333" t="inlineStr">
        <is>
          <t>SAESA</t>
        </is>
      </c>
      <c r="X333" t="n">
        <v>75.5010299523847</v>
      </c>
      <c r="Y333" t="n">
        <v>0.6033799268907422</v>
      </c>
      <c r="Z333" t="n">
        <v>666.7181512604885</v>
      </c>
      <c r="AA333" t="n">
        <v>0</v>
      </c>
      <c r="AB333" t="n">
        <v>0</v>
      </c>
      <c r="AC333" t="n">
        <v>0</v>
      </c>
      <c r="AD333" s="2" t="n">
        <v>44228</v>
      </c>
    </row>
    <row r="334">
      <c r="A334" t="n">
        <v>-1</v>
      </c>
      <c r="B334" t="inlineStr">
        <is>
          <t>01-02-2021</t>
        </is>
      </c>
      <c r="C334" t="n">
        <v>2021</v>
      </c>
      <c r="D334" t="n">
        <v>2</v>
      </c>
      <c r="E334" t="inlineStr">
        <is>
          <t>Picarte 13.8</t>
        </is>
      </c>
      <c r="F334" t="inlineStr">
        <is>
          <t>Saesa</t>
        </is>
      </c>
      <c r="G334" t="inlineStr">
        <is>
          <t>Saesa</t>
        </is>
      </c>
      <c r="H334" t="inlineStr">
        <is>
          <t>Empresa Eléctrica Carén S.A.</t>
        </is>
      </c>
      <c r="I334" t="inlineStr">
        <is>
          <t>Empresa Eléctrica Carén S.A.</t>
        </is>
      </c>
      <c r="J334" t="inlineStr">
        <is>
          <t>SIC 2013/03_2_BS1A_BB_SAESA_Empresa Eléctrica Carén S.A.</t>
        </is>
      </c>
      <c r="K334" t="inlineStr">
        <is>
          <t>Picarte 13.8</t>
        </is>
      </c>
      <c r="L334" t="inlineStr">
        <is>
          <t>-1</t>
        </is>
      </c>
      <c r="M334" t="n">
        <v>6081.582298819378</v>
      </c>
      <c r="N334" t="n">
        <v>0</v>
      </c>
      <c r="O334" t="inlineStr">
        <is>
          <t>6</t>
        </is>
      </c>
      <c r="P334" s="2" t="n">
        <v>44659.60028225694</v>
      </c>
      <c r="Q334" t="n">
        <v>68</v>
      </c>
      <c r="R334" t="inlineStr">
        <is>
          <t>RAHUE 220</t>
        </is>
      </c>
      <c r="S334" t="n">
        <v>569.9592951704695</v>
      </c>
      <c r="T334" t="n">
        <v>39551.6872543514</v>
      </c>
      <c r="U334" t="n">
        <v>0</v>
      </c>
      <c r="V334" t="n">
        <v>0</v>
      </c>
      <c r="W334" t="inlineStr">
        <is>
          <t>SAESA</t>
        </is>
      </c>
      <c r="X334" t="n">
        <v>76.67832106315818</v>
      </c>
      <c r="Y334" t="n">
        <v>39.55168725435141</v>
      </c>
      <c r="Z334" t="n">
        <v>43703.5218280126</v>
      </c>
      <c r="AA334" t="n">
        <v>0</v>
      </c>
      <c r="AB334" t="n">
        <v>0</v>
      </c>
      <c r="AC334" t="n">
        <v>0</v>
      </c>
      <c r="AD334" s="2" t="n">
        <v>44228</v>
      </c>
    </row>
    <row r="335">
      <c r="A335" t="n">
        <v>-1</v>
      </c>
      <c r="B335" t="inlineStr">
        <is>
          <t>01-02-2021</t>
        </is>
      </c>
      <c r="C335" t="n">
        <v>2021</v>
      </c>
      <c r="D335" t="n">
        <v>2</v>
      </c>
      <c r="E335" t="inlineStr">
        <is>
          <t>Picarte 13.8</t>
        </is>
      </c>
      <c r="F335" t="inlineStr">
        <is>
          <t>Saesa</t>
        </is>
      </c>
      <c r="G335" t="inlineStr">
        <is>
          <t>Saesa</t>
        </is>
      </c>
      <c r="H335" t="inlineStr">
        <is>
          <t>Empresa Eléctrica Carén S.A.</t>
        </is>
      </c>
      <c r="I335" t="inlineStr">
        <is>
          <t>Empresa Eléctrica Carén S.A.</t>
        </is>
      </c>
      <c r="J335" t="inlineStr">
        <is>
          <t>SIC 2013/03_2_BS1A_BB_SAESA_Empresa Eléctrica Carén S.A.</t>
        </is>
      </c>
      <c r="K335" t="inlineStr">
        <is>
          <t>Picarte 13.8</t>
        </is>
      </c>
      <c r="L335" t="inlineStr">
        <is>
          <t>-1</t>
        </is>
      </c>
      <c r="M335" t="n">
        <v>6081.582298819378</v>
      </c>
      <c r="N335" t="n">
        <v>0</v>
      </c>
      <c r="O335" t="inlineStr">
        <is>
          <t>6</t>
        </is>
      </c>
      <c r="P335" s="2" t="n">
        <v>44659.60028225694</v>
      </c>
      <c r="Q335" t="n">
        <v>17</v>
      </c>
      <c r="R335" t="inlineStr">
        <is>
          <t>VALDIVIA 220</t>
        </is>
      </c>
      <c r="S335" t="n">
        <v>5633.678369689271</v>
      </c>
      <c r="T335" t="n">
        <v>430253.5640844886</v>
      </c>
      <c r="U335" t="n">
        <v>0</v>
      </c>
      <c r="V335" t="n">
        <v>0</v>
      </c>
      <c r="W335" t="inlineStr">
        <is>
          <t>SAESA</t>
        </is>
      </c>
      <c r="X335" t="n">
        <v>84.38861284905238</v>
      </c>
      <c r="Y335" t="n">
        <v>430.2535640844886</v>
      </c>
      <c r="Z335" t="n">
        <v>475418.3028557885</v>
      </c>
      <c r="AA335" t="n">
        <v>0</v>
      </c>
      <c r="AB335" t="n">
        <v>0</v>
      </c>
      <c r="AC335" t="n">
        <v>0</v>
      </c>
      <c r="AD335" s="2" t="n">
        <v>44228</v>
      </c>
    </row>
    <row r="336">
      <c r="A336" t="n">
        <v>-1</v>
      </c>
      <c r="B336" t="inlineStr">
        <is>
          <t>01-02-2021</t>
        </is>
      </c>
      <c r="C336" t="n">
        <v>2021</v>
      </c>
      <c r="D336" t="n">
        <v>2</v>
      </c>
      <c r="E336" t="inlineStr">
        <is>
          <t>Pichil 023</t>
        </is>
      </c>
      <c r="F336" t="inlineStr">
        <is>
          <t>Saesa</t>
        </is>
      </c>
      <c r="G336" t="inlineStr">
        <is>
          <t>Saesa</t>
        </is>
      </c>
      <c r="H336" t="inlineStr">
        <is>
          <t>Empresa Eléctrica Carén S.A.</t>
        </is>
      </c>
      <c r="I336" t="inlineStr">
        <is>
          <t>Empresa Eléctrica Carén S.A.</t>
        </is>
      </c>
      <c r="J336" t="inlineStr">
        <is>
          <t>SIC 2013/03_2_BS1A_BB_SAESA_Empresa Eléctrica Carén S.A.</t>
        </is>
      </c>
      <c r="K336" t="inlineStr">
        <is>
          <t>Pichil 023</t>
        </is>
      </c>
      <c r="L336" t="inlineStr">
        <is>
          <t>-1</t>
        </is>
      </c>
      <c r="M336" t="n">
        <v>211.8338631125676</v>
      </c>
      <c r="N336" t="n">
        <v>0</v>
      </c>
      <c r="O336" t="inlineStr">
        <is>
          <t>6</t>
        </is>
      </c>
      <c r="P336" s="2" t="n">
        <v>44659.60028225694</v>
      </c>
      <c r="Q336" t="n">
        <v>6</v>
      </c>
      <c r="R336" t="inlineStr">
        <is>
          <t>MELIPULLI 220</t>
        </is>
      </c>
      <c r="S336" t="n">
        <v>3.427506241290743</v>
      </c>
      <c r="T336" t="n">
        <v>234.1961275040385</v>
      </c>
      <c r="U336" t="n">
        <v>0</v>
      </c>
      <c r="V336" t="n">
        <v>0</v>
      </c>
      <c r="W336" t="inlineStr">
        <is>
          <t>SAESA</t>
        </is>
      </c>
      <c r="X336" t="n">
        <v>75.50102995238471</v>
      </c>
      <c r="Y336" t="n">
        <v>0.2341961275040386</v>
      </c>
      <c r="Z336" t="n">
        <v>258.7802513856779</v>
      </c>
      <c r="AA336" t="n">
        <v>0</v>
      </c>
      <c r="AB336" t="n">
        <v>0</v>
      </c>
      <c r="AC336" t="n">
        <v>0</v>
      </c>
      <c r="AD336" s="2" t="n">
        <v>44228</v>
      </c>
    </row>
    <row r="337">
      <c r="A337" t="n">
        <v>-1</v>
      </c>
      <c r="B337" t="inlineStr">
        <is>
          <t>01-02-2021</t>
        </is>
      </c>
      <c r="C337" t="n">
        <v>2021</v>
      </c>
      <c r="D337" t="n">
        <v>2</v>
      </c>
      <c r="E337" t="inlineStr">
        <is>
          <t>Pichil 023</t>
        </is>
      </c>
      <c r="F337" t="inlineStr">
        <is>
          <t>Saesa</t>
        </is>
      </c>
      <c r="G337" t="inlineStr">
        <is>
          <t>Saesa</t>
        </is>
      </c>
      <c r="H337" t="inlineStr">
        <is>
          <t>Empresa Eléctrica Carén S.A.</t>
        </is>
      </c>
      <c r="I337" t="inlineStr">
        <is>
          <t>Empresa Eléctrica Carén S.A.</t>
        </is>
      </c>
      <c r="J337" t="inlineStr">
        <is>
          <t>SIC 2013/03_2_BS1A_BB_SAESA_Empresa Eléctrica Carén S.A.</t>
        </is>
      </c>
      <c r="K337" t="inlineStr">
        <is>
          <t>Pichil 023</t>
        </is>
      </c>
      <c r="L337" t="inlineStr">
        <is>
          <t>-1</t>
        </is>
      </c>
      <c r="M337" t="n">
        <v>211.8338631125676</v>
      </c>
      <c r="N337" t="n">
        <v>0</v>
      </c>
      <c r="O337" t="inlineStr">
        <is>
          <t>6</t>
        </is>
      </c>
      <c r="P337" s="2" t="n">
        <v>44659.60028225694</v>
      </c>
      <c r="Q337" t="n">
        <v>68</v>
      </c>
      <c r="R337" t="inlineStr">
        <is>
          <t>RAHUE 220</t>
        </is>
      </c>
      <c r="S337" t="n">
        <v>211.7093978603297</v>
      </c>
      <c r="T337" t="n">
        <v>14691.33666900614</v>
      </c>
      <c r="U337" t="n">
        <v>0</v>
      </c>
      <c r="V337" t="n">
        <v>0</v>
      </c>
      <c r="W337" t="inlineStr">
        <is>
          <t>SAESA</t>
        </is>
      </c>
      <c r="X337" t="n">
        <v>76.67832106315819</v>
      </c>
      <c r="Y337" t="n">
        <v>14.69133666900614</v>
      </c>
      <c r="Z337" t="n">
        <v>16233.52118122226</v>
      </c>
      <c r="AA337" t="n">
        <v>0</v>
      </c>
      <c r="AB337" t="n">
        <v>0</v>
      </c>
      <c r="AC337" t="n">
        <v>0</v>
      </c>
      <c r="AD337" s="2" t="n">
        <v>44228</v>
      </c>
    </row>
    <row r="338">
      <c r="A338" t="n">
        <v>-1</v>
      </c>
      <c r="B338" t="inlineStr">
        <is>
          <t>01-02-2021</t>
        </is>
      </c>
      <c r="C338" t="n">
        <v>2021</v>
      </c>
      <c r="D338" t="n">
        <v>2</v>
      </c>
      <c r="E338" t="inlineStr">
        <is>
          <t>Pichil 023</t>
        </is>
      </c>
      <c r="F338" t="inlineStr">
        <is>
          <t>Saesa</t>
        </is>
      </c>
      <c r="G338" t="inlineStr">
        <is>
          <t>Saesa</t>
        </is>
      </c>
      <c r="H338" t="inlineStr">
        <is>
          <t>Empresa Eléctrica Carén S.A.</t>
        </is>
      </c>
      <c r="I338" t="inlineStr">
        <is>
          <t>Empresa Eléctrica Carén S.A.</t>
        </is>
      </c>
      <c r="J338" t="inlineStr">
        <is>
          <t>SIC 2013/03_2_BS1A_BB_SAESA_Empresa Eléctrica Carén S.A.</t>
        </is>
      </c>
      <c r="K338" t="inlineStr">
        <is>
          <t>Pichil 023</t>
        </is>
      </c>
      <c r="L338" t="inlineStr">
        <is>
          <t>-1</t>
        </is>
      </c>
      <c r="M338" t="n">
        <v>211.8338631125676</v>
      </c>
      <c r="N338" t="n">
        <v>0</v>
      </c>
      <c r="O338" t="inlineStr">
        <is>
          <t>6</t>
        </is>
      </c>
      <c r="P338" s="2" t="n">
        <v>44659.60028225694</v>
      </c>
      <c r="Q338" t="n">
        <v>17</v>
      </c>
      <c r="R338" t="inlineStr">
        <is>
          <t>VALDIVIA 220</t>
        </is>
      </c>
      <c r="S338" t="n">
        <v>1.255982462638166</v>
      </c>
      <c r="T338" t="n">
        <v>95.92150909521827</v>
      </c>
      <c r="U338" t="n">
        <v>0</v>
      </c>
      <c r="V338" t="n">
        <v>0</v>
      </c>
      <c r="W338" t="inlineStr">
        <is>
          <t>SAESA</t>
        </is>
      </c>
      <c r="X338" t="n">
        <v>84.38861284905238</v>
      </c>
      <c r="Y338" t="n">
        <v>0.09592150909521828</v>
      </c>
      <c r="Z338" t="n">
        <v>105.9906177847716</v>
      </c>
      <c r="AA338" t="n">
        <v>0</v>
      </c>
      <c r="AB338" t="n">
        <v>0</v>
      </c>
      <c r="AC338" t="n">
        <v>0</v>
      </c>
      <c r="AD338" s="2" t="n">
        <v>44228</v>
      </c>
    </row>
    <row r="339">
      <c r="A339" t="n">
        <v>-1</v>
      </c>
      <c r="B339" t="inlineStr">
        <is>
          <t>01-02-2021</t>
        </is>
      </c>
      <c r="C339" t="n">
        <v>2021</v>
      </c>
      <c r="D339" t="n">
        <v>2</v>
      </c>
      <c r="E339" t="inlineStr">
        <is>
          <t>Pichirropulli 13.8</t>
        </is>
      </c>
      <c r="F339" t="inlineStr">
        <is>
          <t>Saesa</t>
        </is>
      </c>
      <c r="G339" t="inlineStr">
        <is>
          <t>Saesa</t>
        </is>
      </c>
      <c r="H339" t="inlineStr">
        <is>
          <t>Empresa Eléctrica Carén S.A.</t>
        </is>
      </c>
      <c r="I339" t="inlineStr">
        <is>
          <t>Empresa Eléctrica Carén S.A.</t>
        </is>
      </c>
      <c r="J339" t="inlineStr">
        <is>
          <t>SIC 2013/03_2_BS1A_BB_SAESA_Empresa Eléctrica Carén S.A.</t>
        </is>
      </c>
      <c r="K339" t="inlineStr">
        <is>
          <t>Pichirropulli 13.8</t>
        </is>
      </c>
      <c r="L339" t="inlineStr">
        <is>
          <t>-1</t>
        </is>
      </c>
      <c r="M339" t="n">
        <v>1505.377506539636</v>
      </c>
      <c r="N339" t="n">
        <v>0</v>
      </c>
      <c r="O339" t="inlineStr">
        <is>
          <t>6</t>
        </is>
      </c>
      <c r="P339" s="2" t="n">
        <v>44659.60028225694</v>
      </c>
      <c r="Q339" t="n">
        <v>6</v>
      </c>
      <c r="R339" t="inlineStr">
        <is>
          <t>MELIPULLI 220</t>
        </is>
      </c>
      <c r="S339" t="n">
        <v>14.20542018512362</v>
      </c>
      <c r="T339" t="n">
        <v>970.6340886693221</v>
      </c>
      <c r="U339" t="n">
        <v>0</v>
      </c>
      <c r="V339" t="n">
        <v>0</v>
      </c>
      <c r="W339" t="inlineStr">
        <is>
          <t>SAESA</t>
        </is>
      </c>
      <c r="X339" t="n">
        <v>75.50102995238471</v>
      </c>
      <c r="Y339" t="n">
        <v>0.9706340886693219</v>
      </c>
      <c r="Z339" t="n">
        <v>1072.523854883229</v>
      </c>
      <c r="AA339" t="n">
        <v>0</v>
      </c>
      <c r="AB339" t="n">
        <v>0</v>
      </c>
      <c r="AC339" t="n">
        <v>0</v>
      </c>
      <c r="AD339" s="2" t="n">
        <v>44228</v>
      </c>
    </row>
    <row r="340">
      <c r="A340" t="n">
        <v>-1</v>
      </c>
      <c r="B340" t="inlineStr">
        <is>
          <t>01-02-2021</t>
        </is>
      </c>
      <c r="C340" t="n">
        <v>2021</v>
      </c>
      <c r="D340" t="n">
        <v>2</v>
      </c>
      <c r="E340" t="inlineStr">
        <is>
          <t>Pichirropulli 13.8</t>
        </is>
      </c>
      <c r="F340" t="inlineStr">
        <is>
          <t>Saesa</t>
        </is>
      </c>
      <c r="G340" t="inlineStr">
        <is>
          <t>Saesa</t>
        </is>
      </c>
      <c r="H340" t="inlineStr">
        <is>
          <t>Empresa Eléctrica Carén S.A.</t>
        </is>
      </c>
      <c r="I340" t="inlineStr">
        <is>
          <t>Empresa Eléctrica Carén S.A.</t>
        </is>
      </c>
      <c r="J340" t="inlineStr">
        <is>
          <t>SIC 2013/03_2_BS1A_BB_SAESA_Empresa Eléctrica Carén S.A.</t>
        </is>
      </c>
      <c r="K340" t="inlineStr">
        <is>
          <t>Pichirropulli 13.8</t>
        </is>
      </c>
      <c r="L340" t="inlineStr">
        <is>
          <t>-1</t>
        </is>
      </c>
      <c r="M340" t="n">
        <v>1505.377506539636</v>
      </c>
      <c r="N340" t="n">
        <v>0</v>
      </c>
      <c r="O340" t="inlineStr">
        <is>
          <t>6</t>
        </is>
      </c>
      <c r="P340" s="2" t="n">
        <v>44659.60028225694</v>
      </c>
      <c r="Q340" t="n">
        <v>68</v>
      </c>
      <c r="R340" t="inlineStr">
        <is>
          <t>RAHUE 220</t>
        </is>
      </c>
      <c r="S340" t="n">
        <v>1386.854942258951</v>
      </c>
      <c r="T340" t="n">
        <v>96239.24622015642</v>
      </c>
      <c r="U340" t="n">
        <v>0</v>
      </c>
      <c r="V340" t="n">
        <v>0</v>
      </c>
      <c r="W340" t="inlineStr">
        <is>
          <t>SAESA</t>
        </is>
      </c>
      <c r="X340" t="n">
        <v>76.67832106315819</v>
      </c>
      <c r="Y340" t="n">
        <v>96.23924622015645</v>
      </c>
      <c r="Z340" t="n">
        <v>106341.7085305596</v>
      </c>
      <c r="AA340" t="n">
        <v>0</v>
      </c>
      <c r="AB340" t="n">
        <v>0</v>
      </c>
      <c r="AC340" t="n">
        <v>0</v>
      </c>
      <c r="AD340" s="2" t="n">
        <v>44228</v>
      </c>
    </row>
    <row r="341">
      <c r="A341" t="n">
        <v>-1</v>
      </c>
      <c r="B341" t="inlineStr">
        <is>
          <t>01-02-2021</t>
        </is>
      </c>
      <c r="C341" t="n">
        <v>2021</v>
      </c>
      <c r="D341" t="n">
        <v>2</v>
      </c>
      <c r="E341" t="inlineStr">
        <is>
          <t>Pichirropulli 13.8</t>
        </is>
      </c>
      <c r="F341" t="inlineStr">
        <is>
          <t>Saesa</t>
        </is>
      </c>
      <c r="G341" t="inlineStr">
        <is>
          <t>Saesa</t>
        </is>
      </c>
      <c r="H341" t="inlineStr">
        <is>
          <t>Empresa Eléctrica Carén S.A.</t>
        </is>
      </c>
      <c r="I341" t="inlineStr">
        <is>
          <t>Empresa Eléctrica Carén S.A.</t>
        </is>
      </c>
      <c r="J341" t="inlineStr">
        <is>
          <t>SIC 2013/03_2_BS1A_BB_SAESA_Empresa Eléctrica Carén S.A.</t>
        </is>
      </c>
      <c r="K341" t="inlineStr">
        <is>
          <t>Pichirropulli 13.8</t>
        </is>
      </c>
      <c r="L341" t="inlineStr">
        <is>
          <t>-1</t>
        </is>
      </c>
      <c r="M341" t="n">
        <v>1505.377506539636</v>
      </c>
      <c r="N341" t="n">
        <v>0</v>
      </c>
      <c r="O341" t="inlineStr">
        <is>
          <t>6</t>
        </is>
      </c>
      <c r="P341" s="2" t="n">
        <v>44659.60028225694</v>
      </c>
      <c r="Q341" t="n">
        <v>17</v>
      </c>
      <c r="R341" t="inlineStr">
        <is>
          <t>VALDIVIA 220</t>
        </is>
      </c>
      <c r="S341" t="n">
        <v>136.7154172286686</v>
      </c>
      <c r="T341" t="n">
        <v>10441.18809558114</v>
      </c>
      <c r="U341" t="n">
        <v>0</v>
      </c>
      <c r="V341" t="n">
        <v>0</v>
      </c>
      <c r="W341" t="inlineStr">
        <is>
          <t>SAESA</t>
        </is>
      </c>
      <c r="X341" t="n">
        <v>84.38861284905239</v>
      </c>
      <c r="Y341" t="n">
        <v>10.44118809558114</v>
      </c>
      <c r="Z341" t="n">
        <v>11537.22441500678</v>
      </c>
      <c r="AA341" t="n">
        <v>0</v>
      </c>
      <c r="AB341" t="n">
        <v>0</v>
      </c>
      <c r="AC341" t="n">
        <v>0</v>
      </c>
      <c r="AD341" s="2" t="n">
        <v>44228</v>
      </c>
    </row>
    <row r="342">
      <c r="A342" t="n">
        <v>-1</v>
      </c>
      <c r="B342" t="inlineStr">
        <is>
          <t>01-02-2021</t>
        </is>
      </c>
      <c r="C342" t="n">
        <v>2021</v>
      </c>
      <c r="D342" t="n">
        <v>2</v>
      </c>
      <c r="E342" t="inlineStr">
        <is>
          <t>Pid Pid 023</t>
        </is>
      </c>
      <c r="F342" t="inlineStr">
        <is>
          <t>Saesa</t>
        </is>
      </c>
      <c r="G342" t="inlineStr">
        <is>
          <t>Saesa</t>
        </is>
      </c>
      <c r="H342" t="inlineStr">
        <is>
          <t>Empresa Eléctrica Carén S.A.</t>
        </is>
      </c>
      <c r="I342" t="inlineStr">
        <is>
          <t>Empresa Eléctrica Carén S.A.</t>
        </is>
      </c>
      <c r="J342" t="inlineStr">
        <is>
          <t>SIC 2013/03_2_BS1A_BB_SAESA_Empresa Eléctrica Carén S.A.</t>
        </is>
      </c>
      <c r="K342" t="inlineStr">
        <is>
          <t>Pid Pid 023</t>
        </is>
      </c>
      <c r="L342" t="inlineStr">
        <is>
          <t>-1</t>
        </is>
      </c>
      <c r="M342" t="n">
        <v>664.1889526780719</v>
      </c>
      <c r="N342" t="n">
        <v>0</v>
      </c>
      <c r="O342" t="inlineStr">
        <is>
          <t>6</t>
        </is>
      </c>
      <c r="P342" s="2" t="n">
        <v>44659.60028225694</v>
      </c>
      <c r="Q342" t="n">
        <v>24</v>
      </c>
      <c r="R342" t="inlineStr">
        <is>
          <t>CHILOE 220</t>
        </is>
      </c>
      <c r="S342" t="n">
        <v>678.4834236711461</v>
      </c>
      <c r="T342" t="n">
        <v>46946.31529155682</v>
      </c>
      <c r="U342" t="n">
        <v>0</v>
      </c>
      <c r="V342" t="n">
        <v>0</v>
      </c>
      <c r="W342" t="inlineStr">
        <is>
          <t>SAESA</t>
        </is>
      </c>
      <c r="X342" t="n">
        <v>76.4563727392916</v>
      </c>
      <c r="Y342" t="n">
        <v>46.94631529155682</v>
      </c>
      <c r="Z342" t="n">
        <v>51874.38153763185</v>
      </c>
      <c r="AA342" t="n">
        <v>0</v>
      </c>
      <c r="AB342" t="n">
        <v>0</v>
      </c>
      <c r="AC342" t="n">
        <v>0</v>
      </c>
      <c r="AD342" s="2" t="n">
        <v>44228</v>
      </c>
    </row>
    <row r="343">
      <c r="A343" t="n">
        <v>-1</v>
      </c>
      <c r="B343" t="inlineStr">
        <is>
          <t>01-02-2021</t>
        </is>
      </c>
      <c r="C343" t="n">
        <v>2021</v>
      </c>
      <c r="D343" t="n">
        <v>2</v>
      </c>
      <c r="E343" t="inlineStr">
        <is>
          <t>pilmaiquen 13.8</t>
        </is>
      </c>
      <c r="F343" t="inlineStr">
        <is>
          <t>Saesa</t>
        </is>
      </c>
      <c r="G343" t="inlineStr">
        <is>
          <t>Saesa</t>
        </is>
      </c>
      <c r="H343" t="inlineStr">
        <is>
          <t>Empresa Eléctrica Carén S.A.</t>
        </is>
      </c>
      <c r="I343" t="inlineStr">
        <is>
          <t>Empresa Eléctrica Carén S.A.</t>
        </is>
      </c>
      <c r="J343" t="inlineStr">
        <is>
          <t>SIC 2013/03_2_BS1A_BB_SAESA_Empresa Eléctrica Carén S.A.</t>
        </is>
      </c>
      <c r="K343" t="inlineStr">
        <is>
          <t>pilmaiquen 13.8</t>
        </is>
      </c>
      <c r="L343" t="inlineStr">
        <is>
          <t>-1</t>
        </is>
      </c>
      <c r="M343" t="n">
        <v>0</v>
      </c>
      <c r="N343" t="n">
        <v>0</v>
      </c>
      <c r="O343" t="inlineStr">
        <is>
          <t>6</t>
        </is>
      </c>
      <c r="P343" s="2" t="n">
        <v>44659.60028225694</v>
      </c>
      <c r="Q343" t="n">
        <v>6</v>
      </c>
      <c r="R343" t="inlineStr">
        <is>
          <t>MELIPULLI 220</t>
        </is>
      </c>
      <c r="S343" t="n">
        <v>0</v>
      </c>
      <c r="T343" t="n">
        <v>0</v>
      </c>
      <c r="U343" t="n">
        <v>0</v>
      </c>
      <c r="V343" t="n">
        <v>0</v>
      </c>
      <c r="W343" t="inlineStr">
        <is>
          <t>SAESA</t>
        </is>
      </c>
      <c r="X343" t="n">
        <v>0</v>
      </c>
      <c r="Y343" t="n">
        <v>0</v>
      </c>
      <c r="Z343" t="n">
        <v>0</v>
      </c>
      <c r="AA343" t="n">
        <v>0</v>
      </c>
      <c r="AB343" t="n">
        <v>0</v>
      </c>
      <c r="AC343" t="n">
        <v>0</v>
      </c>
      <c r="AD343" s="2" t="n">
        <v>44228</v>
      </c>
    </row>
    <row r="344">
      <c r="A344" t="n">
        <v>-1</v>
      </c>
      <c r="B344" t="inlineStr">
        <is>
          <t>01-02-2021</t>
        </is>
      </c>
      <c r="C344" t="n">
        <v>2021</v>
      </c>
      <c r="D344" t="n">
        <v>2</v>
      </c>
      <c r="E344" t="inlineStr">
        <is>
          <t>pilmaiquen 13.8</t>
        </is>
      </c>
      <c r="F344" t="inlineStr">
        <is>
          <t>Saesa</t>
        </is>
      </c>
      <c r="G344" t="inlineStr">
        <is>
          <t>Saesa</t>
        </is>
      </c>
      <c r="H344" t="inlineStr">
        <is>
          <t>Empresa Eléctrica Carén S.A.</t>
        </is>
      </c>
      <c r="I344" t="inlineStr">
        <is>
          <t>Empresa Eléctrica Carén S.A.</t>
        </is>
      </c>
      <c r="J344" t="inlineStr">
        <is>
          <t>SIC 2013/03_2_BS1A_BB_SAESA_Empresa Eléctrica Carén S.A.</t>
        </is>
      </c>
      <c r="K344" t="inlineStr">
        <is>
          <t>pilmaiquen 13.8</t>
        </is>
      </c>
      <c r="L344" t="inlineStr">
        <is>
          <t>-1</t>
        </is>
      </c>
      <c r="M344" t="n">
        <v>0</v>
      </c>
      <c r="N344" t="n">
        <v>0</v>
      </c>
      <c r="O344" t="inlineStr">
        <is>
          <t>6</t>
        </is>
      </c>
      <c r="P344" s="2" t="n">
        <v>44659.60028225694</v>
      </c>
      <c r="Q344" t="n">
        <v>68</v>
      </c>
      <c r="R344" t="inlineStr">
        <is>
          <t>RAHUE 220</t>
        </is>
      </c>
      <c r="S344" t="n">
        <v>0</v>
      </c>
      <c r="T344" t="n">
        <v>0</v>
      </c>
      <c r="U344" t="n">
        <v>0</v>
      </c>
      <c r="V344" t="n">
        <v>0</v>
      </c>
      <c r="W344" t="inlineStr">
        <is>
          <t>SAESA</t>
        </is>
      </c>
      <c r="X344" t="n">
        <v>0</v>
      </c>
      <c r="Y344" t="n">
        <v>0</v>
      </c>
      <c r="Z344" t="n">
        <v>0</v>
      </c>
      <c r="AA344" t="n">
        <v>0</v>
      </c>
      <c r="AB344" t="n">
        <v>0</v>
      </c>
      <c r="AC344" t="n">
        <v>0</v>
      </c>
      <c r="AD344" s="2" t="n">
        <v>44228</v>
      </c>
    </row>
    <row r="345">
      <c r="A345" t="n">
        <v>-1</v>
      </c>
      <c r="B345" t="inlineStr">
        <is>
          <t>01-02-2021</t>
        </is>
      </c>
      <c r="C345" t="n">
        <v>2021</v>
      </c>
      <c r="D345" t="n">
        <v>2</v>
      </c>
      <c r="E345" t="inlineStr">
        <is>
          <t>pilmaiquen 13.8</t>
        </is>
      </c>
      <c r="F345" t="inlineStr">
        <is>
          <t>Saesa</t>
        </is>
      </c>
      <c r="G345" t="inlineStr">
        <is>
          <t>Saesa</t>
        </is>
      </c>
      <c r="H345" t="inlineStr">
        <is>
          <t>Empresa Eléctrica Carén S.A.</t>
        </is>
      </c>
      <c r="I345" t="inlineStr">
        <is>
          <t>Empresa Eléctrica Carén S.A.</t>
        </is>
      </c>
      <c r="J345" t="inlineStr">
        <is>
          <t>SIC 2013/03_2_BS1A_BB_SAESA_Empresa Eléctrica Carén S.A.</t>
        </is>
      </c>
      <c r="K345" t="inlineStr">
        <is>
          <t>pilmaiquen 13.8</t>
        </is>
      </c>
      <c r="L345" t="inlineStr">
        <is>
          <t>-1</t>
        </is>
      </c>
      <c r="M345" t="n">
        <v>0</v>
      </c>
      <c r="N345" t="n">
        <v>0</v>
      </c>
      <c r="O345" t="inlineStr">
        <is>
          <t>6</t>
        </is>
      </c>
      <c r="P345" s="2" t="n">
        <v>44659.60028225694</v>
      </c>
      <c r="Q345" t="n">
        <v>17</v>
      </c>
      <c r="R345" t="inlineStr">
        <is>
          <t>VALDIVIA 220</t>
        </is>
      </c>
      <c r="S345" t="n">
        <v>0</v>
      </c>
      <c r="T345" t="n">
        <v>0</v>
      </c>
      <c r="U345" t="n">
        <v>0</v>
      </c>
      <c r="V345" t="n">
        <v>0</v>
      </c>
      <c r="W345" t="inlineStr">
        <is>
          <t>SAESA</t>
        </is>
      </c>
      <c r="X345" t="n">
        <v>0</v>
      </c>
      <c r="Y345" t="n">
        <v>0</v>
      </c>
      <c r="Z345" t="n">
        <v>0</v>
      </c>
      <c r="AA345" t="n">
        <v>0</v>
      </c>
      <c r="AB345" t="n">
        <v>0</v>
      </c>
      <c r="AC345" t="n">
        <v>0</v>
      </c>
      <c r="AD345" s="2" t="n">
        <v>44228</v>
      </c>
    </row>
    <row r="346">
      <c r="A346" t="n">
        <v>-1</v>
      </c>
      <c r="B346" t="inlineStr">
        <is>
          <t>01-02-2021</t>
        </is>
      </c>
      <c r="C346" t="n">
        <v>2021</v>
      </c>
      <c r="D346" t="n">
        <v>2</v>
      </c>
      <c r="E346" t="inlineStr">
        <is>
          <t>Puerto Varas 13.8</t>
        </is>
      </c>
      <c r="F346" t="inlineStr">
        <is>
          <t>Saesa</t>
        </is>
      </c>
      <c r="G346" t="inlineStr">
        <is>
          <t>Saesa</t>
        </is>
      </c>
      <c r="H346" t="inlineStr">
        <is>
          <t>Empresa Eléctrica Carén S.A.</t>
        </is>
      </c>
      <c r="I346" t="inlineStr">
        <is>
          <t>Empresa Eléctrica Carén S.A.</t>
        </is>
      </c>
      <c r="J346" t="inlineStr">
        <is>
          <t>SIC 2013/03_2_BS1A_BB_SAESA_Empresa Eléctrica Carén S.A.</t>
        </is>
      </c>
      <c r="K346" t="inlineStr">
        <is>
          <t>Puerto Varas 13.8</t>
        </is>
      </c>
      <c r="L346" t="inlineStr">
        <is>
          <t>-1</t>
        </is>
      </c>
      <c r="M346" t="n">
        <v>2261.177629929941</v>
      </c>
      <c r="N346" t="n">
        <v>0</v>
      </c>
      <c r="O346" t="inlineStr">
        <is>
          <t>6</t>
        </is>
      </c>
      <c r="P346" s="2" t="n">
        <v>44659.60028225694</v>
      </c>
      <c r="Q346" t="n">
        <v>6</v>
      </c>
      <c r="R346" t="inlineStr">
        <is>
          <t>MELIPULLI 220</t>
        </is>
      </c>
      <c r="S346" t="n">
        <v>2234.069045287895</v>
      </c>
      <c r="T346" t="n">
        <v>152650.4350830991</v>
      </c>
      <c r="U346" t="n">
        <v>0</v>
      </c>
      <c r="V346" t="n">
        <v>0</v>
      </c>
      <c r="W346" t="inlineStr">
        <is>
          <t>SAESA</t>
        </is>
      </c>
      <c r="X346" t="n">
        <v>75.50102995238471</v>
      </c>
      <c r="Y346" t="n">
        <v>152.6504350830991</v>
      </c>
      <c r="Z346" t="n">
        <v>168674.5139039769</v>
      </c>
      <c r="AA346" t="n">
        <v>0</v>
      </c>
      <c r="AB346" t="n">
        <v>0</v>
      </c>
      <c r="AC346" t="n">
        <v>0</v>
      </c>
      <c r="AD346" s="2" t="n">
        <v>44228</v>
      </c>
    </row>
    <row r="347">
      <c r="A347" t="n">
        <v>-1</v>
      </c>
      <c r="B347" t="inlineStr">
        <is>
          <t>01-02-2021</t>
        </is>
      </c>
      <c r="C347" t="n">
        <v>2021</v>
      </c>
      <c r="D347" t="n">
        <v>2</v>
      </c>
      <c r="E347" t="inlineStr">
        <is>
          <t>Puerto Varas 13.8</t>
        </is>
      </c>
      <c r="F347" t="inlineStr">
        <is>
          <t>Saesa</t>
        </is>
      </c>
      <c r="G347" t="inlineStr">
        <is>
          <t>Saesa</t>
        </is>
      </c>
      <c r="H347" t="inlineStr">
        <is>
          <t>Empresa Eléctrica Carén S.A.</t>
        </is>
      </c>
      <c r="I347" t="inlineStr">
        <is>
          <t>Empresa Eléctrica Carén S.A.</t>
        </is>
      </c>
      <c r="J347" t="inlineStr">
        <is>
          <t>SIC 2013/03_2_BS1A_BB_SAESA_Empresa Eléctrica Carén S.A.</t>
        </is>
      </c>
      <c r="K347" t="inlineStr">
        <is>
          <t>Puerto Varas 13.8</t>
        </is>
      </c>
      <c r="L347" t="inlineStr">
        <is>
          <t>-1</t>
        </is>
      </c>
      <c r="M347" t="n">
        <v>2261.177629929941</v>
      </c>
      <c r="N347" t="n">
        <v>0</v>
      </c>
      <c r="O347" t="inlineStr">
        <is>
          <t>6</t>
        </is>
      </c>
      <c r="P347" s="2" t="n">
        <v>44659.60028225694</v>
      </c>
      <c r="Q347" t="n">
        <v>68</v>
      </c>
      <c r="R347" t="inlineStr">
        <is>
          <t>RAHUE 220</t>
        </is>
      </c>
      <c r="S347" t="n">
        <v>75.77295629546663</v>
      </c>
      <c r="T347" t="n">
        <v>5258.179479009241</v>
      </c>
      <c r="U347" t="n">
        <v>0</v>
      </c>
      <c r="V347" t="n">
        <v>0</v>
      </c>
      <c r="W347" t="inlineStr">
        <is>
          <t>SAESA</t>
        </is>
      </c>
      <c r="X347" t="n">
        <v>76.67832106315818</v>
      </c>
      <c r="Y347" t="n">
        <v>5.25817947900924</v>
      </c>
      <c r="Z347" t="n">
        <v>5810.143070728443</v>
      </c>
      <c r="AA347" t="n">
        <v>0</v>
      </c>
      <c r="AB347" t="n">
        <v>0</v>
      </c>
      <c r="AC347" t="n">
        <v>0</v>
      </c>
      <c r="AD347" s="2" t="n">
        <v>44228</v>
      </c>
    </row>
    <row r="348">
      <c r="A348" t="n">
        <v>-1</v>
      </c>
      <c r="B348" t="inlineStr">
        <is>
          <t>01-02-2021</t>
        </is>
      </c>
      <c r="C348" t="n">
        <v>2021</v>
      </c>
      <c r="D348" t="n">
        <v>2</v>
      </c>
      <c r="E348" t="inlineStr">
        <is>
          <t>Pullinque 023</t>
        </is>
      </c>
      <c r="F348" t="inlineStr">
        <is>
          <t>Saesa</t>
        </is>
      </c>
      <c r="G348" t="inlineStr">
        <is>
          <t>Saesa</t>
        </is>
      </c>
      <c r="H348" t="inlineStr">
        <is>
          <t>Empresa Eléctrica Carén S.A.</t>
        </is>
      </c>
      <c r="I348" t="inlineStr">
        <is>
          <t>Empresa Eléctrica Carén S.A.</t>
        </is>
      </c>
      <c r="J348" t="inlineStr">
        <is>
          <t>SIC 2013/03_2_BS1A_BB_SAESA_Empresa Eléctrica Carén S.A.</t>
        </is>
      </c>
      <c r="K348" t="inlineStr">
        <is>
          <t>Pullinque 023</t>
        </is>
      </c>
      <c r="L348" t="inlineStr">
        <is>
          <t>-1</t>
        </is>
      </c>
      <c r="M348" t="n">
        <v>507.8007658713757</v>
      </c>
      <c r="N348" t="n">
        <v>0</v>
      </c>
      <c r="O348" t="inlineStr">
        <is>
          <t>6</t>
        </is>
      </c>
      <c r="P348" s="2" t="n">
        <v>44659.60028225694</v>
      </c>
      <c r="Q348" t="n">
        <v>6</v>
      </c>
      <c r="R348" t="inlineStr">
        <is>
          <t>MELIPULLI 220</t>
        </is>
      </c>
      <c r="S348" t="n">
        <v>1.807775825962947</v>
      </c>
      <c r="T348" t="n">
        <v>123.5224877888191</v>
      </c>
      <c r="U348" t="n">
        <v>0</v>
      </c>
      <c r="V348" t="n">
        <v>0</v>
      </c>
      <c r="W348" t="inlineStr">
        <is>
          <t>SAESA</t>
        </is>
      </c>
      <c r="X348" t="n">
        <v>75.5010299523847</v>
      </c>
      <c r="Y348" t="n">
        <v>0.1235224877888191</v>
      </c>
      <c r="Z348" t="n">
        <v>136.4889367832255</v>
      </c>
      <c r="AA348" t="n">
        <v>0</v>
      </c>
      <c r="AB348" t="n">
        <v>0</v>
      </c>
      <c r="AC348" t="n">
        <v>0</v>
      </c>
      <c r="AD348" s="2" t="n">
        <v>44228</v>
      </c>
    </row>
    <row r="349">
      <c r="A349" t="n">
        <v>-1</v>
      </c>
      <c r="B349" t="inlineStr">
        <is>
          <t>01-02-2021</t>
        </is>
      </c>
      <c r="C349" t="n">
        <v>2021</v>
      </c>
      <c r="D349" t="n">
        <v>2</v>
      </c>
      <c r="E349" t="inlineStr">
        <is>
          <t>Pullinque 023</t>
        </is>
      </c>
      <c r="F349" t="inlineStr">
        <is>
          <t>Saesa</t>
        </is>
      </c>
      <c r="G349" t="inlineStr">
        <is>
          <t>Saesa</t>
        </is>
      </c>
      <c r="H349" t="inlineStr">
        <is>
          <t>Empresa Eléctrica Carén S.A.</t>
        </is>
      </c>
      <c r="I349" t="inlineStr">
        <is>
          <t>Empresa Eléctrica Carén S.A.</t>
        </is>
      </c>
      <c r="J349" t="inlineStr">
        <is>
          <t>SIC 2013/03_2_BS1A_BB_SAESA_Empresa Eléctrica Carén S.A.</t>
        </is>
      </c>
      <c r="K349" t="inlineStr">
        <is>
          <t>Pullinque 023</t>
        </is>
      </c>
      <c r="L349" t="inlineStr">
        <is>
          <t>-1</t>
        </is>
      </c>
      <c r="M349" t="n">
        <v>507.8007658713757</v>
      </c>
      <c r="N349" t="n">
        <v>0</v>
      </c>
      <c r="O349" t="inlineStr">
        <is>
          <t>6</t>
        </is>
      </c>
      <c r="P349" s="2" t="n">
        <v>44659.60028225694</v>
      </c>
      <c r="Q349" t="n">
        <v>68</v>
      </c>
      <c r="R349" t="inlineStr">
        <is>
          <t>RAHUE 220</t>
        </is>
      </c>
      <c r="S349" t="n">
        <v>145.7220645745858</v>
      </c>
      <c r="T349" t="n">
        <v>10112.2195443599</v>
      </c>
      <c r="U349" t="n">
        <v>0</v>
      </c>
      <c r="V349" t="n">
        <v>0</v>
      </c>
      <c r="W349" t="inlineStr">
        <is>
          <t>SAESA</t>
        </is>
      </c>
      <c r="X349" t="n">
        <v>76.67832106315818</v>
      </c>
      <c r="Y349" t="n">
        <v>10.1122195443599</v>
      </c>
      <c r="Z349" t="n">
        <v>11173.72325343636</v>
      </c>
      <c r="AA349" t="n">
        <v>0</v>
      </c>
      <c r="AB349" t="n">
        <v>0</v>
      </c>
      <c r="AC349" t="n">
        <v>0</v>
      </c>
      <c r="AD349" s="2" t="n">
        <v>44228</v>
      </c>
    </row>
    <row r="350">
      <c r="A350" t="n">
        <v>-1</v>
      </c>
      <c r="B350" t="inlineStr">
        <is>
          <t>01-02-2021</t>
        </is>
      </c>
      <c r="C350" t="n">
        <v>2021</v>
      </c>
      <c r="D350" t="n">
        <v>2</v>
      </c>
      <c r="E350" t="inlineStr">
        <is>
          <t>Pullinque 023</t>
        </is>
      </c>
      <c r="F350" t="inlineStr">
        <is>
          <t>Saesa</t>
        </is>
      </c>
      <c r="G350" t="inlineStr">
        <is>
          <t>Saesa</t>
        </is>
      </c>
      <c r="H350" t="inlineStr">
        <is>
          <t>Empresa Eléctrica Carén S.A.</t>
        </is>
      </c>
      <c r="I350" t="inlineStr">
        <is>
          <t>Empresa Eléctrica Carén S.A.</t>
        </is>
      </c>
      <c r="J350" t="inlineStr">
        <is>
          <t>SIC 2013/03_2_BS1A_BB_SAESA_Empresa Eléctrica Carén S.A.</t>
        </is>
      </c>
      <c r="K350" t="inlineStr">
        <is>
          <t>Pullinque 023</t>
        </is>
      </c>
      <c r="L350" t="inlineStr">
        <is>
          <t>-1</t>
        </is>
      </c>
      <c r="M350" t="n">
        <v>507.8007658713757</v>
      </c>
      <c r="N350" t="n">
        <v>0</v>
      </c>
      <c r="O350" t="inlineStr">
        <is>
          <t>6</t>
        </is>
      </c>
      <c r="P350" s="2" t="n">
        <v>44659.60028225694</v>
      </c>
      <c r="Q350" t="n">
        <v>17</v>
      </c>
      <c r="R350" t="inlineStr">
        <is>
          <t>VALDIVIA 220</t>
        </is>
      </c>
      <c r="S350" t="n">
        <v>371.1996578575086</v>
      </c>
      <c r="T350" t="n">
        <v>28349.14691605738</v>
      </c>
      <c r="U350" t="n">
        <v>0</v>
      </c>
      <c r="V350" t="n">
        <v>0</v>
      </c>
      <c r="W350" t="inlineStr">
        <is>
          <t>SAESA</t>
        </is>
      </c>
      <c r="X350" t="n">
        <v>84.38861284905238</v>
      </c>
      <c r="Y350" t="n">
        <v>28.34914691605739</v>
      </c>
      <c r="Z350" t="n">
        <v>31325.02421663799</v>
      </c>
      <c r="AA350" t="n">
        <v>0</v>
      </c>
      <c r="AB350" t="n">
        <v>0</v>
      </c>
      <c r="AC350" t="n">
        <v>0</v>
      </c>
      <c r="AD350" s="2" t="n">
        <v>44228</v>
      </c>
    </row>
    <row r="351">
      <c r="A351" t="n">
        <v>-1</v>
      </c>
      <c r="B351" t="inlineStr">
        <is>
          <t>01-02-2021</t>
        </is>
      </c>
      <c r="C351" t="n">
        <v>2021</v>
      </c>
      <c r="D351" t="n">
        <v>2</v>
      </c>
      <c r="E351" t="inlineStr">
        <is>
          <t>Purranque 13.8</t>
        </is>
      </c>
      <c r="F351" t="inlineStr">
        <is>
          <t>Saesa</t>
        </is>
      </c>
      <c r="G351" t="inlineStr">
        <is>
          <t>Saesa</t>
        </is>
      </c>
      <c r="H351" t="inlineStr">
        <is>
          <t>Empresa Eléctrica Carén S.A.</t>
        </is>
      </c>
      <c r="I351" t="inlineStr">
        <is>
          <t>Empresa Eléctrica Carén S.A.</t>
        </is>
      </c>
      <c r="J351" t="inlineStr">
        <is>
          <t>SIC 2013/03_2_BS1A_BB_SAESA_Empresa Eléctrica Carén S.A.</t>
        </is>
      </c>
      <c r="K351" t="inlineStr">
        <is>
          <t>Purranque 13.8</t>
        </is>
      </c>
      <c r="L351" t="inlineStr">
        <is>
          <t>-1</t>
        </is>
      </c>
      <c r="M351" t="n">
        <v>749.0365568779765</v>
      </c>
      <c r="N351" t="n">
        <v>0</v>
      </c>
      <c r="O351" t="inlineStr">
        <is>
          <t>6</t>
        </is>
      </c>
      <c r="P351" s="2" t="n">
        <v>44659.60028225694</v>
      </c>
      <c r="Q351" t="n">
        <v>6</v>
      </c>
      <c r="R351" t="inlineStr">
        <is>
          <t>MELIPULLI 220</t>
        </is>
      </c>
      <c r="S351" t="n">
        <v>156.4073824256134</v>
      </c>
      <c r="T351" t="n">
        <v>10687.07121108775</v>
      </c>
      <c r="U351" t="n">
        <v>0</v>
      </c>
      <c r="V351" t="n">
        <v>0</v>
      </c>
      <c r="W351" t="inlineStr">
        <is>
          <t>SAESA</t>
        </is>
      </c>
      <c r="X351" t="n">
        <v>75.50102995238473</v>
      </c>
      <c r="Y351" t="n">
        <v>10.68707121108775</v>
      </c>
      <c r="Z351" t="n">
        <v>11808.91846529033</v>
      </c>
      <c r="AA351" t="n">
        <v>0</v>
      </c>
      <c r="AB351" t="n">
        <v>0</v>
      </c>
      <c r="AC351" t="n">
        <v>0</v>
      </c>
      <c r="AD351" s="2" t="n">
        <v>44228</v>
      </c>
    </row>
    <row r="352">
      <c r="A352" t="n">
        <v>-1</v>
      </c>
      <c r="B352" t="inlineStr">
        <is>
          <t>01-02-2021</t>
        </is>
      </c>
      <c r="C352" t="n">
        <v>2021</v>
      </c>
      <c r="D352" t="n">
        <v>2</v>
      </c>
      <c r="E352" t="inlineStr">
        <is>
          <t>Purranque 13.8</t>
        </is>
      </c>
      <c r="F352" t="inlineStr">
        <is>
          <t>Saesa</t>
        </is>
      </c>
      <c r="G352" t="inlineStr">
        <is>
          <t>Saesa</t>
        </is>
      </c>
      <c r="H352" t="inlineStr">
        <is>
          <t>Empresa Eléctrica Carén S.A.</t>
        </is>
      </c>
      <c r="I352" t="inlineStr">
        <is>
          <t>Empresa Eléctrica Carén S.A.</t>
        </is>
      </c>
      <c r="J352" t="inlineStr">
        <is>
          <t>SIC 2013/03_2_BS1A_BB_SAESA_Empresa Eléctrica Carén S.A.</t>
        </is>
      </c>
      <c r="K352" t="inlineStr">
        <is>
          <t>Purranque 13.8</t>
        </is>
      </c>
      <c r="L352" t="inlineStr">
        <is>
          <t>-1</t>
        </is>
      </c>
      <c r="M352" t="n">
        <v>749.0365568779765</v>
      </c>
      <c r="N352" t="n">
        <v>0</v>
      </c>
      <c r="O352" t="inlineStr">
        <is>
          <t>6</t>
        </is>
      </c>
      <c r="P352" s="2" t="n">
        <v>44659.60028225694</v>
      </c>
      <c r="Q352" t="n">
        <v>68</v>
      </c>
      <c r="R352" t="inlineStr">
        <is>
          <t>RAHUE 220</t>
        </is>
      </c>
      <c r="S352" t="n">
        <v>607.8804079343089</v>
      </c>
      <c r="T352" t="n">
        <v>42183.18042426941</v>
      </c>
      <c r="U352" t="n">
        <v>0</v>
      </c>
      <c r="V352" t="n">
        <v>0</v>
      </c>
      <c r="W352" t="inlineStr">
        <is>
          <t>SAESA</t>
        </is>
      </c>
      <c r="X352" t="n">
        <v>76.67832106315818</v>
      </c>
      <c r="Y352" t="n">
        <v>42.18318042426941</v>
      </c>
      <c r="Z352" t="n">
        <v>46611.24908759051</v>
      </c>
      <c r="AA352" t="n">
        <v>0</v>
      </c>
      <c r="AB352" t="n">
        <v>0</v>
      </c>
      <c r="AC352" t="n">
        <v>0</v>
      </c>
      <c r="AD352" s="2" t="n">
        <v>44228</v>
      </c>
    </row>
    <row r="353">
      <c r="A353" t="n">
        <v>-1</v>
      </c>
      <c r="B353" t="inlineStr">
        <is>
          <t>01-02-2021</t>
        </is>
      </c>
      <c r="C353" t="n">
        <v>2021</v>
      </c>
      <c r="D353" t="n">
        <v>2</v>
      </c>
      <c r="E353" t="inlineStr">
        <is>
          <t>Purranque 13.8</t>
        </is>
      </c>
      <c r="F353" t="inlineStr">
        <is>
          <t>Saesa</t>
        </is>
      </c>
      <c r="G353" t="inlineStr">
        <is>
          <t>Saesa</t>
        </is>
      </c>
      <c r="H353" t="inlineStr">
        <is>
          <t>Empresa Eléctrica Carén S.A.</t>
        </is>
      </c>
      <c r="I353" t="inlineStr">
        <is>
          <t>Empresa Eléctrica Carén S.A.</t>
        </is>
      </c>
      <c r="J353" t="inlineStr">
        <is>
          <t>SIC 2013/03_2_BS1A_BB_SAESA_Empresa Eléctrica Carén S.A.</t>
        </is>
      </c>
      <c r="K353" t="inlineStr">
        <is>
          <t>Purranque 13.8</t>
        </is>
      </c>
      <c r="L353" t="inlineStr">
        <is>
          <t>-1</t>
        </is>
      </c>
      <c r="M353" t="n">
        <v>749.0365568779765</v>
      </c>
      <c r="N353" t="n">
        <v>0</v>
      </c>
      <c r="O353" t="inlineStr">
        <is>
          <t>6</t>
        </is>
      </c>
      <c r="P353" s="2" t="n">
        <v>44659.60028225694</v>
      </c>
      <c r="Q353" t="n">
        <v>17</v>
      </c>
      <c r="R353" t="inlineStr">
        <is>
          <t>VALDIVIA 220</t>
        </is>
      </c>
      <c r="S353" t="n">
        <v>0.8693016336602581</v>
      </c>
      <c r="T353" t="n">
        <v>66.39003890586388</v>
      </c>
      <c r="U353" t="n">
        <v>0</v>
      </c>
      <c r="V353" t="n">
        <v>0</v>
      </c>
      <c r="W353" t="inlineStr">
        <is>
          <t>SAESA</t>
        </is>
      </c>
      <c r="X353" t="n">
        <v>84.38861284905238</v>
      </c>
      <c r="Y353" t="n">
        <v>0.06639003890586387</v>
      </c>
      <c r="Z353" t="n">
        <v>73.35915901200428</v>
      </c>
      <c r="AA353" t="n">
        <v>0</v>
      </c>
      <c r="AB353" t="n">
        <v>0</v>
      </c>
      <c r="AC353" t="n">
        <v>0</v>
      </c>
      <c r="AD353" s="2" t="n">
        <v>44228</v>
      </c>
    </row>
    <row r="354">
      <c r="A354" t="n">
        <v>-1</v>
      </c>
      <c r="B354" t="inlineStr">
        <is>
          <t>01-02-2021</t>
        </is>
      </c>
      <c r="C354" t="n">
        <v>2021</v>
      </c>
      <c r="D354" t="n">
        <v>2</v>
      </c>
      <c r="E354" t="inlineStr">
        <is>
          <t>Quellon 023</t>
        </is>
      </c>
      <c r="F354" t="inlineStr">
        <is>
          <t>Saesa</t>
        </is>
      </c>
      <c r="G354" t="inlineStr">
        <is>
          <t>Saesa</t>
        </is>
      </c>
      <c r="H354" t="inlineStr">
        <is>
          <t>Empresa Eléctrica Carén S.A.</t>
        </is>
      </c>
      <c r="I354" t="inlineStr">
        <is>
          <t>Empresa Eléctrica Carén S.A.</t>
        </is>
      </c>
      <c r="J354" t="inlineStr">
        <is>
          <t>SIC 2013/03_2_BS1A_BB_SAESA_Empresa Eléctrica Carén S.A.</t>
        </is>
      </c>
      <c r="K354" t="inlineStr">
        <is>
          <t>Quellon 023</t>
        </is>
      </c>
      <c r="L354" t="inlineStr">
        <is>
          <t>-1</t>
        </is>
      </c>
      <c r="M354" t="n">
        <v>1142.465375505941</v>
      </c>
      <c r="N354" t="n">
        <v>0</v>
      </c>
      <c r="O354" t="inlineStr">
        <is>
          <t>6</t>
        </is>
      </c>
      <c r="P354" s="2" t="n">
        <v>44659.60028225694</v>
      </c>
      <c r="Q354" t="n">
        <v>24</v>
      </c>
      <c r="R354" t="inlineStr">
        <is>
          <t>CHILOE 220</t>
        </is>
      </c>
      <c r="S354" t="n">
        <v>1167.053165027151</v>
      </c>
      <c r="T354" t="n">
        <v>80751.92987165668</v>
      </c>
      <c r="U354" t="n">
        <v>0</v>
      </c>
      <c r="V354" t="n">
        <v>0</v>
      </c>
      <c r="W354" t="inlineStr">
        <is>
          <t>SAESA</t>
        </is>
      </c>
      <c r="X354" t="n">
        <v>76.4563727392916</v>
      </c>
      <c r="Y354" t="n">
        <v>80.75192987165667</v>
      </c>
      <c r="Z354" t="n">
        <v>89228.65179188584</v>
      </c>
      <c r="AA354" t="n">
        <v>0</v>
      </c>
      <c r="AB354" t="n">
        <v>0</v>
      </c>
      <c r="AC354" t="n">
        <v>0</v>
      </c>
      <c r="AD354" s="2" t="n">
        <v>44228</v>
      </c>
    </row>
    <row r="355">
      <c r="A355" t="n">
        <v>-1</v>
      </c>
      <c r="B355" t="inlineStr">
        <is>
          <t>01-02-2021</t>
        </is>
      </c>
      <c r="C355" t="n">
        <v>2021</v>
      </c>
      <c r="D355" t="n">
        <v>2</v>
      </c>
      <c r="E355" t="inlineStr">
        <is>
          <t>Rio Negro 23</t>
        </is>
      </c>
      <c r="F355" t="inlineStr">
        <is>
          <t>Saesa</t>
        </is>
      </c>
      <c r="G355" t="inlineStr">
        <is>
          <t>Saesa</t>
        </is>
      </c>
      <c r="H355" t="inlineStr">
        <is>
          <t>Empresa Eléctrica Carén S.A.</t>
        </is>
      </c>
      <c r="I355" t="inlineStr">
        <is>
          <t>Empresa Eléctrica Carén S.A.</t>
        </is>
      </c>
      <c r="J355" t="inlineStr">
        <is>
          <t>SIC 2013/03_2_BS1A_BB_SAESA_Empresa Eléctrica Carén S.A.</t>
        </is>
      </c>
      <c r="K355" t="inlineStr">
        <is>
          <t>Rio Negro 23</t>
        </is>
      </c>
      <c r="L355" t="inlineStr">
        <is>
          <t>-1</t>
        </is>
      </c>
      <c r="M355" t="n">
        <v>968.9756938111541</v>
      </c>
      <c r="N355" t="n">
        <v>0</v>
      </c>
      <c r="O355" t="inlineStr">
        <is>
          <t>6</t>
        </is>
      </c>
      <c r="P355" s="2" t="n">
        <v>44659.60028225694</v>
      </c>
      <c r="Q355" t="n">
        <v>6</v>
      </c>
      <c r="R355" t="inlineStr">
        <is>
          <t>MELIPULLI 220</t>
        </is>
      </c>
      <c r="S355" t="n">
        <v>118.3364058422542</v>
      </c>
      <c r="T355" t="n">
        <v>8085.741072367993</v>
      </c>
      <c r="U355" t="n">
        <v>0</v>
      </c>
      <c r="V355" t="n">
        <v>0</v>
      </c>
      <c r="W355" t="inlineStr">
        <is>
          <t>SAESA</t>
        </is>
      </c>
      <c r="X355" t="n">
        <v>75.50102995238471</v>
      </c>
      <c r="Y355" t="n">
        <v>8.085741072367993</v>
      </c>
      <c r="Z355" t="n">
        <v>8934.520521953584</v>
      </c>
      <c r="AA355" t="n">
        <v>0</v>
      </c>
      <c r="AB355" t="n">
        <v>0</v>
      </c>
      <c r="AC355" t="n">
        <v>0</v>
      </c>
      <c r="AD355" s="2" t="n">
        <v>44228</v>
      </c>
    </row>
    <row r="356">
      <c r="A356" t="n">
        <v>-1</v>
      </c>
      <c r="B356" t="inlineStr">
        <is>
          <t>01-02-2021</t>
        </is>
      </c>
      <c r="C356" t="n">
        <v>2021</v>
      </c>
      <c r="D356" t="n">
        <v>2</v>
      </c>
      <c r="E356" t="inlineStr">
        <is>
          <t>Rio Negro 23</t>
        </is>
      </c>
      <c r="F356" t="inlineStr">
        <is>
          <t>Saesa</t>
        </is>
      </c>
      <c r="G356" t="inlineStr">
        <is>
          <t>Saesa</t>
        </is>
      </c>
      <c r="H356" t="inlineStr">
        <is>
          <t>Empresa Eléctrica Carén S.A.</t>
        </is>
      </c>
      <c r="I356" t="inlineStr">
        <is>
          <t>Empresa Eléctrica Carén S.A.</t>
        </is>
      </c>
      <c r="J356" t="inlineStr">
        <is>
          <t>SIC 2013/03_2_BS1A_BB_SAESA_Empresa Eléctrica Carén S.A.</t>
        </is>
      </c>
      <c r="K356" t="inlineStr">
        <is>
          <t>Rio Negro 23</t>
        </is>
      </c>
      <c r="L356" t="inlineStr">
        <is>
          <t>-1</t>
        </is>
      </c>
      <c r="M356" t="n">
        <v>968.9756938111541</v>
      </c>
      <c r="N356" t="n">
        <v>0</v>
      </c>
      <c r="O356" t="inlineStr">
        <is>
          <t>6</t>
        </is>
      </c>
      <c r="P356" s="2" t="n">
        <v>44659.60028225694</v>
      </c>
      <c r="Q356" t="n">
        <v>68</v>
      </c>
      <c r="R356" t="inlineStr">
        <is>
          <t>RAHUE 220</t>
        </is>
      </c>
      <c r="S356" t="n">
        <v>868.0099034663671</v>
      </c>
      <c r="T356" t="n">
        <v>60234.5755679155</v>
      </c>
      <c r="U356" t="n">
        <v>0</v>
      </c>
      <c r="V356" t="n">
        <v>0</v>
      </c>
      <c r="W356" t="inlineStr">
        <is>
          <t>SAESA</t>
        </is>
      </c>
      <c r="X356" t="n">
        <v>76.67832106315818</v>
      </c>
      <c r="Y356" t="n">
        <v>60.23457556791551</v>
      </c>
      <c r="Z356" t="n">
        <v>66557.54206399503</v>
      </c>
      <c r="AA356" t="n">
        <v>0</v>
      </c>
      <c r="AB356" t="n">
        <v>0</v>
      </c>
      <c r="AC356" t="n">
        <v>0</v>
      </c>
      <c r="AD356" s="2" t="n">
        <v>44228</v>
      </c>
    </row>
    <row r="357">
      <c r="A357" t="n">
        <v>-1</v>
      </c>
      <c r="B357" t="inlineStr">
        <is>
          <t>01-02-2021</t>
        </is>
      </c>
      <c r="C357" t="n">
        <v>2021</v>
      </c>
      <c r="D357" t="n">
        <v>2</v>
      </c>
      <c r="E357" t="inlineStr">
        <is>
          <t>Rio Negro 23</t>
        </is>
      </c>
      <c r="F357" t="inlineStr">
        <is>
          <t>Saesa</t>
        </is>
      </c>
      <c r="G357" t="inlineStr">
        <is>
          <t>Saesa</t>
        </is>
      </c>
      <c r="H357" t="inlineStr">
        <is>
          <t>Empresa Eléctrica Carén S.A.</t>
        </is>
      </c>
      <c r="I357" t="inlineStr">
        <is>
          <t>Empresa Eléctrica Carén S.A.</t>
        </is>
      </c>
      <c r="J357" t="inlineStr">
        <is>
          <t>SIC 2013/03_2_BS1A_BB_SAESA_Empresa Eléctrica Carén S.A.</t>
        </is>
      </c>
      <c r="K357" t="inlineStr">
        <is>
          <t>Rio Negro 23</t>
        </is>
      </c>
      <c r="L357" t="inlineStr">
        <is>
          <t>-1</t>
        </is>
      </c>
      <c r="M357" t="n">
        <v>968.9756938111541</v>
      </c>
      <c r="N357" t="n">
        <v>0</v>
      </c>
      <c r="O357" t="inlineStr">
        <is>
          <t>6</t>
        </is>
      </c>
      <c r="P357" s="2" t="n">
        <v>44659.60028225694</v>
      </c>
      <c r="Q357" t="n">
        <v>17</v>
      </c>
      <c r="R357" t="inlineStr">
        <is>
          <t>VALDIVIA 220</t>
        </is>
      </c>
      <c r="S357" t="n">
        <v>3.48338228784479</v>
      </c>
      <c r="T357" t="n">
        <v>266.0318083612332</v>
      </c>
      <c r="U357" t="n">
        <v>0</v>
      </c>
      <c r="V357" t="n">
        <v>0</v>
      </c>
      <c r="W357" t="inlineStr">
        <is>
          <t>SAESA</t>
        </is>
      </c>
      <c r="X357" t="n">
        <v>84.38861284905239</v>
      </c>
      <c r="Y357" t="n">
        <v>0.2660318083612332</v>
      </c>
      <c r="Z357" t="n">
        <v>293.9577992941803</v>
      </c>
      <c r="AA357" t="n">
        <v>0</v>
      </c>
      <c r="AB357" t="n">
        <v>0</v>
      </c>
      <c r="AC357" t="n">
        <v>0</v>
      </c>
      <c r="AD357" s="2" t="n">
        <v>44228</v>
      </c>
    </row>
    <row r="358">
      <c r="A358" t="n">
        <v>-1</v>
      </c>
      <c r="B358" t="inlineStr">
        <is>
          <t>01-02-2021</t>
        </is>
      </c>
      <c r="C358" t="n">
        <v>2021</v>
      </c>
      <c r="D358" t="n">
        <v>2</v>
      </c>
      <c r="E358" t="inlineStr">
        <is>
          <t>Sangra 23</t>
        </is>
      </c>
      <c r="F358" t="inlineStr">
        <is>
          <t>Saesa</t>
        </is>
      </c>
      <c r="G358" t="inlineStr">
        <is>
          <t>Saesa</t>
        </is>
      </c>
      <c r="H358" t="inlineStr">
        <is>
          <t>Empresa Eléctrica Carén S.A.</t>
        </is>
      </c>
      <c r="I358" t="inlineStr">
        <is>
          <t>Empresa Eléctrica Carén S.A.</t>
        </is>
      </c>
      <c r="J358" t="inlineStr">
        <is>
          <t>SIC 2013/03_2_BS1A_BB_SAESA_Empresa Eléctrica Carén S.A.</t>
        </is>
      </c>
      <c r="K358" t="inlineStr">
        <is>
          <t>Sangra 23</t>
        </is>
      </c>
      <c r="L358" t="inlineStr">
        <is>
          <t>-1</t>
        </is>
      </c>
      <c r="M358" t="n">
        <v>817.0233019231819</v>
      </c>
      <c r="N358" t="n">
        <v>0</v>
      </c>
      <c r="O358" t="inlineStr">
        <is>
          <t>6</t>
        </is>
      </c>
      <c r="P358" s="2" t="n">
        <v>44659.60028225694</v>
      </c>
      <c r="Q358" t="n">
        <v>6</v>
      </c>
      <c r="R358" t="inlineStr">
        <is>
          <t>MELIPULLI 220</t>
        </is>
      </c>
      <c r="S358" t="n">
        <v>834.6070269202871</v>
      </c>
      <c r="T358" t="n">
        <v>57027.38957487131</v>
      </c>
      <c r="U358" t="n">
        <v>0</v>
      </c>
      <c r="V358" t="n">
        <v>0</v>
      </c>
      <c r="W358" t="inlineStr">
        <is>
          <t>SAESA</t>
        </is>
      </c>
      <c r="X358" t="n">
        <v>75.50102995238471</v>
      </c>
      <c r="Y358" t="n">
        <v>57.02738957487131</v>
      </c>
      <c r="Z358" t="n">
        <v>63013.69013797935</v>
      </c>
      <c r="AA358" t="n">
        <v>0</v>
      </c>
      <c r="AB358" t="n">
        <v>0</v>
      </c>
      <c r="AC358" t="n">
        <v>0</v>
      </c>
      <c r="AD358" s="2" t="n">
        <v>44228</v>
      </c>
    </row>
    <row r="359">
      <c r="A359" t="n">
        <v>-1</v>
      </c>
      <c r="B359" t="inlineStr">
        <is>
          <t>01-02-2021</t>
        </is>
      </c>
      <c r="C359" t="n">
        <v>2021</v>
      </c>
      <c r="D359" t="n">
        <v>2</v>
      </c>
      <c r="E359" t="inlineStr">
        <is>
          <t>Valdivia 13.8</t>
        </is>
      </c>
      <c r="F359" t="inlineStr">
        <is>
          <t>Saesa</t>
        </is>
      </c>
      <c r="G359" t="inlineStr">
        <is>
          <t>Saesa</t>
        </is>
      </c>
      <c r="H359" t="inlineStr">
        <is>
          <t>Empresa Eléctrica Carén S.A.</t>
        </is>
      </c>
      <c r="I359" t="inlineStr">
        <is>
          <t>Empresa Eléctrica Carén S.A.</t>
        </is>
      </c>
      <c r="J359" t="inlineStr">
        <is>
          <t>SIC 2013/03_2_BS1A_BB_SAESA_Empresa Eléctrica Carén S.A.</t>
        </is>
      </c>
      <c r="K359" t="inlineStr">
        <is>
          <t>Valdivia 13.8</t>
        </is>
      </c>
      <c r="L359" t="inlineStr">
        <is>
          <t>-1</t>
        </is>
      </c>
      <c r="M359" t="n">
        <v>2361.83300286211</v>
      </c>
      <c r="N359" t="n">
        <v>0</v>
      </c>
      <c r="O359" t="inlineStr">
        <is>
          <t>6</t>
        </is>
      </c>
      <c r="P359" s="2" t="n">
        <v>44659.60028225694</v>
      </c>
      <c r="Q359" t="n">
        <v>6</v>
      </c>
      <c r="R359" t="inlineStr">
        <is>
          <t>MELIPULLI 220</t>
        </is>
      </c>
      <c r="S359" t="n">
        <v>3.258678407979198</v>
      </c>
      <c r="T359" t="n">
        <v>222.6603863578542</v>
      </c>
      <c r="U359" t="n">
        <v>0</v>
      </c>
      <c r="V359" t="n">
        <v>0</v>
      </c>
      <c r="W359" t="inlineStr">
        <is>
          <t>SAESA</t>
        </is>
      </c>
      <c r="X359" t="n">
        <v>75.50102995238471</v>
      </c>
      <c r="Y359" t="n">
        <v>0.2226603863578542</v>
      </c>
      <c r="Z359" t="n">
        <v>246.0335760860268</v>
      </c>
      <c r="AA359" t="n">
        <v>0</v>
      </c>
      <c r="AB359" t="n">
        <v>0</v>
      </c>
      <c r="AC359" t="n">
        <v>0</v>
      </c>
      <c r="AD359" s="2" t="n">
        <v>44228</v>
      </c>
    </row>
    <row r="360">
      <c r="A360" t="n">
        <v>-1</v>
      </c>
      <c r="B360" t="inlineStr">
        <is>
          <t>01-02-2021</t>
        </is>
      </c>
      <c r="C360" t="n">
        <v>2021</v>
      </c>
      <c r="D360" t="n">
        <v>2</v>
      </c>
      <c r="E360" t="inlineStr">
        <is>
          <t>Valdivia 13.8</t>
        </is>
      </c>
      <c r="F360" t="inlineStr">
        <is>
          <t>Saesa</t>
        </is>
      </c>
      <c r="G360" t="inlineStr">
        <is>
          <t>Saesa</t>
        </is>
      </c>
      <c r="H360" t="inlineStr">
        <is>
          <t>Empresa Eléctrica Carén S.A.</t>
        </is>
      </c>
      <c r="I360" t="inlineStr">
        <is>
          <t>Empresa Eléctrica Carén S.A.</t>
        </is>
      </c>
      <c r="J360" t="inlineStr">
        <is>
          <t>SIC 2013/03_2_BS1A_BB_SAESA_Empresa Eléctrica Carén S.A.</t>
        </is>
      </c>
      <c r="K360" t="inlineStr">
        <is>
          <t>Valdivia 13.8</t>
        </is>
      </c>
      <c r="L360" t="inlineStr">
        <is>
          <t>-1</t>
        </is>
      </c>
      <c r="M360" t="n">
        <v>2361.83300286211</v>
      </c>
      <c r="N360" t="n">
        <v>0</v>
      </c>
      <c r="O360" t="inlineStr">
        <is>
          <t>6</t>
        </is>
      </c>
      <c r="P360" s="2" t="n">
        <v>44659.60028225694</v>
      </c>
      <c r="Q360" t="n">
        <v>68</v>
      </c>
      <c r="R360" t="inlineStr">
        <is>
          <t>RAHUE 220</t>
        </is>
      </c>
      <c r="S360" t="n">
        <v>220.5101461369723</v>
      </c>
      <c r="T360" t="n">
        <v>15302.05474377309</v>
      </c>
      <c r="U360" t="n">
        <v>0</v>
      </c>
      <c r="V360" t="n">
        <v>0</v>
      </c>
      <c r="W360" t="inlineStr">
        <is>
          <t>SAESA</t>
        </is>
      </c>
      <c r="X360" t="n">
        <v>76.67832106315818</v>
      </c>
      <c r="Y360" t="n">
        <v>15.30205474377309</v>
      </c>
      <c r="Z360" t="n">
        <v>16908.34778317469</v>
      </c>
      <c r="AA360" t="n">
        <v>0</v>
      </c>
      <c r="AB360" t="n">
        <v>0</v>
      </c>
      <c r="AC360" t="n">
        <v>0</v>
      </c>
      <c r="AD360" s="2" t="n">
        <v>44228</v>
      </c>
    </row>
    <row r="361">
      <c r="A361" t="n">
        <v>-1</v>
      </c>
      <c r="B361" t="inlineStr">
        <is>
          <t>01-02-2021</t>
        </is>
      </c>
      <c r="C361" t="n">
        <v>2021</v>
      </c>
      <c r="D361" t="n">
        <v>2</v>
      </c>
      <c r="E361" t="inlineStr">
        <is>
          <t>Valdivia 13.8</t>
        </is>
      </c>
      <c r="F361" t="inlineStr">
        <is>
          <t>Saesa</t>
        </is>
      </c>
      <c r="G361" t="inlineStr">
        <is>
          <t>Saesa</t>
        </is>
      </c>
      <c r="H361" t="inlineStr">
        <is>
          <t>Empresa Eléctrica Carén S.A.</t>
        </is>
      </c>
      <c r="I361" t="inlineStr">
        <is>
          <t>Empresa Eléctrica Carén S.A.</t>
        </is>
      </c>
      <c r="J361" t="inlineStr">
        <is>
          <t>SIC 2013/03_2_BS1A_BB_SAESA_Empresa Eléctrica Carén S.A.</t>
        </is>
      </c>
      <c r="K361" t="inlineStr">
        <is>
          <t>Valdivia 13.8</t>
        </is>
      </c>
      <c r="L361" t="inlineStr">
        <is>
          <t>-1</t>
        </is>
      </c>
      <c r="M361" t="n">
        <v>2361.83300286211</v>
      </c>
      <c r="N361" t="n">
        <v>0</v>
      </c>
      <c r="O361" t="inlineStr">
        <is>
          <t>6</t>
        </is>
      </c>
      <c r="P361" s="2" t="n">
        <v>44659.60028225694</v>
      </c>
      <c r="Q361" t="n">
        <v>17</v>
      </c>
      <c r="R361" t="inlineStr">
        <is>
          <t>VALDIVIA 220</t>
        </is>
      </c>
      <c r="S361" t="n">
        <v>2188.894824044959</v>
      </c>
      <c r="T361" t="n">
        <v>167169.6070756303</v>
      </c>
      <c r="U361" t="n">
        <v>0</v>
      </c>
      <c r="V361" t="n">
        <v>0</v>
      </c>
      <c r="W361" t="inlineStr">
        <is>
          <t>SAESA</t>
        </is>
      </c>
      <c r="X361" t="n">
        <v>84.38861284905238</v>
      </c>
      <c r="Y361" t="n">
        <v>167.1696070756303</v>
      </c>
      <c r="Z361" t="n">
        <v>184717.7978736247</v>
      </c>
      <c r="AA361" t="n">
        <v>0</v>
      </c>
      <c r="AB361" t="n">
        <v>0</v>
      </c>
      <c r="AC361" t="n">
        <v>0</v>
      </c>
      <c r="AD361" s="2" t="n">
        <v>44228</v>
      </c>
    </row>
    <row r="362">
      <c r="A362" t="n">
        <v>-1</v>
      </c>
      <c r="B362" t="inlineStr">
        <is>
          <t>01-03-2021</t>
        </is>
      </c>
      <c r="C362" t="n">
        <v>2021</v>
      </c>
      <c r="D362" t="n">
        <v>3</v>
      </c>
      <c r="E362" t="inlineStr">
        <is>
          <t>Aihuapi 023</t>
        </is>
      </c>
      <c r="F362" t="inlineStr">
        <is>
          <t>Saesa</t>
        </is>
      </c>
      <c r="G362" t="inlineStr">
        <is>
          <t>Saesa</t>
        </is>
      </c>
      <c r="H362" t="inlineStr">
        <is>
          <t>Empresa Eléctrica Carén S.A.</t>
        </is>
      </c>
      <c r="I362" t="inlineStr">
        <is>
          <t>Empresa Eléctrica Carén S.A.</t>
        </is>
      </c>
      <c r="J362" t="inlineStr">
        <is>
          <t>SIC 2013/03_2_BS1A_BB_SAESA_Empresa Eléctrica Carén S.A.</t>
        </is>
      </c>
      <c r="K362" t="inlineStr">
        <is>
          <t>Aihuapi 023</t>
        </is>
      </c>
      <c r="L362" t="inlineStr">
        <is>
          <t>-1</t>
        </is>
      </c>
      <c r="M362" t="n">
        <v>68.09861971356483</v>
      </c>
      <c r="N362" t="n">
        <v>0</v>
      </c>
      <c r="O362" t="inlineStr">
        <is>
          <t>6</t>
        </is>
      </c>
      <c r="P362" s="2" t="n">
        <v>44659.60028225694</v>
      </c>
      <c r="Q362" t="n">
        <v>68</v>
      </c>
      <c r="R362" t="inlineStr">
        <is>
          <t>RAHUE 220</t>
        </is>
      </c>
      <c r="S362" t="n">
        <v>69.56421732737482</v>
      </c>
      <c r="T362" t="n">
        <v>4827.330988615861</v>
      </c>
      <c r="U362" t="n">
        <v>0</v>
      </c>
      <c r="V362" t="n">
        <v>0</v>
      </c>
      <c r="W362" t="inlineStr">
        <is>
          <t>SAESA</t>
        </is>
      </c>
      <c r="X362" t="n">
        <v>76.67832106315818</v>
      </c>
      <c r="Y362" t="n">
        <v>4.827330988615861</v>
      </c>
      <c r="Z362" t="n">
        <v>5334.067390735758</v>
      </c>
      <c r="AA362" t="n">
        <v>0</v>
      </c>
      <c r="AB362" t="n">
        <v>0</v>
      </c>
      <c r="AC362" t="n">
        <v>0</v>
      </c>
      <c r="AD362" s="2" t="n">
        <v>44256</v>
      </c>
    </row>
    <row r="363">
      <c r="A363" t="n">
        <v>-1</v>
      </c>
      <c r="B363" t="inlineStr">
        <is>
          <t>01-03-2021</t>
        </is>
      </c>
      <c r="C363" t="n">
        <v>2021</v>
      </c>
      <c r="D363" t="n">
        <v>3</v>
      </c>
      <c r="E363" t="inlineStr">
        <is>
          <t>Alto Bonito 023</t>
        </is>
      </c>
      <c r="F363" t="inlineStr">
        <is>
          <t>Saesa</t>
        </is>
      </c>
      <c r="G363" t="inlineStr">
        <is>
          <t>Saesa</t>
        </is>
      </c>
      <c r="H363" t="inlineStr">
        <is>
          <t>Empresa Eléctrica Carén S.A.</t>
        </is>
      </c>
      <c r="I363" t="inlineStr">
        <is>
          <t>Empresa Eléctrica Carén S.A.</t>
        </is>
      </c>
      <c r="J363" t="inlineStr">
        <is>
          <t>SIC 2013/03_2_BS1A_BB_SAESA_Empresa Eléctrica Carén S.A.</t>
        </is>
      </c>
      <c r="K363" t="inlineStr">
        <is>
          <t>Alto Bonito 023</t>
        </is>
      </c>
      <c r="L363" t="inlineStr">
        <is>
          <t>-1</t>
        </is>
      </c>
      <c r="M363" t="n">
        <v>2397.743952107492</v>
      </c>
      <c r="N363" t="n">
        <v>0</v>
      </c>
      <c r="O363" t="inlineStr">
        <is>
          <t>6</t>
        </is>
      </c>
      <c r="P363" s="2" t="n">
        <v>44659.60028225694</v>
      </c>
      <c r="Q363" t="n">
        <v>6</v>
      </c>
      <c r="R363" t="inlineStr">
        <is>
          <t>MELIPULLI 220</t>
        </is>
      </c>
      <c r="S363" t="n">
        <v>2449.347462274323</v>
      </c>
      <c r="T363" t="n">
        <v>167360.0717822389</v>
      </c>
      <c r="U363" t="n">
        <v>0</v>
      </c>
      <c r="V363" t="n">
        <v>0</v>
      </c>
      <c r="W363" t="inlineStr">
        <is>
          <t>SAESA</t>
        </is>
      </c>
      <c r="X363" t="n">
        <v>75.5010299523847</v>
      </c>
      <c r="Y363" t="n">
        <v>167.3600717822389</v>
      </c>
      <c r="Z363" t="n">
        <v>184928.2561129711</v>
      </c>
      <c r="AA363" t="n">
        <v>0</v>
      </c>
      <c r="AB363" t="n">
        <v>0</v>
      </c>
      <c r="AC363" t="n">
        <v>0</v>
      </c>
      <c r="AD363" s="2" t="n">
        <v>44256</v>
      </c>
    </row>
    <row r="364">
      <c r="A364" t="n">
        <v>-1</v>
      </c>
      <c r="B364" t="inlineStr">
        <is>
          <t>01-03-2021</t>
        </is>
      </c>
      <c r="C364" t="n">
        <v>2021</v>
      </c>
      <c r="D364" t="n">
        <v>3</v>
      </c>
      <c r="E364" t="inlineStr">
        <is>
          <t>Ancud 023</t>
        </is>
      </c>
      <c r="F364" t="inlineStr">
        <is>
          <t>Saesa</t>
        </is>
      </c>
      <c r="G364" t="inlineStr">
        <is>
          <t>Saesa</t>
        </is>
      </c>
      <c r="H364" t="inlineStr">
        <is>
          <t>Empresa Eléctrica Carén S.A.</t>
        </is>
      </c>
      <c r="I364" t="inlineStr">
        <is>
          <t>Empresa Eléctrica Carén S.A.</t>
        </is>
      </c>
      <c r="J364" t="inlineStr">
        <is>
          <t>SIC 2013/03_2_BS1A_BB_SAESA_Empresa Eléctrica Carén S.A.</t>
        </is>
      </c>
      <c r="K364" t="inlineStr">
        <is>
          <t>Ancud 023</t>
        </is>
      </c>
      <c r="L364" t="inlineStr">
        <is>
          <t>-1</t>
        </is>
      </c>
      <c r="M364" t="n">
        <v>1872.933608642662</v>
      </c>
      <c r="N364" t="n">
        <v>0</v>
      </c>
      <c r="O364" t="inlineStr">
        <is>
          <t>6</t>
        </is>
      </c>
      <c r="P364" s="2" t="n">
        <v>44659.60028225694</v>
      </c>
      <c r="Q364" t="n">
        <v>24</v>
      </c>
      <c r="R364" t="inlineStr">
        <is>
          <t>CHILOE 220</t>
        </is>
      </c>
      <c r="S364" t="n">
        <v>1913.242311509138</v>
      </c>
      <c r="T364" t="n">
        <v>132383.0084149405</v>
      </c>
      <c r="U364" t="n">
        <v>0</v>
      </c>
      <c r="V364" t="n">
        <v>0</v>
      </c>
      <c r="W364" t="inlineStr">
        <is>
          <t>SAESA</t>
        </is>
      </c>
      <c r="X364" t="n">
        <v>76.4563727392916</v>
      </c>
      <c r="Y364" t="n">
        <v>132.3830084149405</v>
      </c>
      <c r="Z364" t="n">
        <v>146279.5673093265</v>
      </c>
      <c r="AA364" t="n">
        <v>0</v>
      </c>
      <c r="AB364" t="n">
        <v>0</v>
      </c>
      <c r="AC364" t="n">
        <v>0</v>
      </c>
      <c r="AD364" s="2" t="n">
        <v>44256</v>
      </c>
    </row>
    <row r="365">
      <c r="A365" t="n">
        <v>-1</v>
      </c>
      <c r="B365" t="inlineStr">
        <is>
          <t>01-03-2021</t>
        </is>
      </c>
      <c r="C365" t="n">
        <v>2021</v>
      </c>
      <c r="D365" t="n">
        <v>3</v>
      </c>
      <c r="E365" t="inlineStr">
        <is>
          <t>Armazones 023</t>
        </is>
      </c>
      <c r="F365" t="inlineStr">
        <is>
          <t>Saesa</t>
        </is>
      </c>
      <c r="G365" t="inlineStr">
        <is>
          <t>Saesa</t>
        </is>
      </c>
      <c r="H365" t="inlineStr">
        <is>
          <t>Empresa Eléctrica Carén S.A.</t>
        </is>
      </c>
      <c r="I365" t="inlineStr">
        <is>
          <t>Empresa Eléctrica Carén S.A.</t>
        </is>
      </c>
      <c r="J365" t="inlineStr">
        <is>
          <t>SIC 2013/03_2_BS1A_BB_SAESA_Empresa Eléctrica Carén S.A.</t>
        </is>
      </c>
      <c r="K365" t="inlineStr">
        <is>
          <t>Armazones 023</t>
        </is>
      </c>
      <c r="L365" t="inlineStr">
        <is>
          <t>-1</t>
        </is>
      </c>
      <c r="M365" t="n">
        <v>514.7189392943784</v>
      </c>
      <c r="N365" t="n">
        <v>0</v>
      </c>
      <c r="O365" t="inlineStr">
        <is>
          <t>2</t>
        </is>
      </c>
      <c r="P365" s="2" t="n">
        <v>44659.60028225694</v>
      </c>
      <c r="Q365" t="n">
        <v>12</v>
      </c>
      <c r="R365" t="inlineStr">
        <is>
          <t>DIEGO DE ALMAGRO 220</t>
        </is>
      </c>
      <c r="S365" t="n">
        <v>528.0338255521559</v>
      </c>
      <c r="T365" t="n">
        <v>42120.67913194613</v>
      </c>
      <c r="U365" t="n">
        <v>0</v>
      </c>
      <c r="V365" t="n">
        <v>0</v>
      </c>
      <c r="W365" t="inlineStr">
        <is>
          <t>SAESA</t>
        </is>
      </c>
      <c r="X365" t="n">
        <v>88.14243450684235</v>
      </c>
      <c r="Y365" t="n">
        <v>42.12067913194613</v>
      </c>
      <c r="Z365" t="n">
        <v>46542.18688612832</v>
      </c>
      <c r="AA365" t="n">
        <v>0</v>
      </c>
      <c r="AB365" t="n">
        <v>0</v>
      </c>
      <c r="AC365" t="n">
        <v>0</v>
      </c>
      <c r="AD365" s="2" t="n">
        <v>44256</v>
      </c>
    </row>
    <row r="366">
      <c r="A366" t="n">
        <v>-1</v>
      </c>
      <c r="B366" t="inlineStr">
        <is>
          <t>01-03-2021</t>
        </is>
      </c>
      <c r="C366" t="n">
        <v>2021</v>
      </c>
      <c r="D366" t="n">
        <v>3</v>
      </c>
      <c r="E366" t="inlineStr">
        <is>
          <t>Barro Blanco 023</t>
        </is>
      </c>
      <c r="F366" t="inlineStr">
        <is>
          <t>Saesa</t>
        </is>
      </c>
      <c r="G366" t="inlineStr">
        <is>
          <t>Saesa</t>
        </is>
      </c>
      <c r="H366" t="inlineStr">
        <is>
          <t>Empresa Eléctrica Carén S.A.</t>
        </is>
      </c>
      <c r="I366" t="inlineStr">
        <is>
          <t>Empresa Eléctrica Carén S.A.</t>
        </is>
      </c>
      <c r="J366" t="inlineStr">
        <is>
          <t>SIC 2013/03_2_BS1A_BB_SAESA_Empresa Eléctrica Carén S.A.</t>
        </is>
      </c>
      <c r="K366" t="inlineStr">
        <is>
          <t>Barro Blanco 023</t>
        </is>
      </c>
      <c r="L366" t="inlineStr">
        <is>
          <t>-1</t>
        </is>
      </c>
      <c r="M366" t="n">
        <v>1381.022476662365</v>
      </c>
      <c r="N366" t="n">
        <v>0</v>
      </c>
      <c r="O366" t="inlineStr">
        <is>
          <t>6</t>
        </is>
      </c>
      <c r="P366" s="2" t="n">
        <v>44659.60028225694</v>
      </c>
      <c r="Q366" t="n">
        <v>6</v>
      </c>
      <c r="R366" t="inlineStr">
        <is>
          <t>MELIPULLI 220</t>
        </is>
      </c>
      <c r="S366" t="n">
        <v>22.86949641491361</v>
      </c>
      <c r="T366" t="n">
        <v>1562.636833105604</v>
      </c>
      <c r="U366" t="n">
        <v>0</v>
      </c>
      <c r="V366" t="n">
        <v>0</v>
      </c>
      <c r="W366" t="inlineStr">
        <is>
          <t>SAESA</t>
        </is>
      </c>
      <c r="X366" t="n">
        <v>75.50102995238471</v>
      </c>
      <c r="Y366" t="n">
        <v>1.562636833105604</v>
      </c>
      <c r="Z366" t="n">
        <v>1726.670533818347</v>
      </c>
      <c r="AA366" t="n">
        <v>0</v>
      </c>
      <c r="AB366" t="n">
        <v>0</v>
      </c>
      <c r="AC366" t="n">
        <v>0</v>
      </c>
      <c r="AD366" s="2" t="n">
        <v>44256</v>
      </c>
    </row>
    <row r="367">
      <c r="A367" t="n">
        <v>-1</v>
      </c>
      <c r="B367" t="inlineStr">
        <is>
          <t>01-03-2021</t>
        </is>
      </c>
      <c r="C367" t="n">
        <v>2021</v>
      </c>
      <c r="D367" t="n">
        <v>3</v>
      </c>
      <c r="E367" t="inlineStr">
        <is>
          <t>Barro Blanco 023</t>
        </is>
      </c>
      <c r="F367" t="inlineStr">
        <is>
          <t>Saesa</t>
        </is>
      </c>
      <c r="G367" t="inlineStr">
        <is>
          <t>Saesa</t>
        </is>
      </c>
      <c r="H367" t="inlineStr">
        <is>
          <t>Empresa Eléctrica Carén S.A.</t>
        </is>
      </c>
      <c r="I367" t="inlineStr">
        <is>
          <t>Empresa Eléctrica Carén S.A.</t>
        </is>
      </c>
      <c r="J367" t="inlineStr">
        <is>
          <t>SIC 2013/03_2_BS1A_BB_SAESA_Empresa Eléctrica Carén S.A.</t>
        </is>
      </c>
      <c r="K367" t="inlineStr">
        <is>
          <t>Barro Blanco 023</t>
        </is>
      </c>
      <c r="L367" t="inlineStr">
        <is>
          <t>-1</t>
        </is>
      </c>
      <c r="M367" t="n">
        <v>1381.022476662365</v>
      </c>
      <c r="N367" t="n">
        <v>0</v>
      </c>
      <c r="O367" t="inlineStr">
        <is>
          <t>6</t>
        </is>
      </c>
      <c r="P367" s="2" t="n">
        <v>44659.60028225694</v>
      </c>
      <c r="Q367" t="n">
        <v>68</v>
      </c>
      <c r="R367" t="inlineStr">
        <is>
          <t>RAHUE 220</t>
        </is>
      </c>
      <c r="S367" t="n">
        <v>1379.990391211996</v>
      </c>
      <c r="T367" t="n">
        <v>95762.88838469119</v>
      </c>
      <c r="U367" t="n">
        <v>0</v>
      </c>
      <c r="V367" t="n">
        <v>0</v>
      </c>
      <c r="W367" t="inlineStr">
        <is>
          <t>SAESA</t>
        </is>
      </c>
      <c r="X367" t="n">
        <v>76.67832106315819</v>
      </c>
      <c r="Y367" t="n">
        <v>95.76288838469121</v>
      </c>
      <c r="Z367" t="n">
        <v>105815.3462814267</v>
      </c>
      <c r="AA367" t="n">
        <v>0</v>
      </c>
      <c r="AB367" t="n">
        <v>0</v>
      </c>
      <c r="AC367" t="n">
        <v>0</v>
      </c>
      <c r="AD367" s="2" t="n">
        <v>44256</v>
      </c>
    </row>
    <row r="368">
      <c r="A368" t="n">
        <v>-1</v>
      </c>
      <c r="B368" t="inlineStr">
        <is>
          <t>01-03-2021</t>
        </is>
      </c>
      <c r="C368" t="n">
        <v>2021</v>
      </c>
      <c r="D368" t="n">
        <v>3</v>
      </c>
      <c r="E368" t="inlineStr">
        <is>
          <t>Barro Blanco 023</t>
        </is>
      </c>
      <c r="F368" t="inlineStr">
        <is>
          <t>Saesa</t>
        </is>
      </c>
      <c r="G368" t="inlineStr">
        <is>
          <t>Saesa</t>
        </is>
      </c>
      <c r="H368" t="inlineStr">
        <is>
          <t>Empresa Eléctrica Carén S.A.</t>
        </is>
      </c>
      <c r="I368" t="inlineStr">
        <is>
          <t>Empresa Eléctrica Carén S.A.</t>
        </is>
      </c>
      <c r="J368" t="inlineStr">
        <is>
          <t>SIC 2013/03_2_BS1A_BB_SAESA_Empresa Eléctrica Carén S.A.</t>
        </is>
      </c>
      <c r="K368" t="inlineStr">
        <is>
          <t>Barro Blanco 023</t>
        </is>
      </c>
      <c r="L368" t="inlineStr">
        <is>
          <t>-1</t>
        </is>
      </c>
      <c r="M368" t="n">
        <v>1381.022476662365</v>
      </c>
      <c r="N368" t="n">
        <v>0</v>
      </c>
      <c r="O368" t="inlineStr">
        <is>
          <t>6</t>
        </is>
      </c>
      <c r="P368" s="2" t="n">
        <v>44659.60028225694</v>
      </c>
      <c r="Q368" t="n">
        <v>17</v>
      </c>
      <c r="R368" t="inlineStr">
        <is>
          <t>VALDIVIA 220</t>
        </is>
      </c>
      <c r="S368" t="n">
        <v>7.884531343944726</v>
      </c>
      <c r="T368" t="n">
        <v>602.155020087735</v>
      </c>
      <c r="U368" t="n">
        <v>0</v>
      </c>
      <c r="V368" t="n">
        <v>0</v>
      </c>
      <c r="W368" t="inlineStr">
        <is>
          <t>SAESA</t>
        </is>
      </c>
      <c r="X368" t="n">
        <v>84.38861284905238</v>
      </c>
      <c r="Y368" t="n">
        <v>0.602155020087735</v>
      </c>
      <c r="Z368" t="n">
        <v>665.3646630803702</v>
      </c>
      <c r="AA368" t="n">
        <v>0</v>
      </c>
      <c r="AB368" t="n">
        <v>0</v>
      </c>
      <c r="AC368" t="n">
        <v>0</v>
      </c>
      <c r="AD368" s="2" t="n">
        <v>44256</v>
      </c>
    </row>
    <row r="369">
      <c r="A369" t="n">
        <v>-1</v>
      </c>
      <c r="B369" t="inlineStr">
        <is>
          <t>01-03-2021</t>
        </is>
      </c>
      <c r="C369" t="n">
        <v>2021</v>
      </c>
      <c r="D369" t="n">
        <v>3</v>
      </c>
      <c r="E369" t="inlineStr">
        <is>
          <t>Calbuco 023</t>
        </is>
      </c>
      <c r="F369" t="inlineStr">
        <is>
          <t>Saesa</t>
        </is>
      </c>
      <c r="G369" t="inlineStr">
        <is>
          <t>Saesa</t>
        </is>
      </c>
      <c r="H369" t="inlineStr">
        <is>
          <t>Empresa Eléctrica Carén S.A.</t>
        </is>
      </c>
      <c r="I369" t="inlineStr">
        <is>
          <t>Empresa Eléctrica Carén S.A.</t>
        </is>
      </c>
      <c r="J369" t="inlineStr">
        <is>
          <t>SIC 2013/03_2_BS1A_BB_SAESA_Empresa Eléctrica Carén S.A.</t>
        </is>
      </c>
      <c r="K369" t="inlineStr">
        <is>
          <t>Calbuco 023</t>
        </is>
      </c>
      <c r="L369" t="inlineStr">
        <is>
          <t>-1</t>
        </is>
      </c>
      <c r="M369" t="n">
        <v>828.706522088725</v>
      </c>
      <c r="N369" t="n">
        <v>0</v>
      </c>
      <c r="O369" t="inlineStr">
        <is>
          <t>6</t>
        </is>
      </c>
      <c r="P369" s="2" t="n">
        <v>44659.60028225694</v>
      </c>
      <c r="Q369" t="n">
        <v>6</v>
      </c>
      <c r="R369" t="inlineStr">
        <is>
          <t>MELIPULLI 220</t>
        </is>
      </c>
      <c r="S369" t="n">
        <v>846.54168976805</v>
      </c>
      <c r="T369" t="n">
        <v>57842.86637498351</v>
      </c>
      <c r="U369" t="n">
        <v>0</v>
      </c>
      <c r="V369" t="n">
        <v>0</v>
      </c>
      <c r="W369" t="inlineStr">
        <is>
          <t>SAESA</t>
        </is>
      </c>
      <c r="X369" t="n">
        <v>75.5010299523847</v>
      </c>
      <c r="Y369" t="n">
        <v>57.84286637498352</v>
      </c>
      <c r="Z369" t="n">
        <v>63914.7694751199</v>
      </c>
      <c r="AA369" t="n">
        <v>0</v>
      </c>
      <c r="AB369" t="n">
        <v>0</v>
      </c>
      <c r="AC369" t="n">
        <v>0</v>
      </c>
      <c r="AD369" s="2" t="n">
        <v>44256</v>
      </c>
    </row>
    <row r="370">
      <c r="A370" t="n">
        <v>-1</v>
      </c>
      <c r="B370" t="inlineStr">
        <is>
          <t>01-03-2021</t>
        </is>
      </c>
      <c r="C370" t="n">
        <v>2021</v>
      </c>
      <c r="D370" t="n">
        <v>3</v>
      </c>
      <c r="E370" t="inlineStr">
        <is>
          <t>Castro 023</t>
        </is>
      </c>
      <c r="F370" t="inlineStr">
        <is>
          <t>Saesa</t>
        </is>
      </c>
      <c r="G370" t="inlineStr">
        <is>
          <t>Saesa</t>
        </is>
      </c>
      <c r="H370" t="inlineStr">
        <is>
          <t>Empresa Eléctrica Carén S.A.</t>
        </is>
      </c>
      <c r="I370" t="inlineStr">
        <is>
          <t>Empresa Eléctrica Carén S.A.</t>
        </is>
      </c>
      <c r="J370" t="inlineStr">
        <is>
          <t>SIC 2013/03_2_BS1A_BB_SAESA_Empresa Eléctrica Carén S.A.</t>
        </is>
      </c>
      <c r="K370" t="inlineStr">
        <is>
          <t>Castro 023</t>
        </is>
      </c>
      <c r="L370" t="inlineStr">
        <is>
          <t>-1</t>
        </is>
      </c>
      <c r="M370" t="n">
        <v>1732.43009823519</v>
      </c>
      <c r="N370" t="n">
        <v>0</v>
      </c>
      <c r="O370" t="inlineStr">
        <is>
          <t>6</t>
        </is>
      </c>
      <c r="P370" s="2" t="n">
        <v>44659.60028225694</v>
      </c>
      <c r="Q370" t="n">
        <v>24</v>
      </c>
      <c r="R370" t="inlineStr">
        <is>
          <t>CHILOE 220</t>
        </is>
      </c>
      <c r="S370" t="n">
        <v>1769.714927630349</v>
      </c>
      <c r="T370" t="n">
        <v>122451.915655021</v>
      </c>
      <c r="U370" t="n">
        <v>0</v>
      </c>
      <c r="V370" t="n">
        <v>0</v>
      </c>
      <c r="W370" t="inlineStr">
        <is>
          <t>SAESA</t>
        </is>
      </c>
      <c r="X370" t="n">
        <v>76.4563727392916</v>
      </c>
      <c r="Y370" t="n">
        <v>122.451915655021</v>
      </c>
      <c r="Z370" t="n">
        <v>135305.9841491944</v>
      </c>
      <c r="AA370" t="n">
        <v>0</v>
      </c>
      <c r="AB370" t="n">
        <v>0</v>
      </c>
      <c r="AC370" t="n">
        <v>0</v>
      </c>
      <c r="AD370" s="2" t="n">
        <v>44256</v>
      </c>
    </row>
    <row r="371">
      <c r="A371" t="n">
        <v>-1</v>
      </c>
      <c r="B371" t="inlineStr">
        <is>
          <t>01-03-2021</t>
        </is>
      </c>
      <c r="C371" t="n">
        <v>2021</v>
      </c>
      <c r="D371" t="n">
        <v>3</v>
      </c>
      <c r="E371" t="inlineStr">
        <is>
          <t>Chirre 23</t>
        </is>
      </c>
      <c r="F371" t="inlineStr">
        <is>
          <t>Saesa</t>
        </is>
      </c>
      <c r="G371" t="inlineStr">
        <is>
          <t>Saesa</t>
        </is>
      </c>
      <c r="H371" t="inlineStr">
        <is>
          <t>Empresa Eléctrica Carén S.A.</t>
        </is>
      </c>
      <c r="I371" t="inlineStr">
        <is>
          <t>Empresa Eléctrica Carén S.A.</t>
        </is>
      </c>
      <c r="J371" t="inlineStr">
        <is>
          <t>SIC 2013/03_2_BS1A_BB_SAESA_Empresa Eléctrica Carén S.A.</t>
        </is>
      </c>
      <c r="K371" t="inlineStr">
        <is>
          <t>Chirre 23</t>
        </is>
      </c>
      <c r="L371" t="inlineStr">
        <is>
          <t>-1</t>
        </is>
      </c>
      <c r="M371" t="n">
        <v>981.174070912939</v>
      </c>
      <c r="N371" t="n">
        <v>0</v>
      </c>
      <c r="O371" t="inlineStr">
        <is>
          <t>6</t>
        </is>
      </c>
      <c r="P371" s="2" t="n">
        <v>44659.60028225694</v>
      </c>
      <c r="Q371" t="n">
        <v>68</v>
      </c>
      <c r="R371" t="inlineStr">
        <is>
          <t>RAHUE 220</t>
        </is>
      </c>
      <c r="S371" t="n">
        <v>1002.290598430101</v>
      </c>
      <c r="T371" t="n">
        <v>69552.83407603245</v>
      </c>
      <c r="U371" t="n">
        <v>0</v>
      </c>
      <c r="V371" t="n">
        <v>0</v>
      </c>
      <c r="W371" t="inlineStr">
        <is>
          <t>SAESA</t>
        </is>
      </c>
      <c r="X371" t="n">
        <v>76.67832106315818</v>
      </c>
      <c r="Y371" t="n">
        <v>69.55283407603245</v>
      </c>
      <c r="Z371" t="n">
        <v>76853.96030500822</v>
      </c>
      <c r="AA371" t="n">
        <v>0</v>
      </c>
      <c r="AB371" t="n">
        <v>0</v>
      </c>
      <c r="AC371" t="n">
        <v>0</v>
      </c>
      <c r="AD371" s="2" t="n">
        <v>44256</v>
      </c>
    </row>
    <row r="372">
      <c r="A372" t="n">
        <v>-1</v>
      </c>
      <c r="B372" t="inlineStr">
        <is>
          <t>01-03-2021</t>
        </is>
      </c>
      <c r="C372" t="n">
        <v>2021</v>
      </c>
      <c r="D372" t="n">
        <v>3</v>
      </c>
      <c r="E372" t="inlineStr">
        <is>
          <t>Chonchi 023</t>
        </is>
      </c>
      <c r="F372" t="inlineStr">
        <is>
          <t>Saesa</t>
        </is>
      </c>
      <c r="G372" t="inlineStr">
        <is>
          <t>Saesa</t>
        </is>
      </c>
      <c r="H372" t="inlineStr">
        <is>
          <t>Empresa Eléctrica Carén S.A.</t>
        </is>
      </c>
      <c r="I372" t="inlineStr">
        <is>
          <t>Empresa Eléctrica Carén S.A.</t>
        </is>
      </c>
      <c r="J372" t="inlineStr">
        <is>
          <t>SIC 2013/03_2_BS1A_BB_SAESA_Empresa Eléctrica Carén S.A.</t>
        </is>
      </c>
      <c r="K372" t="inlineStr">
        <is>
          <t>Chonchi 023</t>
        </is>
      </c>
      <c r="L372" t="inlineStr">
        <is>
          <t>-1</t>
        </is>
      </c>
      <c r="M372" t="n">
        <v>1197.483944897582</v>
      </c>
      <c r="N372" t="n">
        <v>0</v>
      </c>
      <c r="O372" t="inlineStr">
        <is>
          <t>6</t>
        </is>
      </c>
      <c r="P372" s="2" t="n">
        <v>44659.60028225694</v>
      </c>
      <c r="Q372" t="n">
        <v>24</v>
      </c>
      <c r="R372" t="inlineStr">
        <is>
          <t>CHILOE 220</t>
        </is>
      </c>
      <c r="S372" t="n">
        <v>1223.255827200037</v>
      </c>
      <c r="T372" t="n">
        <v>84640.76164932446</v>
      </c>
      <c r="U372" t="n">
        <v>0</v>
      </c>
      <c r="V372" t="n">
        <v>0</v>
      </c>
      <c r="W372" t="inlineStr">
        <is>
          <t>SAESA</t>
        </is>
      </c>
      <c r="X372" t="n">
        <v>76.4563727392916</v>
      </c>
      <c r="Y372" t="n">
        <v>84.64076164932446</v>
      </c>
      <c r="Z372" t="n">
        <v>93525.70347991653</v>
      </c>
      <c r="AA372" t="n">
        <v>0</v>
      </c>
      <c r="AB372" t="n">
        <v>0</v>
      </c>
      <c r="AC372" t="n">
        <v>0</v>
      </c>
      <c r="AD372" s="2" t="n">
        <v>44256</v>
      </c>
    </row>
    <row r="373">
      <c r="A373" t="n">
        <v>-1</v>
      </c>
      <c r="B373" t="inlineStr">
        <is>
          <t>01-03-2021</t>
        </is>
      </c>
      <c r="C373" t="n">
        <v>2021</v>
      </c>
      <c r="D373" t="n">
        <v>3</v>
      </c>
      <c r="E373" t="inlineStr">
        <is>
          <t>Colaco 023</t>
        </is>
      </c>
      <c r="F373" t="inlineStr">
        <is>
          <t>Saesa</t>
        </is>
      </c>
      <c r="G373" t="inlineStr">
        <is>
          <t>Saesa</t>
        </is>
      </c>
      <c r="H373" t="inlineStr">
        <is>
          <t>Empresa Eléctrica Carén S.A.</t>
        </is>
      </c>
      <c r="I373" t="inlineStr">
        <is>
          <t>Empresa Eléctrica Carén S.A.</t>
        </is>
      </c>
      <c r="J373" t="inlineStr">
        <is>
          <t>SIC 2013/03_2_BS1A_BB_SAESA_Empresa Eléctrica Carén S.A.</t>
        </is>
      </c>
      <c r="K373" t="inlineStr">
        <is>
          <t>Colaco 023</t>
        </is>
      </c>
      <c r="L373" t="inlineStr">
        <is>
          <t>-1</t>
        </is>
      </c>
      <c r="M373" t="n">
        <v>964.1617749289185</v>
      </c>
      <c r="N373" t="n">
        <v>0</v>
      </c>
      <c r="O373" t="inlineStr">
        <is>
          <t>6</t>
        </is>
      </c>
      <c r="P373" s="2" t="n">
        <v>44659.60028225694</v>
      </c>
      <c r="Q373" t="n">
        <v>6</v>
      </c>
      <c r="R373" t="inlineStr">
        <is>
          <t>MELIPULLI 220</t>
        </is>
      </c>
      <c r="S373" t="n">
        <v>984.9121690280393</v>
      </c>
      <c r="T373" t="n">
        <v>67297.50427270005</v>
      </c>
      <c r="U373" t="n">
        <v>0</v>
      </c>
      <c r="V373" t="n">
        <v>0</v>
      </c>
      <c r="W373" t="inlineStr">
        <is>
          <t>SAESA</t>
        </is>
      </c>
      <c r="X373" t="n">
        <v>75.50102995238471</v>
      </c>
      <c r="Y373" t="n">
        <v>67.29750427270004</v>
      </c>
      <c r="Z373" t="n">
        <v>74361.8831742542</v>
      </c>
      <c r="AA373" t="n">
        <v>0</v>
      </c>
      <c r="AB373" t="n">
        <v>0</v>
      </c>
      <c r="AC373" t="n">
        <v>0</v>
      </c>
      <c r="AD373" s="2" t="n">
        <v>44256</v>
      </c>
    </row>
    <row r="374">
      <c r="A374" t="n">
        <v>-1</v>
      </c>
      <c r="B374" t="inlineStr">
        <is>
          <t>01-03-2021</t>
        </is>
      </c>
      <c r="C374" t="n">
        <v>2021</v>
      </c>
      <c r="D374" t="n">
        <v>3</v>
      </c>
      <c r="E374" t="inlineStr">
        <is>
          <t>Corral 13.8</t>
        </is>
      </c>
      <c r="F374" t="inlineStr">
        <is>
          <t>Saesa</t>
        </is>
      </c>
      <c r="G374" t="inlineStr">
        <is>
          <t>Saesa</t>
        </is>
      </c>
      <c r="H374" t="inlineStr">
        <is>
          <t>Empresa Eléctrica Carén S.A.</t>
        </is>
      </c>
      <c r="I374" t="inlineStr">
        <is>
          <t>Empresa Eléctrica Carén S.A.</t>
        </is>
      </c>
      <c r="J374" t="inlineStr">
        <is>
          <t>SIC 2013/03_2_BS1A_BB_SAESA_Empresa Eléctrica Carén S.A.</t>
        </is>
      </c>
      <c r="K374" t="inlineStr">
        <is>
          <t>Corral 13.8</t>
        </is>
      </c>
      <c r="L374" t="inlineStr">
        <is>
          <t>-1</t>
        </is>
      </c>
      <c r="M374" t="n">
        <v>310.0085388082772</v>
      </c>
      <c r="N374" t="n">
        <v>0</v>
      </c>
      <c r="O374" t="inlineStr">
        <is>
          <t>6</t>
        </is>
      </c>
      <c r="P374" s="2" t="n">
        <v>44659.60028225694</v>
      </c>
      <c r="Q374" t="n">
        <v>6</v>
      </c>
      <c r="R374" t="inlineStr">
        <is>
          <t>MELIPULLI 220</t>
        </is>
      </c>
      <c r="S374" t="n">
        <v>0.481858244044936</v>
      </c>
      <c r="T374" t="n">
        <v>32.9246183133784</v>
      </c>
      <c r="U374" t="n">
        <v>0</v>
      </c>
      <c r="V374" t="n">
        <v>0</v>
      </c>
      <c r="W374" t="inlineStr">
        <is>
          <t>SAESA</t>
        </is>
      </c>
      <c r="X374" t="n">
        <v>75.50102995238471</v>
      </c>
      <c r="Y374" t="n">
        <v>0.0329246183133784</v>
      </c>
      <c r="Z374" t="n">
        <v>36.38079371644022</v>
      </c>
      <c r="AA374" t="n">
        <v>0</v>
      </c>
      <c r="AB374" t="n">
        <v>0</v>
      </c>
      <c r="AC374" t="n">
        <v>0</v>
      </c>
      <c r="AD374" s="2" t="n">
        <v>44256</v>
      </c>
    </row>
    <row r="375">
      <c r="A375" t="n">
        <v>-1</v>
      </c>
      <c r="B375" t="inlineStr">
        <is>
          <t>01-03-2021</t>
        </is>
      </c>
      <c r="C375" t="n">
        <v>2021</v>
      </c>
      <c r="D375" t="n">
        <v>3</v>
      </c>
      <c r="E375" t="inlineStr">
        <is>
          <t>Corral 13.8</t>
        </is>
      </c>
      <c r="F375" t="inlineStr">
        <is>
          <t>Saesa</t>
        </is>
      </c>
      <c r="G375" t="inlineStr">
        <is>
          <t>Saesa</t>
        </is>
      </c>
      <c r="H375" t="inlineStr">
        <is>
          <t>Empresa Eléctrica Carén S.A.</t>
        </is>
      </c>
      <c r="I375" t="inlineStr">
        <is>
          <t>Empresa Eléctrica Carén S.A.</t>
        </is>
      </c>
      <c r="J375" t="inlineStr">
        <is>
          <t>SIC 2013/03_2_BS1A_BB_SAESA_Empresa Eléctrica Carén S.A.</t>
        </is>
      </c>
      <c r="K375" t="inlineStr">
        <is>
          <t>Corral 13.8</t>
        </is>
      </c>
      <c r="L375" t="inlineStr">
        <is>
          <t>-1</t>
        </is>
      </c>
      <c r="M375" t="n">
        <v>310.0085388082772</v>
      </c>
      <c r="N375" t="n">
        <v>0</v>
      </c>
      <c r="O375" t="inlineStr">
        <is>
          <t>6</t>
        </is>
      </c>
      <c r="P375" s="2" t="n">
        <v>44659.60028225694</v>
      </c>
      <c r="Q375" t="n">
        <v>68</v>
      </c>
      <c r="R375" t="inlineStr">
        <is>
          <t>RAHUE 220</t>
        </is>
      </c>
      <c r="S375" t="n">
        <v>28.98499365003194</v>
      </c>
      <c r="T375" t="n">
        <v>2011.381187445229</v>
      </c>
      <c r="U375" t="n">
        <v>0</v>
      </c>
      <c r="V375" t="n">
        <v>0</v>
      </c>
      <c r="W375" t="inlineStr">
        <is>
          <t>SAESA</t>
        </is>
      </c>
      <c r="X375" t="n">
        <v>76.67832106315818</v>
      </c>
      <c r="Y375" t="n">
        <v>2.011381187445229</v>
      </c>
      <c r="Z375" t="n">
        <v>2222.52064911075</v>
      </c>
      <c r="AA375" t="n">
        <v>0</v>
      </c>
      <c r="AB375" t="n">
        <v>0</v>
      </c>
      <c r="AC375" t="n">
        <v>0</v>
      </c>
      <c r="AD375" s="2" t="n">
        <v>44256</v>
      </c>
    </row>
    <row r="376">
      <c r="A376" t="n">
        <v>-1</v>
      </c>
      <c r="B376" t="inlineStr">
        <is>
          <t>01-03-2021</t>
        </is>
      </c>
      <c r="C376" t="n">
        <v>2021</v>
      </c>
      <c r="D376" t="n">
        <v>3</v>
      </c>
      <c r="E376" t="inlineStr">
        <is>
          <t>Corral 13.8</t>
        </is>
      </c>
      <c r="F376" t="inlineStr">
        <is>
          <t>Saesa</t>
        </is>
      </c>
      <c r="G376" t="inlineStr">
        <is>
          <t>Saesa</t>
        </is>
      </c>
      <c r="H376" t="inlineStr">
        <is>
          <t>Empresa Eléctrica Carén S.A.</t>
        </is>
      </c>
      <c r="I376" t="inlineStr">
        <is>
          <t>Empresa Eléctrica Carén S.A.</t>
        </is>
      </c>
      <c r="J376" t="inlineStr">
        <is>
          <t>SIC 2013/03_2_BS1A_BB_SAESA_Empresa Eléctrica Carén S.A.</t>
        </is>
      </c>
      <c r="K376" t="inlineStr">
        <is>
          <t>Corral 13.8</t>
        </is>
      </c>
      <c r="L376" t="inlineStr">
        <is>
          <t>-1</t>
        </is>
      </c>
      <c r="M376" t="n">
        <v>310.0085388082772</v>
      </c>
      <c r="N376" t="n">
        <v>0</v>
      </c>
      <c r="O376" t="inlineStr">
        <is>
          <t>6</t>
        </is>
      </c>
      <c r="P376" s="2" t="n">
        <v>44659.60028225694</v>
      </c>
      <c r="Q376" t="n">
        <v>17</v>
      </c>
      <c r="R376" t="inlineStr">
        <is>
          <t>VALDIVIA 220</t>
        </is>
      </c>
      <c r="S376" t="n">
        <v>287.2135956349526</v>
      </c>
      <c r="T376" t="n">
        <v>21934.98901895518</v>
      </c>
      <c r="U376" t="n">
        <v>0</v>
      </c>
      <c r="V376" t="n">
        <v>0</v>
      </c>
      <c r="W376" t="inlineStr">
        <is>
          <t>SAESA</t>
        </is>
      </c>
      <c r="X376" t="n">
        <v>84.38861284905238</v>
      </c>
      <c r="Y376" t="n">
        <v>21.93498901895518</v>
      </c>
      <c r="Z376" t="n">
        <v>24237.5569270223</v>
      </c>
      <c r="AA376" t="n">
        <v>0</v>
      </c>
      <c r="AB376" t="n">
        <v>0</v>
      </c>
      <c r="AC376" t="n">
        <v>0</v>
      </c>
      <c r="AD376" s="2" t="n">
        <v>44256</v>
      </c>
    </row>
    <row r="377">
      <c r="A377" t="n">
        <v>-1</v>
      </c>
      <c r="B377" t="inlineStr">
        <is>
          <t>01-03-2021</t>
        </is>
      </c>
      <c r="C377" t="n">
        <v>2021</v>
      </c>
      <c r="D377" t="n">
        <v>3</v>
      </c>
      <c r="E377" t="inlineStr">
        <is>
          <t>Dalcahue 023</t>
        </is>
      </c>
      <c r="F377" t="inlineStr">
        <is>
          <t>Saesa</t>
        </is>
      </c>
      <c r="G377" t="inlineStr">
        <is>
          <t>Saesa</t>
        </is>
      </c>
      <c r="H377" t="inlineStr">
        <is>
          <t>Empresa Eléctrica Carén S.A.</t>
        </is>
      </c>
      <c r="I377" t="inlineStr">
        <is>
          <t>Empresa Eléctrica Carén S.A.</t>
        </is>
      </c>
      <c r="J377" t="inlineStr">
        <is>
          <t>SIC 2013/03_2_BS1A_BB_SAESA_Empresa Eléctrica Carén S.A.</t>
        </is>
      </c>
      <c r="K377" t="inlineStr">
        <is>
          <t>Dalcahue 023</t>
        </is>
      </c>
      <c r="L377" t="inlineStr">
        <is>
          <t>-1</t>
        </is>
      </c>
      <c r="M377" t="n">
        <v>1528.748854061173</v>
      </c>
      <c r="N377" t="n">
        <v>0</v>
      </c>
      <c r="O377" t="inlineStr">
        <is>
          <t>6</t>
        </is>
      </c>
      <c r="P377" s="2" t="n">
        <v>44659.60028225694</v>
      </c>
      <c r="Q377" t="n">
        <v>24</v>
      </c>
      <c r="R377" t="inlineStr">
        <is>
          <t>CHILOE 220</t>
        </is>
      </c>
      <c r="S377" t="n">
        <v>1561.650118169769</v>
      </c>
      <c r="T377" t="n">
        <v>108055.2836884477</v>
      </c>
      <c r="U377" t="n">
        <v>0</v>
      </c>
      <c r="V377" t="n">
        <v>0</v>
      </c>
      <c r="W377" t="inlineStr">
        <is>
          <t>SAESA</t>
        </is>
      </c>
      <c r="X377" t="n">
        <v>76.4563727392916</v>
      </c>
      <c r="Y377" t="n">
        <v>108.0552836884477</v>
      </c>
      <c r="Z377" t="n">
        <v>119398.1035231466</v>
      </c>
      <c r="AA377" t="n">
        <v>0</v>
      </c>
      <c r="AB377" t="n">
        <v>0</v>
      </c>
      <c r="AC377" t="n">
        <v>0</v>
      </c>
      <c r="AD377" s="2" t="n">
        <v>44256</v>
      </c>
    </row>
    <row r="378">
      <c r="A378" t="n">
        <v>-1</v>
      </c>
      <c r="B378" t="inlineStr">
        <is>
          <t>01-03-2021</t>
        </is>
      </c>
      <c r="C378" t="n">
        <v>2021</v>
      </c>
      <c r="D378" t="n">
        <v>3</v>
      </c>
      <c r="E378" t="inlineStr">
        <is>
          <t>Degañ 023</t>
        </is>
      </c>
      <c r="F378" t="inlineStr">
        <is>
          <t>Saesa</t>
        </is>
      </c>
      <c r="G378" t="inlineStr">
        <is>
          <t>Saesa</t>
        </is>
      </c>
      <c r="H378" t="inlineStr">
        <is>
          <t>Empresa Eléctrica Carén S.A.</t>
        </is>
      </c>
      <c r="I378" t="inlineStr">
        <is>
          <t>Empresa Eléctrica Carén S.A.</t>
        </is>
      </c>
      <c r="J378" t="inlineStr">
        <is>
          <t>SIC 2013/03_2_BS1A_BB_SAESA_Empresa Eléctrica Carén S.A.</t>
        </is>
      </c>
      <c r="K378" t="inlineStr">
        <is>
          <t>Degañ 023</t>
        </is>
      </c>
      <c r="L378" t="inlineStr">
        <is>
          <t>-1</t>
        </is>
      </c>
      <c r="M378" t="n">
        <v>453.5024764326997</v>
      </c>
      <c r="N378" t="n">
        <v>0</v>
      </c>
      <c r="O378" t="inlineStr">
        <is>
          <t>6</t>
        </is>
      </c>
      <c r="P378" s="2" t="n">
        <v>44659.60028225694</v>
      </c>
      <c r="Q378" t="n">
        <v>24</v>
      </c>
      <c r="R378" t="inlineStr">
        <is>
          <t>CHILOE 220</t>
        </is>
      </c>
      <c r="S378" t="n">
        <v>463.2626176824392</v>
      </c>
      <c r="T378" t="n">
        <v>32054.5383332062</v>
      </c>
      <c r="U378" t="n">
        <v>0</v>
      </c>
      <c r="V378" t="n">
        <v>0</v>
      </c>
      <c r="W378" t="inlineStr">
        <is>
          <t>SAESA</t>
        </is>
      </c>
      <c r="X378" t="n">
        <v>76.45637273929161</v>
      </c>
      <c r="Y378" t="n">
        <v>32.05453833320621</v>
      </c>
      <c r="Z378" t="n">
        <v>35419.37937370851</v>
      </c>
      <c r="AA378" t="n">
        <v>0</v>
      </c>
      <c r="AB378" t="n">
        <v>0</v>
      </c>
      <c r="AC378" t="n">
        <v>0</v>
      </c>
      <c r="AD378" s="2" t="n">
        <v>44256</v>
      </c>
    </row>
    <row r="379">
      <c r="A379" t="n">
        <v>-1</v>
      </c>
      <c r="B379" t="inlineStr">
        <is>
          <t>01-03-2021</t>
        </is>
      </c>
      <c r="C379" t="n">
        <v>2021</v>
      </c>
      <c r="D379" t="n">
        <v>3</v>
      </c>
      <c r="E379" t="inlineStr">
        <is>
          <t>El Empalme 023</t>
        </is>
      </c>
      <c r="F379" t="inlineStr">
        <is>
          <t>Saesa</t>
        </is>
      </c>
      <c r="G379" t="inlineStr">
        <is>
          <t>Saesa</t>
        </is>
      </c>
      <c r="H379" t="inlineStr">
        <is>
          <t>Empresa Eléctrica Carén S.A.</t>
        </is>
      </c>
      <c r="I379" t="inlineStr">
        <is>
          <t>Empresa Eléctrica Carén S.A.</t>
        </is>
      </c>
      <c r="J379" t="inlineStr">
        <is>
          <t>SIC 2013/03_2_BS1A_BB_SAESA_Empresa Eléctrica Carén S.A.</t>
        </is>
      </c>
      <c r="K379" t="inlineStr">
        <is>
          <t>El Empalme 023</t>
        </is>
      </c>
      <c r="L379" t="inlineStr">
        <is>
          <t>-1</t>
        </is>
      </c>
      <c r="M379" t="n">
        <v>818.9125468247787</v>
      </c>
      <c r="N379" t="n">
        <v>0</v>
      </c>
      <c r="O379" t="inlineStr">
        <is>
          <t>6</t>
        </is>
      </c>
      <c r="P379" s="2" t="n">
        <v>44659.60028225694</v>
      </c>
      <c r="Q379" t="n">
        <v>6</v>
      </c>
      <c r="R379" t="inlineStr">
        <is>
          <t>MELIPULLI 220</t>
        </is>
      </c>
      <c r="S379" t="n">
        <v>836.5369315713962</v>
      </c>
      <c r="T379" t="n">
        <v>57159.25693379743</v>
      </c>
      <c r="U379" t="n">
        <v>0</v>
      </c>
      <c r="V379" t="n">
        <v>0</v>
      </c>
      <c r="W379" t="inlineStr">
        <is>
          <t>SAESA</t>
        </is>
      </c>
      <c r="X379" t="n">
        <v>75.50102995238473</v>
      </c>
      <c r="Y379" t="n">
        <v>57.15925693379744</v>
      </c>
      <c r="Z379" t="n">
        <v>63159.39992684799</v>
      </c>
      <c r="AA379" t="n">
        <v>0</v>
      </c>
      <c r="AB379" t="n">
        <v>0</v>
      </c>
      <c r="AC379" t="n">
        <v>0</v>
      </c>
      <c r="AD379" s="2" t="n">
        <v>44256</v>
      </c>
    </row>
    <row r="380">
      <c r="A380" t="n">
        <v>-1</v>
      </c>
      <c r="B380" t="inlineStr">
        <is>
          <t>01-03-2021</t>
        </is>
      </c>
      <c r="C380" t="n">
        <v>2021</v>
      </c>
      <c r="D380" t="n">
        <v>3</v>
      </c>
      <c r="E380" t="inlineStr">
        <is>
          <t>Frutillar 13.2</t>
        </is>
      </c>
      <c r="F380" t="inlineStr">
        <is>
          <t>Saesa</t>
        </is>
      </c>
      <c r="G380" t="inlineStr">
        <is>
          <t>Saesa</t>
        </is>
      </c>
      <c r="H380" t="inlineStr">
        <is>
          <t>Empresa Eléctrica Carén S.A.</t>
        </is>
      </c>
      <c r="I380" t="inlineStr">
        <is>
          <t>Empresa Eléctrica Carén S.A.</t>
        </is>
      </c>
      <c r="J380" t="inlineStr">
        <is>
          <t>SIC 2013/03_2_BS1A_BB_SAESA_Empresa Eléctrica Carén S.A.</t>
        </is>
      </c>
      <c r="K380" t="inlineStr">
        <is>
          <t>Frutillar 13.2</t>
        </is>
      </c>
      <c r="L380" t="inlineStr">
        <is>
          <t>-1</t>
        </is>
      </c>
      <c r="M380" t="n">
        <v>1777.373718669575</v>
      </c>
      <c r="N380" t="n">
        <v>0</v>
      </c>
      <c r="O380" t="inlineStr">
        <is>
          <t>6</t>
        </is>
      </c>
      <c r="P380" s="2" t="n">
        <v>44659.60028225694</v>
      </c>
      <c r="Q380" t="n">
        <v>6</v>
      </c>
      <c r="R380" t="inlineStr">
        <is>
          <t>MELIPULLI 220</t>
        </is>
      </c>
      <c r="S380" t="n">
        <v>851.934618326969</v>
      </c>
      <c r="T380" t="n">
        <v>58211.35672787902</v>
      </c>
      <c r="U380" t="n">
        <v>0</v>
      </c>
      <c r="V380" t="n">
        <v>0</v>
      </c>
      <c r="W380" t="inlineStr">
        <is>
          <t>SAESA</t>
        </is>
      </c>
      <c r="X380" t="n">
        <v>75.50102995238471</v>
      </c>
      <c r="Y380" t="n">
        <v>58.21135672787902</v>
      </c>
      <c r="Z380" t="n">
        <v>64321.94113577792</v>
      </c>
      <c r="AA380" t="n">
        <v>0</v>
      </c>
      <c r="AB380" t="n">
        <v>0</v>
      </c>
      <c r="AC380" t="n">
        <v>0</v>
      </c>
      <c r="AD380" s="2" t="n">
        <v>44256</v>
      </c>
    </row>
    <row r="381">
      <c r="A381" t="n">
        <v>-1</v>
      </c>
      <c r="B381" t="inlineStr">
        <is>
          <t>01-03-2021</t>
        </is>
      </c>
      <c r="C381" t="n">
        <v>2021</v>
      </c>
      <c r="D381" t="n">
        <v>3</v>
      </c>
      <c r="E381" t="inlineStr">
        <is>
          <t>Frutillar 13.2</t>
        </is>
      </c>
      <c r="F381" t="inlineStr">
        <is>
          <t>Saesa</t>
        </is>
      </c>
      <c r="G381" t="inlineStr">
        <is>
          <t>Saesa</t>
        </is>
      </c>
      <c r="H381" t="inlineStr">
        <is>
          <t>Empresa Eléctrica Carén S.A.</t>
        </is>
      </c>
      <c r="I381" t="inlineStr">
        <is>
          <t>Empresa Eléctrica Carén S.A.</t>
        </is>
      </c>
      <c r="J381" t="inlineStr">
        <is>
          <t>SIC 2013/03_2_BS1A_BB_SAESA_Empresa Eléctrica Carén S.A.</t>
        </is>
      </c>
      <c r="K381" t="inlineStr">
        <is>
          <t>Frutillar 13.2</t>
        </is>
      </c>
      <c r="L381" t="inlineStr">
        <is>
          <t>-1</t>
        </is>
      </c>
      <c r="M381" t="n">
        <v>1777.373718669575</v>
      </c>
      <c r="N381" t="n">
        <v>0</v>
      </c>
      <c r="O381" t="inlineStr">
        <is>
          <t>6</t>
        </is>
      </c>
      <c r="P381" s="2" t="n">
        <v>44659.60028225694</v>
      </c>
      <c r="Q381" t="n">
        <v>68</v>
      </c>
      <c r="R381" t="inlineStr">
        <is>
          <t>RAHUE 220</t>
        </is>
      </c>
      <c r="S381" t="n">
        <v>963.6911925566254</v>
      </c>
      <c r="T381" t="n">
        <v>66874.27151507823</v>
      </c>
      <c r="U381" t="n">
        <v>0</v>
      </c>
      <c r="V381" t="n">
        <v>0</v>
      </c>
      <c r="W381" t="inlineStr">
        <is>
          <t>SAESA</t>
        </is>
      </c>
      <c r="X381" t="n">
        <v>76.67832106315818</v>
      </c>
      <c r="Y381" t="n">
        <v>66.87427151507821</v>
      </c>
      <c r="Z381" t="n">
        <v>73894.22266859472</v>
      </c>
      <c r="AA381" t="n">
        <v>0</v>
      </c>
      <c r="AB381" t="n">
        <v>0</v>
      </c>
      <c r="AC381" t="n">
        <v>0</v>
      </c>
      <c r="AD381" s="2" t="n">
        <v>44256</v>
      </c>
    </row>
    <row r="382">
      <c r="A382" t="n">
        <v>-1</v>
      </c>
      <c r="B382" t="inlineStr">
        <is>
          <t>01-03-2021</t>
        </is>
      </c>
      <c r="C382" t="n">
        <v>2021</v>
      </c>
      <c r="D382" t="n">
        <v>3</v>
      </c>
      <c r="E382" t="inlineStr">
        <is>
          <t>La Union 1 023</t>
        </is>
      </c>
      <c r="F382" t="inlineStr">
        <is>
          <t>Saesa</t>
        </is>
      </c>
      <c r="G382" t="inlineStr">
        <is>
          <t>Saesa</t>
        </is>
      </c>
      <c r="H382" t="inlineStr">
        <is>
          <t>Empresa Eléctrica Carén S.A.</t>
        </is>
      </c>
      <c r="I382" t="inlineStr">
        <is>
          <t>Empresa Eléctrica Carén S.A.</t>
        </is>
      </c>
      <c r="J382" t="inlineStr">
        <is>
          <t>SIC 2013/03_2_BS1A_BB_SAESA_Empresa Eléctrica Carén S.A.</t>
        </is>
      </c>
      <c r="K382" t="inlineStr">
        <is>
          <t>La Union 1 023</t>
        </is>
      </c>
      <c r="L382" t="inlineStr">
        <is>
          <t>-1</t>
        </is>
      </c>
      <c r="M382" t="n">
        <v>1450.486720450577</v>
      </c>
      <c r="N382" t="n">
        <v>0</v>
      </c>
      <c r="O382" t="inlineStr">
        <is>
          <t>6</t>
        </is>
      </c>
      <c r="P382" s="2" t="n">
        <v>44659.60028225694</v>
      </c>
      <c r="Q382" t="n">
        <v>6</v>
      </c>
      <c r="R382" t="inlineStr">
        <is>
          <t>MELIPULLI 220</t>
        </is>
      </c>
      <c r="S382" t="n">
        <v>16.16365208819993</v>
      </c>
      <c r="T382" t="n">
        <v>1104.437004308253</v>
      </c>
      <c r="U382" t="n">
        <v>0</v>
      </c>
      <c r="V382" t="n">
        <v>0</v>
      </c>
      <c r="W382" t="inlineStr">
        <is>
          <t>SAESA</t>
        </is>
      </c>
      <c r="X382" t="n">
        <v>75.50102995238471</v>
      </c>
      <c r="Y382" t="n">
        <v>1.104437004308253</v>
      </c>
      <c r="Z382" t="n">
        <v>1220.372380451108</v>
      </c>
      <c r="AA382" t="n">
        <v>0</v>
      </c>
      <c r="AB382" t="n">
        <v>0</v>
      </c>
      <c r="AC382" t="n">
        <v>0</v>
      </c>
      <c r="AD382" s="2" t="n">
        <v>44256</v>
      </c>
    </row>
    <row r="383">
      <c r="A383" t="n">
        <v>-1</v>
      </c>
      <c r="B383" t="inlineStr">
        <is>
          <t>01-03-2021</t>
        </is>
      </c>
      <c r="C383" t="n">
        <v>2021</v>
      </c>
      <c r="D383" t="n">
        <v>3</v>
      </c>
      <c r="E383" t="inlineStr">
        <is>
          <t>La Union 1 023</t>
        </is>
      </c>
      <c r="F383" t="inlineStr">
        <is>
          <t>Saesa</t>
        </is>
      </c>
      <c r="G383" t="inlineStr">
        <is>
          <t>Saesa</t>
        </is>
      </c>
      <c r="H383" t="inlineStr">
        <is>
          <t>Empresa Eléctrica Carén S.A.</t>
        </is>
      </c>
      <c r="I383" t="inlineStr">
        <is>
          <t>Empresa Eléctrica Carén S.A.</t>
        </is>
      </c>
      <c r="J383" t="inlineStr">
        <is>
          <t>SIC 2013/03_2_BS1A_BB_SAESA_Empresa Eléctrica Carén S.A.</t>
        </is>
      </c>
      <c r="K383" t="inlineStr">
        <is>
          <t>La Union 1 023</t>
        </is>
      </c>
      <c r="L383" t="inlineStr">
        <is>
          <t>-1</t>
        </is>
      </c>
      <c r="M383" t="n">
        <v>1450.486720450577</v>
      </c>
      <c r="N383" t="n">
        <v>0</v>
      </c>
      <c r="O383" t="inlineStr">
        <is>
          <t>6</t>
        </is>
      </c>
      <c r="P383" s="2" t="n">
        <v>44659.60028225694</v>
      </c>
      <c r="Q383" t="n">
        <v>68</v>
      </c>
      <c r="R383" t="inlineStr">
        <is>
          <t>RAHUE 220</t>
        </is>
      </c>
      <c r="S383" t="n">
        <v>1440.221318932736</v>
      </c>
      <c r="T383" t="n">
        <v>99942.54618909213</v>
      </c>
      <c r="U383" t="n">
        <v>0</v>
      </c>
      <c r="V383" t="n">
        <v>0</v>
      </c>
      <c r="W383" t="inlineStr">
        <is>
          <t>SAESA</t>
        </is>
      </c>
      <c r="X383" t="n">
        <v>76.67832106315818</v>
      </c>
      <c r="Y383" t="n">
        <v>99.94254618909214</v>
      </c>
      <c r="Z383" t="n">
        <v>110433.7526951294</v>
      </c>
      <c r="AA383" t="n">
        <v>0</v>
      </c>
      <c r="AB383" t="n">
        <v>0</v>
      </c>
      <c r="AC383" t="n">
        <v>0</v>
      </c>
      <c r="AD383" s="2" t="n">
        <v>44256</v>
      </c>
    </row>
    <row r="384">
      <c r="A384" t="n">
        <v>-1</v>
      </c>
      <c r="B384" t="inlineStr">
        <is>
          <t>01-03-2021</t>
        </is>
      </c>
      <c r="C384" t="n">
        <v>2021</v>
      </c>
      <c r="D384" t="n">
        <v>3</v>
      </c>
      <c r="E384" t="inlineStr">
        <is>
          <t>La Union 1 023</t>
        </is>
      </c>
      <c r="F384" t="inlineStr">
        <is>
          <t>Saesa</t>
        </is>
      </c>
      <c r="G384" t="inlineStr">
        <is>
          <t>Saesa</t>
        </is>
      </c>
      <c r="H384" t="inlineStr">
        <is>
          <t>Empresa Eléctrica Carén S.A.</t>
        </is>
      </c>
      <c r="I384" t="inlineStr">
        <is>
          <t>Empresa Eléctrica Carén S.A.</t>
        </is>
      </c>
      <c r="J384" t="inlineStr">
        <is>
          <t>SIC 2013/03_2_BS1A_BB_SAESA_Empresa Eléctrica Carén S.A.</t>
        </is>
      </c>
      <c r="K384" t="inlineStr">
        <is>
          <t>La Union 1 023</t>
        </is>
      </c>
      <c r="L384" t="inlineStr">
        <is>
          <t>-1</t>
        </is>
      </c>
      <c r="M384" t="n">
        <v>1450.486720450577</v>
      </c>
      <c r="N384" t="n">
        <v>0</v>
      </c>
      <c r="O384" t="inlineStr">
        <is>
          <t>6</t>
        </is>
      </c>
      <c r="P384" s="2" t="n">
        <v>44659.60028225694</v>
      </c>
      <c r="Q384" t="n">
        <v>17</v>
      </c>
      <c r="R384" t="inlineStr">
        <is>
          <t>VALDIVIA 220</t>
        </is>
      </c>
      <c r="S384" t="n">
        <v>25.31867989456273</v>
      </c>
      <c r="T384" t="n">
        <v>1933.630489301563</v>
      </c>
      <c r="U384" t="n">
        <v>0</v>
      </c>
      <c r="V384" t="n">
        <v>0</v>
      </c>
      <c r="W384" t="inlineStr">
        <is>
          <t>SAESA</t>
        </is>
      </c>
      <c r="X384" t="n">
        <v>84.38861284905238</v>
      </c>
      <c r="Y384" t="n">
        <v>1.933630489301563</v>
      </c>
      <c r="Z384" t="n">
        <v>2136.60827547134</v>
      </c>
      <c r="AA384" t="n">
        <v>0</v>
      </c>
      <c r="AB384" t="n">
        <v>0</v>
      </c>
      <c r="AC384" t="n">
        <v>0</v>
      </c>
      <c r="AD384" s="2" t="n">
        <v>44256</v>
      </c>
    </row>
    <row r="385">
      <c r="A385" t="n">
        <v>-1</v>
      </c>
      <c r="B385" t="inlineStr">
        <is>
          <t>01-03-2021</t>
        </is>
      </c>
      <c r="C385" t="n">
        <v>2021</v>
      </c>
      <c r="D385" t="n">
        <v>3</v>
      </c>
      <c r="E385" t="inlineStr">
        <is>
          <t>Loncoche 13.2</t>
        </is>
      </c>
      <c r="F385" t="inlineStr">
        <is>
          <t>Saesa</t>
        </is>
      </c>
      <c r="G385" t="inlineStr">
        <is>
          <t>Saesa</t>
        </is>
      </c>
      <c r="H385" t="inlineStr">
        <is>
          <t>Empresa Eléctrica Carén S.A.</t>
        </is>
      </c>
      <c r="I385" t="inlineStr">
        <is>
          <t>Empresa Eléctrica Carén S.A.</t>
        </is>
      </c>
      <c r="J385" t="inlineStr">
        <is>
          <t>SIC 2013/03_2_BS1A_BB_SAESA_Empresa Eléctrica Carén S.A.</t>
        </is>
      </c>
      <c r="K385" t="inlineStr">
        <is>
          <t>Loncoche 13.2</t>
        </is>
      </c>
      <c r="L385" t="inlineStr">
        <is>
          <t>-1</t>
        </is>
      </c>
      <c r="M385" t="n">
        <v>1465.814208111375</v>
      </c>
      <c r="N385" t="n">
        <v>0</v>
      </c>
      <c r="O385" t="inlineStr">
        <is>
          <t>5</t>
        </is>
      </c>
      <c r="P385" s="2" t="n">
        <v>44659.60028225694</v>
      </c>
      <c r="Q385" t="n">
        <v>14</v>
      </c>
      <c r="R385" t="inlineStr">
        <is>
          <t>CAUTÍN 220</t>
        </is>
      </c>
      <c r="S385" t="n">
        <v>376.8649498424853</v>
      </c>
      <c r="T385" t="n">
        <v>29647.4086116798</v>
      </c>
      <c r="U385" t="n">
        <v>0</v>
      </c>
      <c r="V385" t="n">
        <v>0</v>
      </c>
      <c r="W385" t="inlineStr">
        <is>
          <t>SAESA</t>
        </is>
      </c>
      <c r="X385" t="n">
        <v>86.92654368736126</v>
      </c>
      <c r="Y385" t="n">
        <v>29.6474086116798</v>
      </c>
      <c r="Z385" t="n">
        <v>32759.567526718</v>
      </c>
      <c r="AA385" t="n">
        <v>0</v>
      </c>
      <c r="AB385" t="n">
        <v>0</v>
      </c>
      <c r="AC385" t="n">
        <v>0</v>
      </c>
      <c r="AD385" s="2" t="n">
        <v>44256</v>
      </c>
    </row>
    <row r="386">
      <c r="A386" t="n">
        <v>-1</v>
      </c>
      <c r="B386" t="inlineStr">
        <is>
          <t>01-03-2021</t>
        </is>
      </c>
      <c r="C386" t="n">
        <v>2021</v>
      </c>
      <c r="D386" t="n">
        <v>3</v>
      </c>
      <c r="E386" t="inlineStr">
        <is>
          <t>Loncoche 13.2</t>
        </is>
      </c>
      <c r="F386" t="inlineStr">
        <is>
          <t>Saesa</t>
        </is>
      </c>
      <c r="G386" t="inlineStr">
        <is>
          <t>Saesa</t>
        </is>
      </c>
      <c r="H386" t="inlineStr">
        <is>
          <t>Empresa Eléctrica Carén S.A.</t>
        </is>
      </c>
      <c r="I386" t="inlineStr">
        <is>
          <t>Empresa Eléctrica Carén S.A.</t>
        </is>
      </c>
      <c r="J386" t="inlineStr">
        <is>
          <t>SIC 2013/03_2_BS1A_BB_SAESA_Empresa Eléctrica Carén S.A.</t>
        </is>
      </c>
      <c r="K386" t="inlineStr">
        <is>
          <t>Loncoche 13.2</t>
        </is>
      </c>
      <c r="L386" t="inlineStr">
        <is>
          <t>-1</t>
        </is>
      </c>
      <c r="M386" t="n">
        <v>1465.814208111375</v>
      </c>
      <c r="N386" t="n">
        <v>0</v>
      </c>
      <c r="O386" t="inlineStr">
        <is>
          <t>5</t>
        </is>
      </c>
      <c r="P386" s="2" t="n">
        <v>44659.60028225694</v>
      </c>
      <c r="Q386" t="n">
        <v>4</v>
      </c>
      <c r="R386" t="inlineStr">
        <is>
          <t>TEMUCO 220</t>
        </is>
      </c>
      <c r="S386" t="n">
        <v>1127.348411368157</v>
      </c>
      <c r="T386" t="n">
        <v>87446.32035406101</v>
      </c>
      <c r="U386" t="n">
        <v>0</v>
      </c>
      <c r="V386" t="n">
        <v>0</v>
      </c>
      <c r="W386" t="inlineStr">
        <is>
          <t>SAESA</t>
        </is>
      </c>
      <c r="X386" t="n">
        <v>85.71065286707868</v>
      </c>
      <c r="Y386" t="n">
        <v>87.44632035406102</v>
      </c>
      <c r="Z386" t="n">
        <v>96625.76834702874</v>
      </c>
      <c r="AA386" t="n">
        <v>0</v>
      </c>
      <c r="AB386" t="n">
        <v>0</v>
      </c>
      <c r="AC386" t="n">
        <v>0</v>
      </c>
      <c r="AD386" s="2" t="n">
        <v>44256</v>
      </c>
    </row>
    <row r="387">
      <c r="A387" t="n">
        <v>-1</v>
      </c>
      <c r="B387" t="inlineStr">
        <is>
          <t>01-03-2021</t>
        </is>
      </c>
      <c r="C387" t="n">
        <v>2021</v>
      </c>
      <c r="D387" t="n">
        <v>3</v>
      </c>
      <c r="E387" t="inlineStr">
        <is>
          <t>Los Lagos 13.8</t>
        </is>
      </c>
      <c r="F387" t="inlineStr">
        <is>
          <t>Saesa</t>
        </is>
      </c>
      <c r="G387" t="inlineStr">
        <is>
          <t>Saesa</t>
        </is>
      </c>
      <c r="H387" t="inlineStr">
        <is>
          <t>Empresa Eléctrica Carén S.A.</t>
        </is>
      </c>
      <c r="I387" t="inlineStr">
        <is>
          <t>Empresa Eléctrica Carén S.A.</t>
        </is>
      </c>
      <c r="J387" t="inlineStr">
        <is>
          <t>SIC 2013/03_2_BS1A_BB_SAESA_Empresa Eléctrica Carén S.A.</t>
        </is>
      </c>
      <c r="K387" t="inlineStr">
        <is>
          <t>Los Lagos 13.8</t>
        </is>
      </c>
      <c r="L387" t="inlineStr">
        <is>
          <t>-1</t>
        </is>
      </c>
      <c r="M387" t="n">
        <v>795.8988547851822</v>
      </c>
      <c r="N387" t="n">
        <v>0</v>
      </c>
      <c r="O387" t="inlineStr">
        <is>
          <t>6</t>
        </is>
      </c>
      <c r="P387" s="2" t="n">
        <v>44659.60028225694</v>
      </c>
      <c r="Q387" t="n">
        <v>6</v>
      </c>
      <c r="R387" t="inlineStr">
        <is>
          <t>MELIPULLI 220</t>
        </is>
      </c>
      <c r="S387" t="n">
        <v>2.799626651626853</v>
      </c>
      <c r="T387" t="n">
        <v>191.294099590376</v>
      </c>
      <c r="U387" t="n">
        <v>0</v>
      </c>
      <c r="V387" t="n">
        <v>0</v>
      </c>
      <c r="W387" t="inlineStr">
        <is>
          <t>SAESA</t>
        </is>
      </c>
      <c r="X387" t="n">
        <v>75.50102995238471</v>
      </c>
      <c r="Y387" t="n">
        <v>0.1912940995903761</v>
      </c>
      <c r="Z387" t="n">
        <v>211.3746956799735</v>
      </c>
      <c r="AA387" t="n">
        <v>0</v>
      </c>
      <c r="AB387" t="n">
        <v>0</v>
      </c>
      <c r="AC387" t="n">
        <v>0</v>
      </c>
      <c r="AD387" s="2" t="n">
        <v>44256</v>
      </c>
    </row>
    <row r="388">
      <c r="A388" t="n">
        <v>-1</v>
      </c>
      <c r="B388" t="inlineStr">
        <is>
          <t>01-03-2021</t>
        </is>
      </c>
      <c r="C388" t="n">
        <v>2021</v>
      </c>
      <c r="D388" t="n">
        <v>3</v>
      </c>
      <c r="E388" t="inlineStr">
        <is>
          <t>Los Lagos 13.8</t>
        </is>
      </c>
      <c r="F388" t="inlineStr">
        <is>
          <t>Saesa</t>
        </is>
      </c>
      <c r="G388" t="inlineStr">
        <is>
          <t>Saesa</t>
        </is>
      </c>
      <c r="H388" t="inlineStr">
        <is>
          <t>Empresa Eléctrica Carén S.A.</t>
        </is>
      </c>
      <c r="I388" t="inlineStr">
        <is>
          <t>Empresa Eléctrica Carén S.A.</t>
        </is>
      </c>
      <c r="J388" t="inlineStr">
        <is>
          <t>SIC 2013/03_2_BS1A_BB_SAESA_Empresa Eléctrica Carén S.A.</t>
        </is>
      </c>
      <c r="K388" t="inlineStr">
        <is>
          <t>Los Lagos 13.8</t>
        </is>
      </c>
      <c r="L388" t="inlineStr">
        <is>
          <t>-1</t>
        </is>
      </c>
      <c r="M388" t="n">
        <v>795.8988547851822</v>
      </c>
      <c r="N388" t="n">
        <v>0</v>
      </c>
      <c r="O388" t="inlineStr">
        <is>
          <t>6</t>
        </is>
      </c>
      <c r="P388" s="2" t="n">
        <v>44659.60028225694</v>
      </c>
      <c r="Q388" t="n">
        <v>68</v>
      </c>
      <c r="R388" t="inlineStr">
        <is>
          <t>RAHUE 220</t>
        </is>
      </c>
      <c r="S388" t="n">
        <v>226.8826584005933</v>
      </c>
      <c r="T388" t="n">
        <v>15744.2680986757</v>
      </c>
      <c r="U388" t="n">
        <v>0</v>
      </c>
      <c r="V388" t="n">
        <v>0</v>
      </c>
      <c r="W388" t="inlineStr">
        <is>
          <t>SAESA</t>
        </is>
      </c>
      <c r="X388" t="n">
        <v>76.67832106315818</v>
      </c>
      <c r="Y388" t="n">
        <v>15.7442680986757</v>
      </c>
      <c r="Z388" t="n">
        <v>17396.98132450354</v>
      </c>
      <c r="AA388" t="n">
        <v>0</v>
      </c>
      <c r="AB388" t="n">
        <v>0</v>
      </c>
      <c r="AC388" t="n">
        <v>0</v>
      </c>
      <c r="AD388" s="2" t="n">
        <v>44256</v>
      </c>
    </row>
    <row r="389">
      <c r="A389" t="n">
        <v>-1</v>
      </c>
      <c r="B389" t="inlineStr">
        <is>
          <t>01-03-2021</t>
        </is>
      </c>
      <c r="C389" t="n">
        <v>2021</v>
      </c>
      <c r="D389" t="n">
        <v>3</v>
      </c>
      <c r="E389" t="inlineStr">
        <is>
          <t>Los Lagos 13.8</t>
        </is>
      </c>
      <c r="F389" t="inlineStr">
        <is>
          <t>Saesa</t>
        </is>
      </c>
      <c r="G389" t="inlineStr">
        <is>
          <t>Saesa</t>
        </is>
      </c>
      <c r="H389" t="inlineStr">
        <is>
          <t>Empresa Eléctrica Carén S.A.</t>
        </is>
      </c>
      <c r="I389" t="inlineStr">
        <is>
          <t>Empresa Eléctrica Carén S.A.</t>
        </is>
      </c>
      <c r="J389" t="inlineStr">
        <is>
          <t>SIC 2013/03_2_BS1A_BB_SAESA_Empresa Eléctrica Carén S.A.</t>
        </is>
      </c>
      <c r="K389" t="inlineStr">
        <is>
          <t>Los Lagos 13.8</t>
        </is>
      </c>
      <c r="L389" t="inlineStr">
        <is>
          <t>-1</t>
        </is>
      </c>
      <c r="M389" t="n">
        <v>795.8988547851822</v>
      </c>
      <c r="N389" t="n">
        <v>0</v>
      </c>
      <c r="O389" t="inlineStr">
        <is>
          <t>6</t>
        </is>
      </c>
      <c r="P389" s="2" t="n">
        <v>44659.60028225694</v>
      </c>
      <c r="Q389" t="n">
        <v>17</v>
      </c>
      <c r="R389" t="inlineStr">
        <is>
          <t>VALDIVIA 220</t>
        </is>
      </c>
      <c r="S389" t="n">
        <v>583.3456608557136</v>
      </c>
      <c r="T389" t="n">
        <v>44551.09667367032</v>
      </c>
      <c r="U389" t="n">
        <v>0</v>
      </c>
      <c r="V389" t="n">
        <v>0</v>
      </c>
      <c r="W389" t="inlineStr">
        <is>
          <t>SAESA</t>
        </is>
      </c>
      <c r="X389" t="n">
        <v>84.38861284905239</v>
      </c>
      <c r="Y389" t="n">
        <v>44.55109667367033</v>
      </c>
      <c r="Z389" t="n">
        <v>49227.73113112742</v>
      </c>
      <c r="AA389" t="n">
        <v>0</v>
      </c>
      <c r="AB389" t="n">
        <v>0</v>
      </c>
      <c r="AC389" t="n">
        <v>0</v>
      </c>
      <c r="AD389" s="2" t="n">
        <v>44256</v>
      </c>
    </row>
    <row r="390">
      <c r="A390" t="n">
        <v>-1</v>
      </c>
      <c r="B390" t="inlineStr">
        <is>
          <t>01-03-2021</t>
        </is>
      </c>
      <c r="C390" t="n">
        <v>2021</v>
      </c>
      <c r="D390" t="n">
        <v>3</v>
      </c>
      <c r="E390" t="inlineStr">
        <is>
          <t>Los Tambores 023</t>
        </is>
      </c>
      <c r="F390" t="inlineStr">
        <is>
          <t>Saesa</t>
        </is>
      </c>
      <c r="G390" t="inlineStr">
        <is>
          <t>Saesa</t>
        </is>
      </c>
      <c r="H390" t="inlineStr">
        <is>
          <t>Empresa Eléctrica Carén S.A.</t>
        </is>
      </c>
      <c r="I390" t="inlineStr">
        <is>
          <t>Empresa Eléctrica Carén S.A.</t>
        </is>
      </c>
      <c r="J390" t="inlineStr">
        <is>
          <t>SIC 2013/03_2_BS1A_BB_SAESA_Empresa Eléctrica Carén S.A.</t>
        </is>
      </c>
      <c r="K390" t="inlineStr">
        <is>
          <t>Los Tambores 023</t>
        </is>
      </c>
      <c r="L390" t="inlineStr">
        <is>
          <t>-1</t>
        </is>
      </c>
      <c r="M390" t="n">
        <v>1163.515684648046</v>
      </c>
      <c r="N390" t="n">
        <v>0</v>
      </c>
      <c r="O390" t="inlineStr">
        <is>
          <t>6</t>
        </is>
      </c>
      <c r="P390" s="2" t="n">
        <v>44659.60028225694</v>
      </c>
      <c r="Q390" t="n">
        <v>6</v>
      </c>
      <c r="R390" t="inlineStr">
        <is>
          <t>MELIPULLI 220</t>
        </is>
      </c>
      <c r="S390" t="n">
        <v>12.74482285715562</v>
      </c>
      <c r="T390" t="n">
        <v>870.8337633097291</v>
      </c>
      <c r="U390" t="n">
        <v>0</v>
      </c>
      <c r="V390" t="n">
        <v>0</v>
      </c>
      <c r="W390" t="inlineStr">
        <is>
          <t>SAESA</t>
        </is>
      </c>
      <c r="X390" t="n">
        <v>75.50102995238471</v>
      </c>
      <c r="Y390" t="n">
        <v>0.8708337633097293</v>
      </c>
      <c r="Z390" t="n">
        <v>962.2472522759438</v>
      </c>
      <c r="AA390" t="n">
        <v>0</v>
      </c>
      <c r="AB390" t="n">
        <v>0</v>
      </c>
      <c r="AC390" t="n">
        <v>0</v>
      </c>
      <c r="AD390" s="2" t="n">
        <v>44256</v>
      </c>
    </row>
    <row r="391">
      <c r="A391" t="n">
        <v>-1</v>
      </c>
      <c r="B391" t="inlineStr">
        <is>
          <t>01-03-2021</t>
        </is>
      </c>
      <c r="C391" t="n">
        <v>2021</v>
      </c>
      <c r="D391" t="n">
        <v>3</v>
      </c>
      <c r="E391" t="inlineStr">
        <is>
          <t>Los Tambores 023</t>
        </is>
      </c>
      <c r="F391" t="inlineStr">
        <is>
          <t>Saesa</t>
        </is>
      </c>
      <c r="G391" t="inlineStr">
        <is>
          <t>Saesa</t>
        </is>
      </c>
      <c r="H391" t="inlineStr">
        <is>
          <t>Empresa Eléctrica Carén S.A.</t>
        </is>
      </c>
      <c r="I391" t="inlineStr">
        <is>
          <t>Empresa Eléctrica Carén S.A.</t>
        </is>
      </c>
      <c r="J391" t="inlineStr">
        <is>
          <t>SIC 2013/03_2_BS1A_BB_SAESA_Empresa Eléctrica Carén S.A.</t>
        </is>
      </c>
      <c r="K391" t="inlineStr">
        <is>
          <t>Los Tambores 023</t>
        </is>
      </c>
      <c r="L391" t="inlineStr">
        <is>
          <t>-1</t>
        </is>
      </c>
      <c r="M391" t="n">
        <v>1163.515684648046</v>
      </c>
      <c r="N391" t="n">
        <v>0</v>
      </c>
      <c r="O391" t="inlineStr">
        <is>
          <t>6</t>
        </is>
      </c>
      <c r="P391" s="2" t="n">
        <v>44659.60028225694</v>
      </c>
      <c r="Q391" t="n">
        <v>68</v>
      </c>
      <c r="R391" t="inlineStr">
        <is>
          <t>RAHUE 220</t>
        </is>
      </c>
      <c r="S391" t="n">
        <v>1159.44953951395</v>
      </c>
      <c r="T391" t="n">
        <v>80458.70286288029</v>
      </c>
      <c r="U391" t="n">
        <v>0</v>
      </c>
      <c r="V391" t="n">
        <v>0</v>
      </c>
      <c r="W391" t="inlineStr">
        <is>
          <t>SAESA</t>
        </is>
      </c>
      <c r="X391" t="n">
        <v>76.67832106315818</v>
      </c>
      <c r="Y391" t="n">
        <v>80.4587028628803</v>
      </c>
      <c r="Z391" t="n">
        <v>88904.64404738155</v>
      </c>
      <c r="AA391" t="n">
        <v>0</v>
      </c>
      <c r="AB391" t="n">
        <v>0</v>
      </c>
      <c r="AC391" t="n">
        <v>0</v>
      </c>
      <c r="AD391" s="2" t="n">
        <v>44256</v>
      </c>
    </row>
    <row r="392">
      <c r="A392" t="n">
        <v>-1</v>
      </c>
      <c r="B392" t="inlineStr">
        <is>
          <t>01-03-2021</t>
        </is>
      </c>
      <c r="C392" t="n">
        <v>2021</v>
      </c>
      <c r="D392" t="n">
        <v>3</v>
      </c>
      <c r="E392" t="inlineStr">
        <is>
          <t>Los Tambores 023</t>
        </is>
      </c>
      <c r="F392" t="inlineStr">
        <is>
          <t>Saesa</t>
        </is>
      </c>
      <c r="G392" t="inlineStr">
        <is>
          <t>Saesa</t>
        </is>
      </c>
      <c r="H392" t="inlineStr">
        <is>
          <t>Empresa Eléctrica Carén S.A.</t>
        </is>
      </c>
      <c r="I392" t="inlineStr">
        <is>
          <t>Empresa Eléctrica Carén S.A.</t>
        </is>
      </c>
      <c r="J392" t="inlineStr">
        <is>
          <t>SIC 2013/03_2_BS1A_BB_SAESA_Empresa Eléctrica Carén S.A.</t>
        </is>
      </c>
      <c r="K392" t="inlineStr">
        <is>
          <t>Los Tambores 023</t>
        </is>
      </c>
      <c r="L392" t="inlineStr">
        <is>
          <t>-1</t>
        </is>
      </c>
      <c r="M392" t="n">
        <v>1163.515684648046</v>
      </c>
      <c r="N392" t="n">
        <v>0</v>
      </c>
      <c r="O392" t="inlineStr">
        <is>
          <t>6</t>
        </is>
      </c>
      <c r="P392" s="2" t="n">
        <v>44659.60028225694</v>
      </c>
      <c r="Q392" t="n">
        <v>17</v>
      </c>
      <c r="R392" t="inlineStr">
        <is>
          <t>VALDIVIA 220</t>
        </is>
      </c>
      <c r="S392" t="n">
        <v>16.36215009728729</v>
      </c>
      <c r="T392" t="n">
        <v>1249.605130693946</v>
      </c>
      <c r="U392" t="n">
        <v>0</v>
      </c>
      <c r="V392" t="n">
        <v>0</v>
      </c>
      <c r="W392" t="inlineStr">
        <is>
          <t>SAESA</t>
        </is>
      </c>
      <c r="X392" t="n">
        <v>84.38861284905238</v>
      </c>
      <c r="Y392" t="n">
        <v>1.249605130693946</v>
      </c>
      <c r="Z392" t="n">
        <v>1380.779149938062</v>
      </c>
      <c r="AA392" t="n">
        <v>0</v>
      </c>
      <c r="AB392" t="n">
        <v>0</v>
      </c>
      <c r="AC392" t="n">
        <v>0</v>
      </c>
      <c r="AD392" s="2" t="n">
        <v>44256</v>
      </c>
    </row>
    <row r="393">
      <c r="A393" t="n">
        <v>-1</v>
      </c>
      <c r="B393" t="inlineStr">
        <is>
          <t>01-03-2021</t>
        </is>
      </c>
      <c r="C393" t="n">
        <v>2021</v>
      </c>
      <c r="D393" t="n">
        <v>3</v>
      </c>
      <c r="E393" t="inlineStr">
        <is>
          <t>Mariquina 023</t>
        </is>
      </c>
      <c r="F393" t="inlineStr">
        <is>
          <t>Saesa</t>
        </is>
      </c>
      <c r="G393" t="inlineStr">
        <is>
          <t>Saesa</t>
        </is>
      </c>
      <c r="H393" t="inlineStr">
        <is>
          <t>Empresa Eléctrica Carén S.A.</t>
        </is>
      </c>
      <c r="I393" t="inlineStr">
        <is>
          <t>Empresa Eléctrica Carén S.A.</t>
        </is>
      </c>
      <c r="J393" t="inlineStr">
        <is>
          <t>SIC 2013/03_2_BS1A_BB_SAESA_Empresa Eléctrica Carén S.A.</t>
        </is>
      </c>
      <c r="K393" t="inlineStr">
        <is>
          <t>Mariquina 023</t>
        </is>
      </c>
      <c r="L393" t="inlineStr">
        <is>
          <t>-1</t>
        </is>
      </c>
      <c r="M393" t="n">
        <v>1202.602208941516</v>
      </c>
      <c r="N393" t="n">
        <v>0</v>
      </c>
      <c r="O393" t="inlineStr">
        <is>
          <t>6</t>
        </is>
      </c>
      <c r="P393" s="2" t="n">
        <v>44659.60028225694</v>
      </c>
      <c r="Q393" t="n">
        <v>1</v>
      </c>
      <c r="R393" t="inlineStr">
        <is>
          <t>LOS CIRUELOS 220</t>
        </is>
      </c>
      <c r="S393" t="n">
        <v>1228.484244953418</v>
      </c>
      <c r="T393" t="n">
        <v>88510.77699221502</v>
      </c>
      <c r="U393" t="n">
        <v>0</v>
      </c>
      <c r="V393" t="n">
        <v>0</v>
      </c>
      <c r="W393" t="inlineStr">
        <is>
          <t>SAESA</t>
        </is>
      </c>
      <c r="X393" t="n">
        <v>79.61189891451794</v>
      </c>
      <c r="Y393" t="n">
        <v>88.510776992215</v>
      </c>
      <c r="Z393" t="n">
        <v>97801.96352730942</v>
      </c>
      <c r="AA393" t="n">
        <v>0</v>
      </c>
      <c r="AB393" t="n">
        <v>0</v>
      </c>
      <c r="AC393" t="n">
        <v>0</v>
      </c>
      <c r="AD393" s="2" t="n">
        <v>44256</v>
      </c>
    </row>
    <row r="394">
      <c r="A394" t="n">
        <v>-1</v>
      </c>
      <c r="B394" t="inlineStr">
        <is>
          <t>01-03-2021</t>
        </is>
      </c>
      <c r="C394" t="n">
        <v>2021</v>
      </c>
      <c r="D394" t="n">
        <v>3</v>
      </c>
      <c r="E394" t="inlineStr">
        <is>
          <t>Melipulli 023</t>
        </is>
      </c>
      <c r="F394" t="inlineStr">
        <is>
          <t>Saesa</t>
        </is>
      </c>
      <c r="G394" t="inlineStr">
        <is>
          <t>Saesa</t>
        </is>
      </c>
      <c r="H394" t="inlineStr">
        <is>
          <t>Empresa Eléctrica Carén S.A.</t>
        </is>
      </c>
      <c r="I394" t="inlineStr">
        <is>
          <t>Empresa Eléctrica Carén S.A.</t>
        </is>
      </c>
      <c r="J394" t="inlineStr">
        <is>
          <t>SIC 2013/03_2_BS1A_BB_SAESA_Empresa Eléctrica Carén S.A.</t>
        </is>
      </c>
      <c r="K394" t="inlineStr">
        <is>
          <t>Melipulli 023</t>
        </is>
      </c>
      <c r="L394" t="inlineStr">
        <is>
          <t>-1</t>
        </is>
      </c>
      <c r="M394" t="n">
        <v>12857.27710151139</v>
      </c>
      <c r="N394" t="n">
        <v>0</v>
      </c>
      <c r="O394" t="inlineStr">
        <is>
          <t>6</t>
        </is>
      </c>
      <c r="P394" s="2" t="n">
        <v>44659.60028225694</v>
      </c>
      <c r="Q394" t="n">
        <v>6</v>
      </c>
      <c r="R394" t="inlineStr">
        <is>
          <t>MELIPULLI 220</t>
        </is>
      </c>
      <c r="S394" t="n">
        <v>13133.98747713029</v>
      </c>
      <c r="T394" t="n">
        <v>897424.771624079</v>
      </c>
      <c r="U394" t="n">
        <v>0</v>
      </c>
      <c r="V394" t="n">
        <v>0</v>
      </c>
      <c r="W394" t="inlineStr">
        <is>
          <t>SAESA</t>
        </is>
      </c>
      <c r="X394" t="n">
        <v>75.50102995238471</v>
      </c>
      <c r="Y394" t="n">
        <v>897.424771624079</v>
      </c>
      <c r="Z394" t="n">
        <v>991629.5819050596</v>
      </c>
      <c r="AA394" t="n">
        <v>0</v>
      </c>
      <c r="AB394" t="n">
        <v>0</v>
      </c>
      <c r="AC394" t="n">
        <v>0</v>
      </c>
      <c r="AD394" s="2" t="n">
        <v>44256</v>
      </c>
    </row>
    <row r="395">
      <c r="A395" t="n">
        <v>-1</v>
      </c>
      <c r="B395" t="inlineStr">
        <is>
          <t>01-03-2021</t>
        </is>
      </c>
      <c r="C395" t="n">
        <v>2021</v>
      </c>
      <c r="D395" t="n">
        <v>3</v>
      </c>
      <c r="E395" t="inlineStr">
        <is>
          <t>Osorno 13.8</t>
        </is>
      </c>
      <c r="F395" t="inlineStr">
        <is>
          <t>Saesa</t>
        </is>
      </c>
      <c r="G395" t="inlineStr">
        <is>
          <t>Saesa</t>
        </is>
      </c>
      <c r="H395" t="inlineStr">
        <is>
          <t>Empresa Eléctrica Carén S.A.</t>
        </is>
      </c>
      <c r="I395" t="inlineStr">
        <is>
          <t>Empresa Eléctrica Carén S.A.</t>
        </is>
      </c>
      <c r="J395" t="inlineStr">
        <is>
          <t>SIC 2013/03_2_BS1A_BB_SAESA_Empresa Eléctrica Carén S.A.</t>
        </is>
      </c>
      <c r="K395" t="inlineStr">
        <is>
          <t>Osorno 13.8</t>
        </is>
      </c>
      <c r="L395" t="inlineStr">
        <is>
          <t>-1</t>
        </is>
      </c>
      <c r="M395" t="n">
        <v>6809.351156306609</v>
      </c>
      <c r="N395" t="n">
        <v>0</v>
      </c>
      <c r="O395" t="inlineStr">
        <is>
          <t>6</t>
        </is>
      </c>
      <c r="P395" s="2" t="n">
        <v>44659.60028225694</v>
      </c>
      <c r="Q395" t="n">
        <v>6</v>
      </c>
      <c r="R395" t="inlineStr">
        <is>
          <t>MELIPULLI 220</t>
        </is>
      </c>
      <c r="S395" t="n">
        <v>75.34017088182598</v>
      </c>
      <c r="T395" t="n">
        <v>5147.875751021706</v>
      </c>
      <c r="U395" t="n">
        <v>0</v>
      </c>
      <c r="V395" t="n">
        <v>0</v>
      </c>
      <c r="W395" t="inlineStr">
        <is>
          <t>SAESA</t>
        </is>
      </c>
      <c r="X395" t="n">
        <v>75.50102995238471</v>
      </c>
      <c r="Y395" t="n">
        <v>5.147875751021706</v>
      </c>
      <c r="Z395" t="n">
        <v>5688.260498366526</v>
      </c>
      <c r="AA395" t="n">
        <v>0</v>
      </c>
      <c r="AB395" t="n">
        <v>0</v>
      </c>
      <c r="AC395" t="n">
        <v>0</v>
      </c>
      <c r="AD395" s="2" t="n">
        <v>44256</v>
      </c>
    </row>
    <row r="396">
      <c r="A396" t="n">
        <v>-1</v>
      </c>
      <c r="B396" t="inlineStr">
        <is>
          <t>01-03-2021</t>
        </is>
      </c>
      <c r="C396" t="n">
        <v>2021</v>
      </c>
      <c r="D396" t="n">
        <v>3</v>
      </c>
      <c r="E396" t="inlineStr">
        <is>
          <t>Osorno 13.8</t>
        </is>
      </c>
      <c r="F396" t="inlineStr">
        <is>
          <t>Saesa</t>
        </is>
      </c>
      <c r="G396" t="inlineStr">
        <is>
          <t>Saesa</t>
        </is>
      </c>
      <c r="H396" t="inlineStr">
        <is>
          <t>Empresa Eléctrica Carén S.A.</t>
        </is>
      </c>
      <c r="I396" t="inlineStr">
        <is>
          <t>Empresa Eléctrica Carén S.A.</t>
        </is>
      </c>
      <c r="J396" t="inlineStr">
        <is>
          <t>SIC 2013/03_2_BS1A_BB_SAESA_Empresa Eléctrica Carén S.A.</t>
        </is>
      </c>
      <c r="K396" t="inlineStr">
        <is>
          <t>Osorno 13.8</t>
        </is>
      </c>
      <c r="L396" t="inlineStr">
        <is>
          <t>-1</t>
        </is>
      </c>
      <c r="M396" t="n">
        <v>6809.351156306609</v>
      </c>
      <c r="N396" t="n">
        <v>0</v>
      </c>
      <c r="O396" t="inlineStr">
        <is>
          <t>6</t>
        </is>
      </c>
      <c r="P396" s="2" t="n">
        <v>44659.60028225694</v>
      </c>
      <c r="Q396" t="n">
        <v>68</v>
      </c>
      <c r="R396" t="inlineStr">
        <is>
          <t>RAHUE 220</t>
        </is>
      </c>
      <c r="S396" t="n">
        <v>6838.473472694111</v>
      </c>
      <c r="T396" t="n">
        <v>474548.2113916221</v>
      </c>
      <c r="U396" t="n">
        <v>0</v>
      </c>
      <c r="V396" t="n">
        <v>0</v>
      </c>
      <c r="W396" t="inlineStr">
        <is>
          <t>SAESA</t>
        </is>
      </c>
      <c r="X396" t="n">
        <v>76.67832106315818</v>
      </c>
      <c r="Y396" t="n">
        <v>474.548211391622</v>
      </c>
      <c r="Z396" t="n">
        <v>524362.6645211293</v>
      </c>
      <c r="AA396" t="n">
        <v>0</v>
      </c>
      <c r="AB396" t="n">
        <v>0</v>
      </c>
      <c r="AC396" t="n">
        <v>0</v>
      </c>
      <c r="AD396" s="2" t="n">
        <v>44256</v>
      </c>
    </row>
    <row r="397">
      <c r="A397" t="n">
        <v>-1</v>
      </c>
      <c r="B397" t="inlineStr">
        <is>
          <t>01-03-2021</t>
        </is>
      </c>
      <c r="C397" t="n">
        <v>2021</v>
      </c>
      <c r="D397" t="n">
        <v>3</v>
      </c>
      <c r="E397" t="inlineStr">
        <is>
          <t>Osorno 13.8</t>
        </is>
      </c>
      <c r="F397" t="inlineStr">
        <is>
          <t>Saesa</t>
        </is>
      </c>
      <c r="G397" t="inlineStr">
        <is>
          <t>Saesa</t>
        </is>
      </c>
      <c r="H397" t="inlineStr">
        <is>
          <t>Empresa Eléctrica Carén S.A.</t>
        </is>
      </c>
      <c r="I397" t="inlineStr">
        <is>
          <t>Empresa Eléctrica Carén S.A.</t>
        </is>
      </c>
      <c r="J397" t="inlineStr">
        <is>
          <t>SIC 2013/03_2_BS1A_BB_SAESA_Empresa Eléctrica Carén S.A.</t>
        </is>
      </c>
      <c r="K397" t="inlineStr">
        <is>
          <t>Osorno 13.8</t>
        </is>
      </c>
      <c r="L397" t="inlineStr">
        <is>
          <t>-1</t>
        </is>
      </c>
      <c r="M397" t="n">
        <v>6809.351156306609</v>
      </c>
      <c r="N397" t="n">
        <v>0</v>
      </c>
      <c r="O397" t="inlineStr">
        <is>
          <t>6</t>
        </is>
      </c>
      <c r="P397" s="2" t="n">
        <v>44659.60028225694</v>
      </c>
      <c r="Q397" t="n">
        <v>17</v>
      </c>
      <c r="R397" t="inlineStr">
        <is>
          <t>VALDIVIA 220</t>
        </is>
      </c>
      <c r="S397" t="n">
        <v>42.0862805067901</v>
      </c>
      <c r="T397" t="n">
        <v>3214.200562909438</v>
      </c>
      <c r="U397" t="n">
        <v>0</v>
      </c>
      <c r="V397" t="n">
        <v>0</v>
      </c>
      <c r="W397" t="inlineStr">
        <is>
          <t>SAESA</t>
        </is>
      </c>
      <c r="X397" t="n">
        <v>84.38861284905239</v>
      </c>
      <c r="Y397" t="n">
        <v>3.214200562909439</v>
      </c>
      <c r="Z397" t="n">
        <v>3551.60283194413</v>
      </c>
      <c r="AA397" t="n">
        <v>0</v>
      </c>
      <c r="AB397" t="n">
        <v>0</v>
      </c>
      <c r="AC397" t="n">
        <v>0</v>
      </c>
      <c r="AD397" s="2" t="n">
        <v>44256</v>
      </c>
    </row>
    <row r="398">
      <c r="A398" t="n">
        <v>-1</v>
      </c>
      <c r="B398" t="inlineStr">
        <is>
          <t>01-03-2021</t>
        </is>
      </c>
      <c r="C398" t="n">
        <v>2021</v>
      </c>
      <c r="D398" t="n">
        <v>3</v>
      </c>
      <c r="E398" t="inlineStr">
        <is>
          <t>Panguipulli 023</t>
        </is>
      </c>
      <c r="F398" t="inlineStr">
        <is>
          <t>Saesa</t>
        </is>
      </c>
      <c r="G398" t="inlineStr">
        <is>
          <t>Saesa</t>
        </is>
      </c>
      <c r="H398" t="inlineStr">
        <is>
          <t>Empresa Eléctrica Carén S.A.</t>
        </is>
      </c>
      <c r="I398" t="inlineStr">
        <is>
          <t>Empresa Eléctrica Carén S.A.</t>
        </is>
      </c>
      <c r="J398" t="inlineStr">
        <is>
          <t>SIC 2013/03_2_BS1A_BB_SAESA_Empresa Eléctrica Carén S.A.</t>
        </is>
      </c>
      <c r="K398" t="inlineStr">
        <is>
          <t>Panguipulli 023</t>
        </is>
      </c>
      <c r="L398" t="inlineStr">
        <is>
          <t>-1</t>
        </is>
      </c>
      <c r="M398" t="n">
        <v>2512.669066660213</v>
      </c>
      <c r="N398" t="n">
        <v>0</v>
      </c>
      <c r="O398" t="inlineStr">
        <is>
          <t>6</t>
        </is>
      </c>
      <c r="P398" s="2" t="n">
        <v>44659.60028225694</v>
      </c>
      <c r="Q398" t="n">
        <v>6</v>
      </c>
      <c r="R398" t="inlineStr">
        <is>
          <t>MELIPULLI 220</t>
        </is>
      </c>
      <c r="S398" t="n">
        <v>9.155473014315074</v>
      </c>
      <c r="T398" t="n">
        <v>625.5791162652573</v>
      </c>
      <c r="U398" t="n">
        <v>0</v>
      </c>
      <c r="V398" t="n">
        <v>0</v>
      </c>
      <c r="W398" t="inlineStr">
        <is>
          <t>SAESA</t>
        </is>
      </c>
      <c r="X398" t="n">
        <v>75.50102995238471</v>
      </c>
      <c r="Y398" t="n">
        <v>0.6255791162652573</v>
      </c>
      <c r="Z398" t="n">
        <v>691.2476422820523</v>
      </c>
      <c r="AA398" t="n">
        <v>0</v>
      </c>
      <c r="AB398" t="n">
        <v>0</v>
      </c>
      <c r="AC398" t="n">
        <v>0</v>
      </c>
      <c r="AD398" s="2" t="n">
        <v>44256</v>
      </c>
    </row>
    <row r="399">
      <c r="A399" t="n">
        <v>-1</v>
      </c>
      <c r="B399" t="inlineStr">
        <is>
          <t>01-03-2021</t>
        </is>
      </c>
      <c r="C399" t="n">
        <v>2021</v>
      </c>
      <c r="D399" t="n">
        <v>3</v>
      </c>
      <c r="E399" t="inlineStr">
        <is>
          <t>Panguipulli 023</t>
        </is>
      </c>
      <c r="F399" t="inlineStr">
        <is>
          <t>Saesa</t>
        </is>
      </c>
      <c r="G399" t="inlineStr">
        <is>
          <t>Saesa</t>
        </is>
      </c>
      <c r="H399" t="inlineStr">
        <is>
          <t>Empresa Eléctrica Carén S.A.</t>
        </is>
      </c>
      <c r="I399" t="inlineStr">
        <is>
          <t>Empresa Eléctrica Carén S.A.</t>
        </is>
      </c>
      <c r="J399" t="inlineStr">
        <is>
          <t>SIC 2013/03_2_BS1A_BB_SAESA_Empresa Eléctrica Carén S.A.</t>
        </is>
      </c>
      <c r="K399" t="inlineStr">
        <is>
          <t>Panguipulli 023</t>
        </is>
      </c>
      <c r="L399" t="inlineStr">
        <is>
          <t>-1</t>
        </is>
      </c>
      <c r="M399" t="n">
        <v>2512.669066660213</v>
      </c>
      <c r="N399" t="n">
        <v>0</v>
      </c>
      <c r="O399" t="inlineStr">
        <is>
          <t>6</t>
        </is>
      </c>
      <c r="P399" s="2" t="n">
        <v>44659.60028225694</v>
      </c>
      <c r="Q399" t="n">
        <v>68</v>
      </c>
      <c r="R399" t="inlineStr">
        <is>
          <t>RAHUE 220</t>
        </is>
      </c>
      <c r="S399" t="n">
        <v>718.9941901978907</v>
      </c>
      <c r="T399" t="n">
        <v>49893.79695947804</v>
      </c>
      <c r="U399" t="n">
        <v>0</v>
      </c>
      <c r="V399" t="n">
        <v>0</v>
      </c>
      <c r="W399" t="inlineStr">
        <is>
          <t>SAESA</t>
        </is>
      </c>
      <c r="X399" t="n">
        <v>76.67832106315818</v>
      </c>
      <c r="Y399" t="n">
        <v>49.89379695947805</v>
      </c>
      <c r="Z399" t="n">
        <v>55131.26735853928</v>
      </c>
      <c r="AA399" t="n">
        <v>0</v>
      </c>
      <c r="AB399" t="n">
        <v>0</v>
      </c>
      <c r="AC399" t="n">
        <v>0</v>
      </c>
      <c r="AD399" s="2" t="n">
        <v>44256</v>
      </c>
    </row>
    <row r="400">
      <c r="A400" t="n">
        <v>-1</v>
      </c>
      <c r="B400" t="inlineStr">
        <is>
          <t>01-03-2021</t>
        </is>
      </c>
      <c r="C400" t="n">
        <v>2021</v>
      </c>
      <c r="D400" t="n">
        <v>3</v>
      </c>
      <c r="E400" t="inlineStr">
        <is>
          <t>Panguipulli 023</t>
        </is>
      </c>
      <c r="F400" t="inlineStr">
        <is>
          <t>Saesa</t>
        </is>
      </c>
      <c r="G400" t="inlineStr">
        <is>
          <t>Saesa</t>
        </is>
      </c>
      <c r="H400" t="inlineStr">
        <is>
          <t>Empresa Eléctrica Carén S.A.</t>
        </is>
      </c>
      <c r="I400" t="inlineStr">
        <is>
          <t>Empresa Eléctrica Carén S.A.</t>
        </is>
      </c>
      <c r="J400" t="inlineStr">
        <is>
          <t>SIC 2013/03_2_BS1A_BB_SAESA_Empresa Eléctrica Carén S.A.</t>
        </is>
      </c>
      <c r="K400" t="inlineStr">
        <is>
          <t>Panguipulli 023</t>
        </is>
      </c>
      <c r="L400" t="inlineStr">
        <is>
          <t>-1</t>
        </is>
      </c>
      <c r="M400" t="n">
        <v>2512.669066660213</v>
      </c>
      <c r="N400" t="n">
        <v>0</v>
      </c>
      <c r="O400" t="inlineStr">
        <is>
          <t>6</t>
        </is>
      </c>
      <c r="P400" s="2" t="n">
        <v>44659.60028225694</v>
      </c>
      <c r="Q400" t="n">
        <v>17</v>
      </c>
      <c r="R400" t="inlineStr">
        <is>
          <t>VALDIVIA 220</t>
        </is>
      </c>
      <c r="S400" t="n">
        <v>1838.596296693139</v>
      </c>
      <c r="T400" t="n">
        <v>140416.7149159416</v>
      </c>
      <c r="U400" t="n">
        <v>0</v>
      </c>
      <c r="V400" t="n">
        <v>0</v>
      </c>
      <c r="W400" t="inlineStr">
        <is>
          <t>SAESA</t>
        </is>
      </c>
      <c r="X400" t="n">
        <v>84.38861284905238</v>
      </c>
      <c r="Y400" t="n">
        <v>140.4167149159416</v>
      </c>
      <c r="Z400" t="n">
        <v>155156.5910673388</v>
      </c>
      <c r="AA400" t="n">
        <v>0</v>
      </c>
      <c r="AB400" t="n">
        <v>0</v>
      </c>
      <c r="AC400" t="n">
        <v>0</v>
      </c>
      <c r="AD400" s="2" t="n">
        <v>44256</v>
      </c>
    </row>
    <row r="401">
      <c r="A401" t="n">
        <v>-1</v>
      </c>
      <c r="B401" t="inlineStr">
        <is>
          <t>01-03-2021</t>
        </is>
      </c>
      <c r="C401" t="n">
        <v>2021</v>
      </c>
      <c r="D401" t="n">
        <v>3</v>
      </c>
      <c r="E401" t="inlineStr">
        <is>
          <t>Pargua 23</t>
        </is>
      </c>
      <c r="F401" t="inlineStr">
        <is>
          <t>Saesa</t>
        </is>
      </c>
      <c r="G401" t="inlineStr">
        <is>
          <t>Saesa</t>
        </is>
      </c>
      <c r="H401" t="inlineStr">
        <is>
          <t>Empresa Eléctrica Carén S.A.</t>
        </is>
      </c>
      <c r="I401" t="inlineStr">
        <is>
          <t>Empresa Eléctrica Carén S.A.</t>
        </is>
      </c>
      <c r="J401" t="inlineStr">
        <is>
          <t>SIC 2013/03_2_BS1A_BB_SAESA_Empresa Eléctrica Carén S.A.</t>
        </is>
      </c>
      <c r="K401" t="inlineStr">
        <is>
          <t>Pargua 23</t>
        </is>
      </c>
      <c r="L401" t="inlineStr">
        <is>
          <t>-1</t>
        </is>
      </c>
      <c r="M401" t="n">
        <v>220.5202356275929</v>
      </c>
      <c r="N401" t="n">
        <v>0</v>
      </c>
      <c r="O401" t="inlineStr">
        <is>
          <t>6</t>
        </is>
      </c>
      <c r="P401" s="2" t="n">
        <v>44659.60028225694</v>
      </c>
      <c r="Q401" t="n">
        <v>6</v>
      </c>
      <c r="R401" t="inlineStr">
        <is>
          <t>MELIPULLI 220</t>
        </is>
      </c>
      <c r="S401" t="n">
        <v>225.2662045252303</v>
      </c>
      <c r="T401" t="n">
        <v>15392.08656188309</v>
      </c>
      <c r="U401" t="n">
        <v>0</v>
      </c>
      <c r="V401" t="n">
        <v>0</v>
      </c>
      <c r="W401" t="inlineStr">
        <is>
          <t>SAESA</t>
        </is>
      </c>
      <c r="X401" t="n">
        <v>75.50102995238473</v>
      </c>
      <c r="Y401" t="n">
        <v>15.39208656188309</v>
      </c>
      <c r="Z401" t="n">
        <v>17007.83045511944</v>
      </c>
      <c r="AA401" t="n">
        <v>0</v>
      </c>
      <c r="AB401" t="n">
        <v>0</v>
      </c>
      <c r="AC401" t="n">
        <v>0</v>
      </c>
      <c r="AD401" s="2" t="n">
        <v>44256</v>
      </c>
    </row>
    <row r="402">
      <c r="A402" t="n">
        <v>-1</v>
      </c>
      <c r="B402" t="inlineStr">
        <is>
          <t>01-03-2021</t>
        </is>
      </c>
      <c r="C402" t="n">
        <v>2021</v>
      </c>
      <c r="D402" t="n">
        <v>3</v>
      </c>
      <c r="E402" t="inlineStr">
        <is>
          <t>Picarte 13.8</t>
        </is>
      </c>
      <c r="F402" t="inlineStr">
        <is>
          <t>Saesa</t>
        </is>
      </c>
      <c r="G402" t="inlineStr">
        <is>
          <t>Saesa</t>
        </is>
      </c>
      <c r="H402" t="inlineStr">
        <is>
          <t>Empresa Eléctrica Carén S.A.</t>
        </is>
      </c>
      <c r="I402" t="inlineStr">
        <is>
          <t>Empresa Eléctrica Carén S.A.</t>
        </is>
      </c>
      <c r="J402" t="inlineStr">
        <is>
          <t>SIC 2013/03_2_BS1A_BB_SAESA_Empresa Eléctrica Carén S.A.</t>
        </is>
      </c>
      <c r="K402" t="inlineStr">
        <is>
          <t>Picarte 13.8</t>
        </is>
      </c>
      <c r="L402" t="inlineStr">
        <is>
          <t>-1</t>
        </is>
      </c>
      <c r="M402" t="n">
        <v>6800.72694699874</v>
      </c>
      <c r="N402" t="n">
        <v>0</v>
      </c>
      <c r="O402" t="inlineStr">
        <is>
          <t>6</t>
        </is>
      </c>
      <c r="P402" s="2" t="n">
        <v>44659.60028225694</v>
      </c>
      <c r="Q402" t="n">
        <v>6</v>
      </c>
      <c r="R402" t="inlineStr">
        <is>
          <t>MELIPULLI 220</t>
        </is>
      </c>
      <c r="S402" t="n">
        <v>9.874796457440155</v>
      </c>
      <c r="T402" t="n">
        <v>674.7293593117369</v>
      </c>
      <c r="U402" t="n">
        <v>0</v>
      </c>
      <c r="V402" t="n">
        <v>0</v>
      </c>
      <c r="W402" t="inlineStr">
        <is>
          <t>SAESA</t>
        </is>
      </c>
      <c r="X402" t="n">
        <v>75.50102995238471</v>
      </c>
      <c r="Y402" t="n">
        <v>0.6747293593117369</v>
      </c>
      <c r="Z402" t="n">
        <v>745.5573031068916</v>
      </c>
      <c r="AA402" t="n">
        <v>0</v>
      </c>
      <c r="AB402" t="n">
        <v>0</v>
      </c>
      <c r="AC402" t="n">
        <v>0</v>
      </c>
      <c r="AD402" s="2" t="n">
        <v>44256</v>
      </c>
    </row>
    <row r="403">
      <c r="A403" t="n">
        <v>-1</v>
      </c>
      <c r="B403" t="inlineStr">
        <is>
          <t>01-03-2021</t>
        </is>
      </c>
      <c r="C403" t="n">
        <v>2021</v>
      </c>
      <c r="D403" t="n">
        <v>3</v>
      </c>
      <c r="E403" t="inlineStr">
        <is>
          <t>Picarte 13.8</t>
        </is>
      </c>
      <c r="F403" t="inlineStr">
        <is>
          <t>Saesa</t>
        </is>
      </c>
      <c r="G403" t="inlineStr">
        <is>
          <t>Saesa</t>
        </is>
      </c>
      <c r="H403" t="inlineStr">
        <is>
          <t>Empresa Eléctrica Carén S.A.</t>
        </is>
      </c>
      <c r="I403" t="inlineStr">
        <is>
          <t>Empresa Eléctrica Carén S.A.</t>
        </is>
      </c>
      <c r="J403" t="inlineStr">
        <is>
          <t>SIC 2013/03_2_BS1A_BB_SAESA_Empresa Eléctrica Carén S.A.</t>
        </is>
      </c>
      <c r="K403" t="inlineStr">
        <is>
          <t>Picarte 13.8</t>
        </is>
      </c>
      <c r="L403" t="inlineStr">
        <is>
          <t>-1</t>
        </is>
      </c>
      <c r="M403" t="n">
        <v>6800.72694699874</v>
      </c>
      <c r="N403" t="n">
        <v>0</v>
      </c>
      <c r="O403" t="inlineStr">
        <is>
          <t>6</t>
        </is>
      </c>
      <c r="P403" s="2" t="n">
        <v>44659.60028225694</v>
      </c>
      <c r="Q403" t="n">
        <v>68</v>
      </c>
      <c r="R403" t="inlineStr">
        <is>
          <t>RAHUE 220</t>
        </is>
      </c>
      <c r="S403" t="n">
        <v>637.3567514018018</v>
      </c>
      <c r="T403" t="n">
        <v>44228.65828226176</v>
      </c>
      <c r="U403" t="n">
        <v>0</v>
      </c>
      <c r="V403" t="n">
        <v>0</v>
      </c>
      <c r="W403" t="inlineStr">
        <is>
          <t>SAESA</t>
        </is>
      </c>
      <c r="X403" t="n">
        <v>76.67832106315818</v>
      </c>
      <c r="Y403" t="n">
        <v>44.22865828226176</v>
      </c>
      <c r="Z403" t="n">
        <v>48871.44561575885</v>
      </c>
      <c r="AA403" t="n">
        <v>0</v>
      </c>
      <c r="AB403" t="n">
        <v>0</v>
      </c>
      <c r="AC403" t="n">
        <v>0</v>
      </c>
      <c r="AD403" s="2" t="n">
        <v>44256</v>
      </c>
    </row>
    <row r="404">
      <c r="A404" t="n">
        <v>-1</v>
      </c>
      <c r="B404" t="inlineStr">
        <is>
          <t>01-03-2021</t>
        </is>
      </c>
      <c r="C404" t="n">
        <v>2021</v>
      </c>
      <c r="D404" t="n">
        <v>3</v>
      </c>
      <c r="E404" t="inlineStr">
        <is>
          <t>Picarte 13.8</t>
        </is>
      </c>
      <c r="F404" t="inlineStr">
        <is>
          <t>Saesa</t>
        </is>
      </c>
      <c r="G404" t="inlineStr">
        <is>
          <t>Saesa</t>
        </is>
      </c>
      <c r="H404" t="inlineStr">
        <is>
          <t>Empresa Eléctrica Carén S.A.</t>
        </is>
      </c>
      <c r="I404" t="inlineStr">
        <is>
          <t>Empresa Eléctrica Carén S.A.</t>
        </is>
      </c>
      <c r="J404" t="inlineStr">
        <is>
          <t>SIC 2013/03_2_BS1A_BB_SAESA_Empresa Eléctrica Carén S.A.</t>
        </is>
      </c>
      <c r="K404" t="inlineStr">
        <is>
          <t>Picarte 13.8</t>
        </is>
      </c>
      <c r="L404" t="inlineStr">
        <is>
          <t>-1</t>
        </is>
      </c>
      <c r="M404" t="n">
        <v>6800.72694699874</v>
      </c>
      <c r="N404" t="n">
        <v>0</v>
      </c>
      <c r="O404" t="inlineStr">
        <is>
          <t>6</t>
        </is>
      </c>
      <c r="P404" s="2" t="n">
        <v>44659.60028225694</v>
      </c>
      <c r="Q404" t="n">
        <v>17</v>
      </c>
      <c r="R404" t="inlineStr">
        <is>
          <t>VALDIVIA 220</t>
        </is>
      </c>
      <c r="S404" t="n">
        <v>6299.858559327152</v>
      </c>
      <c r="T404" t="n">
        <v>481130.8740949975</v>
      </c>
      <c r="U404" t="n">
        <v>0</v>
      </c>
      <c r="V404" t="n">
        <v>0</v>
      </c>
      <c r="W404" t="inlineStr">
        <is>
          <t>SAESA</t>
        </is>
      </c>
      <c r="X404" t="n">
        <v>84.38861284905238</v>
      </c>
      <c r="Y404" t="n">
        <v>481.1308740949974</v>
      </c>
      <c r="Z404" t="n">
        <v>531636.324966848</v>
      </c>
      <c r="AA404" t="n">
        <v>0</v>
      </c>
      <c r="AB404" t="n">
        <v>0</v>
      </c>
      <c r="AC404" t="n">
        <v>0</v>
      </c>
      <c r="AD404" s="2" t="n">
        <v>44256</v>
      </c>
    </row>
    <row r="405">
      <c r="A405" t="n">
        <v>-1</v>
      </c>
      <c r="B405" t="inlineStr">
        <is>
          <t>01-03-2021</t>
        </is>
      </c>
      <c r="C405" t="n">
        <v>2021</v>
      </c>
      <c r="D405" t="n">
        <v>3</v>
      </c>
      <c r="E405" t="inlineStr">
        <is>
          <t>Pichil 023</t>
        </is>
      </c>
      <c r="F405" t="inlineStr">
        <is>
          <t>Saesa</t>
        </is>
      </c>
      <c r="G405" t="inlineStr">
        <is>
          <t>Saesa</t>
        </is>
      </c>
      <c r="H405" t="inlineStr">
        <is>
          <t>Empresa Eléctrica Carén S.A.</t>
        </is>
      </c>
      <c r="I405" t="inlineStr">
        <is>
          <t>Empresa Eléctrica Carén S.A.</t>
        </is>
      </c>
      <c r="J405" t="inlineStr">
        <is>
          <t>SIC 2013/03_2_BS1A_BB_SAESA_Empresa Eléctrica Carén S.A.</t>
        </is>
      </c>
      <c r="K405" t="inlineStr">
        <is>
          <t>Pichil 023</t>
        </is>
      </c>
      <c r="L405" t="inlineStr">
        <is>
          <t>-1</t>
        </is>
      </c>
      <c r="M405" t="n">
        <v>262.3059413956988</v>
      </c>
      <c r="N405" t="n">
        <v>0</v>
      </c>
      <c r="O405" t="inlineStr">
        <is>
          <t>6</t>
        </is>
      </c>
      <c r="P405" s="2" t="n">
        <v>44659.60028225694</v>
      </c>
      <c r="Q405" t="n">
        <v>6</v>
      </c>
      <c r="R405" t="inlineStr">
        <is>
          <t>MELIPULLI 220</t>
        </is>
      </c>
      <c r="S405" t="n">
        <v>4.244152648925859</v>
      </c>
      <c r="T405" t="n">
        <v>289.996296123485</v>
      </c>
      <c r="U405" t="n">
        <v>0</v>
      </c>
      <c r="V405" t="n">
        <v>0</v>
      </c>
      <c r="W405" t="inlineStr">
        <is>
          <t>SAESA</t>
        </is>
      </c>
      <c r="X405" t="n">
        <v>75.50102995238471</v>
      </c>
      <c r="Y405" t="n">
        <v>0.289996296123485</v>
      </c>
      <c r="Z405" t="n">
        <v>320.4378962690442</v>
      </c>
      <c r="AA405" t="n">
        <v>0</v>
      </c>
      <c r="AB405" t="n">
        <v>0</v>
      </c>
      <c r="AC405" t="n">
        <v>0</v>
      </c>
      <c r="AD405" s="2" t="n">
        <v>44256</v>
      </c>
    </row>
    <row r="406">
      <c r="A406" t="n">
        <v>-1</v>
      </c>
      <c r="B406" t="inlineStr">
        <is>
          <t>01-03-2021</t>
        </is>
      </c>
      <c r="C406" t="n">
        <v>2021</v>
      </c>
      <c r="D406" t="n">
        <v>3</v>
      </c>
      <c r="E406" t="inlineStr">
        <is>
          <t>Pichil 023</t>
        </is>
      </c>
      <c r="F406" t="inlineStr">
        <is>
          <t>Saesa</t>
        </is>
      </c>
      <c r="G406" t="inlineStr">
        <is>
          <t>Saesa</t>
        </is>
      </c>
      <c r="H406" t="inlineStr">
        <is>
          <t>Empresa Eléctrica Carén S.A.</t>
        </is>
      </c>
      <c r="I406" t="inlineStr">
        <is>
          <t>Empresa Eléctrica Carén S.A.</t>
        </is>
      </c>
      <c r="J406" t="inlineStr">
        <is>
          <t>SIC 2013/03_2_BS1A_BB_SAESA_Empresa Eléctrica Carén S.A.</t>
        </is>
      </c>
      <c r="K406" t="inlineStr">
        <is>
          <t>Pichil 023</t>
        </is>
      </c>
      <c r="L406" t="inlineStr">
        <is>
          <t>-1</t>
        </is>
      </c>
      <c r="M406" t="n">
        <v>262.3059413956988</v>
      </c>
      <c r="N406" t="n">
        <v>0</v>
      </c>
      <c r="O406" t="inlineStr">
        <is>
          <t>6</t>
        </is>
      </c>
      <c r="P406" s="2" t="n">
        <v>44659.60028225694</v>
      </c>
      <c r="Q406" t="n">
        <v>68</v>
      </c>
      <c r="R406" t="inlineStr">
        <is>
          <t>RAHUE 220</t>
        </is>
      </c>
      <c r="S406" t="n">
        <v>262.1518207339707</v>
      </c>
      <c r="T406" t="n">
        <v>18191.73213716546</v>
      </c>
      <c r="U406" t="n">
        <v>0</v>
      </c>
      <c r="V406" t="n">
        <v>0</v>
      </c>
      <c r="W406" t="inlineStr">
        <is>
          <t>SAESA</t>
        </is>
      </c>
      <c r="X406" t="n">
        <v>76.67832106315818</v>
      </c>
      <c r="Y406" t="n">
        <v>18.19173213716546</v>
      </c>
      <c r="Z406" t="n">
        <v>20101.3614775309</v>
      </c>
      <c r="AA406" t="n">
        <v>0</v>
      </c>
      <c r="AB406" t="n">
        <v>0</v>
      </c>
      <c r="AC406" t="n">
        <v>0</v>
      </c>
      <c r="AD406" s="2" t="n">
        <v>44256</v>
      </c>
    </row>
    <row r="407">
      <c r="A407" t="n">
        <v>-1</v>
      </c>
      <c r="B407" t="inlineStr">
        <is>
          <t>01-03-2021</t>
        </is>
      </c>
      <c r="C407" t="n">
        <v>2021</v>
      </c>
      <c r="D407" t="n">
        <v>3</v>
      </c>
      <c r="E407" t="inlineStr">
        <is>
          <t>Pichil 023</t>
        </is>
      </c>
      <c r="F407" t="inlineStr">
        <is>
          <t>Saesa</t>
        </is>
      </c>
      <c r="G407" t="inlineStr">
        <is>
          <t>Saesa</t>
        </is>
      </c>
      <c r="H407" t="inlineStr">
        <is>
          <t>Empresa Eléctrica Carén S.A.</t>
        </is>
      </c>
      <c r="I407" t="inlineStr">
        <is>
          <t>Empresa Eléctrica Carén S.A.</t>
        </is>
      </c>
      <c r="J407" t="inlineStr">
        <is>
          <t>SIC 2013/03_2_BS1A_BB_SAESA_Empresa Eléctrica Carén S.A.</t>
        </is>
      </c>
      <c r="K407" t="inlineStr">
        <is>
          <t>Pichil 023</t>
        </is>
      </c>
      <c r="L407" t="inlineStr">
        <is>
          <t>-1</t>
        </is>
      </c>
      <c r="M407" t="n">
        <v>262.3059413956988</v>
      </c>
      <c r="N407" t="n">
        <v>0</v>
      </c>
      <c r="O407" t="inlineStr">
        <is>
          <t>6</t>
        </is>
      </c>
      <c r="P407" s="2" t="n">
        <v>44659.60028225694</v>
      </c>
      <c r="Q407" t="n">
        <v>17</v>
      </c>
      <c r="R407" t="inlineStr">
        <is>
          <t>VALDIVIA 220</t>
        </is>
      </c>
      <c r="S407" t="n">
        <v>1.555236058097676</v>
      </c>
      <c r="T407" t="n">
        <v>118.7760133041004</v>
      </c>
      <c r="U407" t="n">
        <v>0</v>
      </c>
      <c r="V407" t="n">
        <v>0</v>
      </c>
      <c r="W407" t="inlineStr">
        <is>
          <t>SAESA</t>
        </is>
      </c>
      <c r="X407" t="n">
        <v>84.38861284905239</v>
      </c>
      <c r="Y407" t="n">
        <v>0.1187760133041005</v>
      </c>
      <c r="Z407" t="n">
        <v>131.2442135956911</v>
      </c>
      <c r="AA407" t="n">
        <v>0</v>
      </c>
      <c r="AB407" t="n">
        <v>0</v>
      </c>
      <c r="AC407" t="n">
        <v>0</v>
      </c>
      <c r="AD407" s="2" t="n">
        <v>44256</v>
      </c>
    </row>
    <row r="408">
      <c r="A408" t="n">
        <v>-1</v>
      </c>
      <c r="B408" t="inlineStr">
        <is>
          <t>01-03-2021</t>
        </is>
      </c>
      <c r="C408" t="n">
        <v>2021</v>
      </c>
      <c r="D408" t="n">
        <v>3</v>
      </c>
      <c r="E408" t="inlineStr">
        <is>
          <t>Pichirropulli 13.8</t>
        </is>
      </c>
      <c r="F408" t="inlineStr">
        <is>
          <t>Saesa</t>
        </is>
      </c>
      <c r="G408" t="inlineStr">
        <is>
          <t>Saesa</t>
        </is>
      </c>
      <c r="H408" t="inlineStr">
        <is>
          <t>Empresa Eléctrica Carén S.A.</t>
        </is>
      </c>
      <c r="I408" t="inlineStr">
        <is>
          <t>Empresa Eléctrica Carén S.A.</t>
        </is>
      </c>
      <c r="J408" t="inlineStr">
        <is>
          <t>SIC 2013/03_2_BS1A_BB_SAESA_Empresa Eléctrica Carén S.A.</t>
        </is>
      </c>
      <c r="K408" t="inlineStr">
        <is>
          <t>Pichirropulli 13.8</t>
        </is>
      </c>
      <c r="L408" t="inlineStr">
        <is>
          <t>-1</t>
        </is>
      </c>
      <c r="M408" t="n">
        <v>1480.427012413277</v>
      </c>
      <c r="N408" t="n">
        <v>0</v>
      </c>
      <c r="O408" t="inlineStr">
        <is>
          <t>6</t>
        </is>
      </c>
      <c r="P408" s="2" t="n">
        <v>44659.60028225694</v>
      </c>
      <c r="Q408" t="n">
        <v>6</v>
      </c>
      <c r="R408" t="inlineStr">
        <is>
          <t>MELIPULLI 220</t>
        </is>
      </c>
      <c r="S408" t="n">
        <v>13.96997608465601</v>
      </c>
      <c r="T408" t="n">
        <v>954.5465624355493</v>
      </c>
      <c r="U408" t="n">
        <v>0</v>
      </c>
      <c r="V408" t="n">
        <v>0</v>
      </c>
      <c r="W408" t="inlineStr">
        <is>
          <t>SAESA</t>
        </is>
      </c>
      <c r="X408" t="n">
        <v>75.50102995238471</v>
      </c>
      <c r="Y408" t="n">
        <v>0.9545465624355493</v>
      </c>
      <c r="Z408" t="n">
        <v>1054.747582801712</v>
      </c>
      <c r="AA408" t="n">
        <v>0</v>
      </c>
      <c r="AB408" t="n">
        <v>0</v>
      </c>
      <c r="AC408" t="n">
        <v>0</v>
      </c>
      <c r="AD408" s="2" t="n">
        <v>44256</v>
      </c>
    </row>
    <row r="409">
      <c r="A409" t="n">
        <v>-1</v>
      </c>
      <c r="B409" t="inlineStr">
        <is>
          <t>01-03-2021</t>
        </is>
      </c>
      <c r="C409" t="n">
        <v>2021</v>
      </c>
      <c r="D409" t="n">
        <v>3</v>
      </c>
      <c r="E409" t="inlineStr">
        <is>
          <t>Pichirropulli 13.8</t>
        </is>
      </c>
      <c r="F409" t="inlineStr">
        <is>
          <t>Saesa</t>
        </is>
      </c>
      <c r="G409" t="inlineStr">
        <is>
          <t>Saesa</t>
        </is>
      </c>
      <c r="H409" t="inlineStr">
        <is>
          <t>Empresa Eléctrica Carén S.A.</t>
        </is>
      </c>
      <c r="I409" t="inlineStr">
        <is>
          <t>Empresa Eléctrica Carén S.A.</t>
        </is>
      </c>
      <c r="J409" t="inlineStr">
        <is>
          <t>SIC 2013/03_2_BS1A_BB_SAESA_Empresa Eléctrica Carén S.A.</t>
        </is>
      </c>
      <c r="K409" t="inlineStr">
        <is>
          <t>Pichirropulli 13.8</t>
        </is>
      </c>
      <c r="L409" t="inlineStr">
        <is>
          <t>-1</t>
        </is>
      </c>
      <c r="M409" t="n">
        <v>1480.427012413277</v>
      </c>
      <c r="N409" t="n">
        <v>0</v>
      </c>
      <c r="O409" t="inlineStr">
        <is>
          <t>6</t>
        </is>
      </c>
      <c r="P409" s="2" t="n">
        <v>44659.60028225694</v>
      </c>
      <c r="Q409" t="n">
        <v>68</v>
      </c>
      <c r="R409" t="inlineStr">
        <is>
          <t>RAHUE 220</t>
        </is>
      </c>
      <c r="S409" t="n">
        <v>1363.868870034129</v>
      </c>
      <c r="T409" t="n">
        <v>94644.15346959392</v>
      </c>
      <c r="U409" t="n">
        <v>0</v>
      </c>
      <c r="V409" t="n">
        <v>0</v>
      </c>
      <c r="W409" t="inlineStr">
        <is>
          <t>SAESA</t>
        </is>
      </c>
      <c r="X409" t="n">
        <v>76.67832106315818</v>
      </c>
      <c r="Y409" t="n">
        <v>94.64415346959392</v>
      </c>
      <c r="Z409" t="n">
        <v>104579.1751045237</v>
      </c>
      <c r="AA409" t="n">
        <v>0</v>
      </c>
      <c r="AB409" t="n">
        <v>0</v>
      </c>
      <c r="AC409" t="n">
        <v>0</v>
      </c>
      <c r="AD409" s="2" t="n">
        <v>44256</v>
      </c>
    </row>
    <row r="410">
      <c r="A410" t="n">
        <v>-1</v>
      </c>
      <c r="B410" t="inlineStr">
        <is>
          <t>01-03-2021</t>
        </is>
      </c>
      <c r="C410" t="n">
        <v>2021</v>
      </c>
      <c r="D410" t="n">
        <v>3</v>
      </c>
      <c r="E410" t="inlineStr">
        <is>
          <t>Pichirropulli 13.8</t>
        </is>
      </c>
      <c r="F410" t="inlineStr">
        <is>
          <t>Saesa</t>
        </is>
      </c>
      <c r="G410" t="inlineStr">
        <is>
          <t>Saesa</t>
        </is>
      </c>
      <c r="H410" t="inlineStr">
        <is>
          <t>Empresa Eléctrica Carén S.A.</t>
        </is>
      </c>
      <c r="I410" t="inlineStr">
        <is>
          <t>Empresa Eléctrica Carén S.A.</t>
        </is>
      </c>
      <c r="J410" t="inlineStr">
        <is>
          <t>SIC 2013/03_2_BS1A_BB_SAESA_Empresa Eléctrica Carén S.A.</t>
        </is>
      </c>
      <c r="K410" t="inlineStr">
        <is>
          <t>Pichirropulli 13.8</t>
        </is>
      </c>
      <c r="L410" t="inlineStr">
        <is>
          <t>-1</t>
        </is>
      </c>
      <c r="M410" t="n">
        <v>1480.427012413277</v>
      </c>
      <c r="N410" t="n">
        <v>0</v>
      </c>
      <c r="O410" t="inlineStr">
        <is>
          <t>6</t>
        </is>
      </c>
      <c r="P410" s="2" t="n">
        <v>44659.60028225694</v>
      </c>
      <c r="Q410" t="n">
        <v>17</v>
      </c>
      <c r="R410" t="inlineStr">
        <is>
          <t>VALDIVIA 220</t>
        </is>
      </c>
      <c r="S410" t="n">
        <v>134.4494625430644</v>
      </c>
      <c r="T410" t="n">
        <v>10268.1332962904</v>
      </c>
      <c r="U410" t="n">
        <v>0</v>
      </c>
      <c r="V410" t="n">
        <v>0</v>
      </c>
      <c r="W410" t="inlineStr">
        <is>
          <t>SAESA</t>
        </is>
      </c>
      <c r="X410" t="n">
        <v>84.38861284905238</v>
      </c>
      <c r="Y410" t="n">
        <v>10.2681332962904</v>
      </c>
      <c r="Z410" t="n">
        <v>11346.00364230984</v>
      </c>
      <c r="AA410" t="n">
        <v>0</v>
      </c>
      <c r="AB410" t="n">
        <v>0</v>
      </c>
      <c r="AC410" t="n">
        <v>0</v>
      </c>
      <c r="AD410" s="2" t="n">
        <v>44256</v>
      </c>
    </row>
    <row r="411">
      <c r="A411" t="n">
        <v>-1</v>
      </c>
      <c r="B411" t="inlineStr">
        <is>
          <t>01-03-2021</t>
        </is>
      </c>
      <c r="C411" t="n">
        <v>2021</v>
      </c>
      <c r="D411" t="n">
        <v>3</v>
      </c>
      <c r="E411" t="inlineStr">
        <is>
          <t>Pid Pid 023</t>
        </is>
      </c>
      <c r="F411" t="inlineStr">
        <is>
          <t>Saesa</t>
        </is>
      </c>
      <c r="G411" t="inlineStr">
        <is>
          <t>Saesa</t>
        </is>
      </c>
      <c r="H411" t="inlineStr">
        <is>
          <t>Empresa Eléctrica Carén S.A.</t>
        </is>
      </c>
      <c r="I411" t="inlineStr">
        <is>
          <t>Empresa Eléctrica Carén S.A.</t>
        </is>
      </c>
      <c r="J411" t="inlineStr">
        <is>
          <t>SIC 2013/03_2_BS1A_BB_SAESA_Empresa Eléctrica Carén S.A.</t>
        </is>
      </c>
      <c r="K411" t="inlineStr">
        <is>
          <t>Pid Pid 023</t>
        </is>
      </c>
      <c r="L411" t="inlineStr">
        <is>
          <t>-1</t>
        </is>
      </c>
      <c r="M411" t="n">
        <v>810.8211264321892</v>
      </c>
      <c r="N411" t="n">
        <v>0</v>
      </c>
      <c r="O411" t="inlineStr">
        <is>
          <t>6</t>
        </is>
      </c>
      <c r="P411" s="2" t="n">
        <v>44659.60028225694</v>
      </c>
      <c r="Q411" t="n">
        <v>24</v>
      </c>
      <c r="R411" t="inlineStr">
        <is>
          <t>CHILOE 220</t>
        </is>
      </c>
      <c r="S411" t="n">
        <v>828.2713701100216</v>
      </c>
      <c r="T411" t="n">
        <v>57310.59526518609</v>
      </c>
      <c r="U411" t="n">
        <v>0</v>
      </c>
      <c r="V411" t="n">
        <v>0</v>
      </c>
      <c r="W411" t="inlineStr">
        <is>
          <t>SAESA</t>
        </is>
      </c>
      <c r="X411" t="n">
        <v>76.45637273929161</v>
      </c>
      <c r="Y411" t="n">
        <v>57.31059526518609</v>
      </c>
      <c r="Z411" t="n">
        <v>63326.62460241557</v>
      </c>
      <c r="AA411" t="n">
        <v>0</v>
      </c>
      <c r="AB411" t="n">
        <v>0</v>
      </c>
      <c r="AC411" t="n">
        <v>0</v>
      </c>
      <c r="AD411" s="2" t="n">
        <v>44256</v>
      </c>
    </row>
    <row r="412">
      <c r="A412" t="n">
        <v>-1</v>
      </c>
      <c r="B412" t="inlineStr">
        <is>
          <t>01-03-2021</t>
        </is>
      </c>
      <c r="C412" t="n">
        <v>2021</v>
      </c>
      <c r="D412" t="n">
        <v>3</v>
      </c>
      <c r="E412" t="inlineStr">
        <is>
          <t>pilmaiquen 13.8</t>
        </is>
      </c>
      <c r="F412" t="inlineStr">
        <is>
          <t>Saesa</t>
        </is>
      </c>
      <c r="G412" t="inlineStr">
        <is>
          <t>Saesa</t>
        </is>
      </c>
      <c r="H412" t="inlineStr">
        <is>
          <t>Empresa Eléctrica Carén S.A.</t>
        </is>
      </c>
      <c r="I412" t="inlineStr">
        <is>
          <t>Empresa Eléctrica Carén S.A.</t>
        </is>
      </c>
      <c r="J412" t="inlineStr">
        <is>
          <t>SIC 2013/03_2_BS1A_BB_SAESA_Empresa Eléctrica Carén S.A.</t>
        </is>
      </c>
      <c r="K412" t="inlineStr">
        <is>
          <t>pilmaiquen 13.8</t>
        </is>
      </c>
      <c r="L412" t="inlineStr">
        <is>
          <t>-1</t>
        </is>
      </c>
      <c r="M412" t="n">
        <v>0</v>
      </c>
      <c r="N412" t="n">
        <v>0</v>
      </c>
      <c r="O412" t="inlineStr">
        <is>
          <t>6</t>
        </is>
      </c>
      <c r="P412" s="2" t="n">
        <v>44659.60028225694</v>
      </c>
      <c r="Q412" t="n">
        <v>6</v>
      </c>
      <c r="R412" t="inlineStr">
        <is>
          <t>MELIPULLI 220</t>
        </is>
      </c>
      <c r="S412" t="n">
        <v>0</v>
      </c>
      <c r="T412" t="n">
        <v>0</v>
      </c>
      <c r="U412" t="n">
        <v>0</v>
      </c>
      <c r="V412" t="n">
        <v>0</v>
      </c>
      <c r="W412" t="inlineStr">
        <is>
          <t>SAESA</t>
        </is>
      </c>
      <c r="X412" t="n">
        <v>0</v>
      </c>
      <c r="Y412" t="n">
        <v>0</v>
      </c>
      <c r="Z412" t="n">
        <v>0</v>
      </c>
      <c r="AA412" t="n">
        <v>0</v>
      </c>
      <c r="AB412" t="n">
        <v>0</v>
      </c>
      <c r="AC412" t="n">
        <v>0</v>
      </c>
      <c r="AD412" s="2" t="n">
        <v>44256</v>
      </c>
    </row>
    <row r="413">
      <c r="A413" t="n">
        <v>-1</v>
      </c>
      <c r="B413" t="inlineStr">
        <is>
          <t>01-03-2021</t>
        </is>
      </c>
      <c r="C413" t="n">
        <v>2021</v>
      </c>
      <c r="D413" t="n">
        <v>3</v>
      </c>
      <c r="E413" t="inlineStr">
        <is>
          <t>pilmaiquen 13.8</t>
        </is>
      </c>
      <c r="F413" t="inlineStr">
        <is>
          <t>Saesa</t>
        </is>
      </c>
      <c r="G413" t="inlineStr">
        <is>
          <t>Saesa</t>
        </is>
      </c>
      <c r="H413" t="inlineStr">
        <is>
          <t>Empresa Eléctrica Carén S.A.</t>
        </is>
      </c>
      <c r="I413" t="inlineStr">
        <is>
          <t>Empresa Eléctrica Carén S.A.</t>
        </is>
      </c>
      <c r="J413" t="inlineStr">
        <is>
          <t>SIC 2013/03_2_BS1A_BB_SAESA_Empresa Eléctrica Carén S.A.</t>
        </is>
      </c>
      <c r="K413" t="inlineStr">
        <is>
          <t>pilmaiquen 13.8</t>
        </is>
      </c>
      <c r="L413" t="inlineStr">
        <is>
          <t>-1</t>
        </is>
      </c>
      <c r="M413" t="n">
        <v>0</v>
      </c>
      <c r="N413" t="n">
        <v>0</v>
      </c>
      <c r="O413" t="inlineStr">
        <is>
          <t>6</t>
        </is>
      </c>
      <c r="P413" s="2" t="n">
        <v>44659.60028225694</v>
      </c>
      <c r="Q413" t="n">
        <v>68</v>
      </c>
      <c r="R413" t="inlineStr">
        <is>
          <t>RAHUE 220</t>
        </is>
      </c>
      <c r="S413" t="n">
        <v>0</v>
      </c>
      <c r="T413" t="n">
        <v>0</v>
      </c>
      <c r="U413" t="n">
        <v>0</v>
      </c>
      <c r="V413" t="n">
        <v>0</v>
      </c>
      <c r="W413" t="inlineStr">
        <is>
          <t>SAESA</t>
        </is>
      </c>
      <c r="X413" t="n">
        <v>0</v>
      </c>
      <c r="Y413" t="n">
        <v>0</v>
      </c>
      <c r="Z413" t="n">
        <v>0</v>
      </c>
      <c r="AA413" t="n">
        <v>0</v>
      </c>
      <c r="AB413" t="n">
        <v>0</v>
      </c>
      <c r="AC413" t="n">
        <v>0</v>
      </c>
      <c r="AD413" s="2" t="n">
        <v>44256</v>
      </c>
    </row>
    <row r="414">
      <c r="A414" t="n">
        <v>-1</v>
      </c>
      <c r="B414" t="inlineStr">
        <is>
          <t>01-03-2021</t>
        </is>
      </c>
      <c r="C414" t="n">
        <v>2021</v>
      </c>
      <c r="D414" t="n">
        <v>3</v>
      </c>
      <c r="E414" t="inlineStr">
        <is>
          <t>pilmaiquen 13.8</t>
        </is>
      </c>
      <c r="F414" t="inlineStr">
        <is>
          <t>Saesa</t>
        </is>
      </c>
      <c r="G414" t="inlineStr">
        <is>
          <t>Saesa</t>
        </is>
      </c>
      <c r="H414" t="inlineStr">
        <is>
          <t>Empresa Eléctrica Carén S.A.</t>
        </is>
      </c>
      <c r="I414" t="inlineStr">
        <is>
          <t>Empresa Eléctrica Carén S.A.</t>
        </is>
      </c>
      <c r="J414" t="inlineStr">
        <is>
          <t>SIC 2013/03_2_BS1A_BB_SAESA_Empresa Eléctrica Carén S.A.</t>
        </is>
      </c>
      <c r="K414" t="inlineStr">
        <is>
          <t>pilmaiquen 13.8</t>
        </is>
      </c>
      <c r="L414" t="inlineStr">
        <is>
          <t>-1</t>
        </is>
      </c>
      <c r="M414" t="n">
        <v>0</v>
      </c>
      <c r="N414" t="n">
        <v>0</v>
      </c>
      <c r="O414" t="inlineStr">
        <is>
          <t>6</t>
        </is>
      </c>
      <c r="P414" s="2" t="n">
        <v>44659.60028225694</v>
      </c>
      <c r="Q414" t="n">
        <v>17</v>
      </c>
      <c r="R414" t="inlineStr">
        <is>
          <t>VALDIVIA 220</t>
        </is>
      </c>
      <c r="S414" t="n">
        <v>0</v>
      </c>
      <c r="T414" t="n">
        <v>0</v>
      </c>
      <c r="U414" t="n">
        <v>0</v>
      </c>
      <c r="V414" t="n">
        <v>0</v>
      </c>
      <c r="W414" t="inlineStr">
        <is>
          <t>SAESA</t>
        </is>
      </c>
      <c r="X414" t="n">
        <v>0</v>
      </c>
      <c r="Y414" t="n">
        <v>0</v>
      </c>
      <c r="Z414" t="n">
        <v>0</v>
      </c>
      <c r="AA414" t="n">
        <v>0</v>
      </c>
      <c r="AB414" t="n">
        <v>0</v>
      </c>
      <c r="AC414" t="n">
        <v>0</v>
      </c>
      <c r="AD414" s="2" t="n">
        <v>44256</v>
      </c>
    </row>
    <row r="415">
      <c r="A415" t="n">
        <v>-1</v>
      </c>
      <c r="B415" t="inlineStr">
        <is>
          <t>01-03-2021</t>
        </is>
      </c>
      <c r="C415" t="n">
        <v>2021</v>
      </c>
      <c r="D415" t="n">
        <v>3</v>
      </c>
      <c r="E415" t="inlineStr">
        <is>
          <t>Puerto Varas 13.8</t>
        </is>
      </c>
      <c r="F415" t="inlineStr">
        <is>
          <t>Saesa</t>
        </is>
      </c>
      <c r="G415" t="inlineStr">
        <is>
          <t>Saesa</t>
        </is>
      </c>
      <c r="H415" t="inlineStr">
        <is>
          <t>Empresa Eléctrica Carén S.A.</t>
        </is>
      </c>
      <c r="I415" t="inlineStr">
        <is>
          <t>Empresa Eléctrica Carén S.A.</t>
        </is>
      </c>
      <c r="J415" t="inlineStr">
        <is>
          <t>SIC 2013/03_2_BS1A_BB_SAESA_Empresa Eléctrica Carén S.A.</t>
        </is>
      </c>
      <c r="K415" t="inlineStr">
        <is>
          <t>Puerto Varas 13.8</t>
        </is>
      </c>
      <c r="L415" t="inlineStr">
        <is>
          <t>-1</t>
        </is>
      </c>
      <c r="M415" t="n">
        <v>2711.578167341322</v>
      </c>
      <c r="N415" t="n">
        <v>0</v>
      </c>
      <c r="O415" t="inlineStr">
        <is>
          <t>6</t>
        </is>
      </c>
      <c r="P415" s="2" t="n">
        <v>44659.60028225694</v>
      </c>
      <c r="Q415" t="n">
        <v>6</v>
      </c>
      <c r="R415" t="inlineStr">
        <is>
          <t>MELIPULLI 220</t>
        </is>
      </c>
      <c r="S415" t="n">
        <v>2679.069864901955</v>
      </c>
      <c r="T415" t="n">
        <v>183056.6433736168</v>
      </c>
      <c r="U415" t="n">
        <v>0</v>
      </c>
      <c r="V415" t="n">
        <v>0</v>
      </c>
      <c r="W415" t="inlineStr">
        <is>
          <t>SAESA</t>
        </is>
      </c>
      <c r="X415" t="n">
        <v>75.50102995238471</v>
      </c>
      <c r="Y415" t="n">
        <v>183.0566433736169</v>
      </c>
      <c r="Z415" t="n">
        <v>202272.5341144937</v>
      </c>
      <c r="AA415" t="n">
        <v>0</v>
      </c>
      <c r="AB415" t="n">
        <v>0</v>
      </c>
      <c r="AC415" t="n">
        <v>0</v>
      </c>
      <c r="AD415" s="2" t="n">
        <v>44256</v>
      </c>
    </row>
    <row r="416">
      <c r="A416" t="n">
        <v>-1</v>
      </c>
      <c r="B416" t="inlineStr">
        <is>
          <t>01-03-2021</t>
        </is>
      </c>
      <c r="C416" t="n">
        <v>2021</v>
      </c>
      <c r="D416" t="n">
        <v>3</v>
      </c>
      <c r="E416" t="inlineStr">
        <is>
          <t>Puerto Varas 13.8</t>
        </is>
      </c>
      <c r="F416" t="inlineStr">
        <is>
          <t>Saesa</t>
        </is>
      </c>
      <c r="G416" t="inlineStr">
        <is>
          <t>Saesa</t>
        </is>
      </c>
      <c r="H416" t="inlineStr">
        <is>
          <t>Empresa Eléctrica Carén S.A.</t>
        </is>
      </c>
      <c r="I416" t="inlineStr">
        <is>
          <t>Empresa Eléctrica Carén S.A.</t>
        </is>
      </c>
      <c r="J416" t="inlineStr">
        <is>
          <t>SIC 2013/03_2_BS1A_BB_SAESA_Empresa Eléctrica Carén S.A.</t>
        </is>
      </c>
      <c r="K416" t="inlineStr">
        <is>
          <t>Puerto Varas 13.8</t>
        </is>
      </c>
      <c r="L416" t="inlineStr">
        <is>
          <t>-1</t>
        </is>
      </c>
      <c r="M416" t="n">
        <v>2711.578167341322</v>
      </c>
      <c r="N416" t="n">
        <v>0</v>
      </c>
      <c r="O416" t="inlineStr">
        <is>
          <t>6</t>
        </is>
      </c>
      <c r="P416" s="2" t="n">
        <v>44659.60028225694</v>
      </c>
      <c r="Q416" t="n">
        <v>68</v>
      </c>
      <c r="R416" t="inlineStr">
        <is>
          <t>RAHUE 220</t>
        </is>
      </c>
      <c r="S416" t="n">
        <v>90.86605636199464</v>
      </c>
      <c r="T416" t="n">
        <v>6305.548262338586</v>
      </c>
      <c r="U416" t="n">
        <v>0</v>
      </c>
      <c r="V416" t="n">
        <v>0</v>
      </c>
      <c r="W416" t="inlineStr">
        <is>
          <t>SAESA</t>
        </is>
      </c>
      <c r="X416" t="n">
        <v>76.67832106315818</v>
      </c>
      <c r="Y416" t="n">
        <v>6.305548262338587</v>
      </c>
      <c r="Z416" t="n">
        <v>6967.456643468051</v>
      </c>
      <c r="AA416" t="n">
        <v>0</v>
      </c>
      <c r="AB416" t="n">
        <v>0</v>
      </c>
      <c r="AC416" t="n">
        <v>0</v>
      </c>
      <c r="AD416" s="2" t="n">
        <v>44256</v>
      </c>
    </row>
    <row r="417">
      <c r="A417" t="n">
        <v>-1</v>
      </c>
      <c r="B417" t="inlineStr">
        <is>
          <t>01-03-2021</t>
        </is>
      </c>
      <c r="C417" t="n">
        <v>2021</v>
      </c>
      <c r="D417" t="n">
        <v>3</v>
      </c>
      <c r="E417" t="inlineStr">
        <is>
          <t>Pullinque 023</t>
        </is>
      </c>
      <c r="F417" t="inlineStr">
        <is>
          <t>Saesa</t>
        </is>
      </c>
      <c r="G417" t="inlineStr">
        <is>
          <t>Saesa</t>
        </is>
      </c>
      <c r="H417" t="inlineStr">
        <is>
          <t>Empresa Eléctrica Carén S.A.</t>
        </is>
      </c>
      <c r="I417" t="inlineStr">
        <is>
          <t>Empresa Eléctrica Carén S.A.</t>
        </is>
      </c>
      <c r="J417" t="inlineStr">
        <is>
          <t>SIC 2013/03_2_BS1A_BB_SAESA_Empresa Eléctrica Carén S.A.</t>
        </is>
      </c>
      <c r="K417" t="inlineStr">
        <is>
          <t>Pullinque 023</t>
        </is>
      </c>
      <c r="L417" t="inlineStr">
        <is>
          <t>-1</t>
        </is>
      </c>
      <c r="M417" t="n">
        <v>477.372408067993</v>
      </c>
      <c r="N417" t="n">
        <v>0</v>
      </c>
      <c r="O417" t="inlineStr">
        <is>
          <t>6</t>
        </is>
      </c>
      <c r="P417" s="2" t="n">
        <v>44659.60028225694</v>
      </c>
      <c r="Q417" t="n">
        <v>6</v>
      </c>
      <c r="R417" t="inlineStr">
        <is>
          <t>MELIPULLI 220</t>
        </is>
      </c>
      <c r="S417" t="n">
        <v>1.699450566613812</v>
      </c>
      <c r="T417" t="n">
        <v>116.1207926599185</v>
      </c>
      <c r="U417" t="n">
        <v>0</v>
      </c>
      <c r="V417" t="n">
        <v>0</v>
      </c>
      <c r="W417" t="inlineStr">
        <is>
          <t>SAESA</t>
        </is>
      </c>
      <c r="X417" t="n">
        <v>75.50102995238471</v>
      </c>
      <c r="Y417" t="n">
        <v>0.1161207926599184</v>
      </c>
      <c r="Z417" t="n">
        <v>128.3102681325066</v>
      </c>
      <c r="AA417" t="n">
        <v>0</v>
      </c>
      <c r="AB417" t="n">
        <v>0</v>
      </c>
      <c r="AC417" t="n">
        <v>0</v>
      </c>
      <c r="AD417" s="2" t="n">
        <v>44256</v>
      </c>
    </row>
    <row r="418">
      <c r="A418" t="n">
        <v>-1</v>
      </c>
      <c r="B418" t="inlineStr">
        <is>
          <t>01-03-2021</t>
        </is>
      </c>
      <c r="C418" t="n">
        <v>2021</v>
      </c>
      <c r="D418" t="n">
        <v>3</v>
      </c>
      <c r="E418" t="inlineStr">
        <is>
          <t>Pullinque 023</t>
        </is>
      </c>
      <c r="F418" t="inlineStr">
        <is>
          <t>Saesa</t>
        </is>
      </c>
      <c r="G418" t="inlineStr">
        <is>
          <t>Saesa</t>
        </is>
      </c>
      <c r="H418" t="inlineStr">
        <is>
          <t>Empresa Eléctrica Carén S.A.</t>
        </is>
      </c>
      <c r="I418" t="inlineStr">
        <is>
          <t>Empresa Eléctrica Carén S.A.</t>
        </is>
      </c>
      <c r="J418" t="inlineStr">
        <is>
          <t>SIC 2013/03_2_BS1A_BB_SAESA_Empresa Eléctrica Carén S.A.</t>
        </is>
      </c>
      <c r="K418" t="inlineStr">
        <is>
          <t>Pullinque 023</t>
        </is>
      </c>
      <c r="L418" t="inlineStr">
        <is>
          <t>-1</t>
        </is>
      </c>
      <c r="M418" t="n">
        <v>477.372408067993</v>
      </c>
      <c r="N418" t="n">
        <v>0</v>
      </c>
      <c r="O418" t="inlineStr">
        <is>
          <t>6</t>
        </is>
      </c>
      <c r="P418" s="2" t="n">
        <v>44659.60028225694</v>
      </c>
      <c r="Q418" t="n">
        <v>68</v>
      </c>
      <c r="R418" t="inlineStr">
        <is>
          <t>RAHUE 220</t>
        </is>
      </c>
      <c r="S418" t="n">
        <v>136.9901298893075</v>
      </c>
      <c r="T418" t="n">
        <v>9506.276711733135</v>
      </c>
      <c r="U418" t="n">
        <v>0</v>
      </c>
      <c r="V418" t="n">
        <v>0</v>
      </c>
      <c r="W418" t="inlineStr">
        <is>
          <t>SAESA</t>
        </is>
      </c>
      <c r="X418" t="n">
        <v>76.67832106315818</v>
      </c>
      <c r="Y418" t="n">
        <v>9.506276711733134</v>
      </c>
      <c r="Z418" t="n">
        <v>10504.17316213606</v>
      </c>
      <c r="AA418" t="n">
        <v>0</v>
      </c>
      <c r="AB418" t="n">
        <v>0</v>
      </c>
      <c r="AC418" t="n">
        <v>0</v>
      </c>
      <c r="AD418" s="2" t="n">
        <v>44256</v>
      </c>
    </row>
    <row r="419">
      <c r="A419" t="n">
        <v>-1</v>
      </c>
      <c r="B419" t="inlineStr">
        <is>
          <t>01-03-2021</t>
        </is>
      </c>
      <c r="C419" t="n">
        <v>2021</v>
      </c>
      <c r="D419" t="n">
        <v>3</v>
      </c>
      <c r="E419" t="inlineStr">
        <is>
          <t>Pullinque 023</t>
        </is>
      </c>
      <c r="F419" t="inlineStr">
        <is>
          <t>Saesa</t>
        </is>
      </c>
      <c r="G419" t="inlineStr">
        <is>
          <t>Saesa</t>
        </is>
      </c>
      <c r="H419" t="inlineStr">
        <is>
          <t>Empresa Eléctrica Carén S.A.</t>
        </is>
      </c>
      <c r="I419" t="inlineStr">
        <is>
          <t>Empresa Eléctrica Carén S.A.</t>
        </is>
      </c>
      <c r="J419" t="inlineStr">
        <is>
          <t>SIC 2013/03_2_BS1A_BB_SAESA_Empresa Eléctrica Carén S.A.</t>
        </is>
      </c>
      <c r="K419" t="inlineStr">
        <is>
          <t>Pullinque 023</t>
        </is>
      </c>
      <c r="L419" t="inlineStr">
        <is>
          <t>-1</t>
        </is>
      </c>
      <c r="M419" t="n">
        <v>477.372408067993</v>
      </c>
      <c r="N419" t="n">
        <v>0</v>
      </c>
      <c r="O419" t="inlineStr">
        <is>
          <t>6</t>
        </is>
      </c>
      <c r="P419" s="2" t="n">
        <v>44659.60028225694</v>
      </c>
      <c r="Q419" t="n">
        <v>17</v>
      </c>
      <c r="R419" t="inlineStr">
        <is>
          <t>VALDIVIA 220</t>
        </is>
      </c>
      <c r="S419" t="n">
        <v>348.9566902117242</v>
      </c>
      <c r="T419" t="n">
        <v>26650.41378338433</v>
      </c>
      <c r="U419" t="n">
        <v>0</v>
      </c>
      <c r="V419" t="n">
        <v>0</v>
      </c>
      <c r="W419" t="inlineStr">
        <is>
          <t>SAESA</t>
        </is>
      </c>
      <c r="X419" t="n">
        <v>84.38861284905238</v>
      </c>
      <c r="Y419" t="n">
        <v>26.65041378338433</v>
      </c>
      <c r="Z419" t="n">
        <v>29447.9710313639</v>
      </c>
      <c r="AA419" t="n">
        <v>0</v>
      </c>
      <c r="AB419" t="n">
        <v>0</v>
      </c>
      <c r="AC419" t="n">
        <v>0</v>
      </c>
      <c r="AD419" s="2" t="n">
        <v>44256</v>
      </c>
    </row>
    <row r="420">
      <c r="A420" t="n">
        <v>-1</v>
      </c>
      <c r="B420" t="inlineStr">
        <is>
          <t>01-03-2021</t>
        </is>
      </c>
      <c r="C420" t="n">
        <v>2021</v>
      </c>
      <c r="D420" t="n">
        <v>3</v>
      </c>
      <c r="E420" t="inlineStr">
        <is>
          <t>Purranque 13.8</t>
        </is>
      </c>
      <c r="F420" t="inlineStr">
        <is>
          <t>Saesa</t>
        </is>
      </c>
      <c r="G420" t="inlineStr">
        <is>
          <t>Saesa</t>
        </is>
      </c>
      <c r="H420" t="inlineStr">
        <is>
          <t>Empresa Eléctrica Carén S.A.</t>
        </is>
      </c>
      <c r="I420" t="inlineStr">
        <is>
          <t>Empresa Eléctrica Carén S.A.</t>
        </is>
      </c>
      <c r="J420" t="inlineStr">
        <is>
          <t>SIC 2013/03_2_BS1A_BB_SAESA_Empresa Eléctrica Carén S.A.</t>
        </is>
      </c>
      <c r="K420" t="inlineStr">
        <is>
          <t>Purranque 13.8</t>
        </is>
      </c>
      <c r="L420" t="inlineStr">
        <is>
          <t>-1</t>
        </is>
      </c>
      <c r="M420" t="n">
        <v>866.4579641857764</v>
      </c>
      <c r="N420" t="n">
        <v>0</v>
      </c>
      <c r="O420" t="inlineStr">
        <is>
          <t>6</t>
        </is>
      </c>
      <c r="P420" s="2" t="n">
        <v>44659.60028225694</v>
      </c>
      <c r="Q420" t="n">
        <v>6</v>
      </c>
      <c r="R420" t="inlineStr">
        <is>
          <t>MELIPULLI 220</t>
        </is>
      </c>
      <c r="S420" t="n">
        <v>180.9263124953198</v>
      </c>
      <c r="T420" t="n">
        <v>12362.41125968971</v>
      </c>
      <c r="U420" t="n">
        <v>0</v>
      </c>
      <c r="V420" t="n">
        <v>0</v>
      </c>
      <c r="W420" t="inlineStr">
        <is>
          <t>SAESA</t>
        </is>
      </c>
      <c r="X420" t="n">
        <v>75.50102995238471</v>
      </c>
      <c r="Y420" t="n">
        <v>12.36241125968971</v>
      </c>
      <c r="Z420" t="n">
        <v>13660.12293888366</v>
      </c>
      <c r="AA420" t="n">
        <v>0</v>
      </c>
      <c r="AB420" t="n">
        <v>0</v>
      </c>
      <c r="AC420" t="n">
        <v>0</v>
      </c>
      <c r="AD420" s="2" t="n">
        <v>44256</v>
      </c>
    </row>
    <row r="421">
      <c r="A421" t="n">
        <v>-1</v>
      </c>
      <c r="B421" t="inlineStr">
        <is>
          <t>01-03-2021</t>
        </is>
      </c>
      <c r="C421" t="n">
        <v>2021</v>
      </c>
      <c r="D421" t="n">
        <v>3</v>
      </c>
      <c r="E421" t="inlineStr">
        <is>
          <t>Purranque 13.8</t>
        </is>
      </c>
      <c r="F421" t="inlineStr">
        <is>
          <t>Saesa</t>
        </is>
      </c>
      <c r="G421" t="inlineStr">
        <is>
          <t>Saesa</t>
        </is>
      </c>
      <c r="H421" t="inlineStr">
        <is>
          <t>Empresa Eléctrica Carén S.A.</t>
        </is>
      </c>
      <c r="I421" t="inlineStr">
        <is>
          <t>Empresa Eléctrica Carén S.A.</t>
        </is>
      </c>
      <c r="J421" t="inlineStr">
        <is>
          <t>SIC 2013/03_2_BS1A_BB_SAESA_Empresa Eléctrica Carén S.A.</t>
        </is>
      </c>
      <c r="K421" t="inlineStr">
        <is>
          <t>Purranque 13.8</t>
        </is>
      </c>
      <c r="L421" t="inlineStr">
        <is>
          <t>-1</t>
        </is>
      </c>
      <c r="M421" t="n">
        <v>866.4579641857764</v>
      </c>
      <c r="N421" t="n">
        <v>0</v>
      </c>
      <c r="O421" t="inlineStr">
        <is>
          <t>6</t>
        </is>
      </c>
      <c r="P421" s="2" t="n">
        <v>44659.60028225694</v>
      </c>
      <c r="Q421" t="n">
        <v>68</v>
      </c>
      <c r="R421" t="inlineStr">
        <is>
          <t>RAHUE 220</t>
        </is>
      </c>
      <c r="S421" t="n">
        <v>703.1737181460214</v>
      </c>
      <c r="T421" t="n">
        <v>48795.95301147366</v>
      </c>
      <c r="U421" t="n">
        <v>0</v>
      </c>
      <c r="V421" t="n">
        <v>0</v>
      </c>
      <c r="W421" t="inlineStr">
        <is>
          <t>SAESA</t>
        </is>
      </c>
      <c r="X421" t="n">
        <v>76.67832106315817</v>
      </c>
      <c r="Y421" t="n">
        <v>48.79595301147366</v>
      </c>
      <c r="Z421" t="n">
        <v>53918.18012317532</v>
      </c>
      <c r="AA421" t="n">
        <v>0</v>
      </c>
      <c r="AB421" t="n">
        <v>0</v>
      </c>
      <c r="AC421" t="n">
        <v>0</v>
      </c>
      <c r="AD421" s="2" t="n">
        <v>44256</v>
      </c>
    </row>
    <row r="422">
      <c r="A422" t="n">
        <v>-1</v>
      </c>
      <c r="B422" t="inlineStr">
        <is>
          <t>01-03-2021</t>
        </is>
      </c>
      <c r="C422" t="n">
        <v>2021</v>
      </c>
      <c r="D422" t="n">
        <v>3</v>
      </c>
      <c r="E422" t="inlineStr">
        <is>
          <t>Purranque 13.8</t>
        </is>
      </c>
      <c r="F422" t="inlineStr">
        <is>
          <t>Saesa</t>
        </is>
      </c>
      <c r="G422" t="inlineStr">
        <is>
          <t>Saesa</t>
        </is>
      </c>
      <c r="H422" t="inlineStr">
        <is>
          <t>Empresa Eléctrica Carén S.A.</t>
        </is>
      </c>
      <c r="I422" t="inlineStr">
        <is>
          <t>Empresa Eléctrica Carén S.A.</t>
        </is>
      </c>
      <c r="J422" t="inlineStr">
        <is>
          <t>SIC 2013/03_2_BS1A_BB_SAESA_Empresa Eléctrica Carén S.A.</t>
        </is>
      </c>
      <c r="K422" t="inlineStr">
        <is>
          <t>Purranque 13.8</t>
        </is>
      </c>
      <c r="L422" t="inlineStr">
        <is>
          <t>-1</t>
        </is>
      </c>
      <c r="M422" t="n">
        <v>866.4579641857764</v>
      </c>
      <c r="N422" t="n">
        <v>0</v>
      </c>
      <c r="O422" t="inlineStr">
        <is>
          <t>6</t>
        </is>
      </c>
      <c r="P422" s="2" t="n">
        <v>44659.60028225694</v>
      </c>
      <c r="Q422" t="n">
        <v>17</v>
      </c>
      <c r="R422" t="inlineStr">
        <is>
          <t>VALDIVIA 220</t>
        </is>
      </c>
      <c r="S422" t="n">
        <v>1.005576185632473</v>
      </c>
      <c r="T422" t="n">
        <v>76.79755737470688</v>
      </c>
      <c r="U422" t="n">
        <v>0</v>
      </c>
      <c r="V422" t="n">
        <v>0</v>
      </c>
      <c r="W422" t="inlineStr">
        <is>
          <t>SAESA</t>
        </is>
      </c>
      <c r="X422" t="n">
        <v>84.38861284905238</v>
      </c>
      <c r="Y422" t="n">
        <v>0.07679755737470689</v>
      </c>
      <c r="Z422" t="n">
        <v>84.85917941956562</v>
      </c>
      <c r="AA422" t="n">
        <v>0</v>
      </c>
      <c r="AB422" t="n">
        <v>0</v>
      </c>
      <c r="AC422" t="n">
        <v>0</v>
      </c>
      <c r="AD422" s="2" t="n">
        <v>44256</v>
      </c>
    </row>
    <row r="423">
      <c r="A423" t="n">
        <v>-1</v>
      </c>
      <c r="B423" t="inlineStr">
        <is>
          <t>01-03-2021</t>
        </is>
      </c>
      <c r="C423" t="n">
        <v>2021</v>
      </c>
      <c r="D423" t="n">
        <v>3</v>
      </c>
      <c r="E423" t="inlineStr">
        <is>
          <t>Quellon 023</t>
        </is>
      </c>
      <c r="F423" t="inlineStr">
        <is>
          <t>Saesa</t>
        </is>
      </c>
      <c r="G423" t="inlineStr">
        <is>
          <t>Saesa</t>
        </is>
      </c>
      <c r="H423" t="inlineStr">
        <is>
          <t>Empresa Eléctrica Carén S.A.</t>
        </is>
      </c>
      <c r="I423" t="inlineStr">
        <is>
          <t>Empresa Eléctrica Carén S.A.</t>
        </is>
      </c>
      <c r="J423" t="inlineStr">
        <is>
          <t>SIC 2013/03_2_BS1A_BB_SAESA_Empresa Eléctrica Carén S.A.</t>
        </is>
      </c>
      <c r="K423" t="inlineStr">
        <is>
          <t>Quellon 023</t>
        </is>
      </c>
      <c r="L423" t="inlineStr">
        <is>
          <t>-1</t>
        </is>
      </c>
      <c r="M423" t="n">
        <v>1300.417751941392</v>
      </c>
      <c r="N423" t="n">
        <v>0</v>
      </c>
      <c r="O423" t="inlineStr">
        <is>
          <t>6</t>
        </is>
      </c>
      <c r="P423" s="2" t="n">
        <v>44659.60028225694</v>
      </c>
      <c r="Q423" t="n">
        <v>24</v>
      </c>
      <c r="R423" t="inlineStr">
        <is>
          <t>CHILOE 220</t>
        </is>
      </c>
      <c r="S423" t="n">
        <v>1328.404944078589</v>
      </c>
      <c r="T423" t="n">
        <v>91916.34631563733</v>
      </c>
      <c r="U423" t="n">
        <v>0</v>
      </c>
      <c r="V423" t="n">
        <v>0</v>
      </c>
      <c r="W423" t="inlineStr">
        <is>
          <t>SAESA</t>
        </is>
      </c>
      <c r="X423" t="n">
        <v>76.4563727392916</v>
      </c>
      <c r="Y423" t="n">
        <v>91.91634631563733</v>
      </c>
      <c r="Z423" t="n">
        <v>101565.0235531904</v>
      </c>
      <c r="AA423" t="n">
        <v>0</v>
      </c>
      <c r="AB423" t="n">
        <v>0</v>
      </c>
      <c r="AC423" t="n">
        <v>0</v>
      </c>
      <c r="AD423" s="2" t="n">
        <v>44256</v>
      </c>
    </row>
    <row r="424">
      <c r="A424" t="n">
        <v>-1</v>
      </c>
      <c r="B424" t="inlineStr">
        <is>
          <t>01-03-2021</t>
        </is>
      </c>
      <c r="C424" t="n">
        <v>2021</v>
      </c>
      <c r="D424" t="n">
        <v>3</v>
      </c>
      <c r="E424" t="inlineStr">
        <is>
          <t>Rio Bonito 023</t>
        </is>
      </c>
      <c r="F424" t="inlineStr">
        <is>
          <t>Saesa</t>
        </is>
      </c>
      <c r="G424" t="inlineStr">
        <is>
          <t>Saesa</t>
        </is>
      </c>
      <c r="H424" t="inlineStr">
        <is>
          <t>Empresa Eléctrica Carén S.A.</t>
        </is>
      </c>
      <c r="I424" t="inlineStr">
        <is>
          <t>Empresa Eléctrica Carén S.A.</t>
        </is>
      </c>
      <c r="J424" t="inlineStr">
        <is>
          <t>SIC 2013/03_2_BS1A_BB_SAESA_Empresa Eléctrica Carén S.A.</t>
        </is>
      </c>
      <c r="K424" t="inlineStr">
        <is>
          <t>Rio Bonito 023</t>
        </is>
      </c>
      <c r="L424" t="inlineStr">
        <is>
          <t>-1</t>
        </is>
      </c>
      <c r="M424" t="n">
        <v>42.88070505650298</v>
      </c>
      <c r="N424" t="n">
        <v>0</v>
      </c>
      <c r="O424" t="inlineStr">
        <is>
          <t>6</t>
        </is>
      </c>
      <c r="P424" s="2" t="n">
        <v>44659.60028225694</v>
      </c>
      <c r="Q424" t="n">
        <v>68</v>
      </c>
      <c r="R424" t="inlineStr">
        <is>
          <t>RAHUE 220</t>
        </is>
      </c>
      <c r="S424" t="n">
        <v>43.80357044310908</v>
      </c>
      <c r="T424" t="n">
        <v>3039.699735525193</v>
      </c>
      <c r="U424" t="n">
        <v>0</v>
      </c>
      <c r="V424" t="n">
        <v>0</v>
      </c>
      <c r="W424" t="inlineStr">
        <is>
          <t>SAESA</t>
        </is>
      </c>
      <c r="X424" t="n">
        <v>76.67832106315819</v>
      </c>
      <c r="Y424" t="n">
        <v>3.039699735525193</v>
      </c>
      <c r="Z424" t="n">
        <v>3358.784238149385</v>
      </c>
      <c r="AA424" t="n">
        <v>0</v>
      </c>
      <c r="AB424" t="n">
        <v>0</v>
      </c>
      <c r="AC424" t="n">
        <v>0</v>
      </c>
      <c r="AD424" s="2" t="n">
        <v>44256</v>
      </c>
    </row>
    <row r="425">
      <c r="A425" t="n">
        <v>-1</v>
      </c>
      <c r="B425" t="inlineStr">
        <is>
          <t>01-03-2021</t>
        </is>
      </c>
      <c r="C425" t="n">
        <v>2021</v>
      </c>
      <c r="D425" t="n">
        <v>3</v>
      </c>
      <c r="E425" t="inlineStr">
        <is>
          <t>Rio Negro 23</t>
        </is>
      </c>
      <c r="F425" t="inlineStr">
        <is>
          <t>Saesa</t>
        </is>
      </c>
      <c r="G425" t="inlineStr">
        <is>
          <t>Saesa</t>
        </is>
      </c>
      <c r="H425" t="inlineStr">
        <is>
          <t>Empresa Eléctrica Carén S.A.</t>
        </is>
      </c>
      <c r="I425" t="inlineStr">
        <is>
          <t>Empresa Eléctrica Carén S.A.</t>
        </is>
      </c>
      <c r="J425" t="inlineStr">
        <is>
          <t>SIC 2013/03_2_BS1A_BB_SAESA_Empresa Eléctrica Carén S.A.</t>
        </is>
      </c>
      <c r="K425" t="inlineStr">
        <is>
          <t>Rio Negro 23</t>
        </is>
      </c>
      <c r="L425" t="inlineStr">
        <is>
          <t>-1</t>
        </is>
      </c>
      <c r="M425" t="n">
        <v>890.0364507171442</v>
      </c>
      <c r="N425" t="n">
        <v>0</v>
      </c>
      <c r="O425" t="inlineStr">
        <is>
          <t>6</t>
        </is>
      </c>
      <c r="P425" s="2" t="n">
        <v>44659.60028225694</v>
      </c>
      <c r="Q425" t="n">
        <v>6</v>
      </c>
      <c r="R425" t="inlineStr">
        <is>
          <t>MELIPULLI 220</t>
        </is>
      </c>
      <c r="S425" t="n">
        <v>108.6959304750014</v>
      </c>
      <c r="T425" t="n">
        <v>7427.022505758342</v>
      </c>
      <c r="U425" t="n">
        <v>0</v>
      </c>
      <c r="V425" t="n">
        <v>0</v>
      </c>
      <c r="W425" t="inlineStr">
        <is>
          <t>SAESA</t>
        </is>
      </c>
      <c r="X425" t="n">
        <v>75.50102995238471</v>
      </c>
      <c r="Y425" t="n">
        <v>7.427022505758341</v>
      </c>
      <c r="Z425" t="n">
        <v>8206.654702495405</v>
      </c>
      <c r="AA425" t="n">
        <v>0</v>
      </c>
      <c r="AB425" t="n">
        <v>0</v>
      </c>
      <c r="AC425" t="n">
        <v>0</v>
      </c>
      <c r="AD425" s="2" t="n">
        <v>44256</v>
      </c>
    </row>
    <row r="426">
      <c r="A426" t="n">
        <v>-1</v>
      </c>
      <c r="B426" t="inlineStr">
        <is>
          <t>01-03-2021</t>
        </is>
      </c>
      <c r="C426" t="n">
        <v>2021</v>
      </c>
      <c r="D426" t="n">
        <v>3</v>
      </c>
      <c r="E426" t="inlineStr">
        <is>
          <t>Rio Negro 23</t>
        </is>
      </c>
      <c r="F426" t="inlineStr">
        <is>
          <t>Saesa</t>
        </is>
      </c>
      <c r="G426" t="inlineStr">
        <is>
          <t>Saesa</t>
        </is>
      </c>
      <c r="H426" t="inlineStr">
        <is>
          <t>Empresa Eléctrica Carén S.A.</t>
        </is>
      </c>
      <c r="I426" t="inlineStr">
        <is>
          <t>Empresa Eléctrica Carén S.A.</t>
        </is>
      </c>
      <c r="J426" t="inlineStr">
        <is>
          <t>SIC 2013/03_2_BS1A_BB_SAESA_Empresa Eléctrica Carén S.A.</t>
        </is>
      </c>
      <c r="K426" t="inlineStr">
        <is>
          <t>Rio Negro 23</t>
        </is>
      </c>
      <c r="L426" t="inlineStr">
        <is>
          <t>-1</t>
        </is>
      </c>
      <c r="M426" t="n">
        <v>890.0364507171442</v>
      </c>
      <c r="N426" t="n">
        <v>0</v>
      </c>
      <c r="O426" t="inlineStr">
        <is>
          <t>6</t>
        </is>
      </c>
      <c r="P426" s="2" t="n">
        <v>44659.60028225694</v>
      </c>
      <c r="Q426" t="n">
        <v>68</v>
      </c>
      <c r="R426" t="inlineStr">
        <is>
          <t>RAHUE 220</t>
        </is>
      </c>
      <c r="S426" t="n">
        <v>797.296009180497</v>
      </c>
      <c r="T426" t="n">
        <v>55327.46403375676</v>
      </c>
      <c r="U426" t="n">
        <v>0</v>
      </c>
      <c r="V426" t="n">
        <v>0</v>
      </c>
      <c r="W426" t="inlineStr">
        <is>
          <t>SAESA</t>
        </is>
      </c>
      <c r="X426" t="n">
        <v>76.67832106315818</v>
      </c>
      <c r="Y426" t="n">
        <v>55.32746403375675</v>
      </c>
      <c r="Z426" t="n">
        <v>61135.31937431686</v>
      </c>
      <c r="AA426" t="n">
        <v>0</v>
      </c>
      <c r="AB426" t="n">
        <v>0</v>
      </c>
      <c r="AC426" t="n">
        <v>0</v>
      </c>
      <c r="AD426" s="2" t="n">
        <v>44256</v>
      </c>
    </row>
    <row r="427">
      <c r="A427" t="n">
        <v>-1</v>
      </c>
      <c r="B427" t="inlineStr">
        <is>
          <t>01-03-2021</t>
        </is>
      </c>
      <c r="C427" t="n">
        <v>2021</v>
      </c>
      <c r="D427" t="n">
        <v>3</v>
      </c>
      <c r="E427" t="inlineStr">
        <is>
          <t>Rio Negro 23</t>
        </is>
      </c>
      <c r="F427" t="inlineStr">
        <is>
          <t>Saesa</t>
        </is>
      </c>
      <c r="G427" t="inlineStr">
        <is>
          <t>Saesa</t>
        </is>
      </c>
      <c r="H427" t="inlineStr">
        <is>
          <t>Empresa Eléctrica Carén S.A.</t>
        </is>
      </c>
      <c r="I427" t="inlineStr">
        <is>
          <t>Empresa Eléctrica Carén S.A.</t>
        </is>
      </c>
      <c r="J427" t="inlineStr">
        <is>
          <t>SIC 2013/03_2_BS1A_BB_SAESA_Empresa Eléctrica Carén S.A.</t>
        </is>
      </c>
      <c r="K427" t="inlineStr">
        <is>
          <t>Rio Negro 23</t>
        </is>
      </c>
      <c r="L427" t="inlineStr">
        <is>
          <t>-1</t>
        </is>
      </c>
      <c r="M427" t="n">
        <v>890.0364507171442</v>
      </c>
      <c r="N427" t="n">
        <v>0</v>
      </c>
      <c r="O427" t="inlineStr">
        <is>
          <t>6</t>
        </is>
      </c>
      <c r="P427" s="2" t="n">
        <v>44659.60028225694</v>
      </c>
      <c r="Q427" t="n">
        <v>17</v>
      </c>
      <c r="R427" t="inlineStr">
        <is>
          <t>VALDIVIA 220</t>
        </is>
      </c>
      <c r="S427" t="n">
        <v>3.199602660589105</v>
      </c>
      <c r="T427" t="n">
        <v>244.359077326703</v>
      </c>
      <c r="U427" t="n">
        <v>0</v>
      </c>
      <c r="V427" t="n">
        <v>0</v>
      </c>
      <c r="W427" t="inlineStr">
        <is>
          <t>SAESA</t>
        </is>
      </c>
      <c r="X427" t="n">
        <v>84.38861284905238</v>
      </c>
      <c r="Y427" t="n">
        <v>0.244359077326703</v>
      </c>
      <c r="Z427" t="n">
        <v>270.0100301952519</v>
      </c>
      <c r="AA427" t="n">
        <v>0</v>
      </c>
      <c r="AB427" t="n">
        <v>0</v>
      </c>
      <c r="AC427" t="n">
        <v>0</v>
      </c>
      <c r="AD427" s="2" t="n">
        <v>44256</v>
      </c>
    </row>
    <row r="428">
      <c r="A428" t="n">
        <v>-1</v>
      </c>
      <c r="B428" t="inlineStr">
        <is>
          <t>01-03-2021</t>
        </is>
      </c>
      <c r="C428" t="n">
        <v>2021</v>
      </c>
      <c r="D428" t="n">
        <v>3</v>
      </c>
      <c r="E428" t="inlineStr">
        <is>
          <t>Sangra 23</t>
        </is>
      </c>
      <c r="F428" t="inlineStr">
        <is>
          <t>Saesa</t>
        </is>
      </c>
      <c r="G428" t="inlineStr">
        <is>
          <t>Saesa</t>
        </is>
      </c>
      <c r="H428" t="inlineStr">
        <is>
          <t>Empresa Eléctrica Carén S.A.</t>
        </is>
      </c>
      <c r="I428" t="inlineStr">
        <is>
          <t>Empresa Eléctrica Carén S.A.</t>
        </is>
      </c>
      <c r="J428" t="inlineStr">
        <is>
          <t>SIC 2013/03_2_BS1A_BB_SAESA_Empresa Eléctrica Carén S.A.</t>
        </is>
      </c>
      <c r="K428" t="inlineStr">
        <is>
          <t>Sangra 23</t>
        </is>
      </c>
      <c r="L428" t="inlineStr">
        <is>
          <t>-1</t>
        </is>
      </c>
      <c r="M428" t="n">
        <v>1147.275734141754</v>
      </c>
      <c r="N428" t="n">
        <v>0</v>
      </c>
      <c r="O428" t="inlineStr">
        <is>
          <t>6</t>
        </is>
      </c>
      <c r="P428" s="2" t="n">
        <v>44659.60028225694</v>
      </c>
      <c r="Q428" t="n">
        <v>6</v>
      </c>
      <c r="R428" t="inlineStr">
        <is>
          <t>MELIPULLI 220</t>
        </is>
      </c>
      <c r="S428" t="n">
        <v>1171.967050726623</v>
      </c>
      <c r="T428" t="n">
        <v>80078.67105710748</v>
      </c>
      <c r="U428" t="n">
        <v>0</v>
      </c>
      <c r="V428" t="n">
        <v>0</v>
      </c>
      <c r="W428" t="inlineStr">
        <is>
          <t>SAESA</t>
        </is>
      </c>
      <c r="X428" t="n">
        <v>75.50102995238471</v>
      </c>
      <c r="Y428" t="n">
        <v>80.07867105710748</v>
      </c>
      <c r="Z428" t="n">
        <v>88484.71940011876</v>
      </c>
      <c r="AA428" t="n">
        <v>0</v>
      </c>
      <c r="AB428" t="n">
        <v>0</v>
      </c>
      <c r="AC428" t="n">
        <v>0</v>
      </c>
      <c r="AD428" s="2" t="n">
        <v>44256</v>
      </c>
    </row>
    <row r="429">
      <c r="A429" t="n">
        <v>-1</v>
      </c>
      <c r="B429" t="inlineStr">
        <is>
          <t>01-03-2021</t>
        </is>
      </c>
      <c r="C429" t="n">
        <v>2021</v>
      </c>
      <c r="D429" t="n">
        <v>3</v>
      </c>
      <c r="E429" t="inlineStr">
        <is>
          <t>Valdivia 13.8</t>
        </is>
      </c>
      <c r="F429" t="inlineStr">
        <is>
          <t>Saesa</t>
        </is>
      </c>
      <c r="G429" t="inlineStr">
        <is>
          <t>Saesa</t>
        </is>
      </c>
      <c r="H429" t="inlineStr">
        <is>
          <t>Empresa Eléctrica Carén S.A.</t>
        </is>
      </c>
      <c r="I429" t="inlineStr">
        <is>
          <t>Empresa Eléctrica Carén S.A.</t>
        </is>
      </c>
      <c r="J429" t="inlineStr">
        <is>
          <t>SIC 2013/03_2_BS1A_BB_SAESA_Empresa Eléctrica Carén S.A.</t>
        </is>
      </c>
      <c r="K429" t="inlineStr">
        <is>
          <t>Valdivia 13.8</t>
        </is>
      </c>
      <c r="L429" t="inlineStr">
        <is>
          <t>-1</t>
        </is>
      </c>
      <c r="M429" t="n">
        <v>2522.358103079818</v>
      </c>
      <c r="N429" t="n">
        <v>0</v>
      </c>
      <c r="O429" t="inlineStr">
        <is>
          <t>6</t>
        </is>
      </c>
      <c r="P429" s="2" t="n">
        <v>44659.60028225694</v>
      </c>
      <c r="Q429" t="n">
        <v>6</v>
      </c>
      <c r="R429" t="inlineStr">
        <is>
          <t>MELIPULLI 220</t>
        </is>
      </c>
      <c r="S429" t="n">
        <v>3.480158790963194</v>
      </c>
      <c r="T429" t="n">
        <v>237.7937936695882</v>
      </c>
      <c r="U429" t="n">
        <v>0</v>
      </c>
      <c r="V429" t="n">
        <v>0</v>
      </c>
      <c r="W429" t="inlineStr">
        <is>
          <t>SAESA</t>
        </is>
      </c>
      <c r="X429" t="n">
        <v>75.50102995238471</v>
      </c>
      <c r="Y429" t="n">
        <v>0.2377937936695882</v>
      </c>
      <c r="Z429" t="n">
        <v>262.7555731155671</v>
      </c>
      <c r="AA429" t="n">
        <v>0</v>
      </c>
      <c r="AB429" t="n">
        <v>0</v>
      </c>
      <c r="AC429" t="n">
        <v>0</v>
      </c>
      <c r="AD429" s="2" t="n">
        <v>44256</v>
      </c>
    </row>
    <row r="430">
      <c r="A430" t="n">
        <v>-1</v>
      </c>
      <c r="B430" t="inlineStr">
        <is>
          <t>01-03-2021</t>
        </is>
      </c>
      <c r="C430" t="n">
        <v>2021</v>
      </c>
      <c r="D430" t="n">
        <v>3</v>
      </c>
      <c r="E430" t="inlineStr">
        <is>
          <t>Valdivia 13.8</t>
        </is>
      </c>
      <c r="F430" t="inlineStr">
        <is>
          <t>Saesa</t>
        </is>
      </c>
      <c r="G430" t="inlineStr">
        <is>
          <t>Saesa</t>
        </is>
      </c>
      <c r="H430" t="inlineStr">
        <is>
          <t>Empresa Eléctrica Carén S.A.</t>
        </is>
      </c>
      <c r="I430" t="inlineStr">
        <is>
          <t>Empresa Eléctrica Carén S.A.</t>
        </is>
      </c>
      <c r="J430" t="inlineStr">
        <is>
          <t>SIC 2013/03_2_BS1A_BB_SAESA_Empresa Eléctrica Carén S.A.</t>
        </is>
      </c>
      <c r="K430" t="inlineStr">
        <is>
          <t>Valdivia 13.8</t>
        </is>
      </c>
      <c r="L430" t="inlineStr">
        <is>
          <t>-1</t>
        </is>
      </c>
      <c r="M430" t="n">
        <v>2522.358103079818</v>
      </c>
      <c r="N430" t="n">
        <v>0</v>
      </c>
      <c r="O430" t="inlineStr">
        <is>
          <t>6</t>
        </is>
      </c>
      <c r="P430" s="2" t="n">
        <v>44659.60028225694</v>
      </c>
      <c r="Q430" t="n">
        <v>68</v>
      </c>
      <c r="R430" t="inlineStr">
        <is>
          <t>RAHUE 220</t>
        </is>
      </c>
      <c r="S430" t="n">
        <v>235.4974095314476</v>
      </c>
      <c r="T430" t="n">
        <v>16342.07910972292</v>
      </c>
      <c r="U430" t="n">
        <v>0</v>
      </c>
      <c r="V430" t="n">
        <v>0</v>
      </c>
      <c r="W430" t="inlineStr">
        <is>
          <t>SAESA</t>
        </is>
      </c>
      <c r="X430" t="n">
        <v>76.67832106315819</v>
      </c>
      <c r="Y430" t="n">
        <v>16.34207910972292</v>
      </c>
      <c r="Z430" t="n">
        <v>18057.54597759439</v>
      </c>
      <c r="AA430" t="n">
        <v>0</v>
      </c>
      <c r="AB430" t="n">
        <v>0</v>
      </c>
      <c r="AC430" t="n">
        <v>0</v>
      </c>
      <c r="AD430" s="2" t="n">
        <v>44256</v>
      </c>
    </row>
    <row r="431">
      <c r="A431" t="n">
        <v>-1</v>
      </c>
      <c r="B431" t="inlineStr">
        <is>
          <t>01-03-2021</t>
        </is>
      </c>
      <c r="C431" t="n">
        <v>2021</v>
      </c>
      <c r="D431" t="n">
        <v>3</v>
      </c>
      <c r="E431" t="inlineStr">
        <is>
          <t>Valdivia 13.8</t>
        </is>
      </c>
      <c r="F431" t="inlineStr">
        <is>
          <t>Saesa</t>
        </is>
      </c>
      <c r="G431" t="inlineStr">
        <is>
          <t>Saesa</t>
        </is>
      </c>
      <c r="H431" t="inlineStr">
        <is>
          <t>Empresa Eléctrica Carén S.A.</t>
        </is>
      </c>
      <c r="I431" t="inlineStr">
        <is>
          <t>Empresa Eléctrica Carén S.A.</t>
        </is>
      </c>
      <c r="J431" t="inlineStr">
        <is>
          <t>SIC 2013/03_2_BS1A_BB_SAESA_Empresa Eléctrica Carén S.A.</t>
        </is>
      </c>
      <c r="K431" t="inlineStr">
        <is>
          <t>Valdivia 13.8</t>
        </is>
      </c>
      <c r="L431" t="inlineStr">
        <is>
          <t>-1</t>
        </is>
      </c>
      <c r="M431" t="n">
        <v>2522.358103079818</v>
      </c>
      <c r="N431" t="n">
        <v>0</v>
      </c>
      <c r="O431" t="inlineStr">
        <is>
          <t>6</t>
        </is>
      </c>
      <c r="P431" s="2" t="n">
        <v>44659.60028225694</v>
      </c>
      <c r="Q431" t="n">
        <v>17</v>
      </c>
      <c r="R431" t="inlineStr">
        <is>
          <t>VALDIVIA 220</t>
        </is>
      </c>
      <c r="S431" t="n">
        <v>2337.665952473616</v>
      </c>
      <c r="T431" t="n">
        <v>178531.5102655051</v>
      </c>
      <c r="U431" t="n">
        <v>0</v>
      </c>
      <c r="V431" t="n">
        <v>0</v>
      </c>
      <c r="W431" t="inlineStr">
        <is>
          <t>SAESA</t>
        </is>
      </c>
      <c r="X431" t="n">
        <v>84.38861284905238</v>
      </c>
      <c r="Y431" t="n">
        <v>178.5315102655051</v>
      </c>
      <c r="Z431" t="n">
        <v>197272.3870337073</v>
      </c>
      <c r="AA431" t="n">
        <v>0</v>
      </c>
      <c r="AB431" t="n">
        <v>0</v>
      </c>
      <c r="AC431" t="n">
        <v>0</v>
      </c>
      <c r="AD431" s="2" t="n">
        <v>44256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P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IdContrato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Codigo</t>
        </is>
      </c>
      <c r="F1" s="1" t="inlineStr">
        <is>
          <t>DX</t>
        </is>
      </c>
      <c r="G1" s="1" t="inlineStr">
        <is>
          <t>NomEmpresaDistribuidora</t>
        </is>
      </c>
      <c r="H1" s="1" t="inlineStr">
        <is>
          <t>GX</t>
        </is>
      </c>
      <c r="I1" s="1" t="inlineStr">
        <is>
          <t>NomSuministrador</t>
        </is>
      </c>
      <c r="J1" s="1" t="inlineStr">
        <is>
          <t>CodigoContrato</t>
        </is>
      </c>
      <c r="K1" s="1" t="inlineStr">
        <is>
          <t>PuntoRetiro</t>
        </is>
      </c>
      <c r="L1" s="1" t="inlineStr">
        <is>
          <t>Contrato</t>
        </is>
      </c>
      <c r="M1" s="1" t="inlineStr">
        <is>
          <t>Energia_kWh</t>
        </is>
      </c>
      <c r="N1" s="1" t="inlineStr">
        <is>
          <t>Potencia_kW</t>
        </is>
      </c>
      <c r="O1" s="1" t="inlineStr">
        <is>
          <t>Sistema</t>
        </is>
      </c>
      <c r="P1" s="1" t="inlineStr">
        <is>
          <t>Fecha</t>
        </is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BK55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Num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Empresa</t>
        </is>
      </c>
      <c r="F1" s="1" t="inlineStr">
        <is>
          <t>Propietario</t>
        </is>
      </c>
      <c r="G1" s="1" t="inlineStr">
        <is>
          <t>Turno</t>
        </is>
      </c>
      <c r="H1" s="1" t="inlineStr">
        <is>
          <t>Distribuidora</t>
        </is>
      </c>
      <c r="I1" s="1" t="inlineStr">
        <is>
          <t>Clave</t>
        </is>
      </c>
      <c r="J1" s="1" t="inlineStr">
        <is>
          <t>PuntoRetiro</t>
        </is>
      </c>
      <c r="K1" s="1" t="inlineStr">
        <is>
          <t>Medida_kWh</t>
        </is>
      </c>
      <c r="L1" s="1" t="inlineStr">
        <is>
          <t>PuntoRetiroBT</t>
        </is>
      </c>
      <c r="M1" s="1" t="inlineStr">
        <is>
          <t>BarraEnAT</t>
        </is>
      </c>
      <c r="N1" s="1" t="inlineStr">
        <is>
          <t>FactorRef_BT_AT</t>
        </is>
      </c>
      <c r="O1" s="1" t="inlineStr">
        <is>
          <t>ValorAT</t>
        </is>
      </c>
      <c r="P1" s="1" t="inlineStr">
        <is>
          <t>Bloque</t>
        </is>
      </c>
      <c r="Q1" s="1" t="inlineStr">
        <is>
          <t>Incremento</t>
        </is>
      </c>
      <c r="R1" s="1" t="inlineStr">
        <is>
          <t>kWhAnho</t>
        </is>
      </c>
      <c r="S1" s="1" t="inlineStr">
        <is>
          <t>PorcenEnergiaAnho</t>
        </is>
      </c>
      <c r="T1" s="1" t="inlineStr">
        <is>
          <t>kWh_AnhoMes</t>
        </is>
      </c>
      <c r="U1" s="1" t="inlineStr">
        <is>
          <t>PorcenBarraAnho</t>
        </is>
      </c>
      <c r="V1" s="1" t="inlineStr">
        <is>
          <t>EnergiaBloqueAnhoMesBarra_kWh</t>
        </is>
      </c>
      <c r="W1" s="1" t="inlineStr">
        <is>
          <t>Amplificacion24h</t>
        </is>
      </c>
      <c r="X1" s="1" t="inlineStr">
        <is>
          <t>Denominador</t>
        </is>
      </c>
      <c r="Y1" s="1" t="inlineStr">
        <is>
          <t>Prorrata</t>
        </is>
      </c>
      <c r="Z1" s="1" t="inlineStr">
        <is>
          <t>EnergiaBloqueTurnoAnhoMesBarra_kWh</t>
        </is>
      </c>
      <c r="AA1" s="1" t="inlineStr">
        <is>
          <t>V_DecretoPNPVigente</t>
        </is>
      </c>
      <c r="AB1" s="1" t="inlineStr">
        <is>
          <t>V_DecretoPNCPAsociado</t>
        </is>
      </c>
      <c r="AC1" s="1" t="inlineStr">
        <is>
          <t>V_DecretoPNCPLicitacion</t>
        </is>
      </c>
      <c r="AD1" s="1" t="inlineStr">
        <is>
          <t>V_Barra</t>
        </is>
      </c>
      <c r="AE1" s="1" t="inlineStr">
        <is>
          <t>V_PrecioOferta_EnergiaPolpaico220</t>
        </is>
      </c>
      <c r="AF1" s="1" t="inlineStr">
        <is>
          <t>V_Indexacion</t>
        </is>
      </c>
      <c r="AG1" s="1" t="inlineStr">
        <is>
          <t>V_PrecioEnergiaIndexado_USDMWh</t>
        </is>
      </c>
      <c r="AH1" s="1" t="inlineStr">
        <is>
          <t>V_DolarPNPVigente</t>
        </is>
      </c>
      <c r="AI1" s="1" t="inlineStr">
        <is>
          <t>V_FactorAjusteEnergia</t>
        </is>
      </c>
      <c r="AJ1" s="1" t="inlineStr">
        <is>
          <t>V_PrecioEnergiaAjustado_CLP_kWh_Polpaico220</t>
        </is>
      </c>
      <c r="AK1" s="1" t="inlineStr">
        <is>
          <t>V_FPEnergia</t>
        </is>
      </c>
      <c r="AL1" s="1" t="inlineStr">
        <is>
          <t>V_PrecioEnergiaAjustado_CLP_kWh</t>
        </is>
      </c>
      <c r="AM1" s="1" t="inlineStr">
        <is>
          <t>V_PrecioPotenciaUSD_kW_Mes</t>
        </is>
      </c>
      <c r="AN1" s="1" t="inlineStr">
        <is>
          <t>V_PrecioPotenciaIndexadoUSD_kW_Mes</t>
        </is>
      </c>
      <c r="AO1" s="1" t="inlineStr">
        <is>
          <t>V_FactorAjustePotencia</t>
        </is>
      </c>
      <c r="AP1" s="1" t="inlineStr">
        <is>
          <t>V_PrecioPotenciaAjustado_CLP_kW_Mes_Polpaico220</t>
        </is>
      </c>
      <c r="AQ1" s="1" t="inlineStr">
        <is>
          <t>V_FPPotencia</t>
        </is>
      </c>
      <c r="AR1" s="1" t="inlineStr">
        <is>
          <t>V_PrecioPotenciaAjustado_CLP_kW_Mes</t>
        </is>
      </c>
      <c r="AS1" s="1" t="inlineStr">
        <is>
          <t>V_TotalEnergiaMesBarraGxDxBloque_CLP_kW_Mes</t>
        </is>
      </c>
      <c r="AT1" s="1" t="inlineStr">
        <is>
          <t>R_DecretoPNPReliquidacion</t>
        </is>
      </c>
      <c r="AU1" s="1" t="inlineStr">
        <is>
          <t>R_DecretoPNCPAsociado</t>
        </is>
      </c>
      <c r="AV1" s="1" t="inlineStr">
        <is>
          <t>R_DecretoPNCPLicitacion</t>
        </is>
      </c>
      <c r="AW1" s="1" t="inlineStr">
        <is>
          <t>R_Barra</t>
        </is>
      </c>
      <c r="AX1" s="1" t="inlineStr">
        <is>
          <t>R_PrecioOfertaEnergiaPolpaico220</t>
        </is>
      </c>
      <c r="AY1" s="1" t="inlineStr">
        <is>
          <t>R_Indexacion</t>
        </is>
      </c>
      <c r="AZ1" s="1" t="inlineStr">
        <is>
          <t>R_PrecioEnergiaIndexado_USDMWh</t>
        </is>
      </c>
      <c r="BA1" s="1" t="inlineStr">
        <is>
          <t>R_DolarPNPReliquidacion</t>
        </is>
      </c>
      <c r="BB1" s="1" t="inlineStr">
        <is>
          <t>R_FactorAjusteEnergia</t>
        </is>
      </c>
      <c r="BC1" s="1" t="inlineStr">
        <is>
          <t>R_PrecioEnergiaAjustado_CLP_kWh_Polpaico220</t>
        </is>
      </c>
      <c r="BD1" s="1" t="inlineStr">
        <is>
          <t>R_FPEnergia</t>
        </is>
      </c>
      <c r="BE1" s="1" t="inlineStr">
        <is>
          <t>R_PrecioEnergiaAjustado_CLP_kWh</t>
        </is>
      </c>
      <c r="BF1" s="1" t="inlineStr">
        <is>
          <t>R_PrecioPotenciaUSD_kW_Mes</t>
        </is>
      </c>
      <c r="BG1" s="1" t="inlineStr">
        <is>
          <t>R_FactorAjustePotencia</t>
        </is>
      </c>
      <c r="BH1" s="1" t="inlineStr">
        <is>
          <t>R_PrecioPotenciaAjustado_CLP_kW_Mes_Polpaico220</t>
        </is>
      </c>
      <c r="BI1" s="1" t="inlineStr">
        <is>
          <t>R_FPPotencia</t>
        </is>
      </c>
      <c r="BJ1" s="1" t="inlineStr">
        <is>
          <t>R_PrecioPotenciaAjustado_CLP_kW_Mes</t>
        </is>
      </c>
      <c r="BK1" s="1" t="inlineStr">
        <is>
          <t>R_TotalEnergiaMesBarraGxDxBloque_CLP_kW_Mes</t>
        </is>
      </c>
    </row>
    <row r="2">
      <c r="A2" t="n">
        <v>1327</v>
      </c>
      <c r="B2" t="inlineStr">
        <is>
          <t>01-01-2021</t>
        </is>
      </c>
      <c r="C2" t="n">
        <v>2021</v>
      </c>
      <c r="D2" t="n">
        <v>1</v>
      </c>
      <c r="E2" t="inlineStr">
        <is>
          <t>CAREN</t>
        </is>
      </c>
      <c r="F2" t="inlineStr">
        <is>
          <t>SUM_SAESA_A</t>
        </is>
      </c>
      <c r="G2" t="inlineStr">
        <is>
          <t>A</t>
        </is>
      </c>
      <c r="H2" t="inlineStr">
        <is>
          <t>SAESA</t>
        </is>
      </c>
      <c r="I2" t="inlineStr">
        <is>
          <t>SAESAIHUBLOQA</t>
        </is>
      </c>
      <c r="J2" t="inlineStr">
        <is>
          <t>AIHUAPI</t>
        </is>
      </c>
      <c r="K2" t="n">
        <v>-228.64037248</v>
      </c>
      <c r="L2" t="inlineStr">
        <is>
          <t>AIHUAPI</t>
        </is>
      </c>
      <c r="M2" t="inlineStr">
        <is>
          <t>BARRO BLANCO</t>
        </is>
      </c>
      <c r="N2" t="n">
        <v>0.9345256988989999</v>
      </c>
      <c r="O2" t="n">
        <v>213.670304</v>
      </c>
      <c r="P2" t="inlineStr">
        <is>
          <t>BS1A</t>
        </is>
      </c>
      <c r="Q2" t="n">
        <v>2</v>
      </c>
      <c r="W2" t="n">
        <v>2</v>
      </c>
      <c r="X2" t="n">
        <v>0</v>
      </c>
      <c r="AA2" t="inlineStr">
        <is>
          <t>PNP_6T_08-05-2020</t>
        </is>
      </c>
      <c r="AB2" t="inlineStr">
        <is>
          <t>PNCP_9T_12-08-2019</t>
        </is>
      </c>
      <c r="AC2" t="inlineStr">
        <is>
          <t>PNCP_4T_30-04-2013</t>
        </is>
      </c>
      <c r="AD2" t="inlineStr">
        <is>
          <t>Barro Blanco 220</t>
        </is>
      </c>
      <c r="AE2" t="n">
        <v>111.133</v>
      </c>
      <c r="AF2" t="n">
        <v>1.072776031070834</v>
      </c>
      <c r="AG2" t="n">
        <v>119.220818660995</v>
      </c>
      <c r="AH2" t="n">
        <v>694.38</v>
      </c>
      <c r="AI2" t="n">
        <v>0.875</v>
      </c>
      <c r="AJ2" t="n">
        <v>72.43648305409401</v>
      </c>
      <c r="AK2" t="n">
        <v>0.8631</v>
      </c>
      <c r="AL2" t="n">
        <v>62.52</v>
      </c>
      <c r="AM2" t="n">
        <v>8.9176</v>
      </c>
      <c r="AN2" t="n">
        <v>9.566587534677272</v>
      </c>
      <c r="AO2" t="n">
        <v>0.913</v>
      </c>
      <c r="AP2" t="n">
        <v>6064.919358776563</v>
      </c>
      <c r="AQ2" t="n">
        <v>1.004432825642191</v>
      </c>
      <c r="AR2" t="n">
        <v>6091.8041</v>
      </c>
      <c r="AT2" t="inlineStr">
        <is>
          <t>PNP_19T_30-12-2020</t>
        </is>
      </c>
      <c r="AU2" t="inlineStr">
        <is>
          <t>PNCP_12T_10-08-2020</t>
        </is>
      </c>
      <c r="AV2" t="inlineStr">
        <is>
          <t>PNCP_4T_30-04-2013</t>
        </is>
      </c>
      <c r="AW2" t="inlineStr">
        <is>
          <t>Barro Blanco 220</t>
        </is>
      </c>
      <c r="AX2" t="n">
        <v>111.133</v>
      </c>
      <c r="AY2" t="n">
        <v>1.083385174100913</v>
      </c>
      <c r="AZ2" t="n">
        <v>120.3998445533567</v>
      </c>
      <c r="BA2" t="n">
        <v>801.49</v>
      </c>
      <c r="BB2" t="n">
        <v>0.905</v>
      </c>
      <c r="BC2" t="n">
        <v>87.33184062701827</v>
      </c>
      <c r="BD2" t="n">
        <v>0.7946</v>
      </c>
      <c r="BE2" t="n">
        <v>69.39400000000001</v>
      </c>
      <c r="BF2" t="n">
        <v>8.9176</v>
      </c>
      <c r="BG2" t="n">
        <v>0.77</v>
      </c>
      <c r="BH2" t="n">
        <v>5962.380796939026</v>
      </c>
      <c r="BI2" t="n">
        <v>1.047283473516708</v>
      </c>
      <c r="BJ2" t="n">
        <v>6244.3029</v>
      </c>
    </row>
    <row r="3">
      <c r="A3" t="n">
        <v>1981</v>
      </c>
      <c r="B3" t="inlineStr">
        <is>
          <t>01-01-2021</t>
        </is>
      </c>
      <c r="C3" t="n">
        <v>2021</v>
      </c>
      <c r="D3" t="n">
        <v>1</v>
      </c>
      <c r="E3" t="inlineStr">
        <is>
          <t>CAREN</t>
        </is>
      </c>
      <c r="F3" t="inlineStr">
        <is>
          <t>SUM_SAESA_A</t>
        </is>
      </c>
      <c r="G3" t="inlineStr">
        <is>
          <t>A</t>
        </is>
      </c>
      <c r="H3" t="inlineStr">
        <is>
          <t>SAESA</t>
        </is>
      </c>
      <c r="I3" t="inlineStr">
        <is>
          <t>SAESABONBLOQA</t>
        </is>
      </c>
      <c r="J3" t="inlineStr">
        <is>
          <t>ALTO_BONITO</t>
        </is>
      </c>
      <c r="K3" t="n">
        <v>-6361.28639836</v>
      </c>
      <c r="L3" t="inlineStr">
        <is>
          <t>ALTO BONITO</t>
        </is>
      </c>
      <c r="M3" t="inlineStr">
        <is>
          <t>MELIPULLI</t>
        </is>
      </c>
      <c r="N3" t="n">
        <v>0.79697191581102</v>
      </c>
      <c r="O3" t="n">
        <v>5069.766608</v>
      </c>
      <c r="P3" t="inlineStr">
        <is>
          <t>BS1A</t>
        </is>
      </c>
      <c r="Q3" t="n">
        <v>2</v>
      </c>
      <c r="W3" t="n">
        <v>2</v>
      </c>
      <c r="X3" t="n">
        <v>0</v>
      </c>
      <c r="AA3" t="inlineStr">
        <is>
          <t>PNP_6T_08-05-2020</t>
        </is>
      </c>
      <c r="AB3" t="inlineStr">
        <is>
          <t>PNCP_9T_12-08-2019</t>
        </is>
      </c>
      <c r="AC3" t="inlineStr">
        <is>
          <t>PNCP_4T_30-04-2013</t>
        </is>
      </c>
      <c r="AD3" t="inlineStr">
        <is>
          <t>MELIPULLI 220</t>
        </is>
      </c>
      <c r="AE3" t="n">
        <v>111.133</v>
      </c>
      <c r="AF3" t="n">
        <v>1.072776031070834</v>
      </c>
      <c r="AG3" t="n">
        <v>119.220818660995</v>
      </c>
      <c r="AH3" t="n">
        <v>694.38</v>
      </c>
      <c r="AI3" t="n">
        <v>0.875</v>
      </c>
      <c r="AJ3" t="n">
        <v>72.43648305409401</v>
      </c>
      <c r="AK3" t="n">
        <v>0.8826000000000001</v>
      </c>
      <c r="AL3" t="n">
        <v>63.932</v>
      </c>
      <c r="AM3" t="n">
        <v>8.9176</v>
      </c>
      <c r="AN3" t="n">
        <v>9.566587534677272</v>
      </c>
      <c r="AO3" t="n">
        <v>0.913</v>
      </c>
      <c r="AP3" t="n">
        <v>6064.919358776563</v>
      </c>
      <c r="AQ3" t="n">
        <v>1</v>
      </c>
      <c r="AR3" t="n">
        <v>6064.9194</v>
      </c>
      <c r="AT3" t="inlineStr">
        <is>
          <t>PNP_19T_30-12-2020</t>
        </is>
      </c>
      <c r="AU3" t="inlineStr">
        <is>
          <t>PNCP_12T_10-08-2020</t>
        </is>
      </c>
      <c r="AV3" t="inlineStr">
        <is>
          <t>PNCP_4T_30-04-2013</t>
        </is>
      </c>
      <c r="AW3" t="inlineStr">
        <is>
          <t>MELIPULLI 220</t>
        </is>
      </c>
      <c r="AX3" t="n">
        <v>111.133</v>
      </c>
      <c r="AY3" t="n">
        <v>1.083385174100913</v>
      </c>
      <c r="AZ3" t="n">
        <v>120.3998445533567</v>
      </c>
      <c r="BA3" t="n">
        <v>801.49</v>
      </c>
      <c r="BB3" t="n">
        <v>0.905</v>
      </c>
      <c r="BC3" t="n">
        <v>87.33184062701827</v>
      </c>
      <c r="BD3" t="n">
        <v>0.7824</v>
      </c>
      <c r="BE3" t="n">
        <v>68.328</v>
      </c>
      <c r="BF3" t="n">
        <v>8.9176</v>
      </c>
      <c r="BG3" t="n">
        <v>0.77</v>
      </c>
      <c r="BH3" t="n">
        <v>5962.380796939026</v>
      </c>
      <c r="BI3" t="n">
        <v>1</v>
      </c>
      <c r="BJ3" t="n">
        <v>5962.3808</v>
      </c>
    </row>
    <row r="4">
      <c r="A4" t="n">
        <v>1983</v>
      </c>
      <c r="B4" t="inlineStr">
        <is>
          <t>01-01-2021</t>
        </is>
      </c>
      <c r="C4" t="n">
        <v>2021</v>
      </c>
      <c r="D4" t="n">
        <v>1</v>
      </c>
      <c r="E4" t="inlineStr">
        <is>
          <t>CAREN</t>
        </is>
      </c>
      <c r="F4" t="inlineStr">
        <is>
          <t>SUM_SAESA_A</t>
        </is>
      </c>
      <c r="G4" t="inlineStr">
        <is>
          <t>A</t>
        </is>
      </c>
      <c r="H4" t="inlineStr">
        <is>
          <t>SAESA</t>
        </is>
      </c>
      <c r="I4" t="inlineStr">
        <is>
          <t>SAESABONBLOQA</t>
        </is>
      </c>
      <c r="J4" t="inlineStr">
        <is>
          <t>ALTO_BONITO</t>
        </is>
      </c>
      <c r="K4" t="n">
        <v>-6361.28639836</v>
      </c>
      <c r="L4" t="inlineStr">
        <is>
          <t>ALTO BONITO</t>
        </is>
      </c>
      <c r="M4" t="inlineStr">
        <is>
          <t>Puerto Montt</t>
        </is>
      </c>
      <c r="N4" t="n">
        <v>0.94104614890384</v>
      </c>
      <c r="O4" t="n">
        <v>5986.264067</v>
      </c>
      <c r="P4" t="inlineStr">
        <is>
          <t>BS1A</t>
        </is>
      </c>
      <c r="Q4" t="n">
        <v>2</v>
      </c>
      <c r="W4" t="n">
        <v>2</v>
      </c>
      <c r="X4" t="n">
        <v>0</v>
      </c>
      <c r="AA4" t="inlineStr">
        <is>
          <t>PNP_6T_08-05-2020</t>
        </is>
      </c>
      <c r="AB4" t="inlineStr">
        <is>
          <t>PNCP_9T_12-08-2019</t>
        </is>
      </c>
      <c r="AC4" t="inlineStr">
        <is>
          <t>PNCP_4T_30-04-2013</t>
        </is>
      </c>
      <c r="AD4" t="inlineStr">
        <is>
          <t>PUERTO MONTT 220</t>
        </is>
      </c>
      <c r="AE4" t="n">
        <v>111.133</v>
      </c>
      <c r="AF4" t="n">
        <v>1.072776031070834</v>
      </c>
      <c r="AG4" t="n">
        <v>119.220818660995</v>
      </c>
      <c r="AH4" t="n">
        <v>694.38</v>
      </c>
      <c r="AI4" t="n">
        <v>0.875</v>
      </c>
      <c r="AJ4" t="n">
        <v>72.43648305409401</v>
      </c>
      <c r="AK4" t="n">
        <v>0.8826000000000001</v>
      </c>
      <c r="AL4" t="n">
        <v>63.932</v>
      </c>
      <c r="AM4" t="n">
        <v>8.9176</v>
      </c>
      <c r="AN4" t="n">
        <v>9.566587534677272</v>
      </c>
      <c r="AO4" t="n">
        <v>0.913</v>
      </c>
      <c r="AP4" t="n">
        <v>6064.919358776563</v>
      </c>
      <c r="AQ4" t="n">
        <v>1.016858412119831</v>
      </c>
      <c r="AR4" t="n">
        <v>6167.1643</v>
      </c>
      <c r="AT4" t="inlineStr">
        <is>
          <t>PNP_19T_30-12-2020</t>
        </is>
      </c>
      <c r="AU4" t="inlineStr">
        <is>
          <t>PNCP_12T_10-08-2020</t>
        </is>
      </c>
      <c r="AV4" t="inlineStr">
        <is>
          <t>PNCP_4T_30-04-2013</t>
        </is>
      </c>
      <c r="AW4" t="inlineStr">
        <is>
          <t>PUERTO MONTT 220</t>
        </is>
      </c>
      <c r="AX4" t="n">
        <v>111.133</v>
      </c>
      <c r="AY4" t="n">
        <v>1.083385174100913</v>
      </c>
      <c r="AZ4" t="n">
        <v>120.3998445533567</v>
      </c>
      <c r="BA4" t="n">
        <v>801.49</v>
      </c>
      <c r="BB4" t="n">
        <v>0.905</v>
      </c>
      <c r="BC4" t="n">
        <v>87.33184062701827</v>
      </c>
      <c r="BD4" t="n">
        <v>0.7824</v>
      </c>
      <c r="BE4" t="n">
        <v>68.328</v>
      </c>
      <c r="BF4" t="n">
        <v>8.9176</v>
      </c>
      <c r="BG4" t="n">
        <v>0.77</v>
      </c>
      <c r="BH4" t="n">
        <v>5962.380796939026</v>
      </c>
      <c r="BI4" t="n">
        <v>1.039640050119603</v>
      </c>
      <c r="BJ4" t="n">
        <v>6198.7299</v>
      </c>
    </row>
    <row r="5">
      <c r="A5" t="n">
        <v>1985</v>
      </c>
      <c r="B5" t="inlineStr">
        <is>
          <t>01-01-2021</t>
        </is>
      </c>
      <c r="C5" t="n">
        <v>2021</v>
      </c>
      <c r="D5" t="n">
        <v>1</v>
      </c>
      <c r="E5" t="inlineStr">
        <is>
          <t>CAREN</t>
        </is>
      </c>
      <c r="F5" t="inlineStr">
        <is>
          <t>SUM_SAESA_A</t>
        </is>
      </c>
      <c r="G5" t="inlineStr">
        <is>
          <t>A</t>
        </is>
      </c>
      <c r="H5" t="inlineStr">
        <is>
          <t>SAESA</t>
        </is>
      </c>
      <c r="I5" t="inlineStr">
        <is>
          <t>SAESABONBLOQA</t>
        </is>
      </c>
      <c r="J5" t="inlineStr">
        <is>
          <t>ALTO_BONITO</t>
        </is>
      </c>
      <c r="K5" t="n">
        <v>-6361.28639836</v>
      </c>
      <c r="L5" t="inlineStr">
        <is>
          <t>ALTO BONITO</t>
        </is>
      </c>
      <c r="M5" t="inlineStr">
        <is>
          <t>VALDIVIA</t>
        </is>
      </c>
      <c r="N5" t="n">
        <v>5.983619997e-05</v>
      </c>
      <c r="O5" t="n">
        <v>0.380635</v>
      </c>
      <c r="P5" t="inlineStr">
        <is>
          <t>BS1A</t>
        </is>
      </c>
      <c r="Q5" t="n">
        <v>2</v>
      </c>
      <c r="W5" t="n">
        <v>2</v>
      </c>
      <c r="X5" t="n">
        <v>0</v>
      </c>
      <c r="AA5" t="inlineStr">
        <is>
          <t>PNP_6T_08-05-2020</t>
        </is>
      </c>
      <c r="AB5" t="inlineStr">
        <is>
          <t>PNCP_9T_12-08-2019</t>
        </is>
      </c>
      <c r="AC5" t="inlineStr">
        <is>
          <t>PNCP_4T_30-04-2013</t>
        </is>
      </c>
      <c r="AD5" t="inlineStr">
        <is>
          <t>VALDIVIA 220</t>
        </is>
      </c>
      <c r="AE5" t="n">
        <v>111.133</v>
      </c>
      <c r="AF5" t="n">
        <v>1.072776031070834</v>
      </c>
      <c r="AG5" t="n">
        <v>119.220818660995</v>
      </c>
      <c r="AH5" t="n">
        <v>694.38</v>
      </c>
      <c r="AI5" t="n">
        <v>0.875</v>
      </c>
      <c r="AJ5" t="n">
        <v>72.43648305409401</v>
      </c>
      <c r="AK5" t="n">
        <v>0.913</v>
      </c>
      <c r="AL5" t="n">
        <v>66.13500000000001</v>
      </c>
      <c r="AM5" t="n">
        <v>8.9176</v>
      </c>
      <c r="AN5" t="n">
        <v>9.566587534677272</v>
      </c>
      <c r="AO5" t="n">
        <v>0.913</v>
      </c>
      <c r="AP5" t="n">
        <v>6064.919358776563</v>
      </c>
      <c r="AQ5" t="n">
        <v>1.051287819142954</v>
      </c>
      <c r="AR5" t="n">
        <v>6375.9758</v>
      </c>
      <c r="AT5" t="inlineStr">
        <is>
          <t>PNP_19T_30-12-2020</t>
        </is>
      </c>
      <c r="AU5" t="inlineStr">
        <is>
          <t>PNCP_12T_10-08-2020</t>
        </is>
      </c>
      <c r="AV5" t="inlineStr">
        <is>
          <t>PNCP_4T_30-04-2013</t>
        </is>
      </c>
      <c r="AW5" t="inlineStr">
        <is>
          <t>VALDIVIA 220</t>
        </is>
      </c>
      <c r="AX5" t="n">
        <v>111.133</v>
      </c>
      <c r="AY5" t="n">
        <v>1.083385174100913</v>
      </c>
      <c r="AZ5" t="n">
        <v>120.3998445533567</v>
      </c>
      <c r="BA5" t="n">
        <v>801.49</v>
      </c>
      <c r="BB5" t="n">
        <v>0.905</v>
      </c>
      <c r="BC5" t="n">
        <v>87.33184062701827</v>
      </c>
      <c r="BD5" t="n">
        <v>0.8745000000000001</v>
      </c>
      <c r="BE5" t="n">
        <v>76.372</v>
      </c>
      <c r="BF5" t="n">
        <v>8.9176</v>
      </c>
      <c r="BG5" t="n">
        <v>0.77</v>
      </c>
      <c r="BH5" t="n">
        <v>5962.380796939026</v>
      </c>
      <c r="BI5" t="n">
        <v>1.148014846473962</v>
      </c>
      <c r="BJ5" t="n">
        <v>6844.9017</v>
      </c>
    </row>
    <row r="6">
      <c r="A6" t="n">
        <v>1321</v>
      </c>
      <c r="B6" t="inlineStr">
        <is>
          <t>01-01-2021</t>
        </is>
      </c>
      <c r="C6" t="n">
        <v>2021</v>
      </c>
      <c r="D6" t="n">
        <v>1</v>
      </c>
      <c r="E6" t="inlineStr">
        <is>
          <t>CAREN</t>
        </is>
      </c>
      <c r="F6" t="inlineStr">
        <is>
          <t>SUM_SAESA_A</t>
        </is>
      </c>
      <c r="G6" t="inlineStr">
        <is>
          <t>A</t>
        </is>
      </c>
      <c r="H6" t="inlineStr">
        <is>
          <t>SAESA</t>
        </is>
      </c>
      <c r="I6" t="inlineStr">
        <is>
          <t>SAESANCUBLOQA</t>
        </is>
      </c>
      <c r="J6" t="inlineStr">
        <is>
          <t>ANCUD</t>
        </is>
      </c>
      <c r="K6" t="n">
        <v>-5244.30469294</v>
      </c>
      <c r="L6" t="inlineStr">
        <is>
          <t>ANCUD</t>
        </is>
      </c>
      <c r="M6" t="inlineStr">
        <is>
          <t>CHILOE</t>
        </is>
      </c>
      <c r="N6" t="n">
        <v>0.79707666555769</v>
      </c>
      <c r="O6" t="n">
        <v>4180.112898</v>
      </c>
      <c r="P6" t="inlineStr">
        <is>
          <t>BS1A</t>
        </is>
      </c>
      <c r="Q6" t="n">
        <v>2</v>
      </c>
      <c r="W6" t="n">
        <v>2</v>
      </c>
      <c r="X6" t="n">
        <v>0</v>
      </c>
      <c r="AA6" t="inlineStr">
        <is>
          <t>PNP_6T_08-05-2020</t>
        </is>
      </c>
      <c r="AB6" t="inlineStr">
        <is>
          <t>PNCP_9T_12-08-2019</t>
        </is>
      </c>
      <c r="AC6" t="inlineStr">
        <is>
          <t>PNCP_4T_30-04-2013</t>
        </is>
      </c>
      <c r="AD6" t="inlineStr">
        <is>
          <t>CHILOE 220</t>
        </is>
      </c>
      <c r="AE6" t="n">
        <v>111.133</v>
      </c>
      <c r="AF6" t="n">
        <v>1.072776031070834</v>
      </c>
      <c r="AG6" t="n">
        <v>119.220818660995</v>
      </c>
      <c r="AH6" t="n">
        <v>694.38</v>
      </c>
      <c r="AI6" t="n">
        <v>0.875</v>
      </c>
      <c r="AJ6" t="n">
        <v>72.43648305409401</v>
      </c>
      <c r="AK6" t="n">
        <v>0.8903</v>
      </c>
      <c r="AL6" t="n">
        <v>64.48999999999999</v>
      </c>
      <c r="AM6" t="n">
        <v>8.9176</v>
      </c>
      <c r="AN6" t="n">
        <v>9.566587534677272</v>
      </c>
      <c r="AO6" t="n">
        <v>0.913</v>
      </c>
      <c r="AP6" t="n">
        <v>6064.919358776563</v>
      </c>
      <c r="AQ6" t="n">
        <v>1</v>
      </c>
      <c r="AR6" t="n">
        <v>6064.9194</v>
      </c>
      <c r="AT6" t="inlineStr">
        <is>
          <t>PNP_19T_30-12-2020</t>
        </is>
      </c>
      <c r="AU6" t="inlineStr">
        <is>
          <t>PNCP_12T_10-08-2020</t>
        </is>
      </c>
      <c r="AV6" t="inlineStr">
        <is>
          <t>PNCP_4T_30-04-2013</t>
        </is>
      </c>
      <c r="AW6" t="inlineStr">
        <is>
          <t>CHILOE 220</t>
        </is>
      </c>
      <c r="AX6" t="n">
        <v>111.133</v>
      </c>
      <c r="AY6" t="n">
        <v>1.083385174100913</v>
      </c>
      <c r="AZ6" t="n">
        <v>120.3998445533567</v>
      </c>
      <c r="BA6" t="n">
        <v>801.49</v>
      </c>
      <c r="BB6" t="n">
        <v>0.905</v>
      </c>
      <c r="BC6" t="n">
        <v>87.33184062701827</v>
      </c>
      <c r="BD6" t="n">
        <v>0.7923</v>
      </c>
      <c r="BE6" t="n">
        <v>69.193</v>
      </c>
      <c r="BF6" t="n">
        <v>8.9176</v>
      </c>
      <c r="BG6" t="n">
        <v>0.77</v>
      </c>
      <c r="BH6" t="n">
        <v>5962.380796939026</v>
      </c>
      <c r="BI6" t="n">
        <v>1</v>
      </c>
      <c r="BJ6" t="n">
        <v>5962.3808</v>
      </c>
    </row>
    <row r="7">
      <c r="A7" t="n">
        <v>1323</v>
      </c>
      <c r="B7" t="inlineStr">
        <is>
          <t>01-01-2021</t>
        </is>
      </c>
      <c r="C7" t="n">
        <v>2021</v>
      </c>
      <c r="D7" t="n">
        <v>1</v>
      </c>
      <c r="E7" t="inlineStr">
        <is>
          <t>CAREN</t>
        </is>
      </c>
      <c r="F7" t="inlineStr">
        <is>
          <t>SUM_SAESA_A</t>
        </is>
      </c>
      <c r="G7" t="inlineStr">
        <is>
          <t>A</t>
        </is>
      </c>
      <c r="H7" t="inlineStr">
        <is>
          <t>SAESA</t>
        </is>
      </c>
      <c r="I7" t="inlineStr">
        <is>
          <t>SAESANCUBLOQA</t>
        </is>
      </c>
      <c r="J7" t="inlineStr">
        <is>
          <t>ANCUD</t>
        </is>
      </c>
      <c r="K7" t="n">
        <v>-5244.30469294</v>
      </c>
      <c r="L7" t="inlineStr">
        <is>
          <t>ANCUD</t>
        </is>
      </c>
      <c r="M7" t="inlineStr">
        <is>
          <t>Puerto Montt</t>
        </is>
      </c>
      <c r="N7" t="n">
        <v>0.9410461489039</v>
      </c>
      <c r="O7" t="n">
        <v>4935.132735</v>
      </c>
      <c r="P7" t="inlineStr">
        <is>
          <t>BS1A</t>
        </is>
      </c>
      <c r="Q7" t="n">
        <v>2</v>
      </c>
      <c r="W7" t="n">
        <v>2</v>
      </c>
      <c r="X7" t="n">
        <v>0</v>
      </c>
      <c r="AA7" t="inlineStr">
        <is>
          <t>PNP_6T_08-05-2020</t>
        </is>
      </c>
      <c r="AB7" t="inlineStr">
        <is>
          <t>PNCP_9T_12-08-2019</t>
        </is>
      </c>
      <c r="AC7" t="inlineStr">
        <is>
          <t>PNCP_4T_30-04-2013</t>
        </is>
      </c>
      <c r="AD7" t="inlineStr">
        <is>
          <t>PUERTO MONTT 220</t>
        </is>
      </c>
      <c r="AE7" t="n">
        <v>111.133</v>
      </c>
      <c r="AF7" t="n">
        <v>1.072776031070834</v>
      </c>
      <c r="AG7" t="n">
        <v>119.220818660995</v>
      </c>
      <c r="AH7" t="n">
        <v>694.38</v>
      </c>
      <c r="AI7" t="n">
        <v>0.875</v>
      </c>
      <c r="AJ7" t="n">
        <v>72.43648305409401</v>
      </c>
      <c r="AK7" t="n">
        <v>0.8826000000000001</v>
      </c>
      <c r="AL7" t="n">
        <v>63.932</v>
      </c>
      <c r="AM7" t="n">
        <v>8.9176</v>
      </c>
      <c r="AN7" t="n">
        <v>9.566587534677272</v>
      </c>
      <c r="AO7" t="n">
        <v>0.913</v>
      </c>
      <c r="AP7" t="n">
        <v>6064.919358776563</v>
      </c>
      <c r="AQ7" t="n">
        <v>1.016858412119831</v>
      </c>
      <c r="AR7" t="n">
        <v>6167.1643</v>
      </c>
      <c r="AT7" t="inlineStr">
        <is>
          <t>PNP_19T_30-12-2020</t>
        </is>
      </c>
      <c r="AU7" t="inlineStr">
        <is>
          <t>PNCP_12T_10-08-2020</t>
        </is>
      </c>
      <c r="AV7" t="inlineStr">
        <is>
          <t>PNCP_4T_30-04-2013</t>
        </is>
      </c>
      <c r="AW7" t="inlineStr">
        <is>
          <t>PUERTO MONTT 220</t>
        </is>
      </c>
      <c r="AX7" t="n">
        <v>111.133</v>
      </c>
      <c r="AY7" t="n">
        <v>1.083385174100913</v>
      </c>
      <c r="AZ7" t="n">
        <v>120.3998445533567</v>
      </c>
      <c r="BA7" t="n">
        <v>801.49</v>
      </c>
      <c r="BB7" t="n">
        <v>0.905</v>
      </c>
      <c r="BC7" t="n">
        <v>87.33184062701827</v>
      </c>
      <c r="BD7" t="n">
        <v>0.7824</v>
      </c>
      <c r="BE7" t="n">
        <v>68.328</v>
      </c>
      <c r="BF7" t="n">
        <v>8.9176</v>
      </c>
      <c r="BG7" t="n">
        <v>0.77</v>
      </c>
      <c r="BH7" t="n">
        <v>5962.380796939026</v>
      </c>
      <c r="BI7" t="n">
        <v>1.039640050119603</v>
      </c>
      <c r="BJ7" t="n">
        <v>6198.7299</v>
      </c>
    </row>
    <row r="8">
      <c r="A8" t="n">
        <v>381</v>
      </c>
      <c r="B8" t="inlineStr">
        <is>
          <t>01-01-2021</t>
        </is>
      </c>
      <c r="C8" t="n">
        <v>2021</v>
      </c>
      <c r="D8" t="n">
        <v>1</v>
      </c>
      <c r="E8" t="inlineStr">
        <is>
          <t>CAREN</t>
        </is>
      </c>
      <c r="F8" t="inlineStr">
        <is>
          <t>SUM_SAESA_A</t>
        </is>
      </c>
      <c r="G8" t="inlineStr">
        <is>
          <t>A</t>
        </is>
      </c>
      <c r="H8" t="inlineStr">
        <is>
          <t>SAESA</t>
        </is>
      </c>
      <c r="I8" t="inlineStr">
        <is>
          <t>SAESARMBLOQA</t>
        </is>
      </c>
      <c r="J8" t="inlineStr">
        <is>
          <t>ARMAZONES</t>
        </is>
      </c>
      <c r="K8" t="n">
        <v>-1393.73079425</v>
      </c>
      <c r="L8" t="inlineStr">
        <is>
          <t>ARMAZONES</t>
        </is>
      </c>
      <c r="M8" t="inlineStr">
        <is>
          <t>DIEGO DE ALMAGRO</t>
        </is>
      </c>
      <c r="N8" t="n">
        <v>0.81055053060743</v>
      </c>
      <c r="O8" t="n">
        <v>1129.689235</v>
      </c>
      <c r="P8" t="inlineStr">
        <is>
          <t>BS1A</t>
        </is>
      </c>
      <c r="Q8" t="n">
        <v>2</v>
      </c>
      <c r="W8" t="n">
        <v>2</v>
      </c>
      <c r="X8" t="n">
        <v>0</v>
      </c>
      <c r="AA8" t="inlineStr">
        <is>
          <t>PNP_6T_08-05-2020</t>
        </is>
      </c>
      <c r="AB8" t="inlineStr">
        <is>
          <t>PNCP_9T_12-08-2019</t>
        </is>
      </c>
      <c r="AC8" t="inlineStr">
        <is>
          <t>PNCP_4T_30-04-2013</t>
        </is>
      </c>
      <c r="AD8" t="inlineStr">
        <is>
          <t>DIEGO DE ALMAGRO 220</t>
        </is>
      </c>
      <c r="AE8" t="n">
        <v>111.133</v>
      </c>
      <c r="AF8" t="n">
        <v>1.072776031070834</v>
      </c>
      <c r="AG8" t="n">
        <v>119.220818660995</v>
      </c>
      <c r="AH8" t="n">
        <v>694.38</v>
      </c>
      <c r="AI8" t="n">
        <v>0.875</v>
      </c>
      <c r="AJ8" t="n">
        <v>72.43648305409401</v>
      </c>
      <c r="AK8" t="n">
        <v>0.981</v>
      </c>
      <c r="AL8" t="n">
        <v>71.06</v>
      </c>
      <c r="AM8" t="n">
        <v>8.9176</v>
      </c>
      <c r="AN8" t="n">
        <v>9.566587534677272</v>
      </c>
      <c r="AO8" t="n">
        <v>0.913</v>
      </c>
      <c r="AP8" t="n">
        <v>6064.919358776563</v>
      </c>
      <c r="AQ8" t="n">
        <v>1.00689729496713</v>
      </c>
      <c r="AR8" t="n">
        <v>6106.7509</v>
      </c>
      <c r="AT8" t="inlineStr">
        <is>
          <t>PNP_19T_30-12-2020</t>
        </is>
      </c>
      <c r="AU8" t="inlineStr">
        <is>
          <t>PNCP_12T_10-08-2020</t>
        </is>
      </c>
      <c r="AV8" t="inlineStr">
        <is>
          <t>PNCP_4T_30-04-2013</t>
        </is>
      </c>
      <c r="AW8" t="inlineStr">
        <is>
          <t>DIEGO DE ALMAGRO 220</t>
        </is>
      </c>
      <c r="AX8" t="n">
        <v>111.133</v>
      </c>
      <c r="AY8" t="n">
        <v>1.083385174100913</v>
      </c>
      <c r="AZ8" t="n">
        <v>120.3998445533567</v>
      </c>
      <c r="BA8" t="n">
        <v>801.49</v>
      </c>
      <c r="BB8" t="n">
        <v>0.905</v>
      </c>
      <c r="BC8" t="n">
        <v>87.33184062701827</v>
      </c>
      <c r="BD8" t="n">
        <v>0.9134</v>
      </c>
      <c r="BE8" t="n">
        <v>79.76900000000001</v>
      </c>
      <c r="BF8" t="n">
        <v>8.9176</v>
      </c>
      <c r="BG8" t="n">
        <v>0.77</v>
      </c>
      <c r="BH8" t="n">
        <v>5962.380796939026</v>
      </c>
      <c r="BI8" t="n">
        <v>1.088263821532493</v>
      </c>
      <c r="BJ8" t="n">
        <v>6488.6433</v>
      </c>
    </row>
    <row r="9">
      <c r="A9" t="n">
        <v>3997</v>
      </c>
      <c r="B9" t="inlineStr">
        <is>
          <t>01-01-2021</t>
        </is>
      </c>
      <c r="C9" t="n">
        <v>2021</v>
      </c>
      <c r="D9" t="n">
        <v>1</v>
      </c>
      <c r="E9" t="inlineStr">
        <is>
          <t>CAREN</t>
        </is>
      </c>
      <c r="F9" t="inlineStr">
        <is>
          <t>SUM_SAESA_A</t>
        </is>
      </c>
      <c r="G9" t="inlineStr">
        <is>
          <t>A</t>
        </is>
      </c>
      <c r="H9" t="inlineStr">
        <is>
          <t>SAESA</t>
        </is>
      </c>
      <c r="I9" t="inlineStr">
        <is>
          <t>SAESBBLABLOQA</t>
        </is>
      </c>
      <c r="J9" t="inlineStr">
        <is>
          <t>B.BLANCO</t>
        </is>
      </c>
      <c r="K9" t="n">
        <v>-4068.55072465</v>
      </c>
      <c r="L9" t="inlineStr">
        <is>
          <t>BARRO BLANCO</t>
        </is>
      </c>
      <c r="M9" t="inlineStr">
        <is>
          <t>BARRO BLANCO</t>
        </is>
      </c>
      <c r="N9" t="n">
        <v>0.68542358589689</v>
      </c>
      <c r="O9" t="n">
        <v>2788.680627</v>
      </c>
      <c r="P9" t="inlineStr">
        <is>
          <t>BS1A</t>
        </is>
      </c>
      <c r="Q9" t="n">
        <v>2</v>
      </c>
      <c r="W9" t="n">
        <v>2</v>
      </c>
      <c r="X9" t="n">
        <v>0</v>
      </c>
      <c r="AA9" t="inlineStr">
        <is>
          <t>PNP_6T_08-05-2020</t>
        </is>
      </c>
      <c r="AB9" t="inlineStr">
        <is>
          <t>PNCP_9T_12-08-2019</t>
        </is>
      </c>
      <c r="AC9" t="inlineStr">
        <is>
          <t>PNCP_4T_30-04-2013</t>
        </is>
      </c>
      <c r="AD9" t="inlineStr">
        <is>
          <t>Barro Blanco 220</t>
        </is>
      </c>
      <c r="AE9" t="n">
        <v>111.133</v>
      </c>
      <c r="AF9" t="n">
        <v>1.072776031070834</v>
      </c>
      <c r="AG9" t="n">
        <v>119.220818660995</v>
      </c>
      <c r="AH9" t="n">
        <v>694.38</v>
      </c>
      <c r="AI9" t="n">
        <v>0.875</v>
      </c>
      <c r="AJ9" t="n">
        <v>72.43648305409401</v>
      </c>
      <c r="AK9" t="n">
        <v>0.8631</v>
      </c>
      <c r="AL9" t="n">
        <v>62.52</v>
      </c>
      <c r="AM9" t="n">
        <v>8.9176</v>
      </c>
      <c r="AN9" t="n">
        <v>9.566587534677272</v>
      </c>
      <c r="AO9" t="n">
        <v>0.913</v>
      </c>
      <c r="AP9" t="n">
        <v>6064.919358776563</v>
      </c>
      <c r="AQ9" t="n">
        <v>1.004432825642191</v>
      </c>
      <c r="AR9" t="n">
        <v>6091.8041</v>
      </c>
      <c r="AT9" t="inlineStr">
        <is>
          <t>PNP_19T_30-12-2020</t>
        </is>
      </c>
      <c r="AU9" t="inlineStr">
        <is>
          <t>PNCP_12T_10-08-2020</t>
        </is>
      </c>
      <c r="AV9" t="inlineStr">
        <is>
          <t>PNCP_4T_30-04-2013</t>
        </is>
      </c>
      <c r="AW9" t="inlineStr">
        <is>
          <t>Barro Blanco 220</t>
        </is>
      </c>
      <c r="AX9" t="n">
        <v>111.133</v>
      </c>
      <c r="AY9" t="n">
        <v>1.083385174100913</v>
      </c>
      <c r="AZ9" t="n">
        <v>120.3998445533567</v>
      </c>
      <c r="BA9" t="n">
        <v>801.49</v>
      </c>
      <c r="BB9" t="n">
        <v>0.905</v>
      </c>
      <c r="BC9" t="n">
        <v>87.33184062701827</v>
      </c>
      <c r="BD9" t="n">
        <v>0.7946</v>
      </c>
      <c r="BE9" t="n">
        <v>69.39400000000001</v>
      </c>
      <c r="BF9" t="n">
        <v>8.9176</v>
      </c>
      <c r="BG9" t="n">
        <v>0.77</v>
      </c>
      <c r="BH9" t="n">
        <v>5962.380796939026</v>
      </c>
      <c r="BI9" t="n">
        <v>1.047283473516708</v>
      </c>
      <c r="BJ9" t="n">
        <v>6244.3029</v>
      </c>
    </row>
    <row r="10">
      <c r="A10" t="n">
        <v>3999</v>
      </c>
      <c r="B10" t="inlineStr">
        <is>
          <t>01-01-2021</t>
        </is>
      </c>
      <c r="C10" t="n">
        <v>2021</v>
      </c>
      <c r="D10" t="n">
        <v>1</v>
      </c>
      <c r="E10" t="inlineStr">
        <is>
          <t>CAREN</t>
        </is>
      </c>
      <c r="F10" t="inlineStr">
        <is>
          <t>SUM_SAESA_A</t>
        </is>
      </c>
      <c r="G10" t="inlineStr">
        <is>
          <t>A</t>
        </is>
      </c>
      <c r="H10" t="inlineStr">
        <is>
          <t>SAESA</t>
        </is>
      </c>
      <c r="I10" t="inlineStr">
        <is>
          <t>SAESBBLABLOQA</t>
        </is>
      </c>
      <c r="J10" t="inlineStr">
        <is>
          <t>B.BLANCO</t>
        </is>
      </c>
      <c r="K10" t="n">
        <v>-4068.55072465</v>
      </c>
      <c r="L10" t="inlineStr">
        <is>
          <t>BARRO BLANCO</t>
        </is>
      </c>
      <c r="M10" t="inlineStr">
        <is>
          <t>MELIPULLI</t>
        </is>
      </c>
      <c r="N10" t="n">
        <v>0.0564855654883</v>
      </c>
      <c r="O10" t="n">
        <v>229.814388</v>
      </c>
      <c r="P10" t="inlineStr">
        <is>
          <t>BS1A</t>
        </is>
      </c>
      <c r="Q10" t="n">
        <v>2</v>
      </c>
      <c r="W10" t="n">
        <v>2</v>
      </c>
      <c r="X10" t="n">
        <v>0</v>
      </c>
      <c r="AA10" t="inlineStr">
        <is>
          <t>PNP_6T_08-05-2020</t>
        </is>
      </c>
      <c r="AB10" t="inlineStr">
        <is>
          <t>PNCP_9T_12-08-2019</t>
        </is>
      </c>
      <c r="AC10" t="inlineStr">
        <is>
          <t>PNCP_4T_30-04-2013</t>
        </is>
      </c>
      <c r="AD10" t="inlineStr">
        <is>
          <t>MELIPULLI 220</t>
        </is>
      </c>
      <c r="AE10" t="n">
        <v>111.133</v>
      </c>
      <c r="AF10" t="n">
        <v>1.072776031070834</v>
      </c>
      <c r="AG10" t="n">
        <v>119.220818660995</v>
      </c>
      <c r="AH10" t="n">
        <v>694.38</v>
      </c>
      <c r="AI10" t="n">
        <v>0.875</v>
      </c>
      <c r="AJ10" t="n">
        <v>72.43648305409401</v>
      </c>
      <c r="AK10" t="n">
        <v>0.8826000000000001</v>
      </c>
      <c r="AL10" t="n">
        <v>63.932</v>
      </c>
      <c r="AM10" t="n">
        <v>8.9176</v>
      </c>
      <c r="AN10" t="n">
        <v>9.566587534677272</v>
      </c>
      <c r="AO10" t="n">
        <v>0.913</v>
      </c>
      <c r="AP10" t="n">
        <v>6064.919358776563</v>
      </c>
      <c r="AQ10" t="n">
        <v>1</v>
      </c>
      <c r="AR10" t="n">
        <v>6064.9194</v>
      </c>
      <c r="AT10" t="inlineStr">
        <is>
          <t>PNP_19T_30-12-2020</t>
        </is>
      </c>
      <c r="AU10" t="inlineStr">
        <is>
          <t>PNCP_12T_10-08-2020</t>
        </is>
      </c>
      <c r="AV10" t="inlineStr">
        <is>
          <t>PNCP_4T_30-04-2013</t>
        </is>
      </c>
      <c r="AW10" t="inlineStr">
        <is>
          <t>MELIPULLI 220</t>
        </is>
      </c>
      <c r="AX10" t="n">
        <v>111.133</v>
      </c>
      <c r="AY10" t="n">
        <v>1.083385174100913</v>
      </c>
      <c r="AZ10" t="n">
        <v>120.3998445533567</v>
      </c>
      <c r="BA10" t="n">
        <v>801.49</v>
      </c>
      <c r="BB10" t="n">
        <v>0.905</v>
      </c>
      <c r="BC10" t="n">
        <v>87.33184062701827</v>
      </c>
      <c r="BD10" t="n">
        <v>0.7824</v>
      </c>
      <c r="BE10" t="n">
        <v>68.328</v>
      </c>
      <c r="BF10" t="n">
        <v>8.9176</v>
      </c>
      <c r="BG10" t="n">
        <v>0.77</v>
      </c>
      <c r="BH10" t="n">
        <v>5962.380796939026</v>
      </c>
      <c r="BI10" t="n">
        <v>1</v>
      </c>
      <c r="BJ10" t="n">
        <v>5962.3808</v>
      </c>
    </row>
    <row r="11">
      <c r="A11" t="n">
        <v>4001</v>
      </c>
      <c r="B11" t="inlineStr">
        <is>
          <t>01-01-2021</t>
        </is>
      </c>
      <c r="C11" t="n">
        <v>2021</v>
      </c>
      <c r="D11" t="n">
        <v>1</v>
      </c>
      <c r="E11" t="inlineStr">
        <is>
          <t>CAREN</t>
        </is>
      </c>
      <c r="F11" t="inlineStr">
        <is>
          <t>SUM_SAESA_A</t>
        </is>
      </c>
      <c r="G11" t="inlineStr">
        <is>
          <t>A</t>
        </is>
      </c>
      <c r="H11" t="inlineStr">
        <is>
          <t>SAESA</t>
        </is>
      </c>
      <c r="I11" t="inlineStr">
        <is>
          <t>SAESBBLABLOQA</t>
        </is>
      </c>
      <c r="J11" t="inlineStr">
        <is>
          <t>B.BLANCO</t>
        </is>
      </c>
      <c r="K11" t="n">
        <v>-4068.55072465</v>
      </c>
      <c r="L11" t="inlineStr">
        <is>
          <t>BARRO BLANCO</t>
        </is>
      </c>
      <c r="M11" t="inlineStr">
        <is>
          <t>VALDIVIA</t>
        </is>
      </c>
      <c r="N11" t="n">
        <v>0.21815833770618</v>
      </c>
      <c r="O11" t="n">
        <v>887.588263</v>
      </c>
      <c r="P11" t="inlineStr">
        <is>
          <t>BS1A</t>
        </is>
      </c>
      <c r="Q11" t="n">
        <v>2</v>
      </c>
      <c r="W11" t="n">
        <v>2</v>
      </c>
      <c r="X11" t="n">
        <v>0</v>
      </c>
      <c r="AA11" t="inlineStr">
        <is>
          <t>PNP_6T_08-05-2020</t>
        </is>
      </c>
      <c r="AB11" t="inlineStr">
        <is>
          <t>PNCP_9T_12-08-2019</t>
        </is>
      </c>
      <c r="AC11" t="inlineStr">
        <is>
          <t>PNCP_4T_30-04-2013</t>
        </is>
      </c>
      <c r="AD11" t="inlineStr">
        <is>
          <t>VALDIVIA 220</t>
        </is>
      </c>
      <c r="AE11" t="n">
        <v>111.133</v>
      </c>
      <c r="AF11" t="n">
        <v>1.072776031070834</v>
      </c>
      <c r="AG11" t="n">
        <v>119.220818660995</v>
      </c>
      <c r="AH11" t="n">
        <v>694.38</v>
      </c>
      <c r="AI11" t="n">
        <v>0.875</v>
      </c>
      <c r="AJ11" t="n">
        <v>72.43648305409401</v>
      </c>
      <c r="AK11" t="n">
        <v>0.913</v>
      </c>
      <c r="AL11" t="n">
        <v>66.13500000000001</v>
      </c>
      <c r="AM11" t="n">
        <v>8.9176</v>
      </c>
      <c r="AN11" t="n">
        <v>9.566587534677272</v>
      </c>
      <c r="AO11" t="n">
        <v>0.913</v>
      </c>
      <c r="AP11" t="n">
        <v>6064.919358776563</v>
      </c>
      <c r="AQ11" t="n">
        <v>1.051287819142954</v>
      </c>
      <c r="AR11" t="n">
        <v>6375.9758</v>
      </c>
      <c r="AT11" t="inlineStr">
        <is>
          <t>PNP_19T_30-12-2020</t>
        </is>
      </c>
      <c r="AU11" t="inlineStr">
        <is>
          <t>PNCP_12T_10-08-2020</t>
        </is>
      </c>
      <c r="AV11" t="inlineStr">
        <is>
          <t>PNCP_4T_30-04-2013</t>
        </is>
      </c>
      <c r="AW11" t="inlineStr">
        <is>
          <t>VALDIVIA 220</t>
        </is>
      </c>
      <c r="AX11" t="n">
        <v>111.133</v>
      </c>
      <c r="AY11" t="n">
        <v>1.083385174100913</v>
      </c>
      <c r="AZ11" t="n">
        <v>120.3998445533567</v>
      </c>
      <c r="BA11" t="n">
        <v>801.49</v>
      </c>
      <c r="BB11" t="n">
        <v>0.905</v>
      </c>
      <c r="BC11" t="n">
        <v>87.33184062701827</v>
      </c>
      <c r="BD11" t="n">
        <v>0.8745000000000001</v>
      </c>
      <c r="BE11" t="n">
        <v>76.372</v>
      </c>
      <c r="BF11" t="n">
        <v>8.9176</v>
      </c>
      <c r="BG11" t="n">
        <v>0.77</v>
      </c>
      <c r="BH11" t="n">
        <v>5962.380796939026</v>
      </c>
      <c r="BI11" t="n">
        <v>1.148014846473962</v>
      </c>
      <c r="BJ11" t="n">
        <v>6844.9017</v>
      </c>
    </row>
    <row r="12">
      <c r="A12" t="n">
        <v>1981</v>
      </c>
      <c r="B12" t="inlineStr">
        <is>
          <t>01-01-2021</t>
        </is>
      </c>
      <c r="C12" t="n">
        <v>2021</v>
      </c>
      <c r="D12" t="n">
        <v>1</v>
      </c>
      <c r="E12" t="inlineStr">
        <is>
          <t>CAREN</t>
        </is>
      </c>
      <c r="F12" t="inlineStr">
        <is>
          <t>SUM_SAESA_A</t>
        </is>
      </c>
      <c r="G12" t="inlineStr">
        <is>
          <t>A</t>
        </is>
      </c>
      <c r="H12" t="inlineStr">
        <is>
          <t>SAESA</t>
        </is>
      </c>
      <c r="I12" t="inlineStr">
        <is>
          <t>SAESCALBBLOQA</t>
        </is>
      </c>
      <c r="J12" t="inlineStr">
        <is>
          <t>CALBUCO</t>
        </is>
      </c>
      <c r="K12" t="n">
        <v>-2525.76333764</v>
      </c>
      <c r="L12" t="inlineStr">
        <is>
          <t>CALBUCO</t>
        </is>
      </c>
      <c r="M12" t="inlineStr">
        <is>
          <t>MELIPULLI</t>
        </is>
      </c>
      <c r="N12" t="n">
        <v>0.79695127981308</v>
      </c>
      <c r="O12" t="n">
        <v>2012.910324</v>
      </c>
      <c r="P12" t="inlineStr">
        <is>
          <t>BS1A</t>
        </is>
      </c>
      <c r="Q12" t="n">
        <v>2</v>
      </c>
      <c r="W12" t="n">
        <v>2</v>
      </c>
      <c r="X12" t="n">
        <v>0</v>
      </c>
      <c r="AA12" t="inlineStr">
        <is>
          <t>PNP_6T_08-05-2020</t>
        </is>
      </c>
      <c r="AB12" t="inlineStr">
        <is>
          <t>PNCP_9T_12-08-2019</t>
        </is>
      </c>
      <c r="AC12" t="inlineStr">
        <is>
          <t>PNCP_4T_30-04-2013</t>
        </is>
      </c>
      <c r="AD12" t="inlineStr">
        <is>
          <t>MELIPULLI 220</t>
        </is>
      </c>
      <c r="AE12" t="n">
        <v>111.133</v>
      </c>
      <c r="AF12" t="n">
        <v>1.072776031070834</v>
      </c>
      <c r="AG12" t="n">
        <v>119.220818660995</v>
      </c>
      <c r="AH12" t="n">
        <v>694.38</v>
      </c>
      <c r="AI12" t="n">
        <v>0.875</v>
      </c>
      <c r="AJ12" t="n">
        <v>72.43648305409401</v>
      </c>
      <c r="AK12" t="n">
        <v>0.8826000000000001</v>
      </c>
      <c r="AL12" t="n">
        <v>63.932</v>
      </c>
      <c r="AM12" t="n">
        <v>8.9176</v>
      </c>
      <c r="AN12" t="n">
        <v>9.566587534677272</v>
      </c>
      <c r="AO12" t="n">
        <v>0.913</v>
      </c>
      <c r="AP12" t="n">
        <v>6064.919358776563</v>
      </c>
      <c r="AQ12" t="n">
        <v>1</v>
      </c>
      <c r="AR12" t="n">
        <v>6064.9194</v>
      </c>
      <c r="AT12" t="inlineStr">
        <is>
          <t>PNP_19T_30-12-2020</t>
        </is>
      </c>
      <c r="AU12" t="inlineStr">
        <is>
          <t>PNCP_12T_10-08-2020</t>
        </is>
      </c>
      <c r="AV12" t="inlineStr">
        <is>
          <t>PNCP_4T_30-04-2013</t>
        </is>
      </c>
      <c r="AW12" t="inlineStr">
        <is>
          <t>MELIPULLI 220</t>
        </is>
      </c>
      <c r="AX12" t="n">
        <v>111.133</v>
      </c>
      <c r="AY12" t="n">
        <v>1.083385174100913</v>
      </c>
      <c r="AZ12" t="n">
        <v>120.3998445533567</v>
      </c>
      <c r="BA12" t="n">
        <v>801.49</v>
      </c>
      <c r="BB12" t="n">
        <v>0.905</v>
      </c>
      <c r="BC12" t="n">
        <v>87.33184062701827</v>
      </c>
      <c r="BD12" t="n">
        <v>0.7824</v>
      </c>
      <c r="BE12" t="n">
        <v>68.328</v>
      </c>
      <c r="BF12" t="n">
        <v>8.9176</v>
      </c>
      <c r="BG12" t="n">
        <v>0.77</v>
      </c>
      <c r="BH12" t="n">
        <v>5962.380796939026</v>
      </c>
      <c r="BI12" t="n">
        <v>1</v>
      </c>
      <c r="BJ12" t="n">
        <v>5962.3808</v>
      </c>
    </row>
    <row r="13">
      <c r="A13" t="n">
        <v>1983</v>
      </c>
      <c r="B13" t="inlineStr">
        <is>
          <t>01-01-2021</t>
        </is>
      </c>
      <c r="C13" t="n">
        <v>2021</v>
      </c>
      <c r="D13" t="n">
        <v>1</v>
      </c>
      <c r="E13" t="inlineStr">
        <is>
          <t>CAREN</t>
        </is>
      </c>
      <c r="F13" t="inlineStr">
        <is>
          <t>SUM_SAESA_A</t>
        </is>
      </c>
      <c r="G13" t="inlineStr">
        <is>
          <t>A</t>
        </is>
      </c>
      <c r="H13" t="inlineStr">
        <is>
          <t>SAESA</t>
        </is>
      </c>
      <c r="I13" t="inlineStr">
        <is>
          <t>SAESCALBBLOQA</t>
        </is>
      </c>
      <c r="J13" t="inlineStr">
        <is>
          <t>CALBUCO</t>
        </is>
      </c>
      <c r="K13" t="n">
        <v>-2525.76333764</v>
      </c>
      <c r="L13" t="inlineStr">
        <is>
          <t>CALBUCO</t>
        </is>
      </c>
      <c r="M13" t="inlineStr">
        <is>
          <t>Puerto Montt</t>
        </is>
      </c>
      <c r="N13" t="n">
        <v>0.94243617275731</v>
      </c>
      <c r="O13" t="n">
        <v>2380.370733</v>
      </c>
      <c r="P13" t="inlineStr">
        <is>
          <t>BS1A</t>
        </is>
      </c>
      <c r="Q13" t="n">
        <v>2</v>
      </c>
      <c r="W13" t="n">
        <v>2</v>
      </c>
      <c r="X13" t="n">
        <v>0</v>
      </c>
      <c r="AA13" t="inlineStr">
        <is>
          <t>PNP_6T_08-05-2020</t>
        </is>
      </c>
      <c r="AB13" t="inlineStr">
        <is>
          <t>PNCP_9T_12-08-2019</t>
        </is>
      </c>
      <c r="AC13" t="inlineStr">
        <is>
          <t>PNCP_4T_30-04-2013</t>
        </is>
      </c>
      <c r="AD13" t="inlineStr">
        <is>
          <t>PUERTO MONTT 220</t>
        </is>
      </c>
      <c r="AE13" t="n">
        <v>111.133</v>
      </c>
      <c r="AF13" t="n">
        <v>1.072776031070834</v>
      </c>
      <c r="AG13" t="n">
        <v>119.220818660995</v>
      </c>
      <c r="AH13" t="n">
        <v>694.38</v>
      </c>
      <c r="AI13" t="n">
        <v>0.875</v>
      </c>
      <c r="AJ13" t="n">
        <v>72.43648305409401</v>
      </c>
      <c r="AK13" t="n">
        <v>0.8826000000000001</v>
      </c>
      <c r="AL13" t="n">
        <v>63.932</v>
      </c>
      <c r="AM13" t="n">
        <v>8.9176</v>
      </c>
      <c r="AN13" t="n">
        <v>9.566587534677272</v>
      </c>
      <c r="AO13" t="n">
        <v>0.913</v>
      </c>
      <c r="AP13" t="n">
        <v>6064.919358776563</v>
      </c>
      <c r="AQ13" t="n">
        <v>1.016858412119831</v>
      </c>
      <c r="AR13" t="n">
        <v>6167.1643</v>
      </c>
      <c r="AT13" t="inlineStr">
        <is>
          <t>PNP_19T_30-12-2020</t>
        </is>
      </c>
      <c r="AU13" t="inlineStr">
        <is>
          <t>PNCP_12T_10-08-2020</t>
        </is>
      </c>
      <c r="AV13" t="inlineStr">
        <is>
          <t>PNCP_4T_30-04-2013</t>
        </is>
      </c>
      <c r="AW13" t="inlineStr">
        <is>
          <t>PUERTO MONTT 220</t>
        </is>
      </c>
      <c r="AX13" t="n">
        <v>111.133</v>
      </c>
      <c r="AY13" t="n">
        <v>1.083385174100913</v>
      </c>
      <c r="AZ13" t="n">
        <v>120.3998445533567</v>
      </c>
      <c r="BA13" t="n">
        <v>801.49</v>
      </c>
      <c r="BB13" t="n">
        <v>0.905</v>
      </c>
      <c r="BC13" t="n">
        <v>87.33184062701827</v>
      </c>
      <c r="BD13" t="n">
        <v>0.7824</v>
      </c>
      <c r="BE13" t="n">
        <v>68.328</v>
      </c>
      <c r="BF13" t="n">
        <v>8.9176</v>
      </c>
      <c r="BG13" t="n">
        <v>0.77</v>
      </c>
      <c r="BH13" t="n">
        <v>5962.380796939026</v>
      </c>
      <c r="BI13" t="n">
        <v>1.039640050119603</v>
      </c>
      <c r="BJ13" t="n">
        <v>6198.7299</v>
      </c>
    </row>
    <row r="14">
      <c r="A14" t="n">
        <v>1985</v>
      </c>
      <c r="B14" t="inlineStr">
        <is>
          <t>01-01-2021</t>
        </is>
      </c>
      <c r="C14" t="n">
        <v>2021</v>
      </c>
      <c r="D14" t="n">
        <v>1</v>
      </c>
      <c r="E14" t="inlineStr">
        <is>
          <t>CAREN</t>
        </is>
      </c>
      <c r="F14" t="inlineStr">
        <is>
          <t>SUM_SAESA_A</t>
        </is>
      </c>
      <c r="G14" t="inlineStr">
        <is>
          <t>A</t>
        </is>
      </c>
      <c r="H14" t="inlineStr">
        <is>
          <t>SAESA</t>
        </is>
      </c>
      <c r="I14" t="inlineStr">
        <is>
          <t>SAESCALBBLOQA</t>
        </is>
      </c>
      <c r="J14" t="inlineStr">
        <is>
          <t>CALBUCO</t>
        </is>
      </c>
      <c r="K14" t="n">
        <v>-2525.76333764</v>
      </c>
      <c r="L14" t="inlineStr">
        <is>
          <t>CALBUCO</t>
        </is>
      </c>
      <c r="M14" t="inlineStr">
        <is>
          <t>VALDIVIA</t>
        </is>
      </c>
      <c r="N14" t="n">
        <v>7.167390938e-05</v>
      </c>
      <c r="O14" t="n">
        <v>0.181031</v>
      </c>
      <c r="P14" t="inlineStr">
        <is>
          <t>BS1A</t>
        </is>
      </c>
      <c r="Q14" t="n">
        <v>2</v>
      </c>
      <c r="W14" t="n">
        <v>2</v>
      </c>
      <c r="X14" t="n">
        <v>0</v>
      </c>
      <c r="AA14" t="inlineStr">
        <is>
          <t>PNP_6T_08-05-2020</t>
        </is>
      </c>
      <c r="AB14" t="inlineStr">
        <is>
          <t>PNCP_9T_12-08-2019</t>
        </is>
      </c>
      <c r="AC14" t="inlineStr">
        <is>
          <t>PNCP_4T_30-04-2013</t>
        </is>
      </c>
      <c r="AD14" t="inlineStr">
        <is>
          <t>VALDIVIA 220</t>
        </is>
      </c>
      <c r="AE14" t="n">
        <v>111.133</v>
      </c>
      <c r="AF14" t="n">
        <v>1.072776031070834</v>
      </c>
      <c r="AG14" t="n">
        <v>119.220818660995</v>
      </c>
      <c r="AH14" t="n">
        <v>694.38</v>
      </c>
      <c r="AI14" t="n">
        <v>0.875</v>
      </c>
      <c r="AJ14" t="n">
        <v>72.43648305409401</v>
      </c>
      <c r="AK14" t="n">
        <v>0.913</v>
      </c>
      <c r="AL14" t="n">
        <v>66.13500000000001</v>
      </c>
      <c r="AM14" t="n">
        <v>8.9176</v>
      </c>
      <c r="AN14" t="n">
        <v>9.566587534677272</v>
      </c>
      <c r="AO14" t="n">
        <v>0.913</v>
      </c>
      <c r="AP14" t="n">
        <v>6064.919358776563</v>
      </c>
      <c r="AQ14" t="n">
        <v>1.051287819142954</v>
      </c>
      <c r="AR14" t="n">
        <v>6375.9758</v>
      </c>
      <c r="AT14" t="inlineStr">
        <is>
          <t>PNP_19T_30-12-2020</t>
        </is>
      </c>
      <c r="AU14" t="inlineStr">
        <is>
          <t>PNCP_12T_10-08-2020</t>
        </is>
      </c>
      <c r="AV14" t="inlineStr">
        <is>
          <t>PNCP_4T_30-04-2013</t>
        </is>
      </c>
      <c r="AW14" t="inlineStr">
        <is>
          <t>VALDIVIA 220</t>
        </is>
      </c>
      <c r="AX14" t="n">
        <v>111.133</v>
      </c>
      <c r="AY14" t="n">
        <v>1.083385174100913</v>
      </c>
      <c r="AZ14" t="n">
        <v>120.3998445533567</v>
      </c>
      <c r="BA14" t="n">
        <v>801.49</v>
      </c>
      <c r="BB14" t="n">
        <v>0.905</v>
      </c>
      <c r="BC14" t="n">
        <v>87.33184062701827</v>
      </c>
      <c r="BD14" t="n">
        <v>0.8745000000000001</v>
      </c>
      <c r="BE14" t="n">
        <v>76.372</v>
      </c>
      <c r="BF14" t="n">
        <v>8.9176</v>
      </c>
      <c r="BG14" t="n">
        <v>0.77</v>
      </c>
      <c r="BH14" t="n">
        <v>5962.380796939026</v>
      </c>
      <c r="BI14" t="n">
        <v>1.148014846473962</v>
      </c>
      <c r="BJ14" t="n">
        <v>6844.9017</v>
      </c>
    </row>
    <row r="15">
      <c r="A15" t="n">
        <v>1321</v>
      </c>
      <c r="B15" t="inlineStr">
        <is>
          <t>01-01-2021</t>
        </is>
      </c>
      <c r="C15" t="n">
        <v>2021</v>
      </c>
      <c r="D15" t="n">
        <v>1</v>
      </c>
      <c r="E15" t="inlineStr">
        <is>
          <t>CAREN</t>
        </is>
      </c>
      <c r="F15" t="inlineStr">
        <is>
          <t>SUM_SAESA_A</t>
        </is>
      </c>
      <c r="G15" t="inlineStr">
        <is>
          <t>A</t>
        </is>
      </c>
      <c r="H15" t="inlineStr">
        <is>
          <t>SAESA</t>
        </is>
      </c>
      <c r="I15" t="inlineStr">
        <is>
          <t>SAESCASTBLOQA</t>
        </is>
      </c>
      <c r="J15" t="inlineStr">
        <is>
          <t>CASTRO</t>
        </is>
      </c>
      <c r="K15" t="n">
        <v>-4709.57127416</v>
      </c>
      <c r="L15" t="inlineStr">
        <is>
          <t>CASTRO</t>
        </is>
      </c>
      <c r="M15" t="inlineStr">
        <is>
          <t>CHILOE</t>
        </is>
      </c>
      <c r="N15" t="n">
        <v>0.79707666555766</v>
      </c>
      <c r="O15" t="n">
        <v>3753.889367</v>
      </c>
      <c r="P15" t="inlineStr">
        <is>
          <t>BS1A</t>
        </is>
      </c>
      <c r="Q15" t="n">
        <v>2</v>
      </c>
      <c r="W15" t="n">
        <v>2</v>
      </c>
      <c r="X15" t="n">
        <v>0</v>
      </c>
      <c r="AA15" t="inlineStr">
        <is>
          <t>PNP_6T_08-05-2020</t>
        </is>
      </c>
      <c r="AB15" t="inlineStr">
        <is>
          <t>PNCP_9T_12-08-2019</t>
        </is>
      </c>
      <c r="AC15" t="inlineStr">
        <is>
          <t>PNCP_4T_30-04-2013</t>
        </is>
      </c>
      <c r="AD15" t="inlineStr">
        <is>
          <t>CHILOE 220</t>
        </is>
      </c>
      <c r="AE15" t="n">
        <v>111.133</v>
      </c>
      <c r="AF15" t="n">
        <v>1.072776031070834</v>
      </c>
      <c r="AG15" t="n">
        <v>119.220818660995</v>
      </c>
      <c r="AH15" t="n">
        <v>694.38</v>
      </c>
      <c r="AI15" t="n">
        <v>0.875</v>
      </c>
      <c r="AJ15" t="n">
        <v>72.43648305409401</v>
      </c>
      <c r="AK15" t="n">
        <v>0.8903</v>
      </c>
      <c r="AL15" t="n">
        <v>64.48999999999999</v>
      </c>
      <c r="AM15" t="n">
        <v>8.9176</v>
      </c>
      <c r="AN15" t="n">
        <v>9.566587534677272</v>
      </c>
      <c r="AO15" t="n">
        <v>0.913</v>
      </c>
      <c r="AP15" t="n">
        <v>6064.919358776563</v>
      </c>
      <c r="AQ15" t="n">
        <v>1</v>
      </c>
      <c r="AR15" t="n">
        <v>6064.9194</v>
      </c>
      <c r="AT15" t="inlineStr">
        <is>
          <t>PNP_19T_30-12-2020</t>
        </is>
      </c>
      <c r="AU15" t="inlineStr">
        <is>
          <t>PNCP_12T_10-08-2020</t>
        </is>
      </c>
      <c r="AV15" t="inlineStr">
        <is>
          <t>PNCP_4T_30-04-2013</t>
        </is>
      </c>
      <c r="AW15" t="inlineStr">
        <is>
          <t>CHILOE 220</t>
        </is>
      </c>
      <c r="AX15" t="n">
        <v>111.133</v>
      </c>
      <c r="AY15" t="n">
        <v>1.083385174100913</v>
      </c>
      <c r="AZ15" t="n">
        <v>120.3998445533567</v>
      </c>
      <c r="BA15" t="n">
        <v>801.49</v>
      </c>
      <c r="BB15" t="n">
        <v>0.905</v>
      </c>
      <c r="BC15" t="n">
        <v>87.33184062701827</v>
      </c>
      <c r="BD15" t="n">
        <v>0.7923</v>
      </c>
      <c r="BE15" t="n">
        <v>69.193</v>
      </c>
      <c r="BF15" t="n">
        <v>8.9176</v>
      </c>
      <c r="BG15" t="n">
        <v>0.77</v>
      </c>
      <c r="BH15" t="n">
        <v>5962.380796939026</v>
      </c>
      <c r="BI15" t="n">
        <v>1</v>
      </c>
      <c r="BJ15" t="n">
        <v>5962.3808</v>
      </c>
    </row>
    <row r="16">
      <c r="A16" t="n">
        <v>1323</v>
      </c>
      <c r="B16" t="inlineStr">
        <is>
          <t>01-01-2021</t>
        </is>
      </c>
      <c r="C16" t="n">
        <v>2021</v>
      </c>
      <c r="D16" t="n">
        <v>1</v>
      </c>
      <c r="E16" t="inlineStr">
        <is>
          <t>CAREN</t>
        </is>
      </c>
      <c r="F16" t="inlineStr">
        <is>
          <t>SUM_SAESA_A</t>
        </is>
      </c>
      <c r="G16" t="inlineStr">
        <is>
          <t>A</t>
        </is>
      </c>
      <c r="H16" t="inlineStr">
        <is>
          <t>SAESA</t>
        </is>
      </c>
      <c r="I16" t="inlineStr">
        <is>
          <t>SAESCASTBLOQA</t>
        </is>
      </c>
      <c r="J16" t="inlineStr">
        <is>
          <t>CASTRO</t>
        </is>
      </c>
      <c r="K16" t="n">
        <v>-4709.57127416</v>
      </c>
      <c r="L16" t="inlineStr">
        <is>
          <t>CASTRO</t>
        </is>
      </c>
      <c r="M16" t="inlineStr">
        <is>
          <t>Puerto Montt</t>
        </is>
      </c>
      <c r="N16" t="n">
        <v>0.94383030910781</v>
      </c>
      <c r="O16" t="n">
        <v>4445.036111</v>
      </c>
      <c r="P16" t="inlineStr">
        <is>
          <t>BS1A</t>
        </is>
      </c>
      <c r="Q16" t="n">
        <v>2</v>
      </c>
      <c r="W16" t="n">
        <v>2</v>
      </c>
      <c r="X16" t="n">
        <v>0</v>
      </c>
      <c r="AA16" t="inlineStr">
        <is>
          <t>PNP_6T_08-05-2020</t>
        </is>
      </c>
      <c r="AB16" t="inlineStr">
        <is>
          <t>PNCP_9T_12-08-2019</t>
        </is>
      </c>
      <c r="AC16" t="inlineStr">
        <is>
          <t>PNCP_4T_30-04-2013</t>
        </is>
      </c>
      <c r="AD16" t="inlineStr">
        <is>
          <t>PUERTO MONTT 220</t>
        </is>
      </c>
      <c r="AE16" t="n">
        <v>111.133</v>
      </c>
      <c r="AF16" t="n">
        <v>1.072776031070834</v>
      </c>
      <c r="AG16" t="n">
        <v>119.220818660995</v>
      </c>
      <c r="AH16" t="n">
        <v>694.38</v>
      </c>
      <c r="AI16" t="n">
        <v>0.875</v>
      </c>
      <c r="AJ16" t="n">
        <v>72.43648305409401</v>
      </c>
      <c r="AK16" t="n">
        <v>0.8826000000000001</v>
      </c>
      <c r="AL16" t="n">
        <v>63.932</v>
      </c>
      <c r="AM16" t="n">
        <v>8.9176</v>
      </c>
      <c r="AN16" t="n">
        <v>9.566587534677272</v>
      </c>
      <c r="AO16" t="n">
        <v>0.913</v>
      </c>
      <c r="AP16" t="n">
        <v>6064.919358776563</v>
      </c>
      <c r="AQ16" t="n">
        <v>1.016858412119831</v>
      </c>
      <c r="AR16" t="n">
        <v>6167.1643</v>
      </c>
      <c r="AT16" t="inlineStr">
        <is>
          <t>PNP_19T_30-12-2020</t>
        </is>
      </c>
      <c r="AU16" t="inlineStr">
        <is>
          <t>PNCP_12T_10-08-2020</t>
        </is>
      </c>
      <c r="AV16" t="inlineStr">
        <is>
          <t>PNCP_4T_30-04-2013</t>
        </is>
      </c>
      <c r="AW16" t="inlineStr">
        <is>
          <t>PUERTO MONTT 220</t>
        </is>
      </c>
      <c r="AX16" t="n">
        <v>111.133</v>
      </c>
      <c r="AY16" t="n">
        <v>1.083385174100913</v>
      </c>
      <c r="AZ16" t="n">
        <v>120.3998445533567</v>
      </c>
      <c r="BA16" t="n">
        <v>801.49</v>
      </c>
      <c r="BB16" t="n">
        <v>0.905</v>
      </c>
      <c r="BC16" t="n">
        <v>87.33184062701827</v>
      </c>
      <c r="BD16" t="n">
        <v>0.7824</v>
      </c>
      <c r="BE16" t="n">
        <v>68.328</v>
      </c>
      <c r="BF16" t="n">
        <v>8.9176</v>
      </c>
      <c r="BG16" t="n">
        <v>0.77</v>
      </c>
      <c r="BH16" t="n">
        <v>5962.380796939026</v>
      </c>
      <c r="BI16" t="n">
        <v>1.039640050119603</v>
      </c>
      <c r="BJ16" t="n">
        <v>6198.7299</v>
      </c>
    </row>
    <row r="17">
      <c r="A17" t="n">
        <v>371</v>
      </c>
      <c r="B17" t="inlineStr">
        <is>
          <t>01-01-2021</t>
        </is>
      </c>
      <c r="C17" t="n">
        <v>2021</v>
      </c>
      <c r="D17" t="n">
        <v>1</v>
      </c>
      <c r="E17" t="inlineStr">
        <is>
          <t>CAREN</t>
        </is>
      </c>
      <c r="F17" t="inlineStr">
        <is>
          <t>SUM_SAESA_A</t>
        </is>
      </c>
      <c r="G17" t="inlineStr">
        <is>
          <t>A</t>
        </is>
      </c>
      <c r="H17" t="inlineStr">
        <is>
          <t>SAESA</t>
        </is>
      </c>
      <c r="I17" t="inlineStr">
        <is>
          <t>SAESACHIRREBLOQA</t>
        </is>
      </c>
      <c r="J17" t="inlineStr">
        <is>
          <t>CHIRRE</t>
        </is>
      </c>
      <c r="K17" t="n">
        <v>-2691.84871599</v>
      </c>
      <c r="L17" t="inlineStr">
        <is>
          <t>CHIRRE 23</t>
        </is>
      </c>
      <c r="M17" t="inlineStr">
        <is>
          <t>BARRO BLANCO</t>
        </is>
      </c>
      <c r="N17" t="n">
        <v>0.90362399609009</v>
      </c>
      <c r="O17" t="n">
        <v>2432.419094</v>
      </c>
      <c r="P17" t="inlineStr">
        <is>
          <t>BS1A</t>
        </is>
      </c>
      <c r="Q17" t="n">
        <v>2</v>
      </c>
      <c r="W17" t="n">
        <v>2</v>
      </c>
      <c r="X17" t="n">
        <v>0</v>
      </c>
      <c r="AA17" t="inlineStr">
        <is>
          <t>PNP_6T_08-05-2020</t>
        </is>
      </c>
      <c r="AB17" t="inlineStr">
        <is>
          <t>PNCP_9T_12-08-2019</t>
        </is>
      </c>
      <c r="AC17" t="inlineStr">
        <is>
          <t>PNCP_4T_30-04-2013</t>
        </is>
      </c>
      <c r="AD17" t="inlineStr">
        <is>
          <t>Barro Blanco 220</t>
        </is>
      </c>
      <c r="AE17" t="n">
        <v>111.133</v>
      </c>
      <c r="AF17" t="n">
        <v>1.072776031070834</v>
      </c>
      <c r="AG17" t="n">
        <v>119.220818660995</v>
      </c>
      <c r="AH17" t="n">
        <v>694.38</v>
      </c>
      <c r="AI17" t="n">
        <v>0.875</v>
      </c>
      <c r="AJ17" t="n">
        <v>72.43648305409401</v>
      </c>
      <c r="AK17" t="n">
        <v>0.8631</v>
      </c>
      <c r="AL17" t="n">
        <v>62.52</v>
      </c>
      <c r="AM17" t="n">
        <v>8.9176</v>
      </c>
      <c r="AN17" t="n">
        <v>9.566587534677272</v>
      </c>
      <c r="AO17" t="n">
        <v>0.913</v>
      </c>
      <c r="AP17" t="n">
        <v>6064.919358776563</v>
      </c>
      <c r="AQ17" t="n">
        <v>1.004432825642191</v>
      </c>
      <c r="AR17" t="n">
        <v>6091.8041</v>
      </c>
      <c r="AT17" t="inlineStr">
        <is>
          <t>PNP_19T_30-12-2020</t>
        </is>
      </c>
      <c r="AU17" t="inlineStr">
        <is>
          <t>PNCP_12T_10-08-2020</t>
        </is>
      </c>
      <c r="AV17" t="inlineStr">
        <is>
          <t>PNCP_4T_30-04-2013</t>
        </is>
      </c>
      <c r="AW17" t="inlineStr">
        <is>
          <t>Barro Blanco 220</t>
        </is>
      </c>
      <c r="AX17" t="n">
        <v>111.133</v>
      </c>
      <c r="AY17" t="n">
        <v>1.083385174100913</v>
      </c>
      <c r="AZ17" t="n">
        <v>120.3998445533567</v>
      </c>
      <c r="BA17" t="n">
        <v>801.49</v>
      </c>
      <c r="BB17" t="n">
        <v>0.905</v>
      </c>
      <c r="BC17" t="n">
        <v>87.33184062701827</v>
      </c>
      <c r="BD17" t="n">
        <v>0.7946</v>
      </c>
      <c r="BE17" t="n">
        <v>69.39400000000001</v>
      </c>
      <c r="BF17" t="n">
        <v>8.9176</v>
      </c>
      <c r="BG17" t="n">
        <v>0.77</v>
      </c>
      <c r="BH17" t="n">
        <v>5962.380796939026</v>
      </c>
      <c r="BI17" t="n">
        <v>1.047283473516708</v>
      </c>
      <c r="BJ17" t="n">
        <v>6244.3029</v>
      </c>
    </row>
    <row r="18">
      <c r="A18" t="n">
        <v>1321</v>
      </c>
      <c r="B18" t="inlineStr">
        <is>
          <t>01-01-2021</t>
        </is>
      </c>
      <c r="C18" t="n">
        <v>2021</v>
      </c>
      <c r="D18" t="n">
        <v>1</v>
      </c>
      <c r="E18" t="inlineStr">
        <is>
          <t>CAREN</t>
        </is>
      </c>
      <c r="F18" t="inlineStr">
        <is>
          <t>SUM_SAESA_A</t>
        </is>
      </c>
      <c r="G18" t="inlineStr">
        <is>
          <t>A</t>
        </is>
      </c>
      <c r="H18" t="inlineStr">
        <is>
          <t>SAESA</t>
        </is>
      </c>
      <c r="I18" t="inlineStr">
        <is>
          <t>SAESCHONBLOQA</t>
        </is>
      </c>
      <c r="J18" t="inlineStr">
        <is>
          <t>CHONCHI</t>
        </is>
      </c>
      <c r="K18" t="n">
        <v>-3237.47648672</v>
      </c>
      <c r="L18" t="inlineStr">
        <is>
          <t>CHONCHI</t>
        </is>
      </c>
      <c r="M18" t="inlineStr">
        <is>
          <t>CHILOE</t>
        </is>
      </c>
      <c r="N18" t="n">
        <v>0.79707666555781</v>
      </c>
      <c r="O18" t="n">
        <v>2580.516963</v>
      </c>
      <c r="P18" t="inlineStr">
        <is>
          <t>BS1A</t>
        </is>
      </c>
      <c r="Q18" t="n">
        <v>2</v>
      </c>
      <c r="W18" t="n">
        <v>2</v>
      </c>
      <c r="X18" t="n">
        <v>0</v>
      </c>
      <c r="AA18" t="inlineStr">
        <is>
          <t>PNP_6T_08-05-2020</t>
        </is>
      </c>
      <c r="AB18" t="inlineStr">
        <is>
          <t>PNCP_9T_12-08-2019</t>
        </is>
      </c>
      <c r="AC18" t="inlineStr">
        <is>
          <t>PNCP_4T_30-04-2013</t>
        </is>
      </c>
      <c r="AD18" t="inlineStr">
        <is>
          <t>CHILOE 220</t>
        </is>
      </c>
      <c r="AE18" t="n">
        <v>111.133</v>
      </c>
      <c r="AF18" t="n">
        <v>1.072776031070834</v>
      </c>
      <c r="AG18" t="n">
        <v>119.220818660995</v>
      </c>
      <c r="AH18" t="n">
        <v>694.38</v>
      </c>
      <c r="AI18" t="n">
        <v>0.875</v>
      </c>
      <c r="AJ18" t="n">
        <v>72.43648305409401</v>
      </c>
      <c r="AK18" t="n">
        <v>0.8903</v>
      </c>
      <c r="AL18" t="n">
        <v>64.48999999999999</v>
      </c>
      <c r="AM18" t="n">
        <v>8.9176</v>
      </c>
      <c r="AN18" t="n">
        <v>9.566587534677272</v>
      </c>
      <c r="AO18" t="n">
        <v>0.913</v>
      </c>
      <c r="AP18" t="n">
        <v>6064.919358776563</v>
      </c>
      <c r="AQ18" t="n">
        <v>1</v>
      </c>
      <c r="AR18" t="n">
        <v>6064.9194</v>
      </c>
      <c r="AT18" t="inlineStr">
        <is>
          <t>PNP_19T_30-12-2020</t>
        </is>
      </c>
      <c r="AU18" t="inlineStr">
        <is>
          <t>PNCP_12T_10-08-2020</t>
        </is>
      </c>
      <c r="AV18" t="inlineStr">
        <is>
          <t>PNCP_4T_30-04-2013</t>
        </is>
      </c>
      <c r="AW18" t="inlineStr">
        <is>
          <t>CHILOE 220</t>
        </is>
      </c>
      <c r="AX18" t="n">
        <v>111.133</v>
      </c>
      <c r="AY18" t="n">
        <v>1.083385174100913</v>
      </c>
      <c r="AZ18" t="n">
        <v>120.3998445533567</v>
      </c>
      <c r="BA18" t="n">
        <v>801.49</v>
      </c>
      <c r="BB18" t="n">
        <v>0.905</v>
      </c>
      <c r="BC18" t="n">
        <v>87.33184062701827</v>
      </c>
      <c r="BD18" t="n">
        <v>0.7923</v>
      </c>
      <c r="BE18" t="n">
        <v>69.193</v>
      </c>
      <c r="BF18" t="n">
        <v>8.9176</v>
      </c>
      <c r="BG18" t="n">
        <v>0.77</v>
      </c>
      <c r="BH18" t="n">
        <v>5962.380796939026</v>
      </c>
      <c r="BI18" t="n">
        <v>1</v>
      </c>
      <c r="BJ18" t="n">
        <v>5962.3808</v>
      </c>
    </row>
    <row r="19">
      <c r="A19" t="n">
        <v>1323</v>
      </c>
      <c r="B19" t="inlineStr">
        <is>
          <t>01-01-2021</t>
        </is>
      </c>
      <c r="C19" t="n">
        <v>2021</v>
      </c>
      <c r="D19" t="n">
        <v>1</v>
      </c>
      <c r="E19" t="inlineStr">
        <is>
          <t>CAREN</t>
        </is>
      </c>
      <c r="F19" t="inlineStr">
        <is>
          <t>SUM_SAESA_A</t>
        </is>
      </c>
      <c r="G19" t="inlineStr">
        <is>
          <t>A</t>
        </is>
      </c>
      <c r="H19" t="inlineStr">
        <is>
          <t>SAESA</t>
        </is>
      </c>
      <c r="I19" t="inlineStr">
        <is>
          <t>SAESCHONBLOQA</t>
        </is>
      </c>
      <c r="J19" t="inlineStr">
        <is>
          <t>CHONCHI</t>
        </is>
      </c>
      <c r="K19" t="n">
        <v>-3237.47648672</v>
      </c>
      <c r="L19" t="inlineStr">
        <is>
          <t>CHONCHI</t>
        </is>
      </c>
      <c r="M19" t="inlineStr">
        <is>
          <t>Puerto Montt</t>
        </is>
      </c>
      <c r="N19" t="n">
        <v>0.94243617275754</v>
      </c>
      <c r="O19" t="n">
        <v>3051.11495</v>
      </c>
      <c r="P19" t="inlineStr">
        <is>
          <t>BS1A</t>
        </is>
      </c>
      <c r="Q19" t="n">
        <v>2</v>
      </c>
      <c r="W19" t="n">
        <v>2</v>
      </c>
      <c r="X19" t="n">
        <v>0</v>
      </c>
      <c r="AA19" t="inlineStr">
        <is>
          <t>PNP_6T_08-05-2020</t>
        </is>
      </c>
      <c r="AB19" t="inlineStr">
        <is>
          <t>PNCP_9T_12-08-2019</t>
        </is>
      </c>
      <c r="AC19" t="inlineStr">
        <is>
          <t>PNCP_4T_30-04-2013</t>
        </is>
      </c>
      <c r="AD19" t="inlineStr">
        <is>
          <t>PUERTO MONTT 220</t>
        </is>
      </c>
      <c r="AE19" t="n">
        <v>111.133</v>
      </c>
      <c r="AF19" t="n">
        <v>1.072776031070834</v>
      </c>
      <c r="AG19" t="n">
        <v>119.220818660995</v>
      </c>
      <c r="AH19" t="n">
        <v>694.38</v>
      </c>
      <c r="AI19" t="n">
        <v>0.875</v>
      </c>
      <c r="AJ19" t="n">
        <v>72.43648305409401</v>
      </c>
      <c r="AK19" t="n">
        <v>0.8826000000000001</v>
      </c>
      <c r="AL19" t="n">
        <v>63.932</v>
      </c>
      <c r="AM19" t="n">
        <v>8.9176</v>
      </c>
      <c r="AN19" t="n">
        <v>9.566587534677272</v>
      </c>
      <c r="AO19" t="n">
        <v>0.913</v>
      </c>
      <c r="AP19" t="n">
        <v>6064.919358776563</v>
      </c>
      <c r="AQ19" t="n">
        <v>1.016858412119831</v>
      </c>
      <c r="AR19" t="n">
        <v>6167.1643</v>
      </c>
      <c r="AT19" t="inlineStr">
        <is>
          <t>PNP_19T_30-12-2020</t>
        </is>
      </c>
      <c r="AU19" t="inlineStr">
        <is>
          <t>PNCP_12T_10-08-2020</t>
        </is>
      </c>
      <c r="AV19" t="inlineStr">
        <is>
          <t>PNCP_4T_30-04-2013</t>
        </is>
      </c>
      <c r="AW19" t="inlineStr">
        <is>
          <t>PUERTO MONTT 220</t>
        </is>
      </c>
      <c r="AX19" t="n">
        <v>111.133</v>
      </c>
      <c r="AY19" t="n">
        <v>1.083385174100913</v>
      </c>
      <c r="AZ19" t="n">
        <v>120.3998445533567</v>
      </c>
      <c r="BA19" t="n">
        <v>801.49</v>
      </c>
      <c r="BB19" t="n">
        <v>0.905</v>
      </c>
      <c r="BC19" t="n">
        <v>87.33184062701827</v>
      </c>
      <c r="BD19" t="n">
        <v>0.7824</v>
      </c>
      <c r="BE19" t="n">
        <v>68.328</v>
      </c>
      <c r="BF19" t="n">
        <v>8.9176</v>
      </c>
      <c r="BG19" t="n">
        <v>0.77</v>
      </c>
      <c r="BH19" t="n">
        <v>5962.380796939026</v>
      </c>
      <c r="BI19" t="n">
        <v>1.039640050119603</v>
      </c>
      <c r="BJ19" t="n">
        <v>6198.7299</v>
      </c>
    </row>
    <row r="20">
      <c r="A20" t="n">
        <v>1981</v>
      </c>
      <c r="B20" t="inlineStr">
        <is>
          <t>01-01-2021</t>
        </is>
      </c>
      <c r="C20" t="n">
        <v>2021</v>
      </c>
      <c r="D20" t="n">
        <v>1</v>
      </c>
      <c r="E20" t="inlineStr">
        <is>
          <t>CAREN</t>
        </is>
      </c>
      <c r="F20" t="inlineStr">
        <is>
          <t>SUM_SAESA_A</t>
        </is>
      </c>
      <c r="G20" t="inlineStr">
        <is>
          <t>A</t>
        </is>
      </c>
      <c r="H20" t="inlineStr">
        <is>
          <t>SAESA</t>
        </is>
      </c>
      <c r="I20" t="inlineStr">
        <is>
          <t>SAESCOLABLOQA</t>
        </is>
      </c>
      <c r="J20" t="inlineStr">
        <is>
          <t>COLACO</t>
        </is>
      </c>
      <c r="K20" t="n">
        <v>-2725.09660043</v>
      </c>
      <c r="L20" t="inlineStr">
        <is>
          <t>COLACO</t>
        </is>
      </c>
      <c r="M20" t="inlineStr">
        <is>
          <t>MELIPULLI</t>
        </is>
      </c>
      <c r="N20" t="n">
        <v>0.79699296539246</v>
      </c>
      <c r="O20" t="n">
        <v>2171.882821</v>
      </c>
      <c r="P20" t="inlineStr">
        <is>
          <t>BS1A</t>
        </is>
      </c>
      <c r="Q20" t="n">
        <v>2</v>
      </c>
      <c r="W20" t="n">
        <v>2</v>
      </c>
      <c r="X20" t="n">
        <v>0</v>
      </c>
      <c r="AA20" t="inlineStr">
        <is>
          <t>PNP_6T_08-05-2020</t>
        </is>
      </c>
      <c r="AB20" t="inlineStr">
        <is>
          <t>PNCP_9T_12-08-2019</t>
        </is>
      </c>
      <c r="AC20" t="inlineStr">
        <is>
          <t>PNCP_4T_30-04-2013</t>
        </is>
      </c>
      <c r="AD20" t="inlineStr">
        <is>
          <t>MELIPULLI 220</t>
        </is>
      </c>
      <c r="AE20" t="n">
        <v>111.133</v>
      </c>
      <c r="AF20" t="n">
        <v>1.072776031070834</v>
      </c>
      <c r="AG20" t="n">
        <v>119.220818660995</v>
      </c>
      <c r="AH20" t="n">
        <v>694.38</v>
      </c>
      <c r="AI20" t="n">
        <v>0.875</v>
      </c>
      <c r="AJ20" t="n">
        <v>72.43648305409401</v>
      </c>
      <c r="AK20" t="n">
        <v>0.8826000000000001</v>
      </c>
      <c r="AL20" t="n">
        <v>63.932</v>
      </c>
      <c r="AM20" t="n">
        <v>8.9176</v>
      </c>
      <c r="AN20" t="n">
        <v>9.566587534677272</v>
      </c>
      <c r="AO20" t="n">
        <v>0.913</v>
      </c>
      <c r="AP20" t="n">
        <v>6064.919358776563</v>
      </c>
      <c r="AQ20" t="n">
        <v>1</v>
      </c>
      <c r="AR20" t="n">
        <v>6064.9194</v>
      </c>
      <c r="AT20" t="inlineStr">
        <is>
          <t>PNP_19T_30-12-2020</t>
        </is>
      </c>
      <c r="AU20" t="inlineStr">
        <is>
          <t>PNCP_12T_10-08-2020</t>
        </is>
      </c>
      <c r="AV20" t="inlineStr">
        <is>
          <t>PNCP_4T_30-04-2013</t>
        </is>
      </c>
      <c r="AW20" t="inlineStr">
        <is>
          <t>MELIPULLI 220</t>
        </is>
      </c>
      <c r="AX20" t="n">
        <v>111.133</v>
      </c>
      <c r="AY20" t="n">
        <v>1.083385174100913</v>
      </c>
      <c r="AZ20" t="n">
        <v>120.3998445533567</v>
      </c>
      <c r="BA20" t="n">
        <v>801.49</v>
      </c>
      <c r="BB20" t="n">
        <v>0.905</v>
      </c>
      <c r="BC20" t="n">
        <v>87.33184062701827</v>
      </c>
      <c r="BD20" t="n">
        <v>0.7824</v>
      </c>
      <c r="BE20" t="n">
        <v>68.328</v>
      </c>
      <c r="BF20" t="n">
        <v>8.9176</v>
      </c>
      <c r="BG20" t="n">
        <v>0.77</v>
      </c>
      <c r="BH20" t="n">
        <v>5962.380796939026</v>
      </c>
      <c r="BI20" t="n">
        <v>1</v>
      </c>
      <c r="BJ20" t="n">
        <v>5962.3808</v>
      </c>
    </row>
    <row r="21">
      <c r="A21" t="n">
        <v>1983</v>
      </c>
      <c r="B21" t="inlineStr">
        <is>
          <t>01-01-2021</t>
        </is>
      </c>
      <c r="C21" t="n">
        <v>2021</v>
      </c>
      <c r="D21" t="n">
        <v>1</v>
      </c>
      <c r="E21" t="inlineStr">
        <is>
          <t>CAREN</t>
        </is>
      </c>
      <c r="F21" t="inlineStr">
        <is>
          <t>SUM_SAESA_A</t>
        </is>
      </c>
      <c r="G21" t="inlineStr">
        <is>
          <t>A</t>
        </is>
      </c>
      <c r="H21" t="inlineStr">
        <is>
          <t>SAESA</t>
        </is>
      </c>
      <c r="I21" t="inlineStr">
        <is>
          <t>SAESCOLABLOQA</t>
        </is>
      </c>
      <c r="J21" t="inlineStr">
        <is>
          <t>COLACO</t>
        </is>
      </c>
      <c r="K21" t="n">
        <v>-2725.09660043</v>
      </c>
      <c r="L21" t="inlineStr">
        <is>
          <t>COLACO</t>
        </is>
      </c>
      <c r="M21" t="inlineStr">
        <is>
          <t>Puerto Montt</t>
        </is>
      </c>
      <c r="N21" t="n">
        <v>0.94243617275741</v>
      </c>
      <c r="O21" t="n">
        <v>2568.229611</v>
      </c>
      <c r="P21" t="inlineStr">
        <is>
          <t>BS1A</t>
        </is>
      </c>
      <c r="Q21" t="n">
        <v>2</v>
      </c>
      <c r="W21" t="n">
        <v>2</v>
      </c>
      <c r="X21" t="n">
        <v>0</v>
      </c>
      <c r="AA21" t="inlineStr">
        <is>
          <t>PNP_6T_08-05-2020</t>
        </is>
      </c>
      <c r="AB21" t="inlineStr">
        <is>
          <t>PNCP_9T_12-08-2019</t>
        </is>
      </c>
      <c r="AC21" t="inlineStr">
        <is>
          <t>PNCP_4T_30-04-2013</t>
        </is>
      </c>
      <c r="AD21" t="inlineStr">
        <is>
          <t>PUERTO MONTT 220</t>
        </is>
      </c>
      <c r="AE21" t="n">
        <v>111.133</v>
      </c>
      <c r="AF21" t="n">
        <v>1.072776031070834</v>
      </c>
      <c r="AG21" t="n">
        <v>119.220818660995</v>
      </c>
      <c r="AH21" t="n">
        <v>694.38</v>
      </c>
      <c r="AI21" t="n">
        <v>0.875</v>
      </c>
      <c r="AJ21" t="n">
        <v>72.43648305409401</v>
      </c>
      <c r="AK21" t="n">
        <v>0.8826000000000001</v>
      </c>
      <c r="AL21" t="n">
        <v>63.932</v>
      </c>
      <c r="AM21" t="n">
        <v>8.9176</v>
      </c>
      <c r="AN21" t="n">
        <v>9.566587534677272</v>
      </c>
      <c r="AO21" t="n">
        <v>0.913</v>
      </c>
      <c r="AP21" t="n">
        <v>6064.919358776563</v>
      </c>
      <c r="AQ21" t="n">
        <v>1.016858412119831</v>
      </c>
      <c r="AR21" t="n">
        <v>6167.1643</v>
      </c>
      <c r="AT21" t="inlineStr">
        <is>
          <t>PNP_19T_30-12-2020</t>
        </is>
      </c>
      <c r="AU21" t="inlineStr">
        <is>
          <t>PNCP_12T_10-08-2020</t>
        </is>
      </c>
      <c r="AV21" t="inlineStr">
        <is>
          <t>PNCP_4T_30-04-2013</t>
        </is>
      </c>
      <c r="AW21" t="inlineStr">
        <is>
          <t>PUERTO MONTT 220</t>
        </is>
      </c>
      <c r="AX21" t="n">
        <v>111.133</v>
      </c>
      <c r="AY21" t="n">
        <v>1.083385174100913</v>
      </c>
      <c r="AZ21" t="n">
        <v>120.3998445533567</v>
      </c>
      <c r="BA21" t="n">
        <v>801.49</v>
      </c>
      <c r="BB21" t="n">
        <v>0.905</v>
      </c>
      <c r="BC21" t="n">
        <v>87.33184062701827</v>
      </c>
      <c r="BD21" t="n">
        <v>0.7824</v>
      </c>
      <c r="BE21" t="n">
        <v>68.328</v>
      </c>
      <c r="BF21" t="n">
        <v>8.9176</v>
      </c>
      <c r="BG21" t="n">
        <v>0.77</v>
      </c>
      <c r="BH21" t="n">
        <v>5962.380796939026</v>
      </c>
      <c r="BI21" t="n">
        <v>1.039640050119603</v>
      </c>
      <c r="BJ21" t="n">
        <v>6198.7299</v>
      </c>
    </row>
    <row r="22">
      <c r="A22" t="n">
        <v>1985</v>
      </c>
      <c r="B22" t="inlineStr">
        <is>
          <t>01-01-2021</t>
        </is>
      </c>
      <c r="C22" t="n">
        <v>2021</v>
      </c>
      <c r="D22" t="n">
        <v>1</v>
      </c>
      <c r="E22" t="inlineStr">
        <is>
          <t>CAREN</t>
        </is>
      </c>
      <c r="F22" t="inlineStr">
        <is>
          <t>SUM_SAESA_A</t>
        </is>
      </c>
      <c r="G22" t="inlineStr">
        <is>
          <t>A</t>
        </is>
      </c>
      <c r="H22" t="inlineStr">
        <is>
          <t>SAESA</t>
        </is>
      </c>
      <c r="I22" t="inlineStr">
        <is>
          <t>SAESCOLABLOQA</t>
        </is>
      </c>
      <c r="J22" t="inlineStr">
        <is>
          <t>COLACO</t>
        </is>
      </c>
      <c r="K22" t="n">
        <v>-2725.09660043</v>
      </c>
      <c r="L22" t="inlineStr">
        <is>
          <t>COLACO</t>
        </is>
      </c>
      <c r="M22" t="inlineStr">
        <is>
          <t>VALDIVIA</t>
        </is>
      </c>
      <c r="N22" t="n">
        <v>4.787859128e-05</v>
      </c>
      <c r="O22" t="n">
        <v>0.130474</v>
      </c>
      <c r="P22" t="inlineStr">
        <is>
          <t>BS1A</t>
        </is>
      </c>
      <c r="Q22" t="n">
        <v>2</v>
      </c>
      <c r="W22" t="n">
        <v>2</v>
      </c>
      <c r="X22" t="n">
        <v>0</v>
      </c>
      <c r="AA22" t="inlineStr">
        <is>
          <t>PNP_6T_08-05-2020</t>
        </is>
      </c>
      <c r="AB22" t="inlineStr">
        <is>
          <t>PNCP_9T_12-08-2019</t>
        </is>
      </c>
      <c r="AC22" t="inlineStr">
        <is>
          <t>PNCP_4T_30-04-2013</t>
        </is>
      </c>
      <c r="AD22" t="inlineStr">
        <is>
          <t>VALDIVIA 220</t>
        </is>
      </c>
      <c r="AE22" t="n">
        <v>111.133</v>
      </c>
      <c r="AF22" t="n">
        <v>1.072776031070834</v>
      </c>
      <c r="AG22" t="n">
        <v>119.220818660995</v>
      </c>
      <c r="AH22" t="n">
        <v>694.38</v>
      </c>
      <c r="AI22" t="n">
        <v>0.875</v>
      </c>
      <c r="AJ22" t="n">
        <v>72.43648305409401</v>
      </c>
      <c r="AK22" t="n">
        <v>0.913</v>
      </c>
      <c r="AL22" t="n">
        <v>66.13500000000001</v>
      </c>
      <c r="AM22" t="n">
        <v>8.9176</v>
      </c>
      <c r="AN22" t="n">
        <v>9.566587534677272</v>
      </c>
      <c r="AO22" t="n">
        <v>0.913</v>
      </c>
      <c r="AP22" t="n">
        <v>6064.919358776563</v>
      </c>
      <c r="AQ22" t="n">
        <v>1.051287819142954</v>
      </c>
      <c r="AR22" t="n">
        <v>6375.9758</v>
      </c>
      <c r="AT22" t="inlineStr">
        <is>
          <t>PNP_19T_30-12-2020</t>
        </is>
      </c>
      <c r="AU22" t="inlineStr">
        <is>
          <t>PNCP_12T_10-08-2020</t>
        </is>
      </c>
      <c r="AV22" t="inlineStr">
        <is>
          <t>PNCP_4T_30-04-2013</t>
        </is>
      </c>
      <c r="AW22" t="inlineStr">
        <is>
          <t>VALDIVIA 220</t>
        </is>
      </c>
      <c r="AX22" t="n">
        <v>111.133</v>
      </c>
      <c r="AY22" t="n">
        <v>1.083385174100913</v>
      </c>
      <c r="AZ22" t="n">
        <v>120.3998445533567</v>
      </c>
      <c r="BA22" t="n">
        <v>801.49</v>
      </c>
      <c r="BB22" t="n">
        <v>0.905</v>
      </c>
      <c r="BC22" t="n">
        <v>87.33184062701827</v>
      </c>
      <c r="BD22" t="n">
        <v>0.8745000000000001</v>
      </c>
      <c r="BE22" t="n">
        <v>76.372</v>
      </c>
      <c r="BF22" t="n">
        <v>8.9176</v>
      </c>
      <c r="BG22" t="n">
        <v>0.77</v>
      </c>
      <c r="BH22" t="n">
        <v>5962.380796939026</v>
      </c>
      <c r="BI22" t="n">
        <v>1.148014846473962</v>
      </c>
      <c r="BJ22" t="n">
        <v>6844.9017</v>
      </c>
    </row>
    <row r="23">
      <c r="A23" t="n">
        <v>1981</v>
      </c>
      <c r="B23" t="inlineStr">
        <is>
          <t>01-01-2021</t>
        </is>
      </c>
      <c r="C23" t="n">
        <v>2021</v>
      </c>
      <c r="D23" t="n">
        <v>1</v>
      </c>
      <c r="E23" t="inlineStr">
        <is>
          <t>CAREN</t>
        </is>
      </c>
      <c r="F23" t="inlineStr">
        <is>
          <t>SUM_SAESA_A</t>
        </is>
      </c>
      <c r="G23" t="inlineStr">
        <is>
          <t>A</t>
        </is>
      </c>
      <c r="H23" t="inlineStr">
        <is>
          <t>SAESA</t>
        </is>
      </c>
      <c r="I23" t="inlineStr">
        <is>
          <t>SAESCORRBLOQA</t>
        </is>
      </c>
      <c r="J23" t="inlineStr">
        <is>
          <t>CORRAL</t>
        </is>
      </c>
      <c r="K23" t="n">
        <v>-804.50490059</v>
      </c>
      <c r="L23" t="inlineStr">
        <is>
          <t>CORRAL</t>
        </is>
      </c>
      <c r="M23" t="inlineStr">
        <is>
          <t>BARRO BLANCO</t>
        </is>
      </c>
      <c r="N23" t="n">
        <v>0.04422460710479</v>
      </c>
      <c r="O23" t="n">
        <v>35.578913</v>
      </c>
      <c r="P23" t="inlineStr">
        <is>
          <t>BS1A</t>
        </is>
      </c>
      <c r="Q23" t="n">
        <v>2</v>
      </c>
      <c r="W23" t="n">
        <v>2</v>
      </c>
      <c r="X23" t="n">
        <v>0</v>
      </c>
      <c r="AA23" t="inlineStr">
        <is>
          <t>PNP_6T_08-05-2020</t>
        </is>
      </c>
      <c r="AB23" t="inlineStr">
        <is>
          <t>PNCP_9T_12-08-2019</t>
        </is>
      </c>
      <c r="AC23" t="inlineStr">
        <is>
          <t>PNCP_4T_30-04-2013</t>
        </is>
      </c>
      <c r="AD23" t="inlineStr">
        <is>
          <t>Barro Blanco 220</t>
        </is>
      </c>
      <c r="AE23" t="n">
        <v>111.133</v>
      </c>
      <c r="AF23" t="n">
        <v>1.072776031070834</v>
      </c>
      <c r="AG23" t="n">
        <v>119.220818660995</v>
      </c>
      <c r="AH23" t="n">
        <v>694.38</v>
      </c>
      <c r="AI23" t="n">
        <v>0.875</v>
      </c>
      <c r="AJ23" t="n">
        <v>72.43648305409401</v>
      </c>
      <c r="AK23" t="n">
        <v>0.8631</v>
      </c>
      <c r="AL23" t="n">
        <v>62.52</v>
      </c>
      <c r="AM23" t="n">
        <v>8.9176</v>
      </c>
      <c r="AN23" t="n">
        <v>9.566587534677272</v>
      </c>
      <c r="AO23" t="n">
        <v>0.913</v>
      </c>
      <c r="AP23" t="n">
        <v>6064.919358776563</v>
      </c>
      <c r="AQ23" t="n">
        <v>1.004432825642191</v>
      </c>
      <c r="AR23" t="n">
        <v>6091.8041</v>
      </c>
      <c r="AT23" t="inlineStr">
        <is>
          <t>PNP_19T_30-12-2020</t>
        </is>
      </c>
      <c r="AU23" t="inlineStr">
        <is>
          <t>PNCP_12T_10-08-2020</t>
        </is>
      </c>
      <c r="AV23" t="inlineStr">
        <is>
          <t>PNCP_4T_30-04-2013</t>
        </is>
      </c>
      <c r="AW23" t="inlineStr">
        <is>
          <t>Barro Blanco 220</t>
        </is>
      </c>
      <c r="AX23" t="n">
        <v>111.133</v>
      </c>
      <c r="AY23" t="n">
        <v>1.083385174100913</v>
      </c>
      <c r="AZ23" t="n">
        <v>120.3998445533567</v>
      </c>
      <c r="BA23" t="n">
        <v>801.49</v>
      </c>
      <c r="BB23" t="n">
        <v>0.905</v>
      </c>
      <c r="BC23" t="n">
        <v>87.33184062701827</v>
      </c>
      <c r="BD23" t="n">
        <v>0.7946</v>
      </c>
      <c r="BE23" t="n">
        <v>69.39400000000001</v>
      </c>
      <c r="BF23" t="n">
        <v>8.9176</v>
      </c>
      <c r="BG23" t="n">
        <v>0.77</v>
      </c>
      <c r="BH23" t="n">
        <v>5962.380796939026</v>
      </c>
      <c r="BI23" t="n">
        <v>1.047283473516708</v>
      </c>
      <c r="BJ23" t="n">
        <v>6244.3029</v>
      </c>
    </row>
    <row r="24">
      <c r="A24" t="n">
        <v>1983</v>
      </c>
      <c r="B24" t="inlineStr">
        <is>
          <t>01-01-2021</t>
        </is>
      </c>
      <c r="C24" t="n">
        <v>2021</v>
      </c>
      <c r="D24" t="n">
        <v>1</v>
      </c>
      <c r="E24" t="inlineStr">
        <is>
          <t>CAREN</t>
        </is>
      </c>
      <c r="F24" t="inlineStr">
        <is>
          <t>SUM_SAESA_A</t>
        </is>
      </c>
      <c r="G24" t="inlineStr">
        <is>
          <t>A</t>
        </is>
      </c>
      <c r="H24" t="inlineStr">
        <is>
          <t>SAESA</t>
        </is>
      </c>
      <c r="I24" t="inlineStr">
        <is>
          <t>SAESCORRBLOQA</t>
        </is>
      </c>
      <c r="J24" t="inlineStr">
        <is>
          <t>CORRAL</t>
        </is>
      </c>
      <c r="K24" t="n">
        <v>-804.50490059</v>
      </c>
      <c r="L24" t="inlineStr">
        <is>
          <t>CORRAL</t>
        </is>
      </c>
      <c r="M24" t="inlineStr">
        <is>
          <t>MELIPULLI</t>
        </is>
      </c>
      <c r="N24" t="n">
        <v>0.00149371242326</v>
      </c>
      <c r="O24" t="n">
        <v>1.201699</v>
      </c>
      <c r="P24" t="inlineStr">
        <is>
          <t>BS1A</t>
        </is>
      </c>
      <c r="Q24" t="n">
        <v>2</v>
      </c>
      <c r="W24" t="n">
        <v>2</v>
      </c>
      <c r="X24" t="n">
        <v>0</v>
      </c>
      <c r="AA24" t="inlineStr">
        <is>
          <t>PNP_6T_08-05-2020</t>
        </is>
      </c>
      <c r="AB24" t="inlineStr">
        <is>
          <t>PNCP_9T_12-08-2019</t>
        </is>
      </c>
      <c r="AC24" t="inlineStr">
        <is>
          <t>PNCP_4T_30-04-2013</t>
        </is>
      </c>
      <c r="AD24" t="inlineStr">
        <is>
          <t>MELIPULLI 220</t>
        </is>
      </c>
      <c r="AE24" t="n">
        <v>111.133</v>
      </c>
      <c r="AF24" t="n">
        <v>1.072776031070834</v>
      </c>
      <c r="AG24" t="n">
        <v>119.220818660995</v>
      </c>
      <c r="AH24" t="n">
        <v>694.38</v>
      </c>
      <c r="AI24" t="n">
        <v>0.875</v>
      </c>
      <c r="AJ24" t="n">
        <v>72.43648305409401</v>
      </c>
      <c r="AK24" t="n">
        <v>0.8826000000000001</v>
      </c>
      <c r="AL24" t="n">
        <v>63.932</v>
      </c>
      <c r="AM24" t="n">
        <v>8.9176</v>
      </c>
      <c r="AN24" t="n">
        <v>9.566587534677272</v>
      </c>
      <c r="AO24" t="n">
        <v>0.913</v>
      </c>
      <c r="AP24" t="n">
        <v>6064.919358776563</v>
      </c>
      <c r="AQ24" t="n">
        <v>1</v>
      </c>
      <c r="AR24" t="n">
        <v>6064.9194</v>
      </c>
      <c r="AT24" t="inlineStr">
        <is>
          <t>PNP_19T_30-12-2020</t>
        </is>
      </c>
      <c r="AU24" t="inlineStr">
        <is>
          <t>PNCP_12T_10-08-2020</t>
        </is>
      </c>
      <c r="AV24" t="inlineStr">
        <is>
          <t>PNCP_4T_30-04-2013</t>
        </is>
      </c>
      <c r="AW24" t="inlineStr">
        <is>
          <t>MELIPULLI 220</t>
        </is>
      </c>
      <c r="AX24" t="n">
        <v>111.133</v>
      </c>
      <c r="AY24" t="n">
        <v>1.083385174100913</v>
      </c>
      <c r="AZ24" t="n">
        <v>120.3998445533567</v>
      </c>
      <c r="BA24" t="n">
        <v>801.49</v>
      </c>
      <c r="BB24" t="n">
        <v>0.905</v>
      </c>
      <c r="BC24" t="n">
        <v>87.33184062701827</v>
      </c>
      <c r="BD24" t="n">
        <v>0.7824</v>
      </c>
      <c r="BE24" t="n">
        <v>68.328</v>
      </c>
      <c r="BF24" t="n">
        <v>8.9176</v>
      </c>
      <c r="BG24" t="n">
        <v>0.77</v>
      </c>
      <c r="BH24" t="n">
        <v>5962.380796939026</v>
      </c>
      <c r="BI24" t="n">
        <v>1</v>
      </c>
      <c r="BJ24" t="n">
        <v>5962.3808</v>
      </c>
    </row>
    <row r="25">
      <c r="A25" t="n">
        <v>1985</v>
      </c>
      <c r="B25" t="inlineStr">
        <is>
          <t>01-01-2021</t>
        </is>
      </c>
      <c r="C25" t="n">
        <v>2021</v>
      </c>
      <c r="D25" t="n">
        <v>1</v>
      </c>
      <c r="E25" t="inlineStr">
        <is>
          <t>CAREN</t>
        </is>
      </c>
      <c r="F25" t="inlineStr">
        <is>
          <t>SUM_SAESA_A</t>
        </is>
      </c>
      <c r="G25" t="inlineStr">
        <is>
          <t>A</t>
        </is>
      </c>
      <c r="H25" t="inlineStr">
        <is>
          <t>SAESA</t>
        </is>
      </c>
      <c r="I25" t="inlineStr">
        <is>
          <t>SAESCORRBLOQA</t>
        </is>
      </c>
      <c r="J25" t="inlineStr">
        <is>
          <t>CORRAL</t>
        </is>
      </c>
      <c r="K25" t="n">
        <v>-804.50490059</v>
      </c>
      <c r="L25" t="inlineStr">
        <is>
          <t>CORRAL</t>
        </is>
      </c>
      <c r="M25" t="inlineStr">
        <is>
          <t>VALDIVIA</t>
        </is>
      </c>
      <c r="N25" t="n">
        <v>0.81710771051722</v>
      </c>
      <c r="O25" t="n">
        <v>657.367157</v>
      </c>
      <c r="P25" t="inlineStr">
        <is>
          <t>BS1A</t>
        </is>
      </c>
      <c r="Q25" t="n">
        <v>2</v>
      </c>
      <c r="W25" t="n">
        <v>2</v>
      </c>
      <c r="X25" t="n">
        <v>0</v>
      </c>
      <c r="AA25" t="inlineStr">
        <is>
          <t>PNP_6T_08-05-2020</t>
        </is>
      </c>
      <c r="AB25" t="inlineStr">
        <is>
          <t>PNCP_9T_12-08-2019</t>
        </is>
      </c>
      <c r="AC25" t="inlineStr">
        <is>
          <t>PNCP_4T_30-04-2013</t>
        </is>
      </c>
      <c r="AD25" t="inlineStr">
        <is>
          <t>VALDIVIA 220</t>
        </is>
      </c>
      <c r="AE25" t="n">
        <v>111.133</v>
      </c>
      <c r="AF25" t="n">
        <v>1.072776031070834</v>
      </c>
      <c r="AG25" t="n">
        <v>119.220818660995</v>
      </c>
      <c r="AH25" t="n">
        <v>694.38</v>
      </c>
      <c r="AI25" t="n">
        <v>0.875</v>
      </c>
      <c r="AJ25" t="n">
        <v>72.43648305409401</v>
      </c>
      <c r="AK25" t="n">
        <v>0.913</v>
      </c>
      <c r="AL25" t="n">
        <v>66.13500000000001</v>
      </c>
      <c r="AM25" t="n">
        <v>8.9176</v>
      </c>
      <c r="AN25" t="n">
        <v>9.566587534677272</v>
      </c>
      <c r="AO25" t="n">
        <v>0.913</v>
      </c>
      <c r="AP25" t="n">
        <v>6064.919358776563</v>
      </c>
      <c r="AQ25" t="n">
        <v>1.051287819142954</v>
      </c>
      <c r="AR25" t="n">
        <v>6375.9758</v>
      </c>
      <c r="AT25" t="inlineStr">
        <is>
          <t>PNP_19T_30-12-2020</t>
        </is>
      </c>
      <c r="AU25" t="inlineStr">
        <is>
          <t>PNCP_12T_10-08-2020</t>
        </is>
      </c>
      <c r="AV25" t="inlineStr">
        <is>
          <t>PNCP_4T_30-04-2013</t>
        </is>
      </c>
      <c r="AW25" t="inlineStr">
        <is>
          <t>VALDIVIA 220</t>
        </is>
      </c>
      <c r="AX25" t="n">
        <v>111.133</v>
      </c>
      <c r="AY25" t="n">
        <v>1.083385174100913</v>
      </c>
      <c r="AZ25" t="n">
        <v>120.3998445533567</v>
      </c>
      <c r="BA25" t="n">
        <v>801.49</v>
      </c>
      <c r="BB25" t="n">
        <v>0.905</v>
      </c>
      <c r="BC25" t="n">
        <v>87.33184062701827</v>
      </c>
      <c r="BD25" t="n">
        <v>0.8745000000000001</v>
      </c>
      <c r="BE25" t="n">
        <v>76.372</v>
      </c>
      <c r="BF25" t="n">
        <v>8.9176</v>
      </c>
      <c r="BG25" t="n">
        <v>0.77</v>
      </c>
      <c r="BH25" t="n">
        <v>5962.380796939026</v>
      </c>
      <c r="BI25" t="n">
        <v>1.148014846473962</v>
      </c>
      <c r="BJ25" t="n">
        <v>6844.9017</v>
      </c>
    </row>
    <row r="26">
      <c r="A26" t="n">
        <v>661</v>
      </c>
      <c r="B26" t="inlineStr">
        <is>
          <t>01-01-2021</t>
        </is>
      </c>
      <c r="C26" t="n">
        <v>2021</v>
      </c>
      <c r="D26" t="n">
        <v>1</v>
      </c>
      <c r="E26" t="inlineStr">
        <is>
          <t>CAREN</t>
        </is>
      </c>
      <c r="F26" t="inlineStr">
        <is>
          <t>SUM_SAESA_A</t>
        </is>
      </c>
      <c r="G26" t="inlineStr">
        <is>
          <t>A</t>
        </is>
      </c>
      <c r="H26" t="inlineStr">
        <is>
          <t>SAESA</t>
        </is>
      </c>
      <c r="I26" t="inlineStr">
        <is>
          <t>SAESDALCBLOQA</t>
        </is>
      </c>
      <c r="J26" t="inlineStr">
        <is>
          <t>DALCAHUE</t>
        </is>
      </c>
      <c r="K26" t="n">
        <v>-4024.01216679</v>
      </c>
      <c r="L26" t="inlineStr">
        <is>
          <t>DALCAHUE</t>
        </is>
      </c>
      <c r="M26" t="inlineStr">
        <is>
          <t>CHILOE</t>
        </is>
      </c>
      <c r="N26" t="n">
        <v>0.80502839238442</v>
      </c>
      <c r="O26" t="n">
        <v>3239.444046</v>
      </c>
      <c r="P26" t="inlineStr">
        <is>
          <t>BS1A</t>
        </is>
      </c>
      <c r="Q26" t="n">
        <v>2</v>
      </c>
      <c r="W26" t="n">
        <v>2</v>
      </c>
      <c r="X26" t="n">
        <v>0</v>
      </c>
      <c r="AA26" t="inlineStr">
        <is>
          <t>PNP_6T_08-05-2020</t>
        </is>
      </c>
      <c r="AB26" t="inlineStr">
        <is>
          <t>PNCP_9T_12-08-2019</t>
        </is>
      </c>
      <c r="AC26" t="inlineStr">
        <is>
          <t>PNCP_4T_30-04-2013</t>
        </is>
      </c>
      <c r="AD26" t="inlineStr">
        <is>
          <t>CHILOE 220</t>
        </is>
      </c>
      <c r="AE26" t="n">
        <v>111.133</v>
      </c>
      <c r="AF26" t="n">
        <v>1.072776031070834</v>
      </c>
      <c r="AG26" t="n">
        <v>119.220818660995</v>
      </c>
      <c r="AH26" t="n">
        <v>694.38</v>
      </c>
      <c r="AI26" t="n">
        <v>0.875</v>
      </c>
      <c r="AJ26" t="n">
        <v>72.43648305409401</v>
      </c>
      <c r="AK26" t="n">
        <v>0.8903</v>
      </c>
      <c r="AL26" t="n">
        <v>64.48999999999999</v>
      </c>
      <c r="AM26" t="n">
        <v>8.9176</v>
      </c>
      <c r="AN26" t="n">
        <v>9.566587534677272</v>
      </c>
      <c r="AO26" t="n">
        <v>0.913</v>
      </c>
      <c r="AP26" t="n">
        <v>6064.919358776563</v>
      </c>
      <c r="AQ26" t="n">
        <v>1</v>
      </c>
      <c r="AR26" t="n">
        <v>6064.9194</v>
      </c>
      <c r="AT26" t="inlineStr">
        <is>
          <t>PNP_19T_30-12-2020</t>
        </is>
      </c>
      <c r="AU26" t="inlineStr">
        <is>
          <t>PNCP_12T_10-08-2020</t>
        </is>
      </c>
      <c r="AV26" t="inlineStr">
        <is>
          <t>PNCP_4T_30-04-2013</t>
        </is>
      </c>
      <c r="AW26" t="inlineStr">
        <is>
          <t>CHILOE 220</t>
        </is>
      </c>
      <c r="AX26" t="n">
        <v>111.133</v>
      </c>
      <c r="AY26" t="n">
        <v>1.083385174100913</v>
      </c>
      <c r="AZ26" t="n">
        <v>120.3998445533567</v>
      </c>
      <c r="BA26" t="n">
        <v>801.49</v>
      </c>
      <c r="BB26" t="n">
        <v>0.905</v>
      </c>
      <c r="BC26" t="n">
        <v>87.33184062701827</v>
      </c>
      <c r="BD26" t="n">
        <v>0.7923</v>
      </c>
      <c r="BE26" t="n">
        <v>69.193</v>
      </c>
      <c r="BF26" t="n">
        <v>8.9176</v>
      </c>
      <c r="BG26" t="n">
        <v>0.77</v>
      </c>
      <c r="BH26" t="n">
        <v>5962.380796939026</v>
      </c>
      <c r="BI26" t="n">
        <v>1</v>
      </c>
      <c r="BJ26" t="n">
        <v>5962.3808</v>
      </c>
    </row>
    <row r="27">
      <c r="A27" t="n">
        <v>1321</v>
      </c>
      <c r="B27" t="inlineStr">
        <is>
          <t>01-01-2021</t>
        </is>
      </c>
      <c r="C27" t="n">
        <v>2021</v>
      </c>
      <c r="D27" t="n">
        <v>1</v>
      </c>
      <c r="E27" t="inlineStr">
        <is>
          <t>CAREN</t>
        </is>
      </c>
      <c r="F27" t="inlineStr">
        <is>
          <t>SUM_SAESA_A</t>
        </is>
      </c>
      <c r="G27" t="inlineStr">
        <is>
          <t>A</t>
        </is>
      </c>
      <c r="H27" t="inlineStr">
        <is>
          <t>SAESA</t>
        </is>
      </c>
      <c r="I27" t="inlineStr">
        <is>
          <t>SAESDEGABLOQA</t>
        </is>
      </c>
      <c r="J27" t="inlineStr">
        <is>
          <t>DEGAÑ</t>
        </is>
      </c>
      <c r="K27" t="n">
        <v>-1528.25702781</v>
      </c>
      <c r="L27" t="inlineStr">
        <is>
          <t>DEGAÑ</t>
        </is>
      </c>
      <c r="M27" t="inlineStr">
        <is>
          <t>CHILOE</t>
        </is>
      </c>
      <c r="N27" t="n">
        <v>0.79707666555721</v>
      </c>
      <c r="O27" t="n">
        <v>1218.138016</v>
      </c>
      <c r="P27" t="inlineStr">
        <is>
          <t>BS1A</t>
        </is>
      </c>
      <c r="Q27" t="n">
        <v>2</v>
      </c>
      <c r="W27" t="n">
        <v>2</v>
      </c>
      <c r="X27" t="n">
        <v>0</v>
      </c>
      <c r="AA27" t="inlineStr">
        <is>
          <t>PNP_6T_08-05-2020</t>
        </is>
      </c>
      <c r="AB27" t="inlineStr">
        <is>
          <t>PNCP_9T_12-08-2019</t>
        </is>
      </c>
      <c r="AC27" t="inlineStr">
        <is>
          <t>PNCP_4T_30-04-2013</t>
        </is>
      </c>
      <c r="AD27" t="inlineStr">
        <is>
          <t>CHILOE 220</t>
        </is>
      </c>
      <c r="AE27" t="n">
        <v>111.133</v>
      </c>
      <c r="AF27" t="n">
        <v>1.072776031070834</v>
      </c>
      <c r="AG27" t="n">
        <v>119.220818660995</v>
      </c>
      <c r="AH27" t="n">
        <v>694.38</v>
      </c>
      <c r="AI27" t="n">
        <v>0.875</v>
      </c>
      <c r="AJ27" t="n">
        <v>72.43648305409401</v>
      </c>
      <c r="AK27" t="n">
        <v>0.8903</v>
      </c>
      <c r="AL27" t="n">
        <v>64.48999999999999</v>
      </c>
      <c r="AM27" t="n">
        <v>8.9176</v>
      </c>
      <c r="AN27" t="n">
        <v>9.566587534677272</v>
      </c>
      <c r="AO27" t="n">
        <v>0.913</v>
      </c>
      <c r="AP27" t="n">
        <v>6064.919358776563</v>
      </c>
      <c r="AQ27" t="n">
        <v>1</v>
      </c>
      <c r="AR27" t="n">
        <v>6064.9194</v>
      </c>
      <c r="AT27" t="inlineStr">
        <is>
          <t>PNP_19T_30-12-2020</t>
        </is>
      </c>
      <c r="AU27" t="inlineStr">
        <is>
          <t>PNCP_12T_10-08-2020</t>
        </is>
      </c>
      <c r="AV27" t="inlineStr">
        <is>
          <t>PNCP_4T_30-04-2013</t>
        </is>
      </c>
      <c r="AW27" t="inlineStr">
        <is>
          <t>CHILOE 220</t>
        </is>
      </c>
      <c r="AX27" t="n">
        <v>111.133</v>
      </c>
      <c r="AY27" t="n">
        <v>1.083385174100913</v>
      </c>
      <c r="AZ27" t="n">
        <v>120.3998445533567</v>
      </c>
      <c r="BA27" t="n">
        <v>801.49</v>
      </c>
      <c r="BB27" t="n">
        <v>0.905</v>
      </c>
      <c r="BC27" t="n">
        <v>87.33184062701827</v>
      </c>
      <c r="BD27" t="n">
        <v>0.7923</v>
      </c>
      <c r="BE27" t="n">
        <v>69.193</v>
      </c>
      <c r="BF27" t="n">
        <v>8.9176</v>
      </c>
      <c r="BG27" t="n">
        <v>0.77</v>
      </c>
      <c r="BH27" t="n">
        <v>5962.380796939026</v>
      </c>
      <c r="BI27" t="n">
        <v>1</v>
      </c>
      <c r="BJ27" t="n">
        <v>5962.3808</v>
      </c>
    </row>
    <row r="28">
      <c r="A28" t="n">
        <v>1323</v>
      </c>
      <c r="B28" t="inlineStr">
        <is>
          <t>01-01-2021</t>
        </is>
      </c>
      <c r="C28" t="n">
        <v>2021</v>
      </c>
      <c r="D28" t="n">
        <v>1</v>
      </c>
      <c r="E28" t="inlineStr">
        <is>
          <t>CAREN</t>
        </is>
      </c>
      <c r="F28" t="inlineStr">
        <is>
          <t>SUM_SAESA_A</t>
        </is>
      </c>
      <c r="G28" t="inlineStr">
        <is>
          <t>A</t>
        </is>
      </c>
      <c r="H28" t="inlineStr">
        <is>
          <t>SAESA</t>
        </is>
      </c>
      <c r="I28" t="inlineStr">
        <is>
          <t>SAESDEGABLOQA</t>
        </is>
      </c>
      <c r="J28" t="inlineStr">
        <is>
          <t>DEGAÑ</t>
        </is>
      </c>
      <c r="K28" t="n">
        <v>-1528.25702781</v>
      </c>
      <c r="L28" t="inlineStr">
        <is>
          <t>DEGAÑ</t>
        </is>
      </c>
      <c r="M28" t="inlineStr">
        <is>
          <t>Puerto Montt</t>
        </is>
      </c>
      <c r="N28" t="n">
        <v>0.94243617275767</v>
      </c>
      <c r="O28" t="n">
        <v>1440.284704</v>
      </c>
      <c r="P28" t="inlineStr">
        <is>
          <t>BS1A</t>
        </is>
      </c>
      <c r="Q28" t="n">
        <v>2</v>
      </c>
      <c r="W28" t="n">
        <v>2</v>
      </c>
      <c r="X28" t="n">
        <v>0</v>
      </c>
      <c r="AA28" t="inlineStr">
        <is>
          <t>PNP_6T_08-05-2020</t>
        </is>
      </c>
      <c r="AB28" t="inlineStr">
        <is>
          <t>PNCP_9T_12-08-2019</t>
        </is>
      </c>
      <c r="AC28" t="inlineStr">
        <is>
          <t>PNCP_4T_30-04-2013</t>
        </is>
      </c>
      <c r="AD28" t="inlineStr">
        <is>
          <t>PUERTO MONTT 220</t>
        </is>
      </c>
      <c r="AE28" t="n">
        <v>111.133</v>
      </c>
      <c r="AF28" t="n">
        <v>1.072776031070834</v>
      </c>
      <c r="AG28" t="n">
        <v>119.220818660995</v>
      </c>
      <c r="AH28" t="n">
        <v>694.38</v>
      </c>
      <c r="AI28" t="n">
        <v>0.875</v>
      </c>
      <c r="AJ28" t="n">
        <v>72.43648305409401</v>
      </c>
      <c r="AK28" t="n">
        <v>0.8826000000000001</v>
      </c>
      <c r="AL28" t="n">
        <v>63.932</v>
      </c>
      <c r="AM28" t="n">
        <v>8.9176</v>
      </c>
      <c r="AN28" t="n">
        <v>9.566587534677272</v>
      </c>
      <c r="AO28" t="n">
        <v>0.913</v>
      </c>
      <c r="AP28" t="n">
        <v>6064.919358776563</v>
      </c>
      <c r="AQ28" t="n">
        <v>1.016858412119831</v>
      </c>
      <c r="AR28" t="n">
        <v>6167.1643</v>
      </c>
      <c r="AT28" t="inlineStr">
        <is>
          <t>PNP_19T_30-12-2020</t>
        </is>
      </c>
      <c r="AU28" t="inlineStr">
        <is>
          <t>PNCP_12T_10-08-2020</t>
        </is>
      </c>
      <c r="AV28" t="inlineStr">
        <is>
          <t>PNCP_4T_30-04-2013</t>
        </is>
      </c>
      <c r="AW28" t="inlineStr">
        <is>
          <t>PUERTO MONTT 220</t>
        </is>
      </c>
      <c r="AX28" t="n">
        <v>111.133</v>
      </c>
      <c r="AY28" t="n">
        <v>1.083385174100913</v>
      </c>
      <c r="AZ28" t="n">
        <v>120.3998445533567</v>
      </c>
      <c r="BA28" t="n">
        <v>801.49</v>
      </c>
      <c r="BB28" t="n">
        <v>0.905</v>
      </c>
      <c r="BC28" t="n">
        <v>87.33184062701827</v>
      </c>
      <c r="BD28" t="n">
        <v>0.7824</v>
      </c>
      <c r="BE28" t="n">
        <v>68.328</v>
      </c>
      <c r="BF28" t="n">
        <v>8.9176</v>
      </c>
      <c r="BG28" t="n">
        <v>0.77</v>
      </c>
      <c r="BH28" t="n">
        <v>5962.380796939026</v>
      </c>
      <c r="BI28" t="n">
        <v>1.039640050119603</v>
      </c>
      <c r="BJ28" t="n">
        <v>6198.7299</v>
      </c>
    </row>
    <row r="29">
      <c r="A29" t="n">
        <v>661</v>
      </c>
      <c r="B29" t="inlineStr">
        <is>
          <t>01-01-2021</t>
        </is>
      </c>
      <c r="C29" t="n">
        <v>2021</v>
      </c>
      <c r="D29" t="n">
        <v>1</v>
      </c>
      <c r="E29" t="inlineStr">
        <is>
          <t>CAREN</t>
        </is>
      </c>
      <c r="F29" t="inlineStr">
        <is>
          <t>SUM_SAESA_A</t>
        </is>
      </c>
      <c r="G29" t="inlineStr">
        <is>
          <t>A</t>
        </is>
      </c>
      <c r="H29" t="inlineStr">
        <is>
          <t>SAESA</t>
        </is>
      </c>
      <c r="I29" t="inlineStr">
        <is>
          <t>SAESELEMBLOQA</t>
        </is>
      </c>
      <c r="J29" t="inlineStr">
        <is>
          <t>EMPALME</t>
        </is>
      </c>
      <c r="K29" t="n">
        <v>-2272.62868339</v>
      </c>
      <c r="L29" t="inlineStr">
        <is>
          <t>PARGUA 23</t>
        </is>
      </c>
      <c r="M29" t="inlineStr">
        <is>
          <t>MELIPULLI</t>
        </is>
      </c>
      <c r="N29" t="n">
        <v>0.88336054288962</v>
      </c>
      <c r="O29" t="n">
        <v>2007.550508</v>
      </c>
      <c r="P29" t="inlineStr">
        <is>
          <t>BS1A</t>
        </is>
      </c>
      <c r="Q29" t="n">
        <v>2</v>
      </c>
      <c r="W29" t="n">
        <v>2</v>
      </c>
      <c r="X29" t="n">
        <v>0</v>
      </c>
      <c r="AA29" t="inlineStr">
        <is>
          <t>PNP_6T_08-05-2020</t>
        </is>
      </c>
      <c r="AB29" t="inlineStr">
        <is>
          <t>PNCP_9T_12-08-2019</t>
        </is>
      </c>
      <c r="AC29" t="inlineStr">
        <is>
          <t>PNCP_4T_30-04-2013</t>
        </is>
      </c>
      <c r="AD29" t="inlineStr">
        <is>
          <t>MELIPULLI 220</t>
        </is>
      </c>
      <c r="AE29" t="n">
        <v>111.133</v>
      </c>
      <c r="AF29" t="n">
        <v>1.072776031070834</v>
      </c>
      <c r="AG29" t="n">
        <v>119.220818660995</v>
      </c>
      <c r="AH29" t="n">
        <v>694.38</v>
      </c>
      <c r="AI29" t="n">
        <v>0.875</v>
      </c>
      <c r="AJ29" t="n">
        <v>72.43648305409401</v>
      </c>
      <c r="AK29" t="n">
        <v>0.8826000000000001</v>
      </c>
      <c r="AL29" t="n">
        <v>63.932</v>
      </c>
      <c r="AM29" t="n">
        <v>8.9176</v>
      </c>
      <c r="AN29" t="n">
        <v>9.566587534677272</v>
      </c>
      <c r="AO29" t="n">
        <v>0.913</v>
      </c>
      <c r="AP29" t="n">
        <v>6064.919358776563</v>
      </c>
      <c r="AQ29" t="n">
        <v>1</v>
      </c>
      <c r="AR29" t="n">
        <v>6064.9194</v>
      </c>
      <c r="AT29" t="inlineStr">
        <is>
          <t>PNP_19T_30-12-2020</t>
        </is>
      </c>
      <c r="AU29" t="inlineStr">
        <is>
          <t>PNCP_12T_10-08-2020</t>
        </is>
      </c>
      <c r="AV29" t="inlineStr">
        <is>
          <t>PNCP_4T_30-04-2013</t>
        </is>
      </c>
      <c r="AW29" t="inlineStr">
        <is>
          <t>MELIPULLI 220</t>
        </is>
      </c>
      <c r="AX29" t="n">
        <v>111.133</v>
      </c>
      <c r="AY29" t="n">
        <v>1.083385174100913</v>
      </c>
      <c r="AZ29" t="n">
        <v>120.3998445533567</v>
      </c>
      <c r="BA29" t="n">
        <v>801.49</v>
      </c>
      <c r="BB29" t="n">
        <v>0.905</v>
      </c>
      <c r="BC29" t="n">
        <v>87.33184062701827</v>
      </c>
      <c r="BD29" t="n">
        <v>0.7824</v>
      </c>
      <c r="BE29" t="n">
        <v>68.328</v>
      </c>
      <c r="BF29" t="n">
        <v>8.9176</v>
      </c>
      <c r="BG29" t="n">
        <v>0.77</v>
      </c>
      <c r="BH29" t="n">
        <v>5962.380796939026</v>
      </c>
      <c r="BI29" t="n">
        <v>1</v>
      </c>
      <c r="BJ29" t="n">
        <v>5962.3808</v>
      </c>
    </row>
    <row r="30">
      <c r="A30" t="n">
        <v>5305</v>
      </c>
      <c r="B30" t="inlineStr">
        <is>
          <t>01-01-2021</t>
        </is>
      </c>
      <c r="C30" t="n">
        <v>2021</v>
      </c>
      <c r="D30" t="n">
        <v>1</v>
      </c>
      <c r="E30" t="inlineStr">
        <is>
          <t>CAREN</t>
        </is>
      </c>
      <c r="F30" t="inlineStr">
        <is>
          <t>SUM_SAESA_A</t>
        </is>
      </c>
      <c r="G30" t="inlineStr">
        <is>
          <t>A</t>
        </is>
      </c>
      <c r="H30" t="inlineStr">
        <is>
          <t>SAESA</t>
        </is>
      </c>
      <c r="I30" t="inlineStr">
        <is>
          <t>SAESFRUTBLOQA</t>
        </is>
      </c>
      <c r="J30" t="inlineStr">
        <is>
          <t>FRUTILLAR</t>
        </is>
      </c>
      <c r="K30" t="n">
        <v>-4856.61000148</v>
      </c>
      <c r="L30" t="inlineStr">
        <is>
          <t>FRUTILLAR</t>
        </is>
      </c>
      <c r="M30" t="inlineStr">
        <is>
          <t>BARRO BLANCO</t>
        </is>
      </c>
      <c r="N30" t="n">
        <v>0.30829693616367</v>
      </c>
      <c r="O30" t="n">
        <v>1497.277984</v>
      </c>
      <c r="P30" t="inlineStr">
        <is>
          <t>BS1A</t>
        </is>
      </c>
      <c r="Q30" t="n">
        <v>2</v>
      </c>
      <c r="W30" t="n">
        <v>2</v>
      </c>
      <c r="X30" t="n">
        <v>0</v>
      </c>
      <c r="AA30" t="inlineStr">
        <is>
          <t>PNP_6T_08-05-2020</t>
        </is>
      </c>
      <c r="AB30" t="inlineStr">
        <is>
          <t>PNCP_9T_12-08-2019</t>
        </is>
      </c>
      <c r="AC30" t="inlineStr">
        <is>
          <t>PNCP_4T_30-04-2013</t>
        </is>
      </c>
      <c r="AD30" t="inlineStr">
        <is>
          <t>Barro Blanco 220</t>
        </is>
      </c>
      <c r="AE30" t="n">
        <v>111.133</v>
      </c>
      <c r="AF30" t="n">
        <v>1.072776031070834</v>
      </c>
      <c r="AG30" t="n">
        <v>119.220818660995</v>
      </c>
      <c r="AH30" t="n">
        <v>694.38</v>
      </c>
      <c r="AI30" t="n">
        <v>0.875</v>
      </c>
      <c r="AJ30" t="n">
        <v>72.43648305409401</v>
      </c>
      <c r="AK30" t="n">
        <v>0.8631</v>
      </c>
      <c r="AL30" t="n">
        <v>62.52</v>
      </c>
      <c r="AM30" t="n">
        <v>8.9176</v>
      </c>
      <c r="AN30" t="n">
        <v>9.566587534677272</v>
      </c>
      <c r="AO30" t="n">
        <v>0.913</v>
      </c>
      <c r="AP30" t="n">
        <v>6064.919358776563</v>
      </c>
      <c r="AQ30" t="n">
        <v>1.004432825642191</v>
      </c>
      <c r="AR30" t="n">
        <v>6091.8041</v>
      </c>
      <c r="AT30" t="inlineStr">
        <is>
          <t>PNP_19T_30-12-2020</t>
        </is>
      </c>
      <c r="AU30" t="inlineStr">
        <is>
          <t>PNCP_12T_10-08-2020</t>
        </is>
      </c>
      <c r="AV30" t="inlineStr">
        <is>
          <t>PNCP_4T_30-04-2013</t>
        </is>
      </c>
      <c r="AW30" t="inlineStr">
        <is>
          <t>Barro Blanco 220</t>
        </is>
      </c>
      <c r="AX30" t="n">
        <v>111.133</v>
      </c>
      <c r="AY30" t="n">
        <v>1.083385174100913</v>
      </c>
      <c r="AZ30" t="n">
        <v>120.3998445533567</v>
      </c>
      <c r="BA30" t="n">
        <v>801.49</v>
      </c>
      <c r="BB30" t="n">
        <v>0.905</v>
      </c>
      <c r="BC30" t="n">
        <v>87.33184062701827</v>
      </c>
      <c r="BD30" t="n">
        <v>0.7946</v>
      </c>
      <c r="BE30" t="n">
        <v>69.39400000000001</v>
      </c>
      <c r="BF30" t="n">
        <v>8.9176</v>
      </c>
      <c r="BG30" t="n">
        <v>0.77</v>
      </c>
      <c r="BH30" t="n">
        <v>5962.380796939026</v>
      </c>
      <c r="BI30" t="n">
        <v>1.047283473516708</v>
      </c>
      <c r="BJ30" t="n">
        <v>6244.3029</v>
      </c>
    </row>
    <row r="31">
      <c r="A31" t="n">
        <v>5307</v>
      </c>
      <c r="B31" t="inlineStr">
        <is>
          <t>01-01-2021</t>
        </is>
      </c>
      <c r="C31" t="n">
        <v>2021</v>
      </c>
      <c r="D31" t="n">
        <v>1</v>
      </c>
      <c r="E31" t="inlineStr">
        <is>
          <t>CAREN</t>
        </is>
      </c>
      <c r="F31" t="inlineStr">
        <is>
          <t>SUM_SAESA_A</t>
        </is>
      </c>
      <c r="G31" t="inlineStr">
        <is>
          <t>A</t>
        </is>
      </c>
      <c r="H31" t="inlineStr">
        <is>
          <t>SAESA</t>
        </is>
      </c>
      <c r="I31" t="inlineStr">
        <is>
          <t>SAESFRUTBLOQA</t>
        </is>
      </c>
      <c r="J31" t="inlineStr">
        <is>
          <t>FRUTILLAR</t>
        </is>
      </c>
      <c r="K31" t="n">
        <v>-4856.61000148</v>
      </c>
      <c r="L31" t="inlineStr">
        <is>
          <t>FRUTILLAR</t>
        </is>
      </c>
      <c r="M31" t="inlineStr">
        <is>
          <t>MELIPULLI</t>
        </is>
      </c>
      <c r="N31" t="n">
        <v>0.58883123332719</v>
      </c>
      <c r="O31" t="n">
        <v>2859.723657</v>
      </c>
      <c r="P31" t="inlineStr">
        <is>
          <t>BS1A</t>
        </is>
      </c>
      <c r="Q31" t="n">
        <v>2</v>
      </c>
      <c r="W31" t="n">
        <v>2</v>
      </c>
      <c r="X31" t="n">
        <v>0</v>
      </c>
      <c r="AA31" t="inlineStr">
        <is>
          <t>PNP_6T_08-05-2020</t>
        </is>
      </c>
      <c r="AB31" t="inlineStr">
        <is>
          <t>PNCP_9T_12-08-2019</t>
        </is>
      </c>
      <c r="AC31" t="inlineStr">
        <is>
          <t>PNCP_4T_30-04-2013</t>
        </is>
      </c>
      <c r="AD31" t="inlineStr">
        <is>
          <t>MELIPULLI 220</t>
        </is>
      </c>
      <c r="AE31" t="n">
        <v>111.133</v>
      </c>
      <c r="AF31" t="n">
        <v>1.072776031070834</v>
      </c>
      <c r="AG31" t="n">
        <v>119.220818660995</v>
      </c>
      <c r="AH31" t="n">
        <v>694.38</v>
      </c>
      <c r="AI31" t="n">
        <v>0.875</v>
      </c>
      <c r="AJ31" t="n">
        <v>72.43648305409401</v>
      </c>
      <c r="AK31" t="n">
        <v>0.8826000000000001</v>
      </c>
      <c r="AL31" t="n">
        <v>63.932</v>
      </c>
      <c r="AM31" t="n">
        <v>8.9176</v>
      </c>
      <c r="AN31" t="n">
        <v>9.566587534677272</v>
      </c>
      <c r="AO31" t="n">
        <v>0.913</v>
      </c>
      <c r="AP31" t="n">
        <v>6064.919358776563</v>
      </c>
      <c r="AQ31" t="n">
        <v>1</v>
      </c>
      <c r="AR31" t="n">
        <v>6064.9194</v>
      </c>
      <c r="AT31" t="inlineStr">
        <is>
          <t>PNP_19T_30-12-2020</t>
        </is>
      </c>
      <c r="AU31" t="inlineStr">
        <is>
          <t>PNCP_12T_10-08-2020</t>
        </is>
      </c>
      <c r="AV31" t="inlineStr">
        <is>
          <t>PNCP_4T_30-04-2013</t>
        </is>
      </c>
      <c r="AW31" t="inlineStr">
        <is>
          <t>MELIPULLI 220</t>
        </is>
      </c>
      <c r="AX31" t="n">
        <v>111.133</v>
      </c>
      <c r="AY31" t="n">
        <v>1.083385174100913</v>
      </c>
      <c r="AZ31" t="n">
        <v>120.3998445533567</v>
      </c>
      <c r="BA31" t="n">
        <v>801.49</v>
      </c>
      <c r="BB31" t="n">
        <v>0.905</v>
      </c>
      <c r="BC31" t="n">
        <v>87.33184062701827</v>
      </c>
      <c r="BD31" t="n">
        <v>0.7824</v>
      </c>
      <c r="BE31" t="n">
        <v>68.328</v>
      </c>
      <c r="BF31" t="n">
        <v>8.9176</v>
      </c>
      <c r="BG31" t="n">
        <v>0.77</v>
      </c>
      <c r="BH31" t="n">
        <v>5962.380796939026</v>
      </c>
      <c r="BI31" t="n">
        <v>1</v>
      </c>
      <c r="BJ31" t="n">
        <v>5962.3808</v>
      </c>
    </row>
    <row r="32">
      <c r="A32" t="n">
        <v>5309</v>
      </c>
      <c r="B32" t="inlineStr">
        <is>
          <t>01-01-2021</t>
        </is>
      </c>
      <c r="C32" t="n">
        <v>2021</v>
      </c>
      <c r="D32" t="n">
        <v>1</v>
      </c>
      <c r="E32" t="inlineStr">
        <is>
          <t>CAREN</t>
        </is>
      </c>
      <c r="F32" t="inlineStr">
        <is>
          <t>SUM_SAESA_A</t>
        </is>
      </c>
      <c r="G32" t="inlineStr">
        <is>
          <t>A</t>
        </is>
      </c>
      <c r="H32" t="inlineStr">
        <is>
          <t>SAESA</t>
        </is>
      </c>
      <c r="I32" t="inlineStr">
        <is>
          <t>SAESFRUTBLOQA</t>
        </is>
      </c>
      <c r="J32" t="inlineStr">
        <is>
          <t>FRUTILLAR</t>
        </is>
      </c>
      <c r="K32" t="n">
        <v>-4856.61000148</v>
      </c>
      <c r="L32" t="inlineStr">
        <is>
          <t>FRUTILLAR</t>
        </is>
      </c>
      <c r="M32" t="inlineStr">
        <is>
          <t>Puerto Montt</t>
        </is>
      </c>
      <c r="N32" t="n">
        <v>0.66678954217717</v>
      </c>
      <c r="O32" t="n">
        <v>3238.336759</v>
      </c>
      <c r="P32" t="inlineStr">
        <is>
          <t>BS1A</t>
        </is>
      </c>
      <c r="Q32" t="n">
        <v>2</v>
      </c>
      <c r="W32" t="n">
        <v>2</v>
      </c>
      <c r="X32" t="n">
        <v>0</v>
      </c>
      <c r="AA32" t="inlineStr">
        <is>
          <t>PNP_6T_08-05-2020</t>
        </is>
      </c>
      <c r="AB32" t="inlineStr">
        <is>
          <t>PNCP_9T_12-08-2019</t>
        </is>
      </c>
      <c r="AC32" t="inlineStr">
        <is>
          <t>PNCP_4T_30-04-2013</t>
        </is>
      </c>
      <c r="AD32" t="inlineStr">
        <is>
          <t>PUERTO MONTT 220</t>
        </is>
      </c>
      <c r="AE32" t="n">
        <v>111.133</v>
      </c>
      <c r="AF32" t="n">
        <v>1.072776031070834</v>
      </c>
      <c r="AG32" t="n">
        <v>119.220818660995</v>
      </c>
      <c r="AH32" t="n">
        <v>694.38</v>
      </c>
      <c r="AI32" t="n">
        <v>0.875</v>
      </c>
      <c r="AJ32" t="n">
        <v>72.43648305409401</v>
      </c>
      <c r="AK32" t="n">
        <v>0.8826000000000001</v>
      </c>
      <c r="AL32" t="n">
        <v>63.932</v>
      </c>
      <c r="AM32" t="n">
        <v>8.9176</v>
      </c>
      <c r="AN32" t="n">
        <v>9.566587534677272</v>
      </c>
      <c r="AO32" t="n">
        <v>0.913</v>
      </c>
      <c r="AP32" t="n">
        <v>6064.919358776563</v>
      </c>
      <c r="AQ32" t="n">
        <v>1.016858412119831</v>
      </c>
      <c r="AR32" t="n">
        <v>6167.1643</v>
      </c>
      <c r="AT32" t="inlineStr">
        <is>
          <t>PNP_19T_30-12-2020</t>
        </is>
      </c>
      <c r="AU32" t="inlineStr">
        <is>
          <t>PNCP_12T_10-08-2020</t>
        </is>
      </c>
      <c r="AV32" t="inlineStr">
        <is>
          <t>PNCP_4T_30-04-2013</t>
        </is>
      </c>
      <c r="AW32" t="inlineStr">
        <is>
          <t>PUERTO MONTT 220</t>
        </is>
      </c>
      <c r="AX32" t="n">
        <v>111.133</v>
      </c>
      <c r="AY32" t="n">
        <v>1.083385174100913</v>
      </c>
      <c r="AZ32" t="n">
        <v>120.3998445533567</v>
      </c>
      <c r="BA32" t="n">
        <v>801.49</v>
      </c>
      <c r="BB32" t="n">
        <v>0.905</v>
      </c>
      <c r="BC32" t="n">
        <v>87.33184062701827</v>
      </c>
      <c r="BD32" t="n">
        <v>0.7824</v>
      </c>
      <c r="BE32" t="n">
        <v>68.328</v>
      </c>
      <c r="BF32" t="n">
        <v>8.9176</v>
      </c>
      <c r="BG32" t="n">
        <v>0.77</v>
      </c>
      <c r="BH32" t="n">
        <v>5962.380796939026</v>
      </c>
      <c r="BI32" t="n">
        <v>1.039640050119603</v>
      </c>
      <c r="BJ32" t="n">
        <v>6198.7299</v>
      </c>
    </row>
    <row r="33">
      <c r="A33" t="n">
        <v>5311</v>
      </c>
      <c r="B33" t="inlineStr">
        <is>
          <t>01-01-2021</t>
        </is>
      </c>
      <c r="C33" t="n">
        <v>2021</v>
      </c>
      <c r="D33" t="n">
        <v>1</v>
      </c>
      <c r="E33" t="inlineStr">
        <is>
          <t>CAREN</t>
        </is>
      </c>
      <c r="F33" t="inlineStr">
        <is>
          <t>SUM_SAESA_A</t>
        </is>
      </c>
      <c r="G33" t="inlineStr">
        <is>
          <t>A</t>
        </is>
      </c>
      <c r="H33" t="inlineStr">
        <is>
          <t>SAESA</t>
        </is>
      </c>
      <c r="I33" t="inlineStr">
        <is>
          <t>SAESFRUTBLOQA</t>
        </is>
      </c>
      <c r="J33" t="inlineStr">
        <is>
          <t>FRUTILLAR</t>
        </is>
      </c>
      <c r="K33" t="n">
        <v>-4856.61000148</v>
      </c>
      <c r="L33" t="inlineStr">
        <is>
          <t>FRUTILLAR</t>
        </is>
      </c>
      <c r="M33" t="inlineStr">
        <is>
          <t>VALDIVIA</t>
        </is>
      </c>
      <c r="N33" t="n">
        <v>0.00223534123905</v>
      </c>
      <c r="O33" t="n">
        <v>10.856181</v>
      </c>
      <c r="P33" t="inlineStr">
        <is>
          <t>BS1A</t>
        </is>
      </c>
      <c r="Q33" t="n">
        <v>2</v>
      </c>
      <c r="W33" t="n">
        <v>2</v>
      </c>
      <c r="X33" t="n">
        <v>0</v>
      </c>
      <c r="AA33" t="inlineStr">
        <is>
          <t>PNP_6T_08-05-2020</t>
        </is>
      </c>
      <c r="AB33" t="inlineStr">
        <is>
          <t>PNCP_9T_12-08-2019</t>
        </is>
      </c>
      <c r="AC33" t="inlineStr">
        <is>
          <t>PNCP_4T_30-04-2013</t>
        </is>
      </c>
      <c r="AD33" t="inlineStr">
        <is>
          <t>VALDIVIA 220</t>
        </is>
      </c>
      <c r="AE33" t="n">
        <v>111.133</v>
      </c>
      <c r="AF33" t="n">
        <v>1.072776031070834</v>
      </c>
      <c r="AG33" t="n">
        <v>119.220818660995</v>
      </c>
      <c r="AH33" t="n">
        <v>694.38</v>
      </c>
      <c r="AI33" t="n">
        <v>0.875</v>
      </c>
      <c r="AJ33" t="n">
        <v>72.43648305409401</v>
      </c>
      <c r="AK33" t="n">
        <v>0.913</v>
      </c>
      <c r="AL33" t="n">
        <v>66.13500000000001</v>
      </c>
      <c r="AM33" t="n">
        <v>8.9176</v>
      </c>
      <c r="AN33" t="n">
        <v>9.566587534677272</v>
      </c>
      <c r="AO33" t="n">
        <v>0.913</v>
      </c>
      <c r="AP33" t="n">
        <v>6064.919358776563</v>
      </c>
      <c r="AQ33" t="n">
        <v>1.051287819142954</v>
      </c>
      <c r="AR33" t="n">
        <v>6375.9758</v>
      </c>
      <c r="AT33" t="inlineStr">
        <is>
          <t>PNP_19T_30-12-2020</t>
        </is>
      </c>
      <c r="AU33" t="inlineStr">
        <is>
          <t>PNCP_12T_10-08-2020</t>
        </is>
      </c>
      <c r="AV33" t="inlineStr">
        <is>
          <t>PNCP_4T_30-04-2013</t>
        </is>
      </c>
      <c r="AW33" t="inlineStr">
        <is>
          <t>VALDIVIA 220</t>
        </is>
      </c>
      <c r="AX33" t="n">
        <v>111.133</v>
      </c>
      <c r="AY33" t="n">
        <v>1.083385174100913</v>
      </c>
      <c r="AZ33" t="n">
        <v>120.3998445533567</v>
      </c>
      <c r="BA33" t="n">
        <v>801.49</v>
      </c>
      <c r="BB33" t="n">
        <v>0.905</v>
      </c>
      <c r="BC33" t="n">
        <v>87.33184062701827</v>
      </c>
      <c r="BD33" t="n">
        <v>0.8745000000000001</v>
      </c>
      <c r="BE33" t="n">
        <v>76.372</v>
      </c>
      <c r="BF33" t="n">
        <v>8.9176</v>
      </c>
      <c r="BG33" t="n">
        <v>0.77</v>
      </c>
      <c r="BH33" t="n">
        <v>5962.380796939026</v>
      </c>
      <c r="BI33" t="n">
        <v>1.148014846473962</v>
      </c>
      <c r="BJ33" t="n">
        <v>6844.9017</v>
      </c>
    </row>
    <row r="34">
      <c r="A34" t="n">
        <v>3889</v>
      </c>
      <c r="B34" t="inlineStr">
        <is>
          <t>01-01-2021</t>
        </is>
      </c>
      <c r="C34" t="n">
        <v>2021</v>
      </c>
      <c r="D34" t="n">
        <v>1</v>
      </c>
      <c r="E34" t="inlineStr">
        <is>
          <t>CAREN</t>
        </is>
      </c>
      <c r="F34" t="inlineStr">
        <is>
          <t>SUM_SAESA_A</t>
        </is>
      </c>
      <c r="G34" t="inlineStr">
        <is>
          <t>A</t>
        </is>
      </c>
      <c r="H34" t="inlineStr">
        <is>
          <t>SAESA</t>
        </is>
      </c>
      <c r="I34" t="inlineStr">
        <is>
          <t>SAESLOSLBLOQA</t>
        </is>
      </c>
      <c r="J34" t="inlineStr">
        <is>
          <t>L.LAGOS</t>
        </is>
      </c>
      <c r="K34" t="n">
        <v>-1473.68727456</v>
      </c>
      <c r="L34" t="inlineStr">
        <is>
          <t>LOS LAGOS</t>
        </is>
      </c>
      <c r="M34" t="inlineStr">
        <is>
          <t>Barro Blanco</t>
        </is>
      </c>
      <c r="N34" t="n">
        <v>0.18733247460026</v>
      </c>
      <c r="O34" t="n">
        <v>276.069484</v>
      </c>
      <c r="P34" t="inlineStr">
        <is>
          <t>BS1A</t>
        </is>
      </c>
      <c r="Q34" t="n">
        <v>2</v>
      </c>
      <c r="W34" t="n">
        <v>2</v>
      </c>
      <c r="X34" t="n">
        <v>0</v>
      </c>
      <c r="AA34" t="inlineStr">
        <is>
          <t>PNP_6T_08-05-2020</t>
        </is>
      </c>
      <c r="AB34" t="inlineStr">
        <is>
          <t>PNCP_9T_12-08-2019</t>
        </is>
      </c>
      <c r="AC34" t="inlineStr">
        <is>
          <t>PNCP_4T_30-04-2013</t>
        </is>
      </c>
      <c r="AD34" t="inlineStr">
        <is>
          <t>Barro Blanco 220</t>
        </is>
      </c>
      <c r="AE34" t="n">
        <v>111.133</v>
      </c>
      <c r="AF34" t="n">
        <v>1.072776031070834</v>
      </c>
      <c r="AG34" t="n">
        <v>119.220818660995</v>
      </c>
      <c r="AH34" t="n">
        <v>694.38</v>
      </c>
      <c r="AI34" t="n">
        <v>0.875</v>
      </c>
      <c r="AJ34" t="n">
        <v>72.43648305409401</v>
      </c>
      <c r="AK34" t="n">
        <v>0.8631</v>
      </c>
      <c r="AL34" t="n">
        <v>62.52</v>
      </c>
      <c r="AM34" t="n">
        <v>8.9176</v>
      </c>
      <c r="AN34" t="n">
        <v>9.566587534677272</v>
      </c>
      <c r="AO34" t="n">
        <v>0.913</v>
      </c>
      <c r="AP34" t="n">
        <v>6064.919358776563</v>
      </c>
      <c r="AQ34" t="n">
        <v>1.004432825642191</v>
      </c>
      <c r="AR34" t="n">
        <v>6091.8041</v>
      </c>
      <c r="AT34" t="inlineStr">
        <is>
          <t>PNP_19T_30-12-2020</t>
        </is>
      </c>
      <c r="AU34" t="inlineStr">
        <is>
          <t>PNCP_12T_10-08-2020</t>
        </is>
      </c>
      <c r="AV34" t="inlineStr">
        <is>
          <t>PNCP_4T_30-04-2013</t>
        </is>
      </c>
      <c r="AW34" t="inlineStr">
        <is>
          <t>Barro Blanco 220</t>
        </is>
      </c>
      <c r="AX34" t="n">
        <v>111.133</v>
      </c>
      <c r="AY34" t="n">
        <v>1.083385174100913</v>
      </c>
      <c r="AZ34" t="n">
        <v>120.3998445533567</v>
      </c>
      <c r="BA34" t="n">
        <v>801.49</v>
      </c>
      <c r="BB34" t="n">
        <v>0.905</v>
      </c>
      <c r="BC34" t="n">
        <v>87.33184062701827</v>
      </c>
      <c r="BD34" t="n">
        <v>0.7946</v>
      </c>
      <c r="BE34" t="n">
        <v>69.39400000000001</v>
      </c>
      <c r="BF34" t="n">
        <v>8.9176</v>
      </c>
      <c r="BG34" t="n">
        <v>0.77</v>
      </c>
      <c r="BH34" t="n">
        <v>5962.380796939026</v>
      </c>
      <c r="BI34" t="n">
        <v>1.047283473516708</v>
      </c>
      <c r="BJ34" t="n">
        <v>6244.3029</v>
      </c>
    </row>
    <row r="35">
      <c r="A35" t="n">
        <v>3891</v>
      </c>
      <c r="B35" t="inlineStr">
        <is>
          <t>01-01-2021</t>
        </is>
      </c>
      <c r="C35" t="n">
        <v>2021</v>
      </c>
      <c r="D35" t="n">
        <v>1</v>
      </c>
      <c r="E35" t="inlineStr">
        <is>
          <t>CAREN</t>
        </is>
      </c>
      <c r="F35" t="inlineStr">
        <is>
          <t>SUM_SAESA_A</t>
        </is>
      </c>
      <c r="G35" t="inlineStr">
        <is>
          <t>A</t>
        </is>
      </c>
      <c r="H35" t="inlineStr">
        <is>
          <t>SAESA</t>
        </is>
      </c>
      <c r="I35" t="inlineStr">
        <is>
          <t>SAESLOSLBLOQA</t>
        </is>
      </c>
      <c r="J35" t="inlineStr">
        <is>
          <t>L.LAGOS</t>
        </is>
      </c>
      <c r="K35" t="n">
        <v>-1473.68727456</v>
      </c>
      <c r="L35" t="inlineStr">
        <is>
          <t>LOS LAGOS</t>
        </is>
      </c>
      <c r="M35" t="inlineStr">
        <is>
          <t>MELIPULLI</t>
        </is>
      </c>
      <c r="N35" t="n">
        <v>0.0106384804266</v>
      </c>
      <c r="O35" t="n">
        <v>15.677793</v>
      </c>
      <c r="P35" t="inlineStr">
        <is>
          <t>BS1A</t>
        </is>
      </c>
      <c r="Q35" t="n">
        <v>2</v>
      </c>
      <c r="W35" t="n">
        <v>2</v>
      </c>
      <c r="X35" t="n">
        <v>0</v>
      </c>
      <c r="AA35" t="inlineStr">
        <is>
          <t>PNP_6T_08-05-2020</t>
        </is>
      </c>
      <c r="AB35" t="inlineStr">
        <is>
          <t>PNCP_9T_12-08-2019</t>
        </is>
      </c>
      <c r="AC35" t="inlineStr">
        <is>
          <t>PNCP_4T_30-04-2013</t>
        </is>
      </c>
      <c r="AD35" t="inlineStr">
        <is>
          <t>MELIPULLI 220</t>
        </is>
      </c>
      <c r="AE35" t="n">
        <v>111.133</v>
      </c>
      <c r="AF35" t="n">
        <v>1.072776031070834</v>
      </c>
      <c r="AG35" t="n">
        <v>119.220818660995</v>
      </c>
      <c r="AH35" t="n">
        <v>694.38</v>
      </c>
      <c r="AI35" t="n">
        <v>0.875</v>
      </c>
      <c r="AJ35" t="n">
        <v>72.43648305409401</v>
      </c>
      <c r="AK35" t="n">
        <v>0.8826000000000001</v>
      </c>
      <c r="AL35" t="n">
        <v>63.932</v>
      </c>
      <c r="AM35" t="n">
        <v>8.9176</v>
      </c>
      <c r="AN35" t="n">
        <v>9.566587534677272</v>
      </c>
      <c r="AO35" t="n">
        <v>0.913</v>
      </c>
      <c r="AP35" t="n">
        <v>6064.919358776563</v>
      </c>
      <c r="AQ35" t="n">
        <v>1</v>
      </c>
      <c r="AR35" t="n">
        <v>6064.9194</v>
      </c>
      <c r="AT35" t="inlineStr">
        <is>
          <t>PNP_19T_30-12-2020</t>
        </is>
      </c>
      <c r="AU35" t="inlineStr">
        <is>
          <t>PNCP_12T_10-08-2020</t>
        </is>
      </c>
      <c r="AV35" t="inlineStr">
        <is>
          <t>PNCP_4T_30-04-2013</t>
        </is>
      </c>
      <c r="AW35" t="inlineStr">
        <is>
          <t>MELIPULLI 220</t>
        </is>
      </c>
      <c r="AX35" t="n">
        <v>111.133</v>
      </c>
      <c r="AY35" t="n">
        <v>1.083385174100913</v>
      </c>
      <c r="AZ35" t="n">
        <v>120.3998445533567</v>
      </c>
      <c r="BA35" t="n">
        <v>801.49</v>
      </c>
      <c r="BB35" t="n">
        <v>0.905</v>
      </c>
      <c r="BC35" t="n">
        <v>87.33184062701827</v>
      </c>
      <c r="BD35" t="n">
        <v>0.7824</v>
      </c>
      <c r="BE35" t="n">
        <v>68.328</v>
      </c>
      <c r="BF35" t="n">
        <v>8.9176</v>
      </c>
      <c r="BG35" t="n">
        <v>0.77</v>
      </c>
      <c r="BH35" t="n">
        <v>5962.380796939026</v>
      </c>
      <c r="BI35" t="n">
        <v>1</v>
      </c>
      <c r="BJ35" t="n">
        <v>5962.3808</v>
      </c>
    </row>
    <row r="36">
      <c r="A36" t="n">
        <v>3893</v>
      </c>
      <c r="B36" t="inlineStr">
        <is>
          <t>01-01-2021</t>
        </is>
      </c>
      <c r="C36" t="n">
        <v>2021</v>
      </c>
      <c r="D36" t="n">
        <v>1</v>
      </c>
      <c r="E36" t="inlineStr">
        <is>
          <t>CAREN</t>
        </is>
      </c>
      <c r="F36" t="inlineStr">
        <is>
          <t>SUM_SAESA_A</t>
        </is>
      </c>
      <c r="G36" t="inlineStr">
        <is>
          <t>A</t>
        </is>
      </c>
      <c r="H36" t="inlineStr">
        <is>
          <t>SAESA</t>
        </is>
      </c>
      <c r="I36" t="inlineStr">
        <is>
          <t>SAESLOSLBLOQA</t>
        </is>
      </c>
      <c r="J36" t="inlineStr">
        <is>
          <t>L.LAGOS</t>
        </is>
      </c>
      <c r="K36" t="n">
        <v>-1473.68727456</v>
      </c>
      <c r="L36" t="inlineStr">
        <is>
          <t>LOS LAGOS</t>
        </is>
      </c>
      <c r="M36" t="inlineStr">
        <is>
          <t>VALDIVIA</t>
        </is>
      </c>
      <c r="N36" t="n">
        <v>0.74179711805072</v>
      </c>
      <c r="O36" t="n">
        <v>1093.176973</v>
      </c>
      <c r="P36" t="inlineStr">
        <is>
          <t>BS1A</t>
        </is>
      </c>
      <c r="Q36" t="n">
        <v>2</v>
      </c>
      <c r="W36" t="n">
        <v>2</v>
      </c>
      <c r="X36" t="n">
        <v>0</v>
      </c>
      <c r="AA36" t="inlineStr">
        <is>
          <t>PNP_6T_08-05-2020</t>
        </is>
      </c>
      <c r="AB36" t="inlineStr">
        <is>
          <t>PNCP_9T_12-08-2019</t>
        </is>
      </c>
      <c r="AC36" t="inlineStr">
        <is>
          <t>PNCP_4T_30-04-2013</t>
        </is>
      </c>
      <c r="AD36" t="inlineStr">
        <is>
          <t>VALDIVIA 220</t>
        </is>
      </c>
      <c r="AE36" t="n">
        <v>111.133</v>
      </c>
      <c r="AF36" t="n">
        <v>1.072776031070834</v>
      </c>
      <c r="AG36" t="n">
        <v>119.220818660995</v>
      </c>
      <c r="AH36" t="n">
        <v>694.38</v>
      </c>
      <c r="AI36" t="n">
        <v>0.875</v>
      </c>
      <c r="AJ36" t="n">
        <v>72.43648305409401</v>
      </c>
      <c r="AK36" t="n">
        <v>0.913</v>
      </c>
      <c r="AL36" t="n">
        <v>66.13500000000001</v>
      </c>
      <c r="AM36" t="n">
        <v>8.9176</v>
      </c>
      <c r="AN36" t="n">
        <v>9.566587534677272</v>
      </c>
      <c r="AO36" t="n">
        <v>0.913</v>
      </c>
      <c r="AP36" t="n">
        <v>6064.919358776563</v>
      </c>
      <c r="AQ36" t="n">
        <v>1.051287819142954</v>
      </c>
      <c r="AR36" t="n">
        <v>6375.9758</v>
      </c>
      <c r="AT36" t="inlineStr">
        <is>
          <t>PNP_19T_30-12-2020</t>
        </is>
      </c>
      <c r="AU36" t="inlineStr">
        <is>
          <t>PNCP_12T_10-08-2020</t>
        </is>
      </c>
      <c r="AV36" t="inlineStr">
        <is>
          <t>PNCP_4T_30-04-2013</t>
        </is>
      </c>
      <c r="AW36" t="inlineStr">
        <is>
          <t>VALDIVIA 220</t>
        </is>
      </c>
      <c r="AX36" t="n">
        <v>111.133</v>
      </c>
      <c r="AY36" t="n">
        <v>1.083385174100913</v>
      </c>
      <c r="AZ36" t="n">
        <v>120.3998445533567</v>
      </c>
      <c r="BA36" t="n">
        <v>801.49</v>
      </c>
      <c r="BB36" t="n">
        <v>0.905</v>
      </c>
      <c r="BC36" t="n">
        <v>87.33184062701827</v>
      </c>
      <c r="BD36" t="n">
        <v>0.8745000000000001</v>
      </c>
      <c r="BE36" t="n">
        <v>76.372</v>
      </c>
      <c r="BF36" t="n">
        <v>8.9176</v>
      </c>
      <c r="BG36" t="n">
        <v>0.77</v>
      </c>
      <c r="BH36" t="n">
        <v>5962.380796939026</v>
      </c>
      <c r="BI36" t="n">
        <v>1.148014846473962</v>
      </c>
      <c r="BJ36" t="n">
        <v>6844.9017</v>
      </c>
    </row>
    <row r="37">
      <c r="A37" t="n">
        <v>5902</v>
      </c>
      <c r="B37" t="inlineStr">
        <is>
          <t>01-01-2021</t>
        </is>
      </c>
      <c r="C37" t="n">
        <v>2021</v>
      </c>
      <c r="D37" t="n">
        <v>1</v>
      </c>
      <c r="E37" t="inlineStr">
        <is>
          <t>CAREN</t>
        </is>
      </c>
      <c r="F37" t="inlineStr">
        <is>
          <t>SUM_SAESA_A</t>
        </is>
      </c>
      <c r="G37" t="inlineStr">
        <is>
          <t>A</t>
        </is>
      </c>
      <c r="H37" t="inlineStr">
        <is>
          <t>SAESA</t>
        </is>
      </c>
      <c r="I37" t="inlineStr">
        <is>
          <t>SAESLAUNBLOQA</t>
        </is>
      </c>
      <c r="J37" t="inlineStr">
        <is>
          <t>L.UNION</t>
        </is>
      </c>
      <c r="K37" t="n">
        <v>-4182.44728166</v>
      </c>
      <c r="L37" t="inlineStr">
        <is>
          <t>LA UNION</t>
        </is>
      </c>
      <c r="M37" t="inlineStr">
        <is>
          <t>BARRO BLANCO</t>
        </is>
      </c>
      <c r="N37" t="n">
        <v>0.69784426704688</v>
      </c>
      <c r="O37" t="n">
        <v>2918.696858</v>
      </c>
      <c r="P37" t="inlineStr">
        <is>
          <t>BS1A</t>
        </is>
      </c>
      <c r="Q37" t="n">
        <v>2</v>
      </c>
      <c r="W37" t="n">
        <v>2</v>
      </c>
      <c r="X37" t="n">
        <v>0</v>
      </c>
      <c r="AA37" t="inlineStr">
        <is>
          <t>PNP_6T_08-05-2020</t>
        </is>
      </c>
      <c r="AB37" t="inlineStr">
        <is>
          <t>PNCP_9T_12-08-2019</t>
        </is>
      </c>
      <c r="AC37" t="inlineStr">
        <is>
          <t>PNCP_4T_30-04-2013</t>
        </is>
      </c>
      <c r="AD37" t="inlineStr">
        <is>
          <t>Barro Blanco 220</t>
        </is>
      </c>
      <c r="AE37" t="n">
        <v>111.133</v>
      </c>
      <c r="AF37" t="n">
        <v>1.072776031070834</v>
      </c>
      <c r="AG37" t="n">
        <v>119.220818660995</v>
      </c>
      <c r="AH37" t="n">
        <v>694.38</v>
      </c>
      <c r="AI37" t="n">
        <v>0.875</v>
      </c>
      <c r="AJ37" t="n">
        <v>72.43648305409401</v>
      </c>
      <c r="AK37" t="n">
        <v>0.8631</v>
      </c>
      <c r="AL37" t="n">
        <v>62.52</v>
      </c>
      <c r="AM37" t="n">
        <v>8.9176</v>
      </c>
      <c r="AN37" t="n">
        <v>9.566587534677272</v>
      </c>
      <c r="AO37" t="n">
        <v>0.913</v>
      </c>
      <c r="AP37" t="n">
        <v>6064.919358776563</v>
      </c>
      <c r="AQ37" t="n">
        <v>1.004432825642191</v>
      </c>
      <c r="AR37" t="n">
        <v>6091.8041</v>
      </c>
      <c r="AT37" t="inlineStr">
        <is>
          <t>PNP_19T_30-12-2020</t>
        </is>
      </c>
      <c r="AU37" t="inlineStr">
        <is>
          <t>PNCP_12T_10-08-2020</t>
        </is>
      </c>
      <c r="AV37" t="inlineStr">
        <is>
          <t>PNCP_4T_30-04-2013</t>
        </is>
      </c>
      <c r="AW37" t="inlineStr">
        <is>
          <t>Barro Blanco 220</t>
        </is>
      </c>
      <c r="AX37" t="n">
        <v>111.133</v>
      </c>
      <c r="AY37" t="n">
        <v>1.083385174100913</v>
      </c>
      <c r="AZ37" t="n">
        <v>120.3998445533567</v>
      </c>
      <c r="BA37" t="n">
        <v>801.49</v>
      </c>
      <c r="BB37" t="n">
        <v>0.905</v>
      </c>
      <c r="BC37" t="n">
        <v>87.33184062701827</v>
      </c>
      <c r="BD37" t="n">
        <v>0.7946</v>
      </c>
      <c r="BE37" t="n">
        <v>69.39400000000001</v>
      </c>
      <c r="BF37" t="n">
        <v>8.9176</v>
      </c>
      <c r="BG37" t="n">
        <v>0.77</v>
      </c>
      <c r="BH37" t="n">
        <v>5962.380796939026</v>
      </c>
      <c r="BI37" t="n">
        <v>1.047283473516708</v>
      </c>
      <c r="BJ37" t="n">
        <v>6244.3029</v>
      </c>
    </row>
    <row r="38">
      <c r="A38" t="n">
        <v>5904</v>
      </c>
      <c r="B38" t="inlineStr">
        <is>
          <t>01-01-2021</t>
        </is>
      </c>
      <c r="C38" t="n">
        <v>2021</v>
      </c>
      <c r="D38" t="n">
        <v>1</v>
      </c>
      <c r="E38" t="inlineStr">
        <is>
          <t>CAREN</t>
        </is>
      </c>
      <c r="F38" t="inlineStr">
        <is>
          <t>SUM_SAESA_A</t>
        </is>
      </c>
      <c r="G38" t="inlineStr">
        <is>
          <t>A</t>
        </is>
      </c>
      <c r="H38" t="inlineStr">
        <is>
          <t>SAESA</t>
        </is>
      </c>
      <c r="I38" t="inlineStr">
        <is>
          <t>SAESLAUNBLOQA</t>
        </is>
      </c>
      <c r="J38" t="inlineStr">
        <is>
          <t>L.UNION</t>
        </is>
      </c>
      <c r="K38" t="n">
        <v>-4182.44728166</v>
      </c>
      <c r="L38" t="inlineStr">
        <is>
          <t>LA UNION</t>
        </is>
      </c>
      <c r="M38" t="inlineStr">
        <is>
          <t>MELIPULLI</t>
        </is>
      </c>
      <c r="N38" t="n">
        <v>0.05477087158033</v>
      </c>
      <c r="O38" t="n">
        <v>229.076283</v>
      </c>
      <c r="P38" t="inlineStr">
        <is>
          <t>BS1A</t>
        </is>
      </c>
      <c r="Q38" t="n">
        <v>2</v>
      </c>
      <c r="W38" t="n">
        <v>2</v>
      </c>
      <c r="X38" t="n">
        <v>0</v>
      </c>
      <c r="AA38" t="inlineStr">
        <is>
          <t>PNP_6T_08-05-2020</t>
        </is>
      </c>
      <c r="AB38" t="inlineStr">
        <is>
          <t>PNCP_9T_12-08-2019</t>
        </is>
      </c>
      <c r="AC38" t="inlineStr">
        <is>
          <t>PNCP_4T_30-04-2013</t>
        </is>
      </c>
      <c r="AD38" t="inlineStr">
        <is>
          <t>MELIPULLI 220</t>
        </is>
      </c>
      <c r="AE38" t="n">
        <v>111.133</v>
      </c>
      <c r="AF38" t="n">
        <v>1.072776031070834</v>
      </c>
      <c r="AG38" t="n">
        <v>119.220818660995</v>
      </c>
      <c r="AH38" t="n">
        <v>694.38</v>
      </c>
      <c r="AI38" t="n">
        <v>0.875</v>
      </c>
      <c r="AJ38" t="n">
        <v>72.43648305409401</v>
      </c>
      <c r="AK38" t="n">
        <v>0.8826000000000001</v>
      </c>
      <c r="AL38" t="n">
        <v>63.932</v>
      </c>
      <c r="AM38" t="n">
        <v>8.9176</v>
      </c>
      <c r="AN38" t="n">
        <v>9.566587534677272</v>
      </c>
      <c r="AO38" t="n">
        <v>0.913</v>
      </c>
      <c r="AP38" t="n">
        <v>6064.919358776563</v>
      </c>
      <c r="AQ38" t="n">
        <v>1</v>
      </c>
      <c r="AR38" t="n">
        <v>6064.9194</v>
      </c>
      <c r="AT38" t="inlineStr">
        <is>
          <t>PNP_19T_30-12-2020</t>
        </is>
      </c>
      <c r="AU38" t="inlineStr">
        <is>
          <t>PNCP_12T_10-08-2020</t>
        </is>
      </c>
      <c r="AV38" t="inlineStr">
        <is>
          <t>PNCP_4T_30-04-2013</t>
        </is>
      </c>
      <c r="AW38" t="inlineStr">
        <is>
          <t>MELIPULLI 220</t>
        </is>
      </c>
      <c r="AX38" t="n">
        <v>111.133</v>
      </c>
      <c r="AY38" t="n">
        <v>1.083385174100913</v>
      </c>
      <c r="AZ38" t="n">
        <v>120.3998445533567</v>
      </c>
      <c r="BA38" t="n">
        <v>801.49</v>
      </c>
      <c r="BB38" t="n">
        <v>0.905</v>
      </c>
      <c r="BC38" t="n">
        <v>87.33184062701827</v>
      </c>
      <c r="BD38" t="n">
        <v>0.7824</v>
      </c>
      <c r="BE38" t="n">
        <v>68.328</v>
      </c>
      <c r="BF38" t="n">
        <v>8.9176</v>
      </c>
      <c r="BG38" t="n">
        <v>0.77</v>
      </c>
      <c r="BH38" t="n">
        <v>5962.380796939026</v>
      </c>
      <c r="BI38" t="n">
        <v>1</v>
      </c>
      <c r="BJ38" t="n">
        <v>5962.3808</v>
      </c>
    </row>
    <row r="39">
      <c r="A39" t="n">
        <v>5906</v>
      </c>
      <c r="B39" t="inlineStr">
        <is>
          <t>01-01-2021</t>
        </is>
      </c>
      <c r="C39" t="n">
        <v>2021</v>
      </c>
      <c r="D39" t="n">
        <v>1</v>
      </c>
      <c r="E39" t="inlineStr">
        <is>
          <t>CAREN</t>
        </is>
      </c>
      <c r="F39" t="inlineStr">
        <is>
          <t>SUM_SAESA_A</t>
        </is>
      </c>
      <c r="G39" t="inlineStr">
        <is>
          <t>A</t>
        </is>
      </c>
      <c r="H39" t="inlineStr">
        <is>
          <t>SAESA</t>
        </is>
      </c>
      <c r="I39" t="inlineStr">
        <is>
          <t>SAESLAUNBLOQA</t>
        </is>
      </c>
      <c r="J39" t="inlineStr">
        <is>
          <t>L.UNION</t>
        </is>
      </c>
      <c r="K39" t="n">
        <v>-4182.44728166</v>
      </c>
      <c r="L39" t="inlineStr">
        <is>
          <t>LA UNION</t>
        </is>
      </c>
      <c r="M39" t="inlineStr">
        <is>
          <t>VALDIVIA</t>
        </is>
      </c>
      <c r="N39" t="n">
        <v>0.26660855469556</v>
      </c>
      <c r="O39" t="n">
        <v>1115.076225</v>
      </c>
      <c r="P39" t="inlineStr">
        <is>
          <t>BS1A</t>
        </is>
      </c>
      <c r="Q39" t="n">
        <v>2</v>
      </c>
      <c r="W39" t="n">
        <v>2</v>
      </c>
      <c r="X39" t="n">
        <v>0</v>
      </c>
      <c r="AA39" t="inlineStr">
        <is>
          <t>PNP_6T_08-05-2020</t>
        </is>
      </c>
      <c r="AB39" t="inlineStr">
        <is>
          <t>PNCP_9T_12-08-2019</t>
        </is>
      </c>
      <c r="AC39" t="inlineStr">
        <is>
          <t>PNCP_4T_30-04-2013</t>
        </is>
      </c>
      <c r="AD39" t="inlineStr">
        <is>
          <t>VALDIVIA 220</t>
        </is>
      </c>
      <c r="AE39" t="n">
        <v>111.133</v>
      </c>
      <c r="AF39" t="n">
        <v>1.072776031070834</v>
      </c>
      <c r="AG39" t="n">
        <v>119.220818660995</v>
      </c>
      <c r="AH39" t="n">
        <v>694.38</v>
      </c>
      <c r="AI39" t="n">
        <v>0.875</v>
      </c>
      <c r="AJ39" t="n">
        <v>72.43648305409401</v>
      </c>
      <c r="AK39" t="n">
        <v>0.913</v>
      </c>
      <c r="AL39" t="n">
        <v>66.13500000000001</v>
      </c>
      <c r="AM39" t="n">
        <v>8.9176</v>
      </c>
      <c r="AN39" t="n">
        <v>9.566587534677272</v>
      </c>
      <c r="AO39" t="n">
        <v>0.913</v>
      </c>
      <c r="AP39" t="n">
        <v>6064.919358776563</v>
      </c>
      <c r="AQ39" t="n">
        <v>1.051287819142954</v>
      </c>
      <c r="AR39" t="n">
        <v>6375.9758</v>
      </c>
      <c r="AT39" t="inlineStr">
        <is>
          <t>PNP_19T_30-12-2020</t>
        </is>
      </c>
      <c r="AU39" t="inlineStr">
        <is>
          <t>PNCP_12T_10-08-2020</t>
        </is>
      </c>
      <c r="AV39" t="inlineStr">
        <is>
          <t>PNCP_4T_30-04-2013</t>
        </is>
      </c>
      <c r="AW39" t="inlineStr">
        <is>
          <t>VALDIVIA 220</t>
        </is>
      </c>
      <c r="AX39" t="n">
        <v>111.133</v>
      </c>
      <c r="AY39" t="n">
        <v>1.083385174100913</v>
      </c>
      <c r="AZ39" t="n">
        <v>120.3998445533567</v>
      </c>
      <c r="BA39" t="n">
        <v>801.49</v>
      </c>
      <c r="BB39" t="n">
        <v>0.905</v>
      </c>
      <c r="BC39" t="n">
        <v>87.33184062701827</v>
      </c>
      <c r="BD39" t="n">
        <v>0.8745000000000001</v>
      </c>
      <c r="BE39" t="n">
        <v>76.372</v>
      </c>
      <c r="BF39" t="n">
        <v>8.9176</v>
      </c>
      <c r="BG39" t="n">
        <v>0.77</v>
      </c>
      <c r="BH39" t="n">
        <v>5962.380796939026</v>
      </c>
      <c r="BI39" t="n">
        <v>1.148014846473962</v>
      </c>
      <c r="BJ39" t="n">
        <v>6844.9017</v>
      </c>
    </row>
    <row r="40">
      <c r="A40" t="n">
        <v>1981</v>
      </c>
      <c r="B40" t="inlineStr">
        <is>
          <t>01-01-2021</t>
        </is>
      </c>
      <c r="C40" t="n">
        <v>2021</v>
      </c>
      <c r="D40" t="n">
        <v>1</v>
      </c>
      <c r="E40" t="inlineStr">
        <is>
          <t>CAREN</t>
        </is>
      </c>
      <c r="F40" t="inlineStr">
        <is>
          <t>SUM_SAESA_A</t>
        </is>
      </c>
      <c r="G40" t="inlineStr">
        <is>
          <t>A</t>
        </is>
      </c>
      <c r="H40" t="inlineStr">
        <is>
          <t>SAESA</t>
        </is>
      </c>
      <c r="I40" t="inlineStr">
        <is>
          <t>SAESLONCBLOQA</t>
        </is>
      </c>
      <c r="J40" t="inlineStr">
        <is>
          <t>LONCOCHE2</t>
        </is>
      </c>
      <c r="K40" t="n">
        <v>-4763.68200813</v>
      </c>
      <c r="L40" t="inlineStr">
        <is>
          <t>LONCOCHE</t>
        </is>
      </c>
      <c r="M40" t="inlineStr">
        <is>
          <t>CAUTÍN</t>
        </is>
      </c>
      <c r="N40" t="n">
        <v>0.14466350564106</v>
      </c>
      <c r="O40" t="n">
        <v>689.130939</v>
      </c>
      <c r="P40" t="inlineStr">
        <is>
          <t>BS1A</t>
        </is>
      </c>
      <c r="Q40" t="n">
        <v>2</v>
      </c>
      <c r="W40" t="n">
        <v>2</v>
      </c>
      <c r="X40" t="n">
        <v>0</v>
      </c>
      <c r="AA40" t="inlineStr">
        <is>
          <t>PNP_6T_08-05-2020</t>
        </is>
      </c>
      <c r="AB40" t="inlineStr">
        <is>
          <t>PNCP_9T_12-08-2019</t>
        </is>
      </c>
      <c r="AC40" t="inlineStr">
        <is>
          <t>PNCP_4T_30-04-2013</t>
        </is>
      </c>
      <c r="AD40" t="inlineStr">
        <is>
          <t>CAUTÍN 220</t>
        </is>
      </c>
      <c r="AE40" t="n">
        <v>111.133</v>
      </c>
      <c r="AF40" t="n">
        <v>1.072776031070834</v>
      </c>
      <c r="AG40" t="n">
        <v>119.220818660995</v>
      </c>
      <c r="AH40" t="n">
        <v>694.38</v>
      </c>
      <c r="AI40" t="n">
        <v>0.875</v>
      </c>
      <c r="AJ40" t="n">
        <v>72.43648305409401</v>
      </c>
      <c r="AK40" t="n">
        <v>0.9214</v>
      </c>
      <c r="AL40" t="n">
        <v>66.74299999999999</v>
      </c>
      <c r="AM40" t="n">
        <v>8.9176</v>
      </c>
      <c r="AN40" t="n">
        <v>9.566587534677272</v>
      </c>
      <c r="AO40" t="n">
        <v>0.913</v>
      </c>
      <c r="AP40" t="n">
        <v>6064.919358776563</v>
      </c>
      <c r="AQ40" t="n">
        <v>1.04671516253694</v>
      </c>
      <c r="AR40" t="n">
        <v>6348.2431</v>
      </c>
      <c r="AT40" t="inlineStr">
        <is>
          <t>PNP_19T_30-12-2020</t>
        </is>
      </c>
      <c r="AU40" t="inlineStr">
        <is>
          <t>PNCP_12T_10-08-2020</t>
        </is>
      </c>
      <c r="AV40" t="inlineStr">
        <is>
          <t>PNCP_4T_30-04-2013</t>
        </is>
      </c>
      <c r="AW40" t="inlineStr">
        <is>
          <t>CAUTÍN 220</t>
        </is>
      </c>
      <c r="AX40" t="n">
        <v>111.133</v>
      </c>
      <c r="AY40" t="n">
        <v>1.083385174100913</v>
      </c>
      <c r="AZ40" t="n">
        <v>120.3998445533567</v>
      </c>
      <c r="BA40" t="n">
        <v>801.49</v>
      </c>
      <c r="BB40" t="n">
        <v>0.905</v>
      </c>
      <c r="BC40" t="n">
        <v>87.33184062701827</v>
      </c>
      <c r="BD40" t="n">
        <v>0.9008</v>
      </c>
      <c r="BE40" t="n">
        <v>78.669</v>
      </c>
      <c r="BF40" t="n">
        <v>8.9176</v>
      </c>
      <c r="BG40" t="n">
        <v>0.77</v>
      </c>
      <c r="BH40" t="n">
        <v>5962.380796939026</v>
      </c>
      <c r="BI40" t="n">
        <v>0.9997726756080928</v>
      </c>
      <c r="BJ40" t="n">
        <v>5961.0254</v>
      </c>
    </row>
    <row r="41">
      <c r="A41" t="n">
        <v>1983</v>
      </c>
      <c r="B41" t="inlineStr">
        <is>
          <t>01-01-2021</t>
        </is>
      </c>
      <c r="C41" t="n">
        <v>2021</v>
      </c>
      <c r="D41" t="n">
        <v>1</v>
      </c>
      <c r="E41" t="inlineStr">
        <is>
          <t>CAREN</t>
        </is>
      </c>
      <c r="F41" t="inlineStr">
        <is>
          <t>SUM_SAESA_A</t>
        </is>
      </c>
      <c r="G41" t="inlineStr">
        <is>
          <t>A</t>
        </is>
      </c>
      <c r="H41" t="inlineStr">
        <is>
          <t>SAESA</t>
        </is>
      </c>
      <c r="I41" t="inlineStr">
        <is>
          <t>SAESLONCBLOQA</t>
        </is>
      </c>
      <c r="J41" t="inlineStr">
        <is>
          <t>LONCOCHE2</t>
        </is>
      </c>
      <c r="K41" t="n">
        <v>-4763.68200813</v>
      </c>
      <c r="L41" t="inlineStr">
        <is>
          <t>LONCOCHE</t>
        </is>
      </c>
      <c r="M41" t="inlineStr">
        <is>
          <t>CHARRUA</t>
        </is>
      </c>
      <c r="N41" t="n">
        <v>0.04479645833059</v>
      </c>
      <c r="O41" t="n">
        <v>213.396083</v>
      </c>
      <c r="P41" t="inlineStr">
        <is>
          <t>BS1A</t>
        </is>
      </c>
      <c r="Q41" t="n">
        <v>2</v>
      </c>
      <c r="W41" t="n">
        <v>2</v>
      </c>
      <c r="X41" t="n">
        <v>0</v>
      </c>
      <c r="AA41" t="inlineStr">
        <is>
          <t>PNP_6T_08-05-2020</t>
        </is>
      </c>
      <c r="AB41" t="inlineStr">
        <is>
          <t>PNCP_9T_12-08-2019</t>
        </is>
      </c>
      <c r="AC41" t="inlineStr">
        <is>
          <t>PNCP_4T_30-04-2013</t>
        </is>
      </c>
      <c r="AD41" t="inlineStr">
        <is>
          <t>CHARRUA 220</t>
        </is>
      </c>
      <c r="AE41" t="n">
        <v>111.133</v>
      </c>
      <c r="AF41" t="n">
        <v>1.072776031070834</v>
      </c>
      <c r="AG41" t="n">
        <v>119.220818660995</v>
      </c>
      <c r="AH41" t="n">
        <v>694.38</v>
      </c>
      <c r="AI41" t="n">
        <v>0.875</v>
      </c>
      <c r="AJ41" t="n">
        <v>72.43648305409401</v>
      </c>
      <c r="AK41" t="n">
        <v>0.9350000000000001</v>
      </c>
      <c r="AL41" t="n">
        <v>67.72799999999999</v>
      </c>
      <c r="AM41" t="n">
        <v>8.9176</v>
      </c>
      <c r="AN41" t="n">
        <v>9.566587534677272</v>
      </c>
      <c r="AO41" t="n">
        <v>0.913</v>
      </c>
      <c r="AP41" t="n">
        <v>6064.919358776563</v>
      </c>
      <c r="AQ41" t="n">
        <v>1.096171586715867</v>
      </c>
      <c r="AR41" t="n">
        <v>6648.1923</v>
      </c>
      <c r="AT41" t="inlineStr">
        <is>
          <t>PNP_19T_30-12-2020</t>
        </is>
      </c>
      <c r="AU41" t="inlineStr">
        <is>
          <t>PNCP_12T_10-08-2020</t>
        </is>
      </c>
      <c r="AV41" t="inlineStr">
        <is>
          <t>PNCP_4T_30-04-2013</t>
        </is>
      </c>
      <c r="AW41" t="inlineStr">
        <is>
          <t>CHARRUA 220</t>
        </is>
      </c>
      <c r="AX41" t="n">
        <v>111.133</v>
      </c>
      <c r="AY41" t="n">
        <v>1.083385174100913</v>
      </c>
      <c r="AZ41" t="n">
        <v>120.3998445533567</v>
      </c>
      <c r="BA41" t="n">
        <v>801.49</v>
      </c>
      <c r="BB41" t="n">
        <v>0.905</v>
      </c>
      <c r="BC41" t="n">
        <v>87.33184062701827</v>
      </c>
      <c r="BD41" t="n">
        <v>0.8997000000000001</v>
      </c>
      <c r="BE41" t="n">
        <v>78.572</v>
      </c>
      <c r="BF41" t="n">
        <v>8.9176</v>
      </c>
      <c r="BG41" t="n">
        <v>0.77</v>
      </c>
      <c r="BH41" t="n">
        <v>5962.380796939026</v>
      </c>
      <c r="BI41" t="n">
        <v>1.026176199261993</v>
      </c>
      <c r="BJ41" t="n">
        <v>6118.4533</v>
      </c>
    </row>
    <row r="42">
      <c r="A42" t="n">
        <v>1985</v>
      </c>
      <c r="B42" t="inlineStr">
        <is>
          <t>01-01-2021</t>
        </is>
      </c>
      <c r="C42" t="n">
        <v>2021</v>
      </c>
      <c r="D42" t="n">
        <v>1</v>
      </c>
      <c r="E42" t="inlineStr">
        <is>
          <t>CAREN</t>
        </is>
      </c>
      <c r="F42" t="inlineStr">
        <is>
          <t>SUM_SAESA_A</t>
        </is>
      </c>
      <c r="G42" t="inlineStr">
        <is>
          <t>A</t>
        </is>
      </c>
      <c r="H42" t="inlineStr">
        <is>
          <t>SAESA</t>
        </is>
      </c>
      <c r="I42" t="inlineStr">
        <is>
          <t>SAESLONCBLOQA</t>
        </is>
      </c>
      <c r="J42" t="inlineStr">
        <is>
          <t>LONCOCHE2</t>
        </is>
      </c>
      <c r="K42" t="n">
        <v>-4763.68200813</v>
      </c>
      <c r="L42" t="inlineStr">
        <is>
          <t>LONCOCHE</t>
        </is>
      </c>
      <c r="M42" t="inlineStr">
        <is>
          <t>TEMUCO</t>
        </is>
      </c>
      <c r="N42" t="n">
        <v>0.81998113373673</v>
      </c>
      <c r="O42" t="n">
        <v>3906.129374</v>
      </c>
      <c r="P42" t="inlineStr">
        <is>
          <t>BS1A</t>
        </is>
      </c>
      <c r="Q42" t="n">
        <v>2</v>
      </c>
      <c r="W42" t="n">
        <v>2</v>
      </c>
      <c r="X42" t="n">
        <v>0</v>
      </c>
      <c r="AA42" t="inlineStr">
        <is>
          <t>PNP_6T_08-05-2020</t>
        </is>
      </c>
      <c r="AB42" t="inlineStr">
        <is>
          <t>PNCP_9T_12-08-2019</t>
        </is>
      </c>
      <c r="AC42" t="inlineStr">
        <is>
          <t>PNCP_4T_30-04-2013</t>
        </is>
      </c>
      <c r="AD42" t="inlineStr">
        <is>
          <t>TEMUCO 220</t>
        </is>
      </c>
      <c r="AE42" t="n">
        <v>111.133</v>
      </c>
      <c r="AF42" t="n">
        <v>1.072776031070834</v>
      </c>
      <c r="AG42" t="n">
        <v>119.220818660995</v>
      </c>
      <c r="AH42" t="n">
        <v>694.38</v>
      </c>
      <c r="AI42" t="n">
        <v>0.875</v>
      </c>
      <c r="AJ42" t="n">
        <v>72.43648305409401</v>
      </c>
      <c r="AK42" t="n">
        <v>0.9159</v>
      </c>
      <c r="AL42" t="n">
        <v>66.345</v>
      </c>
      <c r="AM42" t="n">
        <v>8.9176</v>
      </c>
      <c r="AN42" t="n">
        <v>9.566587534677272</v>
      </c>
      <c r="AO42" t="n">
        <v>0.913</v>
      </c>
      <c r="AP42" t="n">
        <v>6064.919358776563</v>
      </c>
      <c r="AQ42" t="n">
        <v>1.043187485830877</v>
      </c>
      <c r="AR42" t="n">
        <v>6326.848</v>
      </c>
      <c r="AT42" t="inlineStr">
        <is>
          <t>PNP_19T_30-12-2020</t>
        </is>
      </c>
      <c r="AU42" t="inlineStr">
        <is>
          <t>PNCP_12T_10-08-2020</t>
        </is>
      </c>
      <c r="AV42" t="inlineStr">
        <is>
          <t>PNCP_4T_30-04-2013</t>
        </is>
      </c>
      <c r="AW42" t="inlineStr">
        <is>
          <t>TEMUCO 220</t>
        </is>
      </c>
      <c r="AX42" t="n">
        <v>111.133</v>
      </c>
      <c r="AY42" t="n">
        <v>1.083385174100913</v>
      </c>
      <c r="AZ42" t="n">
        <v>120.3998445533567</v>
      </c>
      <c r="BA42" t="n">
        <v>801.49</v>
      </c>
      <c r="BB42" t="n">
        <v>0.905</v>
      </c>
      <c r="BC42" t="n">
        <v>87.33184062701827</v>
      </c>
      <c r="BD42" t="n">
        <v>0.8882</v>
      </c>
      <c r="BE42" t="n">
        <v>77.568</v>
      </c>
      <c r="BF42" t="n">
        <v>8.9176</v>
      </c>
      <c r="BG42" t="n">
        <v>0.77</v>
      </c>
      <c r="BH42" t="n">
        <v>5962.380796939026</v>
      </c>
      <c r="BI42" t="n">
        <v>0.9902516436182273</v>
      </c>
      <c r="BJ42" t="n">
        <v>5904.2574</v>
      </c>
    </row>
    <row r="43">
      <c r="A43" t="n">
        <v>4039</v>
      </c>
      <c r="B43" t="inlineStr">
        <is>
          <t>01-01-2021</t>
        </is>
      </c>
      <c r="C43" t="n">
        <v>2021</v>
      </c>
      <c r="D43" t="n">
        <v>1</v>
      </c>
      <c r="E43" t="inlineStr">
        <is>
          <t>CAREN</t>
        </is>
      </c>
      <c r="F43" t="inlineStr">
        <is>
          <t>SUM_SAESA_A</t>
        </is>
      </c>
      <c r="G43" t="inlineStr">
        <is>
          <t>A</t>
        </is>
      </c>
      <c r="H43" t="inlineStr">
        <is>
          <t>SAESA</t>
        </is>
      </c>
      <c r="I43" t="inlineStr">
        <is>
          <t>SAESLTAMBLOQA</t>
        </is>
      </c>
      <c r="J43" t="inlineStr">
        <is>
          <t>LOS_TAMBORES</t>
        </is>
      </c>
      <c r="K43" t="n">
        <v>-3370.18649038</v>
      </c>
      <c r="L43" t="inlineStr">
        <is>
          <t>LOS TAMBORES</t>
        </is>
      </c>
      <c r="M43" t="inlineStr">
        <is>
          <t>BARRO BLANCO</t>
        </is>
      </c>
      <c r="N43" t="n">
        <v>0.75545534124308</v>
      </c>
      <c r="O43" t="n">
        <v>2546.025385</v>
      </c>
      <c r="P43" t="inlineStr">
        <is>
          <t>BS1A</t>
        </is>
      </c>
      <c r="Q43" t="n">
        <v>2</v>
      </c>
      <c r="W43" t="n">
        <v>2</v>
      </c>
      <c r="X43" t="n">
        <v>0</v>
      </c>
      <c r="AA43" t="inlineStr">
        <is>
          <t>PNP_6T_08-05-2020</t>
        </is>
      </c>
      <c r="AB43" t="inlineStr">
        <is>
          <t>PNCP_9T_12-08-2019</t>
        </is>
      </c>
      <c r="AC43" t="inlineStr">
        <is>
          <t>PNCP_4T_30-04-2013</t>
        </is>
      </c>
      <c r="AD43" t="inlineStr">
        <is>
          <t>Barro Blanco 220</t>
        </is>
      </c>
      <c r="AE43" t="n">
        <v>111.133</v>
      </c>
      <c r="AF43" t="n">
        <v>1.072776031070834</v>
      </c>
      <c r="AG43" t="n">
        <v>119.220818660995</v>
      </c>
      <c r="AH43" t="n">
        <v>694.38</v>
      </c>
      <c r="AI43" t="n">
        <v>0.875</v>
      </c>
      <c r="AJ43" t="n">
        <v>72.43648305409401</v>
      </c>
      <c r="AK43" t="n">
        <v>0.8631</v>
      </c>
      <c r="AL43" t="n">
        <v>62.52</v>
      </c>
      <c r="AM43" t="n">
        <v>8.9176</v>
      </c>
      <c r="AN43" t="n">
        <v>9.566587534677272</v>
      </c>
      <c r="AO43" t="n">
        <v>0.913</v>
      </c>
      <c r="AP43" t="n">
        <v>6064.919358776563</v>
      </c>
      <c r="AQ43" t="n">
        <v>1.004432825642191</v>
      </c>
      <c r="AR43" t="n">
        <v>6091.8041</v>
      </c>
      <c r="AT43" t="inlineStr">
        <is>
          <t>PNP_19T_30-12-2020</t>
        </is>
      </c>
      <c r="AU43" t="inlineStr">
        <is>
          <t>PNCP_12T_10-08-2020</t>
        </is>
      </c>
      <c r="AV43" t="inlineStr">
        <is>
          <t>PNCP_4T_30-04-2013</t>
        </is>
      </c>
      <c r="AW43" t="inlineStr">
        <is>
          <t>Barro Blanco 220</t>
        </is>
      </c>
      <c r="AX43" t="n">
        <v>111.133</v>
      </c>
      <c r="AY43" t="n">
        <v>1.083385174100913</v>
      </c>
      <c r="AZ43" t="n">
        <v>120.3998445533567</v>
      </c>
      <c r="BA43" t="n">
        <v>801.49</v>
      </c>
      <c r="BB43" t="n">
        <v>0.905</v>
      </c>
      <c r="BC43" t="n">
        <v>87.33184062701827</v>
      </c>
      <c r="BD43" t="n">
        <v>0.7946</v>
      </c>
      <c r="BE43" t="n">
        <v>69.39400000000001</v>
      </c>
      <c r="BF43" t="n">
        <v>8.9176</v>
      </c>
      <c r="BG43" t="n">
        <v>0.77</v>
      </c>
      <c r="BH43" t="n">
        <v>5962.380796939026</v>
      </c>
      <c r="BI43" t="n">
        <v>1.047283473516708</v>
      </c>
      <c r="BJ43" t="n">
        <v>6244.3029</v>
      </c>
    </row>
    <row r="44">
      <c r="A44" t="n">
        <v>4041</v>
      </c>
      <c r="B44" t="inlineStr">
        <is>
          <t>01-01-2021</t>
        </is>
      </c>
      <c r="C44" t="n">
        <v>2021</v>
      </c>
      <c r="D44" t="n">
        <v>1</v>
      </c>
      <c r="E44" t="inlineStr">
        <is>
          <t>CAREN</t>
        </is>
      </c>
      <c r="F44" t="inlineStr">
        <is>
          <t>SUM_SAESA_A</t>
        </is>
      </c>
      <c r="G44" t="inlineStr">
        <is>
          <t>A</t>
        </is>
      </c>
      <c r="H44" t="inlineStr">
        <is>
          <t>SAESA</t>
        </is>
      </c>
      <c r="I44" t="inlineStr">
        <is>
          <t>SAESLTAMBLOQA</t>
        </is>
      </c>
      <c r="J44" t="inlineStr">
        <is>
          <t>LOS_TAMBORES</t>
        </is>
      </c>
      <c r="K44" t="n">
        <v>-3370.18649038</v>
      </c>
      <c r="L44" t="inlineStr">
        <is>
          <t>LOS TAMBORES</t>
        </is>
      </c>
      <c r="M44" t="inlineStr">
        <is>
          <t>MELIPULLI</t>
        </is>
      </c>
      <c r="N44" t="n">
        <v>0.04254585600052</v>
      </c>
      <c r="O44" t="n">
        <v>143.387469</v>
      </c>
      <c r="P44" t="inlineStr">
        <is>
          <t>BS1A</t>
        </is>
      </c>
      <c r="Q44" t="n">
        <v>2</v>
      </c>
      <c r="W44" t="n">
        <v>2</v>
      </c>
      <c r="X44" t="n">
        <v>0</v>
      </c>
      <c r="AA44" t="inlineStr">
        <is>
          <t>PNP_6T_08-05-2020</t>
        </is>
      </c>
      <c r="AB44" t="inlineStr">
        <is>
          <t>PNCP_9T_12-08-2019</t>
        </is>
      </c>
      <c r="AC44" t="inlineStr">
        <is>
          <t>PNCP_4T_30-04-2013</t>
        </is>
      </c>
      <c r="AD44" t="inlineStr">
        <is>
          <t>MELIPULLI 220</t>
        </is>
      </c>
      <c r="AE44" t="n">
        <v>111.133</v>
      </c>
      <c r="AF44" t="n">
        <v>1.072776031070834</v>
      </c>
      <c r="AG44" t="n">
        <v>119.220818660995</v>
      </c>
      <c r="AH44" t="n">
        <v>694.38</v>
      </c>
      <c r="AI44" t="n">
        <v>0.875</v>
      </c>
      <c r="AJ44" t="n">
        <v>72.43648305409401</v>
      </c>
      <c r="AK44" t="n">
        <v>0.8826000000000001</v>
      </c>
      <c r="AL44" t="n">
        <v>63.932</v>
      </c>
      <c r="AM44" t="n">
        <v>8.9176</v>
      </c>
      <c r="AN44" t="n">
        <v>9.566587534677272</v>
      </c>
      <c r="AO44" t="n">
        <v>0.913</v>
      </c>
      <c r="AP44" t="n">
        <v>6064.919358776563</v>
      </c>
      <c r="AQ44" t="n">
        <v>1</v>
      </c>
      <c r="AR44" t="n">
        <v>6064.9194</v>
      </c>
      <c r="AT44" t="inlineStr">
        <is>
          <t>PNP_19T_30-12-2020</t>
        </is>
      </c>
      <c r="AU44" t="inlineStr">
        <is>
          <t>PNCP_12T_10-08-2020</t>
        </is>
      </c>
      <c r="AV44" t="inlineStr">
        <is>
          <t>PNCP_4T_30-04-2013</t>
        </is>
      </c>
      <c r="AW44" t="inlineStr">
        <is>
          <t>MELIPULLI 220</t>
        </is>
      </c>
      <c r="AX44" t="n">
        <v>111.133</v>
      </c>
      <c r="AY44" t="n">
        <v>1.083385174100913</v>
      </c>
      <c r="AZ44" t="n">
        <v>120.3998445533567</v>
      </c>
      <c r="BA44" t="n">
        <v>801.49</v>
      </c>
      <c r="BB44" t="n">
        <v>0.905</v>
      </c>
      <c r="BC44" t="n">
        <v>87.33184062701827</v>
      </c>
      <c r="BD44" t="n">
        <v>0.7824</v>
      </c>
      <c r="BE44" t="n">
        <v>68.328</v>
      </c>
      <c r="BF44" t="n">
        <v>8.9176</v>
      </c>
      <c r="BG44" t="n">
        <v>0.77</v>
      </c>
      <c r="BH44" t="n">
        <v>5962.380796939026</v>
      </c>
      <c r="BI44" t="n">
        <v>1</v>
      </c>
      <c r="BJ44" t="n">
        <v>5962.3808</v>
      </c>
    </row>
    <row r="45">
      <c r="A45" t="n">
        <v>4043</v>
      </c>
      <c r="B45" t="inlineStr">
        <is>
          <t>01-01-2021</t>
        </is>
      </c>
      <c r="C45" t="n">
        <v>2021</v>
      </c>
      <c r="D45" t="n">
        <v>1</v>
      </c>
      <c r="E45" t="inlineStr">
        <is>
          <t>CAREN</t>
        </is>
      </c>
      <c r="F45" t="inlineStr">
        <is>
          <t>SUM_SAESA_A</t>
        </is>
      </c>
      <c r="G45" t="inlineStr">
        <is>
          <t>A</t>
        </is>
      </c>
      <c r="H45" t="inlineStr">
        <is>
          <t>SAESA</t>
        </is>
      </c>
      <c r="I45" t="inlineStr">
        <is>
          <t>SAESLTAMBLOQA</t>
        </is>
      </c>
      <c r="J45" t="inlineStr">
        <is>
          <t>LOS_TAMBORES</t>
        </is>
      </c>
      <c r="K45" t="n">
        <v>-3370.18649038</v>
      </c>
      <c r="L45" t="inlineStr">
        <is>
          <t>LOS TAMBORES</t>
        </is>
      </c>
      <c r="M45" t="inlineStr">
        <is>
          <t>VALDIVIA</t>
        </is>
      </c>
      <c r="N45" t="n">
        <v>0.15079558340347</v>
      </c>
      <c r="O45" t="n">
        <v>508.209238</v>
      </c>
      <c r="P45" t="inlineStr">
        <is>
          <t>BS1A</t>
        </is>
      </c>
      <c r="Q45" t="n">
        <v>2</v>
      </c>
      <c r="W45" t="n">
        <v>2</v>
      </c>
      <c r="X45" t="n">
        <v>0</v>
      </c>
      <c r="AA45" t="inlineStr">
        <is>
          <t>PNP_6T_08-05-2020</t>
        </is>
      </c>
      <c r="AB45" t="inlineStr">
        <is>
          <t>PNCP_9T_12-08-2019</t>
        </is>
      </c>
      <c r="AC45" t="inlineStr">
        <is>
          <t>PNCP_4T_30-04-2013</t>
        </is>
      </c>
      <c r="AD45" t="inlineStr">
        <is>
          <t>VALDIVIA 220</t>
        </is>
      </c>
      <c r="AE45" t="n">
        <v>111.133</v>
      </c>
      <c r="AF45" t="n">
        <v>1.072776031070834</v>
      </c>
      <c r="AG45" t="n">
        <v>119.220818660995</v>
      </c>
      <c r="AH45" t="n">
        <v>694.38</v>
      </c>
      <c r="AI45" t="n">
        <v>0.875</v>
      </c>
      <c r="AJ45" t="n">
        <v>72.43648305409401</v>
      </c>
      <c r="AK45" t="n">
        <v>0.913</v>
      </c>
      <c r="AL45" t="n">
        <v>66.13500000000001</v>
      </c>
      <c r="AM45" t="n">
        <v>8.9176</v>
      </c>
      <c r="AN45" t="n">
        <v>9.566587534677272</v>
      </c>
      <c r="AO45" t="n">
        <v>0.913</v>
      </c>
      <c r="AP45" t="n">
        <v>6064.919358776563</v>
      </c>
      <c r="AQ45" t="n">
        <v>1.051287819142954</v>
      </c>
      <c r="AR45" t="n">
        <v>6375.9758</v>
      </c>
      <c r="AT45" t="inlineStr">
        <is>
          <t>PNP_19T_30-12-2020</t>
        </is>
      </c>
      <c r="AU45" t="inlineStr">
        <is>
          <t>PNCP_12T_10-08-2020</t>
        </is>
      </c>
      <c r="AV45" t="inlineStr">
        <is>
          <t>PNCP_4T_30-04-2013</t>
        </is>
      </c>
      <c r="AW45" t="inlineStr">
        <is>
          <t>VALDIVIA 220</t>
        </is>
      </c>
      <c r="AX45" t="n">
        <v>111.133</v>
      </c>
      <c r="AY45" t="n">
        <v>1.083385174100913</v>
      </c>
      <c r="AZ45" t="n">
        <v>120.3998445533567</v>
      </c>
      <c r="BA45" t="n">
        <v>801.49</v>
      </c>
      <c r="BB45" t="n">
        <v>0.905</v>
      </c>
      <c r="BC45" t="n">
        <v>87.33184062701827</v>
      </c>
      <c r="BD45" t="n">
        <v>0.8745000000000001</v>
      </c>
      <c r="BE45" t="n">
        <v>76.372</v>
      </c>
      <c r="BF45" t="n">
        <v>8.9176</v>
      </c>
      <c r="BG45" t="n">
        <v>0.77</v>
      </c>
      <c r="BH45" t="n">
        <v>5962.380796939026</v>
      </c>
      <c r="BI45" t="n">
        <v>1.148014846473962</v>
      </c>
      <c r="BJ45" t="n">
        <v>6844.9017</v>
      </c>
    </row>
    <row r="46">
      <c r="A46" t="n">
        <v>661</v>
      </c>
      <c r="B46" t="inlineStr">
        <is>
          <t>01-01-2021</t>
        </is>
      </c>
      <c r="C46" t="n">
        <v>2021</v>
      </c>
      <c r="D46" t="n">
        <v>1</v>
      </c>
      <c r="E46" t="inlineStr">
        <is>
          <t>CAREN</t>
        </is>
      </c>
      <c r="F46" t="inlineStr">
        <is>
          <t>SUM_SAESA_A</t>
        </is>
      </c>
      <c r="G46" t="inlineStr">
        <is>
          <t>A</t>
        </is>
      </c>
      <c r="H46" t="inlineStr">
        <is>
          <t>SAESA</t>
        </is>
      </c>
      <c r="I46" t="inlineStr">
        <is>
          <t>SAESMARIBLOQA</t>
        </is>
      </c>
      <c r="J46" t="inlineStr">
        <is>
          <t>MARIQUINA</t>
        </is>
      </c>
      <c r="K46" t="n">
        <v>-2933.67906558</v>
      </c>
      <c r="L46" t="inlineStr">
        <is>
          <t>MARIQUINA</t>
        </is>
      </c>
      <c r="M46" t="inlineStr">
        <is>
          <t>LOS CIRUELOS</t>
        </is>
      </c>
      <c r="N46" t="n">
        <v>0.8657261296708</v>
      </c>
      <c r="O46" t="n">
        <v>2539.762623</v>
      </c>
      <c r="P46" t="inlineStr">
        <is>
          <t>BS1A</t>
        </is>
      </c>
      <c r="Q46" t="n">
        <v>2</v>
      </c>
      <c r="W46" t="n">
        <v>2</v>
      </c>
      <c r="X46" t="n">
        <v>0</v>
      </c>
    </row>
    <row r="47">
      <c r="A47" t="n">
        <v>5209</v>
      </c>
      <c r="B47" t="inlineStr">
        <is>
          <t>01-01-2021</t>
        </is>
      </c>
      <c r="C47" t="n">
        <v>2021</v>
      </c>
      <c r="D47" t="n">
        <v>1</v>
      </c>
      <c r="E47" t="inlineStr">
        <is>
          <t>CAREN</t>
        </is>
      </c>
      <c r="F47" t="inlineStr">
        <is>
          <t>SUM_SAESA_A</t>
        </is>
      </c>
      <c r="G47" t="inlineStr">
        <is>
          <t>A</t>
        </is>
      </c>
      <c r="H47" t="inlineStr">
        <is>
          <t>SAESA</t>
        </is>
      </c>
      <c r="I47" t="inlineStr">
        <is>
          <t>SAESMELIBLOQA</t>
        </is>
      </c>
      <c r="J47" t="inlineStr">
        <is>
          <t>MELIPULLI</t>
        </is>
      </c>
      <c r="K47" t="n">
        <v>-35284.12581075</v>
      </c>
      <c r="L47" t="inlineStr">
        <is>
          <t>MELIPULLI</t>
        </is>
      </c>
      <c r="M47" t="inlineStr">
        <is>
          <t>Barro Blanco</t>
        </is>
      </c>
      <c r="N47" t="n">
        <v>0.01002306488906</v>
      </c>
      <c r="O47" t="n">
        <v>353.655083</v>
      </c>
      <c r="P47" t="inlineStr">
        <is>
          <t>BS1A</t>
        </is>
      </c>
      <c r="Q47" t="n">
        <v>2</v>
      </c>
      <c r="W47" t="n">
        <v>2</v>
      </c>
      <c r="X47" t="n">
        <v>0</v>
      </c>
      <c r="AA47" t="inlineStr">
        <is>
          <t>PNP_6T_08-05-2020</t>
        </is>
      </c>
      <c r="AB47" t="inlineStr">
        <is>
          <t>PNCP_9T_12-08-2019</t>
        </is>
      </c>
      <c r="AC47" t="inlineStr">
        <is>
          <t>PNCP_4T_30-04-2013</t>
        </is>
      </c>
      <c r="AD47" t="inlineStr">
        <is>
          <t>Barro Blanco 220</t>
        </is>
      </c>
      <c r="AE47" t="n">
        <v>111.133</v>
      </c>
      <c r="AF47" t="n">
        <v>1.072776031070834</v>
      </c>
      <c r="AG47" t="n">
        <v>119.220818660995</v>
      </c>
      <c r="AH47" t="n">
        <v>694.38</v>
      </c>
      <c r="AI47" t="n">
        <v>0.875</v>
      </c>
      <c r="AJ47" t="n">
        <v>72.43648305409401</v>
      </c>
      <c r="AK47" t="n">
        <v>0.8631</v>
      </c>
      <c r="AL47" t="n">
        <v>62.52</v>
      </c>
      <c r="AM47" t="n">
        <v>8.9176</v>
      </c>
      <c r="AN47" t="n">
        <v>9.566587534677272</v>
      </c>
      <c r="AO47" t="n">
        <v>0.913</v>
      </c>
      <c r="AP47" t="n">
        <v>6064.919358776563</v>
      </c>
      <c r="AQ47" t="n">
        <v>1.004432825642191</v>
      </c>
      <c r="AR47" t="n">
        <v>6091.8041</v>
      </c>
      <c r="AT47" t="inlineStr">
        <is>
          <t>PNP_19T_30-12-2020</t>
        </is>
      </c>
      <c r="AU47" t="inlineStr">
        <is>
          <t>PNCP_12T_10-08-2020</t>
        </is>
      </c>
      <c r="AV47" t="inlineStr">
        <is>
          <t>PNCP_4T_30-04-2013</t>
        </is>
      </c>
      <c r="AW47" t="inlineStr">
        <is>
          <t>Barro Blanco 220</t>
        </is>
      </c>
      <c r="AX47" t="n">
        <v>111.133</v>
      </c>
      <c r="AY47" t="n">
        <v>1.083385174100913</v>
      </c>
      <c r="AZ47" t="n">
        <v>120.3998445533567</v>
      </c>
      <c r="BA47" t="n">
        <v>801.49</v>
      </c>
      <c r="BB47" t="n">
        <v>0.905</v>
      </c>
      <c r="BC47" t="n">
        <v>87.33184062701827</v>
      </c>
      <c r="BD47" t="n">
        <v>0.7946</v>
      </c>
      <c r="BE47" t="n">
        <v>69.39400000000001</v>
      </c>
      <c r="BF47" t="n">
        <v>8.9176</v>
      </c>
      <c r="BG47" t="n">
        <v>0.77</v>
      </c>
      <c r="BH47" t="n">
        <v>5962.380796939026</v>
      </c>
      <c r="BI47" t="n">
        <v>1.047283473516708</v>
      </c>
      <c r="BJ47" t="n">
        <v>6244.3029</v>
      </c>
    </row>
    <row r="48">
      <c r="A48" t="n">
        <v>5211</v>
      </c>
      <c r="B48" t="inlineStr">
        <is>
          <t>01-01-2021</t>
        </is>
      </c>
      <c r="C48" t="n">
        <v>2021</v>
      </c>
      <c r="D48" t="n">
        <v>1</v>
      </c>
      <c r="E48" t="inlineStr">
        <is>
          <t>CAREN</t>
        </is>
      </c>
      <c r="F48" t="inlineStr">
        <is>
          <t>SUM_SAESA_A</t>
        </is>
      </c>
      <c r="G48" t="inlineStr">
        <is>
          <t>A</t>
        </is>
      </c>
      <c r="H48" t="inlineStr">
        <is>
          <t>SAESA</t>
        </is>
      </c>
      <c r="I48" t="inlineStr">
        <is>
          <t>SAESMELIBLOQA</t>
        </is>
      </c>
      <c r="J48" t="inlineStr">
        <is>
          <t>MELIPULLI</t>
        </is>
      </c>
      <c r="K48" t="n">
        <v>-35284.12581075</v>
      </c>
      <c r="L48" t="inlineStr">
        <is>
          <t>MELIPULLI</t>
        </is>
      </c>
      <c r="M48" t="inlineStr">
        <is>
          <t>MELIPULLI</t>
        </is>
      </c>
      <c r="N48" t="n">
        <v>0.76027818246183</v>
      </c>
      <c r="O48" t="n">
        <v>26825.751041</v>
      </c>
      <c r="P48" t="inlineStr">
        <is>
          <t>BS1A</t>
        </is>
      </c>
      <c r="Q48" t="n">
        <v>2</v>
      </c>
      <c r="W48" t="n">
        <v>2</v>
      </c>
      <c r="X48" t="n">
        <v>0</v>
      </c>
      <c r="AA48" t="inlineStr">
        <is>
          <t>PNP_6T_08-05-2020</t>
        </is>
      </c>
      <c r="AB48" t="inlineStr">
        <is>
          <t>PNCP_9T_12-08-2019</t>
        </is>
      </c>
      <c r="AC48" t="inlineStr">
        <is>
          <t>PNCP_4T_30-04-2013</t>
        </is>
      </c>
      <c r="AD48" t="inlineStr">
        <is>
          <t>MELIPULLI 220</t>
        </is>
      </c>
      <c r="AE48" t="n">
        <v>111.133</v>
      </c>
      <c r="AF48" t="n">
        <v>1.072776031070834</v>
      </c>
      <c r="AG48" t="n">
        <v>119.220818660995</v>
      </c>
      <c r="AH48" t="n">
        <v>694.38</v>
      </c>
      <c r="AI48" t="n">
        <v>0.875</v>
      </c>
      <c r="AJ48" t="n">
        <v>72.43648305409401</v>
      </c>
      <c r="AK48" t="n">
        <v>0.8826000000000001</v>
      </c>
      <c r="AL48" t="n">
        <v>63.932</v>
      </c>
      <c r="AM48" t="n">
        <v>8.9176</v>
      </c>
      <c r="AN48" t="n">
        <v>9.566587534677272</v>
      </c>
      <c r="AO48" t="n">
        <v>0.913</v>
      </c>
      <c r="AP48" t="n">
        <v>6064.919358776563</v>
      </c>
      <c r="AQ48" t="n">
        <v>1</v>
      </c>
      <c r="AR48" t="n">
        <v>6064.9194</v>
      </c>
      <c r="AT48" t="inlineStr">
        <is>
          <t>PNP_19T_30-12-2020</t>
        </is>
      </c>
      <c r="AU48" t="inlineStr">
        <is>
          <t>PNCP_12T_10-08-2020</t>
        </is>
      </c>
      <c r="AV48" t="inlineStr">
        <is>
          <t>PNCP_4T_30-04-2013</t>
        </is>
      </c>
      <c r="AW48" t="inlineStr">
        <is>
          <t>MELIPULLI 220</t>
        </is>
      </c>
      <c r="AX48" t="n">
        <v>111.133</v>
      </c>
      <c r="AY48" t="n">
        <v>1.083385174100913</v>
      </c>
      <c r="AZ48" t="n">
        <v>120.3998445533567</v>
      </c>
      <c r="BA48" t="n">
        <v>801.49</v>
      </c>
      <c r="BB48" t="n">
        <v>0.905</v>
      </c>
      <c r="BC48" t="n">
        <v>87.33184062701827</v>
      </c>
      <c r="BD48" t="n">
        <v>0.7824</v>
      </c>
      <c r="BE48" t="n">
        <v>68.328</v>
      </c>
      <c r="BF48" t="n">
        <v>8.9176</v>
      </c>
      <c r="BG48" t="n">
        <v>0.77</v>
      </c>
      <c r="BH48" t="n">
        <v>5962.380796939026</v>
      </c>
      <c r="BI48" t="n">
        <v>1</v>
      </c>
      <c r="BJ48" t="n">
        <v>5962.3808</v>
      </c>
    </row>
    <row r="49">
      <c r="A49" t="n">
        <v>5213</v>
      </c>
      <c r="B49" t="inlineStr">
        <is>
          <t>01-01-2021</t>
        </is>
      </c>
      <c r="C49" t="n">
        <v>2021</v>
      </c>
      <c r="D49" t="n">
        <v>1</v>
      </c>
      <c r="E49" t="inlineStr">
        <is>
          <t>CAREN</t>
        </is>
      </c>
      <c r="F49" t="inlineStr">
        <is>
          <t>SUM_SAESA_A</t>
        </is>
      </c>
      <c r="G49" t="inlineStr">
        <is>
          <t>A</t>
        </is>
      </c>
      <c r="H49" t="inlineStr">
        <is>
          <t>SAESA</t>
        </is>
      </c>
      <c r="I49" t="inlineStr">
        <is>
          <t>SAESMELIBLOQA</t>
        </is>
      </c>
      <c r="J49" t="inlineStr">
        <is>
          <t>MELIPULLI</t>
        </is>
      </c>
      <c r="K49" t="n">
        <v>-35284.12581075</v>
      </c>
      <c r="L49" t="inlineStr">
        <is>
          <t>MELIPULLI</t>
        </is>
      </c>
      <c r="M49" t="inlineStr">
        <is>
          <t>Puerto Montt</t>
        </is>
      </c>
      <c r="N49" t="n">
        <v>0.93811278134191</v>
      </c>
      <c r="O49" t="n">
        <v>33100.489402</v>
      </c>
      <c r="P49" t="inlineStr">
        <is>
          <t>BS1A</t>
        </is>
      </c>
      <c r="Q49" t="n">
        <v>2</v>
      </c>
      <c r="W49" t="n">
        <v>2</v>
      </c>
      <c r="X49" t="n">
        <v>0</v>
      </c>
      <c r="AA49" t="inlineStr">
        <is>
          <t>PNP_6T_08-05-2020</t>
        </is>
      </c>
      <c r="AB49" t="inlineStr">
        <is>
          <t>PNCP_9T_12-08-2019</t>
        </is>
      </c>
      <c r="AC49" t="inlineStr">
        <is>
          <t>PNCP_4T_30-04-2013</t>
        </is>
      </c>
      <c r="AD49" t="inlineStr">
        <is>
          <t>PUERTO MONTT 220</t>
        </is>
      </c>
      <c r="AE49" t="n">
        <v>111.133</v>
      </c>
      <c r="AF49" t="n">
        <v>1.072776031070834</v>
      </c>
      <c r="AG49" t="n">
        <v>119.220818660995</v>
      </c>
      <c r="AH49" t="n">
        <v>694.38</v>
      </c>
      <c r="AI49" t="n">
        <v>0.875</v>
      </c>
      <c r="AJ49" t="n">
        <v>72.43648305409401</v>
      </c>
      <c r="AK49" t="n">
        <v>0.8826000000000001</v>
      </c>
      <c r="AL49" t="n">
        <v>63.932</v>
      </c>
      <c r="AM49" t="n">
        <v>8.9176</v>
      </c>
      <c r="AN49" t="n">
        <v>9.566587534677272</v>
      </c>
      <c r="AO49" t="n">
        <v>0.913</v>
      </c>
      <c r="AP49" t="n">
        <v>6064.919358776563</v>
      </c>
      <c r="AQ49" t="n">
        <v>1.016858412119831</v>
      </c>
      <c r="AR49" t="n">
        <v>6167.1643</v>
      </c>
      <c r="AT49" t="inlineStr">
        <is>
          <t>PNP_19T_30-12-2020</t>
        </is>
      </c>
      <c r="AU49" t="inlineStr">
        <is>
          <t>PNCP_12T_10-08-2020</t>
        </is>
      </c>
      <c r="AV49" t="inlineStr">
        <is>
          <t>PNCP_4T_30-04-2013</t>
        </is>
      </c>
      <c r="AW49" t="inlineStr">
        <is>
          <t>PUERTO MONTT 220</t>
        </is>
      </c>
      <c r="AX49" t="n">
        <v>111.133</v>
      </c>
      <c r="AY49" t="n">
        <v>1.083385174100913</v>
      </c>
      <c r="AZ49" t="n">
        <v>120.3998445533567</v>
      </c>
      <c r="BA49" t="n">
        <v>801.49</v>
      </c>
      <c r="BB49" t="n">
        <v>0.905</v>
      </c>
      <c r="BC49" t="n">
        <v>87.33184062701827</v>
      </c>
      <c r="BD49" t="n">
        <v>0.7824</v>
      </c>
      <c r="BE49" t="n">
        <v>68.328</v>
      </c>
      <c r="BF49" t="n">
        <v>8.9176</v>
      </c>
      <c r="BG49" t="n">
        <v>0.77</v>
      </c>
      <c r="BH49" t="n">
        <v>5962.380796939026</v>
      </c>
      <c r="BI49" t="n">
        <v>1.039640050119603</v>
      </c>
      <c r="BJ49" t="n">
        <v>6198.7299</v>
      </c>
    </row>
    <row r="50">
      <c r="A50" t="n">
        <v>5215</v>
      </c>
      <c r="B50" t="inlineStr">
        <is>
          <t>01-01-2021</t>
        </is>
      </c>
      <c r="C50" t="n">
        <v>2021</v>
      </c>
      <c r="D50" t="n">
        <v>1</v>
      </c>
      <c r="E50" t="inlineStr">
        <is>
          <t>CAREN</t>
        </is>
      </c>
      <c r="F50" t="inlineStr">
        <is>
          <t>SUM_SAESA_A</t>
        </is>
      </c>
      <c r="G50" t="inlineStr">
        <is>
          <t>A</t>
        </is>
      </c>
      <c r="H50" t="inlineStr">
        <is>
          <t>SAESA</t>
        </is>
      </c>
      <c r="I50" t="inlineStr">
        <is>
          <t>SAESMELIBLOQA</t>
        </is>
      </c>
      <c r="J50" t="inlineStr">
        <is>
          <t>MELIPULLI</t>
        </is>
      </c>
      <c r="K50" t="n">
        <v>-35284.12581075</v>
      </c>
      <c r="L50" t="inlineStr">
        <is>
          <t>MELIPULLI</t>
        </is>
      </c>
      <c r="M50" t="inlineStr">
        <is>
          <t>VALDIVIA</t>
        </is>
      </c>
      <c r="N50" t="n">
        <v>0.0001899181297</v>
      </c>
      <c r="O50" t="n">
        <v>6.701095</v>
      </c>
      <c r="P50" t="inlineStr">
        <is>
          <t>BS1A</t>
        </is>
      </c>
      <c r="Q50" t="n">
        <v>2</v>
      </c>
      <c r="W50" t="n">
        <v>2</v>
      </c>
      <c r="X50" t="n">
        <v>0</v>
      </c>
      <c r="AA50" t="inlineStr">
        <is>
          <t>PNP_6T_08-05-2020</t>
        </is>
      </c>
      <c r="AB50" t="inlineStr">
        <is>
          <t>PNCP_9T_12-08-2019</t>
        </is>
      </c>
      <c r="AC50" t="inlineStr">
        <is>
          <t>PNCP_4T_30-04-2013</t>
        </is>
      </c>
      <c r="AD50" t="inlineStr">
        <is>
          <t>VALDIVIA 220</t>
        </is>
      </c>
      <c r="AE50" t="n">
        <v>111.133</v>
      </c>
      <c r="AF50" t="n">
        <v>1.072776031070834</v>
      </c>
      <c r="AG50" t="n">
        <v>119.220818660995</v>
      </c>
      <c r="AH50" t="n">
        <v>694.38</v>
      </c>
      <c r="AI50" t="n">
        <v>0.875</v>
      </c>
      <c r="AJ50" t="n">
        <v>72.43648305409401</v>
      </c>
      <c r="AK50" t="n">
        <v>0.913</v>
      </c>
      <c r="AL50" t="n">
        <v>66.13500000000001</v>
      </c>
      <c r="AM50" t="n">
        <v>8.9176</v>
      </c>
      <c r="AN50" t="n">
        <v>9.566587534677272</v>
      </c>
      <c r="AO50" t="n">
        <v>0.913</v>
      </c>
      <c r="AP50" t="n">
        <v>6064.919358776563</v>
      </c>
      <c r="AQ50" t="n">
        <v>1.051287819142954</v>
      </c>
      <c r="AR50" t="n">
        <v>6375.9758</v>
      </c>
      <c r="AT50" t="inlineStr">
        <is>
          <t>PNP_19T_30-12-2020</t>
        </is>
      </c>
      <c r="AU50" t="inlineStr">
        <is>
          <t>PNCP_12T_10-08-2020</t>
        </is>
      </c>
      <c r="AV50" t="inlineStr">
        <is>
          <t>PNCP_4T_30-04-2013</t>
        </is>
      </c>
      <c r="AW50" t="inlineStr">
        <is>
          <t>VALDIVIA 220</t>
        </is>
      </c>
      <c r="AX50" t="n">
        <v>111.133</v>
      </c>
      <c r="AY50" t="n">
        <v>1.083385174100913</v>
      </c>
      <c r="AZ50" t="n">
        <v>120.3998445533567</v>
      </c>
      <c r="BA50" t="n">
        <v>801.49</v>
      </c>
      <c r="BB50" t="n">
        <v>0.905</v>
      </c>
      <c r="BC50" t="n">
        <v>87.33184062701827</v>
      </c>
      <c r="BD50" t="n">
        <v>0.8745000000000001</v>
      </c>
      <c r="BE50" t="n">
        <v>76.372</v>
      </c>
      <c r="BF50" t="n">
        <v>8.9176</v>
      </c>
      <c r="BG50" t="n">
        <v>0.77</v>
      </c>
      <c r="BH50" t="n">
        <v>5962.380796939026</v>
      </c>
      <c r="BI50" t="n">
        <v>1.148014846473962</v>
      </c>
      <c r="BJ50" t="n">
        <v>6844.9017</v>
      </c>
    </row>
    <row r="51">
      <c r="A51" t="n">
        <v>3979</v>
      </c>
      <c r="B51" t="inlineStr">
        <is>
          <t>01-01-2021</t>
        </is>
      </c>
      <c r="C51" t="n">
        <v>2021</v>
      </c>
      <c r="D51" t="n">
        <v>1</v>
      </c>
      <c r="E51" t="inlineStr">
        <is>
          <t>CAREN</t>
        </is>
      </c>
      <c r="F51" t="inlineStr">
        <is>
          <t>SUM_SAESA_A</t>
        </is>
      </c>
      <c r="G51" t="inlineStr">
        <is>
          <t>A</t>
        </is>
      </c>
      <c r="H51" t="inlineStr">
        <is>
          <t>SAESA</t>
        </is>
      </c>
      <c r="I51" t="inlineStr">
        <is>
          <t>SAESOSORBLOQA</t>
        </is>
      </c>
      <c r="J51" t="inlineStr">
        <is>
          <t>OSORNO</t>
        </is>
      </c>
      <c r="K51" t="n">
        <v>-19028.68559965</v>
      </c>
      <c r="L51" t="inlineStr">
        <is>
          <t>OSORNO</t>
        </is>
      </c>
      <c r="M51" t="inlineStr">
        <is>
          <t>BARRO BLANCO</t>
        </is>
      </c>
      <c r="N51" t="n">
        <v>0.78616844112992</v>
      </c>
      <c r="O51" t="n">
        <v>14959.752095</v>
      </c>
      <c r="P51" t="inlineStr">
        <is>
          <t>BS1A</t>
        </is>
      </c>
      <c r="Q51" t="n">
        <v>2</v>
      </c>
      <c r="W51" t="n">
        <v>2</v>
      </c>
      <c r="X51" t="n">
        <v>0</v>
      </c>
      <c r="AA51" t="inlineStr">
        <is>
          <t>PNP_6T_08-05-2020</t>
        </is>
      </c>
      <c r="AB51" t="inlineStr">
        <is>
          <t>PNCP_9T_12-08-2019</t>
        </is>
      </c>
      <c r="AC51" t="inlineStr">
        <is>
          <t>PNCP_4T_30-04-2013</t>
        </is>
      </c>
      <c r="AD51" t="inlineStr">
        <is>
          <t>Barro Blanco 220</t>
        </is>
      </c>
      <c r="AE51" t="n">
        <v>111.133</v>
      </c>
      <c r="AF51" t="n">
        <v>1.072776031070834</v>
      </c>
      <c r="AG51" t="n">
        <v>119.220818660995</v>
      </c>
      <c r="AH51" t="n">
        <v>694.38</v>
      </c>
      <c r="AI51" t="n">
        <v>0.875</v>
      </c>
      <c r="AJ51" t="n">
        <v>72.43648305409401</v>
      </c>
      <c r="AK51" t="n">
        <v>0.8631</v>
      </c>
      <c r="AL51" t="n">
        <v>62.52</v>
      </c>
      <c r="AM51" t="n">
        <v>8.9176</v>
      </c>
      <c r="AN51" t="n">
        <v>9.566587534677272</v>
      </c>
      <c r="AO51" t="n">
        <v>0.913</v>
      </c>
      <c r="AP51" t="n">
        <v>6064.919358776563</v>
      </c>
      <c r="AQ51" t="n">
        <v>1.004432825642191</v>
      </c>
      <c r="AR51" t="n">
        <v>6091.8041</v>
      </c>
      <c r="AT51" t="inlineStr">
        <is>
          <t>PNP_19T_30-12-2020</t>
        </is>
      </c>
      <c r="AU51" t="inlineStr">
        <is>
          <t>PNCP_12T_10-08-2020</t>
        </is>
      </c>
      <c r="AV51" t="inlineStr">
        <is>
          <t>PNCP_4T_30-04-2013</t>
        </is>
      </c>
      <c r="AW51" t="inlineStr">
        <is>
          <t>Barro Blanco 220</t>
        </is>
      </c>
      <c r="AX51" t="n">
        <v>111.133</v>
      </c>
      <c r="AY51" t="n">
        <v>1.083385174100913</v>
      </c>
      <c r="AZ51" t="n">
        <v>120.3998445533567</v>
      </c>
      <c r="BA51" t="n">
        <v>801.49</v>
      </c>
      <c r="BB51" t="n">
        <v>0.905</v>
      </c>
      <c r="BC51" t="n">
        <v>87.33184062701827</v>
      </c>
      <c r="BD51" t="n">
        <v>0.7946</v>
      </c>
      <c r="BE51" t="n">
        <v>69.39400000000001</v>
      </c>
      <c r="BF51" t="n">
        <v>8.9176</v>
      </c>
      <c r="BG51" t="n">
        <v>0.77</v>
      </c>
      <c r="BH51" t="n">
        <v>5962.380796939026</v>
      </c>
      <c r="BI51" t="n">
        <v>1.047283473516708</v>
      </c>
      <c r="BJ51" t="n">
        <v>6244.3029</v>
      </c>
    </row>
    <row r="52">
      <c r="A52" t="n">
        <v>3981</v>
      </c>
      <c r="B52" t="inlineStr">
        <is>
          <t>01-01-2021</t>
        </is>
      </c>
      <c r="C52" t="n">
        <v>2021</v>
      </c>
      <c r="D52" t="n">
        <v>1</v>
      </c>
      <c r="E52" t="inlineStr">
        <is>
          <t>CAREN</t>
        </is>
      </c>
      <c r="F52" t="inlineStr">
        <is>
          <t>SUM_SAESA_A</t>
        </is>
      </c>
      <c r="G52" t="inlineStr">
        <is>
          <t>A</t>
        </is>
      </c>
      <c r="H52" t="inlineStr">
        <is>
          <t>SAESA</t>
        </is>
      </c>
      <c r="I52" t="inlineStr">
        <is>
          <t>SAESOSORBLOQA</t>
        </is>
      </c>
      <c r="J52" t="inlineStr">
        <is>
          <t>OSORNO</t>
        </is>
      </c>
      <c r="K52" t="n">
        <v>-19028.68559965</v>
      </c>
      <c r="L52" t="inlineStr">
        <is>
          <t>OSORNO</t>
        </is>
      </c>
      <c r="M52" t="inlineStr">
        <is>
          <t>MELIPULLI</t>
        </is>
      </c>
      <c r="N52" t="n">
        <v>0.04443303733604</v>
      </c>
      <c r="O52" t="n">
        <v>845.502298</v>
      </c>
      <c r="P52" t="inlineStr">
        <is>
          <t>BS1A</t>
        </is>
      </c>
      <c r="Q52" t="n">
        <v>2</v>
      </c>
      <c r="W52" t="n">
        <v>2</v>
      </c>
      <c r="X52" t="n">
        <v>0</v>
      </c>
      <c r="AA52" t="inlineStr">
        <is>
          <t>PNP_6T_08-05-2020</t>
        </is>
      </c>
      <c r="AB52" t="inlineStr">
        <is>
          <t>PNCP_9T_12-08-2019</t>
        </is>
      </c>
      <c r="AC52" t="inlineStr">
        <is>
          <t>PNCP_4T_30-04-2013</t>
        </is>
      </c>
      <c r="AD52" t="inlineStr">
        <is>
          <t>MELIPULLI 220</t>
        </is>
      </c>
      <c r="AE52" t="n">
        <v>111.133</v>
      </c>
      <c r="AF52" t="n">
        <v>1.072776031070834</v>
      </c>
      <c r="AG52" t="n">
        <v>119.220818660995</v>
      </c>
      <c r="AH52" t="n">
        <v>694.38</v>
      </c>
      <c r="AI52" t="n">
        <v>0.875</v>
      </c>
      <c r="AJ52" t="n">
        <v>72.43648305409401</v>
      </c>
      <c r="AK52" t="n">
        <v>0.8826000000000001</v>
      </c>
      <c r="AL52" t="n">
        <v>63.932</v>
      </c>
      <c r="AM52" t="n">
        <v>8.9176</v>
      </c>
      <c r="AN52" t="n">
        <v>9.566587534677272</v>
      </c>
      <c r="AO52" t="n">
        <v>0.913</v>
      </c>
      <c r="AP52" t="n">
        <v>6064.919358776563</v>
      </c>
      <c r="AQ52" t="n">
        <v>1</v>
      </c>
      <c r="AR52" t="n">
        <v>6064.9194</v>
      </c>
      <c r="AT52" t="inlineStr">
        <is>
          <t>PNP_19T_30-12-2020</t>
        </is>
      </c>
      <c r="AU52" t="inlineStr">
        <is>
          <t>PNCP_12T_10-08-2020</t>
        </is>
      </c>
      <c r="AV52" t="inlineStr">
        <is>
          <t>PNCP_4T_30-04-2013</t>
        </is>
      </c>
      <c r="AW52" t="inlineStr">
        <is>
          <t>MELIPULLI 220</t>
        </is>
      </c>
      <c r="AX52" t="n">
        <v>111.133</v>
      </c>
      <c r="AY52" t="n">
        <v>1.083385174100913</v>
      </c>
      <c r="AZ52" t="n">
        <v>120.3998445533567</v>
      </c>
      <c r="BA52" t="n">
        <v>801.49</v>
      </c>
      <c r="BB52" t="n">
        <v>0.905</v>
      </c>
      <c r="BC52" t="n">
        <v>87.33184062701827</v>
      </c>
      <c r="BD52" t="n">
        <v>0.7824</v>
      </c>
      <c r="BE52" t="n">
        <v>68.328</v>
      </c>
      <c r="BF52" t="n">
        <v>8.9176</v>
      </c>
      <c r="BG52" t="n">
        <v>0.77</v>
      </c>
      <c r="BH52" t="n">
        <v>5962.380796939026</v>
      </c>
      <c r="BI52" t="n">
        <v>1</v>
      </c>
      <c r="BJ52" t="n">
        <v>5962.3808</v>
      </c>
    </row>
    <row r="53">
      <c r="A53" t="n">
        <v>3983</v>
      </c>
      <c r="B53" t="inlineStr">
        <is>
          <t>01-01-2021</t>
        </is>
      </c>
      <c r="C53" t="n">
        <v>2021</v>
      </c>
      <c r="D53" t="n">
        <v>1</v>
      </c>
      <c r="E53" t="inlineStr">
        <is>
          <t>CAREN</t>
        </is>
      </c>
      <c r="F53" t="inlineStr">
        <is>
          <t>SUM_SAESA_A</t>
        </is>
      </c>
      <c r="G53" t="inlineStr">
        <is>
          <t>A</t>
        </is>
      </c>
      <c r="H53" t="inlineStr">
        <is>
          <t>SAESA</t>
        </is>
      </c>
      <c r="I53" t="inlineStr">
        <is>
          <t>SAESOSORBLOQA</t>
        </is>
      </c>
      <c r="J53" t="inlineStr">
        <is>
          <t>OSORNO</t>
        </is>
      </c>
      <c r="K53" t="n">
        <v>-19028.68559965</v>
      </c>
      <c r="L53" t="inlineStr">
        <is>
          <t>OSORNO</t>
        </is>
      </c>
      <c r="M53" t="inlineStr">
        <is>
          <t>VALDIVIA</t>
        </is>
      </c>
      <c r="N53" t="n">
        <v>0.12401606703963</v>
      </c>
      <c r="O53" t="n">
        <v>2359.862749</v>
      </c>
      <c r="P53" t="inlineStr">
        <is>
          <t>BS1A</t>
        </is>
      </c>
      <c r="Q53" t="n">
        <v>2</v>
      </c>
      <c r="W53" t="n">
        <v>2</v>
      </c>
      <c r="X53" t="n">
        <v>0</v>
      </c>
      <c r="AA53" t="inlineStr">
        <is>
          <t>PNP_6T_08-05-2020</t>
        </is>
      </c>
      <c r="AB53" t="inlineStr">
        <is>
          <t>PNCP_9T_12-08-2019</t>
        </is>
      </c>
      <c r="AC53" t="inlineStr">
        <is>
          <t>PNCP_4T_30-04-2013</t>
        </is>
      </c>
      <c r="AD53" t="inlineStr">
        <is>
          <t>VALDIVIA 220</t>
        </is>
      </c>
      <c r="AE53" t="n">
        <v>111.133</v>
      </c>
      <c r="AF53" t="n">
        <v>1.072776031070834</v>
      </c>
      <c r="AG53" t="n">
        <v>119.220818660995</v>
      </c>
      <c r="AH53" t="n">
        <v>694.38</v>
      </c>
      <c r="AI53" t="n">
        <v>0.875</v>
      </c>
      <c r="AJ53" t="n">
        <v>72.43648305409401</v>
      </c>
      <c r="AK53" t="n">
        <v>0.913</v>
      </c>
      <c r="AL53" t="n">
        <v>66.13500000000001</v>
      </c>
      <c r="AM53" t="n">
        <v>8.9176</v>
      </c>
      <c r="AN53" t="n">
        <v>9.566587534677272</v>
      </c>
      <c r="AO53" t="n">
        <v>0.913</v>
      </c>
      <c r="AP53" t="n">
        <v>6064.919358776563</v>
      </c>
      <c r="AQ53" t="n">
        <v>1.051287819142954</v>
      </c>
      <c r="AR53" t="n">
        <v>6375.9758</v>
      </c>
      <c r="AT53" t="inlineStr">
        <is>
          <t>PNP_19T_30-12-2020</t>
        </is>
      </c>
      <c r="AU53" t="inlineStr">
        <is>
          <t>PNCP_12T_10-08-2020</t>
        </is>
      </c>
      <c r="AV53" t="inlineStr">
        <is>
          <t>PNCP_4T_30-04-2013</t>
        </is>
      </c>
      <c r="AW53" t="inlineStr">
        <is>
          <t>VALDIVIA 220</t>
        </is>
      </c>
      <c r="AX53" t="n">
        <v>111.133</v>
      </c>
      <c r="AY53" t="n">
        <v>1.083385174100913</v>
      </c>
      <c r="AZ53" t="n">
        <v>120.3998445533567</v>
      </c>
      <c r="BA53" t="n">
        <v>801.49</v>
      </c>
      <c r="BB53" t="n">
        <v>0.905</v>
      </c>
      <c r="BC53" t="n">
        <v>87.33184062701827</v>
      </c>
      <c r="BD53" t="n">
        <v>0.8745000000000001</v>
      </c>
      <c r="BE53" t="n">
        <v>76.372</v>
      </c>
      <c r="BF53" t="n">
        <v>8.9176</v>
      </c>
      <c r="BG53" t="n">
        <v>0.77</v>
      </c>
      <c r="BH53" t="n">
        <v>5962.380796939026</v>
      </c>
      <c r="BI53" t="n">
        <v>1.148014846473962</v>
      </c>
      <c r="BJ53" t="n">
        <v>6844.9017</v>
      </c>
    </row>
    <row r="54">
      <c r="A54" t="n">
        <v>5209</v>
      </c>
      <c r="B54" t="inlineStr">
        <is>
          <t>01-01-2021</t>
        </is>
      </c>
      <c r="C54" t="n">
        <v>2021</v>
      </c>
      <c r="D54" t="n">
        <v>1</v>
      </c>
      <c r="E54" t="inlineStr">
        <is>
          <t>CAREN</t>
        </is>
      </c>
      <c r="F54" t="inlineStr">
        <is>
          <t>SUM_SAESA_A</t>
        </is>
      </c>
      <c r="G54" t="inlineStr">
        <is>
          <t>A</t>
        </is>
      </c>
      <c r="H54" t="inlineStr">
        <is>
          <t>SAESA</t>
        </is>
      </c>
      <c r="I54" t="inlineStr">
        <is>
          <t>SAESPVARBLOQA</t>
        </is>
      </c>
      <c r="J54" t="inlineStr">
        <is>
          <t>P.VARAS</t>
        </is>
      </c>
      <c r="K54" t="n">
        <v>-7001.85091257</v>
      </c>
      <c r="L54" t="inlineStr">
        <is>
          <t>PUERTO VARAS</t>
        </is>
      </c>
      <c r="M54" t="inlineStr">
        <is>
          <t>BARRO BLANCO</t>
        </is>
      </c>
      <c r="N54" t="n">
        <v>0.15766115320888</v>
      </c>
      <c r="O54" t="n">
        <v>1103.919889</v>
      </c>
      <c r="P54" t="inlineStr">
        <is>
          <t>BS1A</t>
        </is>
      </c>
      <c r="Q54" t="n">
        <v>2</v>
      </c>
      <c r="W54" t="n">
        <v>2</v>
      </c>
      <c r="X54" t="n">
        <v>0</v>
      </c>
      <c r="AA54" t="inlineStr">
        <is>
          <t>PNP_6T_08-05-2020</t>
        </is>
      </c>
      <c r="AB54" t="inlineStr">
        <is>
          <t>PNCP_9T_12-08-2019</t>
        </is>
      </c>
      <c r="AC54" t="inlineStr">
        <is>
          <t>PNCP_4T_30-04-2013</t>
        </is>
      </c>
      <c r="AD54" t="inlineStr">
        <is>
          <t>Barro Blanco 220</t>
        </is>
      </c>
      <c r="AE54" t="n">
        <v>111.133</v>
      </c>
      <c r="AF54" t="n">
        <v>1.072776031070834</v>
      </c>
      <c r="AG54" t="n">
        <v>119.220818660995</v>
      </c>
      <c r="AH54" t="n">
        <v>694.38</v>
      </c>
      <c r="AI54" t="n">
        <v>0.875</v>
      </c>
      <c r="AJ54" t="n">
        <v>72.43648305409401</v>
      </c>
      <c r="AK54" t="n">
        <v>0.8631</v>
      </c>
      <c r="AL54" t="n">
        <v>62.52</v>
      </c>
      <c r="AM54" t="n">
        <v>8.9176</v>
      </c>
      <c r="AN54" t="n">
        <v>9.566587534677272</v>
      </c>
      <c r="AO54" t="n">
        <v>0.913</v>
      </c>
      <c r="AP54" t="n">
        <v>6064.919358776563</v>
      </c>
      <c r="AQ54" t="n">
        <v>1.004432825642191</v>
      </c>
      <c r="AR54" t="n">
        <v>6091.8041</v>
      </c>
      <c r="AT54" t="inlineStr">
        <is>
          <t>PNP_19T_30-12-2020</t>
        </is>
      </c>
      <c r="AU54" t="inlineStr">
        <is>
          <t>PNCP_12T_10-08-2020</t>
        </is>
      </c>
      <c r="AV54" t="inlineStr">
        <is>
          <t>PNCP_4T_30-04-2013</t>
        </is>
      </c>
      <c r="AW54" t="inlineStr">
        <is>
          <t>Barro Blanco 220</t>
        </is>
      </c>
      <c r="AX54" t="n">
        <v>111.133</v>
      </c>
      <c r="AY54" t="n">
        <v>1.083385174100913</v>
      </c>
      <c r="AZ54" t="n">
        <v>120.3998445533567</v>
      </c>
      <c r="BA54" t="n">
        <v>801.49</v>
      </c>
      <c r="BB54" t="n">
        <v>0.905</v>
      </c>
      <c r="BC54" t="n">
        <v>87.33184062701827</v>
      </c>
      <c r="BD54" t="n">
        <v>0.7946</v>
      </c>
      <c r="BE54" t="n">
        <v>69.39400000000001</v>
      </c>
      <c r="BF54" t="n">
        <v>8.9176</v>
      </c>
      <c r="BG54" t="n">
        <v>0.77</v>
      </c>
      <c r="BH54" t="n">
        <v>5962.380796939026</v>
      </c>
      <c r="BI54" t="n">
        <v>1.047283473516708</v>
      </c>
      <c r="BJ54" t="n">
        <v>6244.3029</v>
      </c>
    </row>
    <row r="55">
      <c r="A55" t="n">
        <v>5211</v>
      </c>
      <c r="B55" t="inlineStr">
        <is>
          <t>01-01-2021</t>
        </is>
      </c>
      <c r="C55" t="n">
        <v>2021</v>
      </c>
      <c r="D55" t="n">
        <v>1</v>
      </c>
      <c r="E55" t="inlineStr">
        <is>
          <t>CAREN</t>
        </is>
      </c>
      <c r="F55" t="inlineStr">
        <is>
          <t>SUM_SAESA_A</t>
        </is>
      </c>
      <c r="G55" t="inlineStr">
        <is>
          <t>A</t>
        </is>
      </c>
      <c r="H55" t="inlineStr">
        <is>
          <t>SAESA</t>
        </is>
      </c>
      <c r="I55" t="inlineStr">
        <is>
          <t>SAESPVARBLOQA</t>
        </is>
      </c>
      <c r="J55" t="inlineStr">
        <is>
          <t>P.VARAS</t>
        </is>
      </c>
      <c r="K55" t="n">
        <v>-7001.85091257</v>
      </c>
      <c r="L55" t="inlineStr">
        <is>
          <t>PUERTO VARAS</t>
        </is>
      </c>
      <c r="M55" t="inlineStr">
        <is>
          <t>MELIPULLI</t>
        </is>
      </c>
      <c r="N55" t="n">
        <v>0.61749565738</v>
      </c>
      <c r="O55" t="n">
        <v>4323.612532</v>
      </c>
      <c r="P55" t="inlineStr">
        <is>
          <t>BS1A</t>
        </is>
      </c>
      <c r="Q55" t="n">
        <v>2</v>
      </c>
      <c r="W55" t="n">
        <v>2</v>
      </c>
      <c r="X55" t="n">
        <v>0</v>
      </c>
      <c r="AA55" t="inlineStr">
        <is>
          <t>PNP_6T_08-05-2020</t>
        </is>
      </c>
      <c r="AB55" t="inlineStr">
        <is>
          <t>PNCP_9T_12-08-2019</t>
        </is>
      </c>
      <c r="AC55" t="inlineStr">
        <is>
          <t>PNCP_4T_30-04-2013</t>
        </is>
      </c>
      <c r="AD55" t="inlineStr">
        <is>
          <t>MELIPULLI 220</t>
        </is>
      </c>
      <c r="AE55" t="n">
        <v>111.133</v>
      </c>
      <c r="AF55" t="n">
        <v>1.072776031070834</v>
      </c>
      <c r="AG55" t="n">
        <v>119.220818660995</v>
      </c>
      <c r="AH55" t="n">
        <v>694.38</v>
      </c>
      <c r="AI55" t="n">
        <v>0.875</v>
      </c>
      <c r="AJ55" t="n">
        <v>72.43648305409401</v>
      </c>
      <c r="AK55" t="n">
        <v>0.8826000000000001</v>
      </c>
      <c r="AL55" t="n">
        <v>63.932</v>
      </c>
      <c r="AM55" t="n">
        <v>8.9176</v>
      </c>
      <c r="AN55" t="n">
        <v>9.566587534677272</v>
      </c>
      <c r="AO55" t="n">
        <v>0.913</v>
      </c>
      <c r="AP55" t="n">
        <v>6064.919358776563</v>
      </c>
      <c r="AQ55" t="n">
        <v>1</v>
      </c>
      <c r="AR55" t="n">
        <v>6064.9194</v>
      </c>
      <c r="AT55" t="inlineStr">
        <is>
          <t>PNP_19T_30-12-2020</t>
        </is>
      </c>
      <c r="AU55" t="inlineStr">
        <is>
          <t>PNCP_12T_10-08-2020</t>
        </is>
      </c>
      <c r="AV55" t="inlineStr">
        <is>
          <t>PNCP_4T_30-04-2013</t>
        </is>
      </c>
      <c r="AW55" t="inlineStr">
        <is>
          <t>MELIPULLI 220</t>
        </is>
      </c>
      <c r="AX55" t="n">
        <v>111.133</v>
      </c>
      <c r="AY55" t="n">
        <v>1.083385174100913</v>
      </c>
      <c r="AZ55" t="n">
        <v>120.3998445533567</v>
      </c>
      <c r="BA55" t="n">
        <v>801.49</v>
      </c>
      <c r="BB55" t="n">
        <v>0.905</v>
      </c>
      <c r="BC55" t="n">
        <v>87.33184062701827</v>
      </c>
      <c r="BD55" t="n">
        <v>0.7824</v>
      </c>
      <c r="BE55" t="n">
        <v>68.328</v>
      </c>
      <c r="BF55" t="n">
        <v>8.9176</v>
      </c>
      <c r="BG55" t="n">
        <v>0.77</v>
      </c>
      <c r="BH55" t="n">
        <v>5962.380796939026</v>
      </c>
      <c r="BI55" t="n">
        <v>1</v>
      </c>
      <c r="BJ55" t="n">
        <v>5962.3808</v>
      </c>
    </row>
    <row r="56">
      <c r="A56" t="n">
        <v>5213</v>
      </c>
      <c r="B56" t="inlineStr">
        <is>
          <t>01-01-2021</t>
        </is>
      </c>
      <c r="C56" t="n">
        <v>2021</v>
      </c>
      <c r="D56" t="n">
        <v>1</v>
      </c>
      <c r="E56" t="inlineStr">
        <is>
          <t>CAREN</t>
        </is>
      </c>
      <c r="F56" t="inlineStr">
        <is>
          <t>SUM_SAESA_A</t>
        </is>
      </c>
      <c r="G56" t="inlineStr">
        <is>
          <t>A</t>
        </is>
      </c>
      <c r="H56" t="inlineStr">
        <is>
          <t>SAESA</t>
        </is>
      </c>
      <c r="I56" t="inlineStr">
        <is>
          <t>SAESPVARBLOQA</t>
        </is>
      </c>
      <c r="J56" t="inlineStr">
        <is>
          <t>P.VARAS</t>
        </is>
      </c>
      <c r="K56" t="n">
        <v>-7001.85091257</v>
      </c>
      <c r="L56" t="inlineStr">
        <is>
          <t>PUERTO VARAS</t>
        </is>
      </c>
      <c r="M56" t="inlineStr">
        <is>
          <t>Puerto Montt</t>
        </is>
      </c>
      <c r="N56" t="n">
        <v>0.7715646681477401</v>
      </c>
      <c r="O56" t="n">
        <v>5402.380776</v>
      </c>
      <c r="P56" t="inlineStr">
        <is>
          <t>BS1A</t>
        </is>
      </c>
      <c r="Q56" t="n">
        <v>2</v>
      </c>
      <c r="W56" t="n">
        <v>2</v>
      </c>
      <c r="X56" t="n">
        <v>0</v>
      </c>
      <c r="AA56" t="inlineStr">
        <is>
          <t>PNP_6T_08-05-2020</t>
        </is>
      </c>
      <c r="AB56" t="inlineStr">
        <is>
          <t>PNCP_9T_12-08-2019</t>
        </is>
      </c>
      <c r="AC56" t="inlineStr">
        <is>
          <t>PNCP_4T_30-04-2013</t>
        </is>
      </c>
      <c r="AD56" t="inlineStr">
        <is>
          <t>PUERTO MONTT 220</t>
        </is>
      </c>
      <c r="AE56" t="n">
        <v>111.133</v>
      </c>
      <c r="AF56" t="n">
        <v>1.072776031070834</v>
      </c>
      <c r="AG56" t="n">
        <v>119.220818660995</v>
      </c>
      <c r="AH56" t="n">
        <v>694.38</v>
      </c>
      <c r="AI56" t="n">
        <v>0.875</v>
      </c>
      <c r="AJ56" t="n">
        <v>72.43648305409401</v>
      </c>
      <c r="AK56" t="n">
        <v>0.8826000000000001</v>
      </c>
      <c r="AL56" t="n">
        <v>63.932</v>
      </c>
      <c r="AM56" t="n">
        <v>8.9176</v>
      </c>
      <c r="AN56" t="n">
        <v>9.566587534677272</v>
      </c>
      <c r="AO56" t="n">
        <v>0.913</v>
      </c>
      <c r="AP56" t="n">
        <v>6064.919358776563</v>
      </c>
      <c r="AQ56" t="n">
        <v>1.016858412119831</v>
      </c>
      <c r="AR56" t="n">
        <v>6167.1643</v>
      </c>
      <c r="AT56" t="inlineStr">
        <is>
          <t>PNP_19T_30-12-2020</t>
        </is>
      </c>
      <c r="AU56" t="inlineStr">
        <is>
          <t>PNCP_12T_10-08-2020</t>
        </is>
      </c>
      <c r="AV56" t="inlineStr">
        <is>
          <t>PNCP_4T_30-04-2013</t>
        </is>
      </c>
      <c r="AW56" t="inlineStr">
        <is>
          <t>PUERTO MONTT 220</t>
        </is>
      </c>
      <c r="AX56" t="n">
        <v>111.133</v>
      </c>
      <c r="AY56" t="n">
        <v>1.083385174100913</v>
      </c>
      <c r="AZ56" t="n">
        <v>120.3998445533567</v>
      </c>
      <c r="BA56" t="n">
        <v>801.49</v>
      </c>
      <c r="BB56" t="n">
        <v>0.905</v>
      </c>
      <c r="BC56" t="n">
        <v>87.33184062701827</v>
      </c>
      <c r="BD56" t="n">
        <v>0.7824</v>
      </c>
      <c r="BE56" t="n">
        <v>68.328</v>
      </c>
      <c r="BF56" t="n">
        <v>8.9176</v>
      </c>
      <c r="BG56" t="n">
        <v>0.77</v>
      </c>
      <c r="BH56" t="n">
        <v>5962.380796939026</v>
      </c>
      <c r="BI56" t="n">
        <v>1.039640050119603</v>
      </c>
      <c r="BJ56" t="n">
        <v>6198.7299</v>
      </c>
    </row>
    <row r="57">
      <c r="A57" t="n">
        <v>5215</v>
      </c>
      <c r="B57" t="inlineStr">
        <is>
          <t>01-01-2021</t>
        </is>
      </c>
      <c r="C57" t="n">
        <v>2021</v>
      </c>
      <c r="D57" t="n">
        <v>1</v>
      </c>
      <c r="E57" t="inlineStr">
        <is>
          <t>CAREN</t>
        </is>
      </c>
      <c r="F57" t="inlineStr">
        <is>
          <t>SUM_SAESA_A</t>
        </is>
      </c>
      <c r="G57" t="inlineStr">
        <is>
          <t>A</t>
        </is>
      </c>
      <c r="H57" t="inlineStr">
        <is>
          <t>SAESA</t>
        </is>
      </c>
      <c r="I57" t="inlineStr">
        <is>
          <t>SAESPVARBLOQA</t>
        </is>
      </c>
      <c r="J57" t="inlineStr">
        <is>
          <t>P.VARAS</t>
        </is>
      </c>
      <c r="K57" t="n">
        <v>-7001.85091257</v>
      </c>
      <c r="L57" t="inlineStr">
        <is>
          <t>PUERTO VARAS</t>
        </is>
      </c>
      <c r="M57" t="inlineStr">
        <is>
          <t>VALDIVIA</t>
        </is>
      </c>
      <c r="N57" t="n">
        <v>0.00141259278969</v>
      </c>
      <c r="O57" t="n">
        <v>9.890764000000001</v>
      </c>
      <c r="P57" t="inlineStr">
        <is>
          <t>BS1A</t>
        </is>
      </c>
      <c r="Q57" t="n">
        <v>2</v>
      </c>
      <c r="W57" t="n">
        <v>2</v>
      </c>
      <c r="X57" t="n">
        <v>0</v>
      </c>
      <c r="AA57" t="inlineStr">
        <is>
          <t>PNP_6T_08-05-2020</t>
        </is>
      </c>
      <c r="AB57" t="inlineStr">
        <is>
          <t>PNCP_9T_12-08-2019</t>
        </is>
      </c>
      <c r="AC57" t="inlineStr">
        <is>
          <t>PNCP_4T_30-04-2013</t>
        </is>
      </c>
      <c r="AD57" t="inlineStr">
        <is>
          <t>VALDIVIA 220</t>
        </is>
      </c>
      <c r="AE57" t="n">
        <v>111.133</v>
      </c>
      <c r="AF57" t="n">
        <v>1.072776031070834</v>
      </c>
      <c r="AG57" t="n">
        <v>119.220818660995</v>
      </c>
      <c r="AH57" t="n">
        <v>694.38</v>
      </c>
      <c r="AI57" t="n">
        <v>0.875</v>
      </c>
      <c r="AJ57" t="n">
        <v>72.43648305409401</v>
      </c>
      <c r="AK57" t="n">
        <v>0.913</v>
      </c>
      <c r="AL57" t="n">
        <v>66.13500000000001</v>
      </c>
      <c r="AM57" t="n">
        <v>8.9176</v>
      </c>
      <c r="AN57" t="n">
        <v>9.566587534677272</v>
      </c>
      <c r="AO57" t="n">
        <v>0.913</v>
      </c>
      <c r="AP57" t="n">
        <v>6064.919358776563</v>
      </c>
      <c r="AQ57" t="n">
        <v>1.051287819142954</v>
      </c>
      <c r="AR57" t="n">
        <v>6375.9758</v>
      </c>
      <c r="AT57" t="inlineStr">
        <is>
          <t>PNP_19T_30-12-2020</t>
        </is>
      </c>
      <c r="AU57" t="inlineStr">
        <is>
          <t>PNCP_12T_10-08-2020</t>
        </is>
      </c>
      <c r="AV57" t="inlineStr">
        <is>
          <t>PNCP_4T_30-04-2013</t>
        </is>
      </c>
      <c r="AW57" t="inlineStr">
        <is>
          <t>VALDIVIA 220</t>
        </is>
      </c>
      <c r="AX57" t="n">
        <v>111.133</v>
      </c>
      <c r="AY57" t="n">
        <v>1.083385174100913</v>
      </c>
      <c r="AZ57" t="n">
        <v>120.3998445533567</v>
      </c>
      <c r="BA57" t="n">
        <v>801.49</v>
      </c>
      <c r="BB57" t="n">
        <v>0.905</v>
      </c>
      <c r="BC57" t="n">
        <v>87.33184062701827</v>
      </c>
      <c r="BD57" t="n">
        <v>0.8745000000000001</v>
      </c>
      <c r="BE57" t="n">
        <v>76.372</v>
      </c>
      <c r="BF57" t="n">
        <v>8.9176</v>
      </c>
      <c r="BG57" t="n">
        <v>0.77</v>
      </c>
      <c r="BH57" t="n">
        <v>5962.380796939026</v>
      </c>
      <c r="BI57" t="n">
        <v>1.148014846473962</v>
      </c>
      <c r="BJ57" t="n">
        <v>6844.9017</v>
      </c>
    </row>
    <row r="58">
      <c r="A58" t="n">
        <v>1981</v>
      </c>
      <c r="B58" t="inlineStr">
        <is>
          <t>01-01-2021</t>
        </is>
      </c>
      <c r="C58" t="n">
        <v>2021</v>
      </c>
      <c r="D58" t="n">
        <v>1</v>
      </c>
      <c r="E58" t="inlineStr">
        <is>
          <t>CAREN</t>
        </is>
      </c>
      <c r="F58" t="inlineStr">
        <is>
          <t>SUM_SAESA_A</t>
        </is>
      </c>
      <c r="G58" t="inlineStr">
        <is>
          <t>A</t>
        </is>
      </c>
      <c r="H58" t="inlineStr">
        <is>
          <t>SAESA</t>
        </is>
      </c>
      <c r="I58" t="inlineStr">
        <is>
          <t>SAESPANGBLOQA</t>
        </is>
      </c>
      <c r="J58" t="inlineStr">
        <is>
          <t>PANGUIPULLI</t>
        </is>
      </c>
      <c r="K58" t="n">
        <v>-7445.38057525</v>
      </c>
      <c r="L58" t="inlineStr">
        <is>
          <t>PANGUIPULLI</t>
        </is>
      </c>
      <c r="M58" t="inlineStr">
        <is>
          <t>Barro Blanco</t>
        </is>
      </c>
      <c r="N58" t="n">
        <v>0.17843880751936</v>
      </c>
      <c r="O58" t="n">
        <v>1328.544831</v>
      </c>
      <c r="P58" t="inlineStr">
        <is>
          <t>BS1A</t>
        </is>
      </c>
      <c r="Q58" t="n">
        <v>2</v>
      </c>
      <c r="W58" t="n">
        <v>2</v>
      </c>
      <c r="X58" t="n">
        <v>0</v>
      </c>
      <c r="AA58" t="inlineStr">
        <is>
          <t>PNP_6T_08-05-2020</t>
        </is>
      </c>
      <c r="AB58" t="inlineStr">
        <is>
          <t>PNCP_9T_12-08-2019</t>
        </is>
      </c>
      <c r="AC58" t="inlineStr">
        <is>
          <t>PNCP_4T_30-04-2013</t>
        </is>
      </c>
      <c r="AD58" t="inlineStr">
        <is>
          <t>Barro Blanco 220</t>
        </is>
      </c>
      <c r="AE58" t="n">
        <v>111.133</v>
      </c>
      <c r="AF58" t="n">
        <v>1.072776031070834</v>
      </c>
      <c r="AG58" t="n">
        <v>119.220818660995</v>
      </c>
      <c r="AH58" t="n">
        <v>694.38</v>
      </c>
      <c r="AI58" t="n">
        <v>0.875</v>
      </c>
      <c r="AJ58" t="n">
        <v>72.43648305409401</v>
      </c>
      <c r="AK58" t="n">
        <v>0.8631</v>
      </c>
      <c r="AL58" t="n">
        <v>62.52</v>
      </c>
      <c r="AM58" t="n">
        <v>8.9176</v>
      </c>
      <c r="AN58" t="n">
        <v>9.566587534677272</v>
      </c>
      <c r="AO58" t="n">
        <v>0.913</v>
      </c>
      <c r="AP58" t="n">
        <v>6064.919358776563</v>
      </c>
      <c r="AQ58" t="n">
        <v>1.004432825642191</v>
      </c>
      <c r="AR58" t="n">
        <v>6091.8041</v>
      </c>
      <c r="AT58" t="inlineStr">
        <is>
          <t>PNP_19T_30-12-2020</t>
        </is>
      </c>
      <c r="AU58" t="inlineStr">
        <is>
          <t>PNCP_12T_10-08-2020</t>
        </is>
      </c>
      <c r="AV58" t="inlineStr">
        <is>
          <t>PNCP_4T_30-04-2013</t>
        </is>
      </c>
      <c r="AW58" t="inlineStr">
        <is>
          <t>Barro Blanco 220</t>
        </is>
      </c>
      <c r="AX58" t="n">
        <v>111.133</v>
      </c>
      <c r="AY58" t="n">
        <v>1.083385174100913</v>
      </c>
      <c r="AZ58" t="n">
        <v>120.3998445533567</v>
      </c>
      <c r="BA58" t="n">
        <v>801.49</v>
      </c>
      <c r="BB58" t="n">
        <v>0.905</v>
      </c>
      <c r="BC58" t="n">
        <v>87.33184062701827</v>
      </c>
      <c r="BD58" t="n">
        <v>0.7946</v>
      </c>
      <c r="BE58" t="n">
        <v>69.39400000000001</v>
      </c>
      <c r="BF58" t="n">
        <v>8.9176</v>
      </c>
      <c r="BG58" t="n">
        <v>0.77</v>
      </c>
      <c r="BH58" t="n">
        <v>5962.380796939026</v>
      </c>
      <c r="BI58" t="n">
        <v>1.047283473516708</v>
      </c>
      <c r="BJ58" t="n">
        <v>6244.3029</v>
      </c>
    </row>
    <row r="59">
      <c r="A59" t="n">
        <v>1983</v>
      </c>
      <c r="B59" t="inlineStr">
        <is>
          <t>01-01-2021</t>
        </is>
      </c>
      <c r="C59" t="n">
        <v>2021</v>
      </c>
      <c r="D59" t="n">
        <v>1</v>
      </c>
      <c r="E59" t="inlineStr">
        <is>
          <t>CAREN</t>
        </is>
      </c>
      <c r="F59" t="inlineStr">
        <is>
          <t>SUM_SAESA_A</t>
        </is>
      </c>
      <c r="G59" t="inlineStr">
        <is>
          <t>A</t>
        </is>
      </c>
      <c r="H59" t="inlineStr">
        <is>
          <t>SAESA</t>
        </is>
      </c>
      <c r="I59" t="inlineStr">
        <is>
          <t>SAESPANGBLOQA</t>
        </is>
      </c>
      <c r="J59" t="inlineStr">
        <is>
          <t>PANGUIPULLI</t>
        </is>
      </c>
      <c r="K59" t="n">
        <v>-7445.38057525</v>
      </c>
      <c r="L59" t="inlineStr">
        <is>
          <t>PANGUIPULLI</t>
        </is>
      </c>
      <c r="M59" t="inlineStr">
        <is>
          <t>MELIPULLI</t>
        </is>
      </c>
      <c r="N59" t="n">
        <v>0.00938568728699</v>
      </c>
      <c r="O59" t="n">
        <v>69.880014</v>
      </c>
      <c r="P59" t="inlineStr">
        <is>
          <t>BS1A</t>
        </is>
      </c>
      <c r="Q59" t="n">
        <v>2</v>
      </c>
      <c r="W59" t="n">
        <v>2</v>
      </c>
      <c r="X59" t="n">
        <v>0</v>
      </c>
      <c r="AA59" t="inlineStr">
        <is>
          <t>PNP_6T_08-05-2020</t>
        </is>
      </c>
      <c r="AB59" t="inlineStr">
        <is>
          <t>PNCP_9T_12-08-2019</t>
        </is>
      </c>
      <c r="AC59" t="inlineStr">
        <is>
          <t>PNCP_4T_30-04-2013</t>
        </is>
      </c>
      <c r="AD59" t="inlineStr">
        <is>
          <t>MELIPULLI 220</t>
        </is>
      </c>
      <c r="AE59" t="n">
        <v>111.133</v>
      </c>
      <c r="AF59" t="n">
        <v>1.072776031070834</v>
      </c>
      <c r="AG59" t="n">
        <v>119.220818660995</v>
      </c>
      <c r="AH59" t="n">
        <v>694.38</v>
      </c>
      <c r="AI59" t="n">
        <v>0.875</v>
      </c>
      <c r="AJ59" t="n">
        <v>72.43648305409401</v>
      </c>
      <c r="AK59" t="n">
        <v>0.8826000000000001</v>
      </c>
      <c r="AL59" t="n">
        <v>63.932</v>
      </c>
      <c r="AM59" t="n">
        <v>8.9176</v>
      </c>
      <c r="AN59" t="n">
        <v>9.566587534677272</v>
      </c>
      <c r="AO59" t="n">
        <v>0.913</v>
      </c>
      <c r="AP59" t="n">
        <v>6064.919358776563</v>
      </c>
      <c r="AQ59" t="n">
        <v>1</v>
      </c>
      <c r="AR59" t="n">
        <v>6064.9194</v>
      </c>
      <c r="AT59" t="inlineStr">
        <is>
          <t>PNP_19T_30-12-2020</t>
        </is>
      </c>
      <c r="AU59" t="inlineStr">
        <is>
          <t>PNCP_12T_10-08-2020</t>
        </is>
      </c>
      <c r="AV59" t="inlineStr">
        <is>
          <t>PNCP_4T_30-04-2013</t>
        </is>
      </c>
      <c r="AW59" t="inlineStr">
        <is>
          <t>MELIPULLI 220</t>
        </is>
      </c>
      <c r="AX59" t="n">
        <v>111.133</v>
      </c>
      <c r="AY59" t="n">
        <v>1.083385174100913</v>
      </c>
      <c r="AZ59" t="n">
        <v>120.3998445533567</v>
      </c>
      <c r="BA59" t="n">
        <v>801.49</v>
      </c>
      <c r="BB59" t="n">
        <v>0.905</v>
      </c>
      <c r="BC59" t="n">
        <v>87.33184062701827</v>
      </c>
      <c r="BD59" t="n">
        <v>0.7824</v>
      </c>
      <c r="BE59" t="n">
        <v>68.328</v>
      </c>
      <c r="BF59" t="n">
        <v>8.9176</v>
      </c>
      <c r="BG59" t="n">
        <v>0.77</v>
      </c>
      <c r="BH59" t="n">
        <v>5962.380796939026</v>
      </c>
      <c r="BI59" t="n">
        <v>1</v>
      </c>
      <c r="BJ59" t="n">
        <v>5962.3808</v>
      </c>
    </row>
    <row r="60">
      <c r="A60" t="n">
        <v>1985</v>
      </c>
      <c r="B60" t="inlineStr">
        <is>
          <t>01-01-2021</t>
        </is>
      </c>
      <c r="C60" t="n">
        <v>2021</v>
      </c>
      <c r="D60" t="n">
        <v>1</v>
      </c>
      <c r="E60" t="inlineStr">
        <is>
          <t>CAREN</t>
        </is>
      </c>
      <c r="F60" t="inlineStr">
        <is>
          <t>SUM_SAESA_A</t>
        </is>
      </c>
      <c r="G60" t="inlineStr">
        <is>
          <t>A</t>
        </is>
      </c>
      <c r="H60" t="inlineStr">
        <is>
          <t>SAESA</t>
        </is>
      </c>
      <c r="I60" t="inlineStr">
        <is>
          <t>SAESPANGBLOQA</t>
        </is>
      </c>
      <c r="J60" t="inlineStr">
        <is>
          <t>PANGUIPULLI</t>
        </is>
      </c>
      <c r="K60" t="n">
        <v>-7445.38057525</v>
      </c>
      <c r="L60" t="inlineStr">
        <is>
          <t>PANGUIPULLI</t>
        </is>
      </c>
      <c r="M60" t="inlineStr">
        <is>
          <t>VALDIVIA</t>
        </is>
      </c>
      <c r="N60" t="n">
        <v>0.67856885801593</v>
      </c>
      <c r="O60" t="n">
        <v>5052.203394</v>
      </c>
      <c r="P60" t="inlineStr">
        <is>
          <t>BS1A</t>
        </is>
      </c>
      <c r="Q60" t="n">
        <v>2</v>
      </c>
      <c r="W60" t="n">
        <v>2</v>
      </c>
      <c r="X60" t="n">
        <v>0</v>
      </c>
      <c r="AA60" t="inlineStr">
        <is>
          <t>PNP_6T_08-05-2020</t>
        </is>
      </c>
      <c r="AB60" t="inlineStr">
        <is>
          <t>PNCP_9T_12-08-2019</t>
        </is>
      </c>
      <c r="AC60" t="inlineStr">
        <is>
          <t>PNCP_4T_30-04-2013</t>
        </is>
      </c>
      <c r="AD60" t="inlineStr">
        <is>
          <t>VALDIVIA 220</t>
        </is>
      </c>
      <c r="AE60" t="n">
        <v>111.133</v>
      </c>
      <c r="AF60" t="n">
        <v>1.072776031070834</v>
      </c>
      <c r="AG60" t="n">
        <v>119.220818660995</v>
      </c>
      <c r="AH60" t="n">
        <v>694.38</v>
      </c>
      <c r="AI60" t="n">
        <v>0.875</v>
      </c>
      <c r="AJ60" t="n">
        <v>72.43648305409401</v>
      </c>
      <c r="AK60" t="n">
        <v>0.913</v>
      </c>
      <c r="AL60" t="n">
        <v>66.13500000000001</v>
      </c>
      <c r="AM60" t="n">
        <v>8.9176</v>
      </c>
      <c r="AN60" t="n">
        <v>9.566587534677272</v>
      </c>
      <c r="AO60" t="n">
        <v>0.913</v>
      </c>
      <c r="AP60" t="n">
        <v>6064.919358776563</v>
      </c>
      <c r="AQ60" t="n">
        <v>1.051287819142954</v>
      </c>
      <c r="AR60" t="n">
        <v>6375.9758</v>
      </c>
      <c r="AT60" t="inlineStr">
        <is>
          <t>PNP_19T_30-12-2020</t>
        </is>
      </c>
      <c r="AU60" t="inlineStr">
        <is>
          <t>PNCP_12T_10-08-2020</t>
        </is>
      </c>
      <c r="AV60" t="inlineStr">
        <is>
          <t>PNCP_4T_30-04-2013</t>
        </is>
      </c>
      <c r="AW60" t="inlineStr">
        <is>
          <t>VALDIVIA 220</t>
        </is>
      </c>
      <c r="AX60" t="n">
        <v>111.133</v>
      </c>
      <c r="AY60" t="n">
        <v>1.083385174100913</v>
      </c>
      <c r="AZ60" t="n">
        <v>120.3998445533567</v>
      </c>
      <c r="BA60" t="n">
        <v>801.49</v>
      </c>
      <c r="BB60" t="n">
        <v>0.905</v>
      </c>
      <c r="BC60" t="n">
        <v>87.33184062701827</v>
      </c>
      <c r="BD60" t="n">
        <v>0.8745000000000001</v>
      </c>
      <c r="BE60" t="n">
        <v>76.372</v>
      </c>
      <c r="BF60" t="n">
        <v>8.9176</v>
      </c>
      <c r="BG60" t="n">
        <v>0.77</v>
      </c>
      <c r="BH60" t="n">
        <v>5962.380796939026</v>
      </c>
      <c r="BI60" t="n">
        <v>1.148014846473962</v>
      </c>
      <c r="BJ60" t="n">
        <v>6844.9017</v>
      </c>
    </row>
    <row r="61">
      <c r="A61" t="n">
        <v>239</v>
      </c>
      <c r="B61" t="inlineStr">
        <is>
          <t>01-01-2021</t>
        </is>
      </c>
      <c r="C61" t="n">
        <v>2021</v>
      </c>
      <c r="D61" t="n">
        <v>1</v>
      </c>
      <c r="E61" t="inlineStr">
        <is>
          <t>CAREN</t>
        </is>
      </c>
      <c r="F61" t="inlineStr">
        <is>
          <t>SUM_SAESA_A</t>
        </is>
      </c>
      <c r="G61" t="inlineStr">
        <is>
          <t>A</t>
        </is>
      </c>
      <c r="H61" t="inlineStr">
        <is>
          <t>SAESA</t>
        </is>
      </c>
      <c r="I61" t="inlineStr">
        <is>
          <t>SAESPARGBLOQA</t>
        </is>
      </c>
      <c r="J61" t="inlineStr">
        <is>
          <t>PARGUA</t>
        </is>
      </c>
      <c r="K61" t="n">
        <v>-626.92876818</v>
      </c>
      <c r="L61" t="inlineStr">
        <is>
          <t>PARGUA 23</t>
        </is>
      </c>
      <c r="M61" t="inlineStr">
        <is>
          <t>MELIPULLI</t>
        </is>
      </c>
      <c r="N61" t="n">
        <v>0.88336054288962</v>
      </c>
      <c r="O61" t="n">
        <v>553.804137</v>
      </c>
      <c r="P61" t="inlineStr">
        <is>
          <t>BS1A</t>
        </is>
      </c>
      <c r="Q61" t="n">
        <v>2</v>
      </c>
      <c r="W61" t="n">
        <v>2</v>
      </c>
      <c r="X61" t="n">
        <v>0</v>
      </c>
      <c r="AA61" t="inlineStr">
        <is>
          <t>PNP_6T_08-05-2020</t>
        </is>
      </c>
      <c r="AB61" t="inlineStr">
        <is>
          <t>PNCP_9T_12-08-2019</t>
        </is>
      </c>
      <c r="AC61" t="inlineStr">
        <is>
          <t>PNCP_4T_30-04-2013</t>
        </is>
      </c>
      <c r="AD61" t="inlineStr">
        <is>
          <t>MELIPULLI 220</t>
        </is>
      </c>
      <c r="AE61" t="n">
        <v>111.133</v>
      </c>
      <c r="AF61" t="n">
        <v>1.072776031070834</v>
      </c>
      <c r="AG61" t="n">
        <v>119.220818660995</v>
      </c>
      <c r="AH61" t="n">
        <v>694.38</v>
      </c>
      <c r="AI61" t="n">
        <v>0.875</v>
      </c>
      <c r="AJ61" t="n">
        <v>72.43648305409401</v>
      </c>
      <c r="AK61" t="n">
        <v>0.8826000000000001</v>
      </c>
      <c r="AL61" t="n">
        <v>63.932</v>
      </c>
      <c r="AM61" t="n">
        <v>8.9176</v>
      </c>
      <c r="AN61" t="n">
        <v>9.566587534677272</v>
      </c>
      <c r="AO61" t="n">
        <v>0.913</v>
      </c>
      <c r="AP61" t="n">
        <v>6064.919358776563</v>
      </c>
      <c r="AQ61" t="n">
        <v>1</v>
      </c>
      <c r="AR61" t="n">
        <v>6064.9194</v>
      </c>
      <c r="AT61" t="inlineStr">
        <is>
          <t>PNP_19T_30-12-2020</t>
        </is>
      </c>
      <c r="AU61" t="inlineStr">
        <is>
          <t>PNCP_12T_10-08-2020</t>
        </is>
      </c>
      <c r="AV61" t="inlineStr">
        <is>
          <t>PNCP_4T_30-04-2013</t>
        </is>
      </c>
      <c r="AW61" t="inlineStr">
        <is>
          <t>MELIPULLI 220</t>
        </is>
      </c>
      <c r="AX61" t="n">
        <v>111.133</v>
      </c>
      <c r="AY61" t="n">
        <v>1.083385174100913</v>
      </c>
      <c r="AZ61" t="n">
        <v>120.3998445533567</v>
      </c>
      <c r="BA61" t="n">
        <v>801.49</v>
      </c>
      <c r="BB61" t="n">
        <v>0.905</v>
      </c>
      <c r="BC61" t="n">
        <v>87.33184062701827</v>
      </c>
      <c r="BD61" t="n">
        <v>0.7824</v>
      </c>
      <c r="BE61" t="n">
        <v>68.328</v>
      </c>
      <c r="BF61" t="n">
        <v>8.9176</v>
      </c>
      <c r="BG61" t="n">
        <v>0.77</v>
      </c>
      <c r="BH61" t="n">
        <v>5962.380796939026</v>
      </c>
      <c r="BI61" t="n">
        <v>1</v>
      </c>
      <c r="BJ61" t="n">
        <v>5962.3808</v>
      </c>
    </row>
    <row r="62">
      <c r="A62" t="n">
        <v>1981</v>
      </c>
      <c r="B62" t="inlineStr">
        <is>
          <t>01-01-2021</t>
        </is>
      </c>
      <c r="C62" t="n">
        <v>2021</v>
      </c>
      <c r="D62" t="n">
        <v>1</v>
      </c>
      <c r="E62" t="inlineStr">
        <is>
          <t>CAREN</t>
        </is>
      </c>
      <c r="F62" t="inlineStr">
        <is>
          <t>SUM_SAESA_A</t>
        </is>
      </c>
      <c r="G62" t="inlineStr">
        <is>
          <t>A</t>
        </is>
      </c>
      <c r="H62" t="inlineStr">
        <is>
          <t>SAESA</t>
        </is>
      </c>
      <c r="I62" t="inlineStr">
        <is>
          <t>SAESPICABLOQA</t>
        </is>
      </c>
      <c r="J62" t="inlineStr">
        <is>
          <t>PICARTE</t>
        </is>
      </c>
      <c r="K62" t="n">
        <v>-18802.16714091</v>
      </c>
      <c r="L62" t="inlineStr">
        <is>
          <t>PICARTE</t>
        </is>
      </c>
      <c r="M62" t="inlineStr">
        <is>
          <t>BARRO BLANCO</t>
        </is>
      </c>
      <c r="N62" t="n">
        <v>0.04426188381592</v>
      </c>
      <c r="O62" t="n">
        <v>832.219337</v>
      </c>
      <c r="P62" t="inlineStr">
        <is>
          <t>BS1A</t>
        </is>
      </c>
      <c r="Q62" t="n">
        <v>2</v>
      </c>
      <c r="W62" t="n">
        <v>2</v>
      </c>
      <c r="X62" t="n">
        <v>0</v>
      </c>
      <c r="AA62" t="inlineStr">
        <is>
          <t>PNP_6T_08-05-2020</t>
        </is>
      </c>
      <c r="AB62" t="inlineStr">
        <is>
          <t>PNCP_9T_12-08-2019</t>
        </is>
      </c>
      <c r="AC62" t="inlineStr">
        <is>
          <t>PNCP_4T_30-04-2013</t>
        </is>
      </c>
      <c r="AD62" t="inlineStr">
        <is>
          <t>Barro Blanco 220</t>
        </is>
      </c>
      <c r="AE62" t="n">
        <v>111.133</v>
      </c>
      <c r="AF62" t="n">
        <v>1.072776031070834</v>
      </c>
      <c r="AG62" t="n">
        <v>119.220818660995</v>
      </c>
      <c r="AH62" t="n">
        <v>694.38</v>
      </c>
      <c r="AI62" t="n">
        <v>0.875</v>
      </c>
      <c r="AJ62" t="n">
        <v>72.43648305409401</v>
      </c>
      <c r="AK62" t="n">
        <v>0.8631</v>
      </c>
      <c r="AL62" t="n">
        <v>62.52</v>
      </c>
      <c r="AM62" t="n">
        <v>8.9176</v>
      </c>
      <c r="AN62" t="n">
        <v>9.566587534677272</v>
      </c>
      <c r="AO62" t="n">
        <v>0.913</v>
      </c>
      <c r="AP62" t="n">
        <v>6064.919358776563</v>
      </c>
      <c r="AQ62" t="n">
        <v>1.004432825642191</v>
      </c>
      <c r="AR62" t="n">
        <v>6091.8041</v>
      </c>
      <c r="AT62" t="inlineStr">
        <is>
          <t>PNP_19T_30-12-2020</t>
        </is>
      </c>
      <c r="AU62" t="inlineStr">
        <is>
          <t>PNCP_12T_10-08-2020</t>
        </is>
      </c>
      <c r="AV62" t="inlineStr">
        <is>
          <t>PNCP_4T_30-04-2013</t>
        </is>
      </c>
      <c r="AW62" t="inlineStr">
        <is>
          <t>Barro Blanco 220</t>
        </is>
      </c>
      <c r="AX62" t="n">
        <v>111.133</v>
      </c>
      <c r="AY62" t="n">
        <v>1.083385174100913</v>
      </c>
      <c r="AZ62" t="n">
        <v>120.3998445533567</v>
      </c>
      <c r="BA62" t="n">
        <v>801.49</v>
      </c>
      <c r="BB62" t="n">
        <v>0.905</v>
      </c>
      <c r="BC62" t="n">
        <v>87.33184062701827</v>
      </c>
      <c r="BD62" t="n">
        <v>0.7946</v>
      </c>
      <c r="BE62" t="n">
        <v>69.39400000000001</v>
      </c>
      <c r="BF62" t="n">
        <v>8.9176</v>
      </c>
      <c r="BG62" t="n">
        <v>0.77</v>
      </c>
      <c r="BH62" t="n">
        <v>5962.380796939026</v>
      </c>
      <c r="BI62" t="n">
        <v>1.047283473516708</v>
      </c>
      <c r="BJ62" t="n">
        <v>6244.3029</v>
      </c>
    </row>
    <row r="63">
      <c r="A63" t="n">
        <v>1983</v>
      </c>
      <c r="B63" t="inlineStr">
        <is>
          <t>01-01-2021</t>
        </is>
      </c>
      <c r="C63" t="n">
        <v>2021</v>
      </c>
      <c r="D63" t="n">
        <v>1</v>
      </c>
      <c r="E63" t="inlineStr">
        <is>
          <t>CAREN</t>
        </is>
      </c>
      <c r="F63" t="inlineStr">
        <is>
          <t>SUM_SAESA_A</t>
        </is>
      </c>
      <c r="G63" t="inlineStr">
        <is>
          <t>A</t>
        </is>
      </c>
      <c r="H63" t="inlineStr">
        <is>
          <t>SAESA</t>
        </is>
      </c>
      <c r="I63" t="inlineStr">
        <is>
          <t>SAESPICABLOQA</t>
        </is>
      </c>
      <c r="J63" t="inlineStr">
        <is>
          <t>PICARTE</t>
        </is>
      </c>
      <c r="K63" t="n">
        <v>-18802.16714091</v>
      </c>
      <c r="L63" t="inlineStr">
        <is>
          <t>PICARTE</t>
        </is>
      </c>
      <c r="M63" t="inlineStr">
        <is>
          <t>MELIPULLI</t>
        </is>
      </c>
      <c r="N63" t="n">
        <v>0.00284526914055</v>
      </c>
      <c r="O63" t="n">
        <v>53.497226</v>
      </c>
      <c r="P63" t="inlineStr">
        <is>
          <t>BS1A</t>
        </is>
      </c>
      <c r="Q63" t="n">
        <v>2</v>
      </c>
      <c r="W63" t="n">
        <v>2</v>
      </c>
      <c r="X63" t="n">
        <v>0</v>
      </c>
      <c r="AA63" t="inlineStr">
        <is>
          <t>PNP_6T_08-05-2020</t>
        </is>
      </c>
      <c r="AB63" t="inlineStr">
        <is>
          <t>PNCP_9T_12-08-2019</t>
        </is>
      </c>
      <c r="AC63" t="inlineStr">
        <is>
          <t>PNCP_4T_30-04-2013</t>
        </is>
      </c>
      <c r="AD63" t="inlineStr">
        <is>
          <t>MELIPULLI 220</t>
        </is>
      </c>
      <c r="AE63" t="n">
        <v>111.133</v>
      </c>
      <c r="AF63" t="n">
        <v>1.072776031070834</v>
      </c>
      <c r="AG63" t="n">
        <v>119.220818660995</v>
      </c>
      <c r="AH63" t="n">
        <v>694.38</v>
      </c>
      <c r="AI63" t="n">
        <v>0.875</v>
      </c>
      <c r="AJ63" t="n">
        <v>72.43648305409401</v>
      </c>
      <c r="AK63" t="n">
        <v>0.8826000000000001</v>
      </c>
      <c r="AL63" t="n">
        <v>63.932</v>
      </c>
      <c r="AM63" t="n">
        <v>8.9176</v>
      </c>
      <c r="AN63" t="n">
        <v>9.566587534677272</v>
      </c>
      <c r="AO63" t="n">
        <v>0.913</v>
      </c>
      <c r="AP63" t="n">
        <v>6064.919358776563</v>
      </c>
      <c r="AQ63" t="n">
        <v>1</v>
      </c>
      <c r="AR63" t="n">
        <v>6064.9194</v>
      </c>
      <c r="AT63" t="inlineStr">
        <is>
          <t>PNP_19T_30-12-2020</t>
        </is>
      </c>
      <c r="AU63" t="inlineStr">
        <is>
          <t>PNCP_12T_10-08-2020</t>
        </is>
      </c>
      <c r="AV63" t="inlineStr">
        <is>
          <t>PNCP_4T_30-04-2013</t>
        </is>
      </c>
      <c r="AW63" t="inlineStr">
        <is>
          <t>MELIPULLI 220</t>
        </is>
      </c>
      <c r="AX63" t="n">
        <v>111.133</v>
      </c>
      <c r="AY63" t="n">
        <v>1.083385174100913</v>
      </c>
      <c r="AZ63" t="n">
        <v>120.3998445533567</v>
      </c>
      <c r="BA63" t="n">
        <v>801.49</v>
      </c>
      <c r="BB63" t="n">
        <v>0.905</v>
      </c>
      <c r="BC63" t="n">
        <v>87.33184062701827</v>
      </c>
      <c r="BD63" t="n">
        <v>0.7824</v>
      </c>
      <c r="BE63" t="n">
        <v>68.328</v>
      </c>
      <c r="BF63" t="n">
        <v>8.9176</v>
      </c>
      <c r="BG63" t="n">
        <v>0.77</v>
      </c>
      <c r="BH63" t="n">
        <v>5962.380796939026</v>
      </c>
      <c r="BI63" t="n">
        <v>1</v>
      </c>
      <c r="BJ63" t="n">
        <v>5962.3808</v>
      </c>
    </row>
    <row r="64">
      <c r="A64" t="n">
        <v>1985</v>
      </c>
      <c r="B64" t="inlineStr">
        <is>
          <t>01-01-2021</t>
        </is>
      </c>
      <c r="C64" t="n">
        <v>2021</v>
      </c>
      <c r="D64" t="n">
        <v>1</v>
      </c>
      <c r="E64" t="inlineStr">
        <is>
          <t>CAREN</t>
        </is>
      </c>
      <c r="F64" t="inlineStr">
        <is>
          <t>SUM_SAESA_A</t>
        </is>
      </c>
      <c r="G64" t="inlineStr">
        <is>
          <t>A</t>
        </is>
      </c>
      <c r="H64" t="inlineStr">
        <is>
          <t>SAESA</t>
        </is>
      </c>
      <c r="I64" t="inlineStr">
        <is>
          <t>SAESPICABLOQA</t>
        </is>
      </c>
      <c r="J64" t="inlineStr">
        <is>
          <t>PICARTE</t>
        </is>
      </c>
      <c r="K64" t="n">
        <v>-18802.16714091</v>
      </c>
      <c r="L64" t="inlineStr">
        <is>
          <t>PICARTE</t>
        </is>
      </c>
      <c r="M64" t="inlineStr">
        <is>
          <t>VALDIVIA</t>
        </is>
      </c>
      <c r="N64" t="n">
        <v>0.81632978072526</v>
      </c>
      <c r="O64" t="n">
        <v>15348.768979</v>
      </c>
      <c r="P64" t="inlineStr">
        <is>
          <t>BS1A</t>
        </is>
      </c>
      <c r="Q64" t="n">
        <v>2</v>
      </c>
      <c r="W64" t="n">
        <v>2</v>
      </c>
      <c r="X64" t="n">
        <v>0</v>
      </c>
      <c r="AA64" t="inlineStr">
        <is>
          <t>PNP_6T_08-05-2020</t>
        </is>
      </c>
      <c r="AB64" t="inlineStr">
        <is>
          <t>PNCP_9T_12-08-2019</t>
        </is>
      </c>
      <c r="AC64" t="inlineStr">
        <is>
          <t>PNCP_4T_30-04-2013</t>
        </is>
      </c>
      <c r="AD64" t="inlineStr">
        <is>
          <t>VALDIVIA 220</t>
        </is>
      </c>
      <c r="AE64" t="n">
        <v>111.133</v>
      </c>
      <c r="AF64" t="n">
        <v>1.072776031070834</v>
      </c>
      <c r="AG64" t="n">
        <v>119.220818660995</v>
      </c>
      <c r="AH64" t="n">
        <v>694.38</v>
      </c>
      <c r="AI64" t="n">
        <v>0.875</v>
      </c>
      <c r="AJ64" t="n">
        <v>72.43648305409401</v>
      </c>
      <c r="AK64" t="n">
        <v>0.913</v>
      </c>
      <c r="AL64" t="n">
        <v>66.13500000000001</v>
      </c>
      <c r="AM64" t="n">
        <v>8.9176</v>
      </c>
      <c r="AN64" t="n">
        <v>9.566587534677272</v>
      </c>
      <c r="AO64" t="n">
        <v>0.913</v>
      </c>
      <c r="AP64" t="n">
        <v>6064.919358776563</v>
      </c>
      <c r="AQ64" t="n">
        <v>1.051287819142954</v>
      </c>
      <c r="AR64" t="n">
        <v>6375.9758</v>
      </c>
      <c r="AT64" t="inlineStr">
        <is>
          <t>PNP_19T_30-12-2020</t>
        </is>
      </c>
      <c r="AU64" t="inlineStr">
        <is>
          <t>PNCP_12T_10-08-2020</t>
        </is>
      </c>
      <c r="AV64" t="inlineStr">
        <is>
          <t>PNCP_4T_30-04-2013</t>
        </is>
      </c>
      <c r="AW64" t="inlineStr">
        <is>
          <t>VALDIVIA 220</t>
        </is>
      </c>
      <c r="AX64" t="n">
        <v>111.133</v>
      </c>
      <c r="AY64" t="n">
        <v>1.083385174100913</v>
      </c>
      <c r="AZ64" t="n">
        <v>120.3998445533567</v>
      </c>
      <c r="BA64" t="n">
        <v>801.49</v>
      </c>
      <c r="BB64" t="n">
        <v>0.905</v>
      </c>
      <c r="BC64" t="n">
        <v>87.33184062701827</v>
      </c>
      <c r="BD64" t="n">
        <v>0.8745000000000001</v>
      </c>
      <c r="BE64" t="n">
        <v>76.372</v>
      </c>
      <c r="BF64" t="n">
        <v>8.9176</v>
      </c>
      <c r="BG64" t="n">
        <v>0.77</v>
      </c>
      <c r="BH64" t="n">
        <v>5962.380796939026</v>
      </c>
      <c r="BI64" t="n">
        <v>1.148014846473962</v>
      </c>
      <c r="BJ64" t="n">
        <v>6844.9017</v>
      </c>
    </row>
    <row r="65">
      <c r="A65" t="n">
        <v>3979</v>
      </c>
      <c r="B65" t="inlineStr">
        <is>
          <t>01-01-2021</t>
        </is>
      </c>
      <c r="C65" t="n">
        <v>2021</v>
      </c>
      <c r="D65" t="n">
        <v>1</v>
      </c>
      <c r="E65" t="inlineStr">
        <is>
          <t>CAREN</t>
        </is>
      </c>
      <c r="F65" t="inlineStr">
        <is>
          <t>SUM_SAESA_A</t>
        </is>
      </c>
      <c r="G65" t="inlineStr">
        <is>
          <t>A</t>
        </is>
      </c>
      <c r="H65" t="inlineStr">
        <is>
          <t>SAESA</t>
        </is>
      </c>
      <c r="I65" t="inlineStr">
        <is>
          <t>SAESPICHIBLOQA</t>
        </is>
      </c>
      <c r="J65" t="inlineStr">
        <is>
          <t>PICHIL</t>
        </is>
      </c>
      <c r="K65" t="n">
        <v>-768.59227942</v>
      </c>
      <c r="L65" t="inlineStr">
        <is>
          <t>PICHIL</t>
        </is>
      </c>
      <c r="M65" t="inlineStr">
        <is>
          <t>BARRO BLANCO</t>
        </is>
      </c>
      <c r="N65" t="n">
        <v>0.8920038857753</v>
      </c>
      <c r="O65" t="n">
        <v>685.5873</v>
      </c>
      <c r="P65" t="inlineStr">
        <is>
          <t>BS1A</t>
        </is>
      </c>
      <c r="Q65" t="n">
        <v>2</v>
      </c>
      <c r="W65" t="n">
        <v>2</v>
      </c>
      <c r="X65" t="n">
        <v>0</v>
      </c>
      <c r="AA65" t="inlineStr">
        <is>
          <t>PNP_6T_08-05-2020</t>
        </is>
      </c>
      <c r="AB65" t="inlineStr">
        <is>
          <t>PNCP_9T_12-08-2019</t>
        </is>
      </c>
      <c r="AC65" t="inlineStr">
        <is>
          <t>PNCP_4T_30-04-2013</t>
        </is>
      </c>
      <c r="AD65" t="inlineStr">
        <is>
          <t>Barro Blanco 220</t>
        </is>
      </c>
      <c r="AE65" t="n">
        <v>111.133</v>
      </c>
      <c r="AF65" t="n">
        <v>1.072776031070834</v>
      </c>
      <c r="AG65" t="n">
        <v>119.220818660995</v>
      </c>
      <c r="AH65" t="n">
        <v>694.38</v>
      </c>
      <c r="AI65" t="n">
        <v>0.875</v>
      </c>
      <c r="AJ65" t="n">
        <v>72.43648305409401</v>
      </c>
      <c r="AK65" t="n">
        <v>0.8631</v>
      </c>
      <c r="AL65" t="n">
        <v>62.52</v>
      </c>
      <c r="AM65" t="n">
        <v>8.9176</v>
      </c>
      <c r="AN65" t="n">
        <v>9.566587534677272</v>
      </c>
      <c r="AO65" t="n">
        <v>0.913</v>
      </c>
      <c r="AP65" t="n">
        <v>6064.919358776563</v>
      </c>
      <c r="AQ65" t="n">
        <v>1.004432825642191</v>
      </c>
      <c r="AR65" t="n">
        <v>6091.8041</v>
      </c>
      <c r="AT65" t="inlineStr">
        <is>
          <t>PNP_19T_30-12-2020</t>
        </is>
      </c>
      <c r="AU65" t="inlineStr">
        <is>
          <t>PNCP_12T_10-08-2020</t>
        </is>
      </c>
      <c r="AV65" t="inlineStr">
        <is>
          <t>PNCP_4T_30-04-2013</t>
        </is>
      </c>
      <c r="AW65" t="inlineStr">
        <is>
          <t>Barro Blanco 220</t>
        </is>
      </c>
      <c r="AX65" t="n">
        <v>111.133</v>
      </c>
      <c r="AY65" t="n">
        <v>1.083385174100913</v>
      </c>
      <c r="AZ65" t="n">
        <v>120.3998445533567</v>
      </c>
      <c r="BA65" t="n">
        <v>801.49</v>
      </c>
      <c r="BB65" t="n">
        <v>0.905</v>
      </c>
      <c r="BC65" t="n">
        <v>87.33184062701827</v>
      </c>
      <c r="BD65" t="n">
        <v>0.7946</v>
      </c>
      <c r="BE65" t="n">
        <v>69.39400000000001</v>
      </c>
      <c r="BF65" t="n">
        <v>8.9176</v>
      </c>
      <c r="BG65" t="n">
        <v>0.77</v>
      </c>
      <c r="BH65" t="n">
        <v>5962.380796939026</v>
      </c>
      <c r="BI65" t="n">
        <v>1.047283473516708</v>
      </c>
      <c r="BJ65" t="n">
        <v>6244.3029</v>
      </c>
    </row>
    <row r="66">
      <c r="A66" t="n">
        <v>3981</v>
      </c>
      <c r="B66" t="inlineStr">
        <is>
          <t>01-01-2021</t>
        </is>
      </c>
      <c r="C66" t="n">
        <v>2021</v>
      </c>
      <c r="D66" t="n">
        <v>1</v>
      </c>
      <c r="E66" t="inlineStr">
        <is>
          <t>CAREN</t>
        </is>
      </c>
      <c r="F66" t="inlineStr">
        <is>
          <t>SUM_SAESA_A</t>
        </is>
      </c>
      <c r="G66" t="inlineStr">
        <is>
          <t>A</t>
        </is>
      </c>
      <c r="H66" t="inlineStr">
        <is>
          <t>SAESA</t>
        </is>
      </c>
      <c r="I66" t="inlineStr">
        <is>
          <t>SAESPICHIBLOQA</t>
        </is>
      </c>
      <c r="J66" t="inlineStr">
        <is>
          <t>PICHIL</t>
        </is>
      </c>
      <c r="K66" t="n">
        <v>-768.59227942</v>
      </c>
      <c r="L66" t="inlineStr">
        <is>
          <t>PICHIL</t>
        </is>
      </c>
      <c r="M66" t="inlineStr">
        <is>
          <t>MELIPULLI</t>
        </is>
      </c>
      <c r="N66" t="n">
        <v>0.0602325005507</v>
      </c>
      <c r="O66" t="n">
        <v>46.294235</v>
      </c>
      <c r="P66" t="inlineStr">
        <is>
          <t>BS1A</t>
        </is>
      </c>
      <c r="Q66" t="n">
        <v>2</v>
      </c>
      <c r="W66" t="n">
        <v>2</v>
      </c>
      <c r="X66" t="n">
        <v>0</v>
      </c>
      <c r="AA66" t="inlineStr">
        <is>
          <t>PNP_6T_08-05-2020</t>
        </is>
      </c>
      <c r="AB66" t="inlineStr">
        <is>
          <t>PNCP_9T_12-08-2019</t>
        </is>
      </c>
      <c r="AC66" t="inlineStr">
        <is>
          <t>PNCP_4T_30-04-2013</t>
        </is>
      </c>
      <c r="AD66" t="inlineStr">
        <is>
          <t>MELIPULLI 220</t>
        </is>
      </c>
      <c r="AE66" t="n">
        <v>111.133</v>
      </c>
      <c r="AF66" t="n">
        <v>1.072776031070834</v>
      </c>
      <c r="AG66" t="n">
        <v>119.220818660995</v>
      </c>
      <c r="AH66" t="n">
        <v>694.38</v>
      </c>
      <c r="AI66" t="n">
        <v>0.875</v>
      </c>
      <c r="AJ66" t="n">
        <v>72.43648305409401</v>
      </c>
      <c r="AK66" t="n">
        <v>0.8826000000000001</v>
      </c>
      <c r="AL66" t="n">
        <v>63.932</v>
      </c>
      <c r="AM66" t="n">
        <v>8.9176</v>
      </c>
      <c r="AN66" t="n">
        <v>9.566587534677272</v>
      </c>
      <c r="AO66" t="n">
        <v>0.913</v>
      </c>
      <c r="AP66" t="n">
        <v>6064.919358776563</v>
      </c>
      <c r="AQ66" t="n">
        <v>1</v>
      </c>
      <c r="AR66" t="n">
        <v>6064.9194</v>
      </c>
      <c r="AT66" t="inlineStr">
        <is>
          <t>PNP_19T_30-12-2020</t>
        </is>
      </c>
      <c r="AU66" t="inlineStr">
        <is>
          <t>PNCP_12T_10-08-2020</t>
        </is>
      </c>
      <c r="AV66" t="inlineStr">
        <is>
          <t>PNCP_4T_30-04-2013</t>
        </is>
      </c>
      <c r="AW66" t="inlineStr">
        <is>
          <t>MELIPULLI 220</t>
        </is>
      </c>
      <c r="AX66" t="n">
        <v>111.133</v>
      </c>
      <c r="AY66" t="n">
        <v>1.083385174100913</v>
      </c>
      <c r="AZ66" t="n">
        <v>120.3998445533567</v>
      </c>
      <c r="BA66" t="n">
        <v>801.49</v>
      </c>
      <c r="BB66" t="n">
        <v>0.905</v>
      </c>
      <c r="BC66" t="n">
        <v>87.33184062701827</v>
      </c>
      <c r="BD66" t="n">
        <v>0.7824</v>
      </c>
      <c r="BE66" t="n">
        <v>68.328</v>
      </c>
      <c r="BF66" t="n">
        <v>8.9176</v>
      </c>
      <c r="BG66" t="n">
        <v>0.77</v>
      </c>
      <c r="BH66" t="n">
        <v>5962.380796939026</v>
      </c>
      <c r="BI66" t="n">
        <v>1</v>
      </c>
      <c r="BJ66" t="n">
        <v>5962.3808</v>
      </c>
    </row>
    <row r="67">
      <c r="A67" t="n">
        <v>3983</v>
      </c>
      <c r="B67" t="inlineStr">
        <is>
          <t>01-01-2021</t>
        </is>
      </c>
      <c r="C67" t="n">
        <v>2021</v>
      </c>
      <c r="D67" t="n">
        <v>1</v>
      </c>
      <c r="E67" t="inlineStr">
        <is>
          <t>CAREN</t>
        </is>
      </c>
      <c r="F67" t="inlineStr">
        <is>
          <t>SUM_SAESA_A</t>
        </is>
      </c>
      <c r="G67" t="inlineStr">
        <is>
          <t>A</t>
        </is>
      </c>
      <c r="H67" t="inlineStr">
        <is>
          <t>SAESA</t>
        </is>
      </c>
      <c r="I67" t="inlineStr">
        <is>
          <t>SAESPICHIBLOQA</t>
        </is>
      </c>
      <c r="J67" t="inlineStr">
        <is>
          <t>PICHIL</t>
        </is>
      </c>
      <c r="K67" t="n">
        <v>-768.59227942</v>
      </c>
      <c r="L67" t="inlineStr">
        <is>
          <t>PICHIL</t>
        </is>
      </c>
      <c r="M67" t="inlineStr">
        <is>
          <t>VALDIVIA</t>
        </is>
      </c>
      <c r="N67" t="n">
        <v>0.00992234391695</v>
      </c>
      <c r="O67" t="n">
        <v>7.626237</v>
      </c>
      <c r="P67" t="inlineStr">
        <is>
          <t>BS1A</t>
        </is>
      </c>
      <c r="Q67" t="n">
        <v>2</v>
      </c>
      <c r="W67" t="n">
        <v>2</v>
      </c>
      <c r="X67" t="n">
        <v>0</v>
      </c>
      <c r="AA67" t="inlineStr">
        <is>
          <t>PNP_6T_08-05-2020</t>
        </is>
      </c>
      <c r="AB67" t="inlineStr">
        <is>
          <t>PNCP_9T_12-08-2019</t>
        </is>
      </c>
      <c r="AC67" t="inlineStr">
        <is>
          <t>PNCP_4T_30-04-2013</t>
        </is>
      </c>
      <c r="AD67" t="inlineStr">
        <is>
          <t>VALDIVIA 220</t>
        </is>
      </c>
      <c r="AE67" t="n">
        <v>111.133</v>
      </c>
      <c r="AF67" t="n">
        <v>1.072776031070834</v>
      </c>
      <c r="AG67" t="n">
        <v>119.220818660995</v>
      </c>
      <c r="AH67" t="n">
        <v>694.38</v>
      </c>
      <c r="AI67" t="n">
        <v>0.875</v>
      </c>
      <c r="AJ67" t="n">
        <v>72.43648305409401</v>
      </c>
      <c r="AK67" t="n">
        <v>0.913</v>
      </c>
      <c r="AL67" t="n">
        <v>66.13500000000001</v>
      </c>
      <c r="AM67" t="n">
        <v>8.9176</v>
      </c>
      <c r="AN67" t="n">
        <v>9.566587534677272</v>
      </c>
      <c r="AO67" t="n">
        <v>0.913</v>
      </c>
      <c r="AP67" t="n">
        <v>6064.919358776563</v>
      </c>
      <c r="AQ67" t="n">
        <v>1.051287819142954</v>
      </c>
      <c r="AR67" t="n">
        <v>6375.9758</v>
      </c>
      <c r="AT67" t="inlineStr">
        <is>
          <t>PNP_19T_30-12-2020</t>
        </is>
      </c>
      <c r="AU67" t="inlineStr">
        <is>
          <t>PNCP_12T_10-08-2020</t>
        </is>
      </c>
      <c r="AV67" t="inlineStr">
        <is>
          <t>PNCP_4T_30-04-2013</t>
        </is>
      </c>
      <c r="AW67" t="inlineStr">
        <is>
          <t>VALDIVIA 220</t>
        </is>
      </c>
      <c r="AX67" t="n">
        <v>111.133</v>
      </c>
      <c r="AY67" t="n">
        <v>1.083385174100913</v>
      </c>
      <c r="AZ67" t="n">
        <v>120.3998445533567</v>
      </c>
      <c r="BA67" t="n">
        <v>801.49</v>
      </c>
      <c r="BB67" t="n">
        <v>0.905</v>
      </c>
      <c r="BC67" t="n">
        <v>87.33184062701827</v>
      </c>
      <c r="BD67" t="n">
        <v>0.8745000000000001</v>
      </c>
      <c r="BE67" t="n">
        <v>76.372</v>
      </c>
      <c r="BF67" t="n">
        <v>8.9176</v>
      </c>
      <c r="BG67" t="n">
        <v>0.77</v>
      </c>
      <c r="BH67" t="n">
        <v>5962.380796939026</v>
      </c>
      <c r="BI67" t="n">
        <v>1.148014846473962</v>
      </c>
      <c r="BJ67" t="n">
        <v>6844.9017</v>
      </c>
    </row>
    <row r="68">
      <c r="A68" t="n">
        <v>1981</v>
      </c>
      <c r="B68" t="inlineStr">
        <is>
          <t>01-01-2021</t>
        </is>
      </c>
      <c r="C68" t="n">
        <v>2021</v>
      </c>
      <c r="D68" t="n">
        <v>1</v>
      </c>
      <c r="E68" t="inlineStr">
        <is>
          <t>CAREN</t>
        </is>
      </c>
      <c r="F68" t="inlineStr">
        <is>
          <t>SUM_SAESA_A</t>
        </is>
      </c>
      <c r="G68" t="inlineStr">
        <is>
          <t>A</t>
        </is>
      </c>
      <c r="H68" t="inlineStr">
        <is>
          <t>SAESA</t>
        </is>
      </c>
      <c r="I68" t="inlineStr">
        <is>
          <t>SAESPICHBLOQA</t>
        </is>
      </c>
      <c r="J68" t="inlineStr">
        <is>
          <t>PICHIRROPULLI</t>
        </is>
      </c>
      <c r="K68" t="n">
        <v>-4825.15080025</v>
      </c>
      <c r="L68" t="inlineStr">
        <is>
          <t>PICHIRROPULLI</t>
        </is>
      </c>
      <c r="M68" t="inlineStr">
        <is>
          <t>BARRO BLANCO</t>
        </is>
      </c>
      <c r="N68" t="n">
        <v>0.44055171091363</v>
      </c>
      <c r="O68" t="n">
        <v>2125.72844</v>
      </c>
      <c r="P68" t="inlineStr">
        <is>
          <t>BS1A</t>
        </is>
      </c>
      <c r="Q68" t="n">
        <v>2</v>
      </c>
      <c r="W68" t="n">
        <v>2</v>
      </c>
      <c r="X68" t="n">
        <v>0</v>
      </c>
      <c r="AA68" t="inlineStr">
        <is>
          <t>PNP_6T_08-05-2020</t>
        </is>
      </c>
      <c r="AB68" t="inlineStr">
        <is>
          <t>PNCP_9T_12-08-2019</t>
        </is>
      </c>
      <c r="AC68" t="inlineStr">
        <is>
          <t>PNCP_4T_30-04-2013</t>
        </is>
      </c>
      <c r="AD68" t="inlineStr">
        <is>
          <t>Barro Blanco 220</t>
        </is>
      </c>
      <c r="AE68" t="n">
        <v>111.133</v>
      </c>
      <c r="AF68" t="n">
        <v>1.072776031070834</v>
      </c>
      <c r="AG68" t="n">
        <v>119.220818660995</v>
      </c>
      <c r="AH68" t="n">
        <v>694.38</v>
      </c>
      <c r="AI68" t="n">
        <v>0.875</v>
      </c>
      <c r="AJ68" t="n">
        <v>72.43648305409401</v>
      </c>
      <c r="AK68" t="n">
        <v>0.8631</v>
      </c>
      <c r="AL68" t="n">
        <v>62.52</v>
      </c>
      <c r="AM68" t="n">
        <v>8.9176</v>
      </c>
      <c r="AN68" t="n">
        <v>9.566587534677272</v>
      </c>
      <c r="AO68" t="n">
        <v>0.913</v>
      </c>
      <c r="AP68" t="n">
        <v>6064.919358776563</v>
      </c>
      <c r="AQ68" t="n">
        <v>1.004432825642191</v>
      </c>
      <c r="AR68" t="n">
        <v>6091.8041</v>
      </c>
      <c r="AT68" t="inlineStr">
        <is>
          <t>PNP_19T_30-12-2020</t>
        </is>
      </c>
      <c r="AU68" t="inlineStr">
        <is>
          <t>PNCP_12T_10-08-2020</t>
        </is>
      </c>
      <c r="AV68" t="inlineStr">
        <is>
          <t>PNCP_4T_30-04-2013</t>
        </is>
      </c>
      <c r="AW68" t="inlineStr">
        <is>
          <t>Barro Blanco 220</t>
        </is>
      </c>
      <c r="AX68" t="n">
        <v>111.133</v>
      </c>
      <c r="AY68" t="n">
        <v>1.083385174100913</v>
      </c>
      <c r="AZ68" t="n">
        <v>120.3998445533567</v>
      </c>
      <c r="BA68" t="n">
        <v>801.49</v>
      </c>
      <c r="BB68" t="n">
        <v>0.905</v>
      </c>
      <c r="BC68" t="n">
        <v>87.33184062701827</v>
      </c>
      <c r="BD68" t="n">
        <v>0.7946</v>
      </c>
      <c r="BE68" t="n">
        <v>69.39400000000001</v>
      </c>
      <c r="BF68" t="n">
        <v>8.9176</v>
      </c>
      <c r="BG68" t="n">
        <v>0.77</v>
      </c>
      <c r="BH68" t="n">
        <v>5962.380796939026</v>
      </c>
      <c r="BI68" t="n">
        <v>1.047283473516708</v>
      </c>
      <c r="BJ68" t="n">
        <v>6244.3029</v>
      </c>
    </row>
    <row r="69">
      <c r="A69" t="n">
        <v>1983</v>
      </c>
      <c r="B69" t="inlineStr">
        <is>
          <t>01-01-2021</t>
        </is>
      </c>
      <c r="C69" t="n">
        <v>2021</v>
      </c>
      <c r="D69" t="n">
        <v>1</v>
      </c>
      <c r="E69" t="inlineStr">
        <is>
          <t>CAREN</t>
        </is>
      </c>
      <c r="F69" t="inlineStr">
        <is>
          <t>SUM_SAESA_A</t>
        </is>
      </c>
      <c r="G69" t="inlineStr">
        <is>
          <t>A</t>
        </is>
      </c>
      <c r="H69" t="inlineStr">
        <is>
          <t>SAESA</t>
        </is>
      </c>
      <c r="I69" t="inlineStr">
        <is>
          <t>SAESPICHBLOQA</t>
        </is>
      </c>
      <c r="J69" t="inlineStr">
        <is>
          <t>PICHIRROPULLI</t>
        </is>
      </c>
      <c r="K69" t="n">
        <v>-4825.15080025</v>
      </c>
      <c r="L69" t="inlineStr">
        <is>
          <t>PICHIRROPULLI</t>
        </is>
      </c>
      <c r="M69" t="inlineStr">
        <is>
          <t>MELIPULLI</t>
        </is>
      </c>
      <c r="N69" t="n">
        <v>0.02469277244506</v>
      </c>
      <c r="O69" t="n">
        <v>119.146351</v>
      </c>
      <c r="P69" t="inlineStr">
        <is>
          <t>BS1A</t>
        </is>
      </c>
      <c r="Q69" t="n">
        <v>2</v>
      </c>
      <c r="W69" t="n">
        <v>2</v>
      </c>
      <c r="X69" t="n">
        <v>0</v>
      </c>
      <c r="AA69" t="inlineStr">
        <is>
          <t>PNP_6T_08-05-2020</t>
        </is>
      </c>
      <c r="AB69" t="inlineStr">
        <is>
          <t>PNCP_9T_12-08-2019</t>
        </is>
      </c>
      <c r="AC69" t="inlineStr">
        <is>
          <t>PNCP_4T_30-04-2013</t>
        </is>
      </c>
      <c r="AD69" t="inlineStr">
        <is>
          <t>MELIPULLI 220</t>
        </is>
      </c>
      <c r="AE69" t="n">
        <v>111.133</v>
      </c>
      <c r="AF69" t="n">
        <v>1.072776031070834</v>
      </c>
      <c r="AG69" t="n">
        <v>119.220818660995</v>
      </c>
      <c r="AH69" t="n">
        <v>694.38</v>
      </c>
      <c r="AI69" t="n">
        <v>0.875</v>
      </c>
      <c r="AJ69" t="n">
        <v>72.43648305409401</v>
      </c>
      <c r="AK69" t="n">
        <v>0.8826000000000001</v>
      </c>
      <c r="AL69" t="n">
        <v>63.932</v>
      </c>
      <c r="AM69" t="n">
        <v>8.9176</v>
      </c>
      <c r="AN69" t="n">
        <v>9.566587534677272</v>
      </c>
      <c r="AO69" t="n">
        <v>0.913</v>
      </c>
      <c r="AP69" t="n">
        <v>6064.919358776563</v>
      </c>
      <c r="AQ69" t="n">
        <v>1</v>
      </c>
      <c r="AR69" t="n">
        <v>6064.9194</v>
      </c>
      <c r="AT69" t="inlineStr">
        <is>
          <t>PNP_19T_30-12-2020</t>
        </is>
      </c>
      <c r="AU69" t="inlineStr">
        <is>
          <t>PNCP_12T_10-08-2020</t>
        </is>
      </c>
      <c r="AV69" t="inlineStr">
        <is>
          <t>PNCP_4T_30-04-2013</t>
        </is>
      </c>
      <c r="AW69" t="inlineStr">
        <is>
          <t>MELIPULLI 220</t>
        </is>
      </c>
      <c r="AX69" t="n">
        <v>111.133</v>
      </c>
      <c r="AY69" t="n">
        <v>1.083385174100913</v>
      </c>
      <c r="AZ69" t="n">
        <v>120.3998445533567</v>
      </c>
      <c r="BA69" t="n">
        <v>801.49</v>
      </c>
      <c r="BB69" t="n">
        <v>0.905</v>
      </c>
      <c r="BC69" t="n">
        <v>87.33184062701827</v>
      </c>
      <c r="BD69" t="n">
        <v>0.7824</v>
      </c>
      <c r="BE69" t="n">
        <v>68.328</v>
      </c>
      <c r="BF69" t="n">
        <v>8.9176</v>
      </c>
      <c r="BG69" t="n">
        <v>0.77</v>
      </c>
      <c r="BH69" t="n">
        <v>5962.380796939026</v>
      </c>
      <c r="BI69" t="n">
        <v>1</v>
      </c>
      <c r="BJ69" t="n">
        <v>5962.3808</v>
      </c>
    </row>
    <row r="70">
      <c r="A70" t="n">
        <v>1985</v>
      </c>
      <c r="B70" t="inlineStr">
        <is>
          <t>01-01-2021</t>
        </is>
      </c>
      <c r="C70" t="n">
        <v>2021</v>
      </c>
      <c r="D70" t="n">
        <v>1</v>
      </c>
      <c r="E70" t="inlineStr">
        <is>
          <t>CAREN</t>
        </is>
      </c>
      <c r="F70" t="inlineStr">
        <is>
          <t>SUM_SAESA_A</t>
        </is>
      </c>
      <c r="G70" t="inlineStr">
        <is>
          <t>A</t>
        </is>
      </c>
      <c r="H70" t="inlineStr">
        <is>
          <t>SAESA</t>
        </is>
      </c>
      <c r="I70" t="inlineStr">
        <is>
          <t>SAESPICHBLOQA</t>
        </is>
      </c>
      <c r="J70" t="inlineStr">
        <is>
          <t>PICHIRROPULLI</t>
        </is>
      </c>
      <c r="K70" t="n">
        <v>-4825.15080025</v>
      </c>
      <c r="L70" t="inlineStr">
        <is>
          <t>PICHIRROPULLI</t>
        </is>
      </c>
      <c r="M70" t="inlineStr">
        <is>
          <t>VALDIVIA</t>
        </is>
      </c>
      <c r="N70" t="n">
        <v>0.40806767195515</v>
      </c>
      <c r="O70" t="n">
        <v>1968.988054</v>
      </c>
      <c r="P70" t="inlineStr">
        <is>
          <t>BS1A</t>
        </is>
      </c>
      <c r="Q70" t="n">
        <v>2</v>
      </c>
      <c r="W70" t="n">
        <v>2</v>
      </c>
      <c r="X70" t="n">
        <v>0</v>
      </c>
      <c r="AA70" t="inlineStr">
        <is>
          <t>PNP_6T_08-05-2020</t>
        </is>
      </c>
      <c r="AB70" t="inlineStr">
        <is>
          <t>PNCP_9T_12-08-2019</t>
        </is>
      </c>
      <c r="AC70" t="inlineStr">
        <is>
          <t>PNCP_4T_30-04-2013</t>
        </is>
      </c>
      <c r="AD70" t="inlineStr">
        <is>
          <t>VALDIVIA 220</t>
        </is>
      </c>
      <c r="AE70" t="n">
        <v>111.133</v>
      </c>
      <c r="AF70" t="n">
        <v>1.072776031070834</v>
      </c>
      <c r="AG70" t="n">
        <v>119.220818660995</v>
      </c>
      <c r="AH70" t="n">
        <v>694.38</v>
      </c>
      <c r="AI70" t="n">
        <v>0.875</v>
      </c>
      <c r="AJ70" t="n">
        <v>72.43648305409401</v>
      </c>
      <c r="AK70" t="n">
        <v>0.913</v>
      </c>
      <c r="AL70" t="n">
        <v>66.13500000000001</v>
      </c>
      <c r="AM70" t="n">
        <v>8.9176</v>
      </c>
      <c r="AN70" t="n">
        <v>9.566587534677272</v>
      </c>
      <c r="AO70" t="n">
        <v>0.913</v>
      </c>
      <c r="AP70" t="n">
        <v>6064.919358776563</v>
      </c>
      <c r="AQ70" t="n">
        <v>1.051287819142954</v>
      </c>
      <c r="AR70" t="n">
        <v>6375.9758</v>
      </c>
      <c r="AT70" t="inlineStr">
        <is>
          <t>PNP_19T_30-12-2020</t>
        </is>
      </c>
      <c r="AU70" t="inlineStr">
        <is>
          <t>PNCP_12T_10-08-2020</t>
        </is>
      </c>
      <c r="AV70" t="inlineStr">
        <is>
          <t>PNCP_4T_30-04-2013</t>
        </is>
      </c>
      <c r="AW70" t="inlineStr">
        <is>
          <t>VALDIVIA 220</t>
        </is>
      </c>
      <c r="AX70" t="n">
        <v>111.133</v>
      </c>
      <c r="AY70" t="n">
        <v>1.083385174100913</v>
      </c>
      <c r="AZ70" t="n">
        <v>120.3998445533567</v>
      </c>
      <c r="BA70" t="n">
        <v>801.49</v>
      </c>
      <c r="BB70" t="n">
        <v>0.905</v>
      </c>
      <c r="BC70" t="n">
        <v>87.33184062701827</v>
      </c>
      <c r="BD70" t="n">
        <v>0.8745000000000001</v>
      </c>
      <c r="BE70" t="n">
        <v>76.372</v>
      </c>
      <c r="BF70" t="n">
        <v>8.9176</v>
      </c>
      <c r="BG70" t="n">
        <v>0.77</v>
      </c>
      <c r="BH70" t="n">
        <v>5962.380796939026</v>
      </c>
      <c r="BI70" t="n">
        <v>1.148014846473962</v>
      </c>
      <c r="BJ70" t="n">
        <v>6844.9017</v>
      </c>
    </row>
    <row r="71">
      <c r="A71" t="n">
        <v>1981</v>
      </c>
      <c r="B71" t="inlineStr">
        <is>
          <t>01-01-2021</t>
        </is>
      </c>
      <c r="C71" t="n">
        <v>2021</v>
      </c>
      <c r="D71" t="n">
        <v>1</v>
      </c>
      <c r="E71" t="inlineStr">
        <is>
          <t>CAREN</t>
        </is>
      </c>
      <c r="F71" t="inlineStr">
        <is>
          <t>SUM_SAESA_A</t>
        </is>
      </c>
      <c r="G71" t="inlineStr">
        <is>
          <t>A</t>
        </is>
      </c>
      <c r="H71" t="inlineStr">
        <is>
          <t>SAESA</t>
        </is>
      </c>
      <c r="I71" t="inlineStr">
        <is>
          <t>SAESPIDPBLOQA</t>
        </is>
      </c>
      <c r="J71" t="inlineStr">
        <is>
          <t>PIDPID</t>
        </is>
      </c>
      <c r="K71" t="n">
        <v>-1662.90550108</v>
      </c>
      <c r="L71" t="inlineStr">
        <is>
          <t>PID PID</t>
        </is>
      </c>
      <c r="M71" t="inlineStr">
        <is>
          <t>MELIPULLI</t>
        </is>
      </c>
      <c r="N71" t="n">
        <v>0.79666086463654</v>
      </c>
      <c r="O71" t="n">
        <v>1324.771734</v>
      </c>
      <c r="P71" t="inlineStr">
        <is>
          <t>BS1A</t>
        </is>
      </c>
      <c r="Q71" t="n">
        <v>2</v>
      </c>
      <c r="W71" t="n">
        <v>2</v>
      </c>
      <c r="X71" t="n">
        <v>0</v>
      </c>
      <c r="AA71" t="inlineStr">
        <is>
          <t>PNP_6T_08-05-2020</t>
        </is>
      </c>
      <c r="AB71" t="inlineStr">
        <is>
          <t>PNCP_9T_12-08-2019</t>
        </is>
      </c>
      <c r="AC71" t="inlineStr">
        <is>
          <t>PNCP_4T_30-04-2013</t>
        </is>
      </c>
      <c r="AD71" t="inlineStr">
        <is>
          <t>MELIPULLI 220</t>
        </is>
      </c>
      <c r="AE71" t="n">
        <v>111.133</v>
      </c>
      <c r="AF71" t="n">
        <v>1.072776031070834</v>
      </c>
      <c r="AG71" t="n">
        <v>119.220818660995</v>
      </c>
      <c r="AH71" t="n">
        <v>694.38</v>
      </c>
      <c r="AI71" t="n">
        <v>0.875</v>
      </c>
      <c r="AJ71" t="n">
        <v>72.43648305409401</v>
      </c>
      <c r="AK71" t="n">
        <v>0.8826000000000001</v>
      </c>
      <c r="AL71" t="n">
        <v>63.932</v>
      </c>
      <c r="AM71" t="n">
        <v>8.9176</v>
      </c>
      <c r="AN71" t="n">
        <v>9.566587534677272</v>
      </c>
      <c r="AO71" t="n">
        <v>0.913</v>
      </c>
      <c r="AP71" t="n">
        <v>6064.919358776563</v>
      </c>
      <c r="AQ71" t="n">
        <v>1</v>
      </c>
      <c r="AR71" t="n">
        <v>6064.9194</v>
      </c>
      <c r="AT71" t="inlineStr">
        <is>
          <t>PNP_19T_30-12-2020</t>
        </is>
      </c>
      <c r="AU71" t="inlineStr">
        <is>
          <t>PNCP_12T_10-08-2020</t>
        </is>
      </c>
      <c r="AV71" t="inlineStr">
        <is>
          <t>PNCP_4T_30-04-2013</t>
        </is>
      </c>
      <c r="AW71" t="inlineStr">
        <is>
          <t>MELIPULLI 220</t>
        </is>
      </c>
      <c r="AX71" t="n">
        <v>111.133</v>
      </c>
      <c r="AY71" t="n">
        <v>1.083385174100913</v>
      </c>
      <c r="AZ71" t="n">
        <v>120.3998445533567</v>
      </c>
      <c r="BA71" t="n">
        <v>801.49</v>
      </c>
      <c r="BB71" t="n">
        <v>0.905</v>
      </c>
      <c r="BC71" t="n">
        <v>87.33184062701827</v>
      </c>
      <c r="BD71" t="n">
        <v>0.7824</v>
      </c>
      <c r="BE71" t="n">
        <v>68.328</v>
      </c>
      <c r="BF71" t="n">
        <v>8.9176</v>
      </c>
      <c r="BG71" t="n">
        <v>0.77</v>
      </c>
      <c r="BH71" t="n">
        <v>5962.380796939026</v>
      </c>
      <c r="BI71" t="n">
        <v>1</v>
      </c>
      <c r="BJ71" t="n">
        <v>5962.3808</v>
      </c>
    </row>
    <row r="72">
      <c r="A72" t="n">
        <v>1983</v>
      </c>
      <c r="B72" t="inlineStr">
        <is>
          <t>01-01-2021</t>
        </is>
      </c>
      <c r="C72" t="n">
        <v>2021</v>
      </c>
      <c r="D72" t="n">
        <v>1</v>
      </c>
      <c r="E72" t="inlineStr">
        <is>
          <t>CAREN</t>
        </is>
      </c>
      <c r="F72" t="inlineStr">
        <is>
          <t>SUM_SAESA_A</t>
        </is>
      </c>
      <c r="G72" t="inlineStr">
        <is>
          <t>A</t>
        </is>
      </c>
      <c r="H72" t="inlineStr">
        <is>
          <t>SAESA</t>
        </is>
      </c>
      <c r="I72" t="inlineStr">
        <is>
          <t>SAESPIDPBLOQA</t>
        </is>
      </c>
      <c r="J72" t="inlineStr">
        <is>
          <t>PIDPID</t>
        </is>
      </c>
      <c r="K72" t="n">
        <v>-1662.90550108</v>
      </c>
      <c r="L72" t="inlineStr">
        <is>
          <t>PID PID</t>
        </is>
      </c>
      <c r="M72" t="inlineStr">
        <is>
          <t>Puerto Montt</t>
        </is>
      </c>
      <c r="N72" t="n">
        <v>0.94104614890391</v>
      </c>
      <c r="O72" t="n">
        <v>1564.870818</v>
      </c>
      <c r="P72" t="inlineStr">
        <is>
          <t>BS1A</t>
        </is>
      </c>
      <c r="Q72" t="n">
        <v>2</v>
      </c>
      <c r="W72" t="n">
        <v>2</v>
      </c>
      <c r="X72" t="n">
        <v>0</v>
      </c>
      <c r="AA72" t="inlineStr">
        <is>
          <t>PNP_6T_08-05-2020</t>
        </is>
      </c>
      <c r="AB72" t="inlineStr">
        <is>
          <t>PNCP_9T_12-08-2019</t>
        </is>
      </c>
      <c r="AC72" t="inlineStr">
        <is>
          <t>PNCP_4T_30-04-2013</t>
        </is>
      </c>
      <c r="AD72" t="inlineStr">
        <is>
          <t>PUERTO MONTT 220</t>
        </is>
      </c>
      <c r="AE72" t="n">
        <v>111.133</v>
      </c>
      <c r="AF72" t="n">
        <v>1.072776031070834</v>
      </c>
      <c r="AG72" t="n">
        <v>119.220818660995</v>
      </c>
      <c r="AH72" t="n">
        <v>694.38</v>
      </c>
      <c r="AI72" t="n">
        <v>0.875</v>
      </c>
      <c r="AJ72" t="n">
        <v>72.43648305409401</v>
      </c>
      <c r="AK72" t="n">
        <v>0.8826000000000001</v>
      </c>
      <c r="AL72" t="n">
        <v>63.932</v>
      </c>
      <c r="AM72" t="n">
        <v>8.9176</v>
      </c>
      <c r="AN72" t="n">
        <v>9.566587534677272</v>
      </c>
      <c r="AO72" t="n">
        <v>0.913</v>
      </c>
      <c r="AP72" t="n">
        <v>6064.919358776563</v>
      </c>
      <c r="AQ72" t="n">
        <v>1.016858412119831</v>
      </c>
      <c r="AR72" t="n">
        <v>6167.1643</v>
      </c>
      <c r="AT72" t="inlineStr">
        <is>
          <t>PNP_19T_30-12-2020</t>
        </is>
      </c>
      <c r="AU72" t="inlineStr">
        <is>
          <t>PNCP_12T_10-08-2020</t>
        </is>
      </c>
      <c r="AV72" t="inlineStr">
        <is>
          <t>PNCP_4T_30-04-2013</t>
        </is>
      </c>
      <c r="AW72" t="inlineStr">
        <is>
          <t>PUERTO MONTT 220</t>
        </is>
      </c>
      <c r="AX72" t="n">
        <v>111.133</v>
      </c>
      <c r="AY72" t="n">
        <v>1.083385174100913</v>
      </c>
      <c r="AZ72" t="n">
        <v>120.3998445533567</v>
      </c>
      <c r="BA72" t="n">
        <v>801.49</v>
      </c>
      <c r="BB72" t="n">
        <v>0.905</v>
      </c>
      <c r="BC72" t="n">
        <v>87.33184062701827</v>
      </c>
      <c r="BD72" t="n">
        <v>0.7824</v>
      </c>
      <c r="BE72" t="n">
        <v>68.328</v>
      </c>
      <c r="BF72" t="n">
        <v>8.9176</v>
      </c>
      <c r="BG72" t="n">
        <v>0.77</v>
      </c>
      <c r="BH72" t="n">
        <v>5962.380796939026</v>
      </c>
      <c r="BI72" t="n">
        <v>1.039640050119603</v>
      </c>
      <c r="BJ72" t="n">
        <v>6198.7299</v>
      </c>
    </row>
    <row r="73">
      <c r="A73" t="n">
        <v>1985</v>
      </c>
      <c r="B73" t="inlineStr">
        <is>
          <t>01-01-2021</t>
        </is>
      </c>
      <c r="C73" t="n">
        <v>2021</v>
      </c>
      <c r="D73" t="n">
        <v>1</v>
      </c>
      <c r="E73" t="inlineStr">
        <is>
          <t>CAREN</t>
        </is>
      </c>
      <c r="F73" t="inlineStr">
        <is>
          <t>SUM_SAESA_A</t>
        </is>
      </c>
      <c r="G73" t="inlineStr">
        <is>
          <t>A</t>
        </is>
      </c>
      <c r="H73" t="inlineStr">
        <is>
          <t>SAESA</t>
        </is>
      </c>
      <c r="I73" t="inlineStr">
        <is>
          <t>SAESPIDPBLOQA</t>
        </is>
      </c>
      <c r="J73" t="inlineStr">
        <is>
          <t>PIDPID</t>
        </is>
      </c>
      <c r="K73" t="n">
        <v>-1662.90550108</v>
      </c>
      <c r="L73" t="inlineStr">
        <is>
          <t>PID PID</t>
        </is>
      </c>
      <c r="M73" t="inlineStr">
        <is>
          <t>VALDIVIA</t>
        </is>
      </c>
      <c r="N73" t="n">
        <v>0.00023768314126</v>
      </c>
      <c r="O73" t="n">
        <v>0.395245</v>
      </c>
      <c r="P73" t="inlineStr">
        <is>
          <t>BS1A</t>
        </is>
      </c>
      <c r="Q73" t="n">
        <v>2</v>
      </c>
      <c r="W73" t="n">
        <v>2</v>
      </c>
      <c r="X73" t="n">
        <v>0</v>
      </c>
      <c r="AA73" t="inlineStr">
        <is>
          <t>PNP_6T_08-05-2020</t>
        </is>
      </c>
      <c r="AB73" t="inlineStr">
        <is>
          <t>PNCP_9T_12-08-2019</t>
        </is>
      </c>
      <c r="AC73" t="inlineStr">
        <is>
          <t>PNCP_4T_30-04-2013</t>
        </is>
      </c>
      <c r="AD73" t="inlineStr">
        <is>
          <t>VALDIVIA 220</t>
        </is>
      </c>
      <c r="AE73" t="n">
        <v>111.133</v>
      </c>
      <c r="AF73" t="n">
        <v>1.072776031070834</v>
      </c>
      <c r="AG73" t="n">
        <v>119.220818660995</v>
      </c>
      <c r="AH73" t="n">
        <v>694.38</v>
      </c>
      <c r="AI73" t="n">
        <v>0.875</v>
      </c>
      <c r="AJ73" t="n">
        <v>72.43648305409401</v>
      </c>
      <c r="AK73" t="n">
        <v>0.913</v>
      </c>
      <c r="AL73" t="n">
        <v>66.13500000000001</v>
      </c>
      <c r="AM73" t="n">
        <v>8.9176</v>
      </c>
      <c r="AN73" t="n">
        <v>9.566587534677272</v>
      </c>
      <c r="AO73" t="n">
        <v>0.913</v>
      </c>
      <c r="AP73" t="n">
        <v>6064.919358776563</v>
      </c>
      <c r="AQ73" t="n">
        <v>1.051287819142954</v>
      </c>
      <c r="AR73" t="n">
        <v>6375.9758</v>
      </c>
      <c r="AT73" t="inlineStr">
        <is>
          <t>PNP_19T_30-12-2020</t>
        </is>
      </c>
      <c r="AU73" t="inlineStr">
        <is>
          <t>PNCP_12T_10-08-2020</t>
        </is>
      </c>
      <c r="AV73" t="inlineStr">
        <is>
          <t>PNCP_4T_30-04-2013</t>
        </is>
      </c>
      <c r="AW73" t="inlineStr">
        <is>
          <t>VALDIVIA 220</t>
        </is>
      </c>
      <c r="AX73" t="n">
        <v>111.133</v>
      </c>
      <c r="AY73" t="n">
        <v>1.083385174100913</v>
      </c>
      <c r="AZ73" t="n">
        <v>120.3998445533567</v>
      </c>
      <c r="BA73" t="n">
        <v>801.49</v>
      </c>
      <c r="BB73" t="n">
        <v>0.905</v>
      </c>
      <c r="BC73" t="n">
        <v>87.33184062701827</v>
      </c>
      <c r="BD73" t="n">
        <v>0.8745000000000001</v>
      </c>
      <c r="BE73" t="n">
        <v>76.372</v>
      </c>
      <c r="BF73" t="n">
        <v>8.9176</v>
      </c>
      <c r="BG73" t="n">
        <v>0.77</v>
      </c>
      <c r="BH73" t="n">
        <v>5962.380796939026</v>
      </c>
      <c r="BI73" t="n">
        <v>1.148014846473962</v>
      </c>
      <c r="BJ73" t="n">
        <v>6844.9017</v>
      </c>
    </row>
    <row r="74">
      <c r="A74" t="n">
        <v>5902</v>
      </c>
      <c r="B74" t="inlineStr">
        <is>
          <t>01-01-2021</t>
        </is>
      </c>
      <c r="C74" t="n">
        <v>2021</v>
      </c>
      <c r="D74" t="n">
        <v>1</v>
      </c>
      <c r="E74" t="inlineStr">
        <is>
          <t>CAREN</t>
        </is>
      </c>
      <c r="F74" t="inlineStr">
        <is>
          <t>SUM_SAESA_A</t>
        </is>
      </c>
      <c r="G74" t="inlineStr">
        <is>
          <t>A</t>
        </is>
      </c>
      <c r="H74" t="inlineStr">
        <is>
          <t>SAESA</t>
        </is>
      </c>
      <c r="I74" t="inlineStr">
        <is>
          <t>SAESPILMBLOQA</t>
        </is>
      </c>
      <c r="J74" t="inlineStr">
        <is>
          <t>PILMAIQUEN</t>
        </is>
      </c>
      <c r="K74" t="n">
        <v>0</v>
      </c>
      <c r="L74" t="inlineStr">
        <is>
          <t>PILMAIQUEN</t>
        </is>
      </c>
      <c r="M74" t="inlineStr">
        <is>
          <t>Barro Blanco</t>
        </is>
      </c>
      <c r="N74" t="n">
        <v>0.69399012693979</v>
      </c>
      <c r="O74" t="n">
        <v>0</v>
      </c>
      <c r="P74" t="inlineStr">
        <is>
          <t>BS1A</t>
        </is>
      </c>
      <c r="Q74" t="n">
        <v>2</v>
      </c>
      <c r="W74" t="n">
        <v>2</v>
      </c>
      <c r="X74" t="n">
        <v>0</v>
      </c>
      <c r="AA74" t="inlineStr">
        <is>
          <t>PNP_6T_08-05-2020</t>
        </is>
      </c>
      <c r="AB74" t="inlineStr">
        <is>
          <t>PNCP_9T_12-08-2019</t>
        </is>
      </c>
      <c r="AC74" t="inlineStr">
        <is>
          <t>PNCP_4T_30-04-2013</t>
        </is>
      </c>
      <c r="AD74" t="inlineStr">
        <is>
          <t>Barro Blanco 220</t>
        </is>
      </c>
      <c r="AE74" t="n">
        <v>111.133</v>
      </c>
      <c r="AF74" t="n">
        <v>1.072776031070834</v>
      </c>
      <c r="AG74" t="n">
        <v>119.220818660995</v>
      </c>
      <c r="AH74" t="n">
        <v>694.38</v>
      </c>
      <c r="AI74" t="n">
        <v>0.875</v>
      </c>
      <c r="AJ74" t="n">
        <v>72.43648305409401</v>
      </c>
      <c r="AK74" t="n">
        <v>0.8631</v>
      </c>
      <c r="AL74" t="n">
        <v>62.52</v>
      </c>
      <c r="AM74" t="n">
        <v>8.9176</v>
      </c>
      <c r="AN74" t="n">
        <v>9.566587534677272</v>
      </c>
      <c r="AO74" t="n">
        <v>0.913</v>
      </c>
      <c r="AP74" t="n">
        <v>6064.919358776563</v>
      </c>
      <c r="AQ74" t="n">
        <v>1.004432825642191</v>
      </c>
      <c r="AR74" t="n">
        <v>6091.8041</v>
      </c>
      <c r="AT74" t="inlineStr">
        <is>
          <t>PNP_19T_30-12-2020</t>
        </is>
      </c>
      <c r="AU74" t="inlineStr">
        <is>
          <t>PNCP_12T_10-08-2020</t>
        </is>
      </c>
      <c r="AV74" t="inlineStr">
        <is>
          <t>PNCP_4T_30-04-2013</t>
        </is>
      </c>
      <c r="AW74" t="inlineStr">
        <is>
          <t>Barro Blanco 220</t>
        </is>
      </c>
      <c r="AX74" t="n">
        <v>111.133</v>
      </c>
      <c r="AY74" t="n">
        <v>1.083385174100913</v>
      </c>
      <c r="AZ74" t="n">
        <v>120.3998445533567</v>
      </c>
      <c r="BA74" t="n">
        <v>801.49</v>
      </c>
      <c r="BB74" t="n">
        <v>0.905</v>
      </c>
      <c r="BC74" t="n">
        <v>87.33184062701827</v>
      </c>
      <c r="BD74" t="n">
        <v>0.7946</v>
      </c>
      <c r="BE74" t="n">
        <v>69.39400000000001</v>
      </c>
      <c r="BF74" t="n">
        <v>8.9176</v>
      </c>
      <c r="BG74" t="n">
        <v>0.77</v>
      </c>
      <c r="BH74" t="n">
        <v>5962.380796939026</v>
      </c>
      <c r="BI74" t="n">
        <v>1.047283473516708</v>
      </c>
      <c r="BJ74" t="n">
        <v>6244.3029</v>
      </c>
    </row>
    <row r="75">
      <c r="A75" t="n">
        <v>5904</v>
      </c>
      <c r="B75" t="inlineStr">
        <is>
          <t>01-01-2021</t>
        </is>
      </c>
      <c r="C75" t="n">
        <v>2021</v>
      </c>
      <c r="D75" t="n">
        <v>1</v>
      </c>
      <c r="E75" t="inlineStr">
        <is>
          <t>CAREN</t>
        </is>
      </c>
      <c r="F75" t="inlineStr">
        <is>
          <t>SUM_SAESA_A</t>
        </is>
      </c>
      <c r="G75" t="inlineStr">
        <is>
          <t>A</t>
        </is>
      </c>
      <c r="H75" t="inlineStr">
        <is>
          <t>SAESA</t>
        </is>
      </c>
      <c r="I75" t="inlineStr">
        <is>
          <t>SAESPILMBLOQA</t>
        </is>
      </c>
      <c r="J75" t="inlineStr">
        <is>
          <t>PILMAIQUEN</t>
        </is>
      </c>
      <c r="K75" t="n">
        <v>0</v>
      </c>
      <c r="L75" t="inlineStr">
        <is>
          <t>PILMAIQUEN</t>
        </is>
      </c>
      <c r="M75" t="inlineStr">
        <is>
          <t>MELIPULLI</t>
        </is>
      </c>
      <c r="N75" t="n">
        <v>0.04205368679911</v>
      </c>
      <c r="O75" t="n">
        <v>0</v>
      </c>
      <c r="P75" t="inlineStr">
        <is>
          <t>BS1A</t>
        </is>
      </c>
      <c r="Q75" t="n">
        <v>2</v>
      </c>
      <c r="W75" t="n">
        <v>2</v>
      </c>
      <c r="X75" t="n">
        <v>0</v>
      </c>
      <c r="AA75" t="inlineStr">
        <is>
          <t>PNP_6T_08-05-2020</t>
        </is>
      </c>
      <c r="AB75" t="inlineStr">
        <is>
          <t>PNCP_9T_12-08-2019</t>
        </is>
      </c>
      <c r="AC75" t="inlineStr">
        <is>
          <t>PNCP_4T_30-04-2013</t>
        </is>
      </c>
      <c r="AD75" t="inlineStr">
        <is>
          <t>MELIPULLI 220</t>
        </is>
      </c>
      <c r="AE75" t="n">
        <v>111.133</v>
      </c>
      <c r="AF75" t="n">
        <v>1.072776031070834</v>
      </c>
      <c r="AG75" t="n">
        <v>119.220818660995</v>
      </c>
      <c r="AH75" t="n">
        <v>694.38</v>
      </c>
      <c r="AI75" t="n">
        <v>0.875</v>
      </c>
      <c r="AJ75" t="n">
        <v>72.43648305409401</v>
      </c>
      <c r="AK75" t="n">
        <v>0.8826000000000001</v>
      </c>
      <c r="AL75" t="n">
        <v>63.932</v>
      </c>
      <c r="AM75" t="n">
        <v>8.9176</v>
      </c>
      <c r="AN75" t="n">
        <v>9.566587534677272</v>
      </c>
      <c r="AO75" t="n">
        <v>0.913</v>
      </c>
      <c r="AP75" t="n">
        <v>6064.919358776563</v>
      </c>
      <c r="AQ75" t="n">
        <v>1</v>
      </c>
      <c r="AR75" t="n">
        <v>6064.9194</v>
      </c>
      <c r="AT75" t="inlineStr">
        <is>
          <t>PNP_19T_30-12-2020</t>
        </is>
      </c>
      <c r="AU75" t="inlineStr">
        <is>
          <t>PNCP_12T_10-08-2020</t>
        </is>
      </c>
      <c r="AV75" t="inlineStr">
        <is>
          <t>PNCP_4T_30-04-2013</t>
        </is>
      </c>
      <c r="AW75" t="inlineStr">
        <is>
          <t>MELIPULLI 220</t>
        </is>
      </c>
      <c r="AX75" t="n">
        <v>111.133</v>
      </c>
      <c r="AY75" t="n">
        <v>1.083385174100913</v>
      </c>
      <c r="AZ75" t="n">
        <v>120.3998445533567</v>
      </c>
      <c r="BA75" t="n">
        <v>801.49</v>
      </c>
      <c r="BB75" t="n">
        <v>0.905</v>
      </c>
      <c r="BC75" t="n">
        <v>87.33184062701827</v>
      </c>
      <c r="BD75" t="n">
        <v>0.7824</v>
      </c>
      <c r="BE75" t="n">
        <v>68.328</v>
      </c>
      <c r="BF75" t="n">
        <v>8.9176</v>
      </c>
      <c r="BG75" t="n">
        <v>0.77</v>
      </c>
      <c r="BH75" t="n">
        <v>5962.380796939026</v>
      </c>
      <c r="BI75" t="n">
        <v>1</v>
      </c>
      <c r="BJ75" t="n">
        <v>5962.3808</v>
      </c>
    </row>
    <row r="76">
      <c r="A76" t="n">
        <v>5906</v>
      </c>
      <c r="B76" t="inlineStr">
        <is>
          <t>01-01-2021</t>
        </is>
      </c>
      <c r="C76" t="n">
        <v>2021</v>
      </c>
      <c r="D76" t="n">
        <v>1</v>
      </c>
      <c r="E76" t="inlineStr">
        <is>
          <t>CAREN</t>
        </is>
      </c>
      <c r="F76" t="inlineStr">
        <is>
          <t>SUM_SAESA_A</t>
        </is>
      </c>
      <c r="G76" t="inlineStr">
        <is>
          <t>A</t>
        </is>
      </c>
      <c r="H76" t="inlineStr">
        <is>
          <t>SAESA</t>
        </is>
      </c>
      <c r="I76" t="inlineStr">
        <is>
          <t>SAESPILMBLOQA</t>
        </is>
      </c>
      <c r="J76" t="inlineStr">
        <is>
          <t>PILMAIQUEN</t>
        </is>
      </c>
      <c r="K76" t="n">
        <v>0</v>
      </c>
      <c r="L76" t="inlineStr">
        <is>
          <t>PILMAIQUEN</t>
        </is>
      </c>
      <c r="M76" t="inlineStr">
        <is>
          <t>VALDIVIA</t>
        </is>
      </c>
      <c r="N76" t="n">
        <v>0.1616700997078</v>
      </c>
      <c r="O76" t="n">
        <v>0</v>
      </c>
      <c r="P76" t="inlineStr">
        <is>
          <t>BS1A</t>
        </is>
      </c>
      <c r="Q76" t="n">
        <v>2</v>
      </c>
      <c r="W76" t="n">
        <v>2</v>
      </c>
      <c r="X76" t="n">
        <v>0</v>
      </c>
      <c r="AA76" t="inlineStr">
        <is>
          <t>PNP_6T_08-05-2020</t>
        </is>
      </c>
      <c r="AB76" t="inlineStr">
        <is>
          <t>PNCP_9T_12-08-2019</t>
        </is>
      </c>
      <c r="AC76" t="inlineStr">
        <is>
          <t>PNCP_4T_30-04-2013</t>
        </is>
      </c>
      <c r="AD76" t="inlineStr">
        <is>
          <t>VALDIVIA 220</t>
        </is>
      </c>
      <c r="AE76" t="n">
        <v>111.133</v>
      </c>
      <c r="AF76" t="n">
        <v>1.072776031070834</v>
      </c>
      <c r="AG76" t="n">
        <v>119.220818660995</v>
      </c>
      <c r="AH76" t="n">
        <v>694.38</v>
      </c>
      <c r="AI76" t="n">
        <v>0.875</v>
      </c>
      <c r="AJ76" t="n">
        <v>72.43648305409401</v>
      </c>
      <c r="AK76" t="n">
        <v>0.913</v>
      </c>
      <c r="AL76" t="n">
        <v>66.13500000000001</v>
      </c>
      <c r="AM76" t="n">
        <v>8.9176</v>
      </c>
      <c r="AN76" t="n">
        <v>9.566587534677272</v>
      </c>
      <c r="AO76" t="n">
        <v>0.913</v>
      </c>
      <c r="AP76" t="n">
        <v>6064.919358776563</v>
      </c>
      <c r="AQ76" t="n">
        <v>1.051287819142954</v>
      </c>
      <c r="AR76" t="n">
        <v>6375.9758</v>
      </c>
      <c r="AT76" t="inlineStr">
        <is>
          <t>PNP_19T_30-12-2020</t>
        </is>
      </c>
      <c r="AU76" t="inlineStr">
        <is>
          <t>PNCP_12T_10-08-2020</t>
        </is>
      </c>
      <c r="AV76" t="inlineStr">
        <is>
          <t>PNCP_4T_30-04-2013</t>
        </is>
      </c>
      <c r="AW76" t="inlineStr">
        <is>
          <t>VALDIVIA 220</t>
        </is>
      </c>
      <c r="AX76" t="n">
        <v>111.133</v>
      </c>
      <c r="AY76" t="n">
        <v>1.083385174100913</v>
      </c>
      <c r="AZ76" t="n">
        <v>120.3998445533567</v>
      </c>
      <c r="BA76" t="n">
        <v>801.49</v>
      </c>
      <c r="BB76" t="n">
        <v>0.905</v>
      </c>
      <c r="BC76" t="n">
        <v>87.33184062701827</v>
      </c>
      <c r="BD76" t="n">
        <v>0.8745000000000001</v>
      </c>
      <c r="BE76" t="n">
        <v>76.372</v>
      </c>
      <c r="BF76" t="n">
        <v>8.9176</v>
      </c>
      <c r="BG76" t="n">
        <v>0.77</v>
      </c>
      <c r="BH76" t="n">
        <v>5962.380796939026</v>
      </c>
      <c r="BI76" t="n">
        <v>1.148014846473962</v>
      </c>
      <c r="BJ76" t="n">
        <v>6844.9017</v>
      </c>
    </row>
    <row r="77">
      <c r="A77" t="n">
        <v>1981</v>
      </c>
      <c r="B77" t="inlineStr">
        <is>
          <t>01-01-2021</t>
        </is>
      </c>
      <c r="C77" t="n">
        <v>2021</v>
      </c>
      <c r="D77" t="n">
        <v>1</v>
      </c>
      <c r="E77" t="inlineStr">
        <is>
          <t>CAREN</t>
        </is>
      </c>
      <c r="F77" t="inlineStr">
        <is>
          <t>SUM_SAESA_A</t>
        </is>
      </c>
      <c r="G77" t="inlineStr">
        <is>
          <t>A</t>
        </is>
      </c>
      <c r="H77" t="inlineStr">
        <is>
          <t>SAESA</t>
        </is>
      </c>
      <c r="I77" t="inlineStr">
        <is>
          <t>SAESPULLBLOQA</t>
        </is>
      </c>
      <c r="J77" t="inlineStr">
        <is>
          <t>PULLINQUE</t>
        </is>
      </c>
      <c r="K77" t="n">
        <v>-1864.81720355</v>
      </c>
      <c r="L77" t="inlineStr">
        <is>
          <t>PULLINQUE</t>
        </is>
      </c>
      <c r="M77" t="inlineStr">
        <is>
          <t>BARRO BLANCO</t>
        </is>
      </c>
      <c r="N77" t="n">
        <v>0.23546265219545</v>
      </c>
      <c r="O77" t="n">
        <v>439.094805</v>
      </c>
      <c r="P77" t="inlineStr">
        <is>
          <t>BS1A</t>
        </is>
      </c>
      <c r="Q77" t="n">
        <v>2</v>
      </c>
      <c r="W77" t="n">
        <v>2</v>
      </c>
      <c r="X77" t="n">
        <v>0</v>
      </c>
      <c r="AA77" t="inlineStr">
        <is>
          <t>PNP_6T_08-05-2020</t>
        </is>
      </c>
      <c r="AB77" t="inlineStr">
        <is>
          <t>PNCP_9T_12-08-2019</t>
        </is>
      </c>
      <c r="AC77" t="inlineStr">
        <is>
          <t>PNCP_4T_30-04-2013</t>
        </is>
      </c>
      <c r="AD77" t="inlineStr">
        <is>
          <t>Barro Blanco 220</t>
        </is>
      </c>
      <c r="AE77" t="n">
        <v>111.133</v>
      </c>
      <c r="AF77" t="n">
        <v>1.072776031070834</v>
      </c>
      <c r="AG77" t="n">
        <v>119.220818660995</v>
      </c>
      <c r="AH77" t="n">
        <v>694.38</v>
      </c>
      <c r="AI77" t="n">
        <v>0.875</v>
      </c>
      <c r="AJ77" t="n">
        <v>72.43648305409401</v>
      </c>
      <c r="AK77" t="n">
        <v>0.8631</v>
      </c>
      <c r="AL77" t="n">
        <v>62.52</v>
      </c>
      <c r="AM77" t="n">
        <v>8.9176</v>
      </c>
      <c r="AN77" t="n">
        <v>9.566587534677272</v>
      </c>
      <c r="AO77" t="n">
        <v>0.913</v>
      </c>
      <c r="AP77" t="n">
        <v>6064.919358776563</v>
      </c>
      <c r="AQ77" t="n">
        <v>1.004432825642191</v>
      </c>
      <c r="AR77" t="n">
        <v>6091.8041</v>
      </c>
      <c r="AT77" t="inlineStr">
        <is>
          <t>PNP_19T_30-12-2020</t>
        </is>
      </c>
      <c r="AU77" t="inlineStr">
        <is>
          <t>PNCP_12T_10-08-2020</t>
        </is>
      </c>
      <c r="AV77" t="inlineStr">
        <is>
          <t>PNCP_4T_30-04-2013</t>
        </is>
      </c>
      <c r="AW77" t="inlineStr">
        <is>
          <t>Barro Blanco 220</t>
        </is>
      </c>
      <c r="AX77" t="n">
        <v>111.133</v>
      </c>
      <c r="AY77" t="n">
        <v>1.083385174100913</v>
      </c>
      <c r="AZ77" t="n">
        <v>120.3998445533567</v>
      </c>
      <c r="BA77" t="n">
        <v>801.49</v>
      </c>
      <c r="BB77" t="n">
        <v>0.905</v>
      </c>
      <c r="BC77" t="n">
        <v>87.33184062701827</v>
      </c>
      <c r="BD77" t="n">
        <v>0.7946</v>
      </c>
      <c r="BE77" t="n">
        <v>69.39400000000001</v>
      </c>
      <c r="BF77" t="n">
        <v>8.9176</v>
      </c>
      <c r="BG77" t="n">
        <v>0.77</v>
      </c>
      <c r="BH77" t="n">
        <v>5962.380796939026</v>
      </c>
      <c r="BI77" t="n">
        <v>1.047283473516708</v>
      </c>
      <c r="BJ77" t="n">
        <v>6244.3029</v>
      </c>
    </row>
    <row r="78">
      <c r="A78" t="n">
        <v>1983</v>
      </c>
      <c r="B78" t="inlineStr">
        <is>
          <t>01-01-2021</t>
        </is>
      </c>
      <c r="C78" t="n">
        <v>2021</v>
      </c>
      <c r="D78" t="n">
        <v>1</v>
      </c>
      <c r="E78" t="inlineStr">
        <is>
          <t>CAREN</t>
        </is>
      </c>
      <c r="F78" t="inlineStr">
        <is>
          <t>SUM_SAESA_A</t>
        </is>
      </c>
      <c r="G78" t="inlineStr">
        <is>
          <t>A</t>
        </is>
      </c>
      <c r="H78" t="inlineStr">
        <is>
          <t>SAESA</t>
        </is>
      </c>
      <c r="I78" t="inlineStr">
        <is>
          <t>SAESPULLBLOQA</t>
        </is>
      </c>
      <c r="J78" t="inlineStr">
        <is>
          <t>PULLINQUE</t>
        </is>
      </c>
      <c r="K78" t="n">
        <v>-1864.81720355</v>
      </c>
      <c r="L78" t="inlineStr">
        <is>
          <t>PULLINQUE</t>
        </is>
      </c>
      <c r="M78" t="inlineStr">
        <is>
          <t>MELIPULLI</t>
        </is>
      </c>
      <c r="N78" t="n">
        <v>0.00896854569047</v>
      </c>
      <c r="O78" t="n">
        <v>16.724698</v>
      </c>
      <c r="P78" t="inlineStr">
        <is>
          <t>BS1A</t>
        </is>
      </c>
      <c r="Q78" t="n">
        <v>2</v>
      </c>
      <c r="W78" t="n">
        <v>2</v>
      </c>
      <c r="X78" t="n">
        <v>0</v>
      </c>
      <c r="AA78" t="inlineStr">
        <is>
          <t>PNP_6T_08-05-2020</t>
        </is>
      </c>
      <c r="AB78" t="inlineStr">
        <is>
          <t>PNCP_9T_12-08-2019</t>
        </is>
      </c>
      <c r="AC78" t="inlineStr">
        <is>
          <t>PNCP_4T_30-04-2013</t>
        </is>
      </c>
      <c r="AD78" t="inlineStr">
        <is>
          <t>MELIPULLI 220</t>
        </is>
      </c>
      <c r="AE78" t="n">
        <v>111.133</v>
      </c>
      <c r="AF78" t="n">
        <v>1.072776031070834</v>
      </c>
      <c r="AG78" t="n">
        <v>119.220818660995</v>
      </c>
      <c r="AH78" t="n">
        <v>694.38</v>
      </c>
      <c r="AI78" t="n">
        <v>0.875</v>
      </c>
      <c r="AJ78" t="n">
        <v>72.43648305409401</v>
      </c>
      <c r="AK78" t="n">
        <v>0.8826000000000001</v>
      </c>
      <c r="AL78" t="n">
        <v>63.932</v>
      </c>
      <c r="AM78" t="n">
        <v>8.9176</v>
      </c>
      <c r="AN78" t="n">
        <v>9.566587534677272</v>
      </c>
      <c r="AO78" t="n">
        <v>0.913</v>
      </c>
      <c r="AP78" t="n">
        <v>6064.919358776563</v>
      </c>
      <c r="AQ78" t="n">
        <v>1</v>
      </c>
      <c r="AR78" t="n">
        <v>6064.9194</v>
      </c>
      <c r="AT78" t="inlineStr">
        <is>
          <t>PNP_19T_30-12-2020</t>
        </is>
      </c>
      <c r="AU78" t="inlineStr">
        <is>
          <t>PNCP_12T_10-08-2020</t>
        </is>
      </c>
      <c r="AV78" t="inlineStr">
        <is>
          <t>PNCP_4T_30-04-2013</t>
        </is>
      </c>
      <c r="AW78" t="inlineStr">
        <is>
          <t>MELIPULLI 220</t>
        </is>
      </c>
      <c r="AX78" t="n">
        <v>111.133</v>
      </c>
      <c r="AY78" t="n">
        <v>1.083385174100913</v>
      </c>
      <c r="AZ78" t="n">
        <v>120.3998445533567</v>
      </c>
      <c r="BA78" t="n">
        <v>801.49</v>
      </c>
      <c r="BB78" t="n">
        <v>0.905</v>
      </c>
      <c r="BC78" t="n">
        <v>87.33184062701827</v>
      </c>
      <c r="BD78" t="n">
        <v>0.7824</v>
      </c>
      <c r="BE78" t="n">
        <v>68.328</v>
      </c>
      <c r="BF78" t="n">
        <v>8.9176</v>
      </c>
      <c r="BG78" t="n">
        <v>0.77</v>
      </c>
      <c r="BH78" t="n">
        <v>5962.380796939026</v>
      </c>
      <c r="BI78" t="n">
        <v>1</v>
      </c>
      <c r="BJ78" t="n">
        <v>5962.3808</v>
      </c>
    </row>
    <row r="79">
      <c r="A79" t="n">
        <v>1985</v>
      </c>
      <c r="B79" t="inlineStr">
        <is>
          <t>01-01-2021</t>
        </is>
      </c>
      <c r="C79" t="n">
        <v>2021</v>
      </c>
      <c r="D79" t="n">
        <v>1</v>
      </c>
      <c r="E79" t="inlineStr">
        <is>
          <t>CAREN</t>
        </is>
      </c>
      <c r="F79" t="inlineStr">
        <is>
          <t>SUM_SAESA_A</t>
        </is>
      </c>
      <c r="G79" t="inlineStr">
        <is>
          <t>A</t>
        </is>
      </c>
      <c r="H79" t="inlineStr">
        <is>
          <t>SAESA</t>
        </is>
      </c>
      <c r="I79" t="inlineStr">
        <is>
          <t>SAESPULLBLOQA</t>
        </is>
      </c>
      <c r="J79" t="inlineStr">
        <is>
          <t>PULLINQUE</t>
        </is>
      </c>
      <c r="K79" t="n">
        <v>-1864.81720355</v>
      </c>
      <c r="L79" t="inlineStr">
        <is>
          <t>PULLINQUE</t>
        </is>
      </c>
      <c r="M79" t="inlineStr">
        <is>
          <t>VALDIVIA</t>
        </is>
      </c>
      <c r="N79" t="n">
        <v>0.62227344127398</v>
      </c>
      <c r="O79" t="n">
        <v>1160.426219</v>
      </c>
      <c r="P79" t="inlineStr">
        <is>
          <t>BS1A</t>
        </is>
      </c>
      <c r="Q79" t="n">
        <v>2</v>
      </c>
      <c r="W79" t="n">
        <v>2</v>
      </c>
      <c r="X79" t="n">
        <v>0</v>
      </c>
      <c r="AA79" t="inlineStr">
        <is>
          <t>PNP_6T_08-05-2020</t>
        </is>
      </c>
      <c r="AB79" t="inlineStr">
        <is>
          <t>PNCP_9T_12-08-2019</t>
        </is>
      </c>
      <c r="AC79" t="inlineStr">
        <is>
          <t>PNCP_4T_30-04-2013</t>
        </is>
      </c>
      <c r="AD79" t="inlineStr">
        <is>
          <t>VALDIVIA 220</t>
        </is>
      </c>
      <c r="AE79" t="n">
        <v>111.133</v>
      </c>
      <c r="AF79" t="n">
        <v>1.072776031070834</v>
      </c>
      <c r="AG79" t="n">
        <v>119.220818660995</v>
      </c>
      <c r="AH79" t="n">
        <v>694.38</v>
      </c>
      <c r="AI79" t="n">
        <v>0.875</v>
      </c>
      <c r="AJ79" t="n">
        <v>72.43648305409401</v>
      </c>
      <c r="AK79" t="n">
        <v>0.913</v>
      </c>
      <c r="AL79" t="n">
        <v>66.13500000000001</v>
      </c>
      <c r="AM79" t="n">
        <v>8.9176</v>
      </c>
      <c r="AN79" t="n">
        <v>9.566587534677272</v>
      </c>
      <c r="AO79" t="n">
        <v>0.913</v>
      </c>
      <c r="AP79" t="n">
        <v>6064.919358776563</v>
      </c>
      <c r="AQ79" t="n">
        <v>1.051287819142954</v>
      </c>
      <c r="AR79" t="n">
        <v>6375.9758</v>
      </c>
      <c r="AT79" t="inlineStr">
        <is>
          <t>PNP_19T_30-12-2020</t>
        </is>
      </c>
      <c r="AU79" t="inlineStr">
        <is>
          <t>PNCP_12T_10-08-2020</t>
        </is>
      </c>
      <c r="AV79" t="inlineStr">
        <is>
          <t>PNCP_4T_30-04-2013</t>
        </is>
      </c>
      <c r="AW79" t="inlineStr">
        <is>
          <t>VALDIVIA 220</t>
        </is>
      </c>
      <c r="AX79" t="n">
        <v>111.133</v>
      </c>
      <c r="AY79" t="n">
        <v>1.083385174100913</v>
      </c>
      <c r="AZ79" t="n">
        <v>120.3998445533567</v>
      </c>
      <c r="BA79" t="n">
        <v>801.49</v>
      </c>
      <c r="BB79" t="n">
        <v>0.905</v>
      </c>
      <c r="BC79" t="n">
        <v>87.33184062701827</v>
      </c>
      <c r="BD79" t="n">
        <v>0.8745000000000001</v>
      </c>
      <c r="BE79" t="n">
        <v>76.372</v>
      </c>
      <c r="BF79" t="n">
        <v>8.9176</v>
      </c>
      <c r="BG79" t="n">
        <v>0.77</v>
      </c>
      <c r="BH79" t="n">
        <v>5962.380796939026</v>
      </c>
      <c r="BI79" t="n">
        <v>1.148014846473962</v>
      </c>
      <c r="BJ79" t="n">
        <v>6844.9017</v>
      </c>
    </row>
    <row r="80">
      <c r="A80" t="n">
        <v>5305</v>
      </c>
      <c r="B80" t="inlineStr">
        <is>
          <t>01-01-2021</t>
        </is>
      </c>
      <c r="C80" t="n">
        <v>2021</v>
      </c>
      <c r="D80" t="n">
        <v>1</v>
      </c>
      <c r="E80" t="inlineStr">
        <is>
          <t>CAREN</t>
        </is>
      </c>
      <c r="F80" t="inlineStr">
        <is>
          <t>SUM_SAESA_A</t>
        </is>
      </c>
      <c r="G80" t="inlineStr">
        <is>
          <t>A</t>
        </is>
      </c>
      <c r="H80" t="inlineStr">
        <is>
          <t>SAESA</t>
        </is>
      </c>
      <c r="I80" t="inlineStr">
        <is>
          <t>SAESPURRBLOQA</t>
        </is>
      </c>
      <c r="J80" t="inlineStr">
        <is>
          <t>PURRANQUE</t>
        </is>
      </c>
      <c r="K80" t="n">
        <v>-2347.08413967</v>
      </c>
      <c r="L80" t="inlineStr">
        <is>
          <t>PURRANQUE</t>
        </is>
      </c>
      <c r="M80" t="inlineStr">
        <is>
          <t>BARRO BLANCO</t>
        </is>
      </c>
      <c r="N80" t="n">
        <v>0.47210809734302</v>
      </c>
      <c r="O80" t="n">
        <v>1108.077427</v>
      </c>
      <c r="P80" t="inlineStr">
        <is>
          <t>BS1A</t>
        </is>
      </c>
      <c r="Q80" t="n">
        <v>2</v>
      </c>
      <c r="W80" t="n">
        <v>2</v>
      </c>
      <c r="X80" t="n">
        <v>0</v>
      </c>
      <c r="AA80" t="inlineStr">
        <is>
          <t>PNP_6T_08-05-2020</t>
        </is>
      </c>
      <c r="AB80" t="inlineStr">
        <is>
          <t>PNCP_9T_12-08-2019</t>
        </is>
      </c>
      <c r="AC80" t="inlineStr">
        <is>
          <t>PNCP_4T_30-04-2013</t>
        </is>
      </c>
      <c r="AD80" t="inlineStr">
        <is>
          <t>Barro Blanco 220</t>
        </is>
      </c>
      <c r="AE80" t="n">
        <v>111.133</v>
      </c>
      <c r="AF80" t="n">
        <v>1.072776031070834</v>
      </c>
      <c r="AG80" t="n">
        <v>119.220818660995</v>
      </c>
      <c r="AH80" t="n">
        <v>694.38</v>
      </c>
      <c r="AI80" t="n">
        <v>0.875</v>
      </c>
      <c r="AJ80" t="n">
        <v>72.43648305409401</v>
      </c>
      <c r="AK80" t="n">
        <v>0.8631</v>
      </c>
      <c r="AL80" t="n">
        <v>62.52</v>
      </c>
      <c r="AM80" t="n">
        <v>8.9176</v>
      </c>
      <c r="AN80" t="n">
        <v>9.566587534677272</v>
      </c>
      <c r="AO80" t="n">
        <v>0.913</v>
      </c>
      <c r="AP80" t="n">
        <v>6064.919358776563</v>
      </c>
      <c r="AQ80" t="n">
        <v>1.004432825642191</v>
      </c>
      <c r="AR80" t="n">
        <v>6091.8041</v>
      </c>
      <c r="AT80" t="inlineStr">
        <is>
          <t>PNP_19T_30-12-2020</t>
        </is>
      </c>
      <c r="AU80" t="inlineStr">
        <is>
          <t>PNCP_12T_10-08-2020</t>
        </is>
      </c>
      <c r="AV80" t="inlineStr">
        <is>
          <t>PNCP_4T_30-04-2013</t>
        </is>
      </c>
      <c r="AW80" t="inlineStr">
        <is>
          <t>Barro Blanco 220</t>
        </is>
      </c>
      <c r="AX80" t="n">
        <v>111.133</v>
      </c>
      <c r="AY80" t="n">
        <v>1.083385174100913</v>
      </c>
      <c r="AZ80" t="n">
        <v>120.3998445533567</v>
      </c>
      <c r="BA80" t="n">
        <v>801.49</v>
      </c>
      <c r="BB80" t="n">
        <v>0.905</v>
      </c>
      <c r="BC80" t="n">
        <v>87.33184062701827</v>
      </c>
      <c r="BD80" t="n">
        <v>0.7946</v>
      </c>
      <c r="BE80" t="n">
        <v>69.39400000000001</v>
      </c>
      <c r="BF80" t="n">
        <v>8.9176</v>
      </c>
      <c r="BG80" t="n">
        <v>0.77</v>
      </c>
      <c r="BH80" t="n">
        <v>5962.380796939026</v>
      </c>
      <c r="BI80" t="n">
        <v>1.047283473516708</v>
      </c>
      <c r="BJ80" t="n">
        <v>6244.3029</v>
      </c>
    </row>
    <row r="81">
      <c r="A81" t="n">
        <v>5307</v>
      </c>
      <c r="B81" t="inlineStr">
        <is>
          <t>01-01-2021</t>
        </is>
      </c>
      <c r="C81" t="n">
        <v>2021</v>
      </c>
      <c r="D81" t="n">
        <v>1</v>
      </c>
      <c r="E81" t="inlineStr">
        <is>
          <t>CAREN</t>
        </is>
      </c>
      <c r="F81" t="inlineStr">
        <is>
          <t>SUM_SAESA_A</t>
        </is>
      </c>
      <c r="G81" t="inlineStr">
        <is>
          <t>A</t>
        </is>
      </c>
      <c r="H81" t="inlineStr">
        <is>
          <t>SAESA</t>
        </is>
      </c>
      <c r="I81" t="inlineStr">
        <is>
          <t>SAESPURRBLOQA</t>
        </is>
      </c>
      <c r="J81" t="inlineStr">
        <is>
          <t>PURRANQUE</t>
        </is>
      </c>
      <c r="K81" t="n">
        <v>-2347.08413967</v>
      </c>
      <c r="L81" t="inlineStr">
        <is>
          <t>PURRANQUE</t>
        </is>
      </c>
      <c r="M81" t="inlineStr">
        <is>
          <t>MELIPULLI</t>
        </is>
      </c>
      <c r="N81" t="n">
        <v>0.4174959870602</v>
      </c>
      <c r="O81" t="n">
        <v>979.8982099999999</v>
      </c>
      <c r="P81" t="inlineStr">
        <is>
          <t>BS1A</t>
        </is>
      </c>
      <c r="Q81" t="n">
        <v>2</v>
      </c>
      <c r="W81" t="n">
        <v>2</v>
      </c>
      <c r="X81" t="n">
        <v>0</v>
      </c>
      <c r="AA81" t="inlineStr">
        <is>
          <t>PNP_6T_08-05-2020</t>
        </is>
      </c>
      <c r="AB81" t="inlineStr">
        <is>
          <t>PNCP_9T_12-08-2019</t>
        </is>
      </c>
      <c r="AC81" t="inlineStr">
        <is>
          <t>PNCP_4T_30-04-2013</t>
        </is>
      </c>
      <c r="AD81" t="inlineStr">
        <is>
          <t>MELIPULLI 220</t>
        </is>
      </c>
      <c r="AE81" t="n">
        <v>111.133</v>
      </c>
      <c r="AF81" t="n">
        <v>1.072776031070834</v>
      </c>
      <c r="AG81" t="n">
        <v>119.220818660995</v>
      </c>
      <c r="AH81" t="n">
        <v>694.38</v>
      </c>
      <c r="AI81" t="n">
        <v>0.875</v>
      </c>
      <c r="AJ81" t="n">
        <v>72.43648305409401</v>
      </c>
      <c r="AK81" t="n">
        <v>0.8826000000000001</v>
      </c>
      <c r="AL81" t="n">
        <v>63.932</v>
      </c>
      <c r="AM81" t="n">
        <v>8.9176</v>
      </c>
      <c r="AN81" t="n">
        <v>9.566587534677272</v>
      </c>
      <c r="AO81" t="n">
        <v>0.913</v>
      </c>
      <c r="AP81" t="n">
        <v>6064.919358776563</v>
      </c>
      <c r="AQ81" t="n">
        <v>1</v>
      </c>
      <c r="AR81" t="n">
        <v>6064.9194</v>
      </c>
      <c r="AT81" t="inlineStr">
        <is>
          <t>PNP_19T_30-12-2020</t>
        </is>
      </c>
      <c r="AU81" t="inlineStr">
        <is>
          <t>PNCP_12T_10-08-2020</t>
        </is>
      </c>
      <c r="AV81" t="inlineStr">
        <is>
          <t>PNCP_4T_30-04-2013</t>
        </is>
      </c>
      <c r="AW81" t="inlineStr">
        <is>
          <t>MELIPULLI 220</t>
        </is>
      </c>
      <c r="AX81" t="n">
        <v>111.133</v>
      </c>
      <c r="AY81" t="n">
        <v>1.083385174100913</v>
      </c>
      <c r="AZ81" t="n">
        <v>120.3998445533567</v>
      </c>
      <c r="BA81" t="n">
        <v>801.49</v>
      </c>
      <c r="BB81" t="n">
        <v>0.905</v>
      </c>
      <c r="BC81" t="n">
        <v>87.33184062701827</v>
      </c>
      <c r="BD81" t="n">
        <v>0.7824</v>
      </c>
      <c r="BE81" t="n">
        <v>68.328</v>
      </c>
      <c r="BF81" t="n">
        <v>8.9176</v>
      </c>
      <c r="BG81" t="n">
        <v>0.77</v>
      </c>
      <c r="BH81" t="n">
        <v>5962.380796939026</v>
      </c>
      <c r="BI81" t="n">
        <v>1</v>
      </c>
      <c r="BJ81" t="n">
        <v>5962.3808</v>
      </c>
    </row>
    <row r="82">
      <c r="A82" t="n">
        <v>5309</v>
      </c>
      <c r="B82" t="inlineStr">
        <is>
          <t>01-01-2021</t>
        </is>
      </c>
      <c r="C82" t="n">
        <v>2021</v>
      </c>
      <c r="D82" t="n">
        <v>1</v>
      </c>
      <c r="E82" t="inlineStr">
        <is>
          <t>CAREN</t>
        </is>
      </c>
      <c r="F82" t="inlineStr">
        <is>
          <t>SUM_SAESA_A</t>
        </is>
      </c>
      <c r="G82" t="inlineStr">
        <is>
          <t>A</t>
        </is>
      </c>
      <c r="H82" t="inlineStr">
        <is>
          <t>SAESA</t>
        </is>
      </c>
      <c r="I82" t="inlineStr">
        <is>
          <t>SAESPURRBLOQA</t>
        </is>
      </c>
      <c r="J82" t="inlineStr">
        <is>
          <t>PURRANQUE</t>
        </is>
      </c>
      <c r="K82" t="n">
        <v>-2347.08413967</v>
      </c>
      <c r="L82" t="inlineStr">
        <is>
          <t>PURRANQUE</t>
        </is>
      </c>
      <c r="M82" t="inlineStr">
        <is>
          <t>Puerto Montt</t>
        </is>
      </c>
      <c r="N82" t="n">
        <v>0.50813692662399</v>
      </c>
      <c r="O82" t="n">
        <v>1192.640121</v>
      </c>
      <c r="P82" t="inlineStr">
        <is>
          <t>BS1A</t>
        </is>
      </c>
      <c r="Q82" t="n">
        <v>2</v>
      </c>
      <c r="W82" t="n">
        <v>2</v>
      </c>
      <c r="X82" t="n">
        <v>0</v>
      </c>
      <c r="AA82" t="inlineStr">
        <is>
          <t>PNP_6T_08-05-2020</t>
        </is>
      </c>
      <c r="AB82" t="inlineStr">
        <is>
          <t>PNCP_9T_12-08-2019</t>
        </is>
      </c>
      <c r="AC82" t="inlineStr">
        <is>
          <t>PNCP_4T_30-04-2013</t>
        </is>
      </c>
      <c r="AD82" t="inlineStr">
        <is>
          <t>PUERTO MONTT 220</t>
        </is>
      </c>
      <c r="AE82" t="n">
        <v>111.133</v>
      </c>
      <c r="AF82" t="n">
        <v>1.072776031070834</v>
      </c>
      <c r="AG82" t="n">
        <v>119.220818660995</v>
      </c>
      <c r="AH82" t="n">
        <v>694.38</v>
      </c>
      <c r="AI82" t="n">
        <v>0.875</v>
      </c>
      <c r="AJ82" t="n">
        <v>72.43648305409401</v>
      </c>
      <c r="AK82" t="n">
        <v>0.8826000000000001</v>
      </c>
      <c r="AL82" t="n">
        <v>63.932</v>
      </c>
      <c r="AM82" t="n">
        <v>8.9176</v>
      </c>
      <c r="AN82" t="n">
        <v>9.566587534677272</v>
      </c>
      <c r="AO82" t="n">
        <v>0.913</v>
      </c>
      <c r="AP82" t="n">
        <v>6064.919358776563</v>
      </c>
      <c r="AQ82" t="n">
        <v>1.016858412119831</v>
      </c>
      <c r="AR82" t="n">
        <v>6167.1643</v>
      </c>
      <c r="AT82" t="inlineStr">
        <is>
          <t>PNP_19T_30-12-2020</t>
        </is>
      </c>
      <c r="AU82" t="inlineStr">
        <is>
          <t>PNCP_12T_10-08-2020</t>
        </is>
      </c>
      <c r="AV82" t="inlineStr">
        <is>
          <t>PNCP_4T_30-04-2013</t>
        </is>
      </c>
      <c r="AW82" t="inlineStr">
        <is>
          <t>PUERTO MONTT 220</t>
        </is>
      </c>
      <c r="AX82" t="n">
        <v>111.133</v>
      </c>
      <c r="AY82" t="n">
        <v>1.083385174100913</v>
      </c>
      <c r="AZ82" t="n">
        <v>120.3998445533567</v>
      </c>
      <c r="BA82" t="n">
        <v>801.49</v>
      </c>
      <c r="BB82" t="n">
        <v>0.905</v>
      </c>
      <c r="BC82" t="n">
        <v>87.33184062701827</v>
      </c>
      <c r="BD82" t="n">
        <v>0.7824</v>
      </c>
      <c r="BE82" t="n">
        <v>68.328</v>
      </c>
      <c r="BF82" t="n">
        <v>8.9176</v>
      </c>
      <c r="BG82" t="n">
        <v>0.77</v>
      </c>
      <c r="BH82" t="n">
        <v>5962.380796939026</v>
      </c>
      <c r="BI82" t="n">
        <v>1.039640050119603</v>
      </c>
      <c r="BJ82" t="n">
        <v>6198.7299</v>
      </c>
    </row>
    <row r="83">
      <c r="A83" t="n">
        <v>5311</v>
      </c>
      <c r="B83" t="inlineStr">
        <is>
          <t>01-01-2021</t>
        </is>
      </c>
      <c r="C83" t="n">
        <v>2021</v>
      </c>
      <c r="D83" t="n">
        <v>1</v>
      </c>
      <c r="E83" t="inlineStr">
        <is>
          <t>CAREN</t>
        </is>
      </c>
      <c r="F83" t="inlineStr">
        <is>
          <t>SUM_SAESA_A</t>
        </is>
      </c>
      <c r="G83" t="inlineStr">
        <is>
          <t>A</t>
        </is>
      </c>
      <c r="H83" t="inlineStr">
        <is>
          <t>SAESA</t>
        </is>
      </c>
      <c r="I83" t="inlineStr">
        <is>
          <t>SAESPURRBLOQA</t>
        </is>
      </c>
      <c r="J83" t="inlineStr">
        <is>
          <t>PURRANQUE</t>
        </is>
      </c>
      <c r="K83" t="n">
        <v>-2347.08413967</v>
      </c>
      <c r="L83" t="inlineStr">
        <is>
          <t>PURRANQUE</t>
        </is>
      </c>
      <c r="M83" t="inlineStr">
        <is>
          <t>VALDIVIA</t>
        </is>
      </c>
      <c r="N83" t="n">
        <v>0.00409927459727</v>
      </c>
      <c r="O83" t="n">
        <v>9.621342</v>
      </c>
      <c r="P83" t="inlineStr">
        <is>
          <t>BS1A</t>
        </is>
      </c>
      <c r="Q83" t="n">
        <v>2</v>
      </c>
      <c r="W83" t="n">
        <v>2</v>
      </c>
      <c r="X83" t="n">
        <v>0</v>
      </c>
      <c r="AA83" t="inlineStr">
        <is>
          <t>PNP_6T_08-05-2020</t>
        </is>
      </c>
      <c r="AB83" t="inlineStr">
        <is>
          <t>PNCP_9T_12-08-2019</t>
        </is>
      </c>
      <c r="AC83" t="inlineStr">
        <is>
          <t>PNCP_4T_30-04-2013</t>
        </is>
      </c>
      <c r="AD83" t="inlineStr">
        <is>
          <t>VALDIVIA 220</t>
        </is>
      </c>
      <c r="AE83" t="n">
        <v>111.133</v>
      </c>
      <c r="AF83" t="n">
        <v>1.072776031070834</v>
      </c>
      <c r="AG83" t="n">
        <v>119.220818660995</v>
      </c>
      <c r="AH83" t="n">
        <v>694.38</v>
      </c>
      <c r="AI83" t="n">
        <v>0.875</v>
      </c>
      <c r="AJ83" t="n">
        <v>72.43648305409401</v>
      </c>
      <c r="AK83" t="n">
        <v>0.913</v>
      </c>
      <c r="AL83" t="n">
        <v>66.13500000000001</v>
      </c>
      <c r="AM83" t="n">
        <v>8.9176</v>
      </c>
      <c r="AN83" t="n">
        <v>9.566587534677272</v>
      </c>
      <c r="AO83" t="n">
        <v>0.913</v>
      </c>
      <c r="AP83" t="n">
        <v>6064.919358776563</v>
      </c>
      <c r="AQ83" t="n">
        <v>1.051287819142954</v>
      </c>
      <c r="AR83" t="n">
        <v>6375.9758</v>
      </c>
      <c r="AT83" t="inlineStr">
        <is>
          <t>PNP_19T_30-12-2020</t>
        </is>
      </c>
      <c r="AU83" t="inlineStr">
        <is>
          <t>PNCP_12T_10-08-2020</t>
        </is>
      </c>
      <c r="AV83" t="inlineStr">
        <is>
          <t>PNCP_4T_30-04-2013</t>
        </is>
      </c>
      <c r="AW83" t="inlineStr">
        <is>
          <t>VALDIVIA 220</t>
        </is>
      </c>
      <c r="AX83" t="n">
        <v>111.133</v>
      </c>
      <c r="AY83" t="n">
        <v>1.083385174100913</v>
      </c>
      <c r="AZ83" t="n">
        <v>120.3998445533567</v>
      </c>
      <c r="BA83" t="n">
        <v>801.49</v>
      </c>
      <c r="BB83" t="n">
        <v>0.905</v>
      </c>
      <c r="BC83" t="n">
        <v>87.33184062701827</v>
      </c>
      <c r="BD83" t="n">
        <v>0.8745000000000001</v>
      </c>
      <c r="BE83" t="n">
        <v>76.372</v>
      </c>
      <c r="BF83" t="n">
        <v>8.9176</v>
      </c>
      <c r="BG83" t="n">
        <v>0.77</v>
      </c>
      <c r="BH83" t="n">
        <v>5962.380796939026</v>
      </c>
      <c r="BI83" t="n">
        <v>1.148014846473962</v>
      </c>
      <c r="BJ83" t="n">
        <v>6844.9017</v>
      </c>
    </row>
    <row r="84">
      <c r="A84" t="n">
        <v>1321</v>
      </c>
      <c r="B84" t="inlineStr">
        <is>
          <t>01-01-2021</t>
        </is>
      </c>
      <c r="C84" t="n">
        <v>2021</v>
      </c>
      <c r="D84" t="n">
        <v>1</v>
      </c>
      <c r="E84" t="inlineStr">
        <is>
          <t>CAREN</t>
        </is>
      </c>
      <c r="F84" t="inlineStr">
        <is>
          <t>SUM_SAESA_A</t>
        </is>
      </c>
      <c r="G84" t="inlineStr">
        <is>
          <t>A</t>
        </is>
      </c>
      <c r="H84" t="inlineStr">
        <is>
          <t>SAESA</t>
        </is>
      </c>
      <c r="I84" t="inlineStr">
        <is>
          <t>SAESQUELBLOQA</t>
        </is>
      </c>
      <c r="J84" t="inlineStr">
        <is>
          <t>QUELLON</t>
        </is>
      </c>
      <c r="K84" t="n">
        <v>-3558.30849565</v>
      </c>
      <c r="L84" t="inlineStr">
        <is>
          <t>QUELLON</t>
        </is>
      </c>
      <c r="M84" t="inlineStr">
        <is>
          <t>CHILOE</t>
        </is>
      </c>
      <c r="N84" t="n">
        <v>0.79707666555743</v>
      </c>
      <c r="O84" t="n">
        <v>2836.244671</v>
      </c>
      <c r="P84" t="inlineStr">
        <is>
          <t>BS1A</t>
        </is>
      </c>
      <c r="Q84" t="n">
        <v>2</v>
      </c>
      <c r="W84" t="n">
        <v>2</v>
      </c>
      <c r="X84" t="n">
        <v>0</v>
      </c>
      <c r="AA84" t="inlineStr">
        <is>
          <t>PNP_6T_08-05-2020</t>
        </is>
      </c>
      <c r="AB84" t="inlineStr">
        <is>
          <t>PNCP_9T_12-08-2019</t>
        </is>
      </c>
      <c r="AC84" t="inlineStr">
        <is>
          <t>PNCP_4T_30-04-2013</t>
        </is>
      </c>
      <c r="AD84" t="inlineStr">
        <is>
          <t>CHILOE 220</t>
        </is>
      </c>
      <c r="AE84" t="n">
        <v>111.133</v>
      </c>
      <c r="AF84" t="n">
        <v>1.072776031070834</v>
      </c>
      <c r="AG84" t="n">
        <v>119.220818660995</v>
      </c>
      <c r="AH84" t="n">
        <v>694.38</v>
      </c>
      <c r="AI84" t="n">
        <v>0.875</v>
      </c>
      <c r="AJ84" t="n">
        <v>72.43648305409401</v>
      </c>
      <c r="AK84" t="n">
        <v>0.8903</v>
      </c>
      <c r="AL84" t="n">
        <v>64.48999999999999</v>
      </c>
      <c r="AM84" t="n">
        <v>8.9176</v>
      </c>
      <c r="AN84" t="n">
        <v>9.566587534677272</v>
      </c>
      <c r="AO84" t="n">
        <v>0.913</v>
      </c>
      <c r="AP84" t="n">
        <v>6064.919358776563</v>
      </c>
      <c r="AQ84" t="n">
        <v>1</v>
      </c>
      <c r="AR84" t="n">
        <v>6064.9194</v>
      </c>
      <c r="AT84" t="inlineStr">
        <is>
          <t>PNP_19T_30-12-2020</t>
        </is>
      </c>
      <c r="AU84" t="inlineStr">
        <is>
          <t>PNCP_12T_10-08-2020</t>
        </is>
      </c>
      <c r="AV84" t="inlineStr">
        <is>
          <t>PNCP_4T_30-04-2013</t>
        </is>
      </c>
      <c r="AW84" t="inlineStr">
        <is>
          <t>CHILOE 220</t>
        </is>
      </c>
      <c r="AX84" t="n">
        <v>111.133</v>
      </c>
      <c r="AY84" t="n">
        <v>1.083385174100913</v>
      </c>
      <c r="AZ84" t="n">
        <v>120.3998445533567</v>
      </c>
      <c r="BA84" t="n">
        <v>801.49</v>
      </c>
      <c r="BB84" t="n">
        <v>0.905</v>
      </c>
      <c r="BC84" t="n">
        <v>87.33184062701827</v>
      </c>
      <c r="BD84" t="n">
        <v>0.7923</v>
      </c>
      <c r="BE84" t="n">
        <v>69.193</v>
      </c>
      <c r="BF84" t="n">
        <v>8.9176</v>
      </c>
      <c r="BG84" t="n">
        <v>0.77</v>
      </c>
      <c r="BH84" t="n">
        <v>5962.380796939026</v>
      </c>
      <c r="BI84" t="n">
        <v>1</v>
      </c>
      <c r="BJ84" t="n">
        <v>5962.3808</v>
      </c>
    </row>
    <row r="85">
      <c r="A85" t="n">
        <v>1323</v>
      </c>
      <c r="B85" t="inlineStr">
        <is>
          <t>01-01-2021</t>
        </is>
      </c>
      <c r="C85" t="n">
        <v>2021</v>
      </c>
      <c r="D85" t="n">
        <v>1</v>
      </c>
      <c r="E85" t="inlineStr">
        <is>
          <t>CAREN</t>
        </is>
      </c>
      <c r="F85" t="inlineStr">
        <is>
          <t>SUM_SAESA_A</t>
        </is>
      </c>
      <c r="G85" t="inlineStr">
        <is>
          <t>A</t>
        </is>
      </c>
      <c r="H85" t="inlineStr">
        <is>
          <t>SAESA</t>
        </is>
      </c>
      <c r="I85" t="inlineStr">
        <is>
          <t>SAESQUELBLOQA</t>
        </is>
      </c>
      <c r="J85" t="inlineStr">
        <is>
          <t>QUELLON</t>
        </is>
      </c>
      <c r="K85" t="n">
        <v>-3558.30849565</v>
      </c>
      <c r="L85" t="inlineStr">
        <is>
          <t>QUELLON</t>
        </is>
      </c>
      <c r="M85" t="inlineStr">
        <is>
          <t>Puerto Montt</t>
        </is>
      </c>
      <c r="N85" t="n">
        <v>0.94104614890391</v>
      </c>
      <c r="O85" t="n">
        <v>3348.532506</v>
      </c>
      <c r="P85" t="inlineStr">
        <is>
          <t>BS1A</t>
        </is>
      </c>
      <c r="Q85" t="n">
        <v>2</v>
      </c>
      <c r="W85" t="n">
        <v>2</v>
      </c>
      <c r="X85" t="n">
        <v>0</v>
      </c>
      <c r="AA85" t="inlineStr">
        <is>
          <t>PNP_6T_08-05-2020</t>
        </is>
      </c>
      <c r="AB85" t="inlineStr">
        <is>
          <t>PNCP_9T_12-08-2019</t>
        </is>
      </c>
      <c r="AC85" t="inlineStr">
        <is>
          <t>PNCP_4T_30-04-2013</t>
        </is>
      </c>
      <c r="AD85" t="inlineStr">
        <is>
          <t>PUERTO MONTT 220</t>
        </is>
      </c>
      <c r="AE85" t="n">
        <v>111.133</v>
      </c>
      <c r="AF85" t="n">
        <v>1.072776031070834</v>
      </c>
      <c r="AG85" t="n">
        <v>119.220818660995</v>
      </c>
      <c r="AH85" t="n">
        <v>694.38</v>
      </c>
      <c r="AI85" t="n">
        <v>0.875</v>
      </c>
      <c r="AJ85" t="n">
        <v>72.43648305409401</v>
      </c>
      <c r="AK85" t="n">
        <v>0.8826000000000001</v>
      </c>
      <c r="AL85" t="n">
        <v>63.932</v>
      </c>
      <c r="AM85" t="n">
        <v>8.9176</v>
      </c>
      <c r="AN85" t="n">
        <v>9.566587534677272</v>
      </c>
      <c r="AO85" t="n">
        <v>0.913</v>
      </c>
      <c r="AP85" t="n">
        <v>6064.919358776563</v>
      </c>
      <c r="AQ85" t="n">
        <v>1.016858412119831</v>
      </c>
      <c r="AR85" t="n">
        <v>6167.1643</v>
      </c>
      <c r="AT85" t="inlineStr">
        <is>
          <t>PNP_19T_30-12-2020</t>
        </is>
      </c>
      <c r="AU85" t="inlineStr">
        <is>
          <t>PNCP_12T_10-08-2020</t>
        </is>
      </c>
      <c r="AV85" t="inlineStr">
        <is>
          <t>PNCP_4T_30-04-2013</t>
        </is>
      </c>
      <c r="AW85" t="inlineStr">
        <is>
          <t>PUERTO MONTT 220</t>
        </is>
      </c>
      <c r="AX85" t="n">
        <v>111.133</v>
      </c>
      <c r="AY85" t="n">
        <v>1.083385174100913</v>
      </c>
      <c r="AZ85" t="n">
        <v>120.3998445533567</v>
      </c>
      <c r="BA85" t="n">
        <v>801.49</v>
      </c>
      <c r="BB85" t="n">
        <v>0.905</v>
      </c>
      <c r="BC85" t="n">
        <v>87.33184062701827</v>
      </c>
      <c r="BD85" t="n">
        <v>0.7824</v>
      </c>
      <c r="BE85" t="n">
        <v>68.328</v>
      </c>
      <c r="BF85" t="n">
        <v>8.9176</v>
      </c>
      <c r="BG85" t="n">
        <v>0.77</v>
      </c>
      <c r="BH85" t="n">
        <v>5962.380796939026</v>
      </c>
      <c r="BI85" t="n">
        <v>1.039640050119603</v>
      </c>
      <c r="BJ85" t="n">
        <v>6198.7299</v>
      </c>
    </row>
    <row r="86">
      <c r="A86" t="n">
        <v>841</v>
      </c>
      <c r="B86" t="inlineStr">
        <is>
          <t>01-01-2021</t>
        </is>
      </c>
      <c r="C86" t="n">
        <v>2021</v>
      </c>
      <c r="D86" t="n">
        <v>1</v>
      </c>
      <c r="E86" t="inlineStr">
        <is>
          <t>CAREN</t>
        </is>
      </c>
      <c r="F86" t="inlineStr">
        <is>
          <t>SUM_SAESA_A</t>
        </is>
      </c>
      <c r="G86" t="inlineStr">
        <is>
          <t>A</t>
        </is>
      </c>
      <c r="H86" t="inlineStr">
        <is>
          <t>SAESA</t>
        </is>
      </c>
      <c r="I86" t="inlineStr">
        <is>
          <t>SAESARNEGBLOQA</t>
        </is>
      </c>
      <c r="J86" t="inlineStr">
        <is>
          <t>R.NEGRO</t>
        </is>
      </c>
      <c r="K86" t="n">
        <v>-2117.10060528</v>
      </c>
      <c r="L86" t="inlineStr">
        <is>
          <t>RIO NEGRO 23</t>
        </is>
      </c>
      <c r="M86" t="inlineStr">
        <is>
          <t>BARRO BLANCO</t>
        </is>
      </c>
      <c r="N86" t="n">
        <v>0.80297227680351</v>
      </c>
      <c r="O86" t="n">
        <v>1699.973093</v>
      </c>
      <c r="P86" t="inlineStr">
        <is>
          <t>BS1A</t>
        </is>
      </c>
      <c r="Q86" t="n">
        <v>2</v>
      </c>
      <c r="W86" t="n">
        <v>2</v>
      </c>
      <c r="X86" t="n">
        <v>0</v>
      </c>
      <c r="AA86" t="inlineStr">
        <is>
          <t>PNP_6T_08-05-2020</t>
        </is>
      </c>
      <c r="AB86" t="inlineStr">
        <is>
          <t>PNCP_9T_12-08-2019</t>
        </is>
      </c>
      <c r="AC86" t="inlineStr">
        <is>
          <t>PNCP_4T_30-04-2013</t>
        </is>
      </c>
      <c r="AD86" t="inlineStr">
        <is>
          <t>Barro Blanco 220</t>
        </is>
      </c>
      <c r="AE86" t="n">
        <v>111.133</v>
      </c>
      <c r="AF86" t="n">
        <v>1.072776031070834</v>
      </c>
      <c r="AG86" t="n">
        <v>119.220818660995</v>
      </c>
      <c r="AH86" t="n">
        <v>694.38</v>
      </c>
      <c r="AI86" t="n">
        <v>0.875</v>
      </c>
      <c r="AJ86" t="n">
        <v>72.43648305409401</v>
      </c>
      <c r="AK86" t="n">
        <v>0.8631</v>
      </c>
      <c r="AL86" t="n">
        <v>62.52</v>
      </c>
      <c r="AM86" t="n">
        <v>8.9176</v>
      </c>
      <c r="AN86" t="n">
        <v>9.566587534677272</v>
      </c>
      <c r="AO86" t="n">
        <v>0.913</v>
      </c>
      <c r="AP86" t="n">
        <v>6064.919358776563</v>
      </c>
      <c r="AQ86" t="n">
        <v>1.004432825642191</v>
      </c>
      <c r="AR86" t="n">
        <v>6091.8041</v>
      </c>
      <c r="AT86" t="inlineStr">
        <is>
          <t>PNP_19T_30-12-2020</t>
        </is>
      </c>
      <c r="AU86" t="inlineStr">
        <is>
          <t>PNCP_12T_10-08-2020</t>
        </is>
      </c>
      <c r="AV86" t="inlineStr">
        <is>
          <t>PNCP_4T_30-04-2013</t>
        </is>
      </c>
      <c r="AW86" t="inlineStr">
        <is>
          <t>Barro Blanco 220</t>
        </is>
      </c>
      <c r="AX86" t="n">
        <v>111.133</v>
      </c>
      <c r="AY86" t="n">
        <v>1.083385174100913</v>
      </c>
      <c r="AZ86" t="n">
        <v>120.3998445533567</v>
      </c>
      <c r="BA86" t="n">
        <v>801.49</v>
      </c>
      <c r="BB86" t="n">
        <v>0.905</v>
      </c>
      <c r="BC86" t="n">
        <v>87.33184062701827</v>
      </c>
      <c r="BD86" t="n">
        <v>0.7946</v>
      </c>
      <c r="BE86" t="n">
        <v>69.39400000000001</v>
      </c>
      <c r="BF86" t="n">
        <v>8.9176</v>
      </c>
      <c r="BG86" t="n">
        <v>0.77</v>
      </c>
      <c r="BH86" t="n">
        <v>5962.380796939026</v>
      </c>
      <c r="BI86" t="n">
        <v>1.047283473516708</v>
      </c>
      <c r="BJ86" t="n">
        <v>6244.3029</v>
      </c>
    </row>
    <row r="87">
      <c r="A87" t="n">
        <v>843</v>
      </c>
      <c r="B87" t="inlineStr">
        <is>
          <t>01-01-2021</t>
        </is>
      </c>
      <c r="C87" t="n">
        <v>2021</v>
      </c>
      <c r="D87" t="n">
        <v>1</v>
      </c>
      <c r="E87" t="inlineStr">
        <is>
          <t>CAREN</t>
        </is>
      </c>
      <c r="F87" t="inlineStr">
        <is>
          <t>SUM_SAESA_A</t>
        </is>
      </c>
      <c r="G87" t="inlineStr">
        <is>
          <t>A</t>
        </is>
      </c>
      <c r="H87" t="inlineStr">
        <is>
          <t>SAESA</t>
        </is>
      </c>
      <c r="I87" t="inlineStr">
        <is>
          <t>SAESARNEGBLOQA</t>
        </is>
      </c>
      <c r="J87" t="inlineStr">
        <is>
          <t>R.NEGRO</t>
        </is>
      </c>
      <c r="K87" t="n">
        <v>-2117.10060528</v>
      </c>
      <c r="L87" t="inlineStr">
        <is>
          <t>RIO NEGRO 23</t>
        </is>
      </c>
      <c r="M87" t="inlineStr">
        <is>
          <t>MELIPULLI</t>
        </is>
      </c>
      <c r="N87" t="n">
        <v>0.046511074421</v>
      </c>
      <c r="O87" t="n">
        <v>98.46862400000001</v>
      </c>
      <c r="P87" t="inlineStr">
        <is>
          <t>BS1A</t>
        </is>
      </c>
      <c r="Q87" t="n">
        <v>2</v>
      </c>
      <c r="W87" t="n">
        <v>2</v>
      </c>
      <c r="X87" t="n">
        <v>0</v>
      </c>
      <c r="AA87" t="inlineStr">
        <is>
          <t>PNP_6T_08-05-2020</t>
        </is>
      </c>
      <c r="AB87" t="inlineStr">
        <is>
          <t>PNCP_9T_12-08-2019</t>
        </is>
      </c>
      <c r="AC87" t="inlineStr">
        <is>
          <t>PNCP_4T_30-04-2013</t>
        </is>
      </c>
      <c r="AD87" t="inlineStr">
        <is>
          <t>MELIPULLI 220</t>
        </is>
      </c>
      <c r="AE87" t="n">
        <v>111.133</v>
      </c>
      <c r="AF87" t="n">
        <v>1.072776031070834</v>
      </c>
      <c r="AG87" t="n">
        <v>119.220818660995</v>
      </c>
      <c r="AH87" t="n">
        <v>694.38</v>
      </c>
      <c r="AI87" t="n">
        <v>0.875</v>
      </c>
      <c r="AJ87" t="n">
        <v>72.43648305409401</v>
      </c>
      <c r="AK87" t="n">
        <v>0.8826000000000001</v>
      </c>
      <c r="AL87" t="n">
        <v>63.932</v>
      </c>
      <c r="AM87" t="n">
        <v>8.9176</v>
      </c>
      <c r="AN87" t="n">
        <v>9.566587534677272</v>
      </c>
      <c r="AO87" t="n">
        <v>0.913</v>
      </c>
      <c r="AP87" t="n">
        <v>6064.919358776563</v>
      </c>
      <c r="AQ87" t="n">
        <v>1</v>
      </c>
      <c r="AR87" t="n">
        <v>6064.9194</v>
      </c>
      <c r="AT87" t="inlineStr">
        <is>
          <t>PNP_19T_30-12-2020</t>
        </is>
      </c>
      <c r="AU87" t="inlineStr">
        <is>
          <t>PNCP_12T_10-08-2020</t>
        </is>
      </c>
      <c r="AV87" t="inlineStr">
        <is>
          <t>PNCP_4T_30-04-2013</t>
        </is>
      </c>
      <c r="AW87" t="inlineStr">
        <is>
          <t>MELIPULLI 220</t>
        </is>
      </c>
      <c r="AX87" t="n">
        <v>111.133</v>
      </c>
      <c r="AY87" t="n">
        <v>1.083385174100913</v>
      </c>
      <c r="AZ87" t="n">
        <v>120.3998445533567</v>
      </c>
      <c r="BA87" t="n">
        <v>801.49</v>
      </c>
      <c r="BB87" t="n">
        <v>0.905</v>
      </c>
      <c r="BC87" t="n">
        <v>87.33184062701827</v>
      </c>
      <c r="BD87" t="n">
        <v>0.7824</v>
      </c>
      <c r="BE87" t="n">
        <v>68.328</v>
      </c>
      <c r="BF87" t="n">
        <v>8.9176</v>
      </c>
      <c r="BG87" t="n">
        <v>0.77</v>
      </c>
      <c r="BH87" t="n">
        <v>5962.380796939026</v>
      </c>
      <c r="BI87" t="n">
        <v>1</v>
      </c>
      <c r="BJ87" t="n">
        <v>5962.3808</v>
      </c>
    </row>
    <row r="88">
      <c r="A88" t="n">
        <v>845</v>
      </c>
      <c r="B88" t="inlineStr">
        <is>
          <t>01-01-2021</t>
        </is>
      </c>
      <c r="C88" t="n">
        <v>2021</v>
      </c>
      <c r="D88" t="n">
        <v>1</v>
      </c>
      <c r="E88" t="inlineStr">
        <is>
          <t>CAREN</t>
        </is>
      </c>
      <c r="F88" t="inlineStr">
        <is>
          <t>SUM_SAESA_A</t>
        </is>
      </c>
      <c r="G88" t="inlineStr">
        <is>
          <t>A</t>
        </is>
      </c>
      <c r="H88" t="inlineStr">
        <is>
          <t>SAESA</t>
        </is>
      </c>
      <c r="I88" t="inlineStr">
        <is>
          <t>SAESARNEGBLOQA</t>
        </is>
      </c>
      <c r="J88" t="inlineStr">
        <is>
          <t>R.NEGRO</t>
        </is>
      </c>
      <c r="K88" t="n">
        <v>-2117.10060528</v>
      </c>
      <c r="L88" t="inlineStr">
        <is>
          <t>RIO NEGRO 23</t>
        </is>
      </c>
      <c r="M88" t="inlineStr">
        <is>
          <t>VALDIVIA</t>
        </is>
      </c>
      <c r="N88" t="n">
        <v>0.00178849626167</v>
      </c>
      <c r="O88" t="n">
        <v>3.786427</v>
      </c>
      <c r="P88" t="inlineStr">
        <is>
          <t>BS1A</t>
        </is>
      </c>
      <c r="Q88" t="n">
        <v>2</v>
      </c>
      <c r="W88" t="n">
        <v>2</v>
      </c>
      <c r="X88" t="n">
        <v>0</v>
      </c>
      <c r="AA88" t="inlineStr">
        <is>
          <t>PNP_6T_08-05-2020</t>
        </is>
      </c>
      <c r="AB88" t="inlineStr">
        <is>
          <t>PNCP_9T_12-08-2019</t>
        </is>
      </c>
      <c r="AC88" t="inlineStr">
        <is>
          <t>PNCP_4T_30-04-2013</t>
        </is>
      </c>
      <c r="AD88" t="inlineStr">
        <is>
          <t>VALDIVIA 220</t>
        </is>
      </c>
      <c r="AE88" t="n">
        <v>111.133</v>
      </c>
      <c r="AF88" t="n">
        <v>1.072776031070834</v>
      </c>
      <c r="AG88" t="n">
        <v>119.220818660995</v>
      </c>
      <c r="AH88" t="n">
        <v>694.38</v>
      </c>
      <c r="AI88" t="n">
        <v>0.875</v>
      </c>
      <c r="AJ88" t="n">
        <v>72.43648305409401</v>
      </c>
      <c r="AK88" t="n">
        <v>0.913</v>
      </c>
      <c r="AL88" t="n">
        <v>66.13500000000001</v>
      </c>
      <c r="AM88" t="n">
        <v>8.9176</v>
      </c>
      <c r="AN88" t="n">
        <v>9.566587534677272</v>
      </c>
      <c r="AO88" t="n">
        <v>0.913</v>
      </c>
      <c r="AP88" t="n">
        <v>6064.919358776563</v>
      </c>
      <c r="AQ88" t="n">
        <v>1.051287819142954</v>
      </c>
      <c r="AR88" t="n">
        <v>6375.9758</v>
      </c>
      <c r="AT88" t="inlineStr">
        <is>
          <t>PNP_19T_30-12-2020</t>
        </is>
      </c>
      <c r="AU88" t="inlineStr">
        <is>
          <t>PNCP_12T_10-08-2020</t>
        </is>
      </c>
      <c r="AV88" t="inlineStr">
        <is>
          <t>PNCP_4T_30-04-2013</t>
        </is>
      </c>
      <c r="AW88" t="inlineStr">
        <is>
          <t>VALDIVIA 220</t>
        </is>
      </c>
      <c r="AX88" t="n">
        <v>111.133</v>
      </c>
      <c r="AY88" t="n">
        <v>1.083385174100913</v>
      </c>
      <c r="AZ88" t="n">
        <v>120.3998445533567</v>
      </c>
      <c r="BA88" t="n">
        <v>801.49</v>
      </c>
      <c r="BB88" t="n">
        <v>0.905</v>
      </c>
      <c r="BC88" t="n">
        <v>87.33184062701827</v>
      </c>
      <c r="BD88" t="n">
        <v>0.8745000000000001</v>
      </c>
      <c r="BE88" t="n">
        <v>76.372</v>
      </c>
      <c r="BF88" t="n">
        <v>8.9176</v>
      </c>
      <c r="BG88" t="n">
        <v>0.77</v>
      </c>
      <c r="BH88" t="n">
        <v>5962.380796939026</v>
      </c>
      <c r="BI88" t="n">
        <v>1.148014846473962</v>
      </c>
      <c r="BJ88" t="n">
        <v>6844.9017</v>
      </c>
    </row>
    <row r="89">
      <c r="A89" t="n">
        <v>393</v>
      </c>
      <c r="B89" t="inlineStr">
        <is>
          <t>01-01-2021</t>
        </is>
      </c>
      <c r="C89" t="n">
        <v>2021</v>
      </c>
      <c r="D89" t="n">
        <v>1</v>
      </c>
      <c r="E89" t="inlineStr">
        <is>
          <t>CAREN</t>
        </is>
      </c>
      <c r="F89" t="inlineStr">
        <is>
          <t>SUM_SAESA_A</t>
        </is>
      </c>
      <c r="G89" t="inlineStr">
        <is>
          <t>A</t>
        </is>
      </c>
      <c r="H89" t="inlineStr">
        <is>
          <t>SAESA</t>
        </is>
      </c>
      <c r="I89" t="inlineStr">
        <is>
          <t>SAESSANGBLOQA</t>
        </is>
      </c>
      <c r="J89" t="inlineStr">
        <is>
          <t>SANGRA</t>
        </is>
      </c>
      <c r="K89" t="n">
        <v>-2964.84893303</v>
      </c>
      <c r="L89" t="inlineStr">
        <is>
          <t>SANGRA 23</t>
        </is>
      </c>
      <c r="M89" t="inlineStr">
        <is>
          <t>BARRO BLANCO</t>
        </is>
      </c>
      <c r="N89" t="n">
        <v>0.1396556304984</v>
      </c>
      <c r="O89" t="n">
        <v>414.057847</v>
      </c>
      <c r="P89" t="inlineStr">
        <is>
          <t>BS1A</t>
        </is>
      </c>
      <c r="Q89" t="n">
        <v>2</v>
      </c>
      <c r="W89" t="n">
        <v>2</v>
      </c>
      <c r="X89" t="n">
        <v>0</v>
      </c>
      <c r="AA89" t="inlineStr">
        <is>
          <t>PNP_6T_08-05-2020</t>
        </is>
      </c>
      <c r="AB89" t="inlineStr">
        <is>
          <t>PNCP_9T_12-08-2019</t>
        </is>
      </c>
      <c r="AC89" t="inlineStr">
        <is>
          <t>PNCP_4T_30-04-2013</t>
        </is>
      </c>
      <c r="AD89" t="inlineStr">
        <is>
          <t>Barro Blanco 220</t>
        </is>
      </c>
      <c r="AE89" t="n">
        <v>111.133</v>
      </c>
      <c r="AF89" t="n">
        <v>1.072776031070834</v>
      </c>
      <c r="AG89" t="n">
        <v>119.220818660995</v>
      </c>
      <c r="AH89" t="n">
        <v>694.38</v>
      </c>
      <c r="AI89" t="n">
        <v>0.875</v>
      </c>
      <c r="AJ89" t="n">
        <v>72.43648305409401</v>
      </c>
      <c r="AK89" t="n">
        <v>0.8631</v>
      </c>
      <c r="AL89" t="n">
        <v>62.52</v>
      </c>
      <c r="AM89" t="n">
        <v>8.9176</v>
      </c>
      <c r="AN89" t="n">
        <v>9.566587534677272</v>
      </c>
      <c r="AO89" t="n">
        <v>0.913</v>
      </c>
      <c r="AP89" t="n">
        <v>6064.919358776563</v>
      </c>
      <c r="AQ89" t="n">
        <v>1.004432825642191</v>
      </c>
      <c r="AR89" t="n">
        <v>6091.8041</v>
      </c>
      <c r="AT89" t="inlineStr">
        <is>
          <t>PNP_19T_30-12-2020</t>
        </is>
      </c>
      <c r="AU89" t="inlineStr">
        <is>
          <t>PNCP_12T_10-08-2020</t>
        </is>
      </c>
      <c r="AV89" t="inlineStr">
        <is>
          <t>PNCP_4T_30-04-2013</t>
        </is>
      </c>
      <c r="AW89" t="inlineStr">
        <is>
          <t>Barro Blanco 220</t>
        </is>
      </c>
      <c r="AX89" t="n">
        <v>111.133</v>
      </c>
      <c r="AY89" t="n">
        <v>1.083385174100913</v>
      </c>
      <c r="AZ89" t="n">
        <v>120.3998445533567</v>
      </c>
      <c r="BA89" t="n">
        <v>801.49</v>
      </c>
      <c r="BB89" t="n">
        <v>0.905</v>
      </c>
      <c r="BC89" t="n">
        <v>87.33184062701827</v>
      </c>
      <c r="BD89" t="n">
        <v>0.7946</v>
      </c>
      <c r="BE89" t="n">
        <v>69.39400000000001</v>
      </c>
      <c r="BF89" t="n">
        <v>8.9176</v>
      </c>
      <c r="BG89" t="n">
        <v>0.77</v>
      </c>
      <c r="BH89" t="n">
        <v>5962.380796939026</v>
      </c>
      <c r="BI89" t="n">
        <v>1.047283473516708</v>
      </c>
      <c r="BJ89" t="n">
        <v>6244.3029</v>
      </c>
    </row>
    <row r="90">
      <c r="A90" t="n">
        <v>395</v>
      </c>
      <c r="B90" t="inlineStr">
        <is>
          <t>01-01-2021</t>
        </is>
      </c>
      <c r="C90" t="n">
        <v>2021</v>
      </c>
      <c r="D90" t="n">
        <v>1</v>
      </c>
      <c r="E90" t="inlineStr">
        <is>
          <t>CAREN</t>
        </is>
      </c>
      <c r="F90" t="inlineStr">
        <is>
          <t>SUM_SAESA_A</t>
        </is>
      </c>
      <c r="G90" t="inlineStr">
        <is>
          <t>A</t>
        </is>
      </c>
      <c r="H90" t="inlineStr">
        <is>
          <t>SAESA</t>
        </is>
      </c>
      <c r="I90" t="inlineStr">
        <is>
          <t>SAESSANGBLOQA</t>
        </is>
      </c>
      <c r="J90" t="inlineStr">
        <is>
          <t>SANGRA</t>
        </is>
      </c>
      <c r="K90" t="n">
        <v>-2964.84893303</v>
      </c>
      <c r="L90" t="inlineStr">
        <is>
          <t>SANGRA 23</t>
        </is>
      </c>
      <c r="M90" t="inlineStr">
        <is>
          <t>MELIPULLI</t>
        </is>
      </c>
      <c r="N90" t="n">
        <v>0.80146456415263</v>
      </c>
      <c r="O90" t="n">
        <v>2376.221358</v>
      </c>
      <c r="P90" t="inlineStr">
        <is>
          <t>BS1A</t>
        </is>
      </c>
      <c r="Q90" t="n">
        <v>2</v>
      </c>
      <c r="W90" t="n">
        <v>2</v>
      </c>
      <c r="X90" t="n">
        <v>0</v>
      </c>
      <c r="AA90" t="inlineStr">
        <is>
          <t>PNP_6T_08-05-2020</t>
        </is>
      </c>
      <c r="AB90" t="inlineStr">
        <is>
          <t>PNCP_9T_12-08-2019</t>
        </is>
      </c>
      <c r="AC90" t="inlineStr">
        <is>
          <t>PNCP_4T_30-04-2013</t>
        </is>
      </c>
      <c r="AD90" t="inlineStr">
        <is>
          <t>MELIPULLI 220</t>
        </is>
      </c>
      <c r="AE90" t="n">
        <v>111.133</v>
      </c>
      <c r="AF90" t="n">
        <v>1.072776031070834</v>
      </c>
      <c r="AG90" t="n">
        <v>119.220818660995</v>
      </c>
      <c r="AH90" t="n">
        <v>694.38</v>
      </c>
      <c r="AI90" t="n">
        <v>0.875</v>
      </c>
      <c r="AJ90" t="n">
        <v>72.43648305409401</v>
      </c>
      <c r="AK90" t="n">
        <v>0.8826000000000001</v>
      </c>
      <c r="AL90" t="n">
        <v>63.932</v>
      </c>
      <c r="AM90" t="n">
        <v>8.9176</v>
      </c>
      <c r="AN90" t="n">
        <v>9.566587534677272</v>
      </c>
      <c r="AO90" t="n">
        <v>0.913</v>
      </c>
      <c r="AP90" t="n">
        <v>6064.919358776563</v>
      </c>
      <c r="AQ90" t="n">
        <v>1</v>
      </c>
      <c r="AR90" t="n">
        <v>6064.9194</v>
      </c>
      <c r="AT90" t="inlineStr">
        <is>
          <t>PNP_19T_30-12-2020</t>
        </is>
      </c>
      <c r="AU90" t="inlineStr">
        <is>
          <t>PNCP_12T_10-08-2020</t>
        </is>
      </c>
      <c r="AV90" t="inlineStr">
        <is>
          <t>PNCP_4T_30-04-2013</t>
        </is>
      </c>
      <c r="AW90" t="inlineStr">
        <is>
          <t>MELIPULLI 220</t>
        </is>
      </c>
      <c r="AX90" t="n">
        <v>111.133</v>
      </c>
      <c r="AY90" t="n">
        <v>1.083385174100913</v>
      </c>
      <c r="AZ90" t="n">
        <v>120.3998445533567</v>
      </c>
      <c r="BA90" t="n">
        <v>801.49</v>
      </c>
      <c r="BB90" t="n">
        <v>0.905</v>
      </c>
      <c r="BC90" t="n">
        <v>87.33184062701827</v>
      </c>
      <c r="BD90" t="n">
        <v>0.7824</v>
      </c>
      <c r="BE90" t="n">
        <v>68.328</v>
      </c>
      <c r="BF90" t="n">
        <v>8.9176</v>
      </c>
      <c r="BG90" t="n">
        <v>0.77</v>
      </c>
      <c r="BH90" t="n">
        <v>5962.380796939026</v>
      </c>
      <c r="BI90" t="n">
        <v>1</v>
      </c>
      <c r="BJ90" t="n">
        <v>5962.3808</v>
      </c>
    </row>
    <row r="91">
      <c r="A91" t="n">
        <v>1981</v>
      </c>
      <c r="B91" t="inlineStr">
        <is>
          <t>01-01-2021</t>
        </is>
      </c>
      <c r="C91" t="n">
        <v>2021</v>
      </c>
      <c r="D91" t="n">
        <v>1</v>
      </c>
      <c r="E91" t="inlineStr">
        <is>
          <t>CAREN</t>
        </is>
      </c>
      <c r="F91" t="inlineStr">
        <is>
          <t>SUM_SAESA_A</t>
        </is>
      </c>
      <c r="G91" t="inlineStr">
        <is>
          <t>A</t>
        </is>
      </c>
      <c r="H91" t="inlineStr">
        <is>
          <t>SAESA</t>
        </is>
      </c>
      <c r="I91" t="inlineStr">
        <is>
          <t>SAESVALDENBLOQA</t>
        </is>
      </c>
      <c r="J91" t="inlineStr">
        <is>
          <t>VALDIVIA</t>
        </is>
      </c>
      <c r="K91" t="n">
        <v>-7447.08415396</v>
      </c>
      <c r="L91" t="inlineStr">
        <is>
          <t>VALDIVIA</t>
        </is>
      </c>
      <c r="M91" t="inlineStr">
        <is>
          <t>Barro Blanco</t>
        </is>
      </c>
      <c r="N91" t="n">
        <v>0.02993690585192</v>
      </c>
      <c r="O91" t="n">
        <v>222.942657</v>
      </c>
      <c r="P91" t="inlineStr">
        <is>
          <t>BS1A</t>
        </is>
      </c>
      <c r="Q91" t="n">
        <v>2</v>
      </c>
      <c r="W91" t="n">
        <v>2</v>
      </c>
      <c r="X91" t="n">
        <v>0</v>
      </c>
      <c r="AA91" t="inlineStr">
        <is>
          <t>PNP_6T_08-05-2020</t>
        </is>
      </c>
      <c r="AB91" t="inlineStr">
        <is>
          <t>PNCP_9T_12-08-2019</t>
        </is>
      </c>
      <c r="AC91" t="inlineStr">
        <is>
          <t>PNCP_4T_30-04-2013</t>
        </is>
      </c>
      <c r="AD91" t="inlineStr">
        <is>
          <t>Barro Blanco 220</t>
        </is>
      </c>
      <c r="AE91" t="n">
        <v>111.133</v>
      </c>
      <c r="AF91" t="n">
        <v>1.072776031070834</v>
      </c>
      <c r="AG91" t="n">
        <v>119.220818660995</v>
      </c>
      <c r="AH91" t="n">
        <v>694.38</v>
      </c>
      <c r="AI91" t="n">
        <v>0.875</v>
      </c>
      <c r="AJ91" t="n">
        <v>72.43648305409401</v>
      </c>
      <c r="AK91" t="n">
        <v>0.8631</v>
      </c>
      <c r="AL91" t="n">
        <v>62.52</v>
      </c>
      <c r="AM91" t="n">
        <v>8.9176</v>
      </c>
      <c r="AN91" t="n">
        <v>9.566587534677272</v>
      </c>
      <c r="AO91" t="n">
        <v>0.913</v>
      </c>
      <c r="AP91" t="n">
        <v>6064.919358776563</v>
      </c>
      <c r="AQ91" t="n">
        <v>1.004432825642191</v>
      </c>
      <c r="AR91" t="n">
        <v>6091.8041</v>
      </c>
      <c r="AT91" t="inlineStr">
        <is>
          <t>PNP_19T_30-12-2020</t>
        </is>
      </c>
      <c r="AU91" t="inlineStr">
        <is>
          <t>PNCP_12T_10-08-2020</t>
        </is>
      </c>
      <c r="AV91" t="inlineStr">
        <is>
          <t>PNCP_4T_30-04-2013</t>
        </is>
      </c>
      <c r="AW91" t="inlineStr">
        <is>
          <t>Barro Blanco 220</t>
        </is>
      </c>
      <c r="AX91" t="n">
        <v>111.133</v>
      </c>
      <c r="AY91" t="n">
        <v>1.083385174100913</v>
      </c>
      <c r="AZ91" t="n">
        <v>120.3998445533567</v>
      </c>
      <c r="BA91" t="n">
        <v>801.49</v>
      </c>
      <c r="BB91" t="n">
        <v>0.905</v>
      </c>
      <c r="BC91" t="n">
        <v>87.33184062701827</v>
      </c>
      <c r="BD91" t="n">
        <v>0.7946</v>
      </c>
      <c r="BE91" t="n">
        <v>69.39400000000001</v>
      </c>
      <c r="BF91" t="n">
        <v>8.9176</v>
      </c>
      <c r="BG91" t="n">
        <v>0.77</v>
      </c>
      <c r="BH91" t="n">
        <v>5962.380796939026</v>
      </c>
      <c r="BI91" t="n">
        <v>1.047283473516708</v>
      </c>
      <c r="BJ91" t="n">
        <v>6244.3029</v>
      </c>
    </row>
    <row r="92">
      <c r="A92" t="n">
        <v>1983</v>
      </c>
      <c r="B92" t="inlineStr">
        <is>
          <t>01-01-2021</t>
        </is>
      </c>
      <c r="C92" t="n">
        <v>2021</v>
      </c>
      <c r="D92" t="n">
        <v>1</v>
      </c>
      <c r="E92" t="inlineStr">
        <is>
          <t>CAREN</t>
        </is>
      </c>
      <c r="F92" t="inlineStr">
        <is>
          <t>SUM_SAESA_A</t>
        </is>
      </c>
      <c r="G92" t="inlineStr">
        <is>
          <t>A</t>
        </is>
      </c>
      <c r="H92" t="inlineStr">
        <is>
          <t>SAESA</t>
        </is>
      </c>
      <c r="I92" t="inlineStr">
        <is>
          <t>SAESVALDENBLOQA</t>
        </is>
      </c>
      <c r="J92" t="inlineStr">
        <is>
          <t>VALDIVIA</t>
        </is>
      </c>
      <c r="K92" t="n">
        <v>-7447.08415396</v>
      </c>
      <c r="L92" t="inlineStr">
        <is>
          <t>VALDIVIA</t>
        </is>
      </c>
      <c r="M92" t="inlineStr">
        <is>
          <t>MELIPULLI</t>
        </is>
      </c>
      <c r="N92" t="n">
        <v>0.00292386082351</v>
      </c>
      <c r="O92" t="n">
        <v>21.774238</v>
      </c>
      <c r="P92" t="inlineStr">
        <is>
          <t>BS1A</t>
        </is>
      </c>
      <c r="Q92" t="n">
        <v>2</v>
      </c>
      <c r="W92" t="n">
        <v>2</v>
      </c>
      <c r="X92" t="n">
        <v>0</v>
      </c>
      <c r="AA92" t="inlineStr">
        <is>
          <t>PNP_6T_08-05-2020</t>
        </is>
      </c>
      <c r="AB92" t="inlineStr">
        <is>
          <t>PNCP_9T_12-08-2019</t>
        </is>
      </c>
      <c r="AC92" t="inlineStr">
        <is>
          <t>PNCP_4T_30-04-2013</t>
        </is>
      </c>
      <c r="AD92" t="inlineStr">
        <is>
          <t>MELIPULLI 220</t>
        </is>
      </c>
      <c r="AE92" t="n">
        <v>111.133</v>
      </c>
      <c r="AF92" t="n">
        <v>1.072776031070834</v>
      </c>
      <c r="AG92" t="n">
        <v>119.220818660995</v>
      </c>
      <c r="AH92" t="n">
        <v>694.38</v>
      </c>
      <c r="AI92" t="n">
        <v>0.875</v>
      </c>
      <c r="AJ92" t="n">
        <v>72.43648305409401</v>
      </c>
      <c r="AK92" t="n">
        <v>0.8826000000000001</v>
      </c>
      <c r="AL92" t="n">
        <v>63.932</v>
      </c>
      <c r="AM92" t="n">
        <v>8.9176</v>
      </c>
      <c r="AN92" t="n">
        <v>9.566587534677272</v>
      </c>
      <c r="AO92" t="n">
        <v>0.913</v>
      </c>
      <c r="AP92" t="n">
        <v>6064.919358776563</v>
      </c>
      <c r="AQ92" t="n">
        <v>1</v>
      </c>
      <c r="AR92" t="n">
        <v>6064.9194</v>
      </c>
      <c r="AT92" t="inlineStr">
        <is>
          <t>PNP_19T_30-12-2020</t>
        </is>
      </c>
      <c r="AU92" t="inlineStr">
        <is>
          <t>PNCP_12T_10-08-2020</t>
        </is>
      </c>
      <c r="AV92" t="inlineStr">
        <is>
          <t>PNCP_4T_30-04-2013</t>
        </is>
      </c>
      <c r="AW92" t="inlineStr">
        <is>
          <t>MELIPULLI 220</t>
        </is>
      </c>
      <c r="AX92" t="n">
        <v>111.133</v>
      </c>
      <c r="AY92" t="n">
        <v>1.083385174100913</v>
      </c>
      <c r="AZ92" t="n">
        <v>120.3998445533567</v>
      </c>
      <c r="BA92" t="n">
        <v>801.49</v>
      </c>
      <c r="BB92" t="n">
        <v>0.905</v>
      </c>
      <c r="BC92" t="n">
        <v>87.33184062701827</v>
      </c>
      <c r="BD92" t="n">
        <v>0.7824</v>
      </c>
      <c r="BE92" t="n">
        <v>68.328</v>
      </c>
      <c r="BF92" t="n">
        <v>8.9176</v>
      </c>
      <c r="BG92" t="n">
        <v>0.77</v>
      </c>
      <c r="BH92" t="n">
        <v>5962.380796939026</v>
      </c>
      <c r="BI92" t="n">
        <v>1</v>
      </c>
      <c r="BJ92" t="n">
        <v>5962.3808</v>
      </c>
    </row>
    <row r="93">
      <c r="A93" t="n">
        <v>1985</v>
      </c>
      <c r="B93" t="inlineStr">
        <is>
          <t>01-01-2021</t>
        </is>
      </c>
      <c r="C93" t="n">
        <v>2021</v>
      </c>
      <c r="D93" t="n">
        <v>1</v>
      </c>
      <c r="E93" t="inlineStr">
        <is>
          <t>CAREN</t>
        </is>
      </c>
      <c r="F93" t="inlineStr">
        <is>
          <t>SUM_SAESA_A</t>
        </is>
      </c>
      <c r="G93" t="inlineStr">
        <is>
          <t>A</t>
        </is>
      </c>
      <c r="H93" t="inlineStr">
        <is>
          <t>SAESA</t>
        </is>
      </c>
      <c r="I93" t="inlineStr">
        <is>
          <t>SAESVALDENBLOQA</t>
        </is>
      </c>
      <c r="J93" t="inlineStr">
        <is>
          <t>VALDIVIA</t>
        </is>
      </c>
      <c r="K93" t="n">
        <v>-7447.08415396</v>
      </c>
      <c r="L93" t="inlineStr">
        <is>
          <t>VALDIVIA</t>
        </is>
      </c>
      <c r="M93" t="inlineStr">
        <is>
          <t>VALDIVIA</t>
        </is>
      </c>
      <c r="N93" t="n">
        <v>0.83180916668115</v>
      </c>
      <c r="O93" t="n">
        <v>6194.552864</v>
      </c>
      <c r="P93" t="inlineStr">
        <is>
          <t>BS1A</t>
        </is>
      </c>
      <c r="Q93" t="n">
        <v>2</v>
      </c>
      <c r="W93" t="n">
        <v>2</v>
      </c>
      <c r="X93" t="n">
        <v>0</v>
      </c>
      <c r="AA93" t="inlineStr">
        <is>
          <t>PNP_6T_08-05-2020</t>
        </is>
      </c>
      <c r="AB93" t="inlineStr">
        <is>
          <t>PNCP_9T_12-08-2019</t>
        </is>
      </c>
      <c r="AC93" t="inlineStr">
        <is>
          <t>PNCP_4T_30-04-2013</t>
        </is>
      </c>
      <c r="AD93" t="inlineStr">
        <is>
          <t>VALDIVIA 220</t>
        </is>
      </c>
      <c r="AE93" t="n">
        <v>111.133</v>
      </c>
      <c r="AF93" t="n">
        <v>1.072776031070834</v>
      </c>
      <c r="AG93" t="n">
        <v>119.220818660995</v>
      </c>
      <c r="AH93" t="n">
        <v>694.38</v>
      </c>
      <c r="AI93" t="n">
        <v>0.875</v>
      </c>
      <c r="AJ93" t="n">
        <v>72.43648305409401</v>
      </c>
      <c r="AK93" t="n">
        <v>0.913</v>
      </c>
      <c r="AL93" t="n">
        <v>66.13500000000001</v>
      </c>
      <c r="AM93" t="n">
        <v>8.9176</v>
      </c>
      <c r="AN93" t="n">
        <v>9.566587534677272</v>
      </c>
      <c r="AO93" t="n">
        <v>0.913</v>
      </c>
      <c r="AP93" t="n">
        <v>6064.919358776563</v>
      </c>
      <c r="AQ93" t="n">
        <v>1.051287819142954</v>
      </c>
      <c r="AR93" t="n">
        <v>6375.9758</v>
      </c>
      <c r="AT93" t="inlineStr">
        <is>
          <t>PNP_19T_30-12-2020</t>
        </is>
      </c>
      <c r="AU93" t="inlineStr">
        <is>
          <t>PNCP_12T_10-08-2020</t>
        </is>
      </c>
      <c r="AV93" t="inlineStr">
        <is>
          <t>PNCP_4T_30-04-2013</t>
        </is>
      </c>
      <c r="AW93" t="inlineStr">
        <is>
          <t>VALDIVIA 220</t>
        </is>
      </c>
      <c r="AX93" t="n">
        <v>111.133</v>
      </c>
      <c r="AY93" t="n">
        <v>1.083385174100913</v>
      </c>
      <c r="AZ93" t="n">
        <v>120.3998445533567</v>
      </c>
      <c r="BA93" t="n">
        <v>801.49</v>
      </c>
      <c r="BB93" t="n">
        <v>0.905</v>
      </c>
      <c r="BC93" t="n">
        <v>87.33184062701827</v>
      </c>
      <c r="BD93" t="n">
        <v>0.8745000000000001</v>
      </c>
      <c r="BE93" t="n">
        <v>76.372</v>
      </c>
      <c r="BF93" t="n">
        <v>8.9176</v>
      </c>
      <c r="BG93" t="n">
        <v>0.77</v>
      </c>
      <c r="BH93" t="n">
        <v>5962.380796939026</v>
      </c>
      <c r="BI93" t="n">
        <v>1.148014846473962</v>
      </c>
      <c r="BJ93" t="n">
        <v>6844.9017</v>
      </c>
    </row>
    <row r="94">
      <c r="A94" t="n">
        <v>1355</v>
      </c>
      <c r="B94" t="inlineStr">
        <is>
          <t>01-02-2021</t>
        </is>
      </c>
      <c r="C94" t="n">
        <v>2021</v>
      </c>
      <c r="D94" t="n">
        <v>1</v>
      </c>
      <c r="E94" t="inlineStr">
        <is>
          <t>CAREN</t>
        </is>
      </c>
      <c r="F94" t="inlineStr">
        <is>
          <t>SUM_SAESA_A</t>
        </is>
      </c>
      <c r="G94" t="inlineStr">
        <is>
          <t>A</t>
        </is>
      </c>
      <c r="H94" t="inlineStr">
        <is>
          <t>SAESA</t>
        </is>
      </c>
      <c r="I94" t="inlineStr">
        <is>
          <t>SAESAIHUBLOQA</t>
        </is>
      </c>
      <c r="J94" t="inlineStr">
        <is>
          <t>AIHUAPI</t>
        </is>
      </c>
      <c r="K94" t="n">
        <v>-207.95873497</v>
      </c>
      <c r="L94" t="inlineStr">
        <is>
          <t>AIHUAPI</t>
        </is>
      </c>
      <c r="M94" t="inlineStr">
        <is>
          <t>BARRO BLANCO</t>
        </is>
      </c>
      <c r="N94" t="n">
        <v>0.9345256988989999</v>
      </c>
      <c r="O94" t="n">
        <v>194.342782</v>
      </c>
      <c r="P94" t="inlineStr">
        <is>
          <t>BS1A</t>
        </is>
      </c>
      <c r="Q94" t="n">
        <v>2</v>
      </c>
      <c r="W94" t="n">
        <v>2</v>
      </c>
      <c r="X94" t="n">
        <v>0</v>
      </c>
      <c r="AA94" t="inlineStr">
        <is>
          <t>PNP_6T_08-05-2020</t>
        </is>
      </c>
      <c r="AB94" t="inlineStr">
        <is>
          <t>PNCP_9T_12-08-2019</t>
        </is>
      </c>
      <c r="AC94" t="inlineStr">
        <is>
          <t>PNCP_4T_30-04-2013</t>
        </is>
      </c>
      <c r="AD94" t="inlineStr">
        <is>
          <t>Barro Blanco 220</t>
        </is>
      </c>
      <c r="AE94" t="n">
        <v>111.133</v>
      </c>
      <c r="AF94" t="n">
        <v>1.072776031070834</v>
      </c>
      <c r="AG94" t="n">
        <v>119.220818660995</v>
      </c>
      <c r="AH94" t="n">
        <v>694.38</v>
      </c>
      <c r="AI94" t="n">
        <v>0.875</v>
      </c>
      <c r="AJ94" t="n">
        <v>72.43648305409401</v>
      </c>
      <c r="AK94" t="n">
        <v>0.8631</v>
      </c>
      <c r="AL94" t="n">
        <v>62.52</v>
      </c>
      <c r="AM94" t="n">
        <v>8.9176</v>
      </c>
      <c r="AN94" t="n">
        <v>9.566587534677272</v>
      </c>
      <c r="AO94" t="n">
        <v>0.913</v>
      </c>
      <c r="AP94" t="n">
        <v>6064.919358776563</v>
      </c>
      <c r="AQ94" t="n">
        <v>1.004432825642191</v>
      </c>
      <c r="AR94" t="n">
        <v>6091.8041</v>
      </c>
      <c r="AT94" t="inlineStr">
        <is>
          <t>PNP_19T_30-12-2020</t>
        </is>
      </c>
      <c r="AU94" t="inlineStr">
        <is>
          <t>PNCP_12T_10-08-2020</t>
        </is>
      </c>
      <c r="AV94" t="inlineStr">
        <is>
          <t>PNCP_4T_30-04-2013</t>
        </is>
      </c>
      <c r="AW94" t="inlineStr">
        <is>
          <t>Barro Blanco 220</t>
        </is>
      </c>
      <c r="AX94" t="n">
        <v>111.133</v>
      </c>
      <c r="AY94" t="n">
        <v>1.083385174100913</v>
      </c>
      <c r="AZ94" t="n">
        <v>120.3998445533567</v>
      </c>
      <c r="BA94" t="n">
        <v>801.49</v>
      </c>
      <c r="BB94" t="n">
        <v>0.905</v>
      </c>
      <c r="BC94" t="n">
        <v>87.33184062701827</v>
      </c>
      <c r="BD94" t="n">
        <v>0.7946</v>
      </c>
      <c r="BE94" t="n">
        <v>69.39400000000001</v>
      </c>
      <c r="BF94" t="n">
        <v>8.9176</v>
      </c>
      <c r="BG94" t="n">
        <v>0.77</v>
      </c>
      <c r="BH94" t="n">
        <v>5962.380796939026</v>
      </c>
      <c r="BI94" t="n">
        <v>1.047283473516708</v>
      </c>
      <c r="BJ94" t="n">
        <v>6244.3029</v>
      </c>
    </row>
    <row r="95">
      <c r="A95" t="n">
        <v>2023</v>
      </c>
      <c r="B95" t="inlineStr">
        <is>
          <t>01-02-2021</t>
        </is>
      </c>
      <c r="C95" t="n">
        <v>2021</v>
      </c>
      <c r="D95" t="n">
        <v>1</v>
      </c>
      <c r="E95" t="inlineStr">
        <is>
          <t>CAREN</t>
        </is>
      </c>
      <c r="F95" t="inlineStr">
        <is>
          <t>SUM_SAESA_A</t>
        </is>
      </c>
      <c r="G95" t="inlineStr">
        <is>
          <t>A</t>
        </is>
      </c>
      <c r="H95" t="inlineStr">
        <is>
          <t>SAESA</t>
        </is>
      </c>
      <c r="I95" t="inlineStr">
        <is>
          <t>SAESABONBLOQA</t>
        </is>
      </c>
      <c r="J95" t="inlineStr">
        <is>
          <t>ALTO_BONITO</t>
        </is>
      </c>
      <c r="K95" t="n">
        <v>-5764.97259809</v>
      </c>
      <c r="L95" t="inlineStr">
        <is>
          <t>ALTO BONITO</t>
        </is>
      </c>
      <c r="M95" t="inlineStr">
        <is>
          <t>MELIPULLI</t>
        </is>
      </c>
      <c r="N95" t="n">
        <v>0.79697191581102</v>
      </c>
      <c r="O95" t="n">
        <v>4594.521256</v>
      </c>
      <c r="P95" t="inlineStr">
        <is>
          <t>BS1A</t>
        </is>
      </c>
      <c r="Q95" t="n">
        <v>2</v>
      </c>
      <c r="W95" t="n">
        <v>2</v>
      </c>
      <c r="X95" t="n">
        <v>0</v>
      </c>
      <c r="AA95" t="inlineStr">
        <is>
          <t>PNP_6T_08-05-2020</t>
        </is>
      </c>
      <c r="AB95" t="inlineStr">
        <is>
          <t>PNCP_9T_12-08-2019</t>
        </is>
      </c>
      <c r="AC95" t="inlineStr">
        <is>
          <t>PNCP_4T_30-04-2013</t>
        </is>
      </c>
      <c r="AD95" t="inlineStr">
        <is>
          <t>MELIPULLI 220</t>
        </is>
      </c>
      <c r="AE95" t="n">
        <v>111.133</v>
      </c>
      <c r="AF95" t="n">
        <v>1.072776031070834</v>
      </c>
      <c r="AG95" t="n">
        <v>119.220818660995</v>
      </c>
      <c r="AH95" t="n">
        <v>694.38</v>
      </c>
      <c r="AI95" t="n">
        <v>0.875</v>
      </c>
      <c r="AJ95" t="n">
        <v>72.43648305409401</v>
      </c>
      <c r="AK95" t="n">
        <v>0.8826000000000001</v>
      </c>
      <c r="AL95" t="n">
        <v>63.932</v>
      </c>
      <c r="AM95" t="n">
        <v>8.9176</v>
      </c>
      <c r="AN95" t="n">
        <v>9.566587534677272</v>
      </c>
      <c r="AO95" t="n">
        <v>0.913</v>
      </c>
      <c r="AP95" t="n">
        <v>6064.919358776563</v>
      </c>
      <c r="AQ95" t="n">
        <v>1</v>
      </c>
      <c r="AR95" t="n">
        <v>6064.9194</v>
      </c>
      <c r="AT95" t="inlineStr">
        <is>
          <t>PNP_19T_30-12-2020</t>
        </is>
      </c>
      <c r="AU95" t="inlineStr">
        <is>
          <t>PNCP_12T_10-08-2020</t>
        </is>
      </c>
      <c r="AV95" t="inlineStr">
        <is>
          <t>PNCP_4T_30-04-2013</t>
        </is>
      </c>
      <c r="AW95" t="inlineStr">
        <is>
          <t>MELIPULLI 220</t>
        </is>
      </c>
      <c r="AX95" t="n">
        <v>111.133</v>
      </c>
      <c r="AY95" t="n">
        <v>1.083385174100913</v>
      </c>
      <c r="AZ95" t="n">
        <v>120.3998445533567</v>
      </c>
      <c r="BA95" t="n">
        <v>801.49</v>
      </c>
      <c r="BB95" t="n">
        <v>0.905</v>
      </c>
      <c r="BC95" t="n">
        <v>87.33184062701827</v>
      </c>
      <c r="BD95" t="n">
        <v>0.7824</v>
      </c>
      <c r="BE95" t="n">
        <v>68.328</v>
      </c>
      <c r="BF95" t="n">
        <v>8.9176</v>
      </c>
      <c r="BG95" t="n">
        <v>0.77</v>
      </c>
      <c r="BH95" t="n">
        <v>5962.380796939026</v>
      </c>
      <c r="BI95" t="n">
        <v>1</v>
      </c>
      <c r="BJ95" t="n">
        <v>5962.3808</v>
      </c>
    </row>
    <row r="96">
      <c r="A96" t="n">
        <v>2025</v>
      </c>
      <c r="B96" t="inlineStr">
        <is>
          <t>01-02-2021</t>
        </is>
      </c>
      <c r="C96" t="n">
        <v>2021</v>
      </c>
      <c r="D96" t="n">
        <v>1</v>
      </c>
      <c r="E96" t="inlineStr">
        <is>
          <t>CAREN</t>
        </is>
      </c>
      <c r="F96" t="inlineStr">
        <is>
          <t>SUM_SAESA_A</t>
        </is>
      </c>
      <c r="G96" t="inlineStr">
        <is>
          <t>A</t>
        </is>
      </c>
      <c r="H96" t="inlineStr">
        <is>
          <t>SAESA</t>
        </is>
      </c>
      <c r="I96" t="inlineStr">
        <is>
          <t>SAESABONBLOQA</t>
        </is>
      </c>
      <c r="J96" t="inlineStr">
        <is>
          <t>ALTO_BONITO</t>
        </is>
      </c>
      <c r="K96" t="n">
        <v>-5764.97259809</v>
      </c>
      <c r="L96" t="inlineStr">
        <is>
          <t>ALTO BONITO</t>
        </is>
      </c>
      <c r="M96" t="inlineStr">
        <is>
          <t>Puerto Montt</t>
        </is>
      </c>
      <c r="N96" t="n">
        <v>0.94104614890384</v>
      </c>
      <c r="O96" t="n">
        <v>5425.105262</v>
      </c>
      <c r="P96" t="inlineStr">
        <is>
          <t>BS1A</t>
        </is>
      </c>
      <c r="Q96" t="n">
        <v>2</v>
      </c>
      <c r="W96" t="n">
        <v>2</v>
      </c>
      <c r="X96" t="n">
        <v>0</v>
      </c>
      <c r="AA96" t="inlineStr">
        <is>
          <t>PNP_6T_08-05-2020</t>
        </is>
      </c>
      <c r="AB96" t="inlineStr">
        <is>
          <t>PNCP_9T_12-08-2019</t>
        </is>
      </c>
      <c r="AC96" t="inlineStr">
        <is>
          <t>PNCP_4T_30-04-2013</t>
        </is>
      </c>
      <c r="AD96" t="inlineStr">
        <is>
          <t>PUERTO MONTT 220</t>
        </is>
      </c>
      <c r="AE96" t="n">
        <v>111.133</v>
      </c>
      <c r="AF96" t="n">
        <v>1.072776031070834</v>
      </c>
      <c r="AG96" t="n">
        <v>119.220818660995</v>
      </c>
      <c r="AH96" t="n">
        <v>694.38</v>
      </c>
      <c r="AI96" t="n">
        <v>0.875</v>
      </c>
      <c r="AJ96" t="n">
        <v>72.43648305409401</v>
      </c>
      <c r="AK96" t="n">
        <v>0.8826000000000001</v>
      </c>
      <c r="AL96" t="n">
        <v>63.932</v>
      </c>
      <c r="AM96" t="n">
        <v>8.9176</v>
      </c>
      <c r="AN96" t="n">
        <v>9.566587534677272</v>
      </c>
      <c r="AO96" t="n">
        <v>0.913</v>
      </c>
      <c r="AP96" t="n">
        <v>6064.919358776563</v>
      </c>
      <c r="AQ96" t="n">
        <v>1.016858412119831</v>
      </c>
      <c r="AR96" t="n">
        <v>6167.1643</v>
      </c>
      <c r="AT96" t="inlineStr">
        <is>
          <t>PNP_19T_30-12-2020</t>
        </is>
      </c>
      <c r="AU96" t="inlineStr">
        <is>
          <t>PNCP_12T_10-08-2020</t>
        </is>
      </c>
      <c r="AV96" t="inlineStr">
        <is>
          <t>PNCP_4T_30-04-2013</t>
        </is>
      </c>
      <c r="AW96" t="inlineStr">
        <is>
          <t>PUERTO MONTT 220</t>
        </is>
      </c>
      <c r="AX96" t="n">
        <v>111.133</v>
      </c>
      <c r="AY96" t="n">
        <v>1.083385174100913</v>
      </c>
      <c r="AZ96" t="n">
        <v>120.3998445533567</v>
      </c>
      <c r="BA96" t="n">
        <v>801.49</v>
      </c>
      <c r="BB96" t="n">
        <v>0.905</v>
      </c>
      <c r="BC96" t="n">
        <v>87.33184062701827</v>
      </c>
      <c r="BD96" t="n">
        <v>0.7824</v>
      </c>
      <c r="BE96" t="n">
        <v>68.328</v>
      </c>
      <c r="BF96" t="n">
        <v>8.9176</v>
      </c>
      <c r="BG96" t="n">
        <v>0.77</v>
      </c>
      <c r="BH96" t="n">
        <v>5962.380796939026</v>
      </c>
      <c r="BI96" t="n">
        <v>1.039640050119603</v>
      </c>
      <c r="BJ96" t="n">
        <v>6198.7299</v>
      </c>
    </row>
    <row r="97">
      <c r="A97" t="n">
        <v>2027</v>
      </c>
      <c r="B97" t="inlineStr">
        <is>
          <t>01-02-2021</t>
        </is>
      </c>
      <c r="C97" t="n">
        <v>2021</v>
      </c>
      <c r="D97" t="n">
        <v>1</v>
      </c>
      <c r="E97" t="inlineStr">
        <is>
          <t>CAREN</t>
        </is>
      </c>
      <c r="F97" t="inlineStr">
        <is>
          <t>SUM_SAESA_A</t>
        </is>
      </c>
      <c r="G97" t="inlineStr">
        <is>
          <t>A</t>
        </is>
      </c>
      <c r="H97" t="inlineStr">
        <is>
          <t>SAESA</t>
        </is>
      </c>
      <c r="I97" t="inlineStr">
        <is>
          <t>SAESABONBLOQA</t>
        </is>
      </c>
      <c r="J97" t="inlineStr">
        <is>
          <t>ALTO_BONITO</t>
        </is>
      </c>
      <c r="K97" t="n">
        <v>-5764.97259809</v>
      </c>
      <c r="L97" t="inlineStr">
        <is>
          <t>ALTO BONITO</t>
        </is>
      </c>
      <c r="M97" t="inlineStr">
        <is>
          <t>VALDIVIA</t>
        </is>
      </c>
      <c r="N97" t="n">
        <v>5.983619997e-05</v>
      </c>
      <c r="O97" t="n">
        <v>0.344954</v>
      </c>
      <c r="P97" t="inlineStr">
        <is>
          <t>BS1A</t>
        </is>
      </c>
      <c r="Q97" t="n">
        <v>2</v>
      </c>
      <c r="W97" t="n">
        <v>2</v>
      </c>
      <c r="X97" t="n">
        <v>0</v>
      </c>
      <c r="AA97" t="inlineStr">
        <is>
          <t>PNP_6T_08-05-2020</t>
        </is>
      </c>
      <c r="AB97" t="inlineStr">
        <is>
          <t>PNCP_9T_12-08-2019</t>
        </is>
      </c>
      <c r="AC97" t="inlineStr">
        <is>
          <t>PNCP_4T_30-04-2013</t>
        </is>
      </c>
      <c r="AD97" t="inlineStr">
        <is>
          <t>VALDIVIA 220</t>
        </is>
      </c>
      <c r="AE97" t="n">
        <v>111.133</v>
      </c>
      <c r="AF97" t="n">
        <v>1.072776031070834</v>
      </c>
      <c r="AG97" t="n">
        <v>119.220818660995</v>
      </c>
      <c r="AH97" t="n">
        <v>694.38</v>
      </c>
      <c r="AI97" t="n">
        <v>0.875</v>
      </c>
      <c r="AJ97" t="n">
        <v>72.43648305409401</v>
      </c>
      <c r="AK97" t="n">
        <v>0.913</v>
      </c>
      <c r="AL97" t="n">
        <v>66.13500000000001</v>
      </c>
      <c r="AM97" t="n">
        <v>8.9176</v>
      </c>
      <c r="AN97" t="n">
        <v>9.566587534677272</v>
      </c>
      <c r="AO97" t="n">
        <v>0.913</v>
      </c>
      <c r="AP97" t="n">
        <v>6064.919358776563</v>
      </c>
      <c r="AQ97" t="n">
        <v>1.051287819142954</v>
      </c>
      <c r="AR97" t="n">
        <v>6375.9758</v>
      </c>
      <c r="AT97" t="inlineStr">
        <is>
          <t>PNP_19T_30-12-2020</t>
        </is>
      </c>
      <c r="AU97" t="inlineStr">
        <is>
          <t>PNCP_12T_10-08-2020</t>
        </is>
      </c>
      <c r="AV97" t="inlineStr">
        <is>
          <t>PNCP_4T_30-04-2013</t>
        </is>
      </c>
      <c r="AW97" t="inlineStr">
        <is>
          <t>VALDIVIA 220</t>
        </is>
      </c>
      <c r="AX97" t="n">
        <v>111.133</v>
      </c>
      <c r="AY97" t="n">
        <v>1.083385174100913</v>
      </c>
      <c r="AZ97" t="n">
        <v>120.3998445533567</v>
      </c>
      <c r="BA97" t="n">
        <v>801.49</v>
      </c>
      <c r="BB97" t="n">
        <v>0.905</v>
      </c>
      <c r="BC97" t="n">
        <v>87.33184062701827</v>
      </c>
      <c r="BD97" t="n">
        <v>0.8745000000000001</v>
      </c>
      <c r="BE97" t="n">
        <v>76.372</v>
      </c>
      <c r="BF97" t="n">
        <v>8.9176</v>
      </c>
      <c r="BG97" t="n">
        <v>0.77</v>
      </c>
      <c r="BH97" t="n">
        <v>5962.380796939026</v>
      </c>
      <c r="BI97" t="n">
        <v>1.148014846473962</v>
      </c>
      <c r="BJ97" t="n">
        <v>6844.9017</v>
      </c>
    </row>
    <row r="98">
      <c r="A98" t="n">
        <v>1349</v>
      </c>
      <c r="B98" t="inlineStr">
        <is>
          <t>01-02-2021</t>
        </is>
      </c>
      <c r="C98" t="n">
        <v>2021</v>
      </c>
      <c r="D98" t="n">
        <v>1</v>
      </c>
      <c r="E98" t="inlineStr">
        <is>
          <t>CAREN</t>
        </is>
      </c>
      <c r="F98" t="inlineStr">
        <is>
          <t>SUM_SAESA_A</t>
        </is>
      </c>
      <c r="G98" t="inlineStr">
        <is>
          <t>A</t>
        </is>
      </c>
      <c r="H98" t="inlineStr">
        <is>
          <t>SAESA</t>
        </is>
      </c>
      <c r="I98" t="inlineStr">
        <is>
          <t>SAESANCUBLOQA</t>
        </is>
      </c>
      <c r="J98" t="inlineStr">
        <is>
          <t>ANCUD</t>
        </is>
      </c>
      <c r="K98" t="n">
        <v>-4717.1822156</v>
      </c>
      <c r="L98" t="inlineStr">
        <is>
          <t>ANCUD</t>
        </is>
      </c>
      <c r="M98" t="inlineStr">
        <is>
          <t>CHILOE</t>
        </is>
      </c>
      <c r="N98" t="n">
        <v>0.79707666555769</v>
      </c>
      <c r="O98" t="n">
        <v>3759.955871</v>
      </c>
      <c r="P98" t="inlineStr">
        <is>
          <t>BS1A</t>
        </is>
      </c>
      <c r="Q98" t="n">
        <v>2</v>
      </c>
      <c r="W98" t="n">
        <v>2</v>
      </c>
      <c r="X98" t="n">
        <v>0</v>
      </c>
      <c r="AA98" t="inlineStr">
        <is>
          <t>PNP_6T_08-05-2020</t>
        </is>
      </c>
      <c r="AB98" t="inlineStr">
        <is>
          <t>PNCP_9T_12-08-2019</t>
        </is>
      </c>
      <c r="AC98" t="inlineStr">
        <is>
          <t>PNCP_4T_30-04-2013</t>
        </is>
      </c>
      <c r="AD98" t="inlineStr">
        <is>
          <t>CHILOE 220</t>
        </is>
      </c>
      <c r="AE98" t="n">
        <v>111.133</v>
      </c>
      <c r="AF98" t="n">
        <v>1.072776031070834</v>
      </c>
      <c r="AG98" t="n">
        <v>119.220818660995</v>
      </c>
      <c r="AH98" t="n">
        <v>694.38</v>
      </c>
      <c r="AI98" t="n">
        <v>0.875</v>
      </c>
      <c r="AJ98" t="n">
        <v>72.43648305409401</v>
      </c>
      <c r="AK98" t="n">
        <v>0.8903</v>
      </c>
      <c r="AL98" t="n">
        <v>64.48999999999999</v>
      </c>
      <c r="AM98" t="n">
        <v>8.9176</v>
      </c>
      <c r="AN98" t="n">
        <v>9.566587534677272</v>
      </c>
      <c r="AO98" t="n">
        <v>0.913</v>
      </c>
      <c r="AP98" t="n">
        <v>6064.919358776563</v>
      </c>
      <c r="AQ98" t="n">
        <v>1</v>
      </c>
      <c r="AR98" t="n">
        <v>6064.9194</v>
      </c>
      <c r="AT98" t="inlineStr">
        <is>
          <t>PNP_19T_30-12-2020</t>
        </is>
      </c>
      <c r="AU98" t="inlineStr">
        <is>
          <t>PNCP_12T_10-08-2020</t>
        </is>
      </c>
      <c r="AV98" t="inlineStr">
        <is>
          <t>PNCP_4T_30-04-2013</t>
        </is>
      </c>
      <c r="AW98" t="inlineStr">
        <is>
          <t>CHILOE 220</t>
        </is>
      </c>
      <c r="AX98" t="n">
        <v>111.133</v>
      </c>
      <c r="AY98" t="n">
        <v>1.083385174100913</v>
      </c>
      <c r="AZ98" t="n">
        <v>120.3998445533567</v>
      </c>
      <c r="BA98" t="n">
        <v>801.49</v>
      </c>
      <c r="BB98" t="n">
        <v>0.905</v>
      </c>
      <c r="BC98" t="n">
        <v>87.33184062701827</v>
      </c>
      <c r="BD98" t="n">
        <v>0.7923</v>
      </c>
      <c r="BE98" t="n">
        <v>69.193</v>
      </c>
      <c r="BF98" t="n">
        <v>8.9176</v>
      </c>
      <c r="BG98" t="n">
        <v>0.77</v>
      </c>
      <c r="BH98" t="n">
        <v>5962.380796939026</v>
      </c>
      <c r="BI98" t="n">
        <v>1</v>
      </c>
      <c r="BJ98" t="n">
        <v>5962.3808</v>
      </c>
    </row>
    <row r="99">
      <c r="A99" t="n">
        <v>1351</v>
      </c>
      <c r="B99" t="inlineStr">
        <is>
          <t>01-02-2021</t>
        </is>
      </c>
      <c r="C99" t="n">
        <v>2021</v>
      </c>
      <c r="D99" t="n">
        <v>1</v>
      </c>
      <c r="E99" t="inlineStr">
        <is>
          <t>CAREN</t>
        </is>
      </c>
      <c r="F99" t="inlineStr">
        <is>
          <t>SUM_SAESA_A</t>
        </is>
      </c>
      <c r="G99" t="inlineStr">
        <is>
          <t>A</t>
        </is>
      </c>
      <c r="H99" t="inlineStr">
        <is>
          <t>SAESA</t>
        </is>
      </c>
      <c r="I99" t="inlineStr">
        <is>
          <t>SAESANCUBLOQA</t>
        </is>
      </c>
      <c r="J99" t="inlineStr">
        <is>
          <t>ANCUD</t>
        </is>
      </c>
      <c r="K99" t="n">
        <v>-4717.1822156</v>
      </c>
      <c r="L99" t="inlineStr">
        <is>
          <t>ANCUD</t>
        </is>
      </c>
      <c r="M99" t="inlineStr">
        <is>
          <t>Puerto Montt</t>
        </is>
      </c>
      <c r="N99" t="n">
        <v>0.9410461489039</v>
      </c>
      <c r="O99" t="n">
        <v>4439.086158</v>
      </c>
      <c r="P99" t="inlineStr">
        <is>
          <t>BS1A</t>
        </is>
      </c>
      <c r="Q99" t="n">
        <v>2</v>
      </c>
      <c r="W99" t="n">
        <v>2</v>
      </c>
      <c r="X99" t="n">
        <v>0</v>
      </c>
      <c r="AA99" t="inlineStr">
        <is>
          <t>PNP_6T_08-05-2020</t>
        </is>
      </c>
      <c r="AB99" t="inlineStr">
        <is>
          <t>PNCP_9T_12-08-2019</t>
        </is>
      </c>
      <c r="AC99" t="inlineStr">
        <is>
          <t>PNCP_4T_30-04-2013</t>
        </is>
      </c>
      <c r="AD99" t="inlineStr">
        <is>
          <t>PUERTO MONTT 220</t>
        </is>
      </c>
      <c r="AE99" t="n">
        <v>111.133</v>
      </c>
      <c r="AF99" t="n">
        <v>1.072776031070834</v>
      </c>
      <c r="AG99" t="n">
        <v>119.220818660995</v>
      </c>
      <c r="AH99" t="n">
        <v>694.38</v>
      </c>
      <c r="AI99" t="n">
        <v>0.875</v>
      </c>
      <c r="AJ99" t="n">
        <v>72.43648305409401</v>
      </c>
      <c r="AK99" t="n">
        <v>0.8826000000000001</v>
      </c>
      <c r="AL99" t="n">
        <v>63.932</v>
      </c>
      <c r="AM99" t="n">
        <v>8.9176</v>
      </c>
      <c r="AN99" t="n">
        <v>9.566587534677272</v>
      </c>
      <c r="AO99" t="n">
        <v>0.913</v>
      </c>
      <c r="AP99" t="n">
        <v>6064.919358776563</v>
      </c>
      <c r="AQ99" t="n">
        <v>1.016858412119831</v>
      </c>
      <c r="AR99" t="n">
        <v>6167.1643</v>
      </c>
      <c r="AT99" t="inlineStr">
        <is>
          <t>PNP_19T_30-12-2020</t>
        </is>
      </c>
      <c r="AU99" t="inlineStr">
        <is>
          <t>PNCP_12T_10-08-2020</t>
        </is>
      </c>
      <c r="AV99" t="inlineStr">
        <is>
          <t>PNCP_4T_30-04-2013</t>
        </is>
      </c>
      <c r="AW99" t="inlineStr">
        <is>
          <t>PUERTO MONTT 220</t>
        </is>
      </c>
      <c r="AX99" t="n">
        <v>111.133</v>
      </c>
      <c r="AY99" t="n">
        <v>1.083385174100913</v>
      </c>
      <c r="AZ99" t="n">
        <v>120.3998445533567</v>
      </c>
      <c r="BA99" t="n">
        <v>801.49</v>
      </c>
      <c r="BB99" t="n">
        <v>0.905</v>
      </c>
      <c r="BC99" t="n">
        <v>87.33184062701827</v>
      </c>
      <c r="BD99" t="n">
        <v>0.7824</v>
      </c>
      <c r="BE99" t="n">
        <v>68.328</v>
      </c>
      <c r="BF99" t="n">
        <v>8.9176</v>
      </c>
      <c r="BG99" t="n">
        <v>0.77</v>
      </c>
      <c r="BH99" t="n">
        <v>5962.380796939026</v>
      </c>
      <c r="BI99" t="n">
        <v>1.039640050119603</v>
      </c>
      <c r="BJ99" t="n">
        <v>6198.7299</v>
      </c>
    </row>
    <row r="100">
      <c r="A100" t="n">
        <v>395</v>
      </c>
      <c r="B100" t="inlineStr">
        <is>
          <t>01-02-2021</t>
        </is>
      </c>
      <c r="C100" t="n">
        <v>2021</v>
      </c>
      <c r="D100" t="n">
        <v>1</v>
      </c>
      <c r="E100" t="inlineStr">
        <is>
          <t>CAREN</t>
        </is>
      </c>
      <c r="F100" t="inlineStr">
        <is>
          <t>SUM_SAESA_A</t>
        </is>
      </c>
      <c r="G100" t="inlineStr">
        <is>
          <t>A</t>
        </is>
      </c>
      <c r="H100" t="inlineStr">
        <is>
          <t>SAESA</t>
        </is>
      </c>
      <c r="I100" t="inlineStr">
        <is>
          <t>SAESARMBLOQA</t>
        </is>
      </c>
      <c r="J100" t="inlineStr">
        <is>
          <t>ARMAZONES</t>
        </is>
      </c>
      <c r="K100" t="n">
        <v>-1271.69945007</v>
      </c>
      <c r="L100" t="inlineStr">
        <is>
          <t>ARMAZONES</t>
        </is>
      </c>
      <c r="M100" t="inlineStr">
        <is>
          <t>DIEGO DE ALMAGRO</t>
        </is>
      </c>
      <c r="N100" t="n">
        <v>0.81055053060743</v>
      </c>
      <c r="O100" t="n">
        <v>1030.776664</v>
      </c>
      <c r="P100" t="inlineStr">
        <is>
          <t>BS1A</t>
        </is>
      </c>
      <c r="Q100" t="n">
        <v>2</v>
      </c>
      <c r="W100" t="n">
        <v>2</v>
      </c>
      <c r="X100" t="n">
        <v>0</v>
      </c>
      <c r="AA100" t="inlineStr">
        <is>
          <t>PNP_6T_08-05-2020</t>
        </is>
      </c>
      <c r="AB100" t="inlineStr">
        <is>
          <t>PNCP_9T_12-08-2019</t>
        </is>
      </c>
      <c r="AC100" t="inlineStr">
        <is>
          <t>PNCP_4T_30-04-2013</t>
        </is>
      </c>
      <c r="AD100" t="inlineStr">
        <is>
          <t>DIEGO DE ALMAGRO 220</t>
        </is>
      </c>
      <c r="AE100" t="n">
        <v>111.133</v>
      </c>
      <c r="AF100" t="n">
        <v>1.072776031070834</v>
      </c>
      <c r="AG100" t="n">
        <v>119.220818660995</v>
      </c>
      <c r="AH100" t="n">
        <v>694.38</v>
      </c>
      <c r="AI100" t="n">
        <v>0.875</v>
      </c>
      <c r="AJ100" t="n">
        <v>72.43648305409401</v>
      </c>
      <c r="AK100" t="n">
        <v>0.981</v>
      </c>
      <c r="AL100" t="n">
        <v>71.06</v>
      </c>
      <c r="AM100" t="n">
        <v>8.9176</v>
      </c>
      <c r="AN100" t="n">
        <v>9.566587534677272</v>
      </c>
      <c r="AO100" t="n">
        <v>0.913</v>
      </c>
      <c r="AP100" t="n">
        <v>6064.919358776563</v>
      </c>
      <c r="AQ100" t="n">
        <v>1.00689729496713</v>
      </c>
      <c r="AR100" t="n">
        <v>6106.7509</v>
      </c>
      <c r="AT100" t="inlineStr">
        <is>
          <t>PNP_19T_30-12-2020</t>
        </is>
      </c>
      <c r="AU100" t="inlineStr">
        <is>
          <t>PNCP_12T_10-08-2020</t>
        </is>
      </c>
      <c r="AV100" t="inlineStr">
        <is>
          <t>PNCP_4T_30-04-2013</t>
        </is>
      </c>
      <c r="AW100" t="inlineStr">
        <is>
          <t>DIEGO DE ALMAGRO 220</t>
        </is>
      </c>
      <c r="AX100" t="n">
        <v>111.133</v>
      </c>
      <c r="AY100" t="n">
        <v>1.083385174100913</v>
      </c>
      <c r="AZ100" t="n">
        <v>120.3998445533567</v>
      </c>
      <c r="BA100" t="n">
        <v>801.49</v>
      </c>
      <c r="BB100" t="n">
        <v>0.905</v>
      </c>
      <c r="BC100" t="n">
        <v>87.33184062701827</v>
      </c>
      <c r="BD100" t="n">
        <v>0.9134</v>
      </c>
      <c r="BE100" t="n">
        <v>79.76900000000001</v>
      </c>
      <c r="BF100" t="n">
        <v>8.9176</v>
      </c>
      <c r="BG100" t="n">
        <v>0.77</v>
      </c>
      <c r="BH100" t="n">
        <v>5962.380796939026</v>
      </c>
      <c r="BI100" t="n">
        <v>1.088263821532493</v>
      </c>
      <c r="BJ100" t="n">
        <v>6488.6433</v>
      </c>
    </row>
    <row r="101">
      <c r="A101" t="n">
        <v>4081</v>
      </c>
      <c r="B101" t="inlineStr">
        <is>
          <t>01-02-2021</t>
        </is>
      </c>
      <c r="C101" t="n">
        <v>2021</v>
      </c>
      <c r="D101" t="n">
        <v>1</v>
      </c>
      <c r="E101" t="inlineStr">
        <is>
          <t>CAREN</t>
        </is>
      </c>
      <c r="F101" t="inlineStr">
        <is>
          <t>SUM_SAESA_A</t>
        </is>
      </c>
      <c r="G101" t="inlineStr">
        <is>
          <t>A</t>
        </is>
      </c>
      <c r="H101" t="inlineStr">
        <is>
          <t>SAESA</t>
        </is>
      </c>
      <c r="I101" t="inlineStr">
        <is>
          <t>SAESBBLABLOQA</t>
        </is>
      </c>
      <c r="J101" t="inlineStr">
        <is>
          <t>B.BLANCO</t>
        </is>
      </c>
      <c r="K101" t="n">
        <v>-3386.49985259</v>
      </c>
      <c r="L101" t="inlineStr">
        <is>
          <t>BARRO BLANCO</t>
        </is>
      </c>
      <c r="M101" t="inlineStr">
        <is>
          <t>BARRO BLANCO</t>
        </is>
      </c>
      <c r="N101" t="n">
        <v>0.68542358589689</v>
      </c>
      <c r="O101" t="n">
        <v>2321.186873</v>
      </c>
      <c r="P101" t="inlineStr">
        <is>
          <t>BS1A</t>
        </is>
      </c>
      <c r="Q101" t="n">
        <v>2</v>
      </c>
      <c r="W101" t="n">
        <v>2</v>
      </c>
      <c r="X101" t="n">
        <v>0</v>
      </c>
      <c r="AA101" t="inlineStr">
        <is>
          <t>PNP_6T_08-05-2020</t>
        </is>
      </c>
      <c r="AB101" t="inlineStr">
        <is>
          <t>PNCP_9T_12-08-2019</t>
        </is>
      </c>
      <c r="AC101" t="inlineStr">
        <is>
          <t>PNCP_4T_30-04-2013</t>
        </is>
      </c>
      <c r="AD101" t="inlineStr">
        <is>
          <t>Barro Blanco 220</t>
        </is>
      </c>
      <c r="AE101" t="n">
        <v>111.133</v>
      </c>
      <c r="AF101" t="n">
        <v>1.072776031070834</v>
      </c>
      <c r="AG101" t="n">
        <v>119.220818660995</v>
      </c>
      <c r="AH101" t="n">
        <v>694.38</v>
      </c>
      <c r="AI101" t="n">
        <v>0.875</v>
      </c>
      <c r="AJ101" t="n">
        <v>72.43648305409401</v>
      </c>
      <c r="AK101" t="n">
        <v>0.8631</v>
      </c>
      <c r="AL101" t="n">
        <v>62.52</v>
      </c>
      <c r="AM101" t="n">
        <v>8.9176</v>
      </c>
      <c r="AN101" t="n">
        <v>9.566587534677272</v>
      </c>
      <c r="AO101" t="n">
        <v>0.913</v>
      </c>
      <c r="AP101" t="n">
        <v>6064.919358776563</v>
      </c>
      <c r="AQ101" t="n">
        <v>1.004432825642191</v>
      </c>
      <c r="AR101" t="n">
        <v>6091.8041</v>
      </c>
      <c r="AT101" t="inlineStr">
        <is>
          <t>PNP_19T_30-12-2020</t>
        </is>
      </c>
      <c r="AU101" t="inlineStr">
        <is>
          <t>PNCP_12T_10-08-2020</t>
        </is>
      </c>
      <c r="AV101" t="inlineStr">
        <is>
          <t>PNCP_4T_30-04-2013</t>
        </is>
      </c>
      <c r="AW101" t="inlineStr">
        <is>
          <t>Barro Blanco 220</t>
        </is>
      </c>
      <c r="AX101" t="n">
        <v>111.133</v>
      </c>
      <c r="AY101" t="n">
        <v>1.083385174100913</v>
      </c>
      <c r="AZ101" t="n">
        <v>120.3998445533567</v>
      </c>
      <c r="BA101" t="n">
        <v>801.49</v>
      </c>
      <c r="BB101" t="n">
        <v>0.905</v>
      </c>
      <c r="BC101" t="n">
        <v>87.33184062701827</v>
      </c>
      <c r="BD101" t="n">
        <v>0.7946</v>
      </c>
      <c r="BE101" t="n">
        <v>69.39400000000001</v>
      </c>
      <c r="BF101" t="n">
        <v>8.9176</v>
      </c>
      <c r="BG101" t="n">
        <v>0.77</v>
      </c>
      <c r="BH101" t="n">
        <v>5962.380796939026</v>
      </c>
      <c r="BI101" t="n">
        <v>1.047283473516708</v>
      </c>
      <c r="BJ101" t="n">
        <v>6244.3029</v>
      </c>
    </row>
    <row r="102">
      <c r="A102" t="n">
        <v>4083</v>
      </c>
      <c r="B102" t="inlineStr">
        <is>
          <t>01-02-2021</t>
        </is>
      </c>
      <c r="C102" t="n">
        <v>2021</v>
      </c>
      <c r="D102" t="n">
        <v>1</v>
      </c>
      <c r="E102" t="inlineStr">
        <is>
          <t>CAREN</t>
        </is>
      </c>
      <c r="F102" t="inlineStr">
        <is>
          <t>SUM_SAESA_A</t>
        </is>
      </c>
      <c r="G102" t="inlineStr">
        <is>
          <t>A</t>
        </is>
      </c>
      <c r="H102" t="inlineStr">
        <is>
          <t>SAESA</t>
        </is>
      </c>
      <c r="I102" t="inlineStr">
        <is>
          <t>SAESBBLABLOQA</t>
        </is>
      </c>
      <c r="J102" t="inlineStr">
        <is>
          <t>B.BLANCO</t>
        </is>
      </c>
      <c r="K102" t="n">
        <v>-3386.49985259</v>
      </c>
      <c r="L102" t="inlineStr">
        <is>
          <t>BARRO BLANCO</t>
        </is>
      </c>
      <c r="M102" t="inlineStr">
        <is>
          <t>MELIPULLI</t>
        </is>
      </c>
      <c r="N102" t="n">
        <v>0.0564855654883</v>
      </c>
      <c r="O102" t="n">
        <v>191.288359</v>
      </c>
      <c r="P102" t="inlineStr">
        <is>
          <t>BS1A</t>
        </is>
      </c>
      <c r="Q102" t="n">
        <v>2</v>
      </c>
      <c r="W102" t="n">
        <v>2</v>
      </c>
      <c r="X102" t="n">
        <v>0</v>
      </c>
      <c r="AA102" t="inlineStr">
        <is>
          <t>PNP_6T_08-05-2020</t>
        </is>
      </c>
      <c r="AB102" t="inlineStr">
        <is>
          <t>PNCP_9T_12-08-2019</t>
        </is>
      </c>
      <c r="AC102" t="inlineStr">
        <is>
          <t>PNCP_4T_30-04-2013</t>
        </is>
      </c>
      <c r="AD102" t="inlineStr">
        <is>
          <t>MELIPULLI 220</t>
        </is>
      </c>
      <c r="AE102" t="n">
        <v>111.133</v>
      </c>
      <c r="AF102" t="n">
        <v>1.072776031070834</v>
      </c>
      <c r="AG102" t="n">
        <v>119.220818660995</v>
      </c>
      <c r="AH102" t="n">
        <v>694.38</v>
      </c>
      <c r="AI102" t="n">
        <v>0.875</v>
      </c>
      <c r="AJ102" t="n">
        <v>72.43648305409401</v>
      </c>
      <c r="AK102" t="n">
        <v>0.8826000000000001</v>
      </c>
      <c r="AL102" t="n">
        <v>63.932</v>
      </c>
      <c r="AM102" t="n">
        <v>8.9176</v>
      </c>
      <c r="AN102" t="n">
        <v>9.566587534677272</v>
      </c>
      <c r="AO102" t="n">
        <v>0.913</v>
      </c>
      <c r="AP102" t="n">
        <v>6064.919358776563</v>
      </c>
      <c r="AQ102" t="n">
        <v>1</v>
      </c>
      <c r="AR102" t="n">
        <v>6064.9194</v>
      </c>
      <c r="AT102" t="inlineStr">
        <is>
          <t>PNP_19T_30-12-2020</t>
        </is>
      </c>
      <c r="AU102" t="inlineStr">
        <is>
          <t>PNCP_12T_10-08-2020</t>
        </is>
      </c>
      <c r="AV102" t="inlineStr">
        <is>
          <t>PNCP_4T_30-04-2013</t>
        </is>
      </c>
      <c r="AW102" t="inlineStr">
        <is>
          <t>MELIPULLI 220</t>
        </is>
      </c>
      <c r="AX102" t="n">
        <v>111.133</v>
      </c>
      <c r="AY102" t="n">
        <v>1.083385174100913</v>
      </c>
      <c r="AZ102" t="n">
        <v>120.3998445533567</v>
      </c>
      <c r="BA102" t="n">
        <v>801.49</v>
      </c>
      <c r="BB102" t="n">
        <v>0.905</v>
      </c>
      <c r="BC102" t="n">
        <v>87.33184062701827</v>
      </c>
      <c r="BD102" t="n">
        <v>0.7824</v>
      </c>
      <c r="BE102" t="n">
        <v>68.328</v>
      </c>
      <c r="BF102" t="n">
        <v>8.9176</v>
      </c>
      <c r="BG102" t="n">
        <v>0.77</v>
      </c>
      <c r="BH102" t="n">
        <v>5962.380796939026</v>
      </c>
      <c r="BI102" t="n">
        <v>1</v>
      </c>
      <c r="BJ102" t="n">
        <v>5962.3808</v>
      </c>
    </row>
    <row r="103">
      <c r="A103" t="n">
        <v>4085</v>
      </c>
      <c r="B103" t="inlineStr">
        <is>
          <t>01-02-2021</t>
        </is>
      </c>
      <c r="C103" t="n">
        <v>2021</v>
      </c>
      <c r="D103" t="n">
        <v>1</v>
      </c>
      <c r="E103" t="inlineStr">
        <is>
          <t>CAREN</t>
        </is>
      </c>
      <c r="F103" t="inlineStr">
        <is>
          <t>SUM_SAESA_A</t>
        </is>
      </c>
      <c r="G103" t="inlineStr">
        <is>
          <t>A</t>
        </is>
      </c>
      <c r="H103" t="inlineStr">
        <is>
          <t>SAESA</t>
        </is>
      </c>
      <c r="I103" t="inlineStr">
        <is>
          <t>SAESBBLABLOQA</t>
        </is>
      </c>
      <c r="J103" t="inlineStr">
        <is>
          <t>B.BLANCO</t>
        </is>
      </c>
      <c r="K103" t="n">
        <v>-3386.49985259</v>
      </c>
      <c r="L103" t="inlineStr">
        <is>
          <t>BARRO BLANCO</t>
        </is>
      </c>
      <c r="M103" t="inlineStr">
        <is>
          <t>VALDIVIA</t>
        </is>
      </c>
      <c r="N103" t="n">
        <v>0.21815833770618</v>
      </c>
      <c r="O103" t="n">
        <v>738.793178</v>
      </c>
      <c r="P103" t="inlineStr">
        <is>
          <t>BS1A</t>
        </is>
      </c>
      <c r="Q103" t="n">
        <v>2</v>
      </c>
      <c r="W103" t="n">
        <v>2</v>
      </c>
      <c r="X103" t="n">
        <v>0</v>
      </c>
      <c r="AA103" t="inlineStr">
        <is>
          <t>PNP_6T_08-05-2020</t>
        </is>
      </c>
      <c r="AB103" t="inlineStr">
        <is>
          <t>PNCP_9T_12-08-2019</t>
        </is>
      </c>
      <c r="AC103" t="inlineStr">
        <is>
          <t>PNCP_4T_30-04-2013</t>
        </is>
      </c>
      <c r="AD103" t="inlineStr">
        <is>
          <t>VALDIVIA 220</t>
        </is>
      </c>
      <c r="AE103" t="n">
        <v>111.133</v>
      </c>
      <c r="AF103" t="n">
        <v>1.072776031070834</v>
      </c>
      <c r="AG103" t="n">
        <v>119.220818660995</v>
      </c>
      <c r="AH103" t="n">
        <v>694.38</v>
      </c>
      <c r="AI103" t="n">
        <v>0.875</v>
      </c>
      <c r="AJ103" t="n">
        <v>72.43648305409401</v>
      </c>
      <c r="AK103" t="n">
        <v>0.913</v>
      </c>
      <c r="AL103" t="n">
        <v>66.13500000000001</v>
      </c>
      <c r="AM103" t="n">
        <v>8.9176</v>
      </c>
      <c r="AN103" t="n">
        <v>9.566587534677272</v>
      </c>
      <c r="AO103" t="n">
        <v>0.913</v>
      </c>
      <c r="AP103" t="n">
        <v>6064.919358776563</v>
      </c>
      <c r="AQ103" t="n">
        <v>1.051287819142954</v>
      </c>
      <c r="AR103" t="n">
        <v>6375.9758</v>
      </c>
      <c r="AT103" t="inlineStr">
        <is>
          <t>PNP_19T_30-12-2020</t>
        </is>
      </c>
      <c r="AU103" t="inlineStr">
        <is>
          <t>PNCP_12T_10-08-2020</t>
        </is>
      </c>
      <c r="AV103" t="inlineStr">
        <is>
          <t>PNCP_4T_30-04-2013</t>
        </is>
      </c>
      <c r="AW103" t="inlineStr">
        <is>
          <t>VALDIVIA 220</t>
        </is>
      </c>
      <c r="AX103" t="n">
        <v>111.133</v>
      </c>
      <c r="AY103" t="n">
        <v>1.083385174100913</v>
      </c>
      <c r="AZ103" t="n">
        <v>120.3998445533567</v>
      </c>
      <c r="BA103" t="n">
        <v>801.49</v>
      </c>
      <c r="BB103" t="n">
        <v>0.905</v>
      </c>
      <c r="BC103" t="n">
        <v>87.33184062701827</v>
      </c>
      <c r="BD103" t="n">
        <v>0.8745000000000001</v>
      </c>
      <c r="BE103" t="n">
        <v>76.372</v>
      </c>
      <c r="BF103" t="n">
        <v>8.9176</v>
      </c>
      <c r="BG103" t="n">
        <v>0.77</v>
      </c>
      <c r="BH103" t="n">
        <v>5962.380796939026</v>
      </c>
      <c r="BI103" t="n">
        <v>1.148014846473962</v>
      </c>
      <c r="BJ103" t="n">
        <v>6844.9017</v>
      </c>
    </row>
    <row r="104">
      <c r="A104" t="n">
        <v>2023</v>
      </c>
      <c r="B104" t="inlineStr">
        <is>
          <t>01-02-2021</t>
        </is>
      </c>
      <c r="C104" t="n">
        <v>2021</v>
      </c>
      <c r="D104" t="n">
        <v>1</v>
      </c>
      <c r="E104" t="inlineStr">
        <is>
          <t>CAREN</t>
        </is>
      </c>
      <c r="F104" t="inlineStr">
        <is>
          <t>SUM_SAESA_A</t>
        </is>
      </c>
      <c r="G104" t="inlineStr">
        <is>
          <t>A</t>
        </is>
      </c>
      <c r="H104" t="inlineStr">
        <is>
          <t>SAESA</t>
        </is>
      </c>
      <c r="I104" t="inlineStr">
        <is>
          <t>SAESCALBBLOQA</t>
        </is>
      </c>
      <c r="J104" t="inlineStr">
        <is>
          <t>CALBUCO</t>
        </is>
      </c>
      <c r="K104" t="n">
        <v>-2266.72378994</v>
      </c>
      <c r="L104" t="inlineStr">
        <is>
          <t>CALBUCO</t>
        </is>
      </c>
      <c r="M104" t="inlineStr">
        <is>
          <t>MELIPULLI</t>
        </is>
      </c>
      <c r="N104" t="n">
        <v>0.79695127981308</v>
      </c>
      <c r="O104" t="n">
        <v>1806.468425</v>
      </c>
      <c r="P104" t="inlineStr">
        <is>
          <t>BS1A</t>
        </is>
      </c>
      <c r="Q104" t="n">
        <v>2</v>
      </c>
      <c r="W104" t="n">
        <v>2</v>
      </c>
      <c r="X104" t="n">
        <v>0</v>
      </c>
      <c r="AA104" t="inlineStr">
        <is>
          <t>PNP_6T_08-05-2020</t>
        </is>
      </c>
      <c r="AB104" t="inlineStr">
        <is>
          <t>PNCP_9T_12-08-2019</t>
        </is>
      </c>
      <c r="AC104" t="inlineStr">
        <is>
          <t>PNCP_4T_30-04-2013</t>
        </is>
      </c>
      <c r="AD104" t="inlineStr">
        <is>
          <t>MELIPULLI 220</t>
        </is>
      </c>
      <c r="AE104" t="n">
        <v>111.133</v>
      </c>
      <c r="AF104" t="n">
        <v>1.072776031070834</v>
      </c>
      <c r="AG104" t="n">
        <v>119.220818660995</v>
      </c>
      <c r="AH104" t="n">
        <v>694.38</v>
      </c>
      <c r="AI104" t="n">
        <v>0.875</v>
      </c>
      <c r="AJ104" t="n">
        <v>72.43648305409401</v>
      </c>
      <c r="AK104" t="n">
        <v>0.8826000000000001</v>
      </c>
      <c r="AL104" t="n">
        <v>63.932</v>
      </c>
      <c r="AM104" t="n">
        <v>8.9176</v>
      </c>
      <c r="AN104" t="n">
        <v>9.566587534677272</v>
      </c>
      <c r="AO104" t="n">
        <v>0.913</v>
      </c>
      <c r="AP104" t="n">
        <v>6064.919358776563</v>
      </c>
      <c r="AQ104" t="n">
        <v>1</v>
      </c>
      <c r="AR104" t="n">
        <v>6064.9194</v>
      </c>
      <c r="AT104" t="inlineStr">
        <is>
          <t>PNP_19T_30-12-2020</t>
        </is>
      </c>
      <c r="AU104" t="inlineStr">
        <is>
          <t>PNCP_12T_10-08-2020</t>
        </is>
      </c>
      <c r="AV104" t="inlineStr">
        <is>
          <t>PNCP_4T_30-04-2013</t>
        </is>
      </c>
      <c r="AW104" t="inlineStr">
        <is>
          <t>MELIPULLI 220</t>
        </is>
      </c>
      <c r="AX104" t="n">
        <v>111.133</v>
      </c>
      <c r="AY104" t="n">
        <v>1.083385174100913</v>
      </c>
      <c r="AZ104" t="n">
        <v>120.3998445533567</v>
      </c>
      <c r="BA104" t="n">
        <v>801.49</v>
      </c>
      <c r="BB104" t="n">
        <v>0.905</v>
      </c>
      <c r="BC104" t="n">
        <v>87.33184062701827</v>
      </c>
      <c r="BD104" t="n">
        <v>0.7824</v>
      </c>
      <c r="BE104" t="n">
        <v>68.328</v>
      </c>
      <c r="BF104" t="n">
        <v>8.9176</v>
      </c>
      <c r="BG104" t="n">
        <v>0.77</v>
      </c>
      <c r="BH104" t="n">
        <v>5962.380796939026</v>
      </c>
      <c r="BI104" t="n">
        <v>1</v>
      </c>
      <c r="BJ104" t="n">
        <v>5962.3808</v>
      </c>
    </row>
    <row r="105">
      <c r="A105" t="n">
        <v>2025</v>
      </c>
      <c r="B105" t="inlineStr">
        <is>
          <t>01-02-2021</t>
        </is>
      </c>
      <c r="C105" t="n">
        <v>2021</v>
      </c>
      <c r="D105" t="n">
        <v>1</v>
      </c>
      <c r="E105" t="inlineStr">
        <is>
          <t>CAREN</t>
        </is>
      </c>
      <c r="F105" t="inlineStr">
        <is>
          <t>SUM_SAESA_A</t>
        </is>
      </c>
      <c r="G105" t="inlineStr">
        <is>
          <t>A</t>
        </is>
      </c>
      <c r="H105" t="inlineStr">
        <is>
          <t>SAESA</t>
        </is>
      </c>
      <c r="I105" t="inlineStr">
        <is>
          <t>SAESCALBBLOQA</t>
        </is>
      </c>
      <c r="J105" t="inlineStr">
        <is>
          <t>CALBUCO</t>
        </is>
      </c>
      <c r="K105" t="n">
        <v>-2266.72378994</v>
      </c>
      <c r="L105" t="inlineStr">
        <is>
          <t>CALBUCO</t>
        </is>
      </c>
      <c r="M105" t="inlineStr">
        <is>
          <t>Puerto Montt</t>
        </is>
      </c>
      <c r="N105" t="n">
        <v>0.94243617275731</v>
      </c>
      <c r="O105" t="n">
        <v>2136.242493</v>
      </c>
      <c r="P105" t="inlineStr">
        <is>
          <t>BS1A</t>
        </is>
      </c>
      <c r="Q105" t="n">
        <v>2</v>
      </c>
      <c r="W105" t="n">
        <v>2</v>
      </c>
      <c r="X105" t="n">
        <v>0</v>
      </c>
      <c r="AA105" t="inlineStr">
        <is>
          <t>PNP_6T_08-05-2020</t>
        </is>
      </c>
      <c r="AB105" t="inlineStr">
        <is>
          <t>PNCP_9T_12-08-2019</t>
        </is>
      </c>
      <c r="AC105" t="inlineStr">
        <is>
          <t>PNCP_4T_30-04-2013</t>
        </is>
      </c>
      <c r="AD105" t="inlineStr">
        <is>
          <t>PUERTO MONTT 220</t>
        </is>
      </c>
      <c r="AE105" t="n">
        <v>111.133</v>
      </c>
      <c r="AF105" t="n">
        <v>1.072776031070834</v>
      </c>
      <c r="AG105" t="n">
        <v>119.220818660995</v>
      </c>
      <c r="AH105" t="n">
        <v>694.38</v>
      </c>
      <c r="AI105" t="n">
        <v>0.875</v>
      </c>
      <c r="AJ105" t="n">
        <v>72.43648305409401</v>
      </c>
      <c r="AK105" t="n">
        <v>0.8826000000000001</v>
      </c>
      <c r="AL105" t="n">
        <v>63.932</v>
      </c>
      <c r="AM105" t="n">
        <v>8.9176</v>
      </c>
      <c r="AN105" t="n">
        <v>9.566587534677272</v>
      </c>
      <c r="AO105" t="n">
        <v>0.913</v>
      </c>
      <c r="AP105" t="n">
        <v>6064.919358776563</v>
      </c>
      <c r="AQ105" t="n">
        <v>1.016858412119831</v>
      </c>
      <c r="AR105" t="n">
        <v>6167.1643</v>
      </c>
      <c r="AT105" t="inlineStr">
        <is>
          <t>PNP_19T_30-12-2020</t>
        </is>
      </c>
      <c r="AU105" t="inlineStr">
        <is>
          <t>PNCP_12T_10-08-2020</t>
        </is>
      </c>
      <c r="AV105" t="inlineStr">
        <is>
          <t>PNCP_4T_30-04-2013</t>
        </is>
      </c>
      <c r="AW105" t="inlineStr">
        <is>
          <t>PUERTO MONTT 220</t>
        </is>
      </c>
      <c r="AX105" t="n">
        <v>111.133</v>
      </c>
      <c r="AY105" t="n">
        <v>1.083385174100913</v>
      </c>
      <c r="AZ105" t="n">
        <v>120.3998445533567</v>
      </c>
      <c r="BA105" t="n">
        <v>801.49</v>
      </c>
      <c r="BB105" t="n">
        <v>0.905</v>
      </c>
      <c r="BC105" t="n">
        <v>87.33184062701827</v>
      </c>
      <c r="BD105" t="n">
        <v>0.7824</v>
      </c>
      <c r="BE105" t="n">
        <v>68.328</v>
      </c>
      <c r="BF105" t="n">
        <v>8.9176</v>
      </c>
      <c r="BG105" t="n">
        <v>0.77</v>
      </c>
      <c r="BH105" t="n">
        <v>5962.380796939026</v>
      </c>
      <c r="BI105" t="n">
        <v>1.039640050119603</v>
      </c>
      <c r="BJ105" t="n">
        <v>6198.7299</v>
      </c>
    </row>
    <row r="106">
      <c r="A106" t="n">
        <v>2027</v>
      </c>
      <c r="B106" t="inlineStr">
        <is>
          <t>01-02-2021</t>
        </is>
      </c>
      <c r="C106" t="n">
        <v>2021</v>
      </c>
      <c r="D106" t="n">
        <v>1</v>
      </c>
      <c r="E106" t="inlineStr">
        <is>
          <t>CAREN</t>
        </is>
      </c>
      <c r="F106" t="inlineStr">
        <is>
          <t>SUM_SAESA_A</t>
        </is>
      </c>
      <c r="G106" t="inlineStr">
        <is>
          <t>A</t>
        </is>
      </c>
      <c r="H106" t="inlineStr">
        <is>
          <t>SAESA</t>
        </is>
      </c>
      <c r="I106" t="inlineStr">
        <is>
          <t>SAESCALBBLOQA</t>
        </is>
      </c>
      <c r="J106" t="inlineStr">
        <is>
          <t>CALBUCO</t>
        </is>
      </c>
      <c r="K106" t="n">
        <v>-2266.72378994</v>
      </c>
      <c r="L106" t="inlineStr">
        <is>
          <t>CALBUCO</t>
        </is>
      </c>
      <c r="M106" t="inlineStr">
        <is>
          <t>VALDIVIA</t>
        </is>
      </c>
      <c r="N106" t="n">
        <v>7.167390938e-05</v>
      </c>
      <c r="O106" t="n">
        <v>0.162465</v>
      </c>
      <c r="P106" t="inlineStr">
        <is>
          <t>BS1A</t>
        </is>
      </c>
      <c r="Q106" t="n">
        <v>2</v>
      </c>
      <c r="W106" t="n">
        <v>2</v>
      </c>
      <c r="X106" t="n">
        <v>0</v>
      </c>
      <c r="AA106" t="inlineStr">
        <is>
          <t>PNP_6T_08-05-2020</t>
        </is>
      </c>
      <c r="AB106" t="inlineStr">
        <is>
          <t>PNCP_9T_12-08-2019</t>
        </is>
      </c>
      <c r="AC106" t="inlineStr">
        <is>
          <t>PNCP_4T_30-04-2013</t>
        </is>
      </c>
      <c r="AD106" t="inlineStr">
        <is>
          <t>VALDIVIA 220</t>
        </is>
      </c>
      <c r="AE106" t="n">
        <v>111.133</v>
      </c>
      <c r="AF106" t="n">
        <v>1.072776031070834</v>
      </c>
      <c r="AG106" t="n">
        <v>119.220818660995</v>
      </c>
      <c r="AH106" t="n">
        <v>694.38</v>
      </c>
      <c r="AI106" t="n">
        <v>0.875</v>
      </c>
      <c r="AJ106" t="n">
        <v>72.43648305409401</v>
      </c>
      <c r="AK106" t="n">
        <v>0.913</v>
      </c>
      <c r="AL106" t="n">
        <v>66.13500000000001</v>
      </c>
      <c r="AM106" t="n">
        <v>8.9176</v>
      </c>
      <c r="AN106" t="n">
        <v>9.566587534677272</v>
      </c>
      <c r="AO106" t="n">
        <v>0.913</v>
      </c>
      <c r="AP106" t="n">
        <v>6064.919358776563</v>
      </c>
      <c r="AQ106" t="n">
        <v>1.051287819142954</v>
      </c>
      <c r="AR106" t="n">
        <v>6375.9758</v>
      </c>
      <c r="AT106" t="inlineStr">
        <is>
          <t>PNP_19T_30-12-2020</t>
        </is>
      </c>
      <c r="AU106" t="inlineStr">
        <is>
          <t>PNCP_12T_10-08-2020</t>
        </is>
      </c>
      <c r="AV106" t="inlineStr">
        <is>
          <t>PNCP_4T_30-04-2013</t>
        </is>
      </c>
      <c r="AW106" t="inlineStr">
        <is>
          <t>VALDIVIA 220</t>
        </is>
      </c>
      <c r="AX106" t="n">
        <v>111.133</v>
      </c>
      <c r="AY106" t="n">
        <v>1.083385174100913</v>
      </c>
      <c r="AZ106" t="n">
        <v>120.3998445533567</v>
      </c>
      <c r="BA106" t="n">
        <v>801.49</v>
      </c>
      <c r="BB106" t="n">
        <v>0.905</v>
      </c>
      <c r="BC106" t="n">
        <v>87.33184062701827</v>
      </c>
      <c r="BD106" t="n">
        <v>0.8745000000000001</v>
      </c>
      <c r="BE106" t="n">
        <v>76.372</v>
      </c>
      <c r="BF106" t="n">
        <v>8.9176</v>
      </c>
      <c r="BG106" t="n">
        <v>0.77</v>
      </c>
      <c r="BH106" t="n">
        <v>5962.380796939026</v>
      </c>
      <c r="BI106" t="n">
        <v>1.148014846473962</v>
      </c>
      <c r="BJ106" t="n">
        <v>6844.9017</v>
      </c>
    </row>
    <row r="107">
      <c r="A107" t="n">
        <v>1349</v>
      </c>
      <c r="B107" t="inlineStr">
        <is>
          <t>01-02-2021</t>
        </is>
      </c>
      <c r="C107" t="n">
        <v>2021</v>
      </c>
      <c r="D107" t="n">
        <v>1</v>
      </c>
      <c r="E107" t="inlineStr">
        <is>
          <t>CAREN</t>
        </is>
      </c>
      <c r="F107" t="inlineStr">
        <is>
          <t>SUM_SAESA_A</t>
        </is>
      </c>
      <c r="G107" t="inlineStr">
        <is>
          <t>A</t>
        </is>
      </c>
      <c r="H107" t="inlineStr">
        <is>
          <t>SAESA</t>
        </is>
      </c>
      <c r="I107" t="inlineStr">
        <is>
          <t>SAESCASTBLOQA</t>
        </is>
      </c>
      <c r="J107" t="inlineStr">
        <is>
          <t>CASTRO</t>
        </is>
      </c>
      <c r="K107" t="n">
        <v>-4315.53962348</v>
      </c>
      <c r="L107" t="inlineStr">
        <is>
          <t>CASTRO</t>
        </is>
      </c>
      <c r="M107" t="inlineStr">
        <is>
          <t>CHILOE</t>
        </is>
      </c>
      <c r="N107" t="n">
        <v>0.79707666555766</v>
      </c>
      <c r="O107" t="n">
        <v>3439.815933</v>
      </c>
      <c r="P107" t="inlineStr">
        <is>
          <t>BS1A</t>
        </is>
      </c>
      <c r="Q107" t="n">
        <v>2</v>
      </c>
      <c r="W107" t="n">
        <v>2</v>
      </c>
      <c r="X107" t="n">
        <v>0</v>
      </c>
      <c r="AA107" t="inlineStr">
        <is>
          <t>PNP_6T_08-05-2020</t>
        </is>
      </c>
      <c r="AB107" t="inlineStr">
        <is>
          <t>PNCP_9T_12-08-2019</t>
        </is>
      </c>
      <c r="AC107" t="inlineStr">
        <is>
          <t>PNCP_4T_30-04-2013</t>
        </is>
      </c>
      <c r="AD107" t="inlineStr">
        <is>
          <t>CHILOE 220</t>
        </is>
      </c>
      <c r="AE107" t="n">
        <v>111.133</v>
      </c>
      <c r="AF107" t="n">
        <v>1.072776031070834</v>
      </c>
      <c r="AG107" t="n">
        <v>119.220818660995</v>
      </c>
      <c r="AH107" t="n">
        <v>694.38</v>
      </c>
      <c r="AI107" t="n">
        <v>0.875</v>
      </c>
      <c r="AJ107" t="n">
        <v>72.43648305409401</v>
      </c>
      <c r="AK107" t="n">
        <v>0.8903</v>
      </c>
      <c r="AL107" t="n">
        <v>64.48999999999999</v>
      </c>
      <c r="AM107" t="n">
        <v>8.9176</v>
      </c>
      <c r="AN107" t="n">
        <v>9.566587534677272</v>
      </c>
      <c r="AO107" t="n">
        <v>0.913</v>
      </c>
      <c r="AP107" t="n">
        <v>6064.919358776563</v>
      </c>
      <c r="AQ107" t="n">
        <v>1</v>
      </c>
      <c r="AR107" t="n">
        <v>6064.9194</v>
      </c>
      <c r="AT107" t="inlineStr">
        <is>
          <t>PNP_19T_30-12-2020</t>
        </is>
      </c>
      <c r="AU107" t="inlineStr">
        <is>
          <t>PNCP_12T_10-08-2020</t>
        </is>
      </c>
      <c r="AV107" t="inlineStr">
        <is>
          <t>PNCP_4T_30-04-2013</t>
        </is>
      </c>
      <c r="AW107" t="inlineStr">
        <is>
          <t>CHILOE 220</t>
        </is>
      </c>
      <c r="AX107" t="n">
        <v>111.133</v>
      </c>
      <c r="AY107" t="n">
        <v>1.083385174100913</v>
      </c>
      <c r="AZ107" t="n">
        <v>120.3998445533567</v>
      </c>
      <c r="BA107" t="n">
        <v>801.49</v>
      </c>
      <c r="BB107" t="n">
        <v>0.905</v>
      </c>
      <c r="BC107" t="n">
        <v>87.33184062701827</v>
      </c>
      <c r="BD107" t="n">
        <v>0.7923</v>
      </c>
      <c r="BE107" t="n">
        <v>69.193</v>
      </c>
      <c r="BF107" t="n">
        <v>8.9176</v>
      </c>
      <c r="BG107" t="n">
        <v>0.77</v>
      </c>
      <c r="BH107" t="n">
        <v>5962.380796939026</v>
      </c>
      <c r="BI107" t="n">
        <v>1</v>
      </c>
      <c r="BJ107" t="n">
        <v>5962.3808</v>
      </c>
    </row>
    <row r="108">
      <c r="A108" t="n">
        <v>1351</v>
      </c>
      <c r="B108" t="inlineStr">
        <is>
          <t>01-02-2021</t>
        </is>
      </c>
      <c r="C108" t="n">
        <v>2021</v>
      </c>
      <c r="D108" t="n">
        <v>1</v>
      </c>
      <c r="E108" t="inlineStr">
        <is>
          <t>CAREN</t>
        </is>
      </c>
      <c r="F108" t="inlineStr">
        <is>
          <t>SUM_SAESA_A</t>
        </is>
      </c>
      <c r="G108" t="inlineStr">
        <is>
          <t>A</t>
        </is>
      </c>
      <c r="H108" t="inlineStr">
        <is>
          <t>SAESA</t>
        </is>
      </c>
      <c r="I108" t="inlineStr">
        <is>
          <t>SAESCASTBLOQA</t>
        </is>
      </c>
      <c r="J108" t="inlineStr">
        <is>
          <t>CASTRO</t>
        </is>
      </c>
      <c r="K108" t="n">
        <v>-4315.53962348</v>
      </c>
      <c r="L108" t="inlineStr">
        <is>
          <t>CASTRO</t>
        </is>
      </c>
      <c r="M108" t="inlineStr">
        <is>
          <t>Puerto Montt</t>
        </is>
      </c>
      <c r="N108" t="n">
        <v>0.94383030910781</v>
      </c>
      <c r="O108" t="n">
        <v>4073.137097</v>
      </c>
      <c r="P108" t="inlineStr">
        <is>
          <t>BS1A</t>
        </is>
      </c>
      <c r="Q108" t="n">
        <v>2</v>
      </c>
      <c r="W108" t="n">
        <v>2</v>
      </c>
      <c r="X108" t="n">
        <v>0</v>
      </c>
      <c r="AA108" t="inlineStr">
        <is>
          <t>PNP_6T_08-05-2020</t>
        </is>
      </c>
      <c r="AB108" t="inlineStr">
        <is>
          <t>PNCP_9T_12-08-2019</t>
        </is>
      </c>
      <c r="AC108" t="inlineStr">
        <is>
          <t>PNCP_4T_30-04-2013</t>
        </is>
      </c>
      <c r="AD108" t="inlineStr">
        <is>
          <t>PUERTO MONTT 220</t>
        </is>
      </c>
      <c r="AE108" t="n">
        <v>111.133</v>
      </c>
      <c r="AF108" t="n">
        <v>1.072776031070834</v>
      </c>
      <c r="AG108" t="n">
        <v>119.220818660995</v>
      </c>
      <c r="AH108" t="n">
        <v>694.38</v>
      </c>
      <c r="AI108" t="n">
        <v>0.875</v>
      </c>
      <c r="AJ108" t="n">
        <v>72.43648305409401</v>
      </c>
      <c r="AK108" t="n">
        <v>0.8826000000000001</v>
      </c>
      <c r="AL108" t="n">
        <v>63.932</v>
      </c>
      <c r="AM108" t="n">
        <v>8.9176</v>
      </c>
      <c r="AN108" t="n">
        <v>9.566587534677272</v>
      </c>
      <c r="AO108" t="n">
        <v>0.913</v>
      </c>
      <c r="AP108" t="n">
        <v>6064.919358776563</v>
      </c>
      <c r="AQ108" t="n">
        <v>1.016858412119831</v>
      </c>
      <c r="AR108" t="n">
        <v>6167.1643</v>
      </c>
      <c r="AT108" t="inlineStr">
        <is>
          <t>PNP_19T_30-12-2020</t>
        </is>
      </c>
      <c r="AU108" t="inlineStr">
        <is>
          <t>PNCP_12T_10-08-2020</t>
        </is>
      </c>
      <c r="AV108" t="inlineStr">
        <is>
          <t>PNCP_4T_30-04-2013</t>
        </is>
      </c>
      <c r="AW108" t="inlineStr">
        <is>
          <t>PUERTO MONTT 220</t>
        </is>
      </c>
      <c r="AX108" t="n">
        <v>111.133</v>
      </c>
      <c r="AY108" t="n">
        <v>1.083385174100913</v>
      </c>
      <c r="AZ108" t="n">
        <v>120.3998445533567</v>
      </c>
      <c r="BA108" t="n">
        <v>801.49</v>
      </c>
      <c r="BB108" t="n">
        <v>0.905</v>
      </c>
      <c r="BC108" t="n">
        <v>87.33184062701827</v>
      </c>
      <c r="BD108" t="n">
        <v>0.7824</v>
      </c>
      <c r="BE108" t="n">
        <v>68.328</v>
      </c>
      <c r="BF108" t="n">
        <v>8.9176</v>
      </c>
      <c r="BG108" t="n">
        <v>0.77</v>
      </c>
      <c r="BH108" t="n">
        <v>5962.380796939026</v>
      </c>
      <c r="BI108" t="n">
        <v>1.039640050119603</v>
      </c>
      <c r="BJ108" t="n">
        <v>6198.7299</v>
      </c>
    </row>
    <row r="109">
      <c r="A109" t="n">
        <v>399</v>
      </c>
      <c r="B109" t="inlineStr">
        <is>
          <t>01-02-2021</t>
        </is>
      </c>
      <c r="C109" t="n">
        <v>2021</v>
      </c>
      <c r="D109" t="n">
        <v>1</v>
      </c>
      <c r="E109" t="inlineStr">
        <is>
          <t>CAREN</t>
        </is>
      </c>
      <c r="F109" t="inlineStr">
        <is>
          <t>SUM_SAESA_A</t>
        </is>
      </c>
      <c r="G109" t="inlineStr">
        <is>
          <t>A</t>
        </is>
      </c>
      <c r="H109" t="inlineStr">
        <is>
          <t>SAESA</t>
        </is>
      </c>
      <c r="I109" t="inlineStr">
        <is>
          <t>SAESACHIRREBLOQA</t>
        </is>
      </c>
      <c r="J109" t="inlineStr">
        <is>
          <t>CHIRRE</t>
        </is>
      </c>
      <c r="K109" t="n">
        <v>-2811.39405564</v>
      </c>
      <c r="L109" t="inlineStr">
        <is>
          <t>CHIRRE 23</t>
        </is>
      </c>
      <c r="M109" t="inlineStr">
        <is>
          <t>BARRO BLANCO</t>
        </is>
      </c>
      <c r="N109" t="n">
        <v>0.90362399609009</v>
      </c>
      <c r="O109" t="n">
        <v>2540.443131</v>
      </c>
      <c r="P109" t="inlineStr">
        <is>
          <t>BS1A</t>
        </is>
      </c>
      <c r="Q109" t="n">
        <v>2</v>
      </c>
      <c r="W109" t="n">
        <v>2</v>
      </c>
      <c r="X109" t="n">
        <v>0</v>
      </c>
      <c r="AA109" t="inlineStr">
        <is>
          <t>PNP_6T_08-05-2020</t>
        </is>
      </c>
      <c r="AB109" t="inlineStr">
        <is>
          <t>PNCP_9T_12-08-2019</t>
        </is>
      </c>
      <c r="AC109" t="inlineStr">
        <is>
          <t>PNCP_4T_30-04-2013</t>
        </is>
      </c>
      <c r="AD109" t="inlineStr">
        <is>
          <t>Barro Blanco 220</t>
        </is>
      </c>
      <c r="AE109" t="n">
        <v>111.133</v>
      </c>
      <c r="AF109" t="n">
        <v>1.072776031070834</v>
      </c>
      <c r="AG109" t="n">
        <v>119.220818660995</v>
      </c>
      <c r="AH109" t="n">
        <v>694.38</v>
      </c>
      <c r="AI109" t="n">
        <v>0.875</v>
      </c>
      <c r="AJ109" t="n">
        <v>72.43648305409401</v>
      </c>
      <c r="AK109" t="n">
        <v>0.8631</v>
      </c>
      <c r="AL109" t="n">
        <v>62.52</v>
      </c>
      <c r="AM109" t="n">
        <v>8.9176</v>
      </c>
      <c r="AN109" t="n">
        <v>9.566587534677272</v>
      </c>
      <c r="AO109" t="n">
        <v>0.913</v>
      </c>
      <c r="AP109" t="n">
        <v>6064.919358776563</v>
      </c>
      <c r="AQ109" t="n">
        <v>1.004432825642191</v>
      </c>
      <c r="AR109" t="n">
        <v>6091.8041</v>
      </c>
      <c r="AT109" t="inlineStr">
        <is>
          <t>PNP_19T_30-12-2020</t>
        </is>
      </c>
      <c r="AU109" t="inlineStr">
        <is>
          <t>PNCP_12T_10-08-2020</t>
        </is>
      </c>
      <c r="AV109" t="inlineStr">
        <is>
          <t>PNCP_4T_30-04-2013</t>
        </is>
      </c>
      <c r="AW109" t="inlineStr">
        <is>
          <t>Barro Blanco 220</t>
        </is>
      </c>
      <c r="AX109" t="n">
        <v>111.133</v>
      </c>
      <c r="AY109" t="n">
        <v>1.083385174100913</v>
      </c>
      <c r="AZ109" t="n">
        <v>120.3998445533567</v>
      </c>
      <c r="BA109" t="n">
        <v>801.49</v>
      </c>
      <c r="BB109" t="n">
        <v>0.905</v>
      </c>
      <c r="BC109" t="n">
        <v>87.33184062701827</v>
      </c>
      <c r="BD109" t="n">
        <v>0.7946</v>
      </c>
      <c r="BE109" t="n">
        <v>69.39400000000001</v>
      </c>
      <c r="BF109" t="n">
        <v>8.9176</v>
      </c>
      <c r="BG109" t="n">
        <v>0.77</v>
      </c>
      <c r="BH109" t="n">
        <v>5962.380796939026</v>
      </c>
      <c r="BI109" t="n">
        <v>1.047283473516708</v>
      </c>
      <c r="BJ109" t="n">
        <v>6244.3029</v>
      </c>
    </row>
    <row r="110">
      <c r="A110" t="n">
        <v>1349</v>
      </c>
      <c r="B110" t="inlineStr">
        <is>
          <t>01-02-2021</t>
        </is>
      </c>
      <c r="C110" t="n">
        <v>2021</v>
      </c>
      <c r="D110" t="n">
        <v>1</v>
      </c>
      <c r="E110" t="inlineStr">
        <is>
          <t>CAREN</t>
        </is>
      </c>
      <c r="F110" t="inlineStr">
        <is>
          <t>SUM_SAESA_A</t>
        </is>
      </c>
      <c r="G110" t="inlineStr">
        <is>
          <t>A</t>
        </is>
      </c>
      <c r="H110" t="inlineStr">
        <is>
          <t>SAESA</t>
        </is>
      </c>
      <c r="I110" t="inlineStr">
        <is>
          <t>SAESCHONBLOQA</t>
        </is>
      </c>
      <c r="J110" t="inlineStr">
        <is>
          <t>CHONCHI</t>
        </is>
      </c>
      <c r="K110" t="n">
        <v>-3133.18032901</v>
      </c>
      <c r="L110" t="inlineStr">
        <is>
          <t>CHONCHI</t>
        </is>
      </c>
      <c r="M110" t="inlineStr">
        <is>
          <t>CHILOE</t>
        </is>
      </c>
      <c r="N110" t="n">
        <v>0.79707666555781</v>
      </c>
      <c r="O110" t="n">
        <v>2497.384929</v>
      </c>
      <c r="P110" t="inlineStr">
        <is>
          <t>BS1A</t>
        </is>
      </c>
      <c r="Q110" t="n">
        <v>2</v>
      </c>
      <c r="W110" t="n">
        <v>2</v>
      </c>
      <c r="X110" t="n">
        <v>0</v>
      </c>
      <c r="AA110" t="inlineStr">
        <is>
          <t>PNP_6T_08-05-2020</t>
        </is>
      </c>
      <c r="AB110" t="inlineStr">
        <is>
          <t>PNCP_9T_12-08-2019</t>
        </is>
      </c>
      <c r="AC110" t="inlineStr">
        <is>
          <t>PNCP_4T_30-04-2013</t>
        </is>
      </c>
      <c r="AD110" t="inlineStr">
        <is>
          <t>CHILOE 220</t>
        </is>
      </c>
      <c r="AE110" t="n">
        <v>111.133</v>
      </c>
      <c r="AF110" t="n">
        <v>1.072776031070834</v>
      </c>
      <c r="AG110" t="n">
        <v>119.220818660995</v>
      </c>
      <c r="AH110" t="n">
        <v>694.38</v>
      </c>
      <c r="AI110" t="n">
        <v>0.875</v>
      </c>
      <c r="AJ110" t="n">
        <v>72.43648305409401</v>
      </c>
      <c r="AK110" t="n">
        <v>0.8903</v>
      </c>
      <c r="AL110" t="n">
        <v>64.48999999999999</v>
      </c>
      <c r="AM110" t="n">
        <v>8.9176</v>
      </c>
      <c r="AN110" t="n">
        <v>9.566587534677272</v>
      </c>
      <c r="AO110" t="n">
        <v>0.913</v>
      </c>
      <c r="AP110" t="n">
        <v>6064.919358776563</v>
      </c>
      <c r="AQ110" t="n">
        <v>1</v>
      </c>
      <c r="AR110" t="n">
        <v>6064.9194</v>
      </c>
      <c r="AT110" t="inlineStr">
        <is>
          <t>PNP_19T_30-12-2020</t>
        </is>
      </c>
      <c r="AU110" t="inlineStr">
        <is>
          <t>PNCP_12T_10-08-2020</t>
        </is>
      </c>
      <c r="AV110" t="inlineStr">
        <is>
          <t>PNCP_4T_30-04-2013</t>
        </is>
      </c>
      <c r="AW110" t="inlineStr">
        <is>
          <t>CHILOE 220</t>
        </is>
      </c>
      <c r="AX110" t="n">
        <v>111.133</v>
      </c>
      <c r="AY110" t="n">
        <v>1.083385174100913</v>
      </c>
      <c r="AZ110" t="n">
        <v>120.3998445533567</v>
      </c>
      <c r="BA110" t="n">
        <v>801.49</v>
      </c>
      <c r="BB110" t="n">
        <v>0.905</v>
      </c>
      <c r="BC110" t="n">
        <v>87.33184062701827</v>
      </c>
      <c r="BD110" t="n">
        <v>0.7923</v>
      </c>
      <c r="BE110" t="n">
        <v>69.193</v>
      </c>
      <c r="BF110" t="n">
        <v>8.9176</v>
      </c>
      <c r="BG110" t="n">
        <v>0.77</v>
      </c>
      <c r="BH110" t="n">
        <v>5962.380796939026</v>
      </c>
      <c r="BI110" t="n">
        <v>1</v>
      </c>
      <c r="BJ110" t="n">
        <v>5962.3808</v>
      </c>
    </row>
    <row r="111">
      <c r="A111" t="n">
        <v>1351</v>
      </c>
      <c r="B111" t="inlineStr">
        <is>
          <t>01-02-2021</t>
        </is>
      </c>
      <c r="C111" t="n">
        <v>2021</v>
      </c>
      <c r="D111" t="n">
        <v>1</v>
      </c>
      <c r="E111" t="inlineStr">
        <is>
          <t>CAREN</t>
        </is>
      </c>
      <c r="F111" t="inlineStr">
        <is>
          <t>SUM_SAESA_A</t>
        </is>
      </c>
      <c r="G111" t="inlineStr">
        <is>
          <t>A</t>
        </is>
      </c>
      <c r="H111" t="inlineStr">
        <is>
          <t>SAESA</t>
        </is>
      </c>
      <c r="I111" t="inlineStr">
        <is>
          <t>SAESCHONBLOQA</t>
        </is>
      </c>
      <c r="J111" t="inlineStr">
        <is>
          <t>CHONCHI</t>
        </is>
      </c>
      <c r="K111" t="n">
        <v>-3133.18032901</v>
      </c>
      <c r="L111" t="inlineStr">
        <is>
          <t>CHONCHI</t>
        </is>
      </c>
      <c r="M111" t="inlineStr">
        <is>
          <t>Puerto Montt</t>
        </is>
      </c>
      <c r="N111" t="n">
        <v>0.94243617275754</v>
      </c>
      <c r="O111" t="n">
        <v>2952.822478</v>
      </c>
      <c r="P111" t="inlineStr">
        <is>
          <t>BS1A</t>
        </is>
      </c>
      <c r="Q111" t="n">
        <v>2</v>
      </c>
      <c r="W111" t="n">
        <v>2</v>
      </c>
      <c r="X111" t="n">
        <v>0</v>
      </c>
      <c r="AA111" t="inlineStr">
        <is>
          <t>PNP_6T_08-05-2020</t>
        </is>
      </c>
      <c r="AB111" t="inlineStr">
        <is>
          <t>PNCP_9T_12-08-2019</t>
        </is>
      </c>
      <c r="AC111" t="inlineStr">
        <is>
          <t>PNCP_4T_30-04-2013</t>
        </is>
      </c>
      <c r="AD111" t="inlineStr">
        <is>
          <t>PUERTO MONTT 220</t>
        </is>
      </c>
      <c r="AE111" t="n">
        <v>111.133</v>
      </c>
      <c r="AF111" t="n">
        <v>1.072776031070834</v>
      </c>
      <c r="AG111" t="n">
        <v>119.220818660995</v>
      </c>
      <c r="AH111" t="n">
        <v>694.38</v>
      </c>
      <c r="AI111" t="n">
        <v>0.875</v>
      </c>
      <c r="AJ111" t="n">
        <v>72.43648305409401</v>
      </c>
      <c r="AK111" t="n">
        <v>0.8826000000000001</v>
      </c>
      <c r="AL111" t="n">
        <v>63.932</v>
      </c>
      <c r="AM111" t="n">
        <v>8.9176</v>
      </c>
      <c r="AN111" t="n">
        <v>9.566587534677272</v>
      </c>
      <c r="AO111" t="n">
        <v>0.913</v>
      </c>
      <c r="AP111" t="n">
        <v>6064.919358776563</v>
      </c>
      <c r="AQ111" t="n">
        <v>1.016858412119831</v>
      </c>
      <c r="AR111" t="n">
        <v>6167.1643</v>
      </c>
      <c r="AT111" t="inlineStr">
        <is>
          <t>PNP_19T_30-12-2020</t>
        </is>
      </c>
      <c r="AU111" t="inlineStr">
        <is>
          <t>PNCP_12T_10-08-2020</t>
        </is>
      </c>
      <c r="AV111" t="inlineStr">
        <is>
          <t>PNCP_4T_30-04-2013</t>
        </is>
      </c>
      <c r="AW111" t="inlineStr">
        <is>
          <t>PUERTO MONTT 220</t>
        </is>
      </c>
      <c r="AX111" t="n">
        <v>111.133</v>
      </c>
      <c r="AY111" t="n">
        <v>1.083385174100913</v>
      </c>
      <c r="AZ111" t="n">
        <v>120.3998445533567</v>
      </c>
      <c r="BA111" t="n">
        <v>801.49</v>
      </c>
      <c r="BB111" t="n">
        <v>0.905</v>
      </c>
      <c r="BC111" t="n">
        <v>87.33184062701827</v>
      </c>
      <c r="BD111" t="n">
        <v>0.7824</v>
      </c>
      <c r="BE111" t="n">
        <v>68.328</v>
      </c>
      <c r="BF111" t="n">
        <v>8.9176</v>
      </c>
      <c r="BG111" t="n">
        <v>0.77</v>
      </c>
      <c r="BH111" t="n">
        <v>5962.380796939026</v>
      </c>
      <c r="BI111" t="n">
        <v>1.039640050119603</v>
      </c>
      <c r="BJ111" t="n">
        <v>6198.7299</v>
      </c>
    </row>
    <row r="112">
      <c r="A112" t="n">
        <v>2023</v>
      </c>
      <c r="B112" t="inlineStr">
        <is>
          <t>01-02-2021</t>
        </is>
      </c>
      <c r="C112" t="n">
        <v>2021</v>
      </c>
      <c r="D112" t="n">
        <v>1</v>
      </c>
      <c r="E112" t="inlineStr">
        <is>
          <t>CAREN</t>
        </is>
      </c>
      <c r="F112" t="inlineStr">
        <is>
          <t>SUM_SAESA_A</t>
        </is>
      </c>
      <c r="G112" t="inlineStr">
        <is>
          <t>A</t>
        </is>
      </c>
      <c r="H112" t="inlineStr">
        <is>
          <t>SAESA</t>
        </is>
      </c>
      <c r="I112" t="inlineStr">
        <is>
          <t>SAESCOLABLOQA</t>
        </is>
      </c>
      <c r="J112" t="inlineStr">
        <is>
          <t>COLACO</t>
        </is>
      </c>
      <c r="K112" t="n">
        <v>-2656.43192519</v>
      </c>
      <c r="L112" t="inlineStr">
        <is>
          <t>COLACO</t>
        </is>
      </c>
      <c r="M112" t="inlineStr">
        <is>
          <t>MELIPULLI</t>
        </is>
      </c>
      <c r="N112" t="n">
        <v>0.79699296539246</v>
      </c>
      <c r="O112" t="n">
        <v>2117.157557</v>
      </c>
      <c r="P112" t="inlineStr">
        <is>
          <t>BS1A</t>
        </is>
      </c>
      <c r="Q112" t="n">
        <v>2</v>
      </c>
      <c r="W112" t="n">
        <v>2</v>
      </c>
      <c r="X112" t="n">
        <v>0</v>
      </c>
      <c r="AA112" t="inlineStr">
        <is>
          <t>PNP_6T_08-05-2020</t>
        </is>
      </c>
      <c r="AB112" t="inlineStr">
        <is>
          <t>PNCP_9T_12-08-2019</t>
        </is>
      </c>
      <c r="AC112" t="inlineStr">
        <is>
          <t>PNCP_4T_30-04-2013</t>
        </is>
      </c>
      <c r="AD112" t="inlineStr">
        <is>
          <t>MELIPULLI 220</t>
        </is>
      </c>
      <c r="AE112" t="n">
        <v>111.133</v>
      </c>
      <c r="AF112" t="n">
        <v>1.072776031070834</v>
      </c>
      <c r="AG112" t="n">
        <v>119.220818660995</v>
      </c>
      <c r="AH112" t="n">
        <v>694.38</v>
      </c>
      <c r="AI112" t="n">
        <v>0.875</v>
      </c>
      <c r="AJ112" t="n">
        <v>72.43648305409401</v>
      </c>
      <c r="AK112" t="n">
        <v>0.8826000000000001</v>
      </c>
      <c r="AL112" t="n">
        <v>63.932</v>
      </c>
      <c r="AM112" t="n">
        <v>8.9176</v>
      </c>
      <c r="AN112" t="n">
        <v>9.566587534677272</v>
      </c>
      <c r="AO112" t="n">
        <v>0.913</v>
      </c>
      <c r="AP112" t="n">
        <v>6064.919358776563</v>
      </c>
      <c r="AQ112" t="n">
        <v>1</v>
      </c>
      <c r="AR112" t="n">
        <v>6064.9194</v>
      </c>
      <c r="AT112" t="inlineStr">
        <is>
          <t>PNP_19T_30-12-2020</t>
        </is>
      </c>
      <c r="AU112" t="inlineStr">
        <is>
          <t>PNCP_12T_10-08-2020</t>
        </is>
      </c>
      <c r="AV112" t="inlineStr">
        <is>
          <t>PNCP_4T_30-04-2013</t>
        </is>
      </c>
      <c r="AW112" t="inlineStr">
        <is>
          <t>MELIPULLI 220</t>
        </is>
      </c>
      <c r="AX112" t="n">
        <v>111.133</v>
      </c>
      <c r="AY112" t="n">
        <v>1.083385174100913</v>
      </c>
      <c r="AZ112" t="n">
        <v>120.3998445533567</v>
      </c>
      <c r="BA112" t="n">
        <v>801.49</v>
      </c>
      <c r="BB112" t="n">
        <v>0.905</v>
      </c>
      <c r="BC112" t="n">
        <v>87.33184062701827</v>
      </c>
      <c r="BD112" t="n">
        <v>0.7824</v>
      </c>
      <c r="BE112" t="n">
        <v>68.328</v>
      </c>
      <c r="BF112" t="n">
        <v>8.9176</v>
      </c>
      <c r="BG112" t="n">
        <v>0.77</v>
      </c>
      <c r="BH112" t="n">
        <v>5962.380796939026</v>
      </c>
      <c r="BI112" t="n">
        <v>1</v>
      </c>
      <c r="BJ112" t="n">
        <v>5962.3808</v>
      </c>
    </row>
    <row r="113">
      <c r="A113" t="n">
        <v>2025</v>
      </c>
      <c r="B113" t="inlineStr">
        <is>
          <t>01-02-2021</t>
        </is>
      </c>
      <c r="C113" t="n">
        <v>2021</v>
      </c>
      <c r="D113" t="n">
        <v>1</v>
      </c>
      <c r="E113" t="inlineStr">
        <is>
          <t>CAREN</t>
        </is>
      </c>
      <c r="F113" t="inlineStr">
        <is>
          <t>SUM_SAESA_A</t>
        </is>
      </c>
      <c r="G113" t="inlineStr">
        <is>
          <t>A</t>
        </is>
      </c>
      <c r="H113" t="inlineStr">
        <is>
          <t>SAESA</t>
        </is>
      </c>
      <c r="I113" t="inlineStr">
        <is>
          <t>SAESCOLABLOQA</t>
        </is>
      </c>
      <c r="J113" t="inlineStr">
        <is>
          <t>COLACO</t>
        </is>
      </c>
      <c r="K113" t="n">
        <v>-2656.43192519</v>
      </c>
      <c r="L113" t="inlineStr">
        <is>
          <t>COLACO</t>
        </is>
      </c>
      <c r="M113" t="inlineStr">
        <is>
          <t>Puerto Montt</t>
        </is>
      </c>
      <c r="N113" t="n">
        <v>0.94243617275741</v>
      </c>
      <c r="O113" t="n">
        <v>2503.517537</v>
      </c>
      <c r="P113" t="inlineStr">
        <is>
          <t>BS1A</t>
        </is>
      </c>
      <c r="Q113" t="n">
        <v>2</v>
      </c>
      <c r="W113" t="n">
        <v>2</v>
      </c>
      <c r="X113" t="n">
        <v>0</v>
      </c>
      <c r="AA113" t="inlineStr">
        <is>
          <t>PNP_6T_08-05-2020</t>
        </is>
      </c>
      <c r="AB113" t="inlineStr">
        <is>
          <t>PNCP_9T_12-08-2019</t>
        </is>
      </c>
      <c r="AC113" t="inlineStr">
        <is>
          <t>PNCP_4T_30-04-2013</t>
        </is>
      </c>
      <c r="AD113" t="inlineStr">
        <is>
          <t>PUERTO MONTT 220</t>
        </is>
      </c>
      <c r="AE113" t="n">
        <v>111.133</v>
      </c>
      <c r="AF113" t="n">
        <v>1.072776031070834</v>
      </c>
      <c r="AG113" t="n">
        <v>119.220818660995</v>
      </c>
      <c r="AH113" t="n">
        <v>694.38</v>
      </c>
      <c r="AI113" t="n">
        <v>0.875</v>
      </c>
      <c r="AJ113" t="n">
        <v>72.43648305409401</v>
      </c>
      <c r="AK113" t="n">
        <v>0.8826000000000001</v>
      </c>
      <c r="AL113" t="n">
        <v>63.932</v>
      </c>
      <c r="AM113" t="n">
        <v>8.9176</v>
      </c>
      <c r="AN113" t="n">
        <v>9.566587534677272</v>
      </c>
      <c r="AO113" t="n">
        <v>0.913</v>
      </c>
      <c r="AP113" t="n">
        <v>6064.919358776563</v>
      </c>
      <c r="AQ113" t="n">
        <v>1.016858412119831</v>
      </c>
      <c r="AR113" t="n">
        <v>6167.1643</v>
      </c>
      <c r="AT113" t="inlineStr">
        <is>
          <t>PNP_19T_30-12-2020</t>
        </is>
      </c>
      <c r="AU113" t="inlineStr">
        <is>
          <t>PNCP_12T_10-08-2020</t>
        </is>
      </c>
      <c r="AV113" t="inlineStr">
        <is>
          <t>PNCP_4T_30-04-2013</t>
        </is>
      </c>
      <c r="AW113" t="inlineStr">
        <is>
          <t>PUERTO MONTT 220</t>
        </is>
      </c>
      <c r="AX113" t="n">
        <v>111.133</v>
      </c>
      <c r="AY113" t="n">
        <v>1.083385174100913</v>
      </c>
      <c r="AZ113" t="n">
        <v>120.3998445533567</v>
      </c>
      <c r="BA113" t="n">
        <v>801.49</v>
      </c>
      <c r="BB113" t="n">
        <v>0.905</v>
      </c>
      <c r="BC113" t="n">
        <v>87.33184062701827</v>
      </c>
      <c r="BD113" t="n">
        <v>0.7824</v>
      </c>
      <c r="BE113" t="n">
        <v>68.328</v>
      </c>
      <c r="BF113" t="n">
        <v>8.9176</v>
      </c>
      <c r="BG113" t="n">
        <v>0.77</v>
      </c>
      <c r="BH113" t="n">
        <v>5962.380796939026</v>
      </c>
      <c r="BI113" t="n">
        <v>1.039640050119603</v>
      </c>
      <c r="BJ113" t="n">
        <v>6198.7299</v>
      </c>
    </row>
    <row r="114">
      <c r="A114" t="n">
        <v>2027</v>
      </c>
      <c r="B114" t="inlineStr">
        <is>
          <t>01-02-2021</t>
        </is>
      </c>
      <c r="C114" t="n">
        <v>2021</v>
      </c>
      <c r="D114" t="n">
        <v>1</v>
      </c>
      <c r="E114" t="inlineStr">
        <is>
          <t>CAREN</t>
        </is>
      </c>
      <c r="F114" t="inlineStr">
        <is>
          <t>SUM_SAESA_A</t>
        </is>
      </c>
      <c r="G114" t="inlineStr">
        <is>
          <t>A</t>
        </is>
      </c>
      <c r="H114" t="inlineStr">
        <is>
          <t>SAESA</t>
        </is>
      </c>
      <c r="I114" t="inlineStr">
        <is>
          <t>SAESCOLABLOQA</t>
        </is>
      </c>
      <c r="J114" t="inlineStr">
        <is>
          <t>COLACO</t>
        </is>
      </c>
      <c r="K114" t="n">
        <v>-2656.43192519</v>
      </c>
      <c r="L114" t="inlineStr">
        <is>
          <t>COLACO</t>
        </is>
      </c>
      <c r="M114" t="inlineStr">
        <is>
          <t>VALDIVIA</t>
        </is>
      </c>
      <c r="N114" t="n">
        <v>4.787859128e-05</v>
      </c>
      <c r="O114" t="n">
        <v>0.127186</v>
      </c>
      <c r="P114" t="inlineStr">
        <is>
          <t>BS1A</t>
        </is>
      </c>
      <c r="Q114" t="n">
        <v>2</v>
      </c>
      <c r="W114" t="n">
        <v>2</v>
      </c>
      <c r="X114" t="n">
        <v>0</v>
      </c>
      <c r="AA114" t="inlineStr">
        <is>
          <t>PNP_6T_08-05-2020</t>
        </is>
      </c>
      <c r="AB114" t="inlineStr">
        <is>
          <t>PNCP_9T_12-08-2019</t>
        </is>
      </c>
      <c r="AC114" t="inlineStr">
        <is>
          <t>PNCP_4T_30-04-2013</t>
        </is>
      </c>
      <c r="AD114" t="inlineStr">
        <is>
          <t>VALDIVIA 220</t>
        </is>
      </c>
      <c r="AE114" t="n">
        <v>111.133</v>
      </c>
      <c r="AF114" t="n">
        <v>1.072776031070834</v>
      </c>
      <c r="AG114" t="n">
        <v>119.220818660995</v>
      </c>
      <c r="AH114" t="n">
        <v>694.38</v>
      </c>
      <c r="AI114" t="n">
        <v>0.875</v>
      </c>
      <c r="AJ114" t="n">
        <v>72.43648305409401</v>
      </c>
      <c r="AK114" t="n">
        <v>0.913</v>
      </c>
      <c r="AL114" t="n">
        <v>66.13500000000001</v>
      </c>
      <c r="AM114" t="n">
        <v>8.9176</v>
      </c>
      <c r="AN114" t="n">
        <v>9.566587534677272</v>
      </c>
      <c r="AO114" t="n">
        <v>0.913</v>
      </c>
      <c r="AP114" t="n">
        <v>6064.919358776563</v>
      </c>
      <c r="AQ114" t="n">
        <v>1.051287819142954</v>
      </c>
      <c r="AR114" t="n">
        <v>6375.9758</v>
      </c>
      <c r="AT114" t="inlineStr">
        <is>
          <t>PNP_19T_30-12-2020</t>
        </is>
      </c>
      <c r="AU114" t="inlineStr">
        <is>
          <t>PNCP_12T_10-08-2020</t>
        </is>
      </c>
      <c r="AV114" t="inlineStr">
        <is>
          <t>PNCP_4T_30-04-2013</t>
        </is>
      </c>
      <c r="AW114" t="inlineStr">
        <is>
          <t>VALDIVIA 220</t>
        </is>
      </c>
      <c r="AX114" t="n">
        <v>111.133</v>
      </c>
      <c r="AY114" t="n">
        <v>1.083385174100913</v>
      </c>
      <c r="AZ114" t="n">
        <v>120.3998445533567</v>
      </c>
      <c r="BA114" t="n">
        <v>801.49</v>
      </c>
      <c r="BB114" t="n">
        <v>0.905</v>
      </c>
      <c r="BC114" t="n">
        <v>87.33184062701827</v>
      </c>
      <c r="BD114" t="n">
        <v>0.8745000000000001</v>
      </c>
      <c r="BE114" t="n">
        <v>76.372</v>
      </c>
      <c r="BF114" t="n">
        <v>8.9176</v>
      </c>
      <c r="BG114" t="n">
        <v>0.77</v>
      </c>
      <c r="BH114" t="n">
        <v>5962.380796939026</v>
      </c>
      <c r="BI114" t="n">
        <v>1.148014846473962</v>
      </c>
      <c r="BJ114" t="n">
        <v>6844.9017</v>
      </c>
    </row>
    <row r="115">
      <c r="A115" t="n">
        <v>2023</v>
      </c>
      <c r="B115" t="inlineStr">
        <is>
          <t>01-02-2021</t>
        </is>
      </c>
      <c r="C115" t="n">
        <v>2021</v>
      </c>
      <c r="D115" t="n">
        <v>1</v>
      </c>
      <c r="E115" t="inlineStr">
        <is>
          <t>CAREN</t>
        </is>
      </c>
      <c r="F115" t="inlineStr">
        <is>
          <t>SUM_SAESA_A</t>
        </is>
      </c>
      <c r="G115" t="inlineStr">
        <is>
          <t>A</t>
        </is>
      </c>
      <c r="H115" t="inlineStr">
        <is>
          <t>SAESA</t>
        </is>
      </c>
      <c r="I115" t="inlineStr">
        <is>
          <t>SAESCORRBLOQA</t>
        </is>
      </c>
      <c r="J115" t="inlineStr">
        <is>
          <t>CORRAL</t>
        </is>
      </c>
      <c r="K115" t="n">
        <v>-765.61079676</v>
      </c>
      <c r="L115" t="inlineStr">
        <is>
          <t>CORRAL</t>
        </is>
      </c>
      <c r="M115" t="inlineStr">
        <is>
          <t>BARRO BLANCO</t>
        </is>
      </c>
      <c r="N115" t="n">
        <v>0.04422460710479</v>
      </c>
      <c r="O115" t="n">
        <v>33.858837</v>
      </c>
      <c r="P115" t="inlineStr">
        <is>
          <t>BS1A</t>
        </is>
      </c>
      <c r="Q115" t="n">
        <v>2</v>
      </c>
      <c r="W115" t="n">
        <v>2</v>
      </c>
      <c r="X115" t="n">
        <v>0</v>
      </c>
      <c r="AA115" t="inlineStr">
        <is>
          <t>PNP_6T_08-05-2020</t>
        </is>
      </c>
      <c r="AB115" t="inlineStr">
        <is>
          <t>PNCP_9T_12-08-2019</t>
        </is>
      </c>
      <c r="AC115" t="inlineStr">
        <is>
          <t>PNCP_4T_30-04-2013</t>
        </is>
      </c>
      <c r="AD115" t="inlineStr">
        <is>
          <t>Barro Blanco 220</t>
        </is>
      </c>
      <c r="AE115" t="n">
        <v>111.133</v>
      </c>
      <c r="AF115" t="n">
        <v>1.072776031070834</v>
      </c>
      <c r="AG115" t="n">
        <v>119.220818660995</v>
      </c>
      <c r="AH115" t="n">
        <v>694.38</v>
      </c>
      <c r="AI115" t="n">
        <v>0.875</v>
      </c>
      <c r="AJ115" t="n">
        <v>72.43648305409401</v>
      </c>
      <c r="AK115" t="n">
        <v>0.8631</v>
      </c>
      <c r="AL115" t="n">
        <v>62.52</v>
      </c>
      <c r="AM115" t="n">
        <v>8.9176</v>
      </c>
      <c r="AN115" t="n">
        <v>9.566587534677272</v>
      </c>
      <c r="AO115" t="n">
        <v>0.913</v>
      </c>
      <c r="AP115" t="n">
        <v>6064.919358776563</v>
      </c>
      <c r="AQ115" t="n">
        <v>1.004432825642191</v>
      </c>
      <c r="AR115" t="n">
        <v>6091.8041</v>
      </c>
      <c r="AT115" t="inlineStr">
        <is>
          <t>PNP_19T_30-12-2020</t>
        </is>
      </c>
      <c r="AU115" t="inlineStr">
        <is>
          <t>PNCP_12T_10-08-2020</t>
        </is>
      </c>
      <c r="AV115" t="inlineStr">
        <is>
          <t>PNCP_4T_30-04-2013</t>
        </is>
      </c>
      <c r="AW115" t="inlineStr">
        <is>
          <t>Barro Blanco 220</t>
        </is>
      </c>
      <c r="AX115" t="n">
        <v>111.133</v>
      </c>
      <c r="AY115" t="n">
        <v>1.083385174100913</v>
      </c>
      <c r="AZ115" t="n">
        <v>120.3998445533567</v>
      </c>
      <c r="BA115" t="n">
        <v>801.49</v>
      </c>
      <c r="BB115" t="n">
        <v>0.905</v>
      </c>
      <c r="BC115" t="n">
        <v>87.33184062701827</v>
      </c>
      <c r="BD115" t="n">
        <v>0.7946</v>
      </c>
      <c r="BE115" t="n">
        <v>69.39400000000001</v>
      </c>
      <c r="BF115" t="n">
        <v>8.9176</v>
      </c>
      <c r="BG115" t="n">
        <v>0.77</v>
      </c>
      <c r="BH115" t="n">
        <v>5962.380796939026</v>
      </c>
      <c r="BI115" t="n">
        <v>1.047283473516708</v>
      </c>
      <c r="BJ115" t="n">
        <v>6244.3029</v>
      </c>
    </row>
    <row r="116">
      <c r="A116" t="n">
        <v>2025</v>
      </c>
      <c r="B116" t="inlineStr">
        <is>
          <t>01-02-2021</t>
        </is>
      </c>
      <c r="C116" t="n">
        <v>2021</v>
      </c>
      <c r="D116" t="n">
        <v>1</v>
      </c>
      <c r="E116" t="inlineStr">
        <is>
          <t>CAREN</t>
        </is>
      </c>
      <c r="F116" t="inlineStr">
        <is>
          <t>SUM_SAESA_A</t>
        </is>
      </c>
      <c r="G116" t="inlineStr">
        <is>
          <t>A</t>
        </is>
      </c>
      <c r="H116" t="inlineStr">
        <is>
          <t>SAESA</t>
        </is>
      </c>
      <c r="I116" t="inlineStr">
        <is>
          <t>SAESCORRBLOQA</t>
        </is>
      </c>
      <c r="J116" t="inlineStr">
        <is>
          <t>CORRAL</t>
        </is>
      </c>
      <c r="K116" t="n">
        <v>-765.61079676</v>
      </c>
      <c r="L116" t="inlineStr">
        <is>
          <t>CORRAL</t>
        </is>
      </c>
      <c r="M116" t="inlineStr">
        <is>
          <t>MELIPULLI</t>
        </is>
      </c>
      <c r="N116" t="n">
        <v>0.00149371242326</v>
      </c>
      <c r="O116" t="n">
        <v>1.143602</v>
      </c>
      <c r="P116" t="inlineStr">
        <is>
          <t>BS1A</t>
        </is>
      </c>
      <c r="Q116" t="n">
        <v>2</v>
      </c>
      <c r="W116" t="n">
        <v>2</v>
      </c>
      <c r="X116" t="n">
        <v>0</v>
      </c>
      <c r="AA116" t="inlineStr">
        <is>
          <t>PNP_6T_08-05-2020</t>
        </is>
      </c>
      <c r="AB116" t="inlineStr">
        <is>
          <t>PNCP_9T_12-08-2019</t>
        </is>
      </c>
      <c r="AC116" t="inlineStr">
        <is>
          <t>PNCP_4T_30-04-2013</t>
        </is>
      </c>
      <c r="AD116" t="inlineStr">
        <is>
          <t>MELIPULLI 220</t>
        </is>
      </c>
      <c r="AE116" t="n">
        <v>111.133</v>
      </c>
      <c r="AF116" t="n">
        <v>1.072776031070834</v>
      </c>
      <c r="AG116" t="n">
        <v>119.220818660995</v>
      </c>
      <c r="AH116" t="n">
        <v>694.38</v>
      </c>
      <c r="AI116" t="n">
        <v>0.875</v>
      </c>
      <c r="AJ116" t="n">
        <v>72.43648305409401</v>
      </c>
      <c r="AK116" t="n">
        <v>0.8826000000000001</v>
      </c>
      <c r="AL116" t="n">
        <v>63.932</v>
      </c>
      <c r="AM116" t="n">
        <v>8.9176</v>
      </c>
      <c r="AN116" t="n">
        <v>9.566587534677272</v>
      </c>
      <c r="AO116" t="n">
        <v>0.913</v>
      </c>
      <c r="AP116" t="n">
        <v>6064.919358776563</v>
      </c>
      <c r="AQ116" t="n">
        <v>1</v>
      </c>
      <c r="AR116" t="n">
        <v>6064.9194</v>
      </c>
      <c r="AT116" t="inlineStr">
        <is>
          <t>PNP_19T_30-12-2020</t>
        </is>
      </c>
      <c r="AU116" t="inlineStr">
        <is>
          <t>PNCP_12T_10-08-2020</t>
        </is>
      </c>
      <c r="AV116" t="inlineStr">
        <is>
          <t>PNCP_4T_30-04-2013</t>
        </is>
      </c>
      <c r="AW116" t="inlineStr">
        <is>
          <t>MELIPULLI 220</t>
        </is>
      </c>
      <c r="AX116" t="n">
        <v>111.133</v>
      </c>
      <c r="AY116" t="n">
        <v>1.083385174100913</v>
      </c>
      <c r="AZ116" t="n">
        <v>120.3998445533567</v>
      </c>
      <c r="BA116" t="n">
        <v>801.49</v>
      </c>
      <c r="BB116" t="n">
        <v>0.905</v>
      </c>
      <c r="BC116" t="n">
        <v>87.33184062701827</v>
      </c>
      <c r="BD116" t="n">
        <v>0.7824</v>
      </c>
      <c r="BE116" t="n">
        <v>68.328</v>
      </c>
      <c r="BF116" t="n">
        <v>8.9176</v>
      </c>
      <c r="BG116" t="n">
        <v>0.77</v>
      </c>
      <c r="BH116" t="n">
        <v>5962.380796939026</v>
      </c>
      <c r="BI116" t="n">
        <v>1</v>
      </c>
      <c r="BJ116" t="n">
        <v>5962.3808</v>
      </c>
    </row>
    <row r="117">
      <c r="A117" t="n">
        <v>2027</v>
      </c>
      <c r="B117" t="inlineStr">
        <is>
          <t>01-02-2021</t>
        </is>
      </c>
      <c r="C117" t="n">
        <v>2021</v>
      </c>
      <c r="D117" t="n">
        <v>1</v>
      </c>
      <c r="E117" t="inlineStr">
        <is>
          <t>CAREN</t>
        </is>
      </c>
      <c r="F117" t="inlineStr">
        <is>
          <t>SUM_SAESA_A</t>
        </is>
      </c>
      <c r="G117" t="inlineStr">
        <is>
          <t>A</t>
        </is>
      </c>
      <c r="H117" t="inlineStr">
        <is>
          <t>SAESA</t>
        </is>
      </c>
      <c r="I117" t="inlineStr">
        <is>
          <t>SAESCORRBLOQA</t>
        </is>
      </c>
      <c r="J117" t="inlineStr">
        <is>
          <t>CORRAL</t>
        </is>
      </c>
      <c r="K117" t="n">
        <v>-765.61079676</v>
      </c>
      <c r="L117" t="inlineStr">
        <is>
          <t>CORRAL</t>
        </is>
      </c>
      <c r="M117" t="inlineStr">
        <is>
          <t>VALDIVIA</t>
        </is>
      </c>
      <c r="N117" t="n">
        <v>0.81710771051722</v>
      </c>
      <c r="O117" t="n">
        <v>625.586485</v>
      </c>
      <c r="P117" t="inlineStr">
        <is>
          <t>BS1A</t>
        </is>
      </c>
      <c r="Q117" t="n">
        <v>2</v>
      </c>
      <c r="W117" t="n">
        <v>2</v>
      </c>
      <c r="X117" t="n">
        <v>0</v>
      </c>
      <c r="AA117" t="inlineStr">
        <is>
          <t>PNP_6T_08-05-2020</t>
        </is>
      </c>
      <c r="AB117" t="inlineStr">
        <is>
          <t>PNCP_9T_12-08-2019</t>
        </is>
      </c>
      <c r="AC117" t="inlineStr">
        <is>
          <t>PNCP_4T_30-04-2013</t>
        </is>
      </c>
      <c r="AD117" t="inlineStr">
        <is>
          <t>VALDIVIA 220</t>
        </is>
      </c>
      <c r="AE117" t="n">
        <v>111.133</v>
      </c>
      <c r="AF117" t="n">
        <v>1.072776031070834</v>
      </c>
      <c r="AG117" t="n">
        <v>119.220818660995</v>
      </c>
      <c r="AH117" t="n">
        <v>694.38</v>
      </c>
      <c r="AI117" t="n">
        <v>0.875</v>
      </c>
      <c r="AJ117" t="n">
        <v>72.43648305409401</v>
      </c>
      <c r="AK117" t="n">
        <v>0.913</v>
      </c>
      <c r="AL117" t="n">
        <v>66.13500000000001</v>
      </c>
      <c r="AM117" t="n">
        <v>8.9176</v>
      </c>
      <c r="AN117" t="n">
        <v>9.566587534677272</v>
      </c>
      <c r="AO117" t="n">
        <v>0.913</v>
      </c>
      <c r="AP117" t="n">
        <v>6064.919358776563</v>
      </c>
      <c r="AQ117" t="n">
        <v>1.051287819142954</v>
      </c>
      <c r="AR117" t="n">
        <v>6375.9758</v>
      </c>
      <c r="AT117" t="inlineStr">
        <is>
          <t>PNP_19T_30-12-2020</t>
        </is>
      </c>
      <c r="AU117" t="inlineStr">
        <is>
          <t>PNCP_12T_10-08-2020</t>
        </is>
      </c>
      <c r="AV117" t="inlineStr">
        <is>
          <t>PNCP_4T_30-04-2013</t>
        </is>
      </c>
      <c r="AW117" t="inlineStr">
        <is>
          <t>VALDIVIA 220</t>
        </is>
      </c>
      <c r="AX117" t="n">
        <v>111.133</v>
      </c>
      <c r="AY117" t="n">
        <v>1.083385174100913</v>
      </c>
      <c r="AZ117" t="n">
        <v>120.3998445533567</v>
      </c>
      <c r="BA117" t="n">
        <v>801.49</v>
      </c>
      <c r="BB117" t="n">
        <v>0.905</v>
      </c>
      <c r="BC117" t="n">
        <v>87.33184062701827</v>
      </c>
      <c r="BD117" t="n">
        <v>0.8745000000000001</v>
      </c>
      <c r="BE117" t="n">
        <v>76.372</v>
      </c>
      <c r="BF117" t="n">
        <v>8.9176</v>
      </c>
      <c r="BG117" t="n">
        <v>0.77</v>
      </c>
      <c r="BH117" t="n">
        <v>5962.380796939026</v>
      </c>
      <c r="BI117" t="n">
        <v>1.148014846473962</v>
      </c>
      <c r="BJ117" t="n">
        <v>6844.9017</v>
      </c>
    </row>
    <row r="118">
      <c r="A118" t="n">
        <v>675</v>
      </c>
      <c r="B118" t="inlineStr">
        <is>
          <t>01-02-2021</t>
        </is>
      </c>
      <c r="C118" t="n">
        <v>2021</v>
      </c>
      <c r="D118" t="n">
        <v>1</v>
      </c>
      <c r="E118" t="inlineStr">
        <is>
          <t>CAREN</t>
        </is>
      </c>
      <c r="F118" t="inlineStr">
        <is>
          <t>SUM_SAESA_A</t>
        </is>
      </c>
      <c r="G118" t="inlineStr">
        <is>
          <t>A</t>
        </is>
      </c>
      <c r="H118" t="inlineStr">
        <is>
          <t>SAESA</t>
        </is>
      </c>
      <c r="I118" t="inlineStr">
        <is>
          <t>SAESDALCBLOQA</t>
        </is>
      </c>
      <c r="J118" t="inlineStr">
        <is>
          <t>DALCAHUE</t>
        </is>
      </c>
      <c r="K118" t="n">
        <v>-3851.09240173</v>
      </c>
      <c r="L118" t="inlineStr">
        <is>
          <t>DALCAHUE</t>
        </is>
      </c>
      <c r="M118" t="inlineStr">
        <is>
          <t>CHILOE</t>
        </is>
      </c>
      <c r="N118" t="n">
        <v>0.80502839238442</v>
      </c>
      <c r="O118" t="n">
        <v>3100.238725</v>
      </c>
      <c r="P118" t="inlineStr">
        <is>
          <t>BS1A</t>
        </is>
      </c>
      <c r="Q118" t="n">
        <v>2</v>
      </c>
      <c r="W118" t="n">
        <v>2</v>
      </c>
      <c r="X118" t="n">
        <v>0</v>
      </c>
      <c r="AA118" t="inlineStr">
        <is>
          <t>PNP_6T_08-05-2020</t>
        </is>
      </c>
      <c r="AB118" t="inlineStr">
        <is>
          <t>PNCP_9T_12-08-2019</t>
        </is>
      </c>
      <c r="AC118" t="inlineStr">
        <is>
          <t>PNCP_4T_30-04-2013</t>
        </is>
      </c>
      <c r="AD118" t="inlineStr">
        <is>
          <t>CHILOE 220</t>
        </is>
      </c>
      <c r="AE118" t="n">
        <v>111.133</v>
      </c>
      <c r="AF118" t="n">
        <v>1.072776031070834</v>
      </c>
      <c r="AG118" t="n">
        <v>119.220818660995</v>
      </c>
      <c r="AH118" t="n">
        <v>694.38</v>
      </c>
      <c r="AI118" t="n">
        <v>0.875</v>
      </c>
      <c r="AJ118" t="n">
        <v>72.43648305409401</v>
      </c>
      <c r="AK118" t="n">
        <v>0.8903</v>
      </c>
      <c r="AL118" t="n">
        <v>64.48999999999999</v>
      </c>
      <c r="AM118" t="n">
        <v>8.9176</v>
      </c>
      <c r="AN118" t="n">
        <v>9.566587534677272</v>
      </c>
      <c r="AO118" t="n">
        <v>0.913</v>
      </c>
      <c r="AP118" t="n">
        <v>6064.919358776563</v>
      </c>
      <c r="AQ118" t="n">
        <v>1</v>
      </c>
      <c r="AR118" t="n">
        <v>6064.9194</v>
      </c>
      <c r="AT118" t="inlineStr">
        <is>
          <t>PNP_19T_30-12-2020</t>
        </is>
      </c>
      <c r="AU118" t="inlineStr">
        <is>
          <t>PNCP_12T_10-08-2020</t>
        </is>
      </c>
      <c r="AV118" t="inlineStr">
        <is>
          <t>PNCP_4T_30-04-2013</t>
        </is>
      </c>
      <c r="AW118" t="inlineStr">
        <is>
          <t>CHILOE 220</t>
        </is>
      </c>
      <c r="AX118" t="n">
        <v>111.133</v>
      </c>
      <c r="AY118" t="n">
        <v>1.083385174100913</v>
      </c>
      <c r="AZ118" t="n">
        <v>120.3998445533567</v>
      </c>
      <c r="BA118" t="n">
        <v>801.49</v>
      </c>
      <c r="BB118" t="n">
        <v>0.905</v>
      </c>
      <c r="BC118" t="n">
        <v>87.33184062701827</v>
      </c>
      <c r="BD118" t="n">
        <v>0.7923</v>
      </c>
      <c r="BE118" t="n">
        <v>69.193</v>
      </c>
      <c r="BF118" t="n">
        <v>8.9176</v>
      </c>
      <c r="BG118" t="n">
        <v>0.77</v>
      </c>
      <c r="BH118" t="n">
        <v>5962.380796939026</v>
      </c>
      <c r="BI118" t="n">
        <v>1</v>
      </c>
      <c r="BJ118" t="n">
        <v>5962.3808</v>
      </c>
    </row>
    <row r="119">
      <c r="A119" t="n">
        <v>1349</v>
      </c>
      <c r="B119" t="inlineStr">
        <is>
          <t>01-02-2021</t>
        </is>
      </c>
      <c r="C119" t="n">
        <v>2021</v>
      </c>
      <c r="D119" t="n">
        <v>1</v>
      </c>
      <c r="E119" t="inlineStr">
        <is>
          <t>CAREN</t>
        </is>
      </c>
      <c r="F119" t="inlineStr">
        <is>
          <t>SUM_SAESA_A</t>
        </is>
      </c>
      <c r="G119" t="inlineStr">
        <is>
          <t>A</t>
        </is>
      </c>
      <c r="H119" t="inlineStr">
        <is>
          <t>SAESA</t>
        </is>
      </c>
      <c r="I119" t="inlineStr">
        <is>
          <t>SAESDEGABLOQA</t>
        </is>
      </c>
      <c r="J119" t="inlineStr">
        <is>
          <t>DEGAÑ</t>
        </is>
      </c>
      <c r="K119" t="n">
        <v>-1230.9118491</v>
      </c>
      <c r="L119" t="inlineStr">
        <is>
          <t>DEGAÑ</t>
        </is>
      </c>
      <c r="M119" t="inlineStr">
        <is>
          <t>CHILOE</t>
        </is>
      </c>
      <c r="N119" t="n">
        <v>0.79707666555721</v>
      </c>
      <c r="O119" t="n">
        <v>981.131112</v>
      </c>
      <c r="P119" t="inlineStr">
        <is>
          <t>BS1A</t>
        </is>
      </c>
      <c r="Q119" t="n">
        <v>2</v>
      </c>
      <c r="W119" t="n">
        <v>2</v>
      </c>
      <c r="X119" t="n">
        <v>0</v>
      </c>
      <c r="AA119" t="inlineStr">
        <is>
          <t>PNP_6T_08-05-2020</t>
        </is>
      </c>
      <c r="AB119" t="inlineStr">
        <is>
          <t>PNCP_9T_12-08-2019</t>
        </is>
      </c>
      <c r="AC119" t="inlineStr">
        <is>
          <t>PNCP_4T_30-04-2013</t>
        </is>
      </c>
      <c r="AD119" t="inlineStr">
        <is>
          <t>CHILOE 220</t>
        </is>
      </c>
      <c r="AE119" t="n">
        <v>111.133</v>
      </c>
      <c r="AF119" t="n">
        <v>1.072776031070834</v>
      </c>
      <c r="AG119" t="n">
        <v>119.220818660995</v>
      </c>
      <c r="AH119" t="n">
        <v>694.38</v>
      </c>
      <c r="AI119" t="n">
        <v>0.875</v>
      </c>
      <c r="AJ119" t="n">
        <v>72.43648305409401</v>
      </c>
      <c r="AK119" t="n">
        <v>0.8903</v>
      </c>
      <c r="AL119" t="n">
        <v>64.48999999999999</v>
      </c>
      <c r="AM119" t="n">
        <v>8.9176</v>
      </c>
      <c r="AN119" t="n">
        <v>9.566587534677272</v>
      </c>
      <c r="AO119" t="n">
        <v>0.913</v>
      </c>
      <c r="AP119" t="n">
        <v>6064.919358776563</v>
      </c>
      <c r="AQ119" t="n">
        <v>1</v>
      </c>
      <c r="AR119" t="n">
        <v>6064.9194</v>
      </c>
      <c r="AT119" t="inlineStr">
        <is>
          <t>PNP_19T_30-12-2020</t>
        </is>
      </c>
      <c r="AU119" t="inlineStr">
        <is>
          <t>PNCP_12T_10-08-2020</t>
        </is>
      </c>
      <c r="AV119" t="inlineStr">
        <is>
          <t>PNCP_4T_30-04-2013</t>
        </is>
      </c>
      <c r="AW119" t="inlineStr">
        <is>
          <t>CHILOE 220</t>
        </is>
      </c>
      <c r="AX119" t="n">
        <v>111.133</v>
      </c>
      <c r="AY119" t="n">
        <v>1.083385174100913</v>
      </c>
      <c r="AZ119" t="n">
        <v>120.3998445533567</v>
      </c>
      <c r="BA119" t="n">
        <v>801.49</v>
      </c>
      <c r="BB119" t="n">
        <v>0.905</v>
      </c>
      <c r="BC119" t="n">
        <v>87.33184062701827</v>
      </c>
      <c r="BD119" t="n">
        <v>0.7923</v>
      </c>
      <c r="BE119" t="n">
        <v>69.193</v>
      </c>
      <c r="BF119" t="n">
        <v>8.9176</v>
      </c>
      <c r="BG119" t="n">
        <v>0.77</v>
      </c>
      <c r="BH119" t="n">
        <v>5962.380796939026</v>
      </c>
      <c r="BI119" t="n">
        <v>1</v>
      </c>
      <c r="BJ119" t="n">
        <v>5962.3808</v>
      </c>
    </row>
    <row r="120">
      <c r="A120" t="n">
        <v>1351</v>
      </c>
      <c r="B120" t="inlineStr">
        <is>
          <t>01-02-2021</t>
        </is>
      </c>
      <c r="C120" t="n">
        <v>2021</v>
      </c>
      <c r="D120" t="n">
        <v>1</v>
      </c>
      <c r="E120" t="inlineStr">
        <is>
          <t>CAREN</t>
        </is>
      </c>
      <c r="F120" t="inlineStr">
        <is>
          <t>SUM_SAESA_A</t>
        </is>
      </c>
      <c r="G120" t="inlineStr">
        <is>
          <t>A</t>
        </is>
      </c>
      <c r="H120" t="inlineStr">
        <is>
          <t>SAESA</t>
        </is>
      </c>
      <c r="I120" t="inlineStr">
        <is>
          <t>SAESDEGABLOQA</t>
        </is>
      </c>
      <c r="J120" t="inlineStr">
        <is>
          <t>DEGAÑ</t>
        </is>
      </c>
      <c r="K120" t="n">
        <v>-1230.9118491</v>
      </c>
      <c r="L120" t="inlineStr">
        <is>
          <t>DEGAÑ</t>
        </is>
      </c>
      <c r="M120" t="inlineStr">
        <is>
          <t>Puerto Montt</t>
        </is>
      </c>
      <c r="N120" t="n">
        <v>0.94243617275767</v>
      </c>
      <c r="O120" t="n">
        <v>1160.055852</v>
      </c>
      <c r="P120" t="inlineStr">
        <is>
          <t>BS1A</t>
        </is>
      </c>
      <c r="Q120" t="n">
        <v>2</v>
      </c>
      <c r="W120" t="n">
        <v>2</v>
      </c>
      <c r="X120" t="n">
        <v>0</v>
      </c>
      <c r="AA120" t="inlineStr">
        <is>
          <t>PNP_6T_08-05-2020</t>
        </is>
      </c>
      <c r="AB120" t="inlineStr">
        <is>
          <t>PNCP_9T_12-08-2019</t>
        </is>
      </c>
      <c r="AC120" t="inlineStr">
        <is>
          <t>PNCP_4T_30-04-2013</t>
        </is>
      </c>
      <c r="AD120" t="inlineStr">
        <is>
          <t>PUERTO MONTT 220</t>
        </is>
      </c>
      <c r="AE120" t="n">
        <v>111.133</v>
      </c>
      <c r="AF120" t="n">
        <v>1.072776031070834</v>
      </c>
      <c r="AG120" t="n">
        <v>119.220818660995</v>
      </c>
      <c r="AH120" t="n">
        <v>694.38</v>
      </c>
      <c r="AI120" t="n">
        <v>0.875</v>
      </c>
      <c r="AJ120" t="n">
        <v>72.43648305409401</v>
      </c>
      <c r="AK120" t="n">
        <v>0.8826000000000001</v>
      </c>
      <c r="AL120" t="n">
        <v>63.932</v>
      </c>
      <c r="AM120" t="n">
        <v>8.9176</v>
      </c>
      <c r="AN120" t="n">
        <v>9.566587534677272</v>
      </c>
      <c r="AO120" t="n">
        <v>0.913</v>
      </c>
      <c r="AP120" t="n">
        <v>6064.919358776563</v>
      </c>
      <c r="AQ120" t="n">
        <v>1.016858412119831</v>
      </c>
      <c r="AR120" t="n">
        <v>6167.1643</v>
      </c>
      <c r="AT120" t="inlineStr">
        <is>
          <t>PNP_19T_30-12-2020</t>
        </is>
      </c>
      <c r="AU120" t="inlineStr">
        <is>
          <t>PNCP_12T_10-08-2020</t>
        </is>
      </c>
      <c r="AV120" t="inlineStr">
        <is>
          <t>PNCP_4T_30-04-2013</t>
        </is>
      </c>
      <c r="AW120" t="inlineStr">
        <is>
          <t>PUERTO MONTT 220</t>
        </is>
      </c>
      <c r="AX120" t="n">
        <v>111.133</v>
      </c>
      <c r="AY120" t="n">
        <v>1.083385174100913</v>
      </c>
      <c r="AZ120" t="n">
        <v>120.3998445533567</v>
      </c>
      <c r="BA120" t="n">
        <v>801.49</v>
      </c>
      <c r="BB120" t="n">
        <v>0.905</v>
      </c>
      <c r="BC120" t="n">
        <v>87.33184062701827</v>
      </c>
      <c r="BD120" t="n">
        <v>0.7824</v>
      </c>
      <c r="BE120" t="n">
        <v>68.328</v>
      </c>
      <c r="BF120" t="n">
        <v>8.9176</v>
      </c>
      <c r="BG120" t="n">
        <v>0.77</v>
      </c>
      <c r="BH120" t="n">
        <v>5962.380796939026</v>
      </c>
      <c r="BI120" t="n">
        <v>1.039640050119603</v>
      </c>
      <c r="BJ120" t="n">
        <v>6198.7299</v>
      </c>
    </row>
    <row r="121">
      <c r="A121" t="n">
        <v>675</v>
      </c>
      <c r="B121" t="inlineStr">
        <is>
          <t>01-02-2021</t>
        </is>
      </c>
      <c r="C121" t="n">
        <v>2021</v>
      </c>
      <c r="D121" t="n">
        <v>1</v>
      </c>
      <c r="E121" t="inlineStr">
        <is>
          <t>CAREN</t>
        </is>
      </c>
      <c r="F121" t="inlineStr">
        <is>
          <t>SUM_SAESA_A</t>
        </is>
      </c>
      <c r="G121" t="inlineStr">
        <is>
          <t>A</t>
        </is>
      </c>
      <c r="H121" t="inlineStr">
        <is>
          <t>SAESA</t>
        </is>
      </c>
      <c r="I121" t="inlineStr">
        <is>
          <t>SAESELEMBLOQA</t>
        </is>
      </c>
      <c r="J121" t="inlineStr">
        <is>
          <t>EMPALME</t>
        </is>
      </c>
      <c r="K121" t="n">
        <v>-2103.23101792</v>
      </c>
      <c r="L121" t="inlineStr">
        <is>
          <t>PARGUA 23</t>
        </is>
      </c>
      <c r="M121" t="inlineStr">
        <is>
          <t>MELIPULLI</t>
        </is>
      </c>
      <c r="N121" t="n">
        <v>0.88336054288962</v>
      </c>
      <c r="O121" t="n">
        <v>1857.911294</v>
      </c>
      <c r="P121" t="inlineStr">
        <is>
          <t>BS1A</t>
        </is>
      </c>
      <c r="Q121" t="n">
        <v>2</v>
      </c>
      <c r="W121" t="n">
        <v>2</v>
      </c>
      <c r="X121" t="n">
        <v>0</v>
      </c>
      <c r="AA121" t="inlineStr">
        <is>
          <t>PNP_6T_08-05-2020</t>
        </is>
      </c>
      <c r="AB121" t="inlineStr">
        <is>
          <t>PNCP_9T_12-08-2019</t>
        </is>
      </c>
      <c r="AC121" t="inlineStr">
        <is>
          <t>PNCP_4T_30-04-2013</t>
        </is>
      </c>
      <c r="AD121" t="inlineStr">
        <is>
          <t>MELIPULLI 220</t>
        </is>
      </c>
      <c r="AE121" t="n">
        <v>111.133</v>
      </c>
      <c r="AF121" t="n">
        <v>1.072776031070834</v>
      </c>
      <c r="AG121" t="n">
        <v>119.220818660995</v>
      </c>
      <c r="AH121" t="n">
        <v>694.38</v>
      </c>
      <c r="AI121" t="n">
        <v>0.875</v>
      </c>
      <c r="AJ121" t="n">
        <v>72.43648305409401</v>
      </c>
      <c r="AK121" t="n">
        <v>0.8826000000000001</v>
      </c>
      <c r="AL121" t="n">
        <v>63.932</v>
      </c>
      <c r="AM121" t="n">
        <v>8.9176</v>
      </c>
      <c r="AN121" t="n">
        <v>9.566587534677272</v>
      </c>
      <c r="AO121" t="n">
        <v>0.913</v>
      </c>
      <c r="AP121" t="n">
        <v>6064.919358776563</v>
      </c>
      <c r="AQ121" t="n">
        <v>1</v>
      </c>
      <c r="AR121" t="n">
        <v>6064.9194</v>
      </c>
      <c r="AT121" t="inlineStr">
        <is>
          <t>PNP_19T_30-12-2020</t>
        </is>
      </c>
      <c r="AU121" t="inlineStr">
        <is>
          <t>PNCP_12T_10-08-2020</t>
        </is>
      </c>
      <c r="AV121" t="inlineStr">
        <is>
          <t>PNCP_4T_30-04-2013</t>
        </is>
      </c>
      <c r="AW121" t="inlineStr">
        <is>
          <t>MELIPULLI 220</t>
        </is>
      </c>
      <c r="AX121" t="n">
        <v>111.133</v>
      </c>
      <c r="AY121" t="n">
        <v>1.083385174100913</v>
      </c>
      <c r="AZ121" t="n">
        <v>120.3998445533567</v>
      </c>
      <c r="BA121" t="n">
        <v>801.49</v>
      </c>
      <c r="BB121" t="n">
        <v>0.905</v>
      </c>
      <c r="BC121" t="n">
        <v>87.33184062701827</v>
      </c>
      <c r="BD121" t="n">
        <v>0.7824</v>
      </c>
      <c r="BE121" t="n">
        <v>68.328</v>
      </c>
      <c r="BF121" t="n">
        <v>8.9176</v>
      </c>
      <c r="BG121" t="n">
        <v>0.77</v>
      </c>
      <c r="BH121" t="n">
        <v>5962.380796939026</v>
      </c>
      <c r="BI121" t="n">
        <v>1</v>
      </c>
      <c r="BJ121" t="n">
        <v>5962.3808</v>
      </c>
    </row>
    <row r="122">
      <c r="A122" t="n">
        <v>5417</v>
      </c>
      <c r="B122" t="inlineStr">
        <is>
          <t>01-02-2021</t>
        </is>
      </c>
      <c r="C122" t="n">
        <v>2021</v>
      </c>
      <c r="D122" t="n">
        <v>1</v>
      </c>
      <c r="E122" t="inlineStr">
        <is>
          <t>CAREN</t>
        </is>
      </c>
      <c r="F122" t="inlineStr">
        <is>
          <t>SUM_SAESA_A</t>
        </is>
      </c>
      <c r="G122" t="inlineStr">
        <is>
          <t>A</t>
        </is>
      </c>
      <c r="H122" t="inlineStr">
        <is>
          <t>SAESA</t>
        </is>
      </c>
      <c r="I122" t="inlineStr">
        <is>
          <t>SAESFRUTBLOQA</t>
        </is>
      </c>
      <c r="J122" t="inlineStr">
        <is>
          <t>FRUTILLAR</t>
        </is>
      </c>
      <c r="K122" t="n">
        <v>-4573.41496678</v>
      </c>
      <c r="L122" t="inlineStr">
        <is>
          <t>FRUTILLAR</t>
        </is>
      </c>
      <c r="M122" t="inlineStr">
        <is>
          <t>BARRO BLANCO</t>
        </is>
      </c>
      <c r="N122" t="n">
        <v>0.30829693616367</v>
      </c>
      <c r="O122" t="n">
        <v>1409.969822</v>
      </c>
      <c r="P122" t="inlineStr">
        <is>
          <t>BS1A</t>
        </is>
      </c>
      <c r="Q122" t="n">
        <v>2</v>
      </c>
      <c r="W122" t="n">
        <v>2</v>
      </c>
      <c r="X122" t="n">
        <v>0</v>
      </c>
      <c r="AA122" t="inlineStr">
        <is>
          <t>PNP_6T_08-05-2020</t>
        </is>
      </c>
      <c r="AB122" t="inlineStr">
        <is>
          <t>PNCP_9T_12-08-2019</t>
        </is>
      </c>
      <c r="AC122" t="inlineStr">
        <is>
          <t>PNCP_4T_30-04-2013</t>
        </is>
      </c>
      <c r="AD122" t="inlineStr">
        <is>
          <t>Barro Blanco 220</t>
        </is>
      </c>
      <c r="AE122" t="n">
        <v>111.133</v>
      </c>
      <c r="AF122" t="n">
        <v>1.072776031070834</v>
      </c>
      <c r="AG122" t="n">
        <v>119.220818660995</v>
      </c>
      <c r="AH122" t="n">
        <v>694.38</v>
      </c>
      <c r="AI122" t="n">
        <v>0.875</v>
      </c>
      <c r="AJ122" t="n">
        <v>72.43648305409401</v>
      </c>
      <c r="AK122" t="n">
        <v>0.8631</v>
      </c>
      <c r="AL122" t="n">
        <v>62.52</v>
      </c>
      <c r="AM122" t="n">
        <v>8.9176</v>
      </c>
      <c r="AN122" t="n">
        <v>9.566587534677272</v>
      </c>
      <c r="AO122" t="n">
        <v>0.913</v>
      </c>
      <c r="AP122" t="n">
        <v>6064.919358776563</v>
      </c>
      <c r="AQ122" t="n">
        <v>1.004432825642191</v>
      </c>
      <c r="AR122" t="n">
        <v>6091.8041</v>
      </c>
      <c r="AT122" t="inlineStr">
        <is>
          <t>PNP_19T_30-12-2020</t>
        </is>
      </c>
      <c r="AU122" t="inlineStr">
        <is>
          <t>PNCP_12T_10-08-2020</t>
        </is>
      </c>
      <c r="AV122" t="inlineStr">
        <is>
          <t>PNCP_4T_30-04-2013</t>
        </is>
      </c>
      <c r="AW122" t="inlineStr">
        <is>
          <t>Barro Blanco 220</t>
        </is>
      </c>
      <c r="AX122" t="n">
        <v>111.133</v>
      </c>
      <c r="AY122" t="n">
        <v>1.083385174100913</v>
      </c>
      <c r="AZ122" t="n">
        <v>120.3998445533567</v>
      </c>
      <c r="BA122" t="n">
        <v>801.49</v>
      </c>
      <c r="BB122" t="n">
        <v>0.905</v>
      </c>
      <c r="BC122" t="n">
        <v>87.33184062701827</v>
      </c>
      <c r="BD122" t="n">
        <v>0.7946</v>
      </c>
      <c r="BE122" t="n">
        <v>69.39400000000001</v>
      </c>
      <c r="BF122" t="n">
        <v>8.9176</v>
      </c>
      <c r="BG122" t="n">
        <v>0.77</v>
      </c>
      <c r="BH122" t="n">
        <v>5962.380796939026</v>
      </c>
      <c r="BI122" t="n">
        <v>1.047283473516708</v>
      </c>
      <c r="BJ122" t="n">
        <v>6244.3029</v>
      </c>
    </row>
    <row r="123">
      <c r="A123" t="n">
        <v>5419</v>
      </c>
      <c r="B123" t="inlineStr">
        <is>
          <t>01-02-2021</t>
        </is>
      </c>
      <c r="C123" t="n">
        <v>2021</v>
      </c>
      <c r="D123" t="n">
        <v>1</v>
      </c>
      <c r="E123" t="inlineStr">
        <is>
          <t>CAREN</t>
        </is>
      </c>
      <c r="F123" t="inlineStr">
        <is>
          <t>SUM_SAESA_A</t>
        </is>
      </c>
      <c r="G123" t="inlineStr">
        <is>
          <t>A</t>
        </is>
      </c>
      <c r="H123" t="inlineStr">
        <is>
          <t>SAESA</t>
        </is>
      </c>
      <c r="I123" t="inlineStr">
        <is>
          <t>SAESFRUTBLOQA</t>
        </is>
      </c>
      <c r="J123" t="inlineStr">
        <is>
          <t>FRUTILLAR</t>
        </is>
      </c>
      <c r="K123" t="n">
        <v>-4573.41496678</v>
      </c>
      <c r="L123" t="inlineStr">
        <is>
          <t>FRUTILLAR</t>
        </is>
      </c>
      <c r="M123" t="inlineStr">
        <is>
          <t>MELIPULLI</t>
        </is>
      </c>
      <c r="N123" t="n">
        <v>0.58883123332719</v>
      </c>
      <c r="O123" t="n">
        <v>2692.969575</v>
      </c>
      <c r="P123" t="inlineStr">
        <is>
          <t>BS1A</t>
        </is>
      </c>
      <c r="Q123" t="n">
        <v>2</v>
      </c>
      <c r="W123" t="n">
        <v>2</v>
      </c>
      <c r="X123" t="n">
        <v>0</v>
      </c>
      <c r="AA123" t="inlineStr">
        <is>
          <t>PNP_6T_08-05-2020</t>
        </is>
      </c>
      <c r="AB123" t="inlineStr">
        <is>
          <t>PNCP_9T_12-08-2019</t>
        </is>
      </c>
      <c r="AC123" t="inlineStr">
        <is>
          <t>PNCP_4T_30-04-2013</t>
        </is>
      </c>
      <c r="AD123" t="inlineStr">
        <is>
          <t>MELIPULLI 220</t>
        </is>
      </c>
      <c r="AE123" t="n">
        <v>111.133</v>
      </c>
      <c r="AF123" t="n">
        <v>1.072776031070834</v>
      </c>
      <c r="AG123" t="n">
        <v>119.220818660995</v>
      </c>
      <c r="AH123" t="n">
        <v>694.38</v>
      </c>
      <c r="AI123" t="n">
        <v>0.875</v>
      </c>
      <c r="AJ123" t="n">
        <v>72.43648305409401</v>
      </c>
      <c r="AK123" t="n">
        <v>0.8826000000000001</v>
      </c>
      <c r="AL123" t="n">
        <v>63.932</v>
      </c>
      <c r="AM123" t="n">
        <v>8.9176</v>
      </c>
      <c r="AN123" t="n">
        <v>9.566587534677272</v>
      </c>
      <c r="AO123" t="n">
        <v>0.913</v>
      </c>
      <c r="AP123" t="n">
        <v>6064.919358776563</v>
      </c>
      <c r="AQ123" t="n">
        <v>1</v>
      </c>
      <c r="AR123" t="n">
        <v>6064.9194</v>
      </c>
      <c r="AT123" t="inlineStr">
        <is>
          <t>PNP_19T_30-12-2020</t>
        </is>
      </c>
      <c r="AU123" t="inlineStr">
        <is>
          <t>PNCP_12T_10-08-2020</t>
        </is>
      </c>
      <c r="AV123" t="inlineStr">
        <is>
          <t>PNCP_4T_30-04-2013</t>
        </is>
      </c>
      <c r="AW123" t="inlineStr">
        <is>
          <t>MELIPULLI 220</t>
        </is>
      </c>
      <c r="AX123" t="n">
        <v>111.133</v>
      </c>
      <c r="AY123" t="n">
        <v>1.083385174100913</v>
      </c>
      <c r="AZ123" t="n">
        <v>120.3998445533567</v>
      </c>
      <c r="BA123" t="n">
        <v>801.49</v>
      </c>
      <c r="BB123" t="n">
        <v>0.905</v>
      </c>
      <c r="BC123" t="n">
        <v>87.33184062701827</v>
      </c>
      <c r="BD123" t="n">
        <v>0.7824</v>
      </c>
      <c r="BE123" t="n">
        <v>68.328</v>
      </c>
      <c r="BF123" t="n">
        <v>8.9176</v>
      </c>
      <c r="BG123" t="n">
        <v>0.77</v>
      </c>
      <c r="BH123" t="n">
        <v>5962.380796939026</v>
      </c>
      <c r="BI123" t="n">
        <v>1</v>
      </c>
      <c r="BJ123" t="n">
        <v>5962.3808</v>
      </c>
    </row>
    <row r="124">
      <c r="A124" t="n">
        <v>5421</v>
      </c>
      <c r="B124" t="inlineStr">
        <is>
          <t>01-02-2021</t>
        </is>
      </c>
      <c r="C124" t="n">
        <v>2021</v>
      </c>
      <c r="D124" t="n">
        <v>1</v>
      </c>
      <c r="E124" t="inlineStr">
        <is>
          <t>CAREN</t>
        </is>
      </c>
      <c r="F124" t="inlineStr">
        <is>
          <t>SUM_SAESA_A</t>
        </is>
      </c>
      <c r="G124" t="inlineStr">
        <is>
          <t>A</t>
        </is>
      </c>
      <c r="H124" t="inlineStr">
        <is>
          <t>SAESA</t>
        </is>
      </c>
      <c r="I124" t="inlineStr">
        <is>
          <t>SAESFRUTBLOQA</t>
        </is>
      </c>
      <c r="J124" t="inlineStr">
        <is>
          <t>FRUTILLAR</t>
        </is>
      </c>
      <c r="K124" t="n">
        <v>-4573.41496678</v>
      </c>
      <c r="L124" t="inlineStr">
        <is>
          <t>FRUTILLAR</t>
        </is>
      </c>
      <c r="M124" t="inlineStr">
        <is>
          <t>Puerto Montt</t>
        </is>
      </c>
      <c r="N124" t="n">
        <v>0.66678954217717</v>
      </c>
      <c r="O124" t="n">
        <v>3049.505272</v>
      </c>
      <c r="P124" t="inlineStr">
        <is>
          <t>BS1A</t>
        </is>
      </c>
      <c r="Q124" t="n">
        <v>2</v>
      </c>
      <c r="W124" t="n">
        <v>2</v>
      </c>
      <c r="X124" t="n">
        <v>0</v>
      </c>
      <c r="AA124" t="inlineStr">
        <is>
          <t>PNP_6T_08-05-2020</t>
        </is>
      </c>
      <c r="AB124" t="inlineStr">
        <is>
          <t>PNCP_9T_12-08-2019</t>
        </is>
      </c>
      <c r="AC124" t="inlineStr">
        <is>
          <t>PNCP_4T_30-04-2013</t>
        </is>
      </c>
      <c r="AD124" t="inlineStr">
        <is>
          <t>PUERTO MONTT 220</t>
        </is>
      </c>
      <c r="AE124" t="n">
        <v>111.133</v>
      </c>
      <c r="AF124" t="n">
        <v>1.072776031070834</v>
      </c>
      <c r="AG124" t="n">
        <v>119.220818660995</v>
      </c>
      <c r="AH124" t="n">
        <v>694.38</v>
      </c>
      <c r="AI124" t="n">
        <v>0.875</v>
      </c>
      <c r="AJ124" t="n">
        <v>72.43648305409401</v>
      </c>
      <c r="AK124" t="n">
        <v>0.8826000000000001</v>
      </c>
      <c r="AL124" t="n">
        <v>63.932</v>
      </c>
      <c r="AM124" t="n">
        <v>8.9176</v>
      </c>
      <c r="AN124" t="n">
        <v>9.566587534677272</v>
      </c>
      <c r="AO124" t="n">
        <v>0.913</v>
      </c>
      <c r="AP124" t="n">
        <v>6064.919358776563</v>
      </c>
      <c r="AQ124" t="n">
        <v>1.016858412119831</v>
      </c>
      <c r="AR124" t="n">
        <v>6167.1643</v>
      </c>
      <c r="AT124" t="inlineStr">
        <is>
          <t>PNP_19T_30-12-2020</t>
        </is>
      </c>
      <c r="AU124" t="inlineStr">
        <is>
          <t>PNCP_12T_10-08-2020</t>
        </is>
      </c>
      <c r="AV124" t="inlineStr">
        <is>
          <t>PNCP_4T_30-04-2013</t>
        </is>
      </c>
      <c r="AW124" t="inlineStr">
        <is>
          <t>PUERTO MONTT 220</t>
        </is>
      </c>
      <c r="AX124" t="n">
        <v>111.133</v>
      </c>
      <c r="AY124" t="n">
        <v>1.083385174100913</v>
      </c>
      <c r="AZ124" t="n">
        <v>120.3998445533567</v>
      </c>
      <c r="BA124" t="n">
        <v>801.49</v>
      </c>
      <c r="BB124" t="n">
        <v>0.905</v>
      </c>
      <c r="BC124" t="n">
        <v>87.33184062701827</v>
      </c>
      <c r="BD124" t="n">
        <v>0.7824</v>
      </c>
      <c r="BE124" t="n">
        <v>68.328</v>
      </c>
      <c r="BF124" t="n">
        <v>8.9176</v>
      </c>
      <c r="BG124" t="n">
        <v>0.77</v>
      </c>
      <c r="BH124" t="n">
        <v>5962.380796939026</v>
      </c>
      <c r="BI124" t="n">
        <v>1.039640050119603</v>
      </c>
      <c r="BJ124" t="n">
        <v>6198.7299</v>
      </c>
    </row>
    <row r="125">
      <c r="A125" t="n">
        <v>5423</v>
      </c>
      <c r="B125" t="inlineStr">
        <is>
          <t>01-02-2021</t>
        </is>
      </c>
      <c r="C125" t="n">
        <v>2021</v>
      </c>
      <c r="D125" t="n">
        <v>1</v>
      </c>
      <c r="E125" t="inlineStr">
        <is>
          <t>CAREN</t>
        </is>
      </c>
      <c r="F125" t="inlineStr">
        <is>
          <t>SUM_SAESA_A</t>
        </is>
      </c>
      <c r="G125" t="inlineStr">
        <is>
          <t>A</t>
        </is>
      </c>
      <c r="H125" t="inlineStr">
        <is>
          <t>SAESA</t>
        </is>
      </c>
      <c r="I125" t="inlineStr">
        <is>
          <t>SAESFRUTBLOQA</t>
        </is>
      </c>
      <c r="J125" t="inlineStr">
        <is>
          <t>FRUTILLAR</t>
        </is>
      </c>
      <c r="K125" t="n">
        <v>-4573.41496678</v>
      </c>
      <c r="L125" t="inlineStr">
        <is>
          <t>FRUTILLAR</t>
        </is>
      </c>
      <c r="M125" t="inlineStr">
        <is>
          <t>VALDIVIA</t>
        </is>
      </c>
      <c r="N125" t="n">
        <v>0.00223534123905</v>
      </c>
      <c r="O125" t="n">
        <v>10.223143</v>
      </c>
      <c r="P125" t="inlineStr">
        <is>
          <t>BS1A</t>
        </is>
      </c>
      <c r="Q125" t="n">
        <v>2</v>
      </c>
      <c r="W125" t="n">
        <v>2</v>
      </c>
      <c r="X125" t="n">
        <v>0</v>
      </c>
      <c r="AA125" t="inlineStr">
        <is>
          <t>PNP_6T_08-05-2020</t>
        </is>
      </c>
      <c r="AB125" t="inlineStr">
        <is>
          <t>PNCP_9T_12-08-2019</t>
        </is>
      </c>
      <c r="AC125" t="inlineStr">
        <is>
          <t>PNCP_4T_30-04-2013</t>
        </is>
      </c>
      <c r="AD125" t="inlineStr">
        <is>
          <t>VALDIVIA 220</t>
        </is>
      </c>
      <c r="AE125" t="n">
        <v>111.133</v>
      </c>
      <c r="AF125" t="n">
        <v>1.072776031070834</v>
      </c>
      <c r="AG125" t="n">
        <v>119.220818660995</v>
      </c>
      <c r="AH125" t="n">
        <v>694.38</v>
      </c>
      <c r="AI125" t="n">
        <v>0.875</v>
      </c>
      <c r="AJ125" t="n">
        <v>72.43648305409401</v>
      </c>
      <c r="AK125" t="n">
        <v>0.913</v>
      </c>
      <c r="AL125" t="n">
        <v>66.13500000000001</v>
      </c>
      <c r="AM125" t="n">
        <v>8.9176</v>
      </c>
      <c r="AN125" t="n">
        <v>9.566587534677272</v>
      </c>
      <c r="AO125" t="n">
        <v>0.913</v>
      </c>
      <c r="AP125" t="n">
        <v>6064.919358776563</v>
      </c>
      <c r="AQ125" t="n">
        <v>1.051287819142954</v>
      </c>
      <c r="AR125" t="n">
        <v>6375.9758</v>
      </c>
      <c r="AT125" t="inlineStr">
        <is>
          <t>PNP_19T_30-12-2020</t>
        </is>
      </c>
      <c r="AU125" t="inlineStr">
        <is>
          <t>PNCP_12T_10-08-2020</t>
        </is>
      </c>
      <c r="AV125" t="inlineStr">
        <is>
          <t>PNCP_4T_30-04-2013</t>
        </is>
      </c>
      <c r="AW125" t="inlineStr">
        <is>
          <t>VALDIVIA 220</t>
        </is>
      </c>
      <c r="AX125" t="n">
        <v>111.133</v>
      </c>
      <c r="AY125" t="n">
        <v>1.083385174100913</v>
      </c>
      <c r="AZ125" t="n">
        <v>120.3998445533567</v>
      </c>
      <c r="BA125" t="n">
        <v>801.49</v>
      </c>
      <c r="BB125" t="n">
        <v>0.905</v>
      </c>
      <c r="BC125" t="n">
        <v>87.33184062701827</v>
      </c>
      <c r="BD125" t="n">
        <v>0.8745000000000001</v>
      </c>
      <c r="BE125" t="n">
        <v>76.372</v>
      </c>
      <c r="BF125" t="n">
        <v>8.9176</v>
      </c>
      <c r="BG125" t="n">
        <v>0.77</v>
      </c>
      <c r="BH125" t="n">
        <v>5962.380796939026</v>
      </c>
      <c r="BI125" t="n">
        <v>1.148014846473962</v>
      </c>
      <c r="BJ125" t="n">
        <v>6844.9017</v>
      </c>
    </row>
    <row r="126">
      <c r="A126" t="n">
        <v>3973</v>
      </c>
      <c r="B126" t="inlineStr">
        <is>
          <t>01-02-2021</t>
        </is>
      </c>
      <c r="C126" t="n">
        <v>2021</v>
      </c>
      <c r="D126" t="n">
        <v>1</v>
      </c>
      <c r="E126" t="inlineStr">
        <is>
          <t>CAREN</t>
        </is>
      </c>
      <c r="F126" t="inlineStr">
        <is>
          <t>SUM_SAESA_A</t>
        </is>
      </c>
      <c r="G126" t="inlineStr">
        <is>
          <t>A</t>
        </is>
      </c>
      <c r="H126" t="inlineStr">
        <is>
          <t>SAESA</t>
        </is>
      </c>
      <c r="I126" t="inlineStr">
        <is>
          <t>SAESLOSLBLOQA</t>
        </is>
      </c>
      <c r="J126" t="inlineStr">
        <is>
          <t>L.LAGOS</t>
        </is>
      </c>
      <c r="K126" t="n">
        <v>-2070.1816535</v>
      </c>
      <c r="L126" t="inlineStr">
        <is>
          <t>LOS LAGOS</t>
        </is>
      </c>
      <c r="M126" t="inlineStr">
        <is>
          <t>Barro Blanco</t>
        </is>
      </c>
      <c r="N126" t="n">
        <v>0.18733247460026</v>
      </c>
      <c r="O126" t="n">
        <v>387.812252</v>
      </c>
      <c r="P126" t="inlineStr">
        <is>
          <t>BS1A</t>
        </is>
      </c>
      <c r="Q126" t="n">
        <v>2</v>
      </c>
      <c r="W126" t="n">
        <v>2</v>
      </c>
      <c r="X126" t="n">
        <v>0</v>
      </c>
      <c r="AA126" t="inlineStr">
        <is>
          <t>PNP_6T_08-05-2020</t>
        </is>
      </c>
      <c r="AB126" t="inlineStr">
        <is>
          <t>PNCP_9T_12-08-2019</t>
        </is>
      </c>
      <c r="AC126" t="inlineStr">
        <is>
          <t>PNCP_4T_30-04-2013</t>
        </is>
      </c>
      <c r="AD126" t="inlineStr">
        <is>
          <t>Barro Blanco 220</t>
        </is>
      </c>
      <c r="AE126" t="n">
        <v>111.133</v>
      </c>
      <c r="AF126" t="n">
        <v>1.072776031070834</v>
      </c>
      <c r="AG126" t="n">
        <v>119.220818660995</v>
      </c>
      <c r="AH126" t="n">
        <v>694.38</v>
      </c>
      <c r="AI126" t="n">
        <v>0.875</v>
      </c>
      <c r="AJ126" t="n">
        <v>72.43648305409401</v>
      </c>
      <c r="AK126" t="n">
        <v>0.8631</v>
      </c>
      <c r="AL126" t="n">
        <v>62.52</v>
      </c>
      <c r="AM126" t="n">
        <v>8.9176</v>
      </c>
      <c r="AN126" t="n">
        <v>9.566587534677272</v>
      </c>
      <c r="AO126" t="n">
        <v>0.913</v>
      </c>
      <c r="AP126" t="n">
        <v>6064.919358776563</v>
      </c>
      <c r="AQ126" t="n">
        <v>1.004432825642191</v>
      </c>
      <c r="AR126" t="n">
        <v>6091.8041</v>
      </c>
      <c r="AT126" t="inlineStr">
        <is>
          <t>PNP_19T_30-12-2020</t>
        </is>
      </c>
      <c r="AU126" t="inlineStr">
        <is>
          <t>PNCP_12T_10-08-2020</t>
        </is>
      </c>
      <c r="AV126" t="inlineStr">
        <is>
          <t>PNCP_4T_30-04-2013</t>
        </is>
      </c>
      <c r="AW126" t="inlineStr">
        <is>
          <t>Barro Blanco 220</t>
        </is>
      </c>
      <c r="AX126" t="n">
        <v>111.133</v>
      </c>
      <c r="AY126" t="n">
        <v>1.083385174100913</v>
      </c>
      <c r="AZ126" t="n">
        <v>120.3998445533567</v>
      </c>
      <c r="BA126" t="n">
        <v>801.49</v>
      </c>
      <c r="BB126" t="n">
        <v>0.905</v>
      </c>
      <c r="BC126" t="n">
        <v>87.33184062701827</v>
      </c>
      <c r="BD126" t="n">
        <v>0.7946</v>
      </c>
      <c r="BE126" t="n">
        <v>69.39400000000001</v>
      </c>
      <c r="BF126" t="n">
        <v>8.9176</v>
      </c>
      <c r="BG126" t="n">
        <v>0.77</v>
      </c>
      <c r="BH126" t="n">
        <v>5962.380796939026</v>
      </c>
      <c r="BI126" t="n">
        <v>1.047283473516708</v>
      </c>
      <c r="BJ126" t="n">
        <v>6244.3029</v>
      </c>
    </row>
    <row r="127">
      <c r="A127" t="n">
        <v>3975</v>
      </c>
      <c r="B127" t="inlineStr">
        <is>
          <t>01-02-2021</t>
        </is>
      </c>
      <c r="C127" t="n">
        <v>2021</v>
      </c>
      <c r="D127" t="n">
        <v>1</v>
      </c>
      <c r="E127" t="inlineStr">
        <is>
          <t>CAREN</t>
        </is>
      </c>
      <c r="F127" t="inlineStr">
        <is>
          <t>SUM_SAESA_A</t>
        </is>
      </c>
      <c r="G127" t="inlineStr">
        <is>
          <t>A</t>
        </is>
      </c>
      <c r="H127" t="inlineStr">
        <is>
          <t>SAESA</t>
        </is>
      </c>
      <c r="I127" t="inlineStr">
        <is>
          <t>SAESLOSLBLOQA</t>
        </is>
      </c>
      <c r="J127" t="inlineStr">
        <is>
          <t>L.LAGOS</t>
        </is>
      </c>
      <c r="K127" t="n">
        <v>-2070.1816535</v>
      </c>
      <c r="L127" t="inlineStr">
        <is>
          <t>LOS LAGOS</t>
        </is>
      </c>
      <c r="M127" t="inlineStr">
        <is>
          <t>MELIPULLI</t>
        </is>
      </c>
      <c r="N127" t="n">
        <v>0.0106384804266</v>
      </c>
      <c r="O127" t="n">
        <v>22.023587</v>
      </c>
      <c r="P127" t="inlineStr">
        <is>
          <t>BS1A</t>
        </is>
      </c>
      <c r="Q127" t="n">
        <v>2</v>
      </c>
      <c r="W127" t="n">
        <v>2</v>
      </c>
      <c r="X127" t="n">
        <v>0</v>
      </c>
      <c r="AA127" t="inlineStr">
        <is>
          <t>PNP_6T_08-05-2020</t>
        </is>
      </c>
      <c r="AB127" t="inlineStr">
        <is>
          <t>PNCP_9T_12-08-2019</t>
        </is>
      </c>
      <c r="AC127" t="inlineStr">
        <is>
          <t>PNCP_4T_30-04-2013</t>
        </is>
      </c>
      <c r="AD127" t="inlineStr">
        <is>
          <t>MELIPULLI 220</t>
        </is>
      </c>
      <c r="AE127" t="n">
        <v>111.133</v>
      </c>
      <c r="AF127" t="n">
        <v>1.072776031070834</v>
      </c>
      <c r="AG127" t="n">
        <v>119.220818660995</v>
      </c>
      <c r="AH127" t="n">
        <v>694.38</v>
      </c>
      <c r="AI127" t="n">
        <v>0.875</v>
      </c>
      <c r="AJ127" t="n">
        <v>72.43648305409401</v>
      </c>
      <c r="AK127" t="n">
        <v>0.8826000000000001</v>
      </c>
      <c r="AL127" t="n">
        <v>63.932</v>
      </c>
      <c r="AM127" t="n">
        <v>8.9176</v>
      </c>
      <c r="AN127" t="n">
        <v>9.566587534677272</v>
      </c>
      <c r="AO127" t="n">
        <v>0.913</v>
      </c>
      <c r="AP127" t="n">
        <v>6064.919358776563</v>
      </c>
      <c r="AQ127" t="n">
        <v>1</v>
      </c>
      <c r="AR127" t="n">
        <v>6064.9194</v>
      </c>
      <c r="AT127" t="inlineStr">
        <is>
          <t>PNP_19T_30-12-2020</t>
        </is>
      </c>
      <c r="AU127" t="inlineStr">
        <is>
          <t>PNCP_12T_10-08-2020</t>
        </is>
      </c>
      <c r="AV127" t="inlineStr">
        <is>
          <t>PNCP_4T_30-04-2013</t>
        </is>
      </c>
      <c r="AW127" t="inlineStr">
        <is>
          <t>MELIPULLI 220</t>
        </is>
      </c>
      <c r="AX127" t="n">
        <v>111.133</v>
      </c>
      <c r="AY127" t="n">
        <v>1.083385174100913</v>
      </c>
      <c r="AZ127" t="n">
        <v>120.3998445533567</v>
      </c>
      <c r="BA127" t="n">
        <v>801.49</v>
      </c>
      <c r="BB127" t="n">
        <v>0.905</v>
      </c>
      <c r="BC127" t="n">
        <v>87.33184062701827</v>
      </c>
      <c r="BD127" t="n">
        <v>0.7824</v>
      </c>
      <c r="BE127" t="n">
        <v>68.328</v>
      </c>
      <c r="BF127" t="n">
        <v>8.9176</v>
      </c>
      <c r="BG127" t="n">
        <v>0.77</v>
      </c>
      <c r="BH127" t="n">
        <v>5962.380796939026</v>
      </c>
      <c r="BI127" t="n">
        <v>1</v>
      </c>
      <c r="BJ127" t="n">
        <v>5962.3808</v>
      </c>
    </row>
    <row r="128">
      <c r="A128" t="n">
        <v>3977</v>
      </c>
      <c r="B128" t="inlineStr">
        <is>
          <t>01-02-2021</t>
        </is>
      </c>
      <c r="C128" t="n">
        <v>2021</v>
      </c>
      <c r="D128" t="n">
        <v>1</v>
      </c>
      <c r="E128" t="inlineStr">
        <is>
          <t>CAREN</t>
        </is>
      </c>
      <c r="F128" t="inlineStr">
        <is>
          <t>SUM_SAESA_A</t>
        </is>
      </c>
      <c r="G128" t="inlineStr">
        <is>
          <t>A</t>
        </is>
      </c>
      <c r="H128" t="inlineStr">
        <is>
          <t>SAESA</t>
        </is>
      </c>
      <c r="I128" t="inlineStr">
        <is>
          <t>SAESLOSLBLOQA</t>
        </is>
      </c>
      <c r="J128" t="inlineStr">
        <is>
          <t>L.LAGOS</t>
        </is>
      </c>
      <c r="K128" t="n">
        <v>-2070.1816535</v>
      </c>
      <c r="L128" t="inlineStr">
        <is>
          <t>LOS LAGOS</t>
        </is>
      </c>
      <c r="M128" t="inlineStr">
        <is>
          <t>VALDIVIA</t>
        </is>
      </c>
      <c r="N128" t="n">
        <v>0.74179711805072</v>
      </c>
      <c r="O128" t="n">
        <v>1535.654784</v>
      </c>
      <c r="P128" t="inlineStr">
        <is>
          <t>BS1A</t>
        </is>
      </c>
      <c r="Q128" t="n">
        <v>2</v>
      </c>
      <c r="W128" t="n">
        <v>2</v>
      </c>
      <c r="X128" t="n">
        <v>0</v>
      </c>
      <c r="AA128" t="inlineStr">
        <is>
          <t>PNP_6T_08-05-2020</t>
        </is>
      </c>
      <c r="AB128" t="inlineStr">
        <is>
          <t>PNCP_9T_12-08-2019</t>
        </is>
      </c>
      <c r="AC128" t="inlineStr">
        <is>
          <t>PNCP_4T_30-04-2013</t>
        </is>
      </c>
      <c r="AD128" t="inlineStr">
        <is>
          <t>VALDIVIA 220</t>
        </is>
      </c>
      <c r="AE128" t="n">
        <v>111.133</v>
      </c>
      <c r="AF128" t="n">
        <v>1.072776031070834</v>
      </c>
      <c r="AG128" t="n">
        <v>119.220818660995</v>
      </c>
      <c r="AH128" t="n">
        <v>694.38</v>
      </c>
      <c r="AI128" t="n">
        <v>0.875</v>
      </c>
      <c r="AJ128" t="n">
        <v>72.43648305409401</v>
      </c>
      <c r="AK128" t="n">
        <v>0.913</v>
      </c>
      <c r="AL128" t="n">
        <v>66.13500000000001</v>
      </c>
      <c r="AM128" t="n">
        <v>8.9176</v>
      </c>
      <c r="AN128" t="n">
        <v>9.566587534677272</v>
      </c>
      <c r="AO128" t="n">
        <v>0.913</v>
      </c>
      <c r="AP128" t="n">
        <v>6064.919358776563</v>
      </c>
      <c r="AQ128" t="n">
        <v>1.051287819142954</v>
      </c>
      <c r="AR128" t="n">
        <v>6375.9758</v>
      </c>
      <c r="AT128" t="inlineStr">
        <is>
          <t>PNP_19T_30-12-2020</t>
        </is>
      </c>
      <c r="AU128" t="inlineStr">
        <is>
          <t>PNCP_12T_10-08-2020</t>
        </is>
      </c>
      <c r="AV128" t="inlineStr">
        <is>
          <t>PNCP_4T_30-04-2013</t>
        </is>
      </c>
      <c r="AW128" t="inlineStr">
        <is>
          <t>VALDIVIA 220</t>
        </is>
      </c>
      <c r="AX128" t="n">
        <v>111.133</v>
      </c>
      <c r="AY128" t="n">
        <v>1.083385174100913</v>
      </c>
      <c r="AZ128" t="n">
        <v>120.3998445533567</v>
      </c>
      <c r="BA128" t="n">
        <v>801.49</v>
      </c>
      <c r="BB128" t="n">
        <v>0.905</v>
      </c>
      <c r="BC128" t="n">
        <v>87.33184062701827</v>
      </c>
      <c r="BD128" t="n">
        <v>0.8745000000000001</v>
      </c>
      <c r="BE128" t="n">
        <v>76.372</v>
      </c>
      <c r="BF128" t="n">
        <v>8.9176</v>
      </c>
      <c r="BG128" t="n">
        <v>0.77</v>
      </c>
      <c r="BH128" t="n">
        <v>5962.380796939026</v>
      </c>
      <c r="BI128" t="n">
        <v>1.148014846473962</v>
      </c>
      <c r="BJ128" t="n">
        <v>6844.9017</v>
      </c>
    </row>
    <row r="129">
      <c r="A129" t="n">
        <v>6028</v>
      </c>
      <c r="B129" t="inlineStr">
        <is>
          <t>01-02-2021</t>
        </is>
      </c>
      <c r="C129" t="n">
        <v>2021</v>
      </c>
      <c r="D129" t="n">
        <v>1</v>
      </c>
      <c r="E129" t="inlineStr">
        <is>
          <t>CAREN</t>
        </is>
      </c>
      <c r="F129" t="inlineStr">
        <is>
          <t>SUM_SAESA_A</t>
        </is>
      </c>
      <c r="G129" t="inlineStr">
        <is>
          <t>A</t>
        </is>
      </c>
      <c r="H129" t="inlineStr">
        <is>
          <t>SAESA</t>
        </is>
      </c>
      <c r="I129" t="inlineStr">
        <is>
          <t>SAESLAUNBLOQA</t>
        </is>
      </c>
      <c r="J129" t="inlineStr">
        <is>
          <t>L.UNION</t>
        </is>
      </c>
      <c r="K129" t="n">
        <v>-3846.3491698</v>
      </c>
      <c r="L129" t="inlineStr">
        <is>
          <t>LA UNION</t>
        </is>
      </c>
      <c r="M129" t="inlineStr">
        <is>
          <t>BARRO BLANCO</t>
        </is>
      </c>
      <c r="N129" t="n">
        <v>0.69784426704688</v>
      </c>
      <c r="O129" t="n">
        <v>2684.152717</v>
      </c>
      <c r="P129" t="inlineStr">
        <is>
          <t>BS1A</t>
        </is>
      </c>
      <c r="Q129" t="n">
        <v>2</v>
      </c>
      <c r="W129" t="n">
        <v>2</v>
      </c>
      <c r="X129" t="n">
        <v>0</v>
      </c>
      <c r="AA129" t="inlineStr">
        <is>
          <t>PNP_6T_08-05-2020</t>
        </is>
      </c>
      <c r="AB129" t="inlineStr">
        <is>
          <t>PNCP_9T_12-08-2019</t>
        </is>
      </c>
      <c r="AC129" t="inlineStr">
        <is>
          <t>PNCP_4T_30-04-2013</t>
        </is>
      </c>
      <c r="AD129" t="inlineStr">
        <is>
          <t>Barro Blanco 220</t>
        </is>
      </c>
      <c r="AE129" t="n">
        <v>111.133</v>
      </c>
      <c r="AF129" t="n">
        <v>1.072776031070834</v>
      </c>
      <c r="AG129" t="n">
        <v>119.220818660995</v>
      </c>
      <c r="AH129" t="n">
        <v>694.38</v>
      </c>
      <c r="AI129" t="n">
        <v>0.875</v>
      </c>
      <c r="AJ129" t="n">
        <v>72.43648305409401</v>
      </c>
      <c r="AK129" t="n">
        <v>0.8631</v>
      </c>
      <c r="AL129" t="n">
        <v>62.52</v>
      </c>
      <c r="AM129" t="n">
        <v>8.9176</v>
      </c>
      <c r="AN129" t="n">
        <v>9.566587534677272</v>
      </c>
      <c r="AO129" t="n">
        <v>0.913</v>
      </c>
      <c r="AP129" t="n">
        <v>6064.919358776563</v>
      </c>
      <c r="AQ129" t="n">
        <v>1.004432825642191</v>
      </c>
      <c r="AR129" t="n">
        <v>6091.8041</v>
      </c>
      <c r="AT129" t="inlineStr">
        <is>
          <t>PNP_19T_30-12-2020</t>
        </is>
      </c>
      <c r="AU129" t="inlineStr">
        <is>
          <t>PNCP_12T_10-08-2020</t>
        </is>
      </c>
      <c r="AV129" t="inlineStr">
        <is>
          <t>PNCP_4T_30-04-2013</t>
        </is>
      </c>
      <c r="AW129" t="inlineStr">
        <is>
          <t>Barro Blanco 220</t>
        </is>
      </c>
      <c r="AX129" t="n">
        <v>111.133</v>
      </c>
      <c r="AY129" t="n">
        <v>1.083385174100913</v>
      </c>
      <c r="AZ129" t="n">
        <v>120.3998445533567</v>
      </c>
      <c r="BA129" t="n">
        <v>801.49</v>
      </c>
      <c r="BB129" t="n">
        <v>0.905</v>
      </c>
      <c r="BC129" t="n">
        <v>87.33184062701827</v>
      </c>
      <c r="BD129" t="n">
        <v>0.7946</v>
      </c>
      <c r="BE129" t="n">
        <v>69.39400000000001</v>
      </c>
      <c r="BF129" t="n">
        <v>8.9176</v>
      </c>
      <c r="BG129" t="n">
        <v>0.77</v>
      </c>
      <c r="BH129" t="n">
        <v>5962.380796939026</v>
      </c>
      <c r="BI129" t="n">
        <v>1.047283473516708</v>
      </c>
      <c r="BJ129" t="n">
        <v>6244.3029</v>
      </c>
    </row>
    <row r="130">
      <c r="A130" t="n">
        <v>6030</v>
      </c>
      <c r="B130" t="inlineStr">
        <is>
          <t>01-02-2021</t>
        </is>
      </c>
      <c r="C130" t="n">
        <v>2021</v>
      </c>
      <c r="D130" t="n">
        <v>1</v>
      </c>
      <c r="E130" t="inlineStr">
        <is>
          <t>CAREN</t>
        </is>
      </c>
      <c r="F130" t="inlineStr">
        <is>
          <t>SUM_SAESA_A</t>
        </is>
      </c>
      <c r="G130" t="inlineStr">
        <is>
          <t>A</t>
        </is>
      </c>
      <c r="H130" t="inlineStr">
        <is>
          <t>SAESA</t>
        </is>
      </c>
      <c r="I130" t="inlineStr">
        <is>
          <t>SAESLAUNBLOQA</t>
        </is>
      </c>
      <c r="J130" t="inlineStr">
        <is>
          <t>L.UNION</t>
        </is>
      </c>
      <c r="K130" t="n">
        <v>-3846.3491698</v>
      </c>
      <c r="L130" t="inlineStr">
        <is>
          <t>LA UNION</t>
        </is>
      </c>
      <c r="M130" t="inlineStr">
        <is>
          <t>MELIPULLI</t>
        </is>
      </c>
      <c r="N130" t="n">
        <v>0.05477087158033</v>
      </c>
      <c r="O130" t="n">
        <v>210.667896</v>
      </c>
      <c r="P130" t="inlineStr">
        <is>
          <t>BS1A</t>
        </is>
      </c>
      <c r="Q130" t="n">
        <v>2</v>
      </c>
      <c r="W130" t="n">
        <v>2</v>
      </c>
      <c r="X130" t="n">
        <v>0</v>
      </c>
      <c r="AA130" t="inlineStr">
        <is>
          <t>PNP_6T_08-05-2020</t>
        </is>
      </c>
      <c r="AB130" t="inlineStr">
        <is>
          <t>PNCP_9T_12-08-2019</t>
        </is>
      </c>
      <c r="AC130" t="inlineStr">
        <is>
          <t>PNCP_4T_30-04-2013</t>
        </is>
      </c>
      <c r="AD130" t="inlineStr">
        <is>
          <t>MELIPULLI 220</t>
        </is>
      </c>
      <c r="AE130" t="n">
        <v>111.133</v>
      </c>
      <c r="AF130" t="n">
        <v>1.072776031070834</v>
      </c>
      <c r="AG130" t="n">
        <v>119.220818660995</v>
      </c>
      <c r="AH130" t="n">
        <v>694.38</v>
      </c>
      <c r="AI130" t="n">
        <v>0.875</v>
      </c>
      <c r="AJ130" t="n">
        <v>72.43648305409401</v>
      </c>
      <c r="AK130" t="n">
        <v>0.8826000000000001</v>
      </c>
      <c r="AL130" t="n">
        <v>63.932</v>
      </c>
      <c r="AM130" t="n">
        <v>8.9176</v>
      </c>
      <c r="AN130" t="n">
        <v>9.566587534677272</v>
      </c>
      <c r="AO130" t="n">
        <v>0.913</v>
      </c>
      <c r="AP130" t="n">
        <v>6064.919358776563</v>
      </c>
      <c r="AQ130" t="n">
        <v>1</v>
      </c>
      <c r="AR130" t="n">
        <v>6064.9194</v>
      </c>
      <c r="AT130" t="inlineStr">
        <is>
          <t>PNP_19T_30-12-2020</t>
        </is>
      </c>
      <c r="AU130" t="inlineStr">
        <is>
          <t>PNCP_12T_10-08-2020</t>
        </is>
      </c>
      <c r="AV130" t="inlineStr">
        <is>
          <t>PNCP_4T_30-04-2013</t>
        </is>
      </c>
      <c r="AW130" t="inlineStr">
        <is>
          <t>MELIPULLI 220</t>
        </is>
      </c>
      <c r="AX130" t="n">
        <v>111.133</v>
      </c>
      <c r="AY130" t="n">
        <v>1.083385174100913</v>
      </c>
      <c r="AZ130" t="n">
        <v>120.3998445533567</v>
      </c>
      <c r="BA130" t="n">
        <v>801.49</v>
      </c>
      <c r="BB130" t="n">
        <v>0.905</v>
      </c>
      <c r="BC130" t="n">
        <v>87.33184062701827</v>
      </c>
      <c r="BD130" t="n">
        <v>0.7824</v>
      </c>
      <c r="BE130" t="n">
        <v>68.328</v>
      </c>
      <c r="BF130" t="n">
        <v>8.9176</v>
      </c>
      <c r="BG130" t="n">
        <v>0.77</v>
      </c>
      <c r="BH130" t="n">
        <v>5962.380796939026</v>
      </c>
      <c r="BI130" t="n">
        <v>1</v>
      </c>
      <c r="BJ130" t="n">
        <v>5962.3808</v>
      </c>
    </row>
    <row r="131">
      <c r="A131" t="n">
        <v>6032</v>
      </c>
      <c r="B131" t="inlineStr">
        <is>
          <t>01-02-2021</t>
        </is>
      </c>
      <c r="C131" t="n">
        <v>2021</v>
      </c>
      <c r="D131" t="n">
        <v>1</v>
      </c>
      <c r="E131" t="inlineStr">
        <is>
          <t>CAREN</t>
        </is>
      </c>
      <c r="F131" t="inlineStr">
        <is>
          <t>SUM_SAESA_A</t>
        </is>
      </c>
      <c r="G131" t="inlineStr">
        <is>
          <t>A</t>
        </is>
      </c>
      <c r="H131" t="inlineStr">
        <is>
          <t>SAESA</t>
        </is>
      </c>
      <c r="I131" t="inlineStr">
        <is>
          <t>SAESLAUNBLOQA</t>
        </is>
      </c>
      <c r="J131" t="inlineStr">
        <is>
          <t>L.UNION</t>
        </is>
      </c>
      <c r="K131" t="n">
        <v>-3846.3491698</v>
      </c>
      <c r="L131" t="inlineStr">
        <is>
          <t>LA UNION</t>
        </is>
      </c>
      <c r="M131" t="inlineStr">
        <is>
          <t>VALDIVIA</t>
        </is>
      </c>
      <c r="N131" t="n">
        <v>0.26660855469556</v>
      </c>
      <c r="O131" t="n">
        <v>1025.469593</v>
      </c>
      <c r="P131" t="inlineStr">
        <is>
          <t>BS1A</t>
        </is>
      </c>
      <c r="Q131" t="n">
        <v>2</v>
      </c>
      <c r="W131" t="n">
        <v>2</v>
      </c>
      <c r="X131" t="n">
        <v>0</v>
      </c>
      <c r="AA131" t="inlineStr">
        <is>
          <t>PNP_6T_08-05-2020</t>
        </is>
      </c>
      <c r="AB131" t="inlineStr">
        <is>
          <t>PNCP_9T_12-08-2019</t>
        </is>
      </c>
      <c r="AC131" t="inlineStr">
        <is>
          <t>PNCP_4T_30-04-2013</t>
        </is>
      </c>
      <c r="AD131" t="inlineStr">
        <is>
          <t>VALDIVIA 220</t>
        </is>
      </c>
      <c r="AE131" t="n">
        <v>111.133</v>
      </c>
      <c r="AF131" t="n">
        <v>1.072776031070834</v>
      </c>
      <c r="AG131" t="n">
        <v>119.220818660995</v>
      </c>
      <c r="AH131" t="n">
        <v>694.38</v>
      </c>
      <c r="AI131" t="n">
        <v>0.875</v>
      </c>
      <c r="AJ131" t="n">
        <v>72.43648305409401</v>
      </c>
      <c r="AK131" t="n">
        <v>0.913</v>
      </c>
      <c r="AL131" t="n">
        <v>66.13500000000001</v>
      </c>
      <c r="AM131" t="n">
        <v>8.9176</v>
      </c>
      <c r="AN131" t="n">
        <v>9.566587534677272</v>
      </c>
      <c r="AO131" t="n">
        <v>0.913</v>
      </c>
      <c r="AP131" t="n">
        <v>6064.919358776563</v>
      </c>
      <c r="AQ131" t="n">
        <v>1.051287819142954</v>
      </c>
      <c r="AR131" t="n">
        <v>6375.9758</v>
      </c>
      <c r="AT131" t="inlineStr">
        <is>
          <t>PNP_19T_30-12-2020</t>
        </is>
      </c>
      <c r="AU131" t="inlineStr">
        <is>
          <t>PNCP_12T_10-08-2020</t>
        </is>
      </c>
      <c r="AV131" t="inlineStr">
        <is>
          <t>PNCP_4T_30-04-2013</t>
        </is>
      </c>
      <c r="AW131" t="inlineStr">
        <is>
          <t>VALDIVIA 220</t>
        </is>
      </c>
      <c r="AX131" t="n">
        <v>111.133</v>
      </c>
      <c r="AY131" t="n">
        <v>1.083385174100913</v>
      </c>
      <c r="AZ131" t="n">
        <v>120.3998445533567</v>
      </c>
      <c r="BA131" t="n">
        <v>801.49</v>
      </c>
      <c r="BB131" t="n">
        <v>0.905</v>
      </c>
      <c r="BC131" t="n">
        <v>87.33184062701827</v>
      </c>
      <c r="BD131" t="n">
        <v>0.8745000000000001</v>
      </c>
      <c r="BE131" t="n">
        <v>76.372</v>
      </c>
      <c r="BF131" t="n">
        <v>8.9176</v>
      </c>
      <c r="BG131" t="n">
        <v>0.77</v>
      </c>
      <c r="BH131" t="n">
        <v>5962.380796939026</v>
      </c>
      <c r="BI131" t="n">
        <v>1.148014846473962</v>
      </c>
      <c r="BJ131" t="n">
        <v>6844.9017</v>
      </c>
    </row>
    <row r="132">
      <c r="A132" t="n">
        <v>2023</v>
      </c>
      <c r="B132" t="inlineStr">
        <is>
          <t>01-02-2021</t>
        </is>
      </c>
      <c r="C132" t="n">
        <v>2021</v>
      </c>
      <c r="D132" t="n">
        <v>1</v>
      </c>
      <c r="E132" t="inlineStr">
        <is>
          <t>CAREN</t>
        </is>
      </c>
      <c r="F132" t="inlineStr">
        <is>
          <t>SUM_SAESA_A</t>
        </is>
      </c>
      <c r="G132" t="inlineStr">
        <is>
          <t>A</t>
        </is>
      </c>
      <c r="H132" t="inlineStr">
        <is>
          <t>SAESA</t>
        </is>
      </c>
      <c r="I132" t="inlineStr">
        <is>
          <t>SAESLONCBLOQA</t>
        </is>
      </c>
      <c r="J132" t="inlineStr">
        <is>
          <t>LONCOCHE2</t>
        </is>
      </c>
      <c r="K132" t="n">
        <v>-4676.648954</v>
      </c>
      <c r="L132" t="inlineStr">
        <is>
          <t>LONCOCHE</t>
        </is>
      </c>
      <c r="M132" t="inlineStr">
        <is>
          <t>CAUTÍN</t>
        </is>
      </c>
      <c r="N132" t="n">
        <v>0.14466350564106</v>
      </c>
      <c r="O132" t="n">
        <v>676.540432</v>
      </c>
      <c r="P132" t="inlineStr">
        <is>
          <t>BS1A</t>
        </is>
      </c>
      <c r="Q132" t="n">
        <v>2</v>
      </c>
      <c r="W132" t="n">
        <v>2</v>
      </c>
      <c r="X132" t="n">
        <v>0</v>
      </c>
      <c r="AA132" t="inlineStr">
        <is>
          <t>PNP_6T_08-05-2020</t>
        </is>
      </c>
      <c r="AB132" t="inlineStr">
        <is>
          <t>PNCP_9T_12-08-2019</t>
        </is>
      </c>
      <c r="AC132" t="inlineStr">
        <is>
          <t>PNCP_4T_30-04-2013</t>
        </is>
      </c>
      <c r="AD132" t="inlineStr">
        <is>
          <t>CAUTÍN 220</t>
        </is>
      </c>
      <c r="AE132" t="n">
        <v>111.133</v>
      </c>
      <c r="AF132" t="n">
        <v>1.072776031070834</v>
      </c>
      <c r="AG132" t="n">
        <v>119.220818660995</v>
      </c>
      <c r="AH132" t="n">
        <v>694.38</v>
      </c>
      <c r="AI132" t="n">
        <v>0.875</v>
      </c>
      <c r="AJ132" t="n">
        <v>72.43648305409401</v>
      </c>
      <c r="AK132" t="n">
        <v>0.9214</v>
      </c>
      <c r="AL132" t="n">
        <v>66.74299999999999</v>
      </c>
      <c r="AM132" t="n">
        <v>8.9176</v>
      </c>
      <c r="AN132" t="n">
        <v>9.566587534677272</v>
      </c>
      <c r="AO132" t="n">
        <v>0.913</v>
      </c>
      <c r="AP132" t="n">
        <v>6064.919358776563</v>
      </c>
      <c r="AQ132" t="n">
        <v>1.04671516253694</v>
      </c>
      <c r="AR132" t="n">
        <v>6348.2431</v>
      </c>
      <c r="AT132" t="inlineStr">
        <is>
          <t>PNP_19T_30-12-2020</t>
        </is>
      </c>
      <c r="AU132" t="inlineStr">
        <is>
          <t>PNCP_12T_10-08-2020</t>
        </is>
      </c>
      <c r="AV132" t="inlineStr">
        <is>
          <t>PNCP_4T_30-04-2013</t>
        </is>
      </c>
      <c r="AW132" t="inlineStr">
        <is>
          <t>CAUTÍN 220</t>
        </is>
      </c>
      <c r="AX132" t="n">
        <v>111.133</v>
      </c>
      <c r="AY132" t="n">
        <v>1.083385174100913</v>
      </c>
      <c r="AZ132" t="n">
        <v>120.3998445533567</v>
      </c>
      <c r="BA132" t="n">
        <v>801.49</v>
      </c>
      <c r="BB132" t="n">
        <v>0.905</v>
      </c>
      <c r="BC132" t="n">
        <v>87.33184062701827</v>
      </c>
      <c r="BD132" t="n">
        <v>0.9008</v>
      </c>
      <c r="BE132" t="n">
        <v>78.669</v>
      </c>
      <c r="BF132" t="n">
        <v>8.9176</v>
      </c>
      <c r="BG132" t="n">
        <v>0.77</v>
      </c>
      <c r="BH132" t="n">
        <v>5962.380796939026</v>
      </c>
      <c r="BI132" t="n">
        <v>0.9997726756080928</v>
      </c>
      <c r="BJ132" t="n">
        <v>5961.0254</v>
      </c>
    </row>
    <row r="133">
      <c r="A133" t="n">
        <v>2025</v>
      </c>
      <c r="B133" t="inlineStr">
        <is>
          <t>01-02-2021</t>
        </is>
      </c>
      <c r="C133" t="n">
        <v>2021</v>
      </c>
      <c r="D133" t="n">
        <v>1</v>
      </c>
      <c r="E133" t="inlineStr">
        <is>
          <t>CAREN</t>
        </is>
      </c>
      <c r="F133" t="inlineStr">
        <is>
          <t>SUM_SAESA_A</t>
        </is>
      </c>
      <c r="G133" t="inlineStr">
        <is>
          <t>A</t>
        </is>
      </c>
      <c r="H133" t="inlineStr">
        <is>
          <t>SAESA</t>
        </is>
      </c>
      <c r="I133" t="inlineStr">
        <is>
          <t>SAESLONCBLOQA</t>
        </is>
      </c>
      <c r="J133" t="inlineStr">
        <is>
          <t>LONCOCHE2</t>
        </is>
      </c>
      <c r="K133" t="n">
        <v>-4676.648954</v>
      </c>
      <c r="L133" t="inlineStr">
        <is>
          <t>LONCOCHE</t>
        </is>
      </c>
      <c r="M133" t="inlineStr">
        <is>
          <t>CHARRUA</t>
        </is>
      </c>
      <c r="N133" t="n">
        <v>0.04479645833059</v>
      </c>
      <c r="O133" t="n">
        <v>209.49731</v>
      </c>
      <c r="P133" t="inlineStr">
        <is>
          <t>BS1A</t>
        </is>
      </c>
      <c r="Q133" t="n">
        <v>2</v>
      </c>
      <c r="W133" t="n">
        <v>2</v>
      </c>
      <c r="X133" t="n">
        <v>0</v>
      </c>
      <c r="AA133" t="inlineStr">
        <is>
          <t>PNP_6T_08-05-2020</t>
        </is>
      </c>
      <c r="AB133" t="inlineStr">
        <is>
          <t>PNCP_9T_12-08-2019</t>
        </is>
      </c>
      <c r="AC133" t="inlineStr">
        <is>
          <t>PNCP_4T_30-04-2013</t>
        </is>
      </c>
      <c r="AD133" t="inlineStr">
        <is>
          <t>CHARRUA 220</t>
        </is>
      </c>
      <c r="AE133" t="n">
        <v>111.133</v>
      </c>
      <c r="AF133" t="n">
        <v>1.072776031070834</v>
      </c>
      <c r="AG133" t="n">
        <v>119.220818660995</v>
      </c>
      <c r="AH133" t="n">
        <v>694.38</v>
      </c>
      <c r="AI133" t="n">
        <v>0.875</v>
      </c>
      <c r="AJ133" t="n">
        <v>72.43648305409401</v>
      </c>
      <c r="AK133" t="n">
        <v>0.9350000000000001</v>
      </c>
      <c r="AL133" t="n">
        <v>67.72799999999999</v>
      </c>
      <c r="AM133" t="n">
        <v>8.9176</v>
      </c>
      <c r="AN133" t="n">
        <v>9.566587534677272</v>
      </c>
      <c r="AO133" t="n">
        <v>0.913</v>
      </c>
      <c r="AP133" t="n">
        <v>6064.919358776563</v>
      </c>
      <c r="AQ133" t="n">
        <v>1.096171586715867</v>
      </c>
      <c r="AR133" t="n">
        <v>6648.1923</v>
      </c>
      <c r="AT133" t="inlineStr">
        <is>
          <t>PNP_19T_30-12-2020</t>
        </is>
      </c>
      <c r="AU133" t="inlineStr">
        <is>
          <t>PNCP_12T_10-08-2020</t>
        </is>
      </c>
      <c r="AV133" t="inlineStr">
        <is>
          <t>PNCP_4T_30-04-2013</t>
        </is>
      </c>
      <c r="AW133" t="inlineStr">
        <is>
          <t>CHARRUA 220</t>
        </is>
      </c>
      <c r="AX133" t="n">
        <v>111.133</v>
      </c>
      <c r="AY133" t="n">
        <v>1.083385174100913</v>
      </c>
      <c r="AZ133" t="n">
        <v>120.3998445533567</v>
      </c>
      <c r="BA133" t="n">
        <v>801.49</v>
      </c>
      <c r="BB133" t="n">
        <v>0.905</v>
      </c>
      <c r="BC133" t="n">
        <v>87.33184062701827</v>
      </c>
      <c r="BD133" t="n">
        <v>0.8997000000000001</v>
      </c>
      <c r="BE133" t="n">
        <v>78.572</v>
      </c>
      <c r="BF133" t="n">
        <v>8.9176</v>
      </c>
      <c r="BG133" t="n">
        <v>0.77</v>
      </c>
      <c r="BH133" t="n">
        <v>5962.380796939026</v>
      </c>
      <c r="BI133" t="n">
        <v>1.026176199261993</v>
      </c>
      <c r="BJ133" t="n">
        <v>6118.4533</v>
      </c>
    </row>
    <row r="134">
      <c r="A134" t="n">
        <v>2027</v>
      </c>
      <c r="B134" t="inlineStr">
        <is>
          <t>01-02-2021</t>
        </is>
      </c>
      <c r="C134" t="n">
        <v>2021</v>
      </c>
      <c r="D134" t="n">
        <v>1</v>
      </c>
      <c r="E134" t="inlineStr">
        <is>
          <t>CAREN</t>
        </is>
      </c>
      <c r="F134" t="inlineStr">
        <is>
          <t>SUM_SAESA_A</t>
        </is>
      </c>
      <c r="G134" t="inlineStr">
        <is>
          <t>A</t>
        </is>
      </c>
      <c r="H134" t="inlineStr">
        <is>
          <t>SAESA</t>
        </is>
      </c>
      <c r="I134" t="inlineStr">
        <is>
          <t>SAESLONCBLOQA</t>
        </is>
      </c>
      <c r="J134" t="inlineStr">
        <is>
          <t>LONCOCHE2</t>
        </is>
      </c>
      <c r="K134" t="n">
        <v>-4676.648954</v>
      </c>
      <c r="L134" t="inlineStr">
        <is>
          <t>LONCOCHE</t>
        </is>
      </c>
      <c r="M134" t="inlineStr">
        <is>
          <t>TEMUCO</t>
        </is>
      </c>
      <c r="N134" t="n">
        <v>0.81998113373673</v>
      </c>
      <c r="O134" t="n">
        <v>3834.763911</v>
      </c>
      <c r="P134" t="inlineStr">
        <is>
          <t>BS1A</t>
        </is>
      </c>
      <c r="Q134" t="n">
        <v>2</v>
      </c>
      <c r="W134" t="n">
        <v>2</v>
      </c>
      <c r="X134" t="n">
        <v>0</v>
      </c>
      <c r="AA134" t="inlineStr">
        <is>
          <t>PNP_6T_08-05-2020</t>
        </is>
      </c>
      <c r="AB134" t="inlineStr">
        <is>
          <t>PNCP_9T_12-08-2019</t>
        </is>
      </c>
      <c r="AC134" t="inlineStr">
        <is>
          <t>PNCP_4T_30-04-2013</t>
        </is>
      </c>
      <c r="AD134" t="inlineStr">
        <is>
          <t>TEMUCO 220</t>
        </is>
      </c>
      <c r="AE134" t="n">
        <v>111.133</v>
      </c>
      <c r="AF134" t="n">
        <v>1.072776031070834</v>
      </c>
      <c r="AG134" t="n">
        <v>119.220818660995</v>
      </c>
      <c r="AH134" t="n">
        <v>694.38</v>
      </c>
      <c r="AI134" t="n">
        <v>0.875</v>
      </c>
      <c r="AJ134" t="n">
        <v>72.43648305409401</v>
      </c>
      <c r="AK134" t="n">
        <v>0.9159</v>
      </c>
      <c r="AL134" t="n">
        <v>66.345</v>
      </c>
      <c r="AM134" t="n">
        <v>8.9176</v>
      </c>
      <c r="AN134" t="n">
        <v>9.566587534677272</v>
      </c>
      <c r="AO134" t="n">
        <v>0.913</v>
      </c>
      <c r="AP134" t="n">
        <v>6064.919358776563</v>
      </c>
      <c r="AQ134" t="n">
        <v>1.043187485830877</v>
      </c>
      <c r="AR134" t="n">
        <v>6326.848</v>
      </c>
      <c r="AT134" t="inlineStr">
        <is>
          <t>PNP_19T_30-12-2020</t>
        </is>
      </c>
      <c r="AU134" t="inlineStr">
        <is>
          <t>PNCP_12T_10-08-2020</t>
        </is>
      </c>
      <c r="AV134" t="inlineStr">
        <is>
          <t>PNCP_4T_30-04-2013</t>
        </is>
      </c>
      <c r="AW134" t="inlineStr">
        <is>
          <t>TEMUCO 220</t>
        </is>
      </c>
      <c r="AX134" t="n">
        <v>111.133</v>
      </c>
      <c r="AY134" t="n">
        <v>1.083385174100913</v>
      </c>
      <c r="AZ134" t="n">
        <v>120.3998445533567</v>
      </c>
      <c r="BA134" t="n">
        <v>801.49</v>
      </c>
      <c r="BB134" t="n">
        <v>0.905</v>
      </c>
      <c r="BC134" t="n">
        <v>87.33184062701827</v>
      </c>
      <c r="BD134" t="n">
        <v>0.8882</v>
      </c>
      <c r="BE134" t="n">
        <v>77.568</v>
      </c>
      <c r="BF134" t="n">
        <v>8.9176</v>
      </c>
      <c r="BG134" t="n">
        <v>0.77</v>
      </c>
      <c r="BH134" t="n">
        <v>5962.380796939026</v>
      </c>
      <c r="BI134" t="n">
        <v>0.9902516436182273</v>
      </c>
      <c r="BJ134" t="n">
        <v>5904.2574</v>
      </c>
    </row>
    <row r="135">
      <c r="A135" t="n">
        <v>4165</v>
      </c>
      <c r="B135" t="inlineStr">
        <is>
          <t>01-02-2021</t>
        </is>
      </c>
      <c r="C135" t="n">
        <v>2021</v>
      </c>
      <c r="D135" t="n">
        <v>1</v>
      </c>
      <c r="E135" t="inlineStr">
        <is>
          <t>CAREN</t>
        </is>
      </c>
      <c r="F135" t="inlineStr">
        <is>
          <t>SUM_SAESA_A</t>
        </is>
      </c>
      <c r="G135" t="inlineStr">
        <is>
          <t>A</t>
        </is>
      </c>
      <c r="H135" t="inlineStr">
        <is>
          <t>SAESA</t>
        </is>
      </c>
      <c r="I135" t="inlineStr">
        <is>
          <t>SAESLTAMBLOQA</t>
        </is>
      </c>
      <c r="J135" t="inlineStr">
        <is>
          <t>LOS_TAMBORES</t>
        </is>
      </c>
      <c r="K135" t="n">
        <v>-3169.31852767</v>
      </c>
      <c r="L135" t="inlineStr">
        <is>
          <t>LOS TAMBORES</t>
        </is>
      </c>
      <c r="M135" t="inlineStr">
        <is>
          <t>BARRO BLANCO</t>
        </is>
      </c>
      <c r="N135" t="n">
        <v>0.75545534124308</v>
      </c>
      <c r="O135" t="n">
        <v>2394.27861</v>
      </c>
      <c r="P135" t="inlineStr">
        <is>
          <t>BS1A</t>
        </is>
      </c>
      <c r="Q135" t="n">
        <v>2</v>
      </c>
      <c r="W135" t="n">
        <v>2</v>
      </c>
      <c r="X135" t="n">
        <v>0</v>
      </c>
      <c r="AA135" t="inlineStr">
        <is>
          <t>PNP_6T_08-05-2020</t>
        </is>
      </c>
      <c r="AB135" t="inlineStr">
        <is>
          <t>PNCP_9T_12-08-2019</t>
        </is>
      </c>
      <c r="AC135" t="inlineStr">
        <is>
          <t>PNCP_4T_30-04-2013</t>
        </is>
      </c>
      <c r="AD135" t="inlineStr">
        <is>
          <t>Barro Blanco 220</t>
        </is>
      </c>
      <c r="AE135" t="n">
        <v>111.133</v>
      </c>
      <c r="AF135" t="n">
        <v>1.072776031070834</v>
      </c>
      <c r="AG135" t="n">
        <v>119.220818660995</v>
      </c>
      <c r="AH135" t="n">
        <v>694.38</v>
      </c>
      <c r="AI135" t="n">
        <v>0.875</v>
      </c>
      <c r="AJ135" t="n">
        <v>72.43648305409401</v>
      </c>
      <c r="AK135" t="n">
        <v>0.8631</v>
      </c>
      <c r="AL135" t="n">
        <v>62.52</v>
      </c>
      <c r="AM135" t="n">
        <v>8.9176</v>
      </c>
      <c r="AN135" t="n">
        <v>9.566587534677272</v>
      </c>
      <c r="AO135" t="n">
        <v>0.913</v>
      </c>
      <c r="AP135" t="n">
        <v>6064.919358776563</v>
      </c>
      <c r="AQ135" t="n">
        <v>1.004432825642191</v>
      </c>
      <c r="AR135" t="n">
        <v>6091.8041</v>
      </c>
      <c r="AT135" t="inlineStr">
        <is>
          <t>PNP_19T_30-12-2020</t>
        </is>
      </c>
      <c r="AU135" t="inlineStr">
        <is>
          <t>PNCP_12T_10-08-2020</t>
        </is>
      </c>
      <c r="AV135" t="inlineStr">
        <is>
          <t>PNCP_4T_30-04-2013</t>
        </is>
      </c>
      <c r="AW135" t="inlineStr">
        <is>
          <t>Barro Blanco 220</t>
        </is>
      </c>
      <c r="AX135" t="n">
        <v>111.133</v>
      </c>
      <c r="AY135" t="n">
        <v>1.083385174100913</v>
      </c>
      <c r="AZ135" t="n">
        <v>120.3998445533567</v>
      </c>
      <c r="BA135" t="n">
        <v>801.49</v>
      </c>
      <c r="BB135" t="n">
        <v>0.905</v>
      </c>
      <c r="BC135" t="n">
        <v>87.33184062701827</v>
      </c>
      <c r="BD135" t="n">
        <v>0.7946</v>
      </c>
      <c r="BE135" t="n">
        <v>69.39400000000001</v>
      </c>
      <c r="BF135" t="n">
        <v>8.9176</v>
      </c>
      <c r="BG135" t="n">
        <v>0.77</v>
      </c>
      <c r="BH135" t="n">
        <v>5962.380796939026</v>
      </c>
      <c r="BI135" t="n">
        <v>1.047283473516708</v>
      </c>
      <c r="BJ135" t="n">
        <v>6244.3029</v>
      </c>
    </row>
    <row r="136">
      <c r="A136" t="n">
        <v>4167</v>
      </c>
      <c r="B136" t="inlineStr">
        <is>
          <t>01-02-2021</t>
        </is>
      </c>
      <c r="C136" t="n">
        <v>2021</v>
      </c>
      <c r="D136" t="n">
        <v>1</v>
      </c>
      <c r="E136" t="inlineStr">
        <is>
          <t>CAREN</t>
        </is>
      </c>
      <c r="F136" t="inlineStr">
        <is>
          <t>SUM_SAESA_A</t>
        </is>
      </c>
      <c r="G136" t="inlineStr">
        <is>
          <t>A</t>
        </is>
      </c>
      <c r="H136" t="inlineStr">
        <is>
          <t>SAESA</t>
        </is>
      </c>
      <c r="I136" t="inlineStr">
        <is>
          <t>SAESLTAMBLOQA</t>
        </is>
      </c>
      <c r="J136" t="inlineStr">
        <is>
          <t>LOS_TAMBORES</t>
        </is>
      </c>
      <c r="K136" t="n">
        <v>-3169.31852767</v>
      </c>
      <c r="L136" t="inlineStr">
        <is>
          <t>LOS TAMBORES</t>
        </is>
      </c>
      <c r="M136" t="inlineStr">
        <is>
          <t>MELIPULLI</t>
        </is>
      </c>
      <c r="N136" t="n">
        <v>0.04254585600052</v>
      </c>
      <c r="O136" t="n">
        <v>134.84137</v>
      </c>
      <c r="P136" t="inlineStr">
        <is>
          <t>BS1A</t>
        </is>
      </c>
      <c r="Q136" t="n">
        <v>2</v>
      </c>
      <c r="W136" t="n">
        <v>2</v>
      </c>
      <c r="X136" t="n">
        <v>0</v>
      </c>
      <c r="AA136" t="inlineStr">
        <is>
          <t>PNP_6T_08-05-2020</t>
        </is>
      </c>
      <c r="AB136" t="inlineStr">
        <is>
          <t>PNCP_9T_12-08-2019</t>
        </is>
      </c>
      <c r="AC136" t="inlineStr">
        <is>
          <t>PNCP_4T_30-04-2013</t>
        </is>
      </c>
      <c r="AD136" t="inlineStr">
        <is>
          <t>MELIPULLI 220</t>
        </is>
      </c>
      <c r="AE136" t="n">
        <v>111.133</v>
      </c>
      <c r="AF136" t="n">
        <v>1.072776031070834</v>
      </c>
      <c r="AG136" t="n">
        <v>119.220818660995</v>
      </c>
      <c r="AH136" t="n">
        <v>694.38</v>
      </c>
      <c r="AI136" t="n">
        <v>0.875</v>
      </c>
      <c r="AJ136" t="n">
        <v>72.43648305409401</v>
      </c>
      <c r="AK136" t="n">
        <v>0.8826000000000001</v>
      </c>
      <c r="AL136" t="n">
        <v>63.932</v>
      </c>
      <c r="AM136" t="n">
        <v>8.9176</v>
      </c>
      <c r="AN136" t="n">
        <v>9.566587534677272</v>
      </c>
      <c r="AO136" t="n">
        <v>0.913</v>
      </c>
      <c r="AP136" t="n">
        <v>6064.919358776563</v>
      </c>
      <c r="AQ136" t="n">
        <v>1</v>
      </c>
      <c r="AR136" t="n">
        <v>6064.9194</v>
      </c>
      <c r="AT136" t="inlineStr">
        <is>
          <t>PNP_19T_30-12-2020</t>
        </is>
      </c>
      <c r="AU136" t="inlineStr">
        <is>
          <t>PNCP_12T_10-08-2020</t>
        </is>
      </c>
      <c r="AV136" t="inlineStr">
        <is>
          <t>PNCP_4T_30-04-2013</t>
        </is>
      </c>
      <c r="AW136" t="inlineStr">
        <is>
          <t>MELIPULLI 220</t>
        </is>
      </c>
      <c r="AX136" t="n">
        <v>111.133</v>
      </c>
      <c r="AY136" t="n">
        <v>1.083385174100913</v>
      </c>
      <c r="AZ136" t="n">
        <v>120.3998445533567</v>
      </c>
      <c r="BA136" t="n">
        <v>801.49</v>
      </c>
      <c r="BB136" t="n">
        <v>0.905</v>
      </c>
      <c r="BC136" t="n">
        <v>87.33184062701827</v>
      </c>
      <c r="BD136" t="n">
        <v>0.7824</v>
      </c>
      <c r="BE136" t="n">
        <v>68.328</v>
      </c>
      <c r="BF136" t="n">
        <v>8.9176</v>
      </c>
      <c r="BG136" t="n">
        <v>0.77</v>
      </c>
      <c r="BH136" t="n">
        <v>5962.380796939026</v>
      </c>
      <c r="BI136" t="n">
        <v>1</v>
      </c>
      <c r="BJ136" t="n">
        <v>5962.3808</v>
      </c>
    </row>
    <row r="137">
      <c r="A137" t="n">
        <v>4169</v>
      </c>
      <c r="B137" t="inlineStr">
        <is>
          <t>01-02-2021</t>
        </is>
      </c>
      <c r="C137" t="n">
        <v>2021</v>
      </c>
      <c r="D137" t="n">
        <v>1</v>
      </c>
      <c r="E137" t="inlineStr">
        <is>
          <t>CAREN</t>
        </is>
      </c>
      <c r="F137" t="inlineStr">
        <is>
          <t>SUM_SAESA_A</t>
        </is>
      </c>
      <c r="G137" t="inlineStr">
        <is>
          <t>A</t>
        </is>
      </c>
      <c r="H137" t="inlineStr">
        <is>
          <t>SAESA</t>
        </is>
      </c>
      <c r="I137" t="inlineStr">
        <is>
          <t>SAESLTAMBLOQA</t>
        </is>
      </c>
      <c r="J137" t="inlineStr">
        <is>
          <t>LOS_TAMBORES</t>
        </is>
      </c>
      <c r="K137" t="n">
        <v>-3169.31852767</v>
      </c>
      <c r="L137" t="inlineStr">
        <is>
          <t>LOS TAMBORES</t>
        </is>
      </c>
      <c r="M137" t="inlineStr">
        <is>
          <t>VALDIVIA</t>
        </is>
      </c>
      <c r="N137" t="n">
        <v>0.15079558340347</v>
      </c>
      <c r="O137" t="n">
        <v>477.919236</v>
      </c>
      <c r="P137" t="inlineStr">
        <is>
          <t>BS1A</t>
        </is>
      </c>
      <c r="Q137" t="n">
        <v>2</v>
      </c>
      <c r="W137" t="n">
        <v>2</v>
      </c>
      <c r="X137" t="n">
        <v>0</v>
      </c>
      <c r="AA137" t="inlineStr">
        <is>
          <t>PNP_6T_08-05-2020</t>
        </is>
      </c>
      <c r="AB137" t="inlineStr">
        <is>
          <t>PNCP_9T_12-08-2019</t>
        </is>
      </c>
      <c r="AC137" t="inlineStr">
        <is>
          <t>PNCP_4T_30-04-2013</t>
        </is>
      </c>
      <c r="AD137" t="inlineStr">
        <is>
          <t>VALDIVIA 220</t>
        </is>
      </c>
      <c r="AE137" t="n">
        <v>111.133</v>
      </c>
      <c r="AF137" t="n">
        <v>1.072776031070834</v>
      </c>
      <c r="AG137" t="n">
        <v>119.220818660995</v>
      </c>
      <c r="AH137" t="n">
        <v>694.38</v>
      </c>
      <c r="AI137" t="n">
        <v>0.875</v>
      </c>
      <c r="AJ137" t="n">
        <v>72.43648305409401</v>
      </c>
      <c r="AK137" t="n">
        <v>0.913</v>
      </c>
      <c r="AL137" t="n">
        <v>66.13500000000001</v>
      </c>
      <c r="AM137" t="n">
        <v>8.9176</v>
      </c>
      <c r="AN137" t="n">
        <v>9.566587534677272</v>
      </c>
      <c r="AO137" t="n">
        <v>0.913</v>
      </c>
      <c r="AP137" t="n">
        <v>6064.919358776563</v>
      </c>
      <c r="AQ137" t="n">
        <v>1.051287819142954</v>
      </c>
      <c r="AR137" t="n">
        <v>6375.9758</v>
      </c>
      <c r="AT137" t="inlineStr">
        <is>
          <t>PNP_19T_30-12-2020</t>
        </is>
      </c>
      <c r="AU137" t="inlineStr">
        <is>
          <t>PNCP_12T_10-08-2020</t>
        </is>
      </c>
      <c r="AV137" t="inlineStr">
        <is>
          <t>PNCP_4T_30-04-2013</t>
        </is>
      </c>
      <c r="AW137" t="inlineStr">
        <is>
          <t>VALDIVIA 220</t>
        </is>
      </c>
      <c r="AX137" t="n">
        <v>111.133</v>
      </c>
      <c r="AY137" t="n">
        <v>1.083385174100913</v>
      </c>
      <c r="AZ137" t="n">
        <v>120.3998445533567</v>
      </c>
      <c r="BA137" t="n">
        <v>801.49</v>
      </c>
      <c r="BB137" t="n">
        <v>0.905</v>
      </c>
      <c r="BC137" t="n">
        <v>87.33184062701827</v>
      </c>
      <c r="BD137" t="n">
        <v>0.8745000000000001</v>
      </c>
      <c r="BE137" t="n">
        <v>76.372</v>
      </c>
      <c r="BF137" t="n">
        <v>8.9176</v>
      </c>
      <c r="BG137" t="n">
        <v>0.77</v>
      </c>
      <c r="BH137" t="n">
        <v>5962.380796939026</v>
      </c>
      <c r="BI137" t="n">
        <v>1.148014846473962</v>
      </c>
      <c r="BJ137" t="n">
        <v>6844.9017</v>
      </c>
    </row>
    <row r="138">
      <c r="A138" t="n">
        <v>675</v>
      </c>
      <c r="B138" t="inlineStr">
        <is>
          <t>01-02-2021</t>
        </is>
      </c>
      <c r="C138" t="n">
        <v>2021</v>
      </c>
      <c r="D138" t="n">
        <v>1</v>
      </c>
      <c r="E138" t="inlineStr">
        <is>
          <t>CAREN</t>
        </is>
      </c>
      <c r="F138" t="inlineStr">
        <is>
          <t>SUM_SAESA_A</t>
        </is>
      </c>
      <c r="G138" t="inlineStr">
        <is>
          <t>A</t>
        </is>
      </c>
      <c r="H138" t="inlineStr">
        <is>
          <t>SAESA</t>
        </is>
      </c>
      <c r="I138" t="inlineStr">
        <is>
          <t>SAESMARIBLOQA</t>
        </is>
      </c>
      <c r="J138" t="inlineStr">
        <is>
          <t>MARIQUINA</t>
        </is>
      </c>
      <c r="K138" t="n">
        <v>-2955.34542177</v>
      </c>
      <c r="L138" t="inlineStr">
        <is>
          <t>MARIQUINA</t>
        </is>
      </c>
      <c r="M138" t="inlineStr">
        <is>
          <t>LOS CIRUELOS</t>
        </is>
      </c>
      <c r="N138" t="n">
        <v>0.8657261296708</v>
      </c>
      <c r="O138" t="n">
        <v>2558.519754</v>
      </c>
      <c r="P138" t="inlineStr">
        <is>
          <t>BS1A</t>
        </is>
      </c>
      <c r="Q138" t="n">
        <v>2</v>
      </c>
      <c r="W138" t="n">
        <v>2</v>
      </c>
      <c r="X138" t="n">
        <v>0</v>
      </c>
    </row>
    <row r="139">
      <c r="A139" t="n">
        <v>5321</v>
      </c>
      <c r="B139" t="inlineStr">
        <is>
          <t>01-02-2021</t>
        </is>
      </c>
      <c r="C139" t="n">
        <v>2021</v>
      </c>
      <c r="D139" t="n">
        <v>1</v>
      </c>
      <c r="E139" t="inlineStr">
        <is>
          <t>CAREN</t>
        </is>
      </c>
      <c r="F139" t="inlineStr">
        <is>
          <t>SUM_SAESA_A</t>
        </is>
      </c>
      <c r="G139" t="inlineStr">
        <is>
          <t>A</t>
        </is>
      </c>
      <c r="H139" t="inlineStr">
        <is>
          <t>SAESA</t>
        </is>
      </c>
      <c r="I139" t="inlineStr">
        <is>
          <t>SAESMELIBLOQA</t>
        </is>
      </c>
      <c r="J139" t="inlineStr">
        <is>
          <t>MELIPULLI</t>
        </is>
      </c>
      <c r="K139" t="n">
        <v>-31831.45826673</v>
      </c>
      <c r="L139" t="inlineStr">
        <is>
          <t>MELIPULLI</t>
        </is>
      </c>
      <c r="M139" t="inlineStr">
        <is>
          <t>Barro Blanco</t>
        </is>
      </c>
      <c r="N139" t="n">
        <v>0.01002306488906</v>
      </c>
      <c r="O139" t="n">
        <v>319.048772</v>
      </c>
      <c r="P139" t="inlineStr">
        <is>
          <t>BS1A</t>
        </is>
      </c>
      <c r="Q139" t="n">
        <v>2</v>
      </c>
      <c r="W139" t="n">
        <v>2</v>
      </c>
      <c r="X139" t="n">
        <v>0</v>
      </c>
      <c r="AA139" t="inlineStr">
        <is>
          <t>PNP_6T_08-05-2020</t>
        </is>
      </c>
      <c r="AB139" t="inlineStr">
        <is>
          <t>PNCP_9T_12-08-2019</t>
        </is>
      </c>
      <c r="AC139" t="inlineStr">
        <is>
          <t>PNCP_4T_30-04-2013</t>
        </is>
      </c>
      <c r="AD139" t="inlineStr">
        <is>
          <t>Barro Blanco 220</t>
        </is>
      </c>
      <c r="AE139" t="n">
        <v>111.133</v>
      </c>
      <c r="AF139" t="n">
        <v>1.072776031070834</v>
      </c>
      <c r="AG139" t="n">
        <v>119.220818660995</v>
      </c>
      <c r="AH139" t="n">
        <v>694.38</v>
      </c>
      <c r="AI139" t="n">
        <v>0.875</v>
      </c>
      <c r="AJ139" t="n">
        <v>72.43648305409401</v>
      </c>
      <c r="AK139" t="n">
        <v>0.8631</v>
      </c>
      <c r="AL139" t="n">
        <v>62.52</v>
      </c>
      <c r="AM139" t="n">
        <v>8.9176</v>
      </c>
      <c r="AN139" t="n">
        <v>9.566587534677272</v>
      </c>
      <c r="AO139" t="n">
        <v>0.913</v>
      </c>
      <c r="AP139" t="n">
        <v>6064.919358776563</v>
      </c>
      <c r="AQ139" t="n">
        <v>1.004432825642191</v>
      </c>
      <c r="AR139" t="n">
        <v>6091.8041</v>
      </c>
      <c r="AT139" t="inlineStr">
        <is>
          <t>PNP_19T_30-12-2020</t>
        </is>
      </c>
      <c r="AU139" t="inlineStr">
        <is>
          <t>PNCP_12T_10-08-2020</t>
        </is>
      </c>
      <c r="AV139" t="inlineStr">
        <is>
          <t>PNCP_4T_30-04-2013</t>
        </is>
      </c>
      <c r="AW139" t="inlineStr">
        <is>
          <t>Barro Blanco 220</t>
        </is>
      </c>
      <c r="AX139" t="n">
        <v>111.133</v>
      </c>
      <c r="AY139" t="n">
        <v>1.083385174100913</v>
      </c>
      <c r="AZ139" t="n">
        <v>120.3998445533567</v>
      </c>
      <c r="BA139" t="n">
        <v>801.49</v>
      </c>
      <c r="BB139" t="n">
        <v>0.905</v>
      </c>
      <c r="BC139" t="n">
        <v>87.33184062701827</v>
      </c>
      <c r="BD139" t="n">
        <v>0.7946</v>
      </c>
      <c r="BE139" t="n">
        <v>69.39400000000001</v>
      </c>
      <c r="BF139" t="n">
        <v>8.9176</v>
      </c>
      <c r="BG139" t="n">
        <v>0.77</v>
      </c>
      <c r="BH139" t="n">
        <v>5962.380796939026</v>
      </c>
      <c r="BI139" t="n">
        <v>1.047283473516708</v>
      </c>
      <c r="BJ139" t="n">
        <v>6244.3029</v>
      </c>
    </row>
    <row r="140">
      <c r="A140" t="n">
        <v>5323</v>
      </c>
      <c r="B140" t="inlineStr">
        <is>
          <t>01-02-2021</t>
        </is>
      </c>
      <c r="C140" t="n">
        <v>2021</v>
      </c>
      <c r="D140" t="n">
        <v>1</v>
      </c>
      <c r="E140" t="inlineStr">
        <is>
          <t>CAREN</t>
        </is>
      </c>
      <c r="F140" t="inlineStr">
        <is>
          <t>SUM_SAESA_A</t>
        </is>
      </c>
      <c r="G140" t="inlineStr">
        <is>
          <t>A</t>
        </is>
      </c>
      <c r="H140" t="inlineStr">
        <is>
          <t>SAESA</t>
        </is>
      </c>
      <c r="I140" t="inlineStr">
        <is>
          <t>SAESMELIBLOQA</t>
        </is>
      </c>
      <c r="J140" t="inlineStr">
        <is>
          <t>MELIPULLI</t>
        </is>
      </c>
      <c r="K140" t="n">
        <v>-31831.45826673</v>
      </c>
      <c r="L140" t="inlineStr">
        <is>
          <t>MELIPULLI</t>
        </is>
      </c>
      <c r="M140" t="inlineStr">
        <is>
          <t>MELIPULLI</t>
        </is>
      </c>
      <c r="N140" t="n">
        <v>0.76027818246183</v>
      </c>
      <c r="O140" t="n">
        <v>24200.763236</v>
      </c>
      <c r="P140" t="inlineStr">
        <is>
          <t>BS1A</t>
        </is>
      </c>
      <c r="Q140" t="n">
        <v>2</v>
      </c>
      <c r="W140" t="n">
        <v>2</v>
      </c>
      <c r="X140" t="n">
        <v>0</v>
      </c>
      <c r="AA140" t="inlineStr">
        <is>
          <t>PNP_6T_08-05-2020</t>
        </is>
      </c>
      <c r="AB140" t="inlineStr">
        <is>
          <t>PNCP_9T_12-08-2019</t>
        </is>
      </c>
      <c r="AC140" t="inlineStr">
        <is>
          <t>PNCP_4T_30-04-2013</t>
        </is>
      </c>
      <c r="AD140" t="inlineStr">
        <is>
          <t>MELIPULLI 220</t>
        </is>
      </c>
      <c r="AE140" t="n">
        <v>111.133</v>
      </c>
      <c r="AF140" t="n">
        <v>1.072776031070834</v>
      </c>
      <c r="AG140" t="n">
        <v>119.220818660995</v>
      </c>
      <c r="AH140" t="n">
        <v>694.38</v>
      </c>
      <c r="AI140" t="n">
        <v>0.875</v>
      </c>
      <c r="AJ140" t="n">
        <v>72.43648305409401</v>
      </c>
      <c r="AK140" t="n">
        <v>0.8826000000000001</v>
      </c>
      <c r="AL140" t="n">
        <v>63.932</v>
      </c>
      <c r="AM140" t="n">
        <v>8.9176</v>
      </c>
      <c r="AN140" t="n">
        <v>9.566587534677272</v>
      </c>
      <c r="AO140" t="n">
        <v>0.913</v>
      </c>
      <c r="AP140" t="n">
        <v>6064.919358776563</v>
      </c>
      <c r="AQ140" t="n">
        <v>1</v>
      </c>
      <c r="AR140" t="n">
        <v>6064.9194</v>
      </c>
      <c r="AT140" t="inlineStr">
        <is>
          <t>PNP_19T_30-12-2020</t>
        </is>
      </c>
      <c r="AU140" t="inlineStr">
        <is>
          <t>PNCP_12T_10-08-2020</t>
        </is>
      </c>
      <c r="AV140" t="inlineStr">
        <is>
          <t>PNCP_4T_30-04-2013</t>
        </is>
      </c>
      <c r="AW140" t="inlineStr">
        <is>
          <t>MELIPULLI 220</t>
        </is>
      </c>
      <c r="AX140" t="n">
        <v>111.133</v>
      </c>
      <c r="AY140" t="n">
        <v>1.083385174100913</v>
      </c>
      <c r="AZ140" t="n">
        <v>120.3998445533567</v>
      </c>
      <c r="BA140" t="n">
        <v>801.49</v>
      </c>
      <c r="BB140" t="n">
        <v>0.905</v>
      </c>
      <c r="BC140" t="n">
        <v>87.33184062701827</v>
      </c>
      <c r="BD140" t="n">
        <v>0.7824</v>
      </c>
      <c r="BE140" t="n">
        <v>68.328</v>
      </c>
      <c r="BF140" t="n">
        <v>8.9176</v>
      </c>
      <c r="BG140" t="n">
        <v>0.77</v>
      </c>
      <c r="BH140" t="n">
        <v>5962.380796939026</v>
      </c>
      <c r="BI140" t="n">
        <v>1</v>
      </c>
      <c r="BJ140" t="n">
        <v>5962.3808</v>
      </c>
    </row>
    <row r="141">
      <c r="A141" t="n">
        <v>5325</v>
      </c>
      <c r="B141" t="inlineStr">
        <is>
          <t>01-02-2021</t>
        </is>
      </c>
      <c r="C141" t="n">
        <v>2021</v>
      </c>
      <c r="D141" t="n">
        <v>1</v>
      </c>
      <c r="E141" t="inlineStr">
        <is>
          <t>CAREN</t>
        </is>
      </c>
      <c r="F141" t="inlineStr">
        <is>
          <t>SUM_SAESA_A</t>
        </is>
      </c>
      <c r="G141" t="inlineStr">
        <is>
          <t>A</t>
        </is>
      </c>
      <c r="H141" t="inlineStr">
        <is>
          <t>SAESA</t>
        </is>
      </c>
      <c r="I141" t="inlineStr">
        <is>
          <t>SAESMELIBLOQA</t>
        </is>
      </c>
      <c r="J141" t="inlineStr">
        <is>
          <t>MELIPULLI</t>
        </is>
      </c>
      <c r="K141" t="n">
        <v>-31831.45826673</v>
      </c>
      <c r="L141" t="inlineStr">
        <is>
          <t>MELIPULLI</t>
        </is>
      </c>
      <c r="M141" t="inlineStr">
        <is>
          <t>Puerto Montt</t>
        </is>
      </c>
      <c r="N141" t="n">
        <v>0.93811278134191</v>
      </c>
      <c r="O141" t="n">
        <v>29861.497849</v>
      </c>
      <c r="P141" t="inlineStr">
        <is>
          <t>BS1A</t>
        </is>
      </c>
      <c r="Q141" t="n">
        <v>2</v>
      </c>
      <c r="W141" t="n">
        <v>2</v>
      </c>
      <c r="X141" t="n">
        <v>0</v>
      </c>
      <c r="AA141" t="inlineStr">
        <is>
          <t>PNP_6T_08-05-2020</t>
        </is>
      </c>
      <c r="AB141" t="inlineStr">
        <is>
          <t>PNCP_9T_12-08-2019</t>
        </is>
      </c>
      <c r="AC141" t="inlineStr">
        <is>
          <t>PNCP_4T_30-04-2013</t>
        </is>
      </c>
      <c r="AD141" t="inlineStr">
        <is>
          <t>PUERTO MONTT 220</t>
        </is>
      </c>
      <c r="AE141" t="n">
        <v>111.133</v>
      </c>
      <c r="AF141" t="n">
        <v>1.072776031070834</v>
      </c>
      <c r="AG141" t="n">
        <v>119.220818660995</v>
      </c>
      <c r="AH141" t="n">
        <v>694.38</v>
      </c>
      <c r="AI141" t="n">
        <v>0.875</v>
      </c>
      <c r="AJ141" t="n">
        <v>72.43648305409401</v>
      </c>
      <c r="AK141" t="n">
        <v>0.8826000000000001</v>
      </c>
      <c r="AL141" t="n">
        <v>63.932</v>
      </c>
      <c r="AM141" t="n">
        <v>8.9176</v>
      </c>
      <c r="AN141" t="n">
        <v>9.566587534677272</v>
      </c>
      <c r="AO141" t="n">
        <v>0.913</v>
      </c>
      <c r="AP141" t="n">
        <v>6064.919358776563</v>
      </c>
      <c r="AQ141" t="n">
        <v>1.016858412119831</v>
      </c>
      <c r="AR141" t="n">
        <v>6167.1643</v>
      </c>
      <c r="AT141" t="inlineStr">
        <is>
          <t>PNP_19T_30-12-2020</t>
        </is>
      </c>
      <c r="AU141" t="inlineStr">
        <is>
          <t>PNCP_12T_10-08-2020</t>
        </is>
      </c>
      <c r="AV141" t="inlineStr">
        <is>
          <t>PNCP_4T_30-04-2013</t>
        </is>
      </c>
      <c r="AW141" t="inlineStr">
        <is>
          <t>PUERTO MONTT 220</t>
        </is>
      </c>
      <c r="AX141" t="n">
        <v>111.133</v>
      </c>
      <c r="AY141" t="n">
        <v>1.083385174100913</v>
      </c>
      <c r="AZ141" t="n">
        <v>120.3998445533567</v>
      </c>
      <c r="BA141" t="n">
        <v>801.49</v>
      </c>
      <c r="BB141" t="n">
        <v>0.905</v>
      </c>
      <c r="BC141" t="n">
        <v>87.33184062701827</v>
      </c>
      <c r="BD141" t="n">
        <v>0.7824</v>
      </c>
      <c r="BE141" t="n">
        <v>68.328</v>
      </c>
      <c r="BF141" t="n">
        <v>8.9176</v>
      </c>
      <c r="BG141" t="n">
        <v>0.77</v>
      </c>
      <c r="BH141" t="n">
        <v>5962.380796939026</v>
      </c>
      <c r="BI141" t="n">
        <v>1.039640050119603</v>
      </c>
      <c r="BJ141" t="n">
        <v>6198.7299</v>
      </c>
    </row>
    <row r="142">
      <c r="A142" t="n">
        <v>5327</v>
      </c>
      <c r="B142" t="inlineStr">
        <is>
          <t>01-02-2021</t>
        </is>
      </c>
      <c r="C142" t="n">
        <v>2021</v>
      </c>
      <c r="D142" t="n">
        <v>1</v>
      </c>
      <c r="E142" t="inlineStr">
        <is>
          <t>CAREN</t>
        </is>
      </c>
      <c r="F142" t="inlineStr">
        <is>
          <t>SUM_SAESA_A</t>
        </is>
      </c>
      <c r="G142" t="inlineStr">
        <is>
          <t>A</t>
        </is>
      </c>
      <c r="H142" t="inlineStr">
        <is>
          <t>SAESA</t>
        </is>
      </c>
      <c r="I142" t="inlineStr">
        <is>
          <t>SAESMELIBLOQA</t>
        </is>
      </c>
      <c r="J142" t="inlineStr">
        <is>
          <t>MELIPULLI</t>
        </is>
      </c>
      <c r="K142" t="n">
        <v>-31831.45826673</v>
      </c>
      <c r="L142" t="inlineStr">
        <is>
          <t>MELIPULLI</t>
        </is>
      </c>
      <c r="M142" t="inlineStr">
        <is>
          <t>VALDIVIA</t>
        </is>
      </c>
      <c r="N142" t="n">
        <v>0.0001899181297</v>
      </c>
      <c r="O142" t="n">
        <v>6.045371</v>
      </c>
      <c r="P142" t="inlineStr">
        <is>
          <t>BS1A</t>
        </is>
      </c>
      <c r="Q142" t="n">
        <v>2</v>
      </c>
      <c r="W142" t="n">
        <v>2</v>
      </c>
      <c r="X142" t="n">
        <v>0</v>
      </c>
      <c r="AA142" t="inlineStr">
        <is>
          <t>PNP_6T_08-05-2020</t>
        </is>
      </c>
      <c r="AB142" t="inlineStr">
        <is>
          <t>PNCP_9T_12-08-2019</t>
        </is>
      </c>
      <c r="AC142" t="inlineStr">
        <is>
          <t>PNCP_4T_30-04-2013</t>
        </is>
      </c>
      <c r="AD142" t="inlineStr">
        <is>
          <t>VALDIVIA 220</t>
        </is>
      </c>
      <c r="AE142" t="n">
        <v>111.133</v>
      </c>
      <c r="AF142" t="n">
        <v>1.072776031070834</v>
      </c>
      <c r="AG142" t="n">
        <v>119.220818660995</v>
      </c>
      <c r="AH142" t="n">
        <v>694.38</v>
      </c>
      <c r="AI142" t="n">
        <v>0.875</v>
      </c>
      <c r="AJ142" t="n">
        <v>72.43648305409401</v>
      </c>
      <c r="AK142" t="n">
        <v>0.913</v>
      </c>
      <c r="AL142" t="n">
        <v>66.13500000000001</v>
      </c>
      <c r="AM142" t="n">
        <v>8.9176</v>
      </c>
      <c r="AN142" t="n">
        <v>9.566587534677272</v>
      </c>
      <c r="AO142" t="n">
        <v>0.913</v>
      </c>
      <c r="AP142" t="n">
        <v>6064.919358776563</v>
      </c>
      <c r="AQ142" t="n">
        <v>1.051287819142954</v>
      </c>
      <c r="AR142" t="n">
        <v>6375.9758</v>
      </c>
      <c r="AT142" t="inlineStr">
        <is>
          <t>PNP_19T_30-12-2020</t>
        </is>
      </c>
      <c r="AU142" t="inlineStr">
        <is>
          <t>PNCP_12T_10-08-2020</t>
        </is>
      </c>
      <c r="AV142" t="inlineStr">
        <is>
          <t>PNCP_4T_30-04-2013</t>
        </is>
      </c>
      <c r="AW142" t="inlineStr">
        <is>
          <t>VALDIVIA 220</t>
        </is>
      </c>
      <c r="AX142" t="n">
        <v>111.133</v>
      </c>
      <c r="AY142" t="n">
        <v>1.083385174100913</v>
      </c>
      <c r="AZ142" t="n">
        <v>120.3998445533567</v>
      </c>
      <c r="BA142" t="n">
        <v>801.49</v>
      </c>
      <c r="BB142" t="n">
        <v>0.905</v>
      </c>
      <c r="BC142" t="n">
        <v>87.33184062701827</v>
      </c>
      <c r="BD142" t="n">
        <v>0.8745000000000001</v>
      </c>
      <c r="BE142" t="n">
        <v>76.372</v>
      </c>
      <c r="BF142" t="n">
        <v>8.9176</v>
      </c>
      <c r="BG142" t="n">
        <v>0.77</v>
      </c>
      <c r="BH142" t="n">
        <v>5962.380796939026</v>
      </c>
      <c r="BI142" t="n">
        <v>1.148014846473962</v>
      </c>
      <c r="BJ142" t="n">
        <v>6844.9017</v>
      </c>
    </row>
    <row r="143">
      <c r="A143" t="n">
        <v>4063</v>
      </c>
      <c r="B143" t="inlineStr">
        <is>
          <t>01-02-2021</t>
        </is>
      </c>
      <c r="C143" t="n">
        <v>2021</v>
      </c>
      <c r="D143" t="n">
        <v>1</v>
      </c>
      <c r="E143" t="inlineStr">
        <is>
          <t>CAREN</t>
        </is>
      </c>
      <c r="F143" t="inlineStr">
        <is>
          <t>SUM_SAESA_A</t>
        </is>
      </c>
      <c r="G143" t="inlineStr">
        <is>
          <t>A</t>
        </is>
      </c>
      <c r="H143" t="inlineStr">
        <is>
          <t>SAESA</t>
        </is>
      </c>
      <c r="I143" t="inlineStr">
        <is>
          <t>SAESOSORBLOQA</t>
        </is>
      </c>
      <c r="J143" t="inlineStr">
        <is>
          <t>OSORNO</t>
        </is>
      </c>
      <c r="K143" t="n">
        <v>-18231.9999648</v>
      </c>
      <c r="L143" t="inlineStr">
        <is>
          <t>OSORNO</t>
        </is>
      </c>
      <c r="M143" t="inlineStr">
        <is>
          <t>BARRO BLANCO</t>
        </is>
      </c>
      <c r="N143" t="n">
        <v>0.78616844112992</v>
      </c>
      <c r="O143" t="n">
        <v>14333.422991</v>
      </c>
      <c r="P143" t="inlineStr">
        <is>
          <t>BS1A</t>
        </is>
      </c>
      <c r="Q143" t="n">
        <v>2</v>
      </c>
      <c r="W143" t="n">
        <v>2</v>
      </c>
      <c r="X143" t="n">
        <v>0</v>
      </c>
      <c r="AA143" t="inlineStr">
        <is>
          <t>PNP_6T_08-05-2020</t>
        </is>
      </c>
      <c r="AB143" t="inlineStr">
        <is>
          <t>PNCP_9T_12-08-2019</t>
        </is>
      </c>
      <c r="AC143" t="inlineStr">
        <is>
          <t>PNCP_4T_30-04-2013</t>
        </is>
      </c>
      <c r="AD143" t="inlineStr">
        <is>
          <t>Barro Blanco 220</t>
        </is>
      </c>
      <c r="AE143" t="n">
        <v>111.133</v>
      </c>
      <c r="AF143" t="n">
        <v>1.072776031070834</v>
      </c>
      <c r="AG143" t="n">
        <v>119.220818660995</v>
      </c>
      <c r="AH143" t="n">
        <v>694.38</v>
      </c>
      <c r="AI143" t="n">
        <v>0.875</v>
      </c>
      <c r="AJ143" t="n">
        <v>72.43648305409401</v>
      </c>
      <c r="AK143" t="n">
        <v>0.8631</v>
      </c>
      <c r="AL143" t="n">
        <v>62.52</v>
      </c>
      <c r="AM143" t="n">
        <v>8.9176</v>
      </c>
      <c r="AN143" t="n">
        <v>9.566587534677272</v>
      </c>
      <c r="AO143" t="n">
        <v>0.913</v>
      </c>
      <c r="AP143" t="n">
        <v>6064.919358776563</v>
      </c>
      <c r="AQ143" t="n">
        <v>1.004432825642191</v>
      </c>
      <c r="AR143" t="n">
        <v>6091.8041</v>
      </c>
      <c r="AT143" t="inlineStr">
        <is>
          <t>PNP_19T_30-12-2020</t>
        </is>
      </c>
      <c r="AU143" t="inlineStr">
        <is>
          <t>PNCP_12T_10-08-2020</t>
        </is>
      </c>
      <c r="AV143" t="inlineStr">
        <is>
          <t>PNCP_4T_30-04-2013</t>
        </is>
      </c>
      <c r="AW143" t="inlineStr">
        <is>
          <t>Barro Blanco 220</t>
        </is>
      </c>
      <c r="AX143" t="n">
        <v>111.133</v>
      </c>
      <c r="AY143" t="n">
        <v>1.083385174100913</v>
      </c>
      <c r="AZ143" t="n">
        <v>120.3998445533567</v>
      </c>
      <c r="BA143" t="n">
        <v>801.49</v>
      </c>
      <c r="BB143" t="n">
        <v>0.905</v>
      </c>
      <c r="BC143" t="n">
        <v>87.33184062701827</v>
      </c>
      <c r="BD143" t="n">
        <v>0.7946</v>
      </c>
      <c r="BE143" t="n">
        <v>69.39400000000001</v>
      </c>
      <c r="BF143" t="n">
        <v>8.9176</v>
      </c>
      <c r="BG143" t="n">
        <v>0.77</v>
      </c>
      <c r="BH143" t="n">
        <v>5962.380796939026</v>
      </c>
      <c r="BI143" t="n">
        <v>1.047283473516708</v>
      </c>
      <c r="BJ143" t="n">
        <v>6244.3029</v>
      </c>
    </row>
    <row r="144">
      <c r="A144" t="n">
        <v>4065</v>
      </c>
      <c r="B144" t="inlineStr">
        <is>
          <t>01-02-2021</t>
        </is>
      </c>
      <c r="C144" t="n">
        <v>2021</v>
      </c>
      <c r="D144" t="n">
        <v>1</v>
      </c>
      <c r="E144" t="inlineStr">
        <is>
          <t>CAREN</t>
        </is>
      </c>
      <c r="F144" t="inlineStr">
        <is>
          <t>SUM_SAESA_A</t>
        </is>
      </c>
      <c r="G144" t="inlineStr">
        <is>
          <t>A</t>
        </is>
      </c>
      <c r="H144" t="inlineStr">
        <is>
          <t>SAESA</t>
        </is>
      </c>
      <c r="I144" t="inlineStr">
        <is>
          <t>SAESOSORBLOQA</t>
        </is>
      </c>
      <c r="J144" t="inlineStr">
        <is>
          <t>OSORNO</t>
        </is>
      </c>
      <c r="K144" t="n">
        <v>-18231.9999648</v>
      </c>
      <c r="L144" t="inlineStr">
        <is>
          <t>OSORNO</t>
        </is>
      </c>
      <c r="M144" t="inlineStr">
        <is>
          <t>MELIPULLI</t>
        </is>
      </c>
      <c r="N144" t="n">
        <v>0.04443303733604</v>
      </c>
      <c r="O144" t="n">
        <v>810.103135</v>
      </c>
      <c r="P144" t="inlineStr">
        <is>
          <t>BS1A</t>
        </is>
      </c>
      <c r="Q144" t="n">
        <v>2</v>
      </c>
      <c r="W144" t="n">
        <v>2</v>
      </c>
      <c r="X144" t="n">
        <v>0</v>
      </c>
      <c r="AA144" t="inlineStr">
        <is>
          <t>PNP_6T_08-05-2020</t>
        </is>
      </c>
      <c r="AB144" t="inlineStr">
        <is>
          <t>PNCP_9T_12-08-2019</t>
        </is>
      </c>
      <c r="AC144" t="inlineStr">
        <is>
          <t>PNCP_4T_30-04-2013</t>
        </is>
      </c>
      <c r="AD144" t="inlineStr">
        <is>
          <t>MELIPULLI 220</t>
        </is>
      </c>
      <c r="AE144" t="n">
        <v>111.133</v>
      </c>
      <c r="AF144" t="n">
        <v>1.072776031070834</v>
      </c>
      <c r="AG144" t="n">
        <v>119.220818660995</v>
      </c>
      <c r="AH144" t="n">
        <v>694.38</v>
      </c>
      <c r="AI144" t="n">
        <v>0.875</v>
      </c>
      <c r="AJ144" t="n">
        <v>72.43648305409401</v>
      </c>
      <c r="AK144" t="n">
        <v>0.8826000000000001</v>
      </c>
      <c r="AL144" t="n">
        <v>63.932</v>
      </c>
      <c r="AM144" t="n">
        <v>8.9176</v>
      </c>
      <c r="AN144" t="n">
        <v>9.566587534677272</v>
      </c>
      <c r="AO144" t="n">
        <v>0.913</v>
      </c>
      <c r="AP144" t="n">
        <v>6064.919358776563</v>
      </c>
      <c r="AQ144" t="n">
        <v>1</v>
      </c>
      <c r="AR144" t="n">
        <v>6064.9194</v>
      </c>
      <c r="AT144" t="inlineStr">
        <is>
          <t>PNP_19T_30-12-2020</t>
        </is>
      </c>
      <c r="AU144" t="inlineStr">
        <is>
          <t>PNCP_12T_10-08-2020</t>
        </is>
      </c>
      <c r="AV144" t="inlineStr">
        <is>
          <t>PNCP_4T_30-04-2013</t>
        </is>
      </c>
      <c r="AW144" t="inlineStr">
        <is>
          <t>MELIPULLI 220</t>
        </is>
      </c>
      <c r="AX144" t="n">
        <v>111.133</v>
      </c>
      <c r="AY144" t="n">
        <v>1.083385174100913</v>
      </c>
      <c r="AZ144" t="n">
        <v>120.3998445533567</v>
      </c>
      <c r="BA144" t="n">
        <v>801.49</v>
      </c>
      <c r="BB144" t="n">
        <v>0.905</v>
      </c>
      <c r="BC144" t="n">
        <v>87.33184062701827</v>
      </c>
      <c r="BD144" t="n">
        <v>0.7824</v>
      </c>
      <c r="BE144" t="n">
        <v>68.328</v>
      </c>
      <c r="BF144" t="n">
        <v>8.9176</v>
      </c>
      <c r="BG144" t="n">
        <v>0.77</v>
      </c>
      <c r="BH144" t="n">
        <v>5962.380796939026</v>
      </c>
      <c r="BI144" t="n">
        <v>1</v>
      </c>
      <c r="BJ144" t="n">
        <v>5962.3808</v>
      </c>
    </row>
    <row r="145">
      <c r="A145" t="n">
        <v>4067</v>
      </c>
      <c r="B145" t="inlineStr">
        <is>
          <t>01-02-2021</t>
        </is>
      </c>
      <c r="C145" t="n">
        <v>2021</v>
      </c>
      <c r="D145" t="n">
        <v>1</v>
      </c>
      <c r="E145" t="inlineStr">
        <is>
          <t>CAREN</t>
        </is>
      </c>
      <c r="F145" t="inlineStr">
        <is>
          <t>SUM_SAESA_A</t>
        </is>
      </c>
      <c r="G145" t="inlineStr">
        <is>
          <t>A</t>
        </is>
      </c>
      <c r="H145" t="inlineStr">
        <is>
          <t>SAESA</t>
        </is>
      </c>
      <c r="I145" t="inlineStr">
        <is>
          <t>SAESOSORBLOQA</t>
        </is>
      </c>
      <c r="J145" t="inlineStr">
        <is>
          <t>OSORNO</t>
        </is>
      </c>
      <c r="K145" t="n">
        <v>-18231.9999648</v>
      </c>
      <c r="L145" t="inlineStr">
        <is>
          <t>OSORNO</t>
        </is>
      </c>
      <c r="M145" t="inlineStr">
        <is>
          <t>VALDIVIA</t>
        </is>
      </c>
      <c r="N145" t="n">
        <v>0.12401606703963</v>
      </c>
      <c r="O145" t="n">
        <v>2261.06093</v>
      </c>
      <c r="P145" t="inlineStr">
        <is>
          <t>BS1A</t>
        </is>
      </c>
      <c r="Q145" t="n">
        <v>2</v>
      </c>
      <c r="W145" t="n">
        <v>2</v>
      </c>
      <c r="X145" t="n">
        <v>0</v>
      </c>
      <c r="AA145" t="inlineStr">
        <is>
          <t>PNP_6T_08-05-2020</t>
        </is>
      </c>
      <c r="AB145" t="inlineStr">
        <is>
          <t>PNCP_9T_12-08-2019</t>
        </is>
      </c>
      <c r="AC145" t="inlineStr">
        <is>
          <t>PNCP_4T_30-04-2013</t>
        </is>
      </c>
      <c r="AD145" t="inlineStr">
        <is>
          <t>VALDIVIA 220</t>
        </is>
      </c>
      <c r="AE145" t="n">
        <v>111.133</v>
      </c>
      <c r="AF145" t="n">
        <v>1.072776031070834</v>
      </c>
      <c r="AG145" t="n">
        <v>119.220818660995</v>
      </c>
      <c r="AH145" t="n">
        <v>694.38</v>
      </c>
      <c r="AI145" t="n">
        <v>0.875</v>
      </c>
      <c r="AJ145" t="n">
        <v>72.43648305409401</v>
      </c>
      <c r="AK145" t="n">
        <v>0.913</v>
      </c>
      <c r="AL145" t="n">
        <v>66.13500000000001</v>
      </c>
      <c r="AM145" t="n">
        <v>8.9176</v>
      </c>
      <c r="AN145" t="n">
        <v>9.566587534677272</v>
      </c>
      <c r="AO145" t="n">
        <v>0.913</v>
      </c>
      <c r="AP145" t="n">
        <v>6064.919358776563</v>
      </c>
      <c r="AQ145" t="n">
        <v>1.051287819142954</v>
      </c>
      <c r="AR145" t="n">
        <v>6375.9758</v>
      </c>
      <c r="AT145" t="inlineStr">
        <is>
          <t>PNP_19T_30-12-2020</t>
        </is>
      </c>
      <c r="AU145" t="inlineStr">
        <is>
          <t>PNCP_12T_10-08-2020</t>
        </is>
      </c>
      <c r="AV145" t="inlineStr">
        <is>
          <t>PNCP_4T_30-04-2013</t>
        </is>
      </c>
      <c r="AW145" t="inlineStr">
        <is>
          <t>VALDIVIA 220</t>
        </is>
      </c>
      <c r="AX145" t="n">
        <v>111.133</v>
      </c>
      <c r="AY145" t="n">
        <v>1.083385174100913</v>
      </c>
      <c r="AZ145" t="n">
        <v>120.3998445533567</v>
      </c>
      <c r="BA145" t="n">
        <v>801.49</v>
      </c>
      <c r="BB145" t="n">
        <v>0.905</v>
      </c>
      <c r="BC145" t="n">
        <v>87.33184062701827</v>
      </c>
      <c r="BD145" t="n">
        <v>0.8745000000000001</v>
      </c>
      <c r="BE145" t="n">
        <v>76.372</v>
      </c>
      <c r="BF145" t="n">
        <v>8.9176</v>
      </c>
      <c r="BG145" t="n">
        <v>0.77</v>
      </c>
      <c r="BH145" t="n">
        <v>5962.380796939026</v>
      </c>
      <c r="BI145" t="n">
        <v>1.148014846473962</v>
      </c>
      <c r="BJ145" t="n">
        <v>6844.9017</v>
      </c>
    </row>
    <row r="146">
      <c r="A146" t="n">
        <v>5321</v>
      </c>
      <c r="B146" t="inlineStr">
        <is>
          <t>01-02-2021</t>
        </is>
      </c>
      <c r="C146" t="n">
        <v>2021</v>
      </c>
      <c r="D146" t="n">
        <v>1</v>
      </c>
      <c r="E146" t="inlineStr">
        <is>
          <t>CAREN</t>
        </is>
      </c>
      <c r="F146" t="inlineStr">
        <is>
          <t>SUM_SAESA_A</t>
        </is>
      </c>
      <c r="G146" t="inlineStr">
        <is>
          <t>A</t>
        </is>
      </c>
      <c r="H146" t="inlineStr">
        <is>
          <t>SAESA</t>
        </is>
      </c>
      <c r="I146" t="inlineStr">
        <is>
          <t>SAESPVARBLOQA</t>
        </is>
      </c>
      <c r="J146" t="inlineStr">
        <is>
          <t>P.VARAS</t>
        </is>
      </c>
      <c r="K146" t="n">
        <v>-6448.40633569</v>
      </c>
      <c r="L146" t="inlineStr">
        <is>
          <t>PUERTO VARAS</t>
        </is>
      </c>
      <c r="M146" t="inlineStr">
        <is>
          <t>BARRO BLANCO</t>
        </is>
      </c>
      <c r="N146" t="n">
        <v>0.15766115320888</v>
      </c>
      <c r="O146" t="n">
        <v>1016.663179</v>
      </c>
      <c r="P146" t="inlineStr">
        <is>
          <t>BS1A</t>
        </is>
      </c>
      <c r="Q146" t="n">
        <v>2</v>
      </c>
      <c r="W146" t="n">
        <v>2</v>
      </c>
      <c r="X146" t="n">
        <v>0</v>
      </c>
      <c r="AA146" t="inlineStr">
        <is>
          <t>PNP_6T_08-05-2020</t>
        </is>
      </c>
      <c r="AB146" t="inlineStr">
        <is>
          <t>PNCP_9T_12-08-2019</t>
        </is>
      </c>
      <c r="AC146" t="inlineStr">
        <is>
          <t>PNCP_4T_30-04-2013</t>
        </is>
      </c>
      <c r="AD146" t="inlineStr">
        <is>
          <t>Barro Blanco 220</t>
        </is>
      </c>
      <c r="AE146" t="n">
        <v>111.133</v>
      </c>
      <c r="AF146" t="n">
        <v>1.072776031070834</v>
      </c>
      <c r="AG146" t="n">
        <v>119.220818660995</v>
      </c>
      <c r="AH146" t="n">
        <v>694.38</v>
      </c>
      <c r="AI146" t="n">
        <v>0.875</v>
      </c>
      <c r="AJ146" t="n">
        <v>72.43648305409401</v>
      </c>
      <c r="AK146" t="n">
        <v>0.8631</v>
      </c>
      <c r="AL146" t="n">
        <v>62.52</v>
      </c>
      <c r="AM146" t="n">
        <v>8.9176</v>
      </c>
      <c r="AN146" t="n">
        <v>9.566587534677272</v>
      </c>
      <c r="AO146" t="n">
        <v>0.913</v>
      </c>
      <c r="AP146" t="n">
        <v>6064.919358776563</v>
      </c>
      <c r="AQ146" t="n">
        <v>1.004432825642191</v>
      </c>
      <c r="AR146" t="n">
        <v>6091.8041</v>
      </c>
      <c r="AT146" t="inlineStr">
        <is>
          <t>PNP_19T_30-12-2020</t>
        </is>
      </c>
      <c r="AU146" t="inlineStr">
        <is>
          <t>PNCP_12T_10-08-2020</t>
        </is>
      </c>
      <c r="AV146" t="inlineStr">
        <is>
          <t>PNCP_4T_30-04-2013</t>
        </is>
      </c>
      <c r="AW146" t="inlineStr">
        <is>
          <t>Barro Blanco 220</t>
        </is>
      </c>
      <c r="AX146" t="n">
        <v>111.133</v>
      </c>
      <c r="AY146" t="n">
        <v>1.083385174100913</v>
      </c>
      <c r="AZ146" t="n">
        <v>120.3998445533567</v>
      </c>
      <c r="BA146" t="n">
        <v>801.49</v>
      </c>
      <c r="BB146" t="n">
        <v>0.905</v>
      </c>
      <c r="BC146" t="n">
        <v>87.33184062701827</v>
      </c>
      <c r="BD146" t="n">
        <v>0.7946</v>
      </c>
      <c r="BE146" t="n">
        <v>69.39400000000001</v>
      </c>
      <c r="BF146" t="n">
        <v>8.9176</v>
      </c>
      <c r="BG146" t="n">
        <v>0.77</v>
      </c>
      <c r="BH146" t="n">
        <v>5962.380796939026</v>
      </c>
      <c r="BI146" t="n">
        <v>1.047283473516708</v>
      </c>
      <c r="BJ146" t="n">
        <v>6244.3029</v>
      </c>
    </row>
    <row r="147">
      <c r="A147" t="n">
        <v>5323</v>
      </c>
      <c r="B147" t="inlineStr">
        <is>
          <t>01-02-2021</t>
        </is>
      </c>
      <c r="C147" t="n">
        <v>2021</v>
      </c>
      <c r="D147" t="n">
        <v>1</v>
      </c>
      <c r="E147" t="inlineStr">
        <is>
          <t>CAREN</t>
        </is>
      </c>
      <c r="F147" t="inlineStr">
        <is>
          <t>SUM_SAESA_A</t>
        </is>
      </c>
      <c r="G147" t="inlineStr">
        <is>
          <t>A</t>
        </is>
      </c>
      <c r="H147" t="inlineStr">
        <is>
          <t>SAESA</t>
        </is>
      </c>
      <c r="I147" t="inlineStr">
        <is>
          <t>SAESPVARBLOQA</t>
        </is>
      </c>
      <c r="J147" t="inlineStr">
        <is>
          <t>P.VARAS</t>
        </is>
      </c>
      <c r="K147" t="n">
        <v>-6448.40633569</v>
      </c>
      <c r="L147" t="inlineStr">
        <is>
          <t>PUERTO VARAS</t>
        </is>
      </c>
      <c r="M147" t="inlineStr">
        <is>
          <t>MELIPULLI</t>
        </is>
      </c>
      <c r="N147" t="n">
        <v>0.61749565738</v>
      </c>
      <c r="O147" t="n">
        <v>3981.862909</v>
      </c>
      <c r="P147" t="inlineStr">
        <is>
          <t>BS1A</t>
        </is>
      </c>
      <c r="Q147" t="n">
        <v>2</v>
      </c>
      <c r="W147" t="n">
        <v>2</v>
      </c>
      <c r="X147" t="n">
        <v>0</v>
      </c>
      <c r="AA147" t="inlineStr">
        <is>
          <t>PNP_6T_08-05-2020</t>
        </is>
      </c>
      <c r="AB147" t="inlineStr">
        <is>
          <t>PNCP_9T_12-08-2019</t>
        </is>
      </c>
      <c r="AC147" t="inlineStr">
        <is>
          <t>PNCP_4T_30-04-2013</t>
        </is>
      </c>
      <c r="AD147" t="inlineStr">
        <is>
          <t>MELIPULLI 220</t>
        </is>
      </c>
      <c r="AE147" t="n">
        <v>111.133</v>
      </c>
      <c r="AF147" t="n">
        <v>1.072776031070834</v>
      </c>
      <c r="AG147" t="n">
        <v>119.220818660995</v>
      </c>
      <c r="AH147" t="n">
        <v>694.38</v>
      </c>
      <c r="AI147" t="n">
        <v>0.875</v>
      </c>
      <c r="AJ147" t="n">
        <v>72.43648305409401</v>
      </c>
      <c r="AK147" t="n">
        <v>0.8826000000000001</v>
      </c>
      <c r="AL147" t="n">
        <v>63.932</v>
      </c>
      <c r="AM147" t="n">
        <v>8.9176</v>
      </c>
      <c r="AN147" t="n">
        <v>9.566587534677272</v>
      </c>
      <c r="AO147" t="n">
        <v>0.913</v>
      </c>
      <c r="AP147" t="n">
        <v>6064.919358776563</v>
      </c>
      <c r="AQ147" t="n">
        <v>1</v>
      </c>
      <c r="AR147" t="n">
        <v>6064.9194</v>
      </c>
      <c r="AT147" t="inlineStr">
        <is>
          <t>PNP_19T_30-12-2020</t>
        </is>
      </c>
      <c r="AU147" t="inlineStr">
        <is>
          <t>PNCP_12T_10-08-2020</t>
        </is>
      </c>
      <c r="AV147" t="inlineStr">
        <is>
          <t>PNCP_4T_30-04-2013</t>
        </is>
      </c>
      <c r="AW147" t="inlineStr">
        <is>
          <t>MELIPULLI 220</t>
        </is>
      </c>
      <c r="AX147" t="n">
        <v>111.133</v>
      </c>
      <c r="AY147" t="n">
        <v>1.083385174100913</v>
      </c>
      <c r="AZ147" t="n">
        <v>120.3998445533567</v>
      </c>
      <c r="BA147" t="n">
        <v>801.49</v>
      </c>
      <c r="BB147" t="n">
        <v>0.905</v>
      </c>
      <c r="BC147" t="n">
        <v>87.33184062701827</v>
      </c>
      <c r="BD147" t="n">
        <v>0.7824</v>
      </c>
      <c r="BE147" t="n">
        <v>68.328</v>
      </c>
      <c r="BF147" t="n">
        <v>8.9176</v>
      </c>
      <c r="BG147" t="n">
        <v>0.77</v>
      </c>
      <c r="BH147" t="n">
        <v>5962.380796939026</v>
      </c>
      <c r="BI147" t="n">
        <v>1</v>
      </c>
      <c r="BJ147" t="n">
        <v>5962.3808</v>
      </c>
    </row>
    <row r="148">
      <c r="A148" t="n">
        <v>5325</v>
      </c>
      <c r="B148" t="inlineStr">
        <is>
          <t>01-02-2021</t>
        </is>
      </c>
      <c r="C148" t="n">
        <v>2021</v>
      </c>
      <c r="D148" t="n">
        <v>1</v>
      </c>
      <c r="E148" t="inlineStr">
        <is>
          <t>CAREN</t>
        </is>
      </c>
      <c r="F148" t="inlineStr">
        <is>
          <t>SUM_SAESA_A</t>
        </is>
      </c>
      <c r="G148" t="inlineStr">
        <is>
          <t>A</t>
        </is>
      </c>
      <c r="H148" t="inlineStr">
        <is>
          <t>SAESA</t>
        </is>
      </c>
      <c r="I148" t="inlineStr">
        <is>
          <t>SAESPVARBLOQA</t>
        </is>
      </c>
      <c r="J148" t="inlineStr">
        <is>
          <t>P.VARAS</t>
        </is>
      </c>
      <c r="K148" t="n">
        <v>-6448.40633569</v>
      </c>
      <c r="L148" t="inlineStr">
        <is>
          <t>PUERTO VARAS</t>
        </is>
      </c>
      <c r="M148" t="inlineStr">
        <is>
          <t>Puerto Montt</t>
        </is>
      </c>
      <c r="N148" t="n">
        <v>0.7715646681477401</v>
      </c>
      <c r="O148" t="n">
        <v>4975.362494</v>
      </c>
      <c r="P148" t="inlineStr">
        <is>
          <t>BS1A</t>
        </is>
      </c>
      <c r="Q148" t="n">
        <v>2</v>
      </c>
      <c r="W148" t="n">
        <v>2</v>
      </c>
      <c r="X148" t="n">
        <v>0</v>
      </c>
      <c r="AA148" t="inlineStr">
        <is>
          <t>PNP_6T_08-05-2020</t>
        </is>
      </c>
      <c r="AB148" t="inlineStr">
        <is>
          <t>PNCP_9T_12-08-2019</t>
        </is>
      </c>
      <c r="AC148" t="inlineStr">
        <is>
          <t>PNCP_4T_30-04-2013</t>
        </is>
      </c>
      <c r="AD148" t="inlineStr">
        <is>
          <t>PUERTO MONTT 220</t>
        </is>
      </c>
      <c r="AE148" t="n">
        <v>111.133</v>
      </c>
      <c r="AF148" t="n">
        <v>1.072776031070834</v>
      </c>
      <c r="AG148" t="n">
        <v>119.220818660995</v>
      </c>
      <c r="AH148" t="n">
        <v>694.38</v>
      </c>
      <c r="AI148" t="n">
        <v>0.875</v>
      </c>
      <c r="AJ148" t="n">
        <v>72.43648305409401</v>
      </c>
      <c r="AK148" t="n">
        <v>0.8826000000000001</v>
      </c>
      <c r="AL148" t="n">
        <v>63.932</v>
      </c>
      <c r="AM148" t="n">
        <v>8.9176</v>
      </c>
      <c r="AN148" t="n">
        <v>9.566587534677272</v>
      </c>
      <c r="AO148" t="n">
        <v>0.913</v>
      </c>
      <c r="AP148" t="n">
        <v>6064.919358776563</v>
      </c>
      <c r="AQ148" t="n">
        <v>1.016858412119831</v>
      </c>
      <c r="AR148" t="n">
        <v>6167.1643</v>
      </c>
      <c r="AT148" t="inlineStr">
        <is>
          <t>PNP_19T_30-12-2020</t>
        </is>
      </c>
      <c r="AU148" t="inlineStr">
        <is>
          <t>PNCP_12T_10-08-2020</t>
        </is>
      </c>
      <c r="AV148" t="inlineStr">
        <is>
          <t>PNCP_4T_30-04-2013</t>
        </is>
      </c>
      <c r="AW148" t="inlineStr">
        <is>
          <t>PUERTO MONTT 220</t>
        </is>
      </c>
      <c r="AX148" t="n">
        <v>111.133</v>
      </c>
      <c r="AY148" t="n">
        <v>1.083385174100913</v>
      </c>
      <c r="AZ148" t="n">
        <v>120.3998445533567</v>
      </c>
      <c r="BA148" t="n">
        <v>801.49</v>
      </c>
      <c r="BB148" t="n">
        <v>0.905</v>
      </c>
      <c r="BC148" t="n">
        <v>87.33184062701827</v>
      </c>
      <c r="BD148" t="n">
        <v>0.7824</v>
      </c>
      <c r="BE148" t="n">
        <v>68.328</v>
      </c>
      <c r="BF148" t="n">
        <v>8.9176</v>
      </c>
      <c r="BG148" t="n">
        <v>0.77</v>
      </c>
      <c r="BH148" t="n">
        <v>5962.380796939026</v>
      </c>
      <c r="BI148" t="n">
        <v>1.039640050119603</v>
      </c>
      <c r="BJ148" t="n">
        <v>6198.7299</v>
      </c>
    </row>
    <row r="149">
      <c r="A149" t="n">
        <v>5327</v>
      </c>
      <c r="B149" t="inlineStr">
        <is>
          <t>01-02-2021</t>
        </is>
      </c>
      <c r="C149" t="n">
        <v>2021</v>
      </c>
      <c r="D149" t="n">
        <v>1</v>
      </c>
      <c r="E149" t="inlineStr">
        <is>
          <t>CAREN</t>
        </is>
      </c>
      <c r="F149" t="inlineStr">
        <is>
          <t>SUM_SAESA_A</t>
        </is>
      </c>
      <c r="G149" t="inlineStr">
        <is>
          <t>A</t>
        </is>
      </c>
      <c r="H149" t="inlineStr">
        <is>
          <t>SAESA</t>
        </is>
      </c>
      <c r="I149" t="inlineStr">
        <is>
          <t>SAESPVARBLOQA</t>
        </is>
      </c>
      <c r="J149" t="inlineStr">
        <is>
          <t>P.VARAS</t>
        </is>
      </c>
      <c r="K149" t="n">
        <v>-6448.40633569</v>
      </c>
      <c r="L149" t="inlineStr">
        <is>
          <t>PUERTO VARAS</t>
        </is>
      </c>
      <c r="M149" t="inlineStr">
        <is>
          <t>VALDIVIA</t>
        </is>
      </c>
      <c r="N149" t="n">
        <v>0.00141259278969</v>
      </c>
      <c r="O149" t="n">
        <v>9.108972</v>
      </c>
      <c r="P149" t="inlineStr">
        <is>
          <t>BS1A</t>
        </is>
      </c>
      <c r="Q149" t="n">
        <v>2</v>
      </c>
      <c r="W149" t="n">
        <v>2</v>
      </c>
      <c r="X149" t="n">
        <v>0</v>
      </c>
      <c r="AA149" t="inlineStr">
        <is>
          <t>PNP_6T_08-05-2020</t>
        </is>
      </c>
      <c r="AB149" t="inlineStr">
        <is>
          <t>PNCP_9T_12-08-2019</t>
        </is>
      </c>
      <c r="AC149" t="inlineStr">
        <is>
          <t>PNCP_4T_30-04-2013</t>
        </is>
      </c>
      <c r="AD149" t="inlineStr">
        <is>
          <t>VALDIVIA 220</t>
        </is>
      </c>
      <c r="AE149" t="n">
        <v>111.133</v>
      </c>
      <c r="AF149" t="n">
        <v>1.072776031070834</v>
      </c>
      <c r="AG149" t="n">
        <v>119.220818660995</v>
      </c>
      <c r="AH149" t="n">
        <v>694.38</v>
      </c>
      <c r="AI149" t="n">
        <v>0.875</v>
      </c>
      <c r="AJ149" t="n">
        <v>72.43648305409401</v>
      </c>
      <c r="AK149" t="n">
        <v>0.913</v>
      </c>
      <c r="AL149" t="n">
        <v>66.13500000000001</v>
      </c>
      <c r="AM149" t="n">
        <v>8.9176</v>
      </c>
      <c r="AN149" t="n">
        <v>9.566587534677272</v>
      </c>
      <c r="AO149" t="n">
        <v>0.913</v>
      </c>
      <c r="AP149" t="n">
        <v>6064.919358776563</v>
      </c>
      <c r="AQ149" t="n">
        <v>1.051287819142954</v>
      </c>
      <c r="AR149" t="n">
        <v>6375.9758</v>
      </c>
      <c r="AT149" t="inlineStr">
        <is>
          <t>PNP_19T_30-12-2020</t>
        </is>
      </c>
      <c r="AU149" t="inlineStr">
        <is>
          <t>PNCP_12T_10-08-2020</t>
        </is>
      </c>
      <c r="AV149" t="inlineStr">
        <is>
          <t>PNCP_4T_30-04-2013</t>
        </is>
      </c>
      <c r="AW149" t="inlineStr">
        <is>
          <t>VALDIVIA 220</t>
        </is>
      </c>
      <c r="AX149" t="n">
        <v>111.133</v>
      </c>
      <c r="AY149" t="n">
        <v>1.083385174100913</v>
      </c>
      <c r="AZ149" t="n">
        <v>120.3998445533567</v>
      </c>
      <c r="BA149" t="n">
        <v>801.49</v>
      </c>
      <c r="BB149" t="n">
        <v>0.905</v>
      </c>
      <c r="BC149" t="n">
        <v>87.33184062701827</v>
      </c>
      <c r="BD149" t="n">
        <v>0.8745000000000001</v>
      </c>
      <c r="BE149" t="n">
        <v>76.372</v>
      </c>
      <c r="BF149" t="n">
        <v>8.9176</v>
      </c>
      <c r="BG149" t="n">
        <v>0.77</v>
      </c>
      <c r="BH149" t="n">
        <v>5962.380796939026</v>
      </c>
      <c r="BI149" t="n">
        <v>1.148014846473962</v>
      </c>
      <c r="BJ149" t="n">
        <v>6844.9017</v>
      </c>
    </row>
    <row r="150">
      <c r="A150" t="n">
        <v>2023</v>
      </c>
      <c r="B150" t="inlineStr">
        <is>
          <t>01-02-2021</t>
        </is>
      </c>
      <c r="C150" t="n">
        <v>2021</v>
      </c>
      <c r="D150" t="n">
        <v>1</v>
      </c>
      <c r="E150" t="inlineStr">
        <is>
          <t>CAREN</t>
        </is>
      </c>
      <c r="F150" t="inlineStr">
        <is>
          <t>SUM_SAESA_A</t>
        </is>
      </c>
      <c r="G150" t="inlineStr">
        <is>
          <t>A</t>
        </is>
      </c>
      <c r="H150" t="inlineStr">
        <is>
          <t>SAESA</t>
        </is>
      </c>
      <c r="I150" t="inlineStr">
        <is>
          <t>SAESPANGBLOQA</t>
        </is>
      </c>
      <c r="J150" t="inlineStr">
        <is>
          <t>PANGUIPULLI</t>
        </is>
      </c>
      <c r="K150" t="n">
        <v>-7719.00258555</v>
      </c>
      <c r="L150" t="inlineStr">
        <is>
          <t>PANGUIPULLI</t>
        </is>
      </c>
      <c r="M150" t="inlineStr">
        <is>
          <t>Barro Blanco</t>
        </is>
      </c>
      <c r="N150" t="n">
        <v>0.17843880751936</v>
      </c>
      <c r="O150" t="n">
        <v>1377.369617</v>
      </c>
      <c r="P150" t="inlineStr">
        <is>
          <t>BS1A</t>
        </is>
      </c>
      <c r="Q150" t="n">
        <v>2</v>
      </c>
      <c r="W150" t="n">
        <v>2</v>
      </c>
      <c r="X150" t="n">
        <v>0</v>
      </c>
      <c r="AA150" t="inlineStr">
        <is>
          <t>PNP_6T_08-05-2020</t>
        </is>
      </c>
      <c r="AB150" t="inlineStr">
        <is>
          <t>PNCP_9T_12-08-2019</t>
        </is>
      </c>
      <c r="AC150" t="inlineStr">
        <is>
          <t>PNCP_4T_30-04-2013</t>
        </is>
      </c>
      <c r="AD150" t="inlineStr">
        <is>
          <t>Barro Blanco 220</t>
        </is>
      </c>
      <c r="AE150" t="n">
        <v>111.133</v>
      </c>
      <c r="AF150" t="n">
        <v>1.072776031070834</v>
      </c>
      <c r="AG150" t="n">
        <v>119.220818660995</v>
      </c>
      <c r="AH150" t="n">
        <v>694.38</v>
      </c>
      <c r="AI150" t="n">
        <v>0.875</v>
      </c>
      <c r="AJ150" t="n">
        <v>72.43648305409401</v>
      </c>
      <c r="AK150" t="n">
        <v>0.8631</v>
      </c>
      <c r="AL150" t="n">
        <v>62.52</v>
      </c>
      <c r="AM150" t="n">
        <v>8.9176</v>
      </c>
      <c r="AN150" t="n">
        <v>9.566587534677272</v>
      </c>
      <c r="AO150" t="n">
        <v>0.913</v>
      </c>
      <c r="AP150" t="n">
        <v>6064.919358776563</v>
      </c>
      <c r="AQ150" t="n">
        <v>1.004432825642191</v>
      </c>
      <c r="AR150" t="n">
        <v>6091.8041</v>
      </c>
      <c r="AT150" t="inlineStr">
        <is>
          <t>PNP_19T_30-12-2020</t>
        </is>
      </c>
      <c r="AU150" t="inlineStr">
        <is>
          <t>PNCP_12T_10-08-2020</t>
        </is>
      </c>
      <c r="AV150" t="inlineStr">
        <is>
          <t>PNCP_4T_30-04-2013</t>
        </is>
      </c>
      <c r="AW150" t="inlineStr">
        <is>
          <t>Barro Blanco 220</t>
        </is>
      </c>
      <c r="AX150" t="n">
        <v>111.133</v>
      </c>
      <c r="AY150" t="n">
        <v>1.083385174100913</v>
      </c>
      <c r="AZ150" t="n">
        <v>120.3998445533567</v>
      </c>
      <c r="BA150" t="n">
        <v>801.49</v>
      </c>
      <c r="BB150" t="n">
        <v>0.905</v>
      </c>
      <c r="BC150" t="n">
        <v>87.33184062701827</v>
      </c>
      <c r="BD150" t="n">
        <v>0.7946</v>
      </c>
      <c r="BE150" t="n">
        <v>69.39400000000001</v>
      </c>
      <c r="BF150" t="n">
        <v>8.9176</v>
      </c>
      <c r="BG150" t="n">
        <v>0.77</v>
      </c>
      <c r="BH150" t="n">
        <v>5962.380796939026</v>
      </c>
      <c r="BI150" t="n">
        <v>1.047283473516708</v>
      </c>
      <c r="BJ150" t="n">
        <v>6244.3029</v>
      </c>
    </row>
    <row r="151">
      <c r="A151" t="n">
        <v>2025</v>
      </c>
      <c r="B151" t="inlineStr">
        <is>
          <t>01-02-2021</t>
        </is>
      </c>
      <c r="C151" t="n">
        <v>2021</v>
      </c>
      <c r="D151" t="n">
        <v>1</v>
      </c>
      <c r="E151" t="inlineStr">
        <is>
          <t>CAREN</t>
        </is>
      </c>
      <c r="F151" t="inlineStr">
        <is>
          <t>SUM_SAESA_A</t>
        </is>
      </c>
      <c r="G151" t="inlineStr">
        <is>
          <t>A</t>
        </is>
      </c>
      <c r="H151" t="inlineStr">
        <is>
          <t>SAESA</t>
        </is>
      </c>
      <c r="I151" t="inlineStr">
        <is>
          <t>SAESPANGBLOQA</t>
        </is>
      </c>
      <c r="J151" t="inlineStr">
        <is>
          <t>PANGUIPULLI</t>
        </is>
      </c>
      <c r="K151" t="n">
        <v>-7719.00258555</v>
      </c>
      <c r="L151" t="inlineStr">
        <is>
          <t>PANGUIPULLI</t>
        </is>
      </c>
      <c r="M151" t="inlineStr">
        <is>
          <t>MELIPULLI</t>
        </is>
      </c>
      <c r="N151" t="n">
        <v>0.00938568728699</v>
      </c>
      <c r="O151" t="n">
        <v>72.448144</v>
      </c>
      <c r="P151" t="inlineStr">
        <is>
          <t>BS1A</t>
        </is>
      </c>
      <c r="Q151" t="n">
        <v>2</v>
      </c>
      <c r="W151" t="n">
        <v>2</v>
      </c>
      <c r="X151" t="n">
        <v>0</v>
      </c>
      <c r="AA151" t="inlineStr">
        <is>
          <t>PNP_6T_08-05-2020</t>
        </is>
      </c>
      <c r="AB151" t="inlineStr">
        <is>
          <t>PNCP_9T_12-08-2019</t>
        </is>
      </c>
      <c r="AC151" t="inlineStr">
        <is>
          <t>PNCP_4T_30-04-2013</t>
        </is>
      </c>
      <c r="AD151" t="inlineStr">
        <is>
          <t>MELIPULLI 220</t>
        </is>
      </c>
      <c r="AE151" t="n">
        <v>111.133</v>
      </c>
      <c r="AF151" t="n">
        <v>1.072776031070834</v>
      </c>
      <c r="AG151" t="n">
        <v>119.220818660995</v>
      </c>
      <c r="AH151" t="n">
        <v>694.38</v>
      </c>
      <c r="AI151" t="n">
        <v>0.875</v>
      </c>
      <c r="AJ151" t="n">
        <v>72.43648305409401</v>
      </c>
      <c r="AK151" t="n">
        <v>0.8826000000000001</v>
      </c>
      <c r="AL151" t="n">
        <v>63.932</v>
      </c>
      <c r="AM151" t="n">
        <v>8.9176</v>
      </c>
      <c r="AN151" t="n">
        <v>9.566587534677272</v>
      </c>
      <c r="AO151" t="n">
        <v>0.913</v>
      </c>
      <c r="AP151" t="n">
        <v>6064.919358776563</v>
      </c>
      <c r="AQ151" t="n">
        <v>1</v>
      </c>
      <c r="AR151" t="n">
        <v>6064.9194</v>
      </c>
      <c r="AT151" t="inlineStr">
        <is>
          <t>PNP_19T_30-12-2020</t>
        </is>
      </c>
      <c r="AU151" t="inlineStr">
        <is>
          <t>PNCP_12T_10-08-2020</t>
        </is>
      </c>
      <c r="AV151" t="inlineStr">
        <is>
          <t>PNCP_4T_30-04-2013</t>
        </is>
      </c>
      <c r="AW151" t="inlineStr">
        <is>
          <t>MELIPULLI 220</t>
        </is>
      </c>
      <c r="AX151" t="n">
        <v>111.133</v>
      </c>
      <c r="AY151" t="n">
        <v>1.083385174100913</v>
      </c>
      <c r="AZ151" t="n">
        <v>120.3998445533567</v>
      </c>
      <c r="BA151" t="n">
        <v>801.49</v>
      </c>
      <c r="BB151" t="n">
        <v>0.905</v>
      </c>
      <c r="BC151" t="n">
        <v>87.33184062701827</v>
      </c>
      <c r="BD151" t="n">
        <v>0.7824</v>
      </c>
      <c r="BE151" t="n">
        <v>68.328</v>
      </c>
      <c r="BF151" t="n">
        <v>8.9176</v>
      </c>
      <c r="BG151" t="n">
        <v>0.77</v>
      </c>
      <c r="BH151" t="n">
        <v>5962.380796939026</v>
      </c>
      <c r="BI151" t="n">
        <v>1</v>
      </c>
      <c r="BJ151" t="n">
        <v>5962.3808</v>
      </c>
    </row>
    <row r="152">
      <c r="A152" t="n">
        <v>2027</v>
      </c>
      <c r="B152" t="inlineStr">
        <is>
          <t>01-02-2021</t>
        </is>
      </c>
      <c r="C152" t="n">
        <v>2021</v>
      </c>
      <c r="D152" t="n">
        <v>1</v>
      </c>
      <c r="E152" t="inlineStr">
        <is>
          <t>CAREN</t>
        </is>
      </c>
      <c r="F152" t="inlineStr">
        <is>
          <t>SUM_SAESA_A</t>
        </is>
      </c>
      <c r="G152" t="inlineStr">
        <is>
          <t>A</t>
        </is>
      </c>
      <c r="H152" t="inlineStr">
        <is>
          <t>SAESA</t>
        </is>
      </c>
      <c r="I152" t="inlineStr">
        <is>
          <t>SAESPANGBLOQA</t>
        </is>
      </c>
      <c r="J152" t="inlineStr">
        <is>
          <t>PANGUIPULLI</t>
        </is>
      </c>
      <c r="K152" t="n">
        <v>-7719.00258555</v>
      </c>
      <c r="L152" t="inlineStr">
        <is>
          <t>PANGUIPULLI</t>
        </is>
      </c>
      <c r="M152" t="inlineStr">
        <is>
          <t>VALDIVIA</t>
        </is>
      </c>
      <c r="N152" t="n">
        <v>0.67856885801593</v>
      </c>
      <c r="O152" t="n">
        <v>5237.874769</v>
      </c>
      <c r="P152" t="inlineStr">
        <is>
          <t>BS1A</t>
        </is>
      </c>
      <c r="Q152" t="n">
        <v>2</v>
      </c>
      <c r="W152" t="n">
        <v>2</v>
      </c>
      <c r="X152" t="n">
        <v>0</v>
      </c>
      <c r="AA152" t="inlineStr">
        <is>
          <t>PNP_6T_08-05-2020</t>
        </is>
      </c>
      <c r="AB152" t="inlineStr">
        <is>
          <t>PNCP_9T_12-08-2019</t>
        </is>
      </c>
      <c r="AC152" t="inlineStr">
        <is>
          <t>PNCP_4T_30-04-2013</t>
        </is>
      </c>
      <c r="AD152" t="inlineStr">
        <is>
          <t>VALDIVIA 220</t>
        </is>
      </c>
      <c r="AE152" t="n">
        <v>111.133</v>
      </c>
      <c r="AF152" t="n">
        <v>1.072776031070834</v>
      </c>
      <c r="AG152" t="n">
        <v>119.220818660995</v>
      </c>
      <c r="AH152" t="n">
        <v>694.38</v>
      </c>
      <c r="AI152" t="n">
        <v>0.875</v>
      </c>
      <c r="AJ152" t="n">
        <v>72.43648305409401</v>
      </c>
      <c r="AK152" t="n">
        <v>0.913</v>
      </c>
      <c r="AL152" t="n">
        <v>66.13500000000001</v>
      </c>
      <c r="AM152" t="n">
        <v>8.9176</v>
      </c>
      <c r="AN152" t="n">
        <v>9.566587534677272</v>
      </c>
      <c r="AO152" t="n">
        <v>0.913</v>
      </c>
      <c r="AP152" t="n">
        <v>6064.919358776563</v>
      </c>
      <c r="AQ152" t="n">
        <v>1.051287819142954</v>
      </c>
      <c r="AR152" t="n">
        <v>6375.9758</v>
      </c>
      <c r="AT152" t="inlineStr">
        <is>
          <t>PNP_19T_30-12-2020</t>
        </is>
      </c>
      <c r="AU152" t="inlineStr">
        <is>
          <t>PNCP_12T_10-08-2020</t>
        </is>
      </c>
      <c r="AV152" t="inlineStr">
        <is>
          <t>PNCP_4T_30-04-2013</t>
        </is>
      </c>
      <c r="AW152" t="inlineStr">
        <is>
          <t>VALDIVIA 220</t>
        </is>
      </c>
      <c r="AX152" t="n">
        <v>111.133</v>
      </c>
      <c r="AY152" t="n">
        <v>1.083385174100913</v>
      </c>
      <c r="AZ152" t="n">
        <v>120.3998445533567</v>
      </c>
      <c r="BA152" t="n">
        <v>801.49</v>
      </c>
      <c r="BB152" t="n">
        <v>0.905</v>
      </c>
      <c r="BC152" t="n">
        <v>87.33184062701827</v>
      </c>
      <c r="BD152" t="n">
        <v>0.8745000000000001</v>
      </c>
      <c r="BE152" t="n">
        <v>76.372</v>
      </c>
      <c r="BF152" t="n">
        <v>8.9176</v>
      </c>
      <c r="BG152" t="n">
        <v>0.77</v>
      </c>
      <c r="BH152" t="n">
        <v>5962.380796939026</v>
      </c>
      <c r="BI152" t="n">
        <v>1.148014846473962</v>
      </c>
      <c r="BJ152" t="n">
        <v>6844.9017</v>
      </c>
    </row>
    <row r="153">
      <c r="A153" t="n">
        <v>253</v>
      </c>
      <c r="B153" t="inlineStr">
        <is>
          <t>01-02-2021</t>
        </is>
      </c>
      <c r="C153" t="n">
        <v>2021</v>
      </c>
      <c r="D153" t="n">
        <v>1</v>
      </c>
      <c r="E153" t="inlineStr">
        <is>
          <t>CAREN</t>
        </is>
      </c>
      <c r="F153" t="inlineStr">
        <is>
          <t>SUM_SAESA_A</t>
        </is>
      </c>
      <c r="G153" t="inlineStr">
        <is>
          <t>A</t>
        </is>
      </c>
      <c r="H153" t="inlineStr">
        <is>
          <t>SAESA</t>
        </is>
      </c>
      <c r="I153" t="inlineStr">
        <is>
          <t>SAESPARGBLOQA</t>
        </is>
      </c>
      <c r="J153" t="inlineStr">
        <is>
          <t>PARGUA</t>
        </is>
      </c>
      <c r="K153" t="n">
        <v>-537.10066297</v>
      </c>
      <c r="L153" t="inlineStr">
        <is>
          <t>PARGUA 23</t>
        </is>
      </c>
      <c r="M153" t="inlineStr">
        <is>
          <t>MELIPULLI</t>
        </is>
      </c>
      <c r="N153" t="n">
        <v>0.88336054288962</v>
      </c>
      <c r="O153" t="n">
        <v>474.453533</v>
      </c>
      <c r="P153" t="inlineStr">
        <is>
          <t>BS1A</t>
        </is>
      </c>
      <c r="Q153" t="n">
        <v>2</v>
      </c>
      <c r="W153" t="n">
        <v>2</v>
      </c>
      <c r="X153" t="n">
        <v>0</v>
      </c>
      <c r="AA153" t="inlineStr">
        <is>
          <t>PNP_6T_08-05-2020</t>
        </is>
      </c>
      <c r="AB153" t="inlineStr">
        <is>
          <t>PNCP_9T_12-08-2019</t>
        </is>
      </c>
      <c r="AC153" t="inlineStr">
        <is>
          <t>PNCP_4T_30-04-2013</t>
        </is>
      </c>
      <c r="AD153" t="inlineStr">
        <is>
          <t>MELIPULLI 220</t>
        </is>
      </c>
      <c r="AE153" t="n">
        <v>111.133</v>
      </c>
      <c r="AF153" t="n">
        <v>1.072776031070834</v>
      </c>
      <c r="AG153" t="n">
        <v>119.220818660995</v>
      </c>
      <c r="AH153" t="n">
        <v>694.38</v>
      </c>
      <c r="AI153" t="n">
        <v>0.875</v>
      </c>
      <c r="AJ153" t="n">
        <v>72.43648305409401</v>
      </c>
      <c r="AK153" t="n">
        <v>0.8826000000000001</v>
      </c>
      <c r="AL153" t="n">
        <v>63.932</v>
      </c>
      <c r="AM153" t="n">
        <v>8.9176</v>
      </c>
      <c r="AN153" t="n">
        <v>9.566587534677272</v>
      </c>
      <c r="AO153" t="n">
        <v>0.913</v>
      </c>
      <c r="AP153" t="n">
        <v>6064.919358776563</v>
      </c>
      <c r="AQ153" t="n">
        <v>1</v>
      </c>
      <c r="AR153" t="n">
        <v>6064.9194</v>
      </c>
      <c r="AT153" t="inlineStr">
        <is>
          <t>PNP_19T_30-12-2020</t>
        </is>
      </c>
      <c r="AU153" t="inlineStr">
        <is>
          <t>PNCP_12T_10-08-2020</t>
        </is>
      </c>
      <c r="AV153" t="inlineStr">
        <is>
          <t>PNCP_4T_30-04-2013</t>
        </is>
      </c>
      <c r="AW153" t="inlineStr">
        <is>
          <t>MELIPULLI 220</t>
        </is>
      </c>
      <c r="AX153" t="n">
        <v>111.133</v>
      </c>
      <c r="AY153" t="n">
        <v>1.083385174100913</v>
      </c>
      <c r="AZ153" t="n">
        <v>120.3998445533567</v>
      </c>
      <c r="BA153" t="n">
        <v>801.49</v>
      </c>
      <c r="BB153" t="n">
        <v>0.905</v>
      </c>
      <c r="BC153" t="n">
        <v>87.33184062701827</v>
      </c>
      <c r="BD153" t="n">
        <v>0.7824</v>
      </c>
      <c r="BE153" t="n">
        <v>68.328</v>
      </c>
      <c r="BF153" t="n">
        <v>8.9176</v>
      </c>
      <c r="BG153" t="n">
        <v>0.77</v>
      </c>
      <c r="BH153" t="n">
        <v>5962.380796939026</v>
      </c>
      <c r="BI153" t="n">
        <v>1</v>
      </c>
      <c r="BJ153" t="n">
        <v>5962.3808</v>
      </c>
    </row>
    <row r="154">
      <c r="A154" t="n">
        <v>2023</v>
      </c>
      <c r="B154" t="inlineStr">
        <is>
          <t>01-02-2021</t>
        </is>
      </c>
      <c r="C154" t="n">
        <v>2021</v>
      </c>
      <c r="D154" t="n">
        <v>1</v>
      </c>
      <c r="E154" t="inlineStr">
        <is>
          <t>CAREN</t>
        </is>
      </c>
      <c r="F154" t="inlineStr">
        <is>
          <t>SUM_SAESA_A</t>
        </is>
      </c>
      <c r="G154" t="inlineStr">
        <is>
          <t>A</t>
        </is>
      </c>
      <c r="H154" t="inlineStr">
        <is>
          <t>SAESA</t>
        </is>
      </c>
      <c r="I154" t="inlineStr">
        <is>
          <t>SAESPICABLOQA</t>
        </is>
      </c>
      <c r="J154" t="inlineStr">
        <is>
          <t>PICARTE</t>
        </is>
      </c>
      <c r="K154" t="n">
        <v>-17448.90186768</v>
      </c>
      <c r="L154" t="inlineStr">
        <is>
          <t>PICARTE</t>
        </is>
      </c>
      <c r="M154" t="inlineStr">
        <is>
          <t>BARRO BLANCO</t>
        </is>
      </c>
      <c r="N154" t="n">
        <v>0.04426188381592</v>
      </c>
      <c r="O154" t="n">
        <v>772.321267</v>
      </c>
      <c r="P154" t="inlineStr">
        <is>
          <t>BS1A</t>
        </is>
      </c>
      <c r="Q154" t="n">
        <v>2</v>
      </c>
      <c r="W154" t="n">
        <v>2</v>
      </c>
      <c r="X154" t="n">
        <v>0</v>
      </c>
      <c r="AA154" t="inlineStr">
        <is>
          <t>PNP_6T_08-05-2020</t>
        </is>
      </c>
      <c r="AB154" t="inlineStr">
        <is>
          <t>PNCP_9T_12-08-2019</t>
        </is>
      </c>
      <c r="AC154" t="inlineStr">
        <is>
          <t>PNCP_4T_30-04-2013</t>
        </is>
      </c>
      <c r="AD154" t="inlineStr">
        <is>
          <t>Barro Blanco 220</t>
        </is>
      </c>
      <c r="AE154" t="n">
        <v>111.133</v>
      </c>
      <c r="AF154" t="n">
        <v>1.072776031070834</v>
      </c>
      <c r="AG154" t="n">
        <v>119.220818660995</v>
      </c>
      <c r="AH154" t="n">
        <v>694.38</v>
      </c>
      <c r="AI154" t="n">
        <v>0.875</v>
      </c>
      <c r="AJ154" t="n">
        <v>72.43648305409401</v>
      </c>
      <c r="AK154" t="n">
        <v>0.8631</v>
      </c>
      <c r="AL154" t="n">
        <v>62.52</v>
      </c>
      <c r="AM154" t="n">
        <v>8.9176</v>
      </c>
      <c r="AN154" t="n">
        <v>9.566587534677272</v>
      </c>
      <c r="AO154" t="n">
        <v>0.913</v>
      </c>
      <c r="AP154" t="n">
        <v>6064.919358776563</v>
      </c>
      <c r="AQ154" t="n">
        <v>1.004432825642191</v>
      </c>
      <c r="AR154" t="n">
        <v>6091.8041</v>
      </c>
      <c r="AT154" t="inlineStr">
        <is>
          <t>PNP_19T_30-12-2020</t>
        </is>
      </c>
      <c r="AU154" t="inlineStr">
        <is>
          <t>PNCP_12T_10-08-2020</t>
        </is>
      </c>
      <c r="AV154" t="inlineStr">
        <is>
          <t>PNCP_4T_30-04-2013</t>
        </is>
      </c>
      <c r="AW154" t="inlineStr">
        <is>
          <t>Barro Blanco 220</t>
        </is>
      </c>
      <c r="AX154" t="n">
        <v>111.133</v>
      </c>
      <c r="AY154" t="n">
        <v>1.083385174100913</v>
      </c>
      <c r="AZ154" t="n">
        <v>120.3998445533567</v>
      </c>
      <c r="BA154" t="n">
        <v>801.49</v>
      </c>
      <c r="BB154" t="n">
        <v>0.905</v>
      </c>
      <c r="BC154" t="n">
        <v>87.33184062701827</v>
      </c>
      <c r="BD154" t="n">
        <v>0.7946</v>
      </c>
      <c r="BE154" t="n">
        <v>69.39400000000001</v>
      </c>
      <c r="BF154" t="n">
        <v>8.9176</v>
      </c>
      <c r="BG154" t="n">
        <v>0.77</v>
      </c>
      <c r="BH154" t="n">
        <v>5962.380796939026</v>
      </c>
      <c r="BI154" t="n">
        <v>1.047283473516708</v>
      </c>
      <c r="BJ154" t="n">
        <v>6244.3029</v>
      </c>
    </row>
    <row r="155">
      <c r="A155" t="n">
        <v>2025</v>
      </c>
      <c r="B155" t="inlineStr">
        <is>
          <t>01-02-2021</t>
        </is>
      </c>
      <c r="C155" t="n">
        <v>2021</v>
      </c>
      <c r="D155" t="n">
        <v>1</v>
      </c>
      <c r="E155" t="inlineStr">
        <is>
          <t>CAREN</t>
        </is>
      </c>
      <c r="F155" t="inlineStr">
        <is>
          <t>SUM_SAESA_A</t>
        </is>
      </c>
      <c r="G155" t="inlineStr">
        <is>
          <t>A</t>
        </is>
      </c>
      <c r="H155" t="inlineStr">
        <is>
          <t>SAESA</t>
        </is>
      </c>
      <c r="I155" t="inlineStr">
        <is>
          <t>SAESPICABLOQA</t>
        </is>
      </c>
      <c r="J155" t="inlineStr">
        <is>
          <t>PICARTE</t>
        </is>
      </c>
      <c r="K155" t="n">
        <v>-17448.90186768</v>
      </c>
      <c r="L155" t="inlineStr">
        <is>
          <t>PICARTE</t>
        </is>
      </c>
      <c r="M155" t="inlineStr">
        <is>
          <t>MELIPULLI</t>
        </is>
      </c>
      <c r="N155" t="n">
        <v>0.00284526914055</v>
      </c>
      <c r="O155" t="n">
        <v>49.646822</v>
      </c>
      <c r="P155" t="inlineStr">
        <is>
          <t>BS1A</t>
        </is>
      </c>
      <c r="Q155" t="n">
        <v>2</v>
      </c>
      <c r="W155" t="n">
        <v>2</v>
      </c>
      <c r="X155" t="n">
        <v>0</v>
      </c>
      <c r="AA155" t="inlineStr">
        <is>
          <t>PNP_6T_08-05-2020</t>
        </is>
      </c>
      <c r="AB155" t="inlineStr">
        <is>
          <t>PNCP_9T_12-08-2019</t>
        </is>
      </c>
      <c r="AC155" t="inlineStr">
        <is>
          <t>PNCP_4T_30-04-2013</t>
        </is>
      </c>
      <c r="AD155" t="inlineStr">
        <is>
          <t>MELIPULLI 220</t>
        </is>
      </c>
      <c r="AE155" t="n">
        <v>111.133</v>
      </c>
      <c r="AF155" t="n">
        <v>1.072776031070834</v>
      </c>
      <c r="AG155" t="n">
        <v>119.220818660995</v>
      </c>
      <c r="AH155" t="n">
        <v>694.38</v>
      </c>
      <c r="AI155" t="n">
        <v>0.875</v>
      </c>
      <c r="AJ155" t="n">
        <v>72.43648305409401</v>
      </c>
      <c r="AK155" t="n">
        <v>0.8826000000000001</v>
      </c>
      <c r="AL155" t="n">
        <v>63.932</v>
      </c>
      <c r="AM155" t="n">
        <v>8.9176</v>
      </c>
      <c r="AN155" t="n">
        <v>9.566587534677272</v>
      </c>
      <c r="AO155" t="n">
        <v>0.913</v>
      </c>
      <c r="AP155" t="n">
        <v>6064.919358776563</v>
      </c>
      <c r="AQ155" t="n">
        <v>1</v>
      </c>
      <c r="AR155" t="n">
        <v>6064.9194</v>
      </c>
      <c r="AT155" t="inlineStr">
        <is>
          <t>PNP_19T_30-12-2020</t>
        </is>
      </c>
      <c r="AU155" t="inlineStr">
        <is>
          <t>PNCP_12T_10-08-2020</t>
        </is>
      </c>
      <c r="AV155" t="inlineStr">
        <is>
          <t>PNCP_4T_30-04-2013</t>
        </is>
      </c>
      <c r="AW155" t="inlineStr">
        <is>
          <t>MELIPULLI 220</t>
        </is>
      </c>
      <c r="AX155" t="n">
        <v>111.133</v>
      </c>
      <c r="AY155" t="n">
        <v>1.083385174100913</v>
      </c>
      <c r="AZ155" t="n">
        <v>120.3998445533567</v>
      </c>
      <c r="BA155" t="n">
        <v>801.49</v>
      </c>
      <c r="BB155" t="n">
        <v>0.905</v>
      </c>
      <c r="BC155" t="n">
        <v>87.33184062701827</v>
      </c>
      <c r="BD155" t="n">
        <v>0.7824</v>
      </c>
      <c r="BE155" t="n">
        <v>68.328</v>
      </c>
      <c r="BF155" t="n">
        <v>8.9176</v>
      </c>
      <c r="BG155" t="n">
        <v>0.77</v>
      </c>
      <c r="BH155" t="n">
        <v>5962.380796939026</v>
      </c>
      <c r="BI155" t="n">
        <v>1</v>
      </c>
      <c r="BJ155" t="n">
        <v>5962.3808</v>
      </c>
    </row>
    <row r="156">
      <c r="A156" t="n">
        <v>2027</v>
      </c>
      <c r="B156" t="inlineStr">
        <is>
          <t>01-02-2021</t>
        </is>
      </c>
      <c r="C156" t="n">
        <v>2021</v>
      </c>
      <c r="D156" t="n">
        <v>1</v>
      </c>
      <c r="E156" t="inlineStr">
        <is>
          <t>CAREN</t>
        </is>
      </c>
      <c r="F156" t="inlineStr">
        <is>
          <t>SUM_SAESA_A</t>
        </is>
      </c>
      <c r="G156" t="inlineStr">
        <is>
          <t>A</t>
        </is>
      </c>
      <c r="H156" t="inlineStr">
        <is>
          <t>SAESA</t>
        </is>
      </c>
      <c r="I156" t="inlineStr">
        <is>
          <t>SAESPICABLOQA</t>
        </is>
      </c>
      <c r="J156" t="inlineStr">
        <is>
          <t>PICARTE</t>
        </is>
      </c>
      <c r="K156" t="n">
        <v>-17448.90186768</v>
      </c>
      <c r="L156" t="inlineStr">
        <is>
          <t>PICARTE</t>
        </is>
      </c>
      <c r="M156" t="inlineStr">
        <is>
          <t>VALDIVIA</t>
        </is>
      </c>
      <c r="N156" t="n">
        <v>0.81632978072526</v>
      </c>
      <c r="O156" t="n">
        <v>14244.058236</v>
      </c>
      <c r="P156" t="inlineStr">
        <is>
          <t>BS1A</t>
        </is>
      </c>
      <c r="Q156" t="n">
        <v>2</v>
      </c>
      <c r="W156" t="n">
        <v>2</v>
      </c>
      <c r="X156" t="n">
        <v>0</v>
      </c>
      <c r="AA156" t="inlineStr">
        <is>
          <t>PNP_6T_08-05-2020</t>
        </is>
      </c>
      <c r="AB156" t="inlineStr">
        <is>
          <t>PNCP_9T_12-08-2019</t>
        </is>
      </c>
      <c r="AC156" t="inlineStr">
        <is>
          <t>PNCP_4T_30-04-2013</t>
        </is>
      </c>
      <c r="AD156" t="inlineStr">
        <is>
          <t>VALDIVIA 220</t>
        </is>
      </c>
      <c r="AE156" t="n">
        <v>111.133</v>
      </c>
      <c r="AF156" t="n">
        <v>1.072776031070834</v>
      </c>
      <c r="AG156" t="n">
        <v>119.220818660995</v>
      </c>
      <c r="AH156" t="n">
        <v>694.38</v>
      </c>
      <c r="AI156" t="n">
        <v>0.875</v>
      </c>
      <c r="AJ156" t="n">
        <v>72.43648305409401</v>
      </c>
      <c r="AK156" t="n">
        <v>0.913</v>
      </c>
      <c r="AL156" t="n">
        <v>66.13500000000001</v>
      </c>
      <c r="AM156" t="n">
        <v>8.9176</v>
      </c>
      <c r="AN156" t="n">
        <v>9.566587534677272</v>
      </c>
      <c r="AO156" t="n">
        <v>0.913</v>
      </c>
      <c r="AP156" t="n">
        <v>6064.919358776563</v>
      </c>
      <c r="AQ156" t="n">
        <v>1.051287819142954</v>
      </c>
      <c r="AR156" t="n">
        <v>6375.9758</v>
      </c>
      <c r="AT156" t="inlineStr">
        <is>
          <t>PNP_19T_30-12-2020</t>
        </is>
      </c>
      <c r="AU156" t="inlineStr">
        <is>
          <t>PNCP_12T_10-08-2020</t>
        </is>
      </c>
      <c r="AV156" t="inlineStr">
        <is>
          <t>PNCP_4T_30-04-2013</t>
        </is>
      </c>
      <c r="AW156" t="inlineStr">
        <is>
          <t>VALDIVIA 220</t>
        </is>
      </c>
      <c r="AX156" t="n">
        <v>111.133</v>
      </c>
      <c r="AY156" t="n">
        <v>1.083385174100913</v>
      </c>
      <c r="AZ156" t="n">
        <v>120.3998445533567</v>
      </c>
      <c r="BA156" t="n">
        <v>801.49</v>
      </c>
      <c r="BB156" t="n">
        <v>0.905</v>
      </c>
      <c r="BC156" t="n">
        <v>87.33184062701827</v>
      </c>
      <c r="BD156" t="n">
        <v>0.8745000000000001</v>
      </c>
      <c r="BE156" t="n">
        <v>76.372</v>
      </c>
      <c r="BF156" t="n">
        <v>8.9176</v>
      </c>
      <c r="BG156" t="n">
        <v>0.77</v>
      </c>
      <c r="BH156" t="n">
        <v>5962.380796939026</v>
      </c>
      <c r="BI156" t="n">
        <v>1.148014846473962</v>
      </c>
      <c r="BJ156" t="n">
        <v>6844.9017</v>
      </c>
    </row>
    <row r="157">
      <c r="A157" t="n">
        <v>4063</v>
      </c>
      <c r="B157" t="inlineStr">
        <is>
          <t>01-02-2021</t>
        </is>
      </c>
      <c r="C157" t="n">
        <v>2021</v>
      </c>
      <c r="D157" t="n">
        <v>1</v>
      </c>
      <c r="E157" t="inlineStr">
        <is>
          <t>CAREN</t>
        </is>
      </c>
      <c r="F157" t="inlineStr">
        <is>
          <t>SUM_SAESA_A</t>
        </is>
      </c>
      <c r="G157" t="inlineStr">
        <is>
          <t>A</t>
        </is>
      </c>
      <c r="H157" t="inlineStr">
        <is>
          <t>SAESA</t>
        </is>
      </c>
      <c r="I157" t="inlineStr">
        <is>
          <t>SAESPICHIBLOQA</t>
        </is>
      </c>
      <c r="J157" t="inlineStr">
        <is>
          <t>PICHIL</t>
        </is>
      </c>
      <c r="K157" t="n">
        <v>-604.37584085</v>
      </c>
      <c r="L157" t="inlineStr">
        <is>
          <t>PICHIL</t>
        </is>
      </c>
      <c r="M157" t="inlineStr">
        <is>
          <t>BARRO BLANCO</t>
        </is>
      </c>
      <c r="N157" t="n">
        <v>0.8920038857753</v>
      </c>
      <c r="O157" t="n">
        <v>539.105599</v>
      </c>
      <c r="P157" t="inlineStr">
        <is>
          <t>BS1A</t>
        </is>
      </c>
      <c r="Q157" t="n">
        <v>2</v>
      </c>
      <c r="W157" t="n">
        <v>2</v>
      </c>
      <c r="X157" t="n">
        <v>0</v>
      </c>
      <c r="AA157" t="inlineStr">
        <is>
          <t>PNP_6T_08-05-2020</t>
        </is>
      </c>
      <c r="AB157" t="inlineStr">
        <is>
          <t>PNCP_9T_12-08-2019</t>
        </is>
      </c>
      <c r="AC157" t="inlineStr">
        <is>
          <t>PNCP_4T_30-04-2013</t>
        </is>
      </c>
      <c r="AD157" t="inlineStr">
        <is>
          <t>Barro Blanco 220</t>
        </is>
      </c>
      <c r="AE157" t="n">
        <v>111.133</v>
      </c>
      <c r="AF157" t="n">
        <v>1.072776031070834</v>
      </c>
      <c r="AG157" t="n">
        <v>119.220818660995</v>
      </c>
      <c r="AH157" t="n">
        <v>694.38</v>
      </c>
      <c r="AI157" t="n">
        <v>0.875</v>
      </c>
      <c r="AJ157" t="n">
        <v>72.43648305409401</v>
      </c>
      <c r="AK157" t="n">
        <v>0.8631</v>
      </c>
      <c r="AL157" t="n">
        <v>62.52</v>
      </c>
      <c r="AM157" t="n">
        <v>8.9176</v>
      </c>
      <c r="AN157" t="n">
        <v>9.566587534677272</v>
      </c>
      <c r="AO157" t="n">
        <v>0.913</v>
      </c>
      <c r="AP157" t="n">
        <v>6064.919358776563</v>
      </c>
      <c r="AQ157" t="n">
        <v>1.004432825642191</v>
      </c>
      <c r="AR157" t="n">
        <v>6091.8041</v>
      </c>
      <c r="AT157" t="inlineStr">
        <is>
          <t>PNP_19T_30-12-2020</t>
        </is>
      </c>
      <c r="AU157" t="inlineStr">
        <is>
          <t>PNCP_12T_10-08-2020</t>
        </is>
      </c>
      <c r="AV157" t="inlineStr">
        <is>
          <t>PNCP_4T_30-04-2013</t>
        </is>
      </c>
      <c r="AW157" t="inlineStr">
        <is>
          <t>Barro Blanco 220</t>
        </is>
      </c>
      <c r="AX157" t="n">
        <v>111.133</v>
      </c>
      <c r="AY157" t="n">
        <v>1.083385174100913</v>
      </c>
      <c r="AZ157" t="n">
        <v>120.3998445533567</v>
      </c>
      <c r="BA157" t="n">
        <v>801.49</v>
      </c>
      <c r="BB157" t="n">
        <v>0.905</v>
      </c>
      <c r="BC157" t="n">
        <v>87.33184062701827</v>
      </c>
      <c r="BD157" t="n">
        <v>0.7946</v>
      </c>
      <c r="BE157" t="n">
        <v>69.39400000000001</v>
      </c>
      <c r="BF157" t="n">
        <v>8.9176</v>
      </c>
      <c r="BG157" t="n">
        <v>0.77</v>
      </c>
      <c r="BH157" t="n">
        <v>5962.380796939026</v>
      </c>
      <c r="BI157" t="n">
        <v>1.047283473516708</v>
      </c>
      <c r="BJ157" t="n">
        <v>6244.3029</v>
      </c>
    </row>
    <row r="158">
      <c r="A158" t="n">
        <v>4065</v>
      </c>
      <c r="B158" t="inlineStr">
        <is>
          <t>01-02-2021</t>
        </is>
      </c>
      <c r="C158" t="n">
        <v>2021</v>
      </c>
      <c r="D158" t="n">
        <v>1</v>
      </c>
      <c r="E158" t="inlineStr">
        <is>
          <t>CAREN</t>
        </is>
      </c>
      <c r="F158" t="inlineStr">
        <is>
          <t>SUM_SAESA_A</t>
        </is>
      </c>
      <c r="G158" t="inlineStr">
        <is>
          <t>A</t>
        </is>
      </c>
      <c r="H158" t="inlineStr">
        <is>
          <t>SAESA</t>
        </is>
      </c>
      <c r="I158" t="inlineStr">
        <is>
          <t>SAESPICHIBLOQA</t>
        </is>
      </c>
      <c r="J158" t="inlineStr">
        <is>
          <t>PICHIL</t>
        </is>
      </c>
      <c r="K158" t="n">
        <v>-604.37584085</v>
      </c>
      <c r="L158" t="inlineStr">
        <is>
          <t>PICHIL</t>
        </is>
      </c>
      <c r="M158" t="inlineStr">
        <is>
          <t>MELIPULLI</t>
        </is>
      </c>
      <c r="N158" t="n">
        <v>0.0602325005507</v>
      </c>
      <c r="O158" t="n">
        <v>36.403068</v>
      </c>
      <c r="P158" t="inlineStr">
        <is>
          <t>BS1A</t>
        </is>
      </c>
      <c r="Q158" t="n">
        <v>2</v>
      </c>
      <c r="W158" t="n">
        <v>2</v>
      </c>
      <c r="X158" t="n">
        <v>0</v>
      </c>
      <c r="AA158" t="inlineStr">
        <is>
          <t>PNP_6T_08-05-2020</t>
        </is>
      </c>
      <c r="AB158" t="inlineStr">
        <is>
          <t>PNCP_9T_12-08-2019</t>
        </is>
      </c>
      <c r="AC158" t="inlineStr">
        <is>
          <t>PNCP_4T_30-04-2013</t>
        </is>
      </c>
      <c r="AD158" t="inlineStr">
        <is>
          <t>MELIPULLI 220</t>
        </is>
      </c>
      <c r="AE158" t="n">
        <v>111.133</v>
      </c>
      <c r="AF158" t="n">
        <v>1.072776031070834</v>
      </c>
      <c r="AG158" t="n">
        <v>119.220818660995</v>
      </c>
      <c r="AH158" t="n">
        <v>694.38</v>
      </c>
      <c r="AI158" t="n">
        <v>0.875</v>
      </c>
      <c r="AJ158" t="n">
        <v>72.43648305409401</v>
      </c>
      <c r="AK158" t="n">
        <v>0.8826000000000001</v>
      </c>
      <c r="AL158" t="n">
        <v>63.932</v>
      </c>
      <c r="AM158" t="n">
        <v>8.9176</v>
      </c>
      <c r="AN158" t="n">
        <v>9.566587534677272</v>
      </c>
      <c r="AO158" t="n">
        <v>0.913</v>
      </c>
      <c r="AP158" t="n">
        <v>6064.919358776563</v>
      </c>
      <c r="AQ158" t="n">
        <v>1</v>
      </c>
      <c r="AR158" t="n">
        <v>6064.9194</v>
      </c>
      <c r="AT158" t="inlineStr">
        <is>
          <t>PNP_19T_30-12-2020</t>
        </is>
      </c>
      <c r="AU158" t="inlineStr">
        <is>
          <t>PNCP_12T_10-08-2020</t>
        </is>
      </c>
      <c r="AV158" t="inlineStr">
        <is>
          <t>PNCP_4T_30-04-2013</t>
        </is>
      </c>
      <c r="AW158" t="inlineStr">
        <is>
          <t>MELIPULLI 220</t>
        </is>
      </c>
      <c r="AX158" t="n">
        <v>111.133</v>
      </c>
      <c r="AY158" t="n">
        <v>1.083385174100913</v>
      </c>
      <c r="AZ158" t="n">
        <v>120.3998445533567</v>
      </c>
      <c r="BA158" t="n">
        <v>801.49</v>
      </c>
      <c r="BB158" t="n">
        <v>0.905</v>
      </c>
      <c r="BC158" t="n">
        <v>87.33184062701827</v>
      </c>
      <c r="BD158" t="n">
        <v>0.7824</v>
      </c>
      <c r="BE158" t="n">
        <v>68.328</v>
      </c>
      <c r="BF158" t="n">
        <v>8.9176</v>
      </c>
      <c r="BG158" t="n">
        <v>0.77</v>
      </c>
      <c r="BH158" t="n">
        <v>5962.380796939026</v>
      </c>
      <c r="BI158" t="n">
        <v>1</v>
      </c>
      <c r="BJ158" t="n">
        <v>5962.3808</v>
      </c>
    </row>
    <row r="159">
      <c r="A159" t="n">
        <v>4067</v>
      </c>
      <c r="B159" t="inlineStr">
        <is>
          <t>01-02-2021</t>
        </is>
      </c>
      <c r="C159" t="n">
        <v>2021</v>
      </c>
      <c r="D159" t="n">
        <v>1</v>
      </c>
      <c r="E159" t="inlineStr">
        <is>
          <t>CAREN</t>
        </is>
      </c>
      <c r="F159" t="inlineStr">
        <is>
          <t>SUM_SAESA_A</t>
        </is>
      </c>
      <c r="G159" t="inlineStr">
        <is>
          <t>A</t>
        </is>
      </c>
      <c r="H159" t="inlineStr">
        <is>
          <t>SAESA</t>
        </is>
      </c>
      <c r="I159" t="inlineStr">
        <is>
          <t>SAESPICHIBLOQA</t>
        </is>
      </c>
      <c r="J159" t="inlineStr">
        <is>
          <t>PICHIL</t>
        </is>
      </c>
      <c r="K159" t="n">
        <v>-604.37584085</v>
      </c>
      <c r="L159" t="inlineStr">
        <is>
          <t>PICHIL</t>
        </is>
      </c>
      <c r="M159" t="inlineStr">
        <is>
          <t>VALDIVIA</t>
        </is>
      </c>
      <c r="N159" t="n">
        <v>0.00992234391695</v>
      </c>
      <c r="O159" t="n">
        <v>5.996825</v>
      </c>
      <c r="P159" t="inlineStr">
        <is>
          <t>BS1A</t>
        </is>
      </c>
      <c r="Q159" t="n">
        <v>2</v>
      </c>
      <c r="W159" t="n">
        <v>2</v>
      </c>
      <c r="X159" t="n">
        <v>0</v>
      </c>
      <c r="AA159" t="inlineStr">
        <is>
          <t>PNP_6T_08-05-2020</t>
        </is>
      </c>
      <c r="AB159" t="inlineStr">
        <is>
          <t>PNCP_9T_12-08-2019</t>
        </is>
      </c>
      <c r="AC159" t="inlineStr">
        <is>
          <t>PNCP_4T_30-04-2013</t>
        </is>
      </c>
      <c r="AD159" t="inlineStr">
        <is>
          <t>VALDIVIA 220</t>
        </is>
      </c>
      <c r="AE159" t="n">
        <v>111.133</v>
      </c>
      <c r="AF159" t="n">
        <v>1.072776031070834</v>
      </c>
      <c r="AG159" t="n">
        <v>119.220818660995</v>
      </c>
      <c r="AH159" t="n">
        <v>694.38</v>
      </c>
      <c r="AI159" t="n">
        <v>0.875</v>
      </c>
      <c r="AJ159" t="n">
        <v>72.43648305409401</v>
      </c>
      <c r="AK159" t="n">
        <v>0.913</v>
      </c>
      <c r="AL159" t="n">
        <v>66.13500000000001</v>
      </c>
      <c r="AM159" t="n">
        <v>8.9176</v>
      </c>
      <c r="AN159" t="n">
        <v>9.566587534677272</v>
      </c>
      <c r="AO159" t="n">
        <v>0.913</v>
      </c>
      <c r="AP159" t="n">
        <v>6064.919358776563</v>
      </c>
      <c r="AQ159" t="n">
        <v>1.051287819142954</v>
      </c>
      <c r="AR159" t="n">
        <v>6375.9758</v>
      </c>
      <c r="AT159" t="inlineStr">
        <is>
          <t>PNP_19T_30-12-2020</t>
        </is>
      </c>
      <c r="AU159" t="inlineStr">
        <is>
          <t>PNCP_12T_10-08-2020</t>
        </is>
      </c>
      <c r="AV159" t="inlineStr">
        <is>
          <t>PNCP_4T_30-04-2013</t>
        </is>
      </c>
      <c r="AW159" t="inlineStr">
        <is>
          <t>VALDIVIA 220</t>
        </is>
      </c>
      <c r="AX159" t="n">
        <v>111.133</v>
      </c>
      <c r="AY159" t="n">
        <v>1.083385174100913</v>
      </c>
      <c r="AZ159" t="n">
        <v>120.3998445533567</v>
      </c>
      <c r="BA159" t="n">
        <v>801.49</v>
      </c>
      <c r="BB159" t="n">
        <v>0.905</v>
      </c>
      <c r="BC159" t="n">
        <v>87.33184062701827</v>
      </c>
      <c r="BD159" t="n">
        <v>0.8745000000000001</v>
      </c>
      <c r="BE159" t="n">
        <v>76.372</v>
      </c>
      <c r="BF159" t="n">
        <v>8.9176</v>
      </c>
      <c r="BG159" t="n">
        <v>0.77</v>
      </c>
      <c r="BH159" t="n">
        <v>5962.380796939026</v>
      </c>
      <c r="BI159" t="n">
        <v>1.148014846473962</v>
      </c>
      <c r="BJ159" t="n">
        <v>6844.9017</v>
      </c>
    </row>
    <row r="160">
      <c r="A160" t="n">
        <v>2023</v>
      </c>
      <c r="B160" t="inlineStr">
        <is>
          <t>01-02-2021</t>
        </is>
      </c>
      <c r="C160" t="n">
        <v>2021</v>
      </c>
      <c r="D160" t="n">
        <v>1</v>
      </c>
      <c r="E160" t="inlineStr">
        <is>
          <t>CAREN</t>
        </is>
      </c>
      <c r="F160" t="inlineStr">
        <is>
          <t>SUM_SAESA_A</t>
        </is>
      </c>
      <c r="G160" t="inlineStr">
        <is>
          <t>A</t>
        </is>
      </c>
      <c r="H160" t="inlineStr">
        <is>
          <t>SAESA</t>
        </is>
      </c>
      <c r="I160" t="inlineStr">
        <is>
          <t>SAESPICHBLOQA</t>
        </is>
      </c>
      <c r="J160" t="inlineStr">
        <is>
          <t>PICHIRROPULLI</t>
        </is>
      </c>
      <c r="K160" t="n">
        <v>-4295.82366157</v>
      </c>
      <c r="L160" t="inlineStr">
        <is>
          <t>PICHIRROPULLI</t>
        </is>
      </c>
      <c r="M160" t="inlineStr">
        <is>
          <t>BARRO BLANCO</t>
        </is>
      </c>
      <c r="N160" t="n">
        <v>0.44055171091363</v>
      </c>
      <c r="O160" t="n">
        <v>1892.532464</v>
      </c>
      <c r="P160" t="inlineStr">
        <is>
          <t>BS1A</t>
        </is>
      </c>
      <c r="Q160" t="n">
        <v>2</v>
      </c>
      <c r="W160" t="n">
        <v>2</v>
      </c>
      <c r="X160" t="n">
        <v>0</v>
      </c>
      <c r="AA160" t="inlineStr">
        <is>
          <t>PNP_6T_08-05-2020</t>
        </is>
      </c>
      <c r="AB160" t="inlineStr">
        <is>
          <t>PNCP_9T_12-08-2019</t>
        </is>
      </c>
      <c r="AC160" t="inlineStr">
        <is>
          <t>PNCP_4T_30-04-2013</t>
        </is>
      </c>
      <c r="AD160" t="inlineStr">
        <is>
          <t>Barro Blanco 220</t>
        </is>
      </c>
      <c r="AE160" t="n">
        <v>111.133</v>
      </c>
      <c r="AF160" t="n">
        <v>1.072776031070834</v>
      </c>
      <c r="AG160" t="n">
        <v>119.220818660995</v>
      </c>
      <c r="AH160" t="n">
        <v>694.38</v>
      </c>
      <c r="AI160" t="n">
        <v>0.875</v>
      </c>
      <c r="AJ160" t="n">
        <v>72.43648305409401</v>
      </c>
      <c r="AK160" t="n">
        <v>0.8631</v>
      </c>
      <c r="AL160" t="n">
        <v>62.52</v>
      </c>
      <c r="AM160" t="n">
        <v>8.9176</v>
      </c>
      <c r="AN160" t="n">
        <v>9.566587534677272</v>
      </c>
      <c r="AO160" t="n">
        <v>0.913</v>
      </c>
      <c r="AP160" t="n">
        <v>6064.919358776563</v>
      </c>
      <c r="AQ160" t="n">
        <v>1.004432825642191</v>
      </c>
      <c r="AR160" t="n">
        <v>6091.8041</v>
      </c>
      <c r="AT160" t="inlineStr">
        <is>
          <t>PNP_19T_30-12-2020</t>
        </is>
      </c>
      <c r="AU160" t="inlineStr">
        <is>
          <t>PNCP_12T_10-08-2020</t>
        </is>
      </c>
      <c r="AV160" t="inlineStr">
        <is>
          <t>PNCP_4T_30-04-2013</t>
        </is>
      </c>
      <c r="AW160" t="inlineStr">
        <is>
          <t>Barro Blanco 220</t>
        </is>
      </c>
      <c r="AX160" t="n">
        <v>111.133</v>
      </c>
      <c r="AY160" t="n">
        <v>1.083385174100913</v>
      </c>
      <c r="AZ160" t="n">
        <v>120.3998445533567</v>
      </c>
      <c r="BA160" t="n">
        <v>801.49</v>
      </c>
      <c r="BB160" t="n">
        <v>0.905</v>
      </c>
      <c r="BC160" t="n">
        <v>87.33184062701827</v>
      </c>
      <c r="BD160" t="n">
        <v>0.7946</v>
      </c>
      <c r="BE160" t="n">
        <v>69.39400000000001</v>
      </c>
      <c r="BF160" t="n">
        <v>8.9176</v>
      </c>
      <c r="BG160" t="n">
        <v>0.77</v>
      </c>
      <c r="BH160" t="n">
        <v>5962.380796939026</v>
      </c>
      <c r="BI160" t="n">
        <v>1.047283473516708</v>
      </c>
      <c r="BJ160" t="n">
        <v>6244.3029</v>
      </c>
    </row>
    <row r="161">
      <c r="A161" t="n">
        <v>2025</v>
      </c>
      <c r="B161" t="inlineStr">
        <is>
          <t>01-02-2021</t>
        </is>
      </c>
      <c r="C161" t="n">
        <v>2021</v>
      </c>
      <c r="D161" t="n">
        <v>1</v>
      </c>
      <c r="E161" t="inlineStr">
        <is>
          <t>CAREN</t>
        </is>
      </c>
      <c r="F161" t="inlineStr">
        <is>
          <t>SUM_SAESA_A</t>
        </is>
      </c>
      <c r="G161" t="inlineStr">
        <is>
          <t>A</t>
        </is>
      </c>
      <c r="H161" t="inlineStr">
        <is>
          <t>SAESA</t>
        </is>
      </c>
      <c r="I161" t="inlineStr">
        <is>
          <t>SAESPICHBLOQA</t>
        </is>
      </c>
      <c r="J161" t="inlineStr">
        <is>
          <t>PICHIRROPULLI</t>
        </is>
      </c>
      <c r="K161" t="n">
        <v>-4295.82366157</v>
      </c>
      <c r="L161" t="inlineStr">
        <is>
          <t>PICHIRROPULLI</t>
        </is>
      </c>
      <c r="M161" t="inlineStr">
        <is>
          <t>MELIPULLI</t>
        </is>
      </c>
      <c r="N161" t="n">
        <v>0.02469277244506</v>
      </c>
      <c r="O161" t="n">
        <v>106.075796</v>
      </c>
      <c r="P161" t="inlineStr">
        <is>
          <t>BS1A</t>
        </is>
      </c>
      <c r="Q161" t="n">
        <v>2</v>
      </c>
      <c r="W161" t="n">
        <v>2</v>
      </c>
      <c r="X161" t="n">
        <v>0</v>
      </c>
      <c r="AA161" t="inlineStr">
        <is>
          <t>PNP_6T_08-05-2020</t>
        </is>
      </c>
      <c r="AB161" t="inlineStr">
        <is>
          <t>PNCP_9T_12-08-2019</t>
        </is>
      </c>
      <c r="AC161" t="inlineStr">
        <is>
          <t>PNCP_4T_30-04-2013</t>
        </is>
      </c>
      <c r="AD161" t="inlineStr">
        <is>
          <t>MELIPULLI 220</t>
        </is>
      </c>
      <c r="AE161" t="n">
        <v>111.133</v>
      </c>
      <c r="AF161" t="n">
        <v>1.072776031070834</v>
      </c>
      <c r="AG161" t="n">
        <v>119.220818660995</v>
      </c>
      <c r="AH161" t="n">
        <v>694.38</v>
      </c>
      <c r="AI161" t="n">
        <v>0.875</v>
      </c>
      <c r="AJ161" t="n">
        <v>72.43648305409401</v>
      </c>
      <c r="AK161" t="n">
        <v>0.8826000000000001</v>
      </c>
      <c r="AL161" t="n">
        <v>63.932</v>
      </c>
      <c r="AM161" t="n">
        <v>8.9176</v>
      </c>
      <c r="AN161" t="n">
        <v>9.566587534677272</v>
      </c>
      <c r="AO161" t="n">
        <v>0.913</v>
      </c>
      <c r="AP161" t="n">
        <v>6064.919358776563</v>
      </c>
      <c r="AQ161" t="n">
        <v>1</v>
      </c>
      <c r="AR161" t="n">
        <v>6064.9194</v>
      </c>
      <c r="AT161" t="inlineStr">
        <is>
          <t>PNP_19T_30-12-2020</t>
        </is>
      </c>
      <c r="AU161" t="inlineStr">
        <is>
          <t>PNCP_12T_10-08-2020</t>
        </is>
      </c>
      <c r="AV161" t="inlineStr">
        <is>
          <t>PNCP_4T_30-04-2013</t>
        </is>
      </c>
      <c r="AW161" t="inlineStr">
        <is>
          <t>MELIPULLI 220</t>
        </is>
      </c>
      <c r="AX161" t="n">
        <v>111.133</v>
      </c>
      <c r="AY161" t="n">
        <v>1.083385174100913</v>
      </c>
      <c r="AZ161" t="n">
        <v>120.3998445533567</v>
      </c>
      <c r="BA161" t="n">
        <v>801.49</v>
      </c>
      <c r="BB161" t="n">
        <v>0.905</v>
      </c>
      <c r="BC161" t="n">
        <v>87.33184062701827</v>
      </c>
      <c r="BD161" t="n">
        <v>0.7824</v>
      </c>
      <c r="BE161" t="n">
        <v>68.328</v>
      </c>
      <c r="BF161" t="n">
        <v>8.9176</v>
      </c>
      <c r="BG161" t="n">
        <v>0.77</v>
      </c>
      <c r="BH161" t="n">
        <v>5962.380796939026</v>
      </c>
      <c r="BI161" t="n">
        <v>1</v>
      </c>
      <c r="BJ161" t="n">
        <v>5962.3808</v>
      </c>
    </row>
    <row r="162">
      <c r="A162" t="n">
        <v>2027</v>
      </c>
      <c r="B162" t="inlineStr">
        <is>
          <t>01-02-2021</t>
        </is>
      </c>
      <c r="C162" t="n">
        <v>2021</v>
      </c>
      <c r="D162" t="n">
        <v>1</v>
      </c>
      <c r="E162" t="inlineStr">
        <is>
          <t>CAREN</t>
        </is>
      </c>
      <c r="F162" t="inlineStr">
        <is>
          <t>SUM_SAESA_A</t>
        </is>
      </c>
      <c r="G162" t="inlineStr">
        <is>
          <t>A</t>
        </is>
      </c>
      <c r="H162" t="inlineStr">
        <is>
          <t>SAESA</t>
        </is>
      </c>
      <c r="I162" t="inlineStr">
        <is>
          <t>SAESPICHBLOQA</t>
        </is>
      </c>
      <c r="J162" t="inlineStr">
        <is>
          <t>PICHIRROPULLI</t>
        </is>
      </c>
      <c r="K162" t="n">
        <v>-4295.82366157</v>
      </c>
      <c r="L162" t="inlineStr">
        <is>
          <t>PICHIRROPULLI</t>
        </is>
      </c>
      <c r="M162" t="inlineStr">
        <is>
          <t>VALDIVIA</t>
        </is>
      </c>
      <c r="N162" t="n">
        <v>0.40806767195515</v>
      </c>
      <c r="O162" t="n">
        <v>1752.986761</v>
      </c>
      <c r="P162" t="inlineStr">
        <is>
          <t>BS1A</t>
        </is>
      </c>
      <c r="Q162" t="n">
        <v>2</v>
      </c>
      <c r="W162" t="n">
        <v>2</v>
      </c>
      <c r="X162" t="n">
        <v>0</v>
      </c>
      <c r="AA162" t="inlineStr">
        <is>
          <t>PNP_6T_08-05-2020</t>
        </is>
      </c>
      <c r="AB162" t="inlineStr">
        <is>
          <t>PNCP_9T_12-08-2019</t>
        </is>
      </c>
      <c r="AC162" t="inlineStr">
        <is>
          <t>PNCP_4T_30-04-2013</t>
        </is>
      </c>
      <c r="AD162" t="inlineStr">
        <is>
          <t>VALDIVIA 220</t>
        </is>
      </c>
      <c r="AE162" t="n">
        <v>111.133</v>
      </c>
      <c r="AF162" t="n">
        <v>1.072776031070834</v>
      </c>
      <c r="AG162" t="n">
        <v>119.220818660995</v>
      </c>
      <c r="AH162" t="n">
        <v>694.38</v>
      </c>
      <c r="AI162" t="n">
        <v>0.875</v>
      </c>
      <c r="AJ162" t="n">
        <v>72.43648305409401</v>
      </c>
      <c r="AK162" t="n">
        <v>0.913</v>
      </c>
      <c r="AL162" t="n">
        <v>66.13500000000001</v>
      </c>
      <c r="AM162" t="n">
        <v>8.9176</v>
      </c>
      <c r="AN162" t="n">
        <v>9.566587534677272</v>
      </c>
      <c r="AO162" t="n">
        <v>0.913</v>
      </c>
      <c r="AP162" t="n">
        <v>6064.919358776563</v>
      </c>
      <c r="AQ162" t="n">
        <v>1.051287819142954</v>
      </c>
      <c r="AR162" t="n">
        <v>6375.9758</v>
      </c>
      <c r="AT162" t="inlineStr">
        <is>
          <t>PNP_19T_30-12-2020</t>
        </is>
      </c>
      <c r="AU162" t="inlineStr">
        <is>
          <t>PNCP_12T_10-08-2020</t>
        </is>
      </c>
      <c r="AV162" t="inlineStr">
        <is>
          <t>PNCP_4T_30-04-2013</t>
        </is>
      </c>
      <c r="AW162" t="inlineStr">
        <is>
          <t>VALDIVIA 220</t>
        </is>
      </c>
      <c r="AX162" t="n">
        <v>111.133</v>
      </c>
      <c r="AY162" t="n">
        <v>1.083385174100913</v>
      </c>
      <c r="AZ162" t="n">
        <v>120.3998445533567</v>
      </c>
      <c r="BA162" t="n">
        <v>801.49</v>
      </c>
      <c r="BB162" t="n">
        <v>0.905</v>
      </c>
      <c r="BC162" t="n">
        <v>87.33184062701827</v>
      </c>
      <c r="BD162" t="n">
        <v>0.8745000000000001</v>
      </c>
      <c r="BE162" t="n">
        <v>76.372</v>
      </c>
      <c r="BF162" t="n">
        <v>8.9176</v>
      </c>
      <c r="BG162" t="n">
        <v>0.77</v>
      </c>
      <c r="BH162" t="n">
        <v>5962.380796939026</v>
      </c>
      <c r="BI162" t="n">
        <v>1.148014846473962</v>
      </c>
      <c r="BJ162" t="n">
        <v>6844.9017</v>
      </c>
    </row>
    <row r="163">
      <c r="A163" t="n">
        <v>2023</v>
      </c>
      <c r="B163" t="inlineStr">
        <is>
          <t>01-02-2021</t>
        </is>
      </c>
      <c r="C163" t="n">
        <v>2021</v>
      </c>
      <c r="D163" t="n">
        <v>1</v>
      </c>
      <c r="E163" t="inlineStr">
        <is>
          <t>CAREN</t>
        </is>
      </c>
      <c r="F163" t="inlineStr">
        <is>
          <t>SUM_SAESA_A</t>
        </is>
      </c>
      <c r="G163" t="inlineStr">
        <is>
          <t>A</t>
        </is>
      </c>
      <c r="H163" t="inlineStr">
        <is>
          <t>SAESA</t>
        </is>
      </c>
      <c r="I163" t="inlineStr">
        <is>
          <t>SAESPIDPBLOQA</t>
        </is>
      </c>
      <c r="J163" t="inlineStr">
        <is>
          <t>PIDPID</t>
        </is>
      </c>
      <c r="K163" t="n">
        <v>-1894.9745798</v>
      </c>
      <c r="L163" t="inlineStr">
        <is>
          <t>PID PID</t>
        </is>
      </c>
      <c r="M163" t="inlineStr">
        <is>
          <t>MELIPULLI</t>
        </is>
      </c>
      <c r="N163" t="n">
        <v>0.79666086463654</v>
      </c>
      <c r="O163" t="n">
        <v>1509.652087</v>
      </c>
      <c r="P163" t="inlineStr">
        <is>
          <t>BS1A</t>
        </is>
      </c>
      <c r="Q163" t="n">
        <v>2</v>
      </c>
      <c r="W163" t="n">
        <v>2</v>
      </c>
      <c r="X163" t="n">
        <v>0</v>
      </c>
      <c r="AA163" t="inlineStr">
        <is>
          <t>PNP_6T_08-05-2020</t>
        </is>
      </c>
      <c r="AB163" t="inlineStr">
        <is>
          <t>PNCP_9T_12-08-2019</t>
        </is>
      </c>
      <c r="AC163" t="inlineStr">
        <is>
          <t>PNCP_4T_30-04-2013</t>
        </is>
      </c>
      <c r="AD163" t="inlineStr">
        <is>
          <t>MELIPULLI 220</t>
        </is>
      </c>
      <c r="AE163" t="n">
        <v>111.133</v>
      </c>
      <c r="AF163" t="n">
        <v>1.072776031070834</v>
      </c>
      <c r="AG163" t="n">
        <v>119.220818660995</v>
      </c>
      <c r="AH163" t="n">
        <v>694.38</v>
      </c>
      <c r="AI163" t="n">
        <v>0.875</v>
      </c>
      <c r="AJ163" t="n">
        <v>72.43648305409401</v>
      </c>
      <c r="AK163" t="n">
        <v>0.8826000000000001</v>
      </c>
      <c r="AL163" t="n">
        <v>63.932</v>
      </c>
      <c r="AM163" t="n">
        <v>8.9176</v>
      </c>
      <c r="AN163" t="n">
        <v>9.566587534677272</v>
      </c>
      <c r="AO163" t="n">
        <v>0.913</v>
      </c>
      <c r="AP163" t="n">
        <v>6064.919358776563</v>
      </c>
      <c r="AQ163" t="n">
        <v>1</v>
      </c>
      <c r="AR163" t="n">
        <v>6064.9194</v>
      </c>
      <c r="AT163" t="inlineStr">
        <is>
          <t>PNP_19T_30-12-2020</t>
        </is>
      </c>
      <c r="AU163" t="inlineStr">
        <is>
          <t>PNCP_12T_10-08-2020</t>
        </is>
      </c>
      <c r="AV163" t="inlineStr">
        <is>
          <t>PNCP_4T_30-04-2013</t>
        </is>
      </c>
      <c r="AW163" t="inlineStr">
        <is>
          <t>MELIPULLI 220</t>
        </is>
      </c>
      <c r="AX163" t="n">
        <v>111.133</v>
      </c>
      <c r="AY163" t="n">
        <v>1.083385174100913</v>
      </c>
      <c r="AZ163" t="n">
        <v>120.3998445533567</v>
      </c>
      <c r="BA163" t="n">
        <v>801.49</v>
      </c>
      <c r="BB163" t="n">
        <v>0.905</v>
      </c>
      <c r="BC163" t="n">
        <v>87.33184062701827</v>
      </c>
      <c r="BD163" t="n">
        <v>0.7824</v>
      </c>
      <c r="BE163" t="n">
        <v>68.328</v>
      </c>
      <c r="BF163" t="n">
        <v>8.9176</v>
      </c>
      <c r="BG163" t="n">
        <v>0.77</v>
      </c>
      <c r="BH163" t="n">
        <v>5962.380796939026</v>
      </c>
      <c r="BI163" t="n">
        <v>1</v>
      </c>
      <c r="BJ163" t="n">
        <v>5962.3808</v>
      </c>
    </row>
    <row r="164">
      <c r="A164" t="n">
        <v>2025</v>
      </c>
      <c r="B164" t="inlineStr">
        <is>
          <t>01-02-2021</t>
        </is>
      </c>
      <c r="C164" t="n">
        <v>2021</v>
      </c>
      <c r="D164" t="n">
        <v>1</v>
      </c>
      <c r="E164" t="inlineStr">
        <is>
          <t>CAREN</t>
        </is>
      </c>
      <c r="F164" t="inlineStr">
        <is>
          <t>SUM_SAESA_A</t>
        </is>
      </c>
      <c r="G164" t="inlineStr">
        <is>
          <t>A</t>
        </is>
      </c>
      <c r="H164" t="inlineStr">
        <is>
          <t>SAESA</t>
        </is>
      </c>
      <c r="I164" t="inlineStr">
        <is>
          <t>SAESPIDPBLOQA</t>
        </is>
      </c>
      <c r="J164" t="inlineStr">
        <is>
          <t>PIDPID</t>
        </is>
      </c>
      <c r="K164" t="n">
        <v>-1894.9745798</v>
      </c>
      <c r="L164" t="inlineStr">
        <is>
          <t>PID PID</t>
        </is>
      </c>
      <c r="M164" t="inlineStr">
        <is>
          <t>Puerto Montt</t>
        </is>
      </c>
      <c r="N164" t="n">
        <v>0.94104614890391</v>
      </c>
      <c r="O164" t="n">
        <v>1783.258531</v>
      </c>
      <c r="P164" t="inlineStr">
        <is>
          <t>BS1A</t>
        </is>
      </c>
      <c r="Q164" t="n">
        <v>2</v>
      </c>
      <c r="W164" t="n">
        <v>2</v>
      </c>
      <c r="X164" t="n">
        <v>0</v>
      </c>
      <c r="AA164" t="inlineStr">
        <is>
          <t>PNP_6T_08-05-2020</t>
        </is>
      </c>
      <c r="AB164" t="inlineStr">
        <is>
          <t>PNCP_9T_12-08-2019</t>
        </is>
      </c>
      <c r="AC164" t="inlineStr">
        <is>
          <t>PNCP_4T_30-04-2013</t>
        </is>
      </c>
      <c r="AD164" t="inlineStr">
        <is>
          <t>PUERTO MONTT 220</t>
        </is>
      </c>
      <c r="AE164" t="n">
        <v>111.133</v>
      </c>
      <c r="AF164" t="n">
        <v>1.072776031070834</v>
      </c>
      <c r="AG164" t="n">
        <v>119.220818660995</v>
      </c>
      <c r="AH164" t="n">
        <v>694.38</v>
      </c>
      <c r="AI164" t="n">
        <v>0.875</v>
      </c>
      <c r="AJ164" t="n">
        <v>72.43648305409401</v>
      </c>
      <c r="AK164" t="n">
        <v>0.8826000000000001</v>
      </c>
      <c r="AL164" t="n">
        <v>63.932</v>
      </c>
      <c r="AM164" t="n">
        <v>8.9176</v>
      </c>
      <c r="AN164" t="n">
        <v>9.566587534677272</v>
      </c>
      <c r="AO164" t="n">
        <v>0.913</v>
      </c>
      <c r="AP164" t="n">
        <v>6064.919358776563</v>
      </c>
      <c r="AQ164" t="n">
        <v>1.016858412119831</v>
      </c>
      <c r="AR164" t="n">
        <v>6167.1643</v>
      </c>
      <c r="AT164" t="inlineStr">
        <is>
          <t>PNP_19T_30-12-2020</t>
        </is>
      </c>
      <c r="AU164" t="inlineStr">
        <is>
          <t>PNCP_12T_10-08-2020</t>
        </is>
      </c>
      <c r="AV164" t="inlineStr">
        <is>
          <t>PNCP_4T_30-04-2013</t>
        </is>
      </c>
      <c r="AW164" t="inlineStr">
        <is>
          <t>PUERTO MONTT 220</t>
        </is>
      </c>
      <c r="AX164" t="n">
        <v>111.133</v>
      </c>
      <c r="AY164" t="n">
        <v>1.083385174100913</v>
      </c>
      <c r="AZ164" t="n">
        <v>120.3998445533567</v>
      </c>
      <c r="BA164" t="n">
        <v>801.49</v>
      </c>
      <c r="BB164" t="n">
        <v>0.905</v>
      </c>
      <c r="BC164" t="n">
        <v>87.33184062701827</v>
      </c>
      <c r="BD164" t="n">
        <v>0.7824</v>
      </c>
      <c r="BE164" t="n">
        <v>68.328</v>
      </c>
      <c r="BF164" t="n">
        <v>8.9176</v>
      </c>
      <c r="BG164" t="n">
        <v>0.77</v>
      </c>
      <c r="BH164" t="n">
        <v>5962.380796939026</v>
      </c>
      <c r="BI164" t="n">
        <v>1.039640050119603</v>
      </c>
      <c r="BJ164" t="n">
        <v>6198.7299</v>
      </c>
    </row>
    <row r="165">
      <c r="A165" t="n">
        <v>2027</v>
      </c>
      <c r="B165" t="inlineStr">
        <is>
          <t>01-02-2021</t>
        </is>
      </c>
      <c r="C165" t="n">
        <v>2021</v>
      </c>
      <c r="D165" t="n">
        <v>1</v>
      </c>
      <c r="E165" t="inlineStr">
        <is>
          <t>CAREN</t>
        </is>
      </c>
      <c r="F165" t="inlineStr">
        <is>
          <t>SUM_SAESA_A</t>
        </is>
      </c>
      <c r="G165" t="inlineStr">
        <is>
          <t>A</t>
        </is>
      </c>
      <c r="H165" t="inlineStr">
        <is>
          <t>SAESA</t>
        </is>
      </c>
      <c r="I165" t="inlineStr">
        <is>
          <t>SAESPIDPBLOQA</t>
        </is>
      </c>
      <c r="J165" t="inlineStr">
        <is>
          <t>PIDPID</t>
        </is>
      </c>
      <c r="K165" t="n">
        <v>-1894.9745798</v>
      </c>
      <c r="L165" t="inlineStr">
        <is>
          <t>PID PID</t>
        </is>
      </c>
      <c r="M165" t="inlineStr">
        <is>
          <t>VALDIVIA</t>
        </is>
      </c>
      <c r="N165" t="n">
        <v>0.00023768314126</v>
      </c>
      <c r="O165" t="n">
        <v>0.450404</v>
      </c>
      <c r="P165" t="inlineStr">
        <is>
          <t>BS1A</t>
        </is>
      </c>
      <c r="Q165" t="n">
        <v>2</v>
      </c>
      <c r="W165" t="n">
        <v>2</v>
      </c>
      <c r="X165" t="n">
        <v>0</v>
      </c>
      <c r="AA165" t="inlineStr">
        <is>
          <t>PNP_6T_08-05-2020</t>
        </is>
      </c>
      <c r="AB165" t="inlineStr">
        <is>
          <t>PNCP_9T_12-08-2019</t>
        </is>
      </c>
      <c r="AC165" t="inlineStr">
        <is>
          <t>PNCP_4T_30-04-2013</t>
        </is>
      </c>
      <c r="AD165" t="inlineStr">
        <is>
          <t>VALDIVIA 220</t>
        </is>
      </c>
      <c r="AE165" t="n">
        <v>111.133</v>
      </c>
      <c r="AF165" t="n">
        <v>1.072776031070834</v>
      </c>
      <c r="AG165" t="n">
        <v>119.220818660995</v>
      </c>
      <c r="AH165" t="n">
        <v>694.38</v>
      </c>
      <c r="AI165" t="n">
        <v>0.875</v>
      </c>
      <c r="AJ165" t="n">
        <v>72.43648305409401</v>
      </c>
      <c r="AK165" t="n">
        <v>0.913</v>
      </c>
      <c r="AL165" t="n">
        <v>66.13500000000001</v>
      </c>
      <c r="AM165" t="n">
        <v>8.9176</v>
      </c>
      <c r="AN165" t="n">
        <v>9.566587534677272</v>
      </c>
      <c r="AO165" t="n">
        <v>0.913</v>
      </c>
      <c r="AP165" t="n">
        <v>6064.919358776563</v>
      </c>
      <c r="AQ165" t="n">
        <v>1.051287819142954</v>
      </c>
      <c r="AR165" t="n">
        <v>6375.9758</v>
      </c>
      <c r="AT165" t="inlineStr">
        <is>
          <t>PNP_19T_30-12-2020</t>
        </is>
      </c>
      <c r="AU165" t="inlineStr">
        <is>
          <t>PNCP_12T_10-08-2020</t>
        </is>
      </c>
      <c r="AV165" t="inlineStr">
        <is>
          <t>PNCP_4T_30-04-2013</t>
        </is>
      </c>
      <c r="AW165" t="inlineStr">
        <is>
          <t>VALDIVIA 220</t>
        </is>
      </c>
      <c r="AX165" t="n">
        <v>111.133</v>
      </c>
      <c r="AY165" t="n">
        <v>1.083385174100913</v>
      </c>
      <c r="AZ165" t="n">
        <v>120.3998445533567</v>
      </c>
      <c r="BA165" t="n">
        <v>801.49</v>
      </c>
      <c r="BB165" t="n">
        <v>0.905</v>
      </c>
      <c r="BC165" t="n">
        <v>87.33184062701827</v>
      </c>
      <c r="BD165" t="n">
        <v>0.8745000000000001</v>
      </c>
      <c r="BE165" t="n">
        <v>76.372</v>
      </c>
      <c r="BF165" t="n">
        <v>8.9176</v>
      </c>
      <c r="BG165" t="n">
        <v>0.77</v>
      </c>
      <c r="BH165" t="n">
        <v>5962.380796939026</v>
      </c>
      <c r="BI165" t="n">
        <v>1.148014846473962</v>
      </c>
      <c r="BJ165" t="n">
        <v>6844.9017</v>
      </c>
    </row>
    <row r="166">
      <c r="A166" t="n">
        <v>6028</v>
      </c>
      <c r="B166" t="inlineStr">
        <is>
          <t>01-02-2021</t>
        </is>
      </c>
      <c r="C166" t="n">
        <v>2021</v>
      </c>
      <c r="D166" t="n">
        <v>1</v>
      </c>
      <c r="E166" t="inlineStr">
        <is>
          <t>CAREN</t>
        </is>
      </c>
      <c r="F166" t="inlineStr">
        <is>
          <t>SUM_SAESA_A</t>
        </is>
      </c>
      <c r="G166" t="inlineStr">
        <is>
          <t>A</t>
        </is>
      </c>
      <c r="H166" t="inlineStr">
        <is>
          <t>SAESA</t>
        </is>
      </c>
      <c r="I166" t="inlineStr">
        <is>
          <t>SAESPILMBLOQA</t>
        </is>
      </c>
      <c r="J166" t="inlineStr">
        <is>
          <t>PILMAIQUEN</t>
        </is>
      </c>
      <c r="K166" t="n">
        <v>0</v>
      </c>
      <c r="L166" t="inlineStr">
        <is>
          <t>PILMAIQUEN</t>
        </is>
      </c>
      <c r="M166" t="inlineStr">
        <is>
          <t>Barro Blanco</t>
        </is>
      </c>
      <c r="N166" t="n">
        <v>0.69399012693979</v>
      </c>
      <c r="O166" t="n">
        <v>0</v>
      </c>
      <c r="P166" t="inlineStr">
        <is>
          <t>BS1A</t>
        </is>
      </c>
      <c r="Q166" t="n">
        <v>2</v>
      </c>
      <c r="W166" t="n">
        <v>2</v>
      </c>
      <c r="X166" t="n">
        <v>0</v>
      </c>
      <c r="AA166" t="inlineStr">
        <is>
          <t>PNP_6T_08-05-2020</t>
        </is>
      </c>
      <c r="AB166" t="inlineStr">
        <is>
          <t>PNCP_9T_12-08-2019</t>
        </is>
      </c>
      <c r="AC166" t="inlineStr">
        <is>
          <t>PNCP_4T_30-04-2013</t>
        </is>
      </c>
      <c r="AD166" t="inlineStr">
        <is>
          <t>Barro Blanco 220</t>
        </is>
      </c>
      <c r="AE166" t="n">
        <v>111.133</v>
      </c>
      <c r="AF166" t="n">
        <v>1.072776031070834</v>
      </c>
      <c r="AG166" t="n">
        <v>119.220818660995</v>
      </c>
      <c r="AH166" t="n">
        <v>694.38</v>
      </c>
      <c r="AI166" t="n">
        <v>0.875</v>
      </c>
      <c r="AJ166" t="n">
        <v>72.43648305409401</v>
      </c>
      <c r="AK166" t="n">
        <v>0.8631</v>
      </c>
      <c r="AL166" t="n">
        <v>62.52</v>
      </c>
      <c r="AM166" t="n">
        <v>8.9176</v>
      </c>
      <c r="AN166" t="n">
        <v>9.566587534677272</v>
      </c>
      <c r="AO166" t="n">
        <v>0.913</v>
      </c>
      <c r="AP166" t="n">
        <v>6064.919358776563</v>
      </c>
      <c r="AQ166" t="n">
        <v>1.004432825642191</v>
      </c>
      <c r="AR166" t="n">
        <v>6091.8041</v>
      </c>
      <c r="AT166" t="inlineStr">
        <is>
          <t>PNP_19T_30-12-2020</t>
        </is>
      </c>
      <c r="AU166" t="inlineStr">
        <is>
          <t>PNCP_12T_10-08-2020</t>
        </is>
      </c>
      <c r="AV166" t="inlineStr">
        <is>
          <t>PNCP_4T_30-04-2013</t>
        </is>
      </c>
      <c r="AW166" t="inlineStr">
        <is>
          <t>Barro Blanco 220</t>
        </is>
      </c>
      <c r="AX166" t="n">
        <v>111.133</v>
      </c>
      <c r="AY166" t="n">
        <v>1.083385174100913</v>
      </c>
      <c r="AZ166" t="n">
        <v>120.3998445533567</v>
      </c>
      <c r="BA166" t="n">
        <v>801.49</v>
      </c>
      <c r="BB166" t="n">
        <v>0.905</v>
      </c>
      <c r="BC166" t="n">
        <v>87.33184062701827</v>
      </c>
      <c r="BD166" t="n">
        <v>0.7946</v>
      </c>
      <c r="BE166" t="n">
        <v>69.39400000000001</v>
      </c>
      <c r="BF166" t="n">
        <v>8.9176</v>
      </c>
      <c r="BG166" t="n">
        <v>0.77</v>
      </c>
      <c r="BH166" t="n">
        <v>5962.380796939026</v>
      </c>
      <c r="BI166" t="n">
        <v>1.047283473516708</v>
      </c>
      <c r="BJ166" t="n">
        <v>6244.3029</v>
      </c>
    </row>
    <row r="167">
      <c r="A167" t="n">
        <v>6030</v>
      </c>
      <c r="B167" t="inlineStr">
        <is>
          <t>01-02-2021</t>
        </is>
      </c>
      <c r="C167" t="n">
        <v>2021</v>
      </c>
      <c r="D167" t="n">
        <v>1</v>
      </c>
      <c r="E167" t="inlineStr">
        <is>
          <t>CAREN</t>
        </is>
      </c>
      <c r="F167" t="inlineStr">
        <is>
          <t>SUM_SAESA_A</t>
        </is>
      </c>
      <c r="G167" t="inlineStr">
        <is>
          <t>A</t>
        </is>
      </c>
      <c r="H167" t="inlineStr">
        <is>
          <t>SAESA</t>
        </is>
      </c>
      <c r="I167" t="inlineStr">
        <is>
          <t>SAESPILMBLOQA</t>
        </is>
      </c>
      <c r="J167" t="inlineStr">
        <is>
          <t>PILMAIQUEN</t>
        </is>
      </c>
      <c r="K167" t="n">
        <v>0</v>
      </c>
      <c r="L167" t="inlineStr">
        <is>
          <t>PILMAIQUEN</t>
        </is>
      </c>
      <c r="M167" t="inlineStr">
        <is>
          <t>MELIPULLI</t>
        </is>
      </c>
      <c r="N167" t="n">
        <v>0.04205368679911</v>
      </c>
      <c r="O167" t="n">
        <v>0</v>
      </c>
      <c r="P167" t="inlineStr">
        <is>
          <t>BS1A</t>
        </is>
      </c>
      <c r="Q167" t="n">
        <v>2</v>
      </c>
      <c r="W167" t="n">
        <v>2</v>
      </c>
      <c r="X167" t="n">
        <v>0</v>
      </c>
      <c r="AA167" t="inlineStr">
        <is>
          <t>PNP_6T_08-05-2020</t>
        </is>
      </c>
      <c r="AB167" t="inlineStr">
        <is>
          <t>PNCP_9T_12-08-2019</t>
        </is>
      </c>
      <c r="AC167" t="inlineStr">
        <is>
          <t>PNCP_4T_30-04-2013</t>
        </is>
      </c>
      <c r="AD167" t="inlineStr">
        <is>
          <t>MELIPULLI 220</t>
        </is>
      </c>
      <c r="AE167" t="n">
        <v>111.133</v>
      </c>
      <c r="AF167" t="n">
        <v>1.072776031070834</v>
      </c>
      <c r="AG167" t="n">
        <v>119.220818660995</v>
      </c>
      <c r="AH167" t="n">
        <v>694.38</v>
      </c>
      <c r="AI167" t="n">
        <v>0.875</v>
      </c>
      <c r="AJ167" t="n">
        <v>72.43648305409401</v>
      </c>
      <c r="AK167" t="n">
        <v>0.8826000000000001</v>
      </c>
      <c r="AL167" t="n">
        <v>63.932</v>
      </c>
      <c r="AM167" t="n">
        <v>8.9176</v>
      </c>
      <c r="AN167" t="n">
        <v>9.566587534677272</v>
      </c>
      <c r="AO167" t="n">
        <v>0.913</v>
      </c>
      <c r="AP167" t="n">
        <v>6064.919358776563</v>
      </c>
      <c r="AQ167" t="n">
        <v>1</v>
      </c>
      <c r="AR167" t="n">
        <v>6064.9194</v>
      </c>
      <c r="AT167" t="inlineStr">
        <is>
          <t>PNP_19T_30-12-2020</t>
        </is>
      </c>
      <c r="AU167" t="inlineStr">
        <is>
          <t>PNCP_12T_10-08-2020</t>
        </is>
      </c>
      <c r="AV167" t="inlineStr">
        <is>
          <t>PNCP_4T_30-04-2013</t>
        </is>
      </c>
      <c r="AW167" t="inlineStr">
        <is>
          <t>MELIPULLI 220</t>
        </is>
      </c>
      <c r="AX167" t="n">
        <v>111.133</v>
      </c>
      <c r="AY167" t="n">
        <v>1.083385174100913</v>
      </c>
      <c r="AZ167" t="n">
        <v>120.3998445533567</v>
      </c>
      <c r="BA167" t="n">
        <v>801.49</v>
      </c>
      <c r="BB167" t="n">
        <v>0.905</v>
      </c>
      <c r="BC167" t="n">
        <v>87.33184062701827</v>
      </c>
      <c r="BD167" t="n">
        <v>0.7824</v>
      </c>
      <c r="BE167" t="n">
        <v>68.328</v>
      </c>
      <c r="BF167" t="n">
        <v>8.9176</v>
      </c>
      <c r="BG167" t="n">
        <v>0.77</v>
      </c>
      <c r="BH167" t="n">
        <v>5962.380796939026</v>
      </c>
      <c r="BI167" t="n">
        <v>1</v>
      </c>
      <c r="BJ167" t="n">
        <v>5962.3808</v>
      </c>
    </row>
    <row r="168">
      <c r="A168" t="n">
        <v>6032</v>
      </c>
      <c r="B168" t="inlineStr">
        <is>
          <t>01-02-2021</t>
        </is>
      </c>
      <c r="C168" t="n">
        <v>2021</v>
      </c>
      <c r="D168" t="n">
        <v>1</v>
      </c>
      <c r="E168" t="inlineStr">
        <is>
          <t>CAREN</t>
        </is>
      </c>
      <c r="F168" t="inlineStr">
        <is>
          <t>SUM_SAESA_A</t>
        </is>
      </c>
      <c r="G168" t="inlineStr">
        <is>
          <t>A</t>
        </is>
      </c>
      <c r="H168" t="inlineStr">
        <is>
          <t>SAESA</t>
        </is>
      </c>
      <c r="I168" t="inlineStr">
        <is>
          <t>SAESPILMBLOQA</t>
        </is>
      </c>
      <c r="J168" t="inlineStr">
        <is>
          <t>PILMAIQUEN</t>
        </is>
      </c>
      <c r="K168" t="n">
        <v>0</v>
      </c>
      <c r="L168" t="inlineStr">
        <is>
          <t>PILMAIQUEN</t>
        </is>
      </c>
      <c r="M168" t="inlineStr">
        <is>
          <t>VALDIVIA</t>
        </is>
      </c>
      <c r="N168" t="n">
        <v>0.1616700997078</v>
      </c>
      <c r="O168" t="n">
        <v>0</v>
      </c>
      <c r="P168" t="inlineStr">
        <is>
          <t>BS1A</t>
        </is>
      </c>
      <c r="Q168" t="n">
        <v>2</v>
      </c>
      <c r="W168" t="n">
        <v>2</v>
      </c>
      <c r="X168" t="n">
        <v>0</v>
      </c>
      <c r="AA168" t="inlineStr">
        <is>
          <t>PNP_6T_08-05-2020</t>
        </is>
      </c>
      <c r="AB168" t="inlineStr">
        <is>
          <t>PNCP_9T_12-08-2019</t>
        </is>
      </c>
      <c r="AC168" t="inlineStr">
        <is>
          <t>PNCP_4T_30-04-2013</t>
        </is>
      </c>
      <c r="AD168" t="inlineStr">
        <is>
          <t>VALDIVIA 220</t>
        </is>
      </c>
      <c r="AE168" t="n">
        <v>111.133</v>
      </c>
      <c r="AF168" t="n">
        <v>1.072776031070834</v>
      </c>
      <c r="AG168" t="n">
        <v>119.220818660995</v>
      </c>
      <c r="AH168" t="n">
        <v>694.38</v>
      </c>
      <c r="AI168" t="n">
        <v>0.875</v>
      </c>
      <c r="AJ168" t="n">
        <v>72.43648305409401</v>
      </c>
      <c r="AK168" t="n">
        <v>0.913</v>
      </c>
      <c r="AL168" t="n">
        <v>66.13500000000001</v>
      </c>
      <c r="AM168" t="n">
        <v>8.9176</v>
      </c>
      <c r="AN168" t="n">
        <v>9.566587534677272</v>
      </c>
      <c r="AO168" t="n">
        <v>0.913</v>
      </c>
      <c r="AP168" t="n">
        <v>6064.919358776563</v>
      </c>
      <c r="AQ168" t="n">
        <v>1.051287819142954</v>
      </c>
      <c r="AR168" t="n">
        <v>6375.9758</v>
      </c>
      <c r="AT168" t="inlineStr">
        <is>
          <t>PNP_19T_30-12-2020</t>
        </is>
      </c>
      <c r="AU168" t="inlineStr">
        <is>
          <t>PNCP_12T_10-08-2020</t>
        </is>
      </c>
      <c r="AV168" t="inlineStr">
        <is>
          <t>PNCP_4T_30-04-2013</t>
        </is>
      </c>
      <c r="AW168" t="inlineStr">
        <is>
          <t>VALDIVIA 220</t>
        </is>
      </c>
      <c r="AX168" t="n">
        <v>111.133</v>
      </c>
      <c r="AY168" t="n">
        <v>1.083385174100913</v>
      </c>
      <c r="AZ168" t="n">
        <v>120.3998445533567</v>
      </c>
      <c r="BA168" t="n">
        <v>801.49</v>
      </c>
      <c r="BB168" t="n">
        <v>0.905</v>
      </c>
      <c r="BC168" t="n">
        <v>87.33184062701827</v>
      </c>
      <c r="BD168" t="n">
        <v>0.8745000000000001</v>
      </c>
      <c r="BE168" t="n">
        <v>76.372</v>
      </c>
      <c r="BF168" t="n">
        <v>8.9176</v>
      </c>
      <c r="BG168" t="n">
        <v>0.77</v>
      </c>
      <c r="BH168" t="n">
        <v>5962.380796939026</v>
      </c>
      <c r="BI168" t="n">
        <v>1.148014846473962</v>
      </c>
      <c r="BJ168" t="n">
        <v>6844.9017</v>
      </c>
    </row>
    <row r="169">
      <c r="A169" t="n">
        <v>2023</v>
      </c>
      <c r="B169" t="inlineStr">
        <is>
          <t>01-02-2021</t>
        </is>
      </c>
      <c r="C169" t="n">
        <v>2021</v>
      </c>
      <c r="D169" t="n">
        <v>1</v>
      </c>
      <c r="E169" t="inlineStr">
        <is>
          <t>CAREN</t>
        </is>
      </c>
      <c r="F169" t="inlineStr">
        <is>
          <t>SUM_SAESA_A</t>
        </is>
      </c>
      <c r="G169" t="inlineStr">
        <is>
          <t>A</t>
        </is>
      </c>
      <c r="H169" t="inlineStr">
        <is>
          <t>SAESA</t>
        </is>
      </c>
      <c r="I169" t="inlineStr">
        <is>
          <t>SAESPULLBLOQA</t>
        </is>
      </c>
      <c r="J169" t="inlineStr">
        <is>
          <t>PULLINQUE</t>
        </is>
      </c>
      <c r="K169" t="n">
        <v>-1448.78882748</v>
      </c>
      <c r="L169" t="inlineStr">
        <is>
          <t>PULLINQUE</t>
        </is>
      </c>
      <c r="M169" t="inlineStr">
        <is>
          <t>BARRO BLANCO</t>
        </is>
      </c>
      <c r="N169" t="n">
        <v>0.23546265219545</v>
      </c>
      <c r="O169" t="n">
        <v>341.13566</v>
      </c>
      <c r="P169" t="inlineStr">
        <is>
          <t>BS1A</t>
        </is>
      </c>
      <c r="Q169" t="n">
        <v>2</v>
      </c>
      <c r="W169" t="n">
        <v>2</v>
      </c>
      <c r="X169" t="n">
        <v>0</v>
      </c>
      <c r="AA169" t="inlineStr">
        <is>
          <t>PNP_6T_08-05-2020</t>
        </is>
      </c>
      <c r="AB169" t="inlineStr">
        <is>
          <t>PNCP_9T_12-08-2019</t>
        </is>
      </c>
      <c r="AC169" t="inlineStr">
        <is>
          <t>PNCP_4T_30-04-2013</t>
        </is>
      </c>
      <c r="AD169" t="inlineStr">
        <is>
          <t>Barro Blanco 220</t>
        </is>
      </c>
      <c r="AE169" t="n">
        <v>111.133</v>
      </c>
      <c r="AF169" t="n">
        <v>1.072776031070834</v>
      </c>
      <c r="AG169" t="n">
        <v>119.220818660995</v>
      </c>
      <c r="AH169" t="n">
        <v>694.38</v>
      </c>
      <c r="AI169" t="n">
        <v>0.875</v>
      </c>
      <c r="AJ169" t="n">
        <v>72.43648305409401</v>
      </c>
      <c r="AK169" t="n">
        <v>0.8631</v>
      </c>
      <c r="AL169" t="n">
        <v>62.52</v>
      </c>
      <c r="AM169" t="n">
        <v>8.9176</v>
      </c>
      <c r="AN169" t="n">
        <v>9.566587534677272</v>
      </c>
      <c r="AO169" t="n">
        <v>0.913</v>
      </c>
      <c r="AP169" t="n">
        <v>6064.919358776563</v>
      </c>
      <c r="AQ169" t="n">
        <v>1.004432825642191</v>
      </c>
      <c r="AR169" t="n">
        <v>6091.8041</v>
      </c>
      <c r="AT169" t="inlineStr">
        <is>
          <t>PNP_19T_30-12-2020</t>
        </is>
      </c>
      <c r="AU169" t="inlineStr">
        <is>
          <t>PNCP_12T_10-08-2020</t>
        </is>
      </c>
      <c r="AV169" t="inlineStr">
        <is>
          <t>PNCP_4T_30-04-2013</t>
        </is>
      </c>
      <c r="AW169" t="inlineStr">
        <is>
          <t>Barro Blanco 220</t>
        </is>
      </c>
      <c r="AX169" t="n">
        <v>111.133</v>
      </c>
      <c r="AY169" t="n">
        <v>1.083385174100913</v>
      </c>
      <c r="AZ169" t="n">
        <v>120.3998445533567</v>
      </c>
      <c r="BA169" t="n">
        <v>801.49</v>
      </c>
      <c r="BB169" t="n">
        <v>0.905</v>
      </c>
      <c r="BC169" t="n">
        <v>87.33184062701827</v>
      </c>
      <c r="BD169" t="n">
        <v>0.7946</v>
      </c>
      <c r="BE169" t="n">
        <v>69.39400000000001</v>
      </c>
      <c r="BF169" t="n">
        <v>8.9176</v>
      </c>
      <c r="BG169" t="n">
        <v>0.77</v>
      </c>
      <c r="BH169" t="n">
        <v>5962.380796939026</v>
      </c>
      <c r="BI169" t="n">
        <v>1.047283473516708</v>
      </c>
      <c r="BJ169" t="n">
        <v>6244.3029</v>
      </c>
    </row>
    <row r="170">
      <c r="A170" t="n">
        <v>2025</v>
      </c>
      <c r="B170" t="inlineStr">
        <is>
          <t>01-02-2021</t>
        </is>
      </c>
      <c r="C170" t="n">
        <v>2021</v>
      </c>
      <c r="D170" t="n">
        <v>1</v>
      </c>
      <c r="E170" t="inlineStr">
        <is>
          <t>CAREN</t>
        </is>
      </c>
      <c r="F170" t="inlineStr">
        <is>
          <t>SUM_SAESA_A</t>
        </is>
      </c>
      <c r="G170" t="inlineStr">
        <is>
          <t>A</t>
        </is>
      </c>
      <c r="H170" t="inlineStr">
        <is>
          <t>SAESA</t>
        </is>
      </c>
      <c r="I170" t="inlineStr">
        <is>
          <t>SAESPULLBLOQA</t>
        </is>
      </c>
      <c r="J170" t="inlineStr">
        <is>
          <t>PULLINQUE</t>
        </is>
      </c>
      <c r="K170" t="n">
        <v>-1448.78882748</v>
      </c>
      <c r="L170" t="inlineStr">
        <is>
          <t>PULLINQUE</t>
        </is>
      </c>
      <c r="M170" t="inlineStr">
        <is>
          <t>MELIPULLI</t>
        </is>
      </c>
      <c r="N170" t="n">
        <v>0.00896854569047</v>
      </c>
      <c r="O170" t="n">
        <v>12.993529</v>
      </c>
      <c r="P170" t="inlineStr">
        <is>
          <t>BS1A</t>
        </is>
      </c>
      <c r="Q170" t="n">
        <v>2</v>
      </c>
      <c r="W170" t="n">
        <v>2</v>
      </c>
      <c r="X170" t="n">
        <v>0</v>
      </c>
      <c r="AA170" t="inlineStr">
        <is>
          <t>PNP_6T_08-05-2020</t>
        </is>
      </c>
      <c r="AB170" t="inlineStr">
        <is>
          <t>PNCP_9T_12-08-2019</t>
        </is>
      </c>
      <c r="AC170" t="inlineStr">
        <is>
          <t>PNCP_4T_30-04-2013</t>
        </is>
      </c>
      <c r="AD170" t="inlineStr">
        <is>
          <t>MELIPULLI 220</t>
        </is>
      </c>
      <c r="AE170" t="n">
        <v>111.133</v>
      </c>
      <c r="AF170" t="n">
        <v>1.072776031070834</v>
      </c>
      <c r="AG170" t="n">
        <v>119.220818660995</v>
      </c>
      <c r="AH170" t="n">
        <v>694.38</v>
      </c>
      <c r="AI170" t="n">
        <v>0.875</v>
      </c>
      <c r="AJ170" t="n">
        <v>72.43648305409401</v>
      </c>
      <c r="AK170" t="n">
        <v>0.8826000000000001</v>
      </c>
      <c r="AL170" t="n">
        <v>63.932</v>
      </c>
      <c r="AM170" t="n">
        <v>8.9176</v>
      </c>
      <c r="AN170" t="n">
        <v>9.566587534677272</v>
      </c>
      <c r="AO170" t="n">
        <v>0.913</v>
      </c>
      <c r="AP170" t="n">
        <v>6064.919358776563</v>
      </c>
      <c r="AQ170" t="n">
        <v>1</v>
      </c>
      <c r="AR170" t="n">
        <v>6064.9194</v>
      </c>
      <c r="AT170" t="inlineStr">
        <is>
          <t>PNP_19T_30-12-2020</t>
        </is>
      </c>
      <c r="AU170" t="inlineStr">
        <is>
          <t>PNCP_12T_10-08-2020</t>
        </is>
      </c>
      <c r="AV170" t="inlineStr">
        <is>
          <t>PNCP_4T_30-04-2013</t>
        </is>
      </c>
      <c r="AW170" t="inlineStr">
        <is>
          <t>MELIPULLI 220</t>
        </is>
      </c>
      <c r="AX170" t="n">
        <v>111.133</v>
      </c>
      <c r="AY170" t="n">
        <v>1.083385174100913</v>
      </c>
      <c r="AZ170" t="n">
        <v>120.3998445533567</v>
      </c>
      <c r="BA170" t="n">
        <v>801.49</v>
      </c>
      <c r="BB170" t="n">
        <v>0.905</v>
      </c>
      <c r="BC170" t="n">
        <v>87.33184062701827</v>
      </c>
      <c r="BD170" t="n">
        <v>0.7824</v>
      </c>
      <c r="BE170" t="n">
        <v>68.328</v>
      </c>
      <c r="BF170" t="n">
        <v>8.9176</v>
      </c>
      <c r="BG170" t="n">
        <v>0.77</v>
      </c>
      <c r="BH170" t="n">
        <v>5962.380796939026</v>
      </c>
      <c r="BI170" t="n">
        <v>1</v>
      </c>
      <c r="BJ170" t="n">
        <v>5962.3808</v>
      </c>
    </row>
    <row r="171">
      <c r="A171" t="n">
        <v>2027</v>
      </c>
      <c r="B171" t="inlineStr">
        <is>
          <t>01-02-2021</t>
        </is>
      </c>
      <c r="C171" t="n">
        <v>2021</v>
      </c>
      <c r="D171" t="n">
        <v>1</v>
      </c>
      <c r="E171" t="inlineStr">
        <is>
          <t>CAREN</t>
        </is>
      </c>
      <c r="F171" t="inlineStr">
        <is>
          <t>SUM_SAESA_A</t>
        </is>
      </c>
      <c r="G171" t="inlineStr">
        <is>
          <t>A</t>
        </is>
      </c>
      <c r="H171" t="inlineStr">
        <is>
          <t>SAESA</t>
        </is>
      </c>
      <c r="I171" t="inlineStr">
        <is>
          <t>SAESPULLBLOQA</t>
        </is>
      </c>
      <c r="J171" t="inlineStr">
        <is>
          <t>PULLINQUE</t>
        </is>
      </c>
      <c r="K171" t="n">
        <v>-1448.78882748</v>
      </c>
      <c r="L171" t="inlineStr">
        <is>
          <t>PULLINQUE</t>
        </is>
      </c>
      <c r="M171" t="inlineStr">
        <is>
          <t>VALDIVIA</t>
        </is>
      </c>
      <c r="N171" t="n">
        <v>0.62227344127398</v>
      </c>
      <c r="O171" t="n">
        <v>901.542809</v>
      </c>
      <c r="P171" t="inlineStr">
        <is>
          <t>BS1A</t>
        </is>
      </c>
      <c r="Q171" t="n">
        <v>2</v>
      </c>
      <c r="W171" t="n">
        <v>2</v>
      </c>
      <c r="X171" t="n">
        <v>0</v>
      </c>
      <c r="AA171" t="inlineStr">
        <is>
          <t>PNP_6T_08-05-2020</t>
        </is>
      </c>
      <c r="AB171" t="inlineStr">
        <is>
          <t>PNCP_9T_12-08-2019</t>
        </is>
      </c>
      <c r="AC171" t="inlineStr">
        <is>
          <t>PNCP_4T_30-04-2013</t>
        </is>
      </c>
      <c r="AD171" t="inlineStr">
        <is>
          <t>VALDIVIA 220</t>
        </is>
      </c>
      <c r="AE171" t="n">
        <v>111.133</v>
      </c>
      <c r="AF171" t="n">
        <v>1.072776031070834</v>
      </c>
      <c r="AG171" t="n">
        <v>119.220818660995</v>
      </c>
      <c r="AH171" t="n">
        <v>694.38</v>
      </c>
      <c r="AI171" t="n">
        <v>0.875</v>
      </c>
      <c r="AJ171" t="n">
        <v>72.43648305409401</v>
      </c>
      <c r="AK171" t="n">
        <v>0.913</v>
      </c>
      <c r="AL171" t="n">
        <v>66.13500000000001</v>
      </c>
      <c r="AM171" t="n">
        <v>8.9176</v>
      </c>
      <c r="AN171" t="n">
        <v>9.566587534677272</v>
      </c>
      <c r="AO171" t="n">
        <v>0.913</v>
      </c>
      <c r="AP171" t="n">
        <v>6064.919358776563</v>
      </c>
      <c r="AQ171" t="n">
        <v>1.051287819142954</v>
      </c>
      <c r="AR171" t="n">
        <v>6375.9758</v>
      </c>
      <c r="AT171" t="inlineStr">
        <is>
          <t>PNP_19T_30-12-2020</t>
        </is>
      </c>
      <c r="AU171" t="inlineStr">
        <is>
          <t>PNCP_12T_10-08-2020</t>
        </is>
      </c>
      <c r="AV171" t="inlineStr">
        <is>
          <t>PNCP_4T_30-04-2013</t>
        </is>
      </c>
      <c r="AW171" t="inlineStr">
        <is>
          <t>VALDIVIA 220</t>
        </is>
      </c>
      <c r="AX171" t="n">
        <v>111.133</v>
      </c>
      <c r="AY171" t="n">
        <v>1.083385174100913</v>
      </c>
      <c r="AZ171" t="n">
        <v>120.3998445533567</v>
      </c>
      <c r="BA171" t="n">
        <v>801.49</v>
      </c>
      <c r="BB171" t="n">
        <v>0.905</v>
      </c>
      <c r="BC171" t="n">
        <v>87.33184062701827</v>
      </c>
      <c r="BD171" t="n">
        <v>0.8745000000000001</v>
      </c>
      <c r="BE171" t="n">
        <v>76.372</v>
      </c>
      <c r="BF171" t="n">
        <v>8.9176</v>
      </c>
      <c r="BG171" t="n">
        <v>0.77</v>
      </c>
      <c r="BH171" t="n">
        <v>5962.380796939026</v>
      </c>
      <c r="BI171" t="n">
        <v>1.148014846473962</v>
      </c>
      <c r="BJ171" t="n">
        <v>6844.9017</v>
      </c>
    </row>
    <row r="172">
      <c r="A172" t="n">
        <v>5417</v>
      </c>
      <c r="B172" t="inlineStr">
        <is>
          <t>01-02-2021</t>
        </is>
      </c>
      <c r="C172" t="n">
        <v>2021</v>
      </c>
      <c r="D172" t="n">
        <v>1</v>
      </c>
      <c r="E172" t="inlineStr">
        <is>
          <t>CAREN</t>
        </is>
      </c>
      <c r="F172" t="inlineStr">
        <is>
          <t>SUM_SAESA_A</t>
        </is>
      </c>
      <c r="G172" t="inlineStr">
        <is>
          <t>A</t>
        </is>
      </c>
      <c r="H172" t="inlineStr">
        <is>
          <t>SAESA</t>
        </is>
      </c>
      <c r="I172" t="inlineStr">
        <is>
          <t>SAESPURRBLOQA</t>
        </is>
      </c>
      <c r="J172" t="inlineStr">
        <is>
          <t>PURRANQUE</t>
        </is>
      </c>
      <c r="K172" t="n">
        <v>-2137.05028667</v>
      </c>
      <c r="L172" t="inlineStr">
        <is>
          <t>PURRANQUE</t>
        </is>
      </c>
      <c r="M172" t="inlineStr">
        <is>
          <t>BARRO BLANCO</t>
        </is>
      </c>
      <c r="N172" t="n">
        <v>0.47210809734302</v>
      </c>
      <c r="O172" t="n">
        <v>1008.918745</v>
      </c>
      <c r="P172" t="inlineStr">
        <is>
          <t>BS1A</t>
        </is>
      </c>
      <c r="Q172" t="n">
        <v>2</v>
      </c>
      <c r="W172" t="n">
        <v>2</v>
      </c>
      <c r="X172" t="n">
        <v>0</v>
      </c>
      <c r="AA172" t="inlineStr">
        <is>
          <t>PNP_6T_08-05-2020</t>
        </is>
      </c>
      <c r="AB172" t="inlineStr">
        <is>
          <t>PNCP_9T_12-08-2019</t>
        </is>
      </c>
      <c r="AC172" t="inlineStr">
        <is>
          <t>PNCP_4T_30-04-2013</t>
        </is>
      </c>
      <c r="AD172" t="inlineStr">
        <is>
          <t>Barro Blanco 220</t>
        </is>
      </c>
      <c r="AE172" t="n">
        <v>111.133</v>
      </c>
      <c r="AF172" t="n">
        <v>1.072776031070834</v>
      </c>
      <c r="AG172" t="n">
        <v>119.220818660995</v>
      </c>
      <c r="AH172" t="n">
        <v>694.38</v>
      </c>
      <c r="AI172" t="n">
        <v>0.875</v>
      </c>
      <c r="AJ172" t="n">
        <v>72.43648305409401</v>
      </c>
      <c r="AK172" t="n">
        <v>0.8631</v>
      </c>
      <c r="AL172" t="n">
        <v>62.52</v>
      </c>
      <c r="AM172" t="n">
        <v>8.9176</v>
      </c>
      <c r="AN172" t="n">
        <v>9.566587534677272</v>
      </c>
      <c r="AO172" t="n">
        <v>0.913</v>
      </c>
      <c r="AP172" t="n">
        <v>6064.919358776563</v>
      </c>
      <c r="AQ172" t="n">
        <v>1.004432825642191</v>
      </c>
      <c r="AR172" t="n">
        <v>6091.8041</v>
      </c>
      <c r="AT172" t="inlineStr">
        <is>
          <t>PNP_19T_30-12-2020</t>
        </is>
      </c>
      <c r="AU172" t="inlineStr">
        <is>
          <t>PNCP_12T_10-08-2020</t>
        </is>
      </c>
      <c r="AV172" t="inlineStr">
        <is>
          <t>PNCP_4T_30-04-2013</t>
        </is>
      </c>
      <c r="AW172" t="inlineStr">
        <is>
          <t>Barro Blanco 220</t>
        </is>
      </c>
      <c r="AX172" t="n">
        <v>111.133</v>
      </c>
      <c r="AY172" t="n">
        <v>1.083385174100913</v>
      </c>
      <c r="AZ172" t="n">
        <v>120.3998445533567</v>
      </c>
      <c r="BA172" t="n">
        <v>801.49</v>
      </c>
      <c r="BB172" t="n">
        <v>0.905</v>
      </c>
      <c r="BC172" t="n">
        <v>87.33184062701827</v>
      </c>
      <c r="BD172" t="n">
        <v>0.7946</v>
      </c>
      <c r="BE172" t="n">
        <v>69.39400000000001</v>
      </c>
      <c r="BF172" t="n">
        <v>8.9176</v>
      </c>
      <c r="BG172" t="n">
        <v>0.77</v>
      </c>
      <c r="BH172" t="n">
        <v>5962.380796939026</v>
      </c>
      <c r="BI172" t="n">
        <v>1.047283473516708</v>
      </c>
      <c r="BJ172" t="n">
        <v>6244.3029</v>
      </c>
    </row>
    <row r="173">
      <c r="A173" t="n">
        <v>5419</v>
      </c>
      <c r="B173" t="inlineStr">
        <is>
          <t>01-02-2021</t>
        </is>
      </c>
      <c r="C173" t="n">
        <v>2021</v>
      </c>
      <c r="D173" t="n">
        <v>1</v>
      </c>
      <c r="E173" t="inlineStr">
        <is>
          <t>CAREN</t>
        </is>
      </c>
      <c r="F173" t="inlineStr">
        <is>
          <t>SUM_SAESA_A</t>
        </is>
      </c>
      <c r="G173" t="inlineStr">
        <is>
          <t>A</t>
        </is>
      </c>
      <c r="H173" t="inlineStr">
        <is>
          <t>SAESA</t>
        </is>
      </c>
      <c r="I173" t="inlineStr">
        <is>
          <t>SAESPURRBLOQA</t>
        </is>
      </c>
      <c r="J173" t="inlineStr">
        <is>
          <t>PURRANQUE</t>
        </is>
      </c>
      <c r="K173" t="n">
        <v>-2137.05028667</v>
      </c>
      <c r="L173" t="inlineStr">
        <is>
          <t>PURRANQUE</t>
        </is>
      </c>
      <c r="M173" t="inlineStr">
        <is>
          <t>MELIPULLI</t>
        </is>
      </c>
      <c r="N173" t="n">
        <v>0.4174959870602</v>
      </c>
      <c r="O173" t="n">
        <v>892.209919</v>
      </c>
      <c r="P173" t="inlineStr">
        <is>
          <t>BS1A</t>
        </is>
      </c>
      <c r="Q173" t="n">
        <v>2</v>
      </c>
      <c r="W173" t="n">
        <v>2</v>
      </c>
      <c r="X173" t="n">
        <v>0</v>
      </c>
      <c r="AA173" t="inlineStr">
        <is>
          <t>PNP_6T_08-05-2020</t>
        </is>
      </c>
      <c r="AB173" t="inlineStr">
        <is>
          <t>PNCP_9T_12-08-2019</t>
        </is>
      </c>
      <c r="AC173" t="inlineStr">
        <is>
          <t>PNCP_4T_30-04-2013</t>
        </is>
      </c>
      <c r="AD173" t="inlineStr">
        <is>
          <t>MELIPULLI 220</t>
        </is>
      </c>
      <c r="AE173" t="n">
        <v>111.133</v>
      </c>
      <c r="AF173" t="n">
        <v>1.072776031070834</v>
      </c>
      <c r="AG173" t="n">
        <v>119.220818660995</v>
      </c>
      <c r="AH173" t="n">
        <v>694.38</v>
      </c>
      <c r="AI173" t="n">
        <v>0.875</v>
      </c>
      <c r="AJ173" t="n">
        <v>72.43648305409401</v>
      </c>
      <c r="AK173" t="n">
        <v>0.8826000000000001</v>
      </c>
      <c r="AL173" t="n">
        <v>63.932</v>
      </c>
      <c r="AM173" t="n">
        <v>8.9176</v>
      </c>
      <c r="AN173" t="n">
        <v>9.566587534677272</v>
      </c>
      <c r="AO173" t="n">
        <v>0.913</v>
      </c>
      <c r="AP173" t="n">
        <v>6064.919358776563</v>
      </c>
      <c r="AQ173" t="n">
        <v>1</v>
      </c>
      <c r="AR173" t="n">
        <v>6064.9194</v>
      </c>
      <c r="AT173" t="inlineStr">
        <is>
          <t>PNP_19T_30-12-2020</t>
        </is>
      </c>
      <c r="AU173" t="inlineStr">
        <is>
          <t>PNCP_12T_10-08-2020</t>
        </is>
      </c>
      <c r="AV173" t="inlineStr">
        <is>
          <t>PNCP_4T_30-04-2013</t>
        </is>
      </c>
      <c r="AW173" t="inlineStr">
        <is>
          <t>MELIPULLI 220</t>
        </is>
      </c>
      <c r="AX173" t="n">
        <v>111.133</v>
      </c>
      <c r="AY173" t="n">
        <v>1.083385174100913</v>
      </c>
      <c r="AZ173" t="n">
        <v>120.3998445533567</v>
      </c>
      <c r="BA173" t="n">
        <v>801.49</v>
      </c>
      <c r="BB173" t="n">
        <v>0.905</v>
      </c>
      <c r="BC173" t="n">
        <v>87.33184062701827</v>
      </c>
      <c r="BD173" t="n">
        <v>0.7824</v>
      </c>
      <c r="BE173" t="n">
        <v>68.328</v>
      </c>
      <c r="BF173" t="n">
        <v>8.9176</v>
      </c>
      <c r="BG173" t="n">
        <v>0.77</v>
      </c>
      <c r="BH173" t="n">
        <v>5962.380796939026</v>
      </c>
      <c r="BI173" t="n">
        <v>1</v>
      </c>
      <c r="BJ173" t="n">
        <v>5962.3808</v>
      </c>
    </row>
    <row r="174">
      <c r="A174" t="n">
        <v>5421</v>
      </c>
      <c r="B174" t="inlineStr">
        <is>
          <t>01-02-2021</t>
        </is>
      </c>
      <c r="C174" t="n">
        <v>2021</v>
      </c>
      <c r="D174" t="n">
        <v>1</v>
      </c>
      <c r="E174" t="inlineStr">
        <is>
          <t>CAREN</t>
        </is>
      </c>
      <c r="F174" t="inlineStr">
        <is>
          <t>SUM_SAESA_A</t>
        </is>
      </c>
      <c r="G174" t="inlineStr">
        <is>
          <t>A</t>
        </is>
      </c>
      <c r="H174" t="inlineStr">
        <is>
          <t>SAESA</t>
        </is>
      </c>
      <c r="I174" t="inlineStr">
        <is>
          <t>SAESPURRBLOQA</t>
        </is>
      </c>
      <c r="J174" t="inlineStr">
        <is>
          <t>PURRANQUE</t>
        </is>
      </c>
      <c r="K174" t="n">
        <v>-2137.05028667</v>
      </c>
      <c r="L174" t="inlineStr">
        <is>
          <t>PURRANQUE</t>
        </is>
      </c>
      <c r="M174" t="inlineStr">
        <is>
          <t>Puerto Montt</t>
        </is>
      </c>
      <c r="N174" t="n">
        <v>0.50813692662399</v>
      </c>
      <c r="O174" t="n">
        <v>1085.914165</v>
      </c>
      <c r="P174" t="inlineStr">
        <is>
          <t>BS1A</t>
        </is>
      </c>
      <c r="Q174" t="n">
        <v>2</v>
      </c>
      <c r="W174" t="n">
        <v>2</v>
      </c>
      <c r="X174" t="n">
        <v>0</v>
      </c>
      <c r="AA174" t="inlineStr">
        <is>
          <t>PNP_6T_08-05-2020</t>
        </is>
      </c>
      <c r="AB174" t="inlineStr">
        <is>
          <t>PNCP_9T_12-08-2019</t>
        </is>
      </c>
      <c r="AC174" t="inlineStr">
        <is>
          <t>PNCP_4T_30-04-2013</t>
        </is>
      </c>
      <c r="AD174" t="inlineStr">
        <is>
          <t>PUERTO MONTT 220</t>
        </is>
      </c>
      <c r="AE174" t="n">
        <v>111.133</v>
      </c>
      <c r="AF174" t="n">
        <v>1.072776031070834</v>
      </c>
      <c r="AG174" t="n">
        <v>119.220818660995</v>
      </c>
      <c r="AH174" t="n">
        <v>694.38</v>
      </c>
      <c r="AI174" t="n">
        <v>0.875</v>
      </c>
      <c r="AJ174" t="n">
        <v>72.43648305409401</v>
      </c>
      <c r="AK174" t="n">
        <v>0.8826000000000001</v>
      </c>
      <c r="AL174" t="n">
        <v>63.932</v>
      </c>
      <c r="AM174" t="n">
        <v>8.9176</v>
      </c>
      <c r="AN174" t="n">
        <v>9.566587534677272</v>
      </c>
      <c r="AO174" t="n">
        <v>0.913</v>
      </c>
      <c r="AP174" t="n">
        <v>6064.919358776563</v>
      </c>
      <c r="AQ174" t="n">
        <v>1.016858412119831</v>
      </c>
      <c r="AR174" t="n">
        <v>6167.1643</v>
      </c>
      <c r="AT174" t="inlineStr">
        <is>
          <t>PNP_19T_30-12-2020</t>
        </is>
      </c>
      <c r="AU174" t="inlineStr">
        <is>
          <t>PNCP_12T_10-08-2020</t>
        </is>
      </c>
      <c r="AV174" t="inlineStr">
        <is>
          <t>PNCP_4T_30-04-2013</t>
        </is>
      </c>
      <c r="AW174" t="inlineStr">
        <is>
          <t>PUERTO MONTT 220</t>
        </is>
      </c>
      <c r="AX174" t="n">
        <v>111.133</v>
      </c>
      <c r="AY174" t="n">
        <v>1.083385174100913</v>
      </c>
      <c r="AZ174" t="n">
        <v>120.3998445533567</v>
      </c>
      <c r="BA174" t="n">
        <v>801.49</v>
      </c>
      <c r="BB174" t="n">
        <v>0.905</v>
      </c>
      <c r="BC174" t="n">
        <v>87.33184062701827</v>
      </c>
      <c r="BD174" t="n">
        <v>0.7824</v>
      </c>
      <c r="BE174" t="n">
        <v>68.328</v>
      </c>
      <c r="BF174" t="n">
        <v>8.9176</v>
      </c>
      <c r="BG174" t="n">
        <v>0.77</v>
      </c>
      <c r="BH174" t="n">
        <v>5962.380796939026</v>
      </c>
      <c r="BI174" t="n">
        <v>1.039640050119603</v>
      </c>
      <c r="BJ174" t="n">
        <v>6198.7299</v>
      </c>
    </row>
    <row r="175">
      <c r="A175" t="n">
        <v>5423</v>
      </c>
      <c r="B175" t="inlineStr">
        <is>
          <t>01-02-2021</t>
        </is>
      </c>
      <c r="C175" t="n">
        <v>2021</v>
      </c>
      <c r="D175" t="n">
        <v>1</v>
      </c>
      <c r="E175" t="inlineStr">
        <is>
          <t>CAREN</t>
        </is>
      </c>
      <c r="F175" t="inlineStr">
        <is>
          <t>SUM_SAESA_A</t>
        </is>
      </c>
      <c r="G175" t="inlineStr">
        <is>
          <t>A</t>
        </is>
      </c>
      <c r="H175" t="inlineStr">
        <is>
          <t>SAESA</t>
        </is>
      </c>
      <c r="I175" t="inlineStr">
        <is>
          <t>SAESPURRBLOQA</t>
        </is>
      </c>
      <c r="J175" t="inlineStr">
        <is>
          <t>PURRANQUE</t>
        </is>
      </c>
      <c r="K175" t="n">
        <v>-2137.05028667</v>
      </c>
      <c r="L175" t="inlineStr">
        <is>
          <t>PURRANQUE</t>
        </is>
      </c>
      <c r="M175" t="inlineStr">
        <is>
          <t>VALDIVIA</t>
        </is>
      </c>
      <c r="N175" t="n">
        <v>0.00409927459727</v>
      </c>
      <c r="O175" t="n">
        <v>8.760356</v>
      </c>
      <c r="P175" t="inlineStr">
        <is>
          <t>BS1A</t>
        </is>
      </c>
      <c r="Q175" t="n">
        <v>2</v>
      </c>
      <c r="W175" t="n">
        <v>2</v>
      </c>
      <c r="X175" t="n">
        <v>0</v>
      </c>
      <c r="AA175" t="inlineStr">
        <is>
          <t>PNP_6T_08-05-2020</t>
        </is>
      </c>
      <c r="AB175" t="inlineStr">
        <is>
          <t>PNCP_9T_12-08-2019</t>
        </is>
      </c>
      <c r="AC175" t="inlineStr">
        <is>
          <t>PNCP_4T_30-04-2013</t>
        </is>
      </c>
      <c r="AD175" t="inlineStr">
        <is>
          <t>VALDIVIA 220</t>
        </is>
      </c>
      <c r="AE175" t="n">
        <v>111.133</v>
      </c>
      <c r="AF175" t="n">
        <v>1.072776031070834</v>
      </c>
      <c r="AG175" t="n">
        <v>119.220818660995</v>
      </c>
      <c r="AH175" t="n">
        <v>694.38</v>
      </c>
      <c r="AI175" t="n">
        <v>0.875</v>
      </c>
      <c r="AJ175" t="n">
        <v>72.43648305409401</v>
      </c>
      <c r="AK175" t="n">
        <v>0.913</v>
      </c>
      <c r="AL175" t="n">
        <v>66.13500000000001</v>
      </c>
      <c r="AM175" t="n">
        <v>8.9176</v>
      </c>
      <c r="AN175" t="n">
        <v>9.566587534677272</v>
      </c>
      <c r="AO175" t="n">
        <v>0.913</v>
      </c>
      <c r="AP175" t="n">
        <v>6064.919358776563</v>
      </c>
      <c r="AQ175" t="n">
        <v>1.051287819142954</v>
      </c>
      <c r="AR175" t="n">
        <v>6375.9758</v>
      </c>
      <c r="AT175" t="inlineStr">
        <is>
          <t>PNP_19T_30-12-2020</t>
        </is>
      </c>
      <c r="AU175" t="inlineStr">
        <is>
          <t>PNCP_12T_10-08-2020</t>
        </is>
      </c>
      <c r="AV175" t="inlineStr">
        <is>
          <t>PNCP_4T_30-04-2013</t>
        </is>
      </c>
      <c r="AW175" t="inlineStr">
        <is>
          <t>VALDIVIA 220</t>
        </is>
      </c>
      <c r="AX175" t="n">
        <v>111.133</v>
      </c>
      <c r="AY175" t="n">
        <v>1.083385174100913</v>
      </c>
      <c r="AZ175" t="n">
        <v>120.3998445533567</v>
      </c>
      <c r="BA175" t="n">
        <v>801.49</v>
      </c>
      <c r="BB175" t="n">
        <v>0.905</v>
      </c>
      <c r="BC175" t="n">
        <v>87.33184062701827</v>
      </c>
      <c r="BD175" t="n">
        <v>0.8745000000000001</v>
      </c>
      <c r="BE175" t="n">
        <v>76.372</v>
      </c>
      <c r="BF175" t="n">
        <v>8.9176</v>
      </c>
      <c r="BG175" t="n">
        <v>0.77</v>
      </c>
      <c r="BH175" t="n">
        <v>5962.380796939026</v>
      </c>
      <c r="BI175" t="n">
        <v>1.148014846473962</v>
      </c>
      <c r="BJ175" t="n">
        <v>6844.9017</v>
      </c>
    </row>
    <row r="176">
      <c r="A176" t="n">
        <v>1349</v>
      </c>
      <c r="B176" t="inlineStr">
        <is>
          <t>01-02-2021</t>
        </is>
      </c>
      <c r="C176" t="n">
        <v>2021</v>
      </c>
      <c r="D176" t="n">
        <v>1</v>
      </c>
      <c r="E176" t="inlineStr">
        <is>
          <t>CAREN</t>
        </is>
      </c>
      <c r="F176" t="inlineStr">
        <is>
          <t>SUM_SAESA_A</t>
        </is>
      </c>
      <c r="G176" t="inlineStr">
        <is>
          <t>A</t>
        </is>
      </c>
      <c r="H176" t="inlineStr">
        <is>
          <t>SAESA</t>
        </is>
      </c>
      <c r="I176" t="inlineStr">
        <is>
          <t>SAESQUELBLOQA</t>
        </is>
      </c>
      <c r="J176" t="inlineStr">
        <is>
          <t>QUELLON</t>
        </is>
      </c>
      <c r="K176" t="n">
        <v>-3257.96518232</v>
      </c>
      <c r="L176" t="inlineStr">
        <is>
          <t>QUELLON</t>
        </is>
      </c>
      <c r="M176" t="inlineStr">
        <is>
          <t>CHILOE</t>
        </is>
      </c>
      <c r="N176" t="n">
        <v>0.79707666555743</v>
      </c>
      <c r="O176" t="n">
        <v>2596.848024</v>
      </c>
      <c r="P176" t="inlineStr">
        <is>
          <t>BS1A</t>
        </is>
      </c>
      <c r="Q176" t="n">
        <v>2</v>
      </c>
      <c r="W176" t="n">
        <v>2</v>
      </c>
      <c r="X176" t="n">
        <v>0</v>
      </c>
      <c r="AA176" t="inlineStr">
        <is>
          <t>PNP_6T_08-05-2020</t>
        </is>
      </c>
      <c r="AB176" t="inlineStr">
        <is>
          <t>PNCP_9T_12-08-2019</t>
        </is>
      </c>
      <c r="AC176" t="inlineStr">
        <is>
          <t>PNCP_4T_30-04-2013</t>
        </is>
      </c>
      <c r="AD176" t="inlineStr">
        <is>
          <t>CHILOE 220</t>
        </is>
      </c>
      <c r="AE176" t="n">
        <v>111.133</v>
      </c>
      <c r="AF176" t="n">
        <v>1.072776031070834</v>
      </c>
      <c r="AG176" t="n">
        <v>119.220818660995</v>
      </c>
      <c r="AH176" t="n">
        <v>694.38</v>
      </c>
      <c r="AI176" t="n">
        <v>0.875</v>
      </c>
      <c r="AJ176" t="n">
        <v>72.43648305409401</v>
      </c>
      <c r="AK176" t="n">
        <v>0.8903</v>
      </c>
      <c r="AL176" t="n">
        <v>64.48999999999999</v>
      </c>
      <c r="AM176" t="n">
        <v>8.9176</v>
      </c>
      <c r="AN176" t="n">
        <v>9.566587534677272</v>
      </c>
      <c r="AO176" t="n">
        <v>0.913</v>
      </c>
      <c r="AP176" t="n">
        <v>6064.919358776563</v>
      </c>
      <c r="AQ176" t="n">
        <v>1</v>
      </c>
      <c r="AR176" t="n">
        <v>6064.9194</v>
      </c>
      <c r="AT176" t="inlineStr">
        <is>
          <t>PNP_19T_30-12-2020</t>
        </is>
      </c>
      <c r="AU176" t="inlineStr">
        <is>
          <t>PNCP_12T_10-08-2020</t>
        </is>
      </c>
      <c r="AV176" t="inlineStr">
        <is>
          <t>PNCP_4T_30-04-2013</t>
        </is>
      </c>
      <c r="AW176" t="inlineStr">
        <is>
          <t>CHILOE 220</t>
        </is>
      </c>
      <c r="AX176" t="n">
        <v>111.133</v>
      </c>
      <c r="AY176" t="n">
        <v>1.083385174100913</v>
      </c>
      <c r="AZ176" t="n">
        <v>120.3998445533567</v>
      </c>
      <c r="BA176" t="n">
        <v>801.49</v>
      </c>
      <c r="BB176" t="n">
        <v>0.905</v>
      </c>
      <c r="BC176" t="n">
        <v>87.33184062701827</v>
      </c>
      <c r="BD176" t="n">
        <v>0.7923</v>
      </c>
      <c r="BE176" t="n">
        <v>69.193</v>
      </c>
      <c r="BF176" t="n">
        <v>8.9176</v>
      </c>
      <c r="BG176" t="n">
        <v>0.77</v>
      </c>
      <c r="BH176" t="n">
        <v>5962.380796939026</v>
      </c>
      <c r="BI176" t="n">
        <v>1</v>
      </c>
      <c r="BJ176" t="n">
        <v>5962.3808</v>
      </c>
    </row>
    <row r="177">
      <c r="A177" t="n">
        <v>1351</v>
      </c>
      <c r="B177" t="inlineStr">
        <is>
          <t>01-02-2021</t>
        </is>
      </c>
      <c r="C177" t="n">
        <v>2021</v>
      </c>
      <c r="D177" t="n">
        <v>1</v>
      </c>
      <c r="E177" t="inlineStr">
        <is>
          <t>CAREN</t>
        </is>
      </c>
      <c r="F177" t="inlineStr">
        <is>
          <t>SUM_SAESA_A</t>
        </is>
      </c>
      <c r="G177" t="inlineStr">
        <is>
          <t>A</t>
        </is>
      </c>
      <c r="H177" t="inlineStr">
        <is>
          <t>SAESA</t>
        </is>
      </c>
      <c r="I177" t="inlineStr">
        <is>
          <t>SAESQUELBLOQA</t>
        </is>
      </c>
      <c r="J177" t="inlineStr">
        <is>
          <t>QUELLON</t>
        </is>
      </c>
      <c r="K177" t="n">
        <v>-3257.96518232</v>
      </c>
      <c r="L177" t="inlineStr">
        <is>
          <t>QUELLON</t>
        </is>
      </c>
      <c r="M177" t="inlineStr">
        <is>
          <t>Puerto Montt</t>
        </is>
      </c>
      <c r="N177" t="n">
        <v>0.94104614890391</v>
      </c>
      <c r="O177" t="n">
        <v>3065.895588</v>
      </c>
      <c r="P177" t="inlineStr">
        <is>
          <t>BS1A</t>
        </is>
      </c>
      <c r="Q177" t="n">
        <v>2</v>
      </c>
      <c r="W177" t="n">
        <v>2</v>
      </c>
      <c r="X177" t="n">
        <v>0</v>
      </c>
      <c r="AA177" t="inlineStr">
        <is>
          <t>PNP_6T_08-05-2020</t>
        </is>
      </c>
      <c r="AB177" t="inlineStr">
        <is>
          <t>PNCP_9T_12-08-2019</t>
        </is>
      </c>
      <c r="AC177" t="inlineStr">
        <is>
          <t>PNCP_4T_30-04-2013</t>
        </is>
      </c>
      <c r="AD177" t="inlineStr">
        <is>
          <t>PUERTO MONTT 220</t>
        </is>
      </c>
      <c r="AE177" t="n">
        <v>111.133</v>
      </c>
      <c r="AF177" t="n">
        <v>1.072776031070834</v>
      </c>
      <c r="AG177" t="n">
        <v>119.220818660995</v>
      </c>
      <c r="AH177" t="n">
        <v>694.38</v>
      </c>
      <c r="AI177" t="n">
        <v>0.875</v>
      </c>
      <c r="AJ177" t="n">
        <v>72.43648305409401</v>
      </c>
      <c r="AK177" t="n">
        <v>0.8826000000000001</v>
      </c>
      <c r="AL177" t="n">
        <v>63.932</v>
      </c>
      <c r="AM177" t="n">
        <v>8.9176</v>
      </c>
      <c r="AN177" t="n">
        <v>9.566587534677272</v>
      </c>
      <c r="AO177" t="n">
        <v>0.913</v>
      </c>
      <c r="AP177" t="n">
        <v>6064.919358776563</v>
      </c>
      <c r="AQ177" t="n">
        <v>1.016858412119831</v>
      </c>
      <c r="AR177" t="n">
        <v>6167.1643</v>
      </c>
      <c r="AT177" t="inlineStr">
        <is>
          <t>PNP_19T_30-12-2020</t>
        </is>
      </c>
      <c r="AU177" t="inlineStr">
        <is>
          <t>PNCP_12T_10-08-2020</t>
        </is>
      </c>
      <c r="AV177" t="inlineStr">
        <is>
          <t>PNCP_4T_30-04-2013</t>
        </is>
      </c>
      <c r="AW177" t="inlineStr">
        <is>
          <t>PUERTO MONTT 220</t>
        </is>
      </c>
      <c r="AX177" t="n">
        <v>111.133</v>
      </c>
      <c r="AY177" t="n">
        <v>1.083385174100913</v>
      </c>
      <c r="AZ177" t="n">
        <v>120.3998445533567</v>
      </c>
      <c r="BA177" t="n">
        <v>801.49</v>
      </c>
      <c r="BB177" t="n">
        <v>0.905</v>
      </c>
      <c r="BC177" t="n">
        <v>87.33184062701827</v>
      </c>
      <c r="BD177" t="n">
        <v>0.7824</v>
      </c>
      <c r="BE177" t="n">
        <v>68.328</v>
      </c>
      <c r="BF177" t="n">
        <v>8.9176</v>
      </c>
      <c r="BG177" t="n">
        <v>0.77</v>
      </c>
      <c r="BH177" t="n">
        <v>5962.380796939026</v>
      </c>
      <c r="BI177" t="n">
        <v>1.039640050119603</v>
      </c>
      <c r="BJ177" t="n">
        <v>6198.7299</v>
      </c>
    </row>
    <row r="178">
      <c r="A178" t="n">
        <v>883</v>
      </c>
      <c r="B178" t="inlineStr">
        <is>
          <t>01-02-2021</t>
        </is>
      </c>
      <c r="C178" t="n">
        <v>2021</v>
      </c>
      <c r="D178" t="n">
        <v>1</v>
      </c>
      <c r="E178" t="inlineStr">
        <is>
          <t>CAREN</t>
        </is>
      </c>
      <c r="F178" t="inlineStr">
        <is>
          <t>SUM_SAESA_A</t>
        </is>
      </c>
      <c r="G178" t="inlineStr">
        <is>
          <t>A</t>
        </is>
      </c>
      <c r="H178" t="inlineStr">
        <is>
          <t>SAESA</t>
        </is>
      </c>
      <c r="I178" t="inlineStr">
        <is>
          <t>SAESARNEGBLOQA</t>
        </is>
      </c>
      <c r="J178" t="inlineStr">
        <is>
          <t>R.NEGRO</t>
        </is>
      </c>
      <c r="K178" t="n">
        <v>-2764.5511154</v>
      </c>
      <c r="L178" t="inlineStr">
        <is>
          <t>RIO NEGRO 23</t>
        </is>
      </c>
      <c r="M178" t="inlineStr">
        <is>
          <t>BARRO BLANCO</t>
        </is>
      </c>
      <c r="N178" t="n">
        <v>0.80297227680351</v>
      </c>
      <c r="O178" t="n">
        <v>2219.857903</v>
      </c>
      <c r="P178" t="inlineStr">
        <is>
          <t>BS1A</t>
        </is>
      </c>
      <c r="Q178" t="n">
        <v>2</v>
      </c>
      <c r="W178" t="n">
        <v>2</v>
      </c>
      <c r="X178" t="n">
        <v>0</v>
      </c>
      <c r="AA178" t="inlineStr">
        <is>
          <t>PNP_6T_08-05-2020</t>
        </is>
      </c>
      <c r="AB178" t="inlineStr">
        <is>
          <t>PNCP_9T_12-08-2019</t>
        </is>
      </c>
      <c r="AC178" t="inlineStr">
        <is>
          <t>PNCP_4T_30-04-2013</t>
        </is>
      </c>
      <c r="AD178" t="inlineStr">
        <is>
          <t>Barro Blanco 220</t>
        </is>
      </c>
      <c r="AE178" t="n">
        <v>111.133</v>
      </c>
      <c r="AF178" t="n">
        <v>1.072776031070834</v>
      </c>
      <c r="AG178" t="n">
        <v>119.220818660995</v>
      </c>
      <c r="AH178" t="n">
        <v>694.38</v>
      </c>
      <c r="AI178" t="n">
        <v>0.875</v>
      </c>
      <c r="AJ178" t="n">
        <v>72.43648305409401</v>
      </c>
      <c r="AK178" t="n">
        <v>0.8631</v>
      </c>
      <c r="AL178" t="n">
        <v>62.52</v>
      </c>
      <c r="AM178" t="n">
        <v>8.9176</v>
      </c>
      <c r="AN178" t="n">
        <v>9.566587534677272</v>
      </c>
      <c r="AO178" t="n">
        <v>0.913</v>
      </c>
      <c r="AP178" t="n">
        <v>6064.919358776563</v>
      </c>
      <c r="AQ178" t="n">
        <v>1.004432825642191</v>
      </c>
      <c r="AR178" t="n">
        <v>6091.8041</v>
      </c>
      <c r="AT178" t="inlineStr">
        <is>
          <t>PNP_19T_30-12-2020</t>
        </is>
      </c>
      <c r="AU178" t="inlineStr">
        <is>
          <t>PNCP_12T_10-08-2020</t>
        </is>
      </c>
      <c r="AV178" t="inlineStr">
        <is>
          <t>PNCP_4T_30-04-2013</t>
        </is>
      </c>
      <c r="AW178" t="inlineStr">
        <is>
          <t>Barro Blanco 220</t>
        </is>
      </c>
      <c r="AX178" t="n">
        <v>111.133</v>
      </c>
      <c r="AY178" t="n">
        <v>1.083385174100913</v>
      </c>
      <c r="AZ178" t="n">
        <v>120.3998445533567</v>
      </c>
      <c r="BA178" t="n">
        <v>801.49</v>
      </c>
      <c r="BB178" t="n">
        <v>0.905</v>
      </c>
      <c r="BC178" t="n">
        <v>87.33184062701827</v>
      </c>
      <c r="BD178" t="n">
        <v>0.7946</v>
      </c>
      <c r="BE178" t="n">
        <v>69.39400000000001</v>
      </c>
      <c r="BF178" t="n">
        <v>8.9176</v>
      </c>
      <c r="BG178" t="n">
        <v>0.77</v>
      </c>
      <c r="BH178" t="n">
        <v>5962.380796939026</v>
      </c>
      <c r="BI178" t="n">
        <v>1.047283473516708</v>
      </c>
      <c r="BJ178" t="n">
        <v>6244.3029</v>
      </c>
    </row>
    <row r="179">
      <c r="A179" t="n">
        <v>885</v>
      </c>
      <c r="B179" t="inlineStr">
        <is>
          <t>01-02-2021</t>
        </is>
      </c>
      <c r="C179" t="n">
        <v>2021</v>
      </c>
      <c r="D179" t="n">
        <v>1</v>
      </c>
      <c r="E179" t="inlineStr">
        <is>
          <t>CAREN</t>
        </is>
      </c>
      <c r="F179" t="inlineStr">
        <is>
          <t>SUM_SAESA_A</t>
        </is>
      </c>
      <c r="G179" t="inlineStr">
        <is>
          <t>A</t>
        </is>
      </c>
      <c r="H179" t="inlineStr">
        <is>
          <t>SAESA</t>
        </is>
      </c>
      <c r="I179" t="inlineStr">
        <is>
          <t>SAESARNEGBLOQA</t>
        </is>
      </c>
      <c r="J179" t="inlineStr">
        <is>
          <t>R.NEGRO</t>
        </is>
      </c>
      <c r="K179" t="n">
        <v>-2764.5511154</v>
      </c>
      <c r="L179" t="inlineStr">
        <is>
          <t>RIO NEGRO 23</t>
        </is>
      </c>
      <c r="M179" t="inlineStr">
        <is>
          <t>MELIPULLI</t>
        </is>
      </c>
      <c r="N179" t="n">
        <v>0.046511074421</v>
      </c>
      <c r="O179" t="n">
        <v>128.582243</v>
      </c>
      <c r="P179" t="inlineStr">
        <is>
          <t>BS1A</t>
        </is>
      </c>
      <c r="Q179" t="n">
        <v>2</v>
      </c>
      <c r="W179" t="n">
        <v>2</v>
      </c>
      <c r="X179" t="n">
        <v>0</v>
      </c>
      <c r="AA179" t="inlineStr">
        <is>
          <t>PNP_6T_08-05-2020</t>
        </is>
      </c>
      <c r="AB179" t="inlineStr">
        <is>
          <t>PNCP_9T_12-08-2019</t>
        </is>
      </c>
      <c r="AC179" t="inlineStr">
        <is>
          <t>PNCP_4T_30-04-2013</t>
        </is>
      </c>
      <c r="AD179" t="inlineStr">
        <is>
          <t>MELIPULLI 220</t>
        </is>
      </c>
      <c r="AE179" t="n">
        <v>111.133</v>
      </c>
      <c r="AF179" t="n">
        <v>1.072776031070834</v>
      </c>
      <c r="AG179" t="n">
        <v>119.220818660995</v>
      </c>
      <c r="AH179" t="n">
        <v>694.38</v>
      </c>
      <c r="AI179" t="n">
        <v>0.875</v>
      </c>
      <c r="AJ179" t="n">
        <v>72.43648305409401</v>
      </c>
      <c r="AK179" t="n">
        <v>0.8826000000000001</v>
      </c>
      <c r="AL179" t="n">
        <v>63.932</v>
      </c>
      <c r="AM179" t="n">
        <v>8.9176</v>
      </c>
      <c r="AN179" t="n">
        <v>9.566587534677272</v>
      </c>
      <c r="AO179" t="n">
        <v>0.913</v>
      </c>
      <c r="AP179" t="n">
        <v>6064.919358776563</v>
      </c>
      <c r="AQ179" t="n">
        <v>1</v>
      </c>
      <c r="AR179" t="n">
        <v>6064.9194</v>
      </c>
      <c r="AT179" t="inlineStr">
        <is>
          <t>PNP_19T_30-12-2020</t>
        </is>
      </c>
      <c r="AU179" t="inlineStr">
        <is>
          <t>PNCP_12T_10-08-2020</t>
        </is>
      </c>
      <c r="AV179" t="inlineStr">
        <is>
          <t>PNCP_4T_30-04-2013</t>
        </is>
      </c>
      <c r="AW179" t="inlineStr">
        <is>
          <t>MELIPULLI 220</t>
        </is>
      </c>
      <c r="AX179" t="n">
        <v>111.133</v>
      </c>
      <c r="AY179" t="n">
        <v>1.083385174100913</v>
      </c>
      <c r="AZ179" t="n">
        <v>120.3998445533567</v>
      </c>
      <c r="BA179" t="n">
        <v>801.49</v>
      </c>
      <c r="BB179" t="n">
        <v>0.905</v>
      </c>
      <c r="BC179" t="n">
        <v>87.33184062701827</v>
      </c>
      <c r="BD179" t="n">
        <v>0.7824</v>
      </c>
      <c r="BE179" t="n">
        <v>68.328</v>
      </c>
      <c r="BF179" t="n">
        <v>8.9176</v>
      </c>
      <c r="BG179" t="n">
        <v>0.77</v>
      </c>
      <c r="BH179" t="n">
        <v>5962.380796939026</v>
      </c>
      <c r="BI179" t="n">
        <v>1</v>
      </c>
      <c r="BJ179" t="n">
        <v>5962.3808</v>
      </c>
    </row>
    <row r="180">
      <c r="A180" t="n">
        <v>887</v>
      </c>
      <c r="B180" t="inlineStr">
        <is>
          <t>01-02-2021</t>
        </is>
      </c>
      <c r="C180" t="n">
        <v>2021</v>
      </c>
      <c r="D180" t="n">
        <v>1</v>
      </c>
      <c r="E180" t="inlineStr">
        <is>
          <t>CAREN</t>
        </is>
      </c>
      <c r="F180" t="inlineStr">
        <is>
          <t>SUM_SAESA_A</t>
        </is>
      </c>
      <c r="G180" t="inlineStr">
        <is>
          <t>A</t>
        </is>
      </c>
      <c r="H180" t="inlineStr">
        <is>
          <t>SAESA</t>
        </is>
      </c>
      <c r="I180" t="inlineStr">
        <is>
          <t>SAESARNEGBLOQA</t>
        </is>
      </c>
      <c r="J180" t="inlineStr">
        <is>
          <t>R.NEGRO</t>
        </is>
      </c>
      <c r="K180" t="n">
        <v>-2764.5511154</v>
      </c>
      <c r="L180" t="inlineStr">
        <is>
          <t>RIO NEGRO 23</t>
        </is>
      </c>
      <c r="M180" t="inlineStr">
        <is>
          <t>VALDIVIA</t>
        </is>
      </c>
      <c r="N180" t="n">
        <v>0.00178849626167</v>
      </c>
      <c r="O180" t="n">
        <v>4.944389</v>
      </c>
      <c r="P180" t="inlineStr">
        <is>
          <t>BS1A</t>
        </is>
      </c>
      <c r="Q180" t="n">
        <v>2</v>
      </c>
      <c r="W180" t="n">
        <v>2</v>
      </c>
      <c r="X180" t="n">
        <v>0</v>
      </c>
      <c r="AA180" t="inlineStr">
        <is>
          <t>PNP_6T_08-05-2020</t>
        </is>
      </c>
      <c r="AB180" t="inlineStr">
        <is>
          <t>PNCP_9T_12-08-2019</t>
        </is>
      </c>
      <c r="AC180" t="inlineStr">
        <is>
          <t>PNCP_4T_30-04-2013</t>
        </is>
      </c>
      <c r="AD180" t="inlineStr">
        <is>
          <t>VALDIVIA 220</t>
        </is>
      </c>
      <c r="AE180" t="n">
        <v>111.133</v>
      </c>
      <c r="AF180" t="n">
        <v>1.072776031070834</v>
      </c>
      <c r="AG180" t="n">
        <v>119.220818660995</v>
      </c>
      <c r="AH180" t="n">
        <v>694.38</v>
      </c>
      <c r="AI180" t="n">
        <v>0.875</v>
      </c>
      <c r="AJ180" t="n">
        <v>72.43648305409401</v>
      </c>
      <c r="AK180" t="n">
        <v>0.913</v>
      </c>
      <c r="AL180" t="n">
        <v>66.13500000000001</v>
      </c>
      <c r="AM180" t="n">
        <v>8.9176</v>
      </c>
      <c r="AN180" t="n">
        <v>9.566587534677272</v>
      </c>
      <c r="AO180" t="n">
        <v>0.913</v>
      </c>
      <c r="AP180" t="n">
        <v>6064.919358776563</v>
      </c>
      <c r="AQ180" t="n">
        <v>1.051287819142954</v>
      </c>
      <c r="AR180" t="n">
        <v>6375.9758</v>
      </c>
      <c r="AT180" t="inlineStr">
        <is>
          <t>PNP_19T_30-12-2020</t>
        </is>
      </c>
      <c r="AU180" t="inlineStr">
        <is>
          <t>PNCP_12T_10-08-2020</t>
        </is>
      </c>
      <c r="AV180" t="inlineStr">
        <is>
          <t>PNCP_4T_30-04-2013</t>
        </is>
      </c>
      <c r="AW180" t="inlineStr">
        <is>
          <t>VALDIVIA 220</t>
        </is>
      </c>
      <c r="AX180" t="n">
        <v>111.133</v>
      </c>
      <c r="AY180" t="n">
        <v>1.083385174100913</v>
      </c>
      <c r="AZ180" t="n">
        <v>120.3998445533567</v>
      </c>
      <c r="BA180" t="n">
        <v>801.49</v>
      </c>
      <c r="BB180" t="n">
        <v>0.905</v>
      </c>
      <c r="BC180" t="n">
        <v>87.33184062701827</v>
      </c>
      <c r="BD180" t="n">
        <v>0.8745000000000001</v>
      </c>
      <c r="BE180" t="n">
        <v>76.372</v>
      </c>
      <c r="BF180" t="n">
        <v>8.9176</v>
      </c>
      <c r="BG180" t="n">
        <v>0.77</v>
      </c>
      <c r="BH180" t="n">
        <v>5962.380796939026</v>
      </c>
      <c r="BI180" t="n">
        <v>1.148014846473962</v>
      </c>
      <c r="BJ180" t="n">
        <v>6844.9017</v>
      </c>
    </row>
    <row r="181">
      <c r="A181" t="n">
        <v>421</v>
      </c>
      <c r="B181" t="inlineStr">
        <is>
          <t>01-02-2021</t>
        </is>
      </c>
      <c r="C181" t="n">
        <v>2021</v>
      </c>
      <c r="D181" t="n">
        <v>1</v>
      </c>
      <c r="E181" t="inlineStr">
        <is>
          <t>CAREN</t>
        </is>
      </c>
      <c r="F181" t="inlineStr">
        <is>
          <t>SUM_SAESA_A</t>
        </is>
      </c>
      <c r="G181" t="inlineStr">
        <is>
          <t>A</t>
        </is>
      </c>
      <c r="H181" t="inlineStr">
        <is>
          <t>SAESA</t>
        </is>
      </c>
      <c r="I181" t="inlineStr">
        <is>
          <t>SAESSANGBLOQA</t>
        </is>
      </c>
      <c r="J181" t="inlineStr">
        <is>
          <t>SANGRA</t>
        </is>
      </c>
      <c r="K181" t="n">
        <v>-2331.02098809</v>
      </c>
      <c r="L181" t="inlineStr">
        <is>
          <t>SANGRA 23</t>
        </is>
      </c>
      <c r="M181" t="inlineStr">
        <is>
          <t>BARRO BLANCO</t>
        </is>
      </c>
      <c r="N181" t="n">
        <v>0.1396556304984</v>
      </c>
      <c r="O181" t="n">
        <v>325.540206</v>
      </c>
      <c r="P181" t="inlineStr">
        <is>
          <t>BS1A</t>
        </is>
      </c>
      <c r="Q181" t="n">
        <v>2</v>
      </c>
      <c r="W181" t="n">
        <v>2</v>
      </c>
      <c r="X181" t="n">
        <v>0</v>
      </c>
      <c r="AA181" t="inlineStr">
        <is>
          <t>PNP_6T_08-05-2020</t>
        </is>
      </c>
      <c r="AB181" t="inlineStr">
        <is>
          <t>PNCP_9T_12-08-2019</t>
        </is>
      </c>
      <c r="AC181" t="inlineStr">
        <is>
          <t>PNCP_4T_30-04-2013</t>
        </is>
      </c>
      <c r="AD181" t="inlineStr">
        <is>
          <t>Barro Blanco 220</t>
        </is>
      </c>
      <c r="AE181" t="n">
        <v>111.133</v>
      </c>
      <c r="AF181" t="n">
        <v>1.072776031070834</v>
      </c>
      <c r="AG181" t="n">
        <v>119.220818660995</v>
      </c>
      <c r="AH181" t="n">
        <v>694.38</v>
      </c>
      <c r="AI181" t="n">
        <v>0.875</v>
      </c>
      <c r="AJ181" t="n">
        <v>72.43648305409401</v>
      </c>
      <c r="AK181" t="n">
        <v>0.8631</v>
      </c>
      <c r="AL181" t="n">
        <v>62.52</v>
      </c>
      <c r="AM181" t="n">
        <v>8.9176</v>
      </c>
      <c r="AN181" t="n">
        <v>9.566587534677272</v>
      </c>
      <c r="AO181" t="n">
        <v>0.913</v>
      </c>
      <c r="AP181" t="n">
        <v>6064.919358776563</v>
      </c>
      <c r="AQ181" t="n">
        <v>1.004432825642191</v>
      </c>
      <c r="AR181" t="n">
        <v>6091.8041</v>
      </c>
      <c r="AT181" t="inlineStr">
        <is>
          <t>PNP_19T_30-12-2020</t>
        </is>
      </c>
      <c r="AU181" t="inlineStr">
        <is>
          <t>PNCP_12T_10-08-2020</t>
        </is>
      </c>
      <c r="AV181" t="inlineStr">
        <is>
          <t>PNCP_4T_30-04-2013</t>
        </is>
      </c>
      <c r="AW181" t="inlineStr">
        <is>
          <t>Barro Blanco 220</t>
        </is>
      </c>
      <c r="AX181" t="n">
        <v>111.133</v>
      </c>
      <c r="AY181" t="n">
        <v>1.083385174100913</v>
      </c>
      <c r="AZ181" t="n">
        <v>120.3998445533567</v>
      </c>
      <c r="BA181" t="n">
        <v>801.49</v>
      </c>
      <c r="BB181" t="n">
        <v>0.905</v>
      </c>
      <c r="BC181" t="n">
        <v>87.33184062701827</v>
      </c>
      <c r="BD181" t="n">
        <v>0.7946</v>
      </c>
      <c r="BE181" t="n">
        <v>69.39400000000001</v>
      </c>
      <c r="BF181" t="n">
        <v>8.9176</v>
      </c>
      <c r="BG181" t="n">
        <v>0.77</v>
      </c>
      <c r="BH181" t="n">
        <v>5962.380796939026</v>
      </c>
      <c r="BI181" t="n">
        <v>1.047283473516708</v>
      </c>
      <c r="BJ181" t="n">
        <v>6244.3029</v>
      </c>
    </row>
    <row r="182">
      <c r="A182" t="n">
        <v>423</v>
      </c>
      <c r="B182" t="inlineStr">
        <is>
          <t>01-02-2021</t>
        </is>
      </c>
      <c r="C182" t="n">
        <v>2021</v>
      </c>
      <c r="D182" t="n">
        <v>1</v>
      </c>
      <c r="E182" t="inlineStr">
        <is>
          <t>CAREN</t>
        </is>
      </c>
      <c r="F182" t="inlineStr">
        <is>
          <t>SUM_SAESA_A</t>
        </is>
      </c>
      <c r="G182" t="inlineStr">
        <is>
          <t>A</t>
        </is>
      </c>
      <c r="H182" t="inlineStr">
        <is>
          <t>SAESA</t>
        </is>
      </c>
      <c r="I182" t="inlineStr">
        <is>
          <t>SAESSANGBLOQA</t>
        </is>
      </c>
      <c r="J182" t="inlineStr">
        <is>
          <t>SANGRA</t>
        </is>
      </c>
      <c r="K182" t="n">
        <v>-2331.02098809</v>
      </c>
      <c r="L182" t="inlineStr">
        <is>
          <t>SANGRA 23</t>
        </is>
      </c>
      <c r="M182" t="inlineStr">
        <is>
          <t>MELIPULLI</t>
        </is>
      </c>
      <c r="N182" t="n">
        <v>0.80146456415263</v>
      </c>
      <c r="O182" t="n">
        <v>1868.23072</v>
      </c>
      <c r="P182" t="inlineStr">
        <is>
          <t>BS1A</t>
        </is>
      </c>
      <c r="Q182" t="n">
        <v>2</v>
      </c>
      <c r="W182" t="n">
        <v>2</v>
      </c>
      <c r="X182" t="n">
        <v>0</v>
      </c>
      <c r="AA182" t="inlineStr">
        <is>
          <t>PNP_6T_08-05-2020</t>
        </is>
      </c>
      <c r="AB182" t="inlineStr">
        <is>
          <t>PNCP_9T_12-08-2019</t>
        </is>
      </c>
      <c r="AC182" t="inlineStr">
        <is>
          <t>PNCP_4T_30-04-2013</t>
        </is>
      </c>
      <c r="AD182" t="inlineStr">
        <is>
          <t>MELIPULLI 220</t>
        </is>
      </c>
      <c r="AE182" t="n">
        <v>111.133</v>
      </c>
      <c r="AF182" t="n">
        <v>1.072776031070834</v>
      </c>
      <c r="AG182" t="n">
        <v>119.220818660995</v>
      </c>
      <c r="AH182" t="n">
        <v>694.38</v>
      </c>
      <c r="AI182" t="n">
        <v>0.875</v>
      </c>
      <c r="AJ182" t="n">
        <v>72.43648305409401</v>
      </c>
      <c r="AK182" t="n">
        <v>0.8826000000000001</v>
      </c>
      <c r="AL182" t="n">
        <v>63.932</v>
      </c>
      <c r="AM182" t="n">
        <v>8.9176</v>
      </c>
      <c r="AN182" t="n">
        <v>9.566587534677272</v>
      </c>
      <c r="AO182" t="n">
        <v>0.913</v>
      </c>
      <c r="AP182" t="n">
        <v>6064.919358776563</v>
      </c>
      <c r="AQ182" t="n">
        <v>1</v>
      </c>
      <c r="AR182" t="n">
        <v>6064.9194</v>
      </c>
      <c r="AT182" t="inlineStr">
        <is>
          <t>PNP_19T_30-12-2020</t>
        </is>
      </c>
      <c r="AU182" t="inlineStr">
        <is>
          <t>PNCP_12T_10-08-2020</t>
        </is>
      </c>
      <c r="AV182" t="inlineStr">
        <is>
          <t>PNCP_4T_30-04-2013</t>
        </is>
      </c>
      <c r="AW182" t="inlineStr">
        <is>
          <t>MELIPULLI 220</t>
        </is>
      </c>
      <c r="AX182" t="n">
        <v>111.133</v>
      </c>
      <c r="AY182" t="n">
        <v>1.083385174100913</v>
      </c>
      <c r="AZ182" t="n">
        <v>120.3998445533567</v>
      </c>
      <c r="BA182" t="n">
        <v>801.49</v>
      </c>
      <c r="BB182" t="n">
        <v>0.905</v>
      </c>
      <c r="BC182" t="n">
        <v>87.33184062701827</v>
      </c>
      <c r="BD182" t="n">
        <v>0.7824</v>
      </c>
      <c r="BE182" t="n">
        <v>68.328</v>
      </c>
      <c r="BF182" t="n">
        <v>8.9176</v>
      </c>
      <c r="BG182" t="n">
        <v>0.77</v>
      </c>
      <c r="BH182" t="n">
        <v>5962.380796939026</v>
      </c>
      <c r="BI182" t="n">
        <v>1</v>
      </c>
      <c r="BJ182" t="n">
        <v>5962.3808</v>
      </c>
    </row>
    <row r="183">
      <c r="A183" t="n">
        <v>2023</v>
      </c>
      <c r="B183" t="inlineStr">
        <is>
          <t>01-02-2021</t>
        </is>
      </c>
      <c r="C183" t="n">
        <v>2021</v>
      </c>
      <c r="D183" t="n">
        <v>1</v>
      </c>
      <c r="E183" t="inlineStr">
        <is>
          <t>CAREN</t>
        </is>
      </c>
      <c r="F183" t="inlineStr">
        <is>
          <t>SUM_SAESA_A</t>
        </is>
      </c>
      <c r="G183" t="inlineStr">
        <is>
          <t>A</t>
        </is>
      </c>
      <c r="H183" t="inlineStr">
        <is>
          <t>SAESA</t>
        </is>
      </c>
      <c r="I183" t="inlineStr">
        <is>
          <t>SAESVALDENBLOQA</t>
        </is>
      </c>
      <c r="J183" t="inlineStr">
        <is>
          <t>VALDIVIA</t>
        </is>
      </c>
      <c r="K183" t="n">
        <v>-6738.46397876</v>
      </c>
      <c r="L183" t="inlineStr">
        <is>
          <t>VALDIVIA</t>
        </is>
      </c>
      <c r="M183" t="inlineStr">
        <is>
          <t>Barro Blanco</t>
        </is>
      </c>
      <c r="N183" t="n">
        <v>0.02993690585192</v>
      </c>
      <c r="O183" t="n">
        <v>201.728762</v>
      </c>
      <c r="P183" t="inlineStr">
        <is>
          <t>BS1A</t>
        </is>
      </c>
      <c r="Q183" t="n">
        <v>2</v>
      </c>
      <c r="W183" t="n">
        <v>2</v>
      </c>
      <c r="X183" t="n">
        <v>0</v>
      </c>
      <c r="AA183" t="inlineStr">
        <is>
          <t>PNP_6T_08-05-2020</t>
        </is>
      </c>
      <c r="AB183" t="inlineStr">
        <is>
          <t>PNCP_9T_12-08-2019</t>
        </is>
      </c>
      <c r="AC183" t="inlineStr">
        <is>
          <t>PNCP_4T_30-04-2013</t>
        </is>
      </c>
      <c r="AD183" t="inlineStr">
        <is>
          <t>Barro Blanco 220</t>
        </is>
      </c>
      <c r="AE183" t="n">
        <v>111.133</v>
      </c>
      <c r="AF183" t="n">
        <v>1.072776031070834</v>
      </c>
      <c r="AG183" t="n">
        <v>119.220818660995</v>
      </c>
      <c r="AH183" t="n">
        <v>694.38</v>
      </c>
      <c r="AI183" t="n">
        <v>0.875</v>
      </c>
      <c r="AJ183" t="n">
        <v>72.43648305409401</v>
      </c>
      <c r="AK183" t="n">
        <v>0.8631</v>
      </c>
      <c r="AL183" t="n">
        <v>62.52</v>
      </c>
      <c r="AM183" t="n">
        <v>8.9176</v>
      </c>
      <c r="AN183" t="n">
        <v>9.566587534677272</v>
      </c>
      <c r="AO183" t="n">
        <v>0.913</v>
      </c>
      <c r="AP183" t="n">
        <v>6064.919358776563</v>
      </c>
      <c r="AQ183" t="n">
        <v>1.004432825642191</v>
      </c>
      <c r="AR183" t="n">
        <v>6091.8041</v>
      </c>
      <c r="AT183" t="inlineStr">
        <is>
          <t>PNP_19T_30-12-2020</t>
        </is>
      </c>
      <c r="AU183" t="inlineStr">
        <is>
          <t>PNCP_12T_10-08-2020</t>
        </is>
      </c>
      <c r="AV183" t="inlineStr">
        <is>
          <t>PNCP_4T_30-04-2013</t>
        </is>
      </c>
      <c r="AW183" t="inlineStr">
        <is>
          <t>Barro Blanco 220</t>
        </is>
      </c>
      <c r="AX183" t="n">
        <v>111.133</v>
      </c>
      <c r="AY183" t="n">
        <v>1.083385174100913</v>
      </c>
      <c r="AZ183" t="n">
        <v>120.3998445533567</v>
      </c>
      <c r="BA183" t="n">
        <v>801.49</v>
      </c>
      <c r="BB183" t="n">
        <v>0.905</v>
      </c>
      <c r="BC183" t="n">
        <v>87.33184062701827</v>
      </c>
      <c r="BD183" t="n">
        <v>0.7946</v>
      </c>
      <c r="BE183" t="n">
        <v>69.39400000000001</v>
      </c>
      <c r="BF183" t="n">
        <v>8.9176</v>
      </c>
      <c r="BG183" t="n">
        <v>0.77</v>
      </c>
      <c r="BH183" t="n">
        <v>5962.380796939026</v>
      </c>
      <c r="BI183" t="n">
        <v>1.047283473516708</v>
      </c>
      <c r="BJ183" t="n">
        <v>6244.3029</v>
      </c>
    </row>
    <row r="184">
      <c r="A184" t="n">
        <v>2025</v>
      </c>
      <c r="B184" t="inlineStr">
        <is>
          <t>01-02-2021</t>
        </is>
      </c>
      <c r="C184" t="n">
        <v>2021</v>
      </c>
      <c r="D184" t="n">
        <v>1</v>
      </c>
      <c r="E184" t="inlineStr">
        <is>
          <t>CAREN</t>
        </is>
      </c>
      <c r="F184" t="inlineStr">
        <is>
          <t>SUM_SAESA_A</t>
        </is>
      </c>
      <c r="G184" t="inlineStr">
        <is>
          <t>A</t>
        </is>
      </c>
      <c r="H184" t="inlineStr">
        <is>
          <t>SAESA</t>
        </is>
      </c>
      <c r="I184" t="inlineStr">
        <is>
          <t>SAESVALDENBLOQA</t>
        </is>
      </c>
      <c r="J184" t="inlineStr">
        <is>
          <t>VALDIVIA</t>
        </is>
      </c>
      <c r="K184" t="n">
        <v>-6738.46397876</v>
      </c>
      <c r="L184" t="inlineStr">
        <is>
          <t>VALDIVIA</t>
        </is>
      </c>
      <c r="M184" t="inlineStr">
        <is>
          <t>MELIPULLI</t>
        </is>
      </c>
      <c r="N184" t="n">
        <v>0.00292386082351</v>
      </c>
      <c r="O184" t="n">
        <v>19.702331</v>
      </c>
      <c r="P184" t="inlineStr">
        <is>
          <t>BS1A</t>
        </is>
      </c>
      <c r="Q184" t="n">
        <v>2</v>
      </c>
      <c r="W184" t="n">
        <v>2</v>
      </c>
      <c r="X184" t="n">
        <v>0</v>
      </c>
      <c r="AA184" t="inlineStr">
        <is>
          <t>PNP_6T_08-05-2020</t>
        </is>
      </c>
      <c r="AB184" t="inlineStr">
        <is>
          <t>PNCP_9T_12-08-2019</t>
        </is>
      </c>
      <c r="AC184" t="inlineStr">
        <is>
          <t>PNCP_4T_30-04-2013</t>
        </is>
      </c>
      <c r="AD184" t="inlineStr">
        <is>
          <t>MELIPULLI 220</t>
        </is>
      </c>
      <c r="AE184" t="n">
        <v>111.133</v>
      </c>
      <c r="AF184" t="n">
        <v>1.072776031070834</v>
      </c>
      <c r="AG184" t="n">
        <v>119.220818660995</v>
      </c>
      <c r="AH184" t="n">
        <v>694.38</v>
      </c>
      <c r="AI184" t="n">
        <v>0.875</v>
      </c>
      <c r="AJ184" t="n">
        <v>72.43648305409401</v>
      </c>
      <c r="AK184" t="n">
        <v>0.8826000000000001</v>
      </c>
      <c r="AL184" t="n">
        <v>63.932</v>
      </c>
      <c r="AM184" t="n">
        <v>8.9176</v>
      </c>
      <c r="AN184" t="n">
        <v>9.566587534677272</v>
      </c>
      <c r="AO184" t="n">
        <v>0.913</v>
      </c>
      <c r="AP184" t="n">
        <v>6064.919358776563</v>
      </c>
      <c r="AQ184" t="n">
        <v>1</v>
      </c>
      <c r="AR184" t="n">
        <v>6064.9194</v>
      </c>
      <c r="AT184" t="inlineStr">
        <is>
          <t>PNP_19T_30-12-2020</t>
        </is>
      </c>
      <c r="AU184" t="inlineStr">
        <is>
          <t>PNCP_12T_10-08-2020</t>
        </is>
      </c>
      <c r="AV184" t="inlineStr">
        <is>
          <t>PNCP_4T_30-04-2013</t>
        </is>
      </c>
      <c r="AW184" t="inlineStr">
        <is>
          <t>MELIPULLI 220</t>
        </is>
      </c>
      <c r="AX184" t="n">
        <v>111.133</v>
      </c>
      <c r="AY184" t="n">
        <v>1.083385174100913</v>
      </c>
      <c r="AZ184" t="n">
        <v>120.3998445533567</v>
      </c>
      <c r="BA184" t="n">
        <v>801.49</v>
      </c>
      <c r="BB184" t="n">
        <v>0.905</v>
      </c>
      <c r="BC184" t="n">
        <v>87.33184062701827</v>
      </c>
      <c r="BD184" t="n">
        <v>0.7824</v>
      </c>
      <c r="BE184" t="n">
        <v>68.328</v>
      </c>
      <c r="BF184" t="n">
        <v>8.9176</v>
      </c>
      <c r="BG184" t="n">
        <v>0.77</v>
      </c>
      <c r="BH184" t="n">
        <v>5962.380796939026</v>
      </c>
      <c r="BI184" t="n">
        <v>1</v>
      </c>
      <c r="BJ184" t="n">
        <v>5962.3808</v>
      </c>
    </row>
    <row r="185">
      <c r="A185" t="n">
        <v>2027</v>
      </c>
      <c r="B185" t="inlineStr">
        <is>
          <t>01-02-2021</t>
        </is>
      </c>
      <c r="C185" t="n">
        <v>2021</v>
      </c>
      <c r="D185" t="n">
        <v>1</v>
      </c>
      <c r="E185" t="inlineStr">
        <is>
          <t>CAREN</t>
        </is>
      </c>
      <c r="F185" t="inlineStr">
        <is>
          <t>SUM_SAESA_A</t>
        </is>
      </c>
      <c r="G185" t="inlineStr">
        <is>
          <t>A</t>
        </is>
      </c>
      <c r="H185" t="inlineStr">
        <is>
          <t>SAESA</t>
        </is>
      </c>
      <c r="I185" t="inlineStr">
        <is>
          <t>SAESVALDENBLOQA</t>
        </is>
      </c>
      <c r="J185" t="inlineStr">
        <is>
          <t>VALDIVIA</t>
        </is>
      </c>
      <c r="K185" t="n">
        <v>-6738.46397876</v>
      </c>
      <c r="L185" t="inlineStr">
        <is>
          <t>VALDIVIA</t>
        </is>
      </c>
      <c r="M185" t="inlineStr">
        <is>
          <t>VALDIVIA</t>
        </is>
      </c>
      <c r="N185" t="n">
        <v>0.83180916668115</v>
      </c>
      <c r="O185" t="n">
        <v>5605.116107</v>
      </c>
      <c r="P185" t="inlineStr">
        <is>
          <t>BS1A</t>
        </is>
      </c>
      <c r="Q185" t="n">
        <v>2</v>
      </c>
      <c r="W185" t="n">
        <v>2</v>
      </c>
      <c r="X185" t="n">
        <v>0</v>
      </c>
      <c r="AA185" t="inlineStr">
        <is>
          <t>PNP_6T_08-05-2020</t>
        </is>
      </c>
      <c r="AB185" t="inlineStr">
        <is>
          <t>PNCP_9T_12-08-2019</t>
        </is>
      </c>
      <c r="AC185" t="inlineStr">
        <is>
          <t>PNCP_4T_30-04-2013</t>
        </is>
      </c>
      <c r="AD185" t="inlineStr">
        <is>
          <t>VALDIVIA 220</t>
        </is>
      </c>
      <c r="AE185" t="n">
        <v>111.133</v>
      </c>
      <c r="AF185" t="n">
        <v>1.072776031070834</v>
      </c>
      <c r="AG185" t="n">
        <v>119.220818660995</v>
      </c>
      <c r="AH185" t="n">
        <v>694.38</v>
      </c>
      <c r="AI185" t="n">
        <v>0.875</v>
      </c>
      <c r="AJ185" t="n">
        <v>72.43648305409401</v>
      </c>
      <c r="AK185" t="n">
        <v>0.913</v>
      </c>
      <c r="AL185" t="n">
        <v>66.13500000000001</v>
      </c>
      <c r="AM185" t="n">
        <v>8.9176</v>
      </c>
      <c r="AN185" t="n">
        <v>9.566587534677272</v>
      </c>
      <c r="AO185" t="n">
        <v>0.913</v>
      </c>
      <c r="AP185" t="n">
        <v>6064.919358776563</v>
      </c>
      <c r="AQ185" t="n">
        <v>1.051287819142954</v>
      </c>
      <c r="AR185" t="n">
        <v>6375.9758</v>
      </c>
      <c r="AT185" t="inlineStr">
        <is>
          <t>PNP_19T_30-12-2020</t>
        </is>
      </c>
      <c r="AU185" t="inlineStr">
        <is>
          <t>PNCP_12T_10-08-2020</t>
        </is>
      </c>
      <c r="AV185" t="inlineStr">
        <is>
          <t>PNCP_4T_30-04-2013</t>
        </is>
      </c>
      <c r="AW185" t="inlineStr">
        <is>
          <t>VALDIVIA 220</t>
        </is>
      </c>
      <c r="AX185" t="n">
        <v>111.133</v>
      </c>
      <c r="AY185" t="n">
        <v>1.083385174100913</v>
      </c>
      <c r="AZ185" t="n">
        <v>120.3998445533567</v>
      </c>
      <c r="BA185" t="n">
        <v>801.49</v>
      </c>
      <c r="BB185" t="n">
        <v>0.905</v>
      </c>
      <c r="BC185" t="n">
        <v>87.33184062701827</v>
      </c>
      <c r="BD185" t="n">
        <v>0.8745000000000001</v>
      </c>
      <c r="BE185" t="n">
        <v>76.372</v>
      </c>
      <c r="BF185" t="n">
        <v>8.9176</v>
      </c>
      <c r="BG185" t="n">
        <v>0.77</v>
      </c>
      <c r="BH185" t="n">
        <v>5962.380796939026</v>
      </c>
      <c r="BI185" t="n">
        <v>1.148014846473962</v>
      </c>
      <c r="BJ185" t="n">
        <v>6844.9017</v>
      </c>
    </row>
    <row r="186">
      <c r="A186" t="n">
        <v>1383</v>
      </c>
      <c r="B186" t="inlineStr">
        <is>
          <t>01-03-2021</t>
        </is>
      </c>
      <c r="C186" t="n">
        <v>2021</v>
      </c>
      <c r="D186" t="n">
        <v>1</v>
      </c>
      <c r="E186" t="inlineStr">
        <is>
          <t>CAREN</t>
        </is>
      </c>
      <c r="F186" t="inlineStr">
        <is>
          <t>SUM_SAESA_A</t>
        </is>
      </c>
      <c r="G186" t="inlineStr">
        <is>
          <t>A</t>
        </is>
      </c>
      <c r="H186" t="inlineStr">
        <is>
          <t>SAESA</t>
        </is>
      </c>
      <c r="I186" t="inlineStr">
        <is>
          <t>SAESAIHUBLOQA</t>
        </is>
      </c>
      <c r="J186" t="inlineStr">
        <is>
          <t>AIHUAPI</t>
        </is>
      </c>
      <c r="K186" t="n">
        <v>-190.33650769</v>
      </c>
      <c r="L186" t="inlineStr">
        <is>
          <t>AIHUAPI</t>
        </is>
      </c>
      <c r="M186" t="inlineStr">
        <is>
          <t>BARRO BLANCO</t>
        </is>
      </c>
      <c r="N186" t="n">
        <v>0.9345256988989999</v>
      </c>
      <c r="O186" t="n">
        <v>177.874358</v>
      </c>
      <c r="P186" t="inlineStr">
        <is>
          <t>BS1A</t>
        </is>
      </c>
      <c r="Q186" t="n">
        <v>2</v>
      </c>
      <c r="W186" t="n">
        <v>2</v>
      </c>
      <c r="X186" t="n">
        <v>0</v>
      </c>
      <c r="AA186" t="inlineStr">
        <is>
          <t>PNP_16T_02-11-2020</t>
        </is>
      </c>
      <c r="AB186" t="inlineStr">
        <is>
          <t>PNCP_2T_10-02-2020</t>
        </is>
      </c>
      <c r="AC186" t="inlineStr">
        <is>
          <t>PNCP_4T_30-04-2013</t>
        </is>
      </c>
      <c r="AD186" t="inlineStr">
        <is>
          <t>Barro Blanco 220</t>
        </is>
      </c>
      <c r="AE186" t="n">
        <v>111.133</v>
      </c>
      <c r="AF186" t="n">
        <v>1.080821157758461</v>
      </c>
      <c r="AG186" t="n">
        <v>120.1148977251711</v>
      </c>
      <c r="AH186" t="n">
        <v>779.3099999999999</v>
      </c>
      <c r="AI186" t="n">
        <v>0.879</v>
      </c>
      <c r="AJ186" t="n">
        <v>82.2803252917125</v>
      </c>
      <c r="AK186" t="n">
        <v>0.846</v>
      </c>
      <c r="AL186" t="n">
        <v>69.60899999999999</v>
      </c>
      <c r="AM186" t="n">
        <v>8.9176</v>
      </c>
      <c r="AN186" t="n">
        <v>9.638330756426855</v>
      </c>
      <c r="AO186" t="n">
        <v>0.804</v>
      </c>
      <c r="AP186" t="n">
        <v>6039.043023599974</v>
      </c>
      <c r="AQ186" t="n">
        <v>1.011820868379177</v>
      </c>
      <c r="AR186" t="n">
        <v>6110.4298</v>
      </c>
      <c r="AT186" t="inlineStr">
        <is>
          <t>PNP_19T_30-12-2020</t>
        </is>
      </c>
      <c r="AU186" t="inlineStr">
        <is>
          <t>PNCP_12T_10-08-2020</t>
        </is>
      </c>
      <c r="AV186" t="inlineStr">
        <is>
          <t>PNCP_4T_30-04-2013</t>
        </is>
      </c>
      <c r="AW186" t="inlineStr">
        <is>
          <t>Barro Blanco 220</t>
        </is>
      </c>
      <c r="AX186" t="n">
        <v>111.133</v>
      </c>
      <c r="AY186" t="n">
        <v>1.083385174100913</v>
      </c>
      <c r="AZ186" t="n">
        <v>120.3998445533567</v>
      </c>
      <c r="BA186" t="n">
        <v>801.49</v>
      </c>
      <c r="BB186" t="n">
        <v>0.905</v>
      </c>
      <c r="BC186" t="n">
        <v>87.33184062701827</v>
      </c>
      <c r="BD186" t="n">
        <v>0.7946</v>
      </c>
      <c r="BE186" t="n">
        <v>69.39400000000001</v>
      </c>
      <c r="BF186" t="n">
        <v>8.9176</v>
      </c>
      <c r="BG186" t="n">
        <v>0.77</v>
      </c>
      <c r="BH186" t="n">
        <v>5962.380796939026</v>
      </c>
      <c r="BI186" t="n">
        <v>1.047283473516708</v>
      </c>
      <c r="BJ186" t="n">
        <v>6244.3029</v>
      </c>
    </row>
    <row r="187">
      <c r="A187" t="n">
        <v>2065</v>
      </c>
      <c r="B187" t="inlineStr">
        <is>
          <t>01-03-2021</t>
        </is>
      </c>
      <c r="C187" t="n">
        <v>2021</v>
      </c>
      <c r="D187" t="n">
        <v>1</v>
      </c>
      <c r="E187" t="inlineStr">
        <is>
          <t>CAREN</t>
        </is>
      </c>
      <c r="F187" t="inlineStr">
        <is>
          <t>SUM_SAESA_A</t>
        </is>
      </c>
      <c r="G187" t="inlineStr">
        <is>
          <t>A</t>
        </is>
      </c>
      <c r="H187" t="inlineStr">
        <is>
          <t>SAESA</t>
        </is>
      </c>
      <c r="I187" t="inlineStr">
        <is>
          <t>SAESABONBLOQA</t>
        </is>
      </c>
      <c r="J187" t="inlineStr">
        <is>
          <t>ALTO_BONITO</t>
        </is>
      </c>
      <c r="K187" t="n">
        <v>-6722.73258221</v>
      </c>
      <c r="L187" t="inlineStr">
        <is>
          <t>ALTO BONITO</t>
        </is>
      </c>
      <c r="M187" t="inlineStr">
        <is>
          <t>MELIPULLI</t>
        </is>
      </c>
      <c r="N187" t="n">
        <v>0.79697191581102</v>
      </c>
      <c r="O187" t="n">
        <v>5357.829066</v>
      </c>
      <c r="P187" t="inlineStr">
        <is>
          <t>BS1A</t>
        </is>
      </c>
      <c r="Q187" t="n">
        <v>2</v>
      </c>
      <c r="W187" t="n">
        <v>2</v>
      </c>
      <c r="X187" t="n">
        <v>0</v>
      </c>
      <c r="AA187" t="inlineStr">
        <is>
          <t>PNP_16T_02-11-2020</t>
        </is>
      </c>
      <c r="AB187" t="inlineStr">
        <is>
          <t>PNCP_2T_10-02-2020</t>
        </is>
      </c>
      <c r="AC187" t="inlineStr">
        <is>
          <t>PNCP_4T_30-04-2013</t>
        </is>
      </c>
      <c r="AD187" t="inlineStr">
        <is>
          <t>MELIPULLI 220</t>
        </is>
      </c>
      <c r="AE187" t="n">
        <v>111.133</v>
      </c>
      <c r="AF187" t="n">
        <v>1.080821157758461</v>
      </c>
      <c r="AG187" t="n">
        <v>120.1148977251711</v>
      </c>
      <c r="AH187" t="n">
        <v>779.3099999999999</v>
      </c>
      <c r="AI187" t="n">
        <v>0.879</v>
      </c>
      <c r="AJ187" t="n">
        <v>82.2803252917125</v>
      </c>
      <c r="AK187" t="n">
        <v>0.8421</v>
      </c>
      <c r="AL187" t="n">
        <v>69.288</v>
      </c>
      <c r="AM187" t="n">
        <v>8.9176</v>
      </c>
      <c r="AN187" t="n">
        <v>9.638330756426855</v>
      </c>
      <c r="AO187" t="n">
        <v>0.804</v>
      </c>
      <c r="AP187" t="n">
        <v>6039.043023599974</v>
      </c>
      <c r="AQ187" t="n">
        <v>1</v>
      </c>
      <c r="AR187" t="n">
        <v>6039.043</v>
      </c>
      <c r="AT187" t="inlineStr">
        <is>
          <t>PNP_19T_30-12-2020</t>
        </is>
      </c>
      <c r="AU187" t="inlineStr">
        <is>
          <t>PNCP_12T_10-08-2020</t>
        </is>
      </c>
      <c r="AV187" t="inlineStr">
        <is>
          <t>PNCP_4T_30-04-2013</t>
        </is>
      </c>
      <c r="AW187" t="inlineStr">
        <is>
          <t>MELIPULLI 220</t>
        </is>
      </c>
      <c r="AX187" t="n">
        <v>111.133</v>
      </c>
      <c r="AY187" t="n">
        <v>1.083385174100913</v>
      </c>
      <c r="AZ187" t="n">
        <v>120.3998445533567</v>
      </c>
      <c r="BA187" t="n">
        <v>801.49</v>
      </c>
      <c r="BB187" t="n">
        <v>0.905</v>
      </c>
      <c r="BC187" t="n">
        <v>87.33184062701827</v>
      </c>
      <c r="BD187" t="n">
        <v>0.7824</v>
      </c>
      <c r="BE187" t="n">
        <v>68.328</v>
      </c>
      <c r="BF187" t="n">
        <v>8.9176</v>
      </c>
      <c r="BG187" t="n">
        <v>0.77</v>
      </c>
      <c r="BH187" t="n">
        <v>5962.380796939026</v>
      </c>
      <c r="BI187" t="n">
        <v>1</v>
      </c>
      <c r="BJ187" t="n">
        <v>5962.3808</v>
      </c>
    </row>
    <row r="188">
      <c r="A188" t="n">
        <v>2067</v>
      </c>
      <c r="B188" t="inlineStr">
        <is>
          <t>01-03-2021</t>
        </is>
      </c>
      <c r="C188" t="n">
        <v>2021</v>
      </c>
      <c r="D188" t="n">
        <v>1</v>
      </c>
      <c r="E188" t="inlineStr">
        <is>
          <t>CAREN</t>
        </is>
      </c>
      <c r="F188" t="inlineStr">
        <is>
          <t>SUM_SAESA_A</t>
        </is>
      </c>
      <c r="G188" t="inlineStr">
        <is>
          <t>A</t>
        </is>
      </c>
      <c r="H188" t="inlineStr">
        <is>
          <t>SAESA</t>
        </is>
      </c>
      <c r="I188" t="inlineStr">
        <is>
          <t>SAESABONBLOQA</t>
        </is>
      </c>
      <c r="J188" t="inlineStr">
        <is>
          <t>ALTO_BONITO</t>
        </is>
      </c>
      <c r="K188" t="n">
        <v>-6722.73258221</v>
      </c>
      <c r="L188" t="inlineStr">
        <is>
          <t>ALTO BONITO</t>
        </is>
      </c>
      <c r="M188" t="inlineStr">
        <is>
          <t>Puerto Montt</t>
        </is>
      </c>
      <c r="N188" t="n">
        <v>0.94104614890384</v>
      </c>
      <c r="O188" t="n">
        <v>6326.401607</v>
      </c>
      <c r="P188" t="inlineStr">
        <is>
          <t>BS1A</t>
        </is>
      </c>
      <c r="Q188" t="n">
        <v>2</v>
      </c>
      <c r="W188" t="n">
        <v>2</v>
      </c>
      <c r="X188" t="n">
        <v>0</v>
      </c>
      <c r="AA188" t="inlineStr">
        <is>
          <t>PNP_16T_02-11-2020</t>
        </is>
      </c>
      <c r="AB188" t="inlineStr">
        <is>
          <t>PNCP_2T_10-02-2020</t>
        </is>
      </c>
      <c r="AC188" t="inlineStr">
        <is>
          <t>PNCP_4T_30-04-2013</t>
        </is>
      </c>
      <c r="AD188" t="inlineStr">
        <is>
          <t>PUERTO MONTT 220</t>
        </is>
      </c>
      <c r="AE188" t="n">
        <v>111.133</v>
      </c>
      <c r="AF188" t="n">
        <v>1.080821157758461</v>
      </c>
      <c r="AG188" t="n">
        <v>120.1148977251711</v>
      </c>
      <c r="AH188" t="n">
        <v>779.3099999999999</v>
      </c>
      <c r="AI188" t="n">
        <v>0.879</v>
      </c>
      <c r="AJ188" t="n">
        <v>82.2803252917125</v>
      </c>
      <c r="AK188" t="n">
        <v>0.8421</v>
      </c>
      <c r="AL188" t="n">
        <v>69.288</v>
      </c>
      <c r="AM188" t="n">
        <v>8.9176</v>
      </c>
      <c r="AN188" t="n">
        <v>9.638330756426855</v>
      </c>
      <c r="AO188" t="n">
        <v>0.804</v>
      </c>
      <c r="AP188" t="n">
        <v>6039.043023599974</v>
      </c>
      <c r="AQ188" t="n">
        <v>1.02699624102973</v>
      </c>
      <c r="AR188" t="n">
        <v>6202.0745</v>
      </c>
      <c r="AT188" t="inlineStr">
        <is>
          <t>PNP_19T_30-12-2020</t>
        </is>
      </c>
      <c r="AU188" t="inlineStr">
        <is>
          <t>PNCP_12T_10-08-2020</t>
        </is>
      </c>
      <c r="AV188" t="inlineStr">
        <is>
          <t>PNCP_4T_30-04-2013</t>
        </is>
      </c>
      <c r="AW188" t="inlineStr">
        <is>
          <t>PUERTO MONTT 220</t>
        </is>
      </c>
      <c r="AX188" t="n">
        <v>111.133</v>
      </c>
      <c r="AY188" t="n">
        <v>1.083385174100913</v>
      </c>
      <c r="AZ188" t="n">
        <v>120.3998445533567</v>
      </c>
      <c r="BA188" t="n">
        <v>801.49</v>
      </c>
      <c r="BB188" t="n">
        <v>0.905</v>
      </c>
      <c r="BC188" t="n">
        <v>87.33184062701827</v>
      </c>
      <c r="BD188" t="n">
        <v>0.7824</v>
      </c>
      <c r="BE188" t="n">
        <v>68.328</v>
      </c>
      <c r="BF188" t="n">
        <v>8.9176</v>
      </c>
      <c r="BG188" t="n">
        <v>0.77</v>
      </c>
      <c r="BH188" t="n">
        <v>5962.380796939026</v>
      </c>
      <c r="BI188" t="n">
        <v>1.039640050119603</v>
      </c>
      <c r="BJ188" t="n">
        <v>6198.7299</v>
      </c>
    </row>
    <row r="189">
      <c r="A189" t="n">
        <v>2069</v>
      </c>
      <c r="B189" t="inlineStr">
        <is>
          <t>01-03-2021</t>
        </is>
      </c>
      <c r="C189" t="n">
        <v>2021</v>
      </c>
      <c r="D189" t="n">
        <v>1</v>
      </c>
      <c r="E189" t="inlineStr">
        <is>
          <t>CAREN</t>
        </is>
      </c>
      <c r="F189" t="inlineStr">
        <is>
          <t>SUM_SAESA_A</t>
        </is>
      </c>
      <c r="G189" t="inlineStr">
        <is>
          <t>A</t>
        </is>
      </c>
      <c r="H189" t="inlineStr">
        <is>
          <t>SAESA</t>
        </is>
      </c>
      <c r="I189" t="inlineStr">
        <is>
          <t>SAESABONBLOQA</t>
        </is>
      </c>
      <c r="J189" t="inlineStr">
        <is>
          <t>ALTO_BONITO</t>
        </is>
      </c>
      <c r="K189" t="n">
        <v>-6722.73258221</v>
      </c>
      <c r="L189" t="inlineStr">
        <is>
          <t>ALTO BONITO</t>
        </is>
      </c>
      <c r="M189" t="inlineStr">
        <is>
          <t>VALDIVIA</t>
        </is>
      </c>
      <c r="N189" t="n">
        <v>5.983619997e-05</v>
      </c>
      <c r="O189" t="n">
        <v>0.402263</v>
      </c>
      <c r="P189" t="inlineStr">
        <is>
          <t>BS1A</t>
        </is>
      </c>
      <c r="Q189" t="n">
        <v>2</v>
      </c>
      <c r="W189" t="n">
        <v>2</v>
      </c>
      <c r="X189" t="n">
        <v>0</v>
      </c>
      <c r="AA189" t="inlineStr">
        <is>
          <t>PNP_16T_02-11-2020</t>
        </is>
      </c>
      <c r="AB189" t="inlineStr">
        <is>
          <t>PNCP_2T_10-02-2020</t>
        </is>
      </c>
      <c r="AC189" t="inlineStr">
        <is>
          <t>PNCP_4T_30-04-2013</t>
        </is>
      </c>
      <c r="AD189" t="inlineStr">
        <is>
          <t>VALDIVIA 220</t>
        </is>
      </c>
      <c r="AE189" t="n">
        <v>111.133</v>
      </c>
      <c r="AF189" t="n">
        <v>1.080821157758461</v>
      </c>
      <c r="AG189" t="n">
        <v>120.1148977251711</v>
      </c>
      <c r="AH189" t="n">
        <v>779.3099999999999</v>
      </c>
      <c r="AI189" t="n">
        <v>0.879</v>
      </c>
      <c r="AJ189" t="n">
        <v>82.2803252917125</v>
      </c>
      <c r="AK189" t="n">
        <v>0.9167</v>
      </c>
      <c r="AL189" t="n">
        <v>75.426</v>
      </c>
      <c r="AM189" t="n">
        <v>8.9176</v>
      </c>
      <c r="AN189" t="n">
        <v>9.638330756426855</v>
      </c>
      <c r="AO189" t="n">
        <v>0.804</v>
      </c>
      <c r="AP189" t="n">
        <v>6039.043023599974</v>
      </c>
      <c r="AQ189" t="n">
        <v>1.096052187605444</v>
      </c>
      <c r="AR189" t="n">
        <v>6619.1063</v>
      </c>
      <c r="AT189" t="inlineStr">
        <is>
          <t>PNP_19T_30-12-2020</t>
        </is>
      </c>
      <c r="AU189" t="inlineStr">
        <is>
          <t>PNCP_12T_10-08-2020</t>
        </is>
      </c>
      <c r="AV189" t="inlineStr">
        <is>
          <t>PNCP_4T_30-04-2013</t>
        </is>
      </c>
      <c r="AW189" t="inlineStr">
        <is>
          <t>VALDIVIA 220</t>
        </is>
      </c>
      <c r="AX189" t="n">
        <v>111.133</v>
      </c>
      <c r="AY189" t="n">
        <v>1.083385174100913</v>
      </c>
      <c r="AZ189" t="n">
        <v>120.3998445533567</v>
      </c>
      <c r="BA189" t="n">
        <v>801.49</v>
      </c>
      <c r="BB189" t="n">
        <v>0.905</v>
      </c>
      <c r="BC189" t="n">
        <v>87.33184062701827</v>
      </c>
      <c r="BD189" t="n">
        <v>0.8745000000000001</v>
      </c>
      <c r="BE189" t="n">
        <v>76.372</v>
      </c>
      <c r="BF189" t="n">
        <v>8.9176</v>
      </c>
      <c r="BG189" t="n">
        <v>0.77</v>
      </c>
      <c r="BH189" t="n">
        <v>5962.380796939026</v>
      </c>
      <c r="BI189" t="n">
        <v>1.148014846473962</v>
      </c>
      <c r="BJ189" t="n">
        <v>6844.9017</v>
      </c>
    </row>
    <row r="190">
      <c r="A190" t="n">
        <v>1377</v>
      </c>
      <c r="B190" t="inlineStr">
        <is>
          <t>01-03-2021</t>
        </is>
      </c>
      <c r="C190" t="n">
        <v>2021</v>
      </c>
      <c r="D190" t="n">
        <v>1</v>
      </c>
      <c r="E190" t="inlineStr">
        <is>
          <t>CAREN</t>
        </is>
      </c>
      <c r="F190" t="inlineStr">
        <is>
          <t>SUM_SAESA_A</t>
        </is>
      </c>
      <c r="G190" t="inlineStr">
        <is>
          <t>A</t>
        </is>
      </c>
      <c r="H190" t="inlineStr">
        <is>
          <t>SAESA</t>
        </is>
      </c>
      <c r="I190" t="inlineStr">
        <is>
          <t>SAESANCUBLOQA</t>
        </is>
      </c>
      <c r="J190" t="inlineStr">
        <is>
          <t>ANCUD</t>
        </is>
      </c>
      <c r="K190" t="n">
        <v>-5248.77103803</v>
      </c>
      <c r="L190" t="inlineStr">
        <is>
          <t>ANCUD</t>
        </is>
      </c>
      <c r="M190" t="inlineStr">
        <is>
          <t>CHILOE</t>
        </is>
      </c>
      <c r="N190" t="n">
        <v>0.79707666555769</v>
      </c>
      <c r="O190" t="n">
        <v>4183.672917</v>
      </c>
      <c r="P190" t="inlineStr">
        <is>
          <t>BS1A</t>
        </is>
      </c>
      <c r="Q190" t="n">
        <v>2</v>
      </c>
      <c r="W190" t="n">
        <v>2</v>
      </c>
      <c r="X190" t="n">
        <v>0</v>
      </c>
      <c r="AA190" t="inlineStr">
        <is>
          <t>PNP_16T_02-11-2020</t>
        </is>
      </c>
      <c r="AB190" t="inlineStr">
        <is>
          <t>PNCP_2T_10-02-2020</t>
        </is>
      </c>
      <c r="AC190" t="inlineStr">
        <is>
          <t>PNCP_4T_30-04-2013</t>
        </is>
      </c>
      <c r="AD190" t="inlineStr">
        <is>
          <t>CHILOE 220</t>
        </is>
      </c>
      <c r="AE190" t="n">
        <v>111.133</v>
      </c>
      <c r="AF190" t="n">
        <v>1.080821157758461</v>
      </c>
      <c r="AG190" t="n">
        <v>120.1148977251711</v>
      </c>
      <c r="AH190" t="n">
        <v>779.3099999999999</v>
      </c>
      <c r="AI190" t="n">
        <v>0.879</v>
      </c>
      <c r="AJ190" t="n">
        <v>82.2803252917125</v>
      </c>
      <c r="AK190" t="n">
        <v>0.8486</v>
      </c>
      <c r="AL190" t="n">
        <v>69.82299999999999</v>
      </c>
      <c r="AM190" t="n">
        <v>8.9176</v>
      </c>
      <c r="AN190" t="n">
        <v>9.638330756426855</v>
      </c>
      <c r="AO190" t="n">
        <v>0.804</v>
      </c>
      <c r="AP190" t="n">
        <v>6039.043023599974</v>
      </c>
      <c r="AQ190" t="n">
        <v>1</v>
      </c>
      <c r="AR190" t="n">
        <v>6039.043</v>
      </c>
      <c r="AT190" t="inlineStr">
        <is>
          <t>PNP_19T_30-12-2020</t>
        </is>
      </c>
      <c r="AU190" t="inlineStr">
        <is>
          <t>PNCP_12T_10-08-2020</t>
        </is>
      </c>
      <c r="AV190" t="inlineStr">
        <is>
          <t>PNCP_4T_30-04-2013</t>
        </is>
      </c>
      <c r="AW190" t="inlineStr">
        <is>
          <t>CHILOE 220</t>
        </is>
      </c>
      <c r="AX190" t="n">
        <v>111.133</v>
      </c>
      <c r="AY190" t="n">
        <v>1.083385174100913</v>
      </c>
      <c r="AZ190" t="n">
        <v>120.3998445533567</v>
      </c>
      <c r="BA190" t="n">
        <v>801.49</v>
      </c>
      <c r="BB190" t="n">
        <v>0.905</v>
      </c>
      <c r="BC190" t="n">
        <v>87.33184062701827</v>
      </c>
      <c r="BD190" t="n">
        <v>0.7923</v>
      </c>
      <c r="BE190" t="n">
        <v>69.193</v>
      </c>
      <c r="BF190" t="n">
        <v>8.9176</v>
      </c>
      <c r="BG190" t="n">
        <v>0.77</v>
      </c>
      <c r="BH190" t="n">
        <v>5962.380796939026</v>
      </c>
      <c r="BI190" t="n">
        <v>1</v>
      </c>
      <c r="BJ190" t="n">
        <v>5962.3808</v>
      </c>
    </row>
    <row r="191">
      <c r="A191" t="n">
        <v>1379</v>
      </c>
      <c r="B191" t="inlineStr">
        <is>
          <t>01-03-2021</t>
        </is>
      </c>
      <c r="C191" t="n">
        <v>2021</v>
      </c>
      <c r="D191" t="n">
        <v>1</v>
      </c>
      <c r="E191" t="inlineStr">
        <is>
          <t>CAREN</t>
        </is>
      </c>
      <c r="F191" t="inlineStr">
        <is>
          <t>SUM_SAESA_A</t>
        </is>
      </c>
      <c r="G191" t="inlineStr">
        <is>
          <t>A</t>
        </is>
      </c>
      <c r="H191" t="inlineStr">
        <is>
          <t>SAESA</t>
        </is>
      </c>
      <c r="I191" t="inlineStr">
        <is>
          <t>SAESANCUBLOQA</t>
        </is>
      </c>
      <c r="J191" t="inlineStr">
        <is>
          <t>ANCUD</t>
        </is>
      </c>
      <c r="K191" t="n">
        <v>-5248.77103803</v>
      </c>
      <c r="L191" t="inlineStr">
        <is>
          <t>ANCUD</t>
        </is>
      </c>
      <c r="M191" t="inlineStr">
        <is>
          <t>Puerto Montt</t>
        </is>
      </c>
      <c r="N191" t="n">
        <v>0.9410461489039</v>
      </c>
      <c r="O191" t="n">
        <v>4939.335772</v>
      </c>
      <c r="P191" t="inlineStr">
        <is>
          <t>BS1A</t>
        </is>
      </c>
      <c r="Q191" t="n">
        <v>2</v>
      </c>
      <c r="W191" t="n">
        <v>2</v>
      </c>
      <c r="X191" t="n">
        <v>0</v>
      </c>
      <c r="AA191" t="inlineStr">
        <is>
          <t>PNP_16T_02-11-2020</t>
        </is>
      </c>
      <c r="AB191" t="inlineStr">
        <is>
          <t>PNCP_2T_10-02-2020</t>
        </is>
      </c>
      <c r="AC191" t="inlineStr">
        <is>
          <t>PNCP_4T_30-04-2013</t>
        </is>
      </c>
      <c r="AD191" t="inlineStr">
        <is>
          <t>PUERTO MONTT 220</t>
        </is>
      </c>
      <c r="AE191" t="n">
        <v>111.133</v>
      </c>
      <c r="AF191" t="n">
        <v>1.080821157758461</v>
      </c>
      <c r="AG191" t="n">
        <v>120.1148977251711</v>
      </c>
      <c r="AH191" t="n">
        <v>779.3099999999999</v>
      </c>
      <c r="AI191" t="n">
        <v>0.879</v>
      </c>
      <c r="AJ191" t="n">
        <v>82.2803252917125</v>
      </c>
      <c r="AK191" t="n">
        <v>0.8421</v>
      </c>
      <c r="AL191" t="n">
        <v>69.288</v>
      </c>
      <c r="AM191" t="n">
        <v>8.9176</v>
      </c>
      <c r="AN191" t="n">
        <v>9.638330756426855</v>
      </c>
      <c r="AO191" t="n">
        <v>0.804</v>
      </c>
      <c r="AP191" t="n">
        <v>6039.043023599974</v>
      </c>
      <c r="AQ191" t="n">
        <v>1.02699624102973</v>
      </c>
      <c r="AR191" t="n">
        <v>6202.0745</v>
      </c>
      <c r="AT191" t="inlineStr">
        <is>
          <t>PNP_19T_30-12-2020</t>
        </is>
      </c>
      <c r="AU191" t="inlineStr">
        <is>
          <t>PNCP_12T_10-08-2020</t>
        </is>
      </c>
      <c r="AV191" t="inlineStr">
        <is>
          <t>PNCP_4T_30-04-2013</t>
        </is>
      </c>
      <c r="AW191" t="inlineStr">
        <is>
          <t>PUERTO MONTT 220</t>
        </is>
      </c>
      <c r="AX191" t="n">
        <v>111.133</v>
      </c>
      <c r="AY191" t="n">
        <v>1.083385174100913</v>
      </c>
      <c r="AZ191" t="n">
        <v>120.3998445533567</v>
      </c>
      <c r="BA191" t="n">
        <v>801.49</v>
      </c>
      <c r="BB191" t="n">
        <v>0.905</v>
      </c>
      <c r="BC191" t="n">
        <v>87.33184062701827</v>
      </c>
      <c r="BD191" t="n">
        <v>0.7824</v>
      </c>
      <c r="BE191" t="n">
        <v>68.328</v>
      </c>
      <c r="BF191" t="n">
        <v>8.9176</v>
      </c>
      <c r="BG191" t="n">
        <v>0.77</v>
      </c>
      <c r="BH191" t="n">
        <v>5962.380796939026</v>
      </c>
      <c r="BI191" t="n">
        <v>1.039640050119603</v>
      </c>
      <c r="BJ191" t="n">
        <v>6198.7299</v>
      </c>
    </row>
    <row r="192">
      <c r="A192" t="n">
        <v>409</v>
      </c>
      <c r="B192" t="inlineStr">
        <is>
          <t>01-03-2021</t>
        </is>
      </c>
      <c r="C192" t="n">
        <v>2021</v>
      </c>
      <c r="D192" t="n">
        <v>1</v>
      </c>
      <c r="E192" t="inlineStr">
        <is>
          <t>CAREN</t>
        </is>
      </c>
      <c r="F192" t="inlineStr">
        <is>
          <t>SUM_SAESA_A</t>
        </is>
      </c>
      <c r="G192" t="inlineStr">
        <is>
          <t>A</t>
        </is>
      </c>
      <c r="H192" t="inlineStr">
        <is>
          <t>SAESA</t>
        </is>
      </c>
      <c r="I192" t="inlineStr">
        <is>
          <t>SAESARMBLOQA</t>
        </is>
      </c>
      <c r="J192" t="inlineStr">
        <is>
          <t>ARMAZONES</t>
        </is>
      </c>
      <c r="K192" t="n">
        <v>-1443.40002744</v>
      </c>
      <c r="L192" t="inlineStr">
        <is>
          <t>ARMAZONES</t>
        </is>
      </c>
      <c r="M192" t="inlineStr">
        <is>
          <t>DIEGO DE ALMAGRO</t>
        </is>
      </c>
      <c r="N192" t="n">
        <v>0.81055053060743</v>
      </c>
      <c r="O192" t="n">
        <v>1169.948658</v>
      </c>
      <c r="P192" t="inlineStr">
        <is>
          <t>BS1A</t>
        </is>
      </c>
      <c r="Q192" t="n">
        <v>2</v>
      </c>
      <c r="W192" t="n">
        <v>2</v>
      </c>
      <c r="X192" t="n">
        <v>0</v>
      </c>
      <c r="AA192" t="inlineStr">
        <is>
          <t>PNP_16T_02-11-2020</t>
        </is>
      </c>
      <c r="AB192" t="inlineStr">
        <is>
          <t>PNCP_2T_10-02-2020</t>
        </is>
      </c>
      <c r="AC192" t="inlineStr">
        <is>
          <t>PNCP_4T_30-04-2013</t>
        </is>
      </c>
      <c r="AD192" t="inlineStr">
        <is>
          <t>DIEGO DE ALMAGRO 220</t>
        </is>
      </c>
      <c r="AE192" t="n">
        <v>111.133</v>
      </c>
      <c r="AF192" t="n">
        <v>1.080821157758461</v>
      </c>
      <c r="AG192" t="n">
        <v>120.1148977251711</v>
      </c>
      <c r="AH192" t="n">
        <v>779.3099999999999</v>
      </c>
      <c r="AI192" t="n">
        <v>0.879</v>
      </c>
      <c r="AJ192" t="n">
        <v>82.2803252917125</v>
      </c>
      <c r="AK192" t="n">
        <v>0.9133</v>
      </c>
      <c r="AL192" t="n">
        <v>75.14700000000001</v>
      </c>
      <c r="AM192" t="n">
        <v>8.9176</v>
      </c>
      <c r="AN192" t="n">
        <v>9.638330756426855</v>
      </c>
      <c r="AO192" t="n">
        <v>0.804</v>
      </c>
      <c r="AP192" t="n">
        <v>6039.043023599974</v>
      </c>
      <c r="AQ192" t="n">
        <v>0.9584006897294968</v>
      </c>
      <c r="AR192" t="n">
        <v>5787.823</v>
      </c>
      <c r="AT192" t="inlineStr">
        <is>
          <t>PNP_19T_30-12-2020</t>
        </is>
      </c>
      <c r="AU192" t="inlineStr">
        <is>
          <t>PNCP_12T_10-08-2020</t>
        </is>
      </c>
      <c r="AV192" t="inlineStr">
        <is>
          <t>PNCP_4T_30-04-2013</t>
        </is>
      </c>
      <c r="AW192" t="inlineStr">
        <is>
          <t>DIEGO DE ALMAGRO 220</t>
        </is>
      </c>
      <c r="AX192" t="n">
        <v>111.133</v>
      </c>
      <c r="AY192" t="n">
        <v>1.083385174100913</v>
      </c>
      <c r="AZ192" t="n">
        <v>120.3998445533567</v>
      </c>
      <c r="BA192" t="n">
        <v>801.49</v>
      </c>
      <c r="BB192" t="n">
        <v>0.905</v>
      </c>
      <c r="BC192" t="n">
        <v>87.33184062701827</v>
      </c>
      <c r="BD192" t="n">
        <v>0.9134</v>
      </c>
      <c r="BE192" t="n">
        <v>79.76900000000001</v>
      </c>
      <c r="BF192" t="n">
        <v>8.9176</v>
      </c>
      <c r="BG192" t="n">
        <v>0.77</v>
      </c>
      <c r="BH192" t="n">
        <v>5962.380796939026</v>
      </c>
      <c r="BI192" t="n">
        <v>1.088263821532493</v>
      </c>
      <c r="BJ192" t="n">
        <v>6488.6433</v>
      </c>
    </row>
    <row r="193">
      <c r="A193" t="n">
        <v>4165</v>
      </c>
      <c r="B193" t="inlineStr">
        <is>
          <t>01-03-2021</t>
        </is>
      </c>
      <c r="C193" t="n">
        <v>2021</v>
      </c>
      <c r="D193" t="n">
        <v>1</v>
      </c>
      <c r="E193" t="inlineStr">
        <is>
          <t>CAREN</t>
        </is>
      </c>
      <c r="F193" t="inlineStr">
        <is>
          <t>SUM_SAESA_A</t>
        </is>
      </c>
      <c r="G193" t="inlineStr">
        <is>
          <t>A</t>
        </is>
      </c>
      <c r="H193" t="inlineStr">
        <is>
          <t>SAESA</t>
        </is>
      </c>
      <c r="I193" t="inlineStr">
        <is>
          <t>SAESBBLABLOQA</t>
        </is>
      </c>
      <c r="J193" t="inlineStr">
        <is>
          <t>B.BLANCO</t>
        </is>
      </c>
      <c r="K193" t="n">
        <v>-3872.7308373</v>
      </c>
      <c r="L193" t="inlineStr">
        <is>
          <t>BARRO BLANCO</t>
        </is>
      </c>
      <c r="M193" t="inlineStr">
        <is>
          <t>BARRO BLANCO</t>
        </is>
      </c>
      <c r="N193" t="n">
        <v>0.68542358589689</v>
      </c>
      <c r="O193" t="n">
        <v>2654.461058</v>
      </c>
      <c r="P193" t="inlineStr">
        <is>
          <t>BS1A</t>
        </is>
      </c>
      <c r="Q193" t="n">
        <v>2</v>
      </c>
      <c r="W193" t="n">
        <v>2</v>
      </c>
      <c r="X193" t="n">
        <v>0</v>
      </c>
      <c r="AA193" t="inlineStr">
        <is>
          <t>PNP_16T_02-11-2020</t>
        </is>
      </c>
      <c r="AB193" t="inlineStr">
        <is>
          <t>PNCP_2T_10-02-2020</t>
        </is>
      </c>
      <c r="AC193" t="inlineStr">
        <is>
          <t>PNCP_4T_30-04-2013</t>
        </is>
      </c>
      <c r="AD193" t="inlineStr">
        <is>
          <t>Barro Blanco 220</t>
        </is>
      </c>
      <c r="AE193" t="n">
        <v>111.133</v>
      </c>
      <c r="AF193" t="n">
        <v>1.080821157758461</v>
      </c>
      <c r="AG193" t="n">
        <v>120.1148977251711</v>
      </c>
      <c r="AH193" t="n">
        <v>779.3099999999999</v>
      </c>
      <c r="AI193" t="n">
        <v>0.879</v>
      </c>
      <c r="AJ193" t="n">
        <v>82.2803252917125</v>
      </c>
      <c r="AK193" t="n">
        <v>0.846</v>
      </c>
      <c r="AL193" t="n">
        <v>69.60899999999999</v>
      </c>
      <c r="AM193" t="n">
        <v>8.9176</v>
      </c>
      <c r="AN193" t="n">
        <v>9.638330756426855</v>
      </c>
      <c r="AO193" t="n">
        <v>0.804</v>
      </c>
      <c r="AP193" t="n">
        <v>6039.043023599974</v>
      </c>
      <c r="AQ193" t="n">
        <v>1.011820868379177</v>
      </c>
      <c r="AR193" t="n">
        <v>6110.4298</v>
      </c>
      <c r="AT193" t="inlineStr">
        <is>
          <t>PNP_19T_30-12-2020</t>
        </is>
      </c>
      <c r="AU193" t="inlineStr">
        <is>
          <t>PNCP_12T_10-08-2020</t>
        </is>
      </c>
      <c r="AV193" t="inlineStr">
        <is>
          <t>PNCP_4T_30-04-2013</t>
        </is>
      </c>
      <c r="AW193" t="inlineStr">
        <is>
          <t>Barro Blanco 220</t>
        </is>
      </c>
      <c r="AX193" t="n">
        <v>111.133</v>
      </c>
      <c r="AY193" t="n">
        <v>1.083385174100913</v>
      </c>
      <c r="AZ193" t="n">
        <v>120.3998445533567</v>
      </c>
      <c r="BA193" t="n">
        <v>801.49</v>
      </c>
      <c r="BB193" t="n">
        <v>0.905</v>
      </c>
      <c r="BC193" t="n">
        <v>87.33184062701827</v>
      </c>
      <c r="BD193" t="n">
        <v>0.7946</v>
      </c>
      <c r="BE193" t="n">
        <v>69.39400000000001</v>
      </c>
      <c r="BF193" t="n">
        <v>8.9176</v>
      </c>
      <c r="BG193" t="n">
        <v>0.77</v>
      </c>
      <c r="BH193" t="n">
        <v>5962.380796939026</v>
      </c>
      <c r="BI193" t="n">
        <v>1.047283473516708</v>
      </c>
      <c r="BJ193" t="n">
        <v>6244.3029</v>
      </c>
    </row>
    <row r="194">
      <c r="A194" t="n">
        <v>4167</v>
      </c>
      <c r="B194" t="inlineStr">
        <is>
          <t>01-03-2021</t>
        </is>
      </c>
      <c r="C194" t="n">
        <v>2021</v>
      </c>
      <c r="D194" t="n">
        <v>1</v>
      </c>
      <c r="E194" t="inlineStr">
        <is>
          <t>CAREN</t>
        </is>
      </c>
      <c r="F194" t="inlineStr">
        <is>
          <t>SUM_SAESA_A</t>
        </is>
      </c>
      <c r="G194" t="inlineStr">
        <is>
          <t>A</t>
        </is>
      </c>
      <c r="H194" t="inlineStr">
        <is>
          <t>SAESA</t>
        </is>
      </c>
      <c r="I194" t="inlineStr">
        <is>
          <t>SAESBBLABLOQA</t>
        </is>
      </c>
      <c r="J194" t="inlineStr">
        <is>
          <t>B.BLANCO</t>
        </is>
      </c>
      <c r="K194" t="n">
        <v>-3872.7308373</v>
      </c>
      <c r="L194" t="inlineStr">
        <is>
          <t>BARRO BLANCO</t>
        </is>
      </c>
      <c r="M194" t="inlineStr">
        <is>
          <t>MELIPULLI</t>
        </is>
      </c>
      <c r="N194" t="n">
        <v>0.0564855654883</v>
      </c>
      <c r="O194" t="n">
        <v>218.753391</v>
      </c>
      <c r="P194" t="inlineStr">
        <is>
          <t>BS1A</t>
        </is>
      </c>
      <c r="Q194" t="n">
        <v>2</v>
      </c>
      <c r="W194" t="n">
        <v>2</v>
      </c>
      <c r="X194" t="n">
        <v>0</v>
      </c>
      <c r="AA194" t="inlineStr">
        <is>
          <t>PNP_16T_02-11-2020</t>
        </is>
      </c>
      <c r="AB194" t="inlineStr">
        <is>
          <t>PNCP_2T_10-02-2020</t>
        </is>
      </c>
      <c r="AC194" t="inlineStr">
        <is>
          <t>PNCP_4T_30-04-2013</t>
        </is>
      </c>
      <c r="AD194" t="inlineStr">
        <is>
          <t>MELIPULLI 220</t>
        </is>
      </c>
      <c r="AE194" t="n">
        <v>111.133</v>
      </c>
      <c r="AF194" t="n">
        <v>1.080821157758461</v>
      </c>
      <c r="AG194" t="n">
        <v>120.1148977251711</v>
      </c>
      <c r="AH194" t="n">
        <v>779.3099999999999</v>
      </c>
      <c r="AI194" t="n">
        <v>0.879</v>
      </c>
      <c r="AJ194" t="n">
        <v>82.2803252917125</v>
      </c>
      <c r="AK194" t="n">
        <v>0.8421</v>
      </c>
      <c r="AL194" t="n">
        <v>69.288</v>
      </c>
      <c r="AM194" t="n">
        <v>8.9176</v>
      </c>
      <c r="AN194" t="n">
        <v>9.638330756426855</v>
      </c>
      <c r="AO194" t="n">
        <v>0.804</v>
      </c>
      <c r="AP194" t="n">
        <v>6039.043023599974</v>
      </c>
      <c r="AQ194" t="n">
        <v>1</v>
      </c>
      <c r="AR194" t="n">
        <v>6039.043</v>
      </c>
      <c r="AT194" t="inlineStr">
        <is>
          <t>PNP_19T_30-12-2020</t>
        </is>
      </c>
      <c r="AU194" t="inlineStr">
        <is>
          <t>PNCP_12T_10-08-2020</t>
        </is>
      </c>
      <c r="AV194" t="inlineStr">
        <is>
          <t>PNCP_4T_30-04-2013</t>
        </is>
      </c>
      <c r="AW194" t="inlineStr">
        <is>
          <t>MELIPULLI 220</t>
        </is>
      </c>
      <c r="AX194" t="n">
        <v>111.133</v>
      </c>
      <c r="AY194" t="n">
        <v>1.083385174100913</v>
      </c>
      <c r="AZ194" t="n">
        <v>120.3998445533567</v>
      </c>
      <c r="BA194" t="n">
        <v>801.49</v>
      </c>
      <c r="BB194" t="n">
        <v>0.905</v>
      </c>
      <c r="BC194" t="n">
        <v>87.33184062701827</v>
      </c>
      <c r="BD194" t="n">
        <v>0.7824</v>
      </c>
      <c r="BE194" t="n">
        <v>68.328</v>
      </c>
      <c r="BF194" t="n">
        <v>8.9176</v>
      </c>
      <c r="BG194" t="n">
        <v>0.77</v>
      </c>
      <c r="BH194" t="n">
        <v>5962.380796939026</v>
      </c>
      <c r="BI194" t="n">
        <v>1</v>
      </c>
      <c r="BJ194" t="n">
        <v>5962.3808</v>
      </c>
    </row>
    <row r="195">
      <c r="A195" t="n">
        <v>4169</v>
      </c>
      <c r="B195" t="inlineStr">
        <is>
          <t>01-03-2021</t>
        </is>
      </c>
      <c r="C195" t="n">
        <v>2021</v>
      </c>
      <c r="D195" t="n">
        <v>1</v>
      </c>
      <c r="E195" t="inlineStr">
        <is>
          <t>CAREN</t>
        </is>
      </c>
      <c r="F195" t="inlineStr">
        <is>
          <t>SUM_SAESA_A</t>
        </is>
      </c>
      <c r="G195" t="inlineStr">
        <is>
          <t>A</t>
        </is>
      </c>
      <c r="H195" t="inlineStr">
        <is>
          <t>SAESA</t>
        </is>
      </c>
      <c r="I195" t="inlineStr">
        <is>
          <t>SAESBBLABLOQA</t>
        </is>
      </c>
      <c r="J195" t="inlineStr">
        <is>
          <t>B.BLANCO</t>
        </is>
      </c>
      <c r="K195" t="n">
        <v>-3872.7308373</v>
      </c>
      <c r="L195" t="inlineStr">
        <is>
          <t>BARRO BLANCO</t>
        </is>
      </c>
      <c r="M195" t="inlineStr">
        <is>
          <t>VALDIVIA</t>
        </is>
      </c>
      <c r="N195" t="n">
        <v>0.21815833770618</v>
      </c>
      <c r="O195" t="n">
        <v>844.868522</v>
      </c>
      <c r="P195" t="inlineStr">
        <is>
          <t>BS1A</t>
        </is>
      </c>
      <c r="Q195" t="n">
        <v>2</v>
      </c>
      <c r="W195" t="n">
        <v>2</v>
      </c>
      <c r="X195" t="n">
        <v>0</v>
      </c>
      <c r="AA195" t="inlineStr">
        <is>
          <t>PNP_16T_02-11-2020</t>
        </is>
      </c>
      <c r="AB195" t="inlineStr">
        <is>
          <t>PNCP_2T_10-02-2020</t>
        </is>
      </c>
      <c r="AC195" t="inlineStr">
        <is>
          <t>PNCP_4T_30-04-2013</t>
        </is>
      </c>
      <c r="AD195" t="inlineStr">
        <is>
          <t>VALDIVIA 220</t>
        </is>
      </c>
      <c r="AE195" t="n">
        <v>111.133</v>
      </c>
      <c r="AF195" t="n">
        <v>1.080821157758461</v>
      </c>
      <c r="AG195" t="n">
        <v>120.1148977251711</v>
      </c>
      <c r="AH195" t="n">
        <v>779.3099999999999</v>
      </c>
      <c r="AI195" t="n">
        <v>0.879</v>
      </c>
      <c r="AJ195" t="n">
        <v>82.2803252917125</v>
      </c>
      <c r="AK195" t="n">
        <v>0.9167</v>
      </c>
      <c r="AL195" t="n">
        <v>75.426</v>
      </c>
      <c r="AM195" t="n">
        <v>8.9176</v>
      </c>
      <c r="AN195" t="n">
        <v>9.638330756426855</v>
      </c>
      <c r="AO195" t="n">
        <v>0.804</v>
      </c>
      <c r="AP195" t="n">
        <v>6039.043023599974</v>
      </c>
      <c r="AQ195" t="n">
        <v>1.096052187605444</v>
      </c>
      <c r="AR195" t="n">
        <v>6619.1063</v>
      </c>
      <c r="AT195" t="inlineStr">
        <is>
          <t>PNP_19T_30-12-2020</t>
        </is>
      </c>
      <c r="AU195" t="inlineStr">
        <is>
          <t>PNCP_12T_10-08-2020</t>
        </is>
      </c>
      <c r="AV195" t="inlineStr">
        <is>
          <t>PNCP_4T_30-04-2013</t>
        </is>
      </c>
      <c r="AW195" t="inlineStr">
        <is>
          <t>VALDIVIA 220</t>
        </is>
      </c>
      <c r="AX195" t="n">
        <v>111.133</v>
      </c>
      <c r="AY195" t="n">
        <v>1.083385174100913</v>
      </c>
      <c r="AZ195" t="n">
        <v>120.3998445533567</v>
      </c>
      <c r="BA195" t="n">
        <v>801.49</v>
      </c>
      <c r="BB195" t="n">
        <v>0.905</v>
      </c>
      <c r="BC195" t="n">
        <v>87.33184062701827</v>
      </c>
      <c r="BD195" t="n">
        <v>0.8745000000000001</v>
      </c>
      <c r="BE195" t="n">
        <v>76.372</v>
      </c>
      <c r="BF195" t="n">
        <v>8.9176</v>
      </c>
      <c r="BG195" t="n">
        <v>0.77</v>
      </c>
      <c r="BH195" t="n">
        <v>5962.380796939026</v>
      </c>
      <c r="BI195" t="n">
        <v>1.148014846473962</v>
      </c>
      <c r="BJ195" t="n">
        <v>6844.9017</v>
      </c>
    </row>
    <row r="196">
      <c r="A196" t="n">
        <v>2065</v>
      </c>
      <c r="B196" t="inlineStr">
        <is>
          <t>01-03-2021</t>
        </is>
      </c>
      <c r="C196" t="n">
        <v>2021</v>
      </c>
      <c r="D196" t="n">
        <v>1</v>
      </c>
      <c r="E196" t="inlineStr">
        <is>
          <t>CAREN</t>
        </is>
      </c>
      <c r="F196" t="inlineStr">
        <is>
          <t>SUM_SAESA_A</t>
        </is>
      </c>
      <c r="G196" t="inlineStr">
        <is>
          <t>A</t>
        </is>
      </c>
      <c r="H196" t="inlineStr">
        <is>
          <t>SAESA</t>
        </is>
      </c>
      <c r="I196" t="inlineStr">
        <is>
          <t>SAESCALBBLOQA</t>
        </is>
      </c>
      <c r="J196" t="inlineStr">
        <is>
          <t>CALBUCO</t>
        </is>
      </c>
      <c r="K196" t="n">
        <v>-2323.89936815</v>
      </c>
      <c r="L196" t="inlineStr">
        <is>
          <t>CALBUCO</t>
        </is>
      </c>
      <c r="M196" t="inlineStr">
        <is>
          <t>MELIPULLI</t>
        </is>
      </c>
      <c r="N196" t="n">
        <v>0.79695127981308</v>
      </c>
      <c r="O196" t="n">
        <v>1852.034576</v>
      </c>
      <c r="P196" t="inlineStr">
        <is>
          <t>BS1A</t>
        </is>
      </c>
      <c r="Q196" t="n">
        <v>2</v>
      </c>
      <c r="W196" t="n">
        <v>2</v>
      </c>
      <c r="X196" t="n">
        <v>0</v>
      </c>
      <c r="AA196" t="inlineStr">
        <is>
          <t>PNP_16T_02-11-2020</t>
        </is>
      </c>
      <c r="AB196" t="inlineStr">
        <is>
          <t>PNCP_2T_10-02-2020</t>
        </is>
      </c>
      <c r="AC196" t="inlineStr">
        <is>
          <t>PNCP_4T_30-04-2013</t>
        </is>
      </c>
      <c r="AD196" t="inlineStr">
        <is>
          <t>MELIPULLI 220</t>
        </is>
      </c>
      <c r="AE196" t="n">
        <v>111.133</v>
      </c>
      <c r="AF196" t="n">
        <v>1.080821157758461</v>
      </c>
      <c r="AG196" t="n">
        <v>120.1148977251711</v>
      </c>
      <c r="AH196" t="n">
        <v>779.3099999999999</v>
      </c>
      <c r="AI196" t="n">
        <v>0.879</v>
      </c>
      <c r="AJ196" t="n">
        <v>82.2803252917125</v>
      </c>
      <c r="AK196" t="n">
        <v>0.8421</v>
      </c>
      <c r="AL196" t="n">
        <v>69.288</v>
      </c>
      <c r="AM196" t="n">
        <v>8.9176</v>
      </c>
      <c r="AN196" t="n">
        <v>9.638330756426855</v>
      </c>
      <c r="AO196" t="n">
        <v>0.804</v>
      </c>
      <c r="AP196" t="n">
        <v>6039.043023599974</v>
      </c>
      <c r="AQ196" t="n">
        <v>1</v>
      </c>
      <c r="AR196" t="n">
        <v>6039.043</v>
      </c>
      <c r="AT196" t="inlineStr">
        <is>
          <t>PNP_19T_30-12-2020</t>
        </is>
      </c>
      <c r="AU196" t="inlineStr">
        <is>
          <t>PNCP_12T_10-08-2020</t>
        </is>
      </c>
      <c r="AV196" t="inlineStr">
        <is>
          <t>PNCP_4T_30-04-2013</t>
        </is>
      </c>
      <c r="AW196" t="inlineStr">
        <is>
          <t>MELIPULLI 220</t>
        </is>
      </c>
      <c r="AX196" t="n">
        <v>111.133</v>
      </c>
      <c r="AY196" t="n">
        <v>1.083385174100913</v>
      </c>
      <c r="AZ196" t="n">
        <v>120.3998445533567</v>
      </c>
      <c r="BA196" t="n">
        <v>801.49</v>
      </c>
      <c r="BB196" t="n">
        <v>0.905</v>
      </c>
      <c r="BC196" t="n">
        <v>87.33184062701827</v>
      </c>
      <c r="BD196" t="n">
        <v>0.7824</v>
      </c>
      <c r="BE196" t="n">
        <v>68.328</v>
      </c>
      <c r="BF196" t="n">
        <v>8.9176</v>
      </c>
      <c r="BG196" t="n">
        <v>0.77</v>
      </c>
      <c r="BH196" t="n">
        <v>5962.380796939026</v>
      </c>
      <c r="BI196" t="n">
        <v>1</v>
      </c>
      <c r="BJ196" t="n">
        <v>5962.3808</v>
      </c>
    </row>
    <row r="197">
      <c r="A197" t="n">
        <v>2067</v>
      </c>
      <c r="B197" t="inlineStr">
        <is>
          <t>01-03-2021</t>
        </is>
      </c>
      <c r="C197" t="n">
        <v>2021</v>
      </c>
      <c r="D197" t="n">
        <v>1</v>
      </c>
      <c r="E197" t="inlineStr">
        <is>
          <t>CAREN</t>
        </is>
      </c>
      <c r="F197" t="inlineStr">
        <is>
          <t>SUM_SAESA_A</t>
        </is>
      </c>
      <c r="G197" t="inlineStr">
        <is>
          <t>A</t>
        </is>
      </c>
      <c r="H197" t="inlineStr">
        <is>
          <t>SAESA</t>
        </is>
      </c>
      <c r="I197" t="inlineStr">
        <is>
          <t>SAESCALBBLOQA</t>
        </is>
      </c>
      <c r="J197" t="inlineStr">
        <is>
          <t>CALBUCO</t>
        </is>
      </c>
      <c r="K197" t="n">
        <v>-2323.89936815</v>
      </c>
      <c r="L197" t="inlineStr">
        <is>
          <t>CALBUCO</t>
        </is>
      </c>
      <c r="M197" t="inlineStr">
        <is>
          <t>Puerto Montt</t>
        </is>
      </c>
      <c r="N197" t="n">
        <v>0.94243617275731</v>
      </c>
      <c r="O197" t="n">
        <v>2190.126826</v>
      </c>
      <c r="P197" t="inlineStr">
        <is>
          <t>BS1A</t>
        </is>
      </c>
      <c r="Q197" t="n">
        <v>2</v>
      </c>
      <c r="W197" t="n">
        <v>2</v>
      </c>
      <c r="X197" t="n">
        <v>0</v>
      </c>
      <c r="AA197" t="inlineStr">
        <is>
          <t>PNP_16T_02-11-2020</t>
        </is>
      </c>
      <c r="AB197" t="inlineStr">
        <is>
          <t>PNCP_2T_10-02-2020</t>
        </is>
      </c>
      <c r="AC197" t="inlineStr">
        <is>
          <t>PNCP_4T_30-04-2013</t>
        </is>
      </c>
      <c r="AD197" t="inlineStr">
        <is>
          <t>PUERTO MONTT 220</t>
        </is>
      </c>
      <c r="AE197" t="n">
        <v>111.133</v>
      </c>
      <c r="AF197" t="n">
        <v>1.080821157758461</v>
      </c>
      <c r="AG197" t="n">
        <v>120.1148977251711</v>
      </c>
      <c r="AH197" t="n">
        <v>779.3099999999999</v>
      </c>
      <c r="AI197" t="n">
        <v>0.879</v>
      </c>
      <c r="AJ197" t="n">
        <v>82.2803252917125</v>
      </c>
      <c r="AK197" t="n">
        <v>0.8421</v>
      </c>
      <c r="AL197" t="n">
        <v>69.288</v>
      </c>
      <c r="AM197" t="n">
        <v>8.9176</v>
      </c>
      <c r="AN197" t="n">
        <v>9.638330756426855</v>
      </c>
      <c r="AO197" t="n">
        <v>0.804</v>
      </c>
      <c r="AP197" t="n">
        <v>6039.043023599974</v>
      </c>
      <c r="AQ197" t="n">
        <v>1.02699624102973</v>
      </c>
      <c r="AR197" t="n">
        <v>6202.0745</v>
      </c>
      <c r="AT197" t="inlineStr">
        <is>
          <t>PNP_19T_30-12-2020</t>
        </is>
      </c>
      <c r="AU197" t="inlineStr">
        <is>
          <t>PNCP_12T_10-08-2020</t>
        </is>
      </c>
      <c r="AV197" t="inlineStr">
        <is>
          <t>PNCP_4T_30-04-2013</t>
        </is>
      </c>
      <c r="AW197" t="inlineStr">
        <is>
          <t>PUERTO MONTT 220</t>
        </is>
      </c>
      <c r="AX197" t="n">
        <v>111.133</v>
      </c>
      <c r="AY197" t="n">
        <v>1.083385174100913</v>
      </c>
      <c r="AZ197" t="n">
        <v>120.3998445533567</v>
      </c>
      <c r="BA197" t="n">
        <v>801.49</v>
      </c>
      <c r="BB197" t="n">
        <v>0.905</v>
      </c>
      <c r="BC197" t="n">
        <v>87.33184062701827</v>
      </c>
      <c r="BD197" t="n">
        <v>0.7824</v>
      </c>
      <c r="BE197" t="n">
        <v>68.328</v>
      </c>
      <c r="BF197" t="n">
        <v>8.9176</v>
      </c>
      <c r="BG197" t="n">
        <v>0.77</v>
      </c>
      <c r="BH197" t="n">
        <v>5962.380796939026</v>
      </c>
      <c r="BI197" t="n">
        <v>1.039640050119603</v>
      </c>
      <c r="BJ197" t="n">
        <v>6198.7299</v>
      </c>
    </row>
    <row r="198">
      <c r="A198" t="n">
        <v>2069</v>
      </c>
      <c r="B198" t="inlineStr">
        <is>
          <t>01-03-2021</t>
        </is>
      </c>
      <c r="C198" t="n">
        <v>2021</v>
      </c>
      <c r="D198" t="n">
        <v>1</v>
      </c>
      <c r="E198" t="inlineStr">
        <is>
          <t>CAREN</t>
        </is>
      </c>
      <c r="F198" t="inlineStr">
        <is>
          <t>SUM_SAESA_A</t>
        </is>
      </c>
      <c r="G198" t="inlineStr">
        <is>
          <t>A</t>
        </is>
      </c>
      <c r="H198" t="inlineStr">
        <is>
          <t>SAESA</t>
        </is>
      </c>
      <c r="I198" t="inlineStr">
        <is>
          <t>SAESCALBBLOQA</t>
        </is>
      </c>
      <c r="J198" t="inlineStr">
        <is>
          <t>CALBUCO</t>
        </is>
      </c>
      <c r="K198" t="n">
        <v>-2323.89936815</v>
      </c>
      <c r="L198" t="inlineStr">
        <is>
          <t>CALBUCO</t>
        </is>
      </c>
      <c r="M198" t="inlineStr">
        <is>
          <t>VALDIVIA</t>
        </is>
      </c>
      <c r="N198" t="n">
        <v>7.167390938e-05</v>
      </c>
      <c r="O198" t="n">
        <v>0.166563</v>
      </c>
      <c r="P198" t="inlineStr">
        <is>
          <t>BS1A</t>
        </is>
      </c>
      <c r="Q198" t="n">
        <v>2</v>
      </c>
      <c r="W198" t="n">
        <v>2</v>
      </c>
      <c r="X198" t="n">
        <v>0</v>
      </c>
      <c r="AA198" t="inlineStr">
        <is>
          <t>PNP_16T_02-11-2020</t>
        </is>
      </c>
      <c r="AB198" t="inlineStr">
        <is>
          <t>PNCP_2T_10-02-2020</t>
        </is>
      </c>
      <c r="AC198" t="inlineStr">
        <is>
          <t>PNCP_4T_30-04-2013</t>
        </is>
      </c>
      <c r="AD198" t="inlineStr">
        <is>
          <t>VALDIVIA 220</t>
        </is>
      </c>
      <c r="AE198" t="n">
        <v>111.133</v>
      </c>
      <c r="AF198" t="n">
        <v>1.080821157758461</v>
      </c>
      <c r="AG198" t="n">
        <v>120.1148977251711</v>
      </c>
      <c r="AH198" t="n">
        <v>779.3099999999999</v>
      </c>
      <c r="AI198" t="n">
        <v>0.879</v>
      </c>
      <c r="AJ198" t="n">
        <v>82.2803252917125</v>
      </c>
      <c r="AK198" t="n">
        <v>0.9167</v>
      </c>
      <c r="AL198" t="n">
        <v>75.426</v>
      </c>
      <c r="AM198" t="n">
        <v>8.9176</v>
      </c>
      <c r="AN198" t="n">
        <v>9.638330756426855</v>
      </c>
      <c r="AO198" t="n">
        <v>0.804</v>
      </c>
      <c r="AP198" t="n">
        <v>6039.043023599974</v>
      </c>
      <c r="AQ198" t="n">
        <v>1.096052187605444</v>
      </c>
      <c r="AR198" t="n">
        <v>6619.1063</v>
      </c>
      <c r="AT198" t="inlineStr">
        <is>
          <t>PNP_19T_30-12-2020</t>
        </is>
      </c>
      <c r="AU198" t="inlineStr">
        <is>
          <t>PNCP_12T_10-08-2020</t>
        </is>
      </c>
      <c r="AV198" t="inlineStr">
        <is>
          <t>PNCP_4T_30-04-2013</t>
        </is>
      </c>
      <c r="AW198" t="inlineStr">
        <is>
          <t>VALDIVIA 220</t>
        </is>
      </c>
      <c r="AX198" t="n">
        <v>111.133</v>
      </c>
      <c r="AY198" t="n">
        <v>1.083385174100913</v>
      </c>
      <c r="AZ198" t="n">
        <v>120.3998445533567</v>
      </c>
      <c r="BA198" t="n">
        <v>801.49</v>
      </c>
      <c r="BB198" t="n">
        <v>0.905</v>
      </c>
      <c r="BC198" t="n">
        <v>87.33184062701827</v>
      </c>
      <c r="BD198" t="n">
        <v>0.8745000000000001</v>
      </c>
      <c r="BE198" t="n">
        <v>76.372</v>
      </c>
      <c r="BF198" t="n">
        <v>8.9176</v>
      </c>
      <c r="BG198" t="n">
        <v>0.77</v>
      </c>
      <c r="BH198" t="n">
        <v>5962.380796939026</v>
      </c>
      <c r="BI198" t="n">
        <v>1.148014846473962</v>
      </c>
      <c r="BJ198" t="n">
        <v>6844.9017</v>
      </c>
    </row>
    <row r="199">
      <c r="A199" t="n">
        <v>1377</v>
      </c>
      <c r="B199" t="inlineStr">
        <is>
          <t>01-03-2021</t>
        </is>
      </c>
      <c r="C199" t="n">
        <v>2021</v>
      </c>
      <c r="D199" t="n">
        <v>1</v>
      </c>
      <c r="E199" t="inlineStr">
        <is>
          <t>CAREN</t>
        </is>
      </c>
      <c r="F199" t="inlineStr">
        <is>
          <t>SUM_SAESA_A</t>
        </is>
      </c>
      <c r="G199" t="inlineStr">
        <is>
          <t>A</t>
        </is>
      </c>
      <c r="H199" t="inlineStr">
        <is>
          <t>SAESA</t>
        </is>
      </c>
      <c r="I199" t="inlineStr">
        <is>
          <t>SAESCASTBLOQA</t>
        </is>
      </c>
      <c r="J199" t="inlineStr">
        <is>
          <t>CASTRO</t>
        </is>
      </c>
      <c r="K199" t="n">
        <v>-4858.1652432</v>
      </c>
      <c r="L199" t="inlineStr">
        <is>
          <t>CASTRO</t>
        </is>
      </c>
      <c r="M199" t="inlineStr">
        <is>
          <t>CHILOE</t>
        </is>
      </c>
      <c r="N199" t="n">
        <v>0.79707666555766</v>
      </c>
      <c r="O199" t="n">
        <v>3872.330153</v>
      </c>
      <c r="P199" t="inlineStr">
        <is>
          <t>BS1A</t>
        </is>
      </c>
      <c r="Q199" t="n">
        <v>2</v>
      </c>
      <c r="W199" t="n">
        <v>2</v>
      </c>
      <c r="X199" t="n">
        <v>0</v>
      </c>
      <c r="AA199" t="inlineStr">
        <is>
          <t>PNP_16T_02-11-2020</t>
        </is>
      </c>
      <c r="AB199" t="inlineStr">
        <is>
          <t>PNCP_2T_10-02-2020</t>
        </is>
      </c>
      <c r="AC199" t="inlineStr">
        <is>
          <t>PNCP_4T_30-04-2013</t>
        </is>
      </c>
      <c r="AD199" t="inlineStr">
        <is>
          <t>CHILOE 220</t>
        </is>
      </c>
      <c r="AE199" t="n">
        <v>111.133</v>
      </c>
      <c r="AF199" t="n">
        <v>1.080821157758461</v>
      </c>
      <c r="AG199" t="n">
        <v>120.1148977251711</v>
      </c>
      <c r="AH199" t="n">
        <v>779.3099999999999</v>
      </c>
      <c r="AI199" t="n">
        <v>0.879</v>
      </c>
      <c r="AJ199" t="n">
        <v>82.2803252917125</v>
      </c>
      <c r="AK199" t="n">
        <v>0.8486</v>
      </c>
      <c r="AL199" t="n">
        <v>69.82299999999999</v>
      </c>
      <c r="AM199" t="n">
        <v>8.9176</v>
      </c>
      <c r="AN199" t="n">
        <v>9.638330756426855</v>
      </c>
      <c r="AO199" t="n">
        <v>0.804</v>
      </c>
      <c r="AP199" t="n">
        <v>6039.043023599974</v>
      </c>
      <c r="AQ199" t="n">
        <v>1</v>
      </c>
      <c r="AR199" t="n">
        <v>6039.043</v>
      </c>
      <c r="AT199" t="inlineStr">
        <is>
          <t>PNP_19T_30-12-2020</t>
        </is>
      </c>
      <c r="AU199" t="inlineStr">
        <is>
          <t>PNCP_12T_10-08-2020</t>
        </is>
      </c>
      <c r="AV199" t="inlineStr">
        <is>
          <t>PNCP_4T_30-04-2013</t>
        </is>
      </c>
      <c r="AW199" t="inlineStr">
        <is>
          <t>CHILOE 220</t>
        </is>
      </c>
      <c r="AX199" t="n">
        <v>111.133</v>
      </c>
      <c r="AY199" t="n">
        <v>1.083385174100913</v>
      </c>
      <c r="AZ199" t="n">
        <v>120.3998445533567</v>
      </c>
      <c r="BA199" t="n">
        <v>801.49</v>
      </c>
      <c r="BB199" t="n">
        <v>0.905</v>
      </c>
      <c r="BC199" t="n">
        <v>87.33184062701827</v>
      </c>
      <c r="BD199" t="n">
        <v>0.7923</v>
      </c>
      <c r="BE199" t="n">
        <v>69.193</v>
      </c>
      <c r="BF199" t="n">
        <v>8.9176</v>
      </c>
      <c r="BG199" t="n">
        <v>0.77</v>
      </c>
      <c r="BH199" t="n">
        <v>5962.380796939026</v>
      </c>
      <c r="BI199" t="n">
        <v>1</v>
      </c>
      <c r="BJ199" t="n">
        <v>5962.3808</v>
      </c>
    </row>
    <row r="200">
      <c r="A200" t="n">
        <v>1379</v>
      </c>
      <c r="B200" t="inlineStr">
        <is>
          <t>01-03-2021</t>
        </is>
      </c>
      <c r="C200" t="n">
        <v>2021</v>
      </c>
      <c r="D200" t="n">
        <v>1</v>
      </c>
      <c r="E200" t="inlineStr">
        <is>
          <t>CAREN</t>
        </is>
      </c>
      <c r="F200" t="inlineStr">
        <is>
          <t>SUM_SAESA_A</t>
        </is>
      </c>
      <c r="G200" t="inlineStr">
        <is>
          <t>A</t>
        </is>
      </c>
      <c r="H200" t="inlineStr">
        <is>
          <t>SAESA</t>
        </is>
      </c>
      <c r="I200" t="inlineStr">
        <is>
          <t>SAESCASTBLOQA</t>
        </is>
      </c>
      <c r="J200" t="inlineStr">
        <is>
          <t>CASTRO</t>
        </is>
      </c>
      <c r="K200" t="n">
        <v>-4858.1652432</v>
      </c>
      <c r="L200" t="inlineStr">
        <is>
          <t>CASTRO</t>
        </is>
      </c>
      <c r="M200" t="inlineStr">
        <is>
          <t>Puerto Montt</t>
        </is>
      </c>
      <c r="N200" t="n">
        <v>0.94383030910781</v>
      </c>
      <c r="O200" t="n">
        <v>4585.283603</v>
      </c>
      <c r="P200" t="inlineStr">
        <is>
          <t>BS1A</t>
        </is>
      </c>
      <c r="Q200" t="n">
        <v>2</v>
      </c>
      <c r="W200" t="n">
        <v>2</v>
      </c>
      <c r="X200" t="n">
        <v>0</v>
      </c>
      <c r="AA200" t="inlineStr">
        <is>
          <t>PNP_16T_02-11-2020</t>
        </is>
      </c>
      <c r="AB200" t="inlineStr">
        <is>
          <t>PNCP_2T_10-02-2020</t>
        </is>
      </c>
      <c r="AC200" t="inlineStr">
        <is>
          <t>PNCP_4T_30-04-2013</t>
        </is>
      </c>
      <c r="AD200" t="inlineStr">
        <is>
          <t>PUERTO MONTT 220</t>
        </is>
      </c>
      <c r="AE200" t="n">
        <v>111.133</v>
      </c>
      <c r="AF200" t="n">
        <v>1.080821157758461</v>
      </c>
      <c r="AG200" t="n">
        <v>120.1148977251711</v>
      </c>
      <c r="AH200" t="n">
        <v>779.3099999999999</v>
      </c>
      <c r="AI200" t="n">
        <v>0.879</v>
      </c>
      <c r="AJ200" t="n">
        <v>82.2803252917125</v>
      </c>
      <c r="AK200" t="n">
        <v>0.8421</v>
      </c>
      <c r="AL200" t="n">
        <v>69.288</v>
      </c>
      <c r="AM200" t="n">
        <v>8.9176</v>
      </c>
      <c r="AN200" t="n">
        <v>9.638330756426855</v>
      </c>
      <c r="AO200" t="n">
        <v>0.804</v>
      </c>
      <c r="AP200" t="n">
        <v>6039.043023599974</v>
      </c>
      <c r="AQ200" t="n">
        <v>1.02699624102973</v>
      </c>
      <c r="AR200" t="n">
        <v>6202.0745</v>
      </c>
      <c r="AT200" t="inlineStr">
        <is>
          <t>PNP_19T_30-12-2020</t>
        </is>
      </c>
      <c r="AU200" t="inlineStr">
        <is>
          <t>PNCP_12T_10-08-2020</t>
        </is>
      </c>
      <c r="AV200" t="inlineStr">
        <is>
          <t>PNCP_4T_30-04-2013</t>
        </is>
      </c>
      <c r="AW200" t="inlineStr">
        <is>
          <t>PUERTO MONTT 220</t>
        </is>
      </c>
      <c r="AX200" t="n">
        <v>111.133</v>
      </c>
      <c r="AY200" t="n">
        <v>1.083385174100913</v>
      </c>
      <c r="AZ200" t="n">
        <v>120.3998445533567</v>
      </c>
      <c r="BA200" t="n">
        <v>801.49</v>
      </c>
      <c r="BB200" t="n">
        <v>0.905</v>
      </c>
      <c r="BC200" t="n">
        <v>87.33184062701827</v>
      </c>
      <c r="BD200" t="n">
        <v>0.7824</v>
      </c>
      <c r="BE200" t="n">
        <v>68.328</v>
      </c>
      <c r="BF200" t="n">
        <v>8.9176</v>
      </c>
      <c r="BG200" t="n">
        <v>0.77</v>
      </c>
      <c r="BH200" t="n">
        <v>5962.380796939026</v>
      </c>
      <c r="BI200" t="n">
        <v>1.039640050119603</v>
      </c>
      <c r="BJ200" t="n">
        <v>6198.7299</v>
      </c>
    </row>
    <row r="201">
      <c r="A201" t="n">
        <v>427</v>
      </c>
      <c r="B201" t="inlineStr">
        <is>
          <t>01-03-2021</t>
        </is>
      </c>
      <c r="C201" t="n">
        <v>2021</v>
      </c>
      <c r="D201" t="n">
        <v>1</v>
      </c>
      <c r="E201" t="inlineStr">
        <is>
          <t>CAREN</t>
        </is>
      </c>
      <c r="F201" t="inlineStr">
        <is>
          <t>SUM_SAESA_A</t>
        </is>
      </c>
      <c r="G201" t="inlineStr">
        <is>
          <t>A</t>
        </is>
      </c>
      <c r="H201" t="inlineStr">
        <is>
          <t>SAESA</t>
        </is>
      </c>
      <c r="I201" t="inlineStr">
        <is>
          <t>SAESACHIRREBLOQA</t>
        </is>
      </c>
      <c r="J201" t="inlineStr">
        <is>
          <t>CHIRRE</t>
        </is>
      </c>
      <c r="K201" t="n">
        <v>-2751.45630163</v>
      </c>
      <c r="L201" t="inlineStr">
        <is>
          <t>CHIRRE 23</t>
        </is>
      </c>
      <c r="M201" t="inlineStr">
        <is>
          <t>BARRO BLANCO</t>
        </is>
      </c>
      <c r="N201" t="n">
        <v>0.90362399609009</v>
      </c>
      <c r="O201" t="n">
        <v>2486.281938</v>
      </c>
      <c r="P201" t="inlineStr">
        <is>
          <t>BS1A</t>
        </is>
      </c>
      <c r="Q201" t="n">
        <v>2</v>
      </c>
      <c r="W201" t="n">
        <v>2</v>
      </c>
      <c r="X201" t="n">
        <v>0</v>
      </c>
      <c r="AA201" t="inlineStr">
        <is>
          <t>PNP_16T_02-11-2020</t>
        </is>
      </c>
      <c r="AB201" t="inlineStr">
        <is>
          <t>PNCP_2T_10-02-2020</t>
        </is>
      </c>
      <c r="AC201" t="inlineStr">
        <is>
          <t>PNCP_4T_30-04-2013</t>
        </is>
      </c>
      <c r="AD201" t="inlineStr">
        <is>
          <t>Barro Blanco 220</t>
        </is>
      </c>
      <c r="AE201" t="n">
        <v>111.133</v>
      </c>
      <c r="AF201" t="n">
        <v>1.080821157758461</v>
      </c>
      <c r="AG201" t="n">
        <v>120.1148977251711</v>
      </c>
      <c r="AH201" t="n">
        <v>779.3099999999999</v>
      </c>
      <c r="AI201" t="n">
        <v>0.879</v>
      </c>
      <c r="AJ201" t="n">
        <v>82.2803252917125</v>
      </c>
      <c r="AK201" t="n">
        <v>0.846</v>
      </c>
      <c r="AL201" t="n">
        <v>69.60899999999999</v>
      </c>
      <c r="AM201" t="n">
        <v>8.9176</v>
      </c>
      <c r="AN201" t="n">
        <v>9.638330756426855</v>
      </c>
      <c r="AO201" t="n">
        <v>0.804</v>
      </c>
      <c r="AP201" t="n">
        <v>6039.043023599974</v>
      </c>
      <c r="AQ201" t="n">
        <v>1.011820868379177</v>
      </c>
      <c r="AR201" t="n">
        <v>6110.4298</v>
      </c>
      <c r="AT201" t="inlineStr">
        <is>
          <t>PNP_19T_30-12-2020</t>
        </is>
      </c>
      <c r="AU201" t="inlineStr">
        <is>
          <t>PNCP_12T_10-08-2020</t>
        </is>
      </c>
      <c r="AV201" t="inlineStr">
        <is>
          <t>PNCP_4T_30-04-2013</t>
        </is>
      </c>
      <c r="AW201" t="inlineStr">
        <is>
          <t>Barro Blanco 220</t>
        </is>
      </c>
      <c r="AX201" t="n">
        <v>111.133</v>
      </c>
      <c r="AY201" t="n">
        <v>1.083385174100913</v>
      </c>
      <c r="AZ201" t="n">
        <v>120.3998445533567</v>
      </c>
      <c r="BA201" t="n">
        <v>801.49</v>
      </c>
      <c r="BB201" t="n">
        <v>0.905</v>
      </c>
      <c r="BC201" t="n">
        <v>87.33184062701827</v>
      </c>
      <c r="BD201" t="n">
        <v>0.7946</v>
      </c>
      <c r="BE201" t="n">
        <v>69.39400000000001</v>
      </c>
      <c r="BF201" t="n">
        <v>8.9176</v>
      </c>
      <c r="BG201" t="n">
        <v>0.77</v>
      </c>
      <c r="BH201" t="n">
        <v>5962.380796939026</v>
      </c>
      <c r="BI201" t="n">
        <v>1.047283473516708</v>
      </c>
      <c r="BJ201" t="n">
        <v>6244.3029</v>
      </c>
    </row>
    <row r="202">
      <c r="A202" t="n">
        <v>1377</v>
      </c>
      <c r="B202" t="inlineStr">
        <is>
          <t>01-03-2021</t>
        </is>
      </c>
      <c r="C202" t="n">
        <v>2021</v>
      </c>
      <c r="D202" t="n">
        <v>1</v>
      </c>
      <c r="E202" t="inlineStr">
        <is>
          <t>CAREN</t>
        </is>
      </c>
      <c r="F202" t="inlineStr">
        <is>
          <t>SUM_SAESA_A</t>
        </is>
      </c>
      <c r="G202" t="inlineStr">
        <is>
          <t>A</t>
        </is>
      </c>
      <c r="H202" t="inlineStr">
        <is>
          <t>SAESA</t>
        </is>
      </c>
      <c r="I202" t="inlineStr">
        <is>
          <t>SAESCHONBLOQA</t>
        </is>
      </c>
      <c r="J202" t="inlineStr">
        <is>
          <t>CHONCHI</t>
        </is>
      </c>
      <c r="K202" t="n">
        <v>-3364.75437235</v>
      </c>
      <c r="L202" t="inlineStr">
        <is>
          <t>CHONCHI</t>
        </is>
      </c>
      <c r="M202" t="inlineStr">
        <is>
          <t>CHILOE</t>
        </is>
      </c>
      <c r="N202" t="n">
        <v>0.79707666555781</v>
      </c>
      <c r="O202" t="n">
        <v>2681.967196</v>
      </c>
      <c r="P202" t="inlineStr">
        <is>
          <t>BS1A</t>
        </is>
      </c>
      <c r="Q202" t="n">
        <v>2</v>
      </c>
      <c r="W202" t="n">
        <v>2</v>
      </c>
      <c r="X202" t="n">
        <v>0</v>
      </c>
      <c r="AA202" t="inlineStr">
        <is>
          <t>PNP_16T_02-11-2020</t>
        </is>
      </c>
      <c r="AB202" t="inlineStr">
        <is>
          <t>PNCP_2T_10-02-2020</t>
        </is>
      </c>
      <c r="AC202" t="inlineStr">
        <is>
          <t>PNCP_4T_30-04-2013</t>
        </is>
      </c>
      <c r="AD202" t="inlineStr">
        <is>
          <t>CHILOE 220</t>
        </is>
      </c>
      <c r="AE202" t="n">
        <v>111.133</v>
      </c>
      <c r="AF202" t="n">
        <v>1.080821157758461</v>
      </c>
      <c r="AG202" t="n">
        <v>120.1148977251711</v>
      </c>
      <c r="AH202" t="n">
        <v>779.3099999999999</v>
      </c>
      <c r="AI202" t="n">
        <v>0.879</v>
      </c>
      <c r="AJ202" t="n">
        <v>82.2803252917125</v>
      </c>
      <c r="AK202" t="n">
        <v>0.8486</v>
      </c>
      <c r="AL202" t="n">
        <v>69.82299999999999</v>
      </c>
      <c r="AM202" t="n">
        <v>8.9176</v>
      </c>
      <c r="AN202" t="n">
        <v>9.638330756426855</v>
      </c>
      <c r="AO202" t="n">
        <v>0.804</v>
      </c>
      <c r="AP202" t="n">
        <v>6039.043023599974</v>
      </c>
      <c r="AQ202" t="n">
        <v>1</v>
      </c>
      <c r="AR202" t="n">
        <v>6039.043</v>
      </c>
      <c r="AT202" t="inlineStr">
        <is>
          <t>PNP_19T_30-12-2020</t>
        </is>
      </c>
      <c r="AU202" t="inlineStr">
        <is>
          <t>PNCP_12T_10-08-2020</t>
        </is>
      </c>
      <c r="AV202" t="inlineStr">
        <is>
          <t>PNCP_4T_30-04-2013</t>
        </is>
      </c>
      <c r="AW202" t="inlineStr">
        <is>
          <t>CHILOE 220</t>
        </is>
      </c>
      <c r="AX202" t="n">
        <v>111.133</v>
      </c>
      <c r="AY202" t="n">
        <v>1.083385174100913</v>
      </c>
      <c r="AZ202" t="n">
        <v>120.3998445533567</v>
      </c>
      <c r="BA202" t="n">
        <v>801.49</v>
      </c>
      <c r="BB202" t="n">
        <v>0.905</v>
      </c>
      <c r="BC202" t="n">
        <v>87.33184062701827</v>
      </c>
      <c r="BD202" t="n">
        <v>0.7923</v>
      </c>
      <c r="BE202" t="n">
        <v>69.193</v>
      </c>
      <c r="BF202" t="n">
        <v>8.9176</v>
      </c>
      <c r="BG202" t="n">
        <v>0.77</v>
      </c>
      <c r="BH202" t="n">
        <v>5962.380796939026</v>
      </c>
      <c r="BI202" t="n">
        <v>1</v>
      </c>
      <c r="BJ202" t="n">
        <v>5962.3808</v>
      </c>
    </row>
    <row r="203">
      <c r="A203" t="n">
        <v>1379</v>
      </c>
      <c r="B203" t="inlineStr">
        <is>
          <t>01-03-2021</t>
        </is>
      </c>
      <c r="C203" t="n">
        <v>2021</v>
      </c>
      <c r="D203" t="n">
        <v>1</v>
      </c>
      <c r="E203" t="inlineStr">
        <is>
          <t>CAREN</t>
        </is>
      </c>
      <c r="F203" t="inlineStr">
        <is>
          <t>SUM_SAESA_A</t>
        </is>
      </c>
      <c r="G203" t="inlineStr">
        <is>
          <t>A</t>
        </is>
      </c>
      <c r="H203" t="inlineStr">
        <is>
          <t>SAESA</t>
        </is>
      </c>
      <c r="I203" t="inlineStr">
        <is>
          <t>SAESCHONBLOQA</t>
        </is>
      </c>
      <c r="J203" t="inlineStr">
        <is>
          <t>CHONCHI</t>
        </is>
      </c>
      <c r="K203" t="n">
        <v>-3364.75437235</v>
      </c>
      <c r="L203" t="inlineStr">
        <is>
          <t>CHONCHI</t>
        </is>
      </c>
      <c r="M203" t="inlineStr">
        <is>
          <t>Puerto Montt</t>
        </is>
      </c>
      <c r="N203" t="n">
        <v>0.94243617275754</v>
      </c>
      <c r="O203" t="n">
        <v>3171.066233</v>
      </c>
      <c r="P203" t="inlineStr">
        <is>
          <t>BS1A</t>
        </is>
      </c>
      <c r="Q203" t="n">
        <v>2</v>
      </c>
      <c r="W203" t="n">
        <v>2</v>
      </c>
      <c r="X203" t="n">
        <v>0</v>
      </c>
      <c r="AA203" t="inlineStr">
        <is>
          <t>PNP_16T_02-11-2020</t>
        </is>
      </c>
      <c r="AB203" t="inlineStr">
        <is>
          <t>PNCP_2T_10-02-2020</t>
        </is>
      </c>
      <c r="AC203" t="inlineStr">
        <is>
          <t>PNCP_4T_30-04-2013</t>
        </is>
      </c>
      <c r="AD203" t="inlineStr">
        <is>
          <t>PUERTO MONTT 220</t>
        </is>
      </c>
      <c r="AE203" t="n">
        <v>111.133</v>
      </c>
      <c r="AF203" t="n">
        <v>1.080821157758461</v>
      </c>
      <c r="AG203" t="n">
        <v>120.1148977251711</v>
      </c>
      <c r="AH203" t="n">
        <v>779.3099999999999</v>
      </c>
      <c r="AI203" t="n">
        <v>0.879</v>
      </c>
      <c r="AJ203" t="n">
        <v>82.2803252917125</v>
      </c>
      <c r="AK203" t="n">
        <v>0.8421</v>
      </c>
      <c r="AL203" t="n">
        <v>69.288</v>
      </c>
      <c r="AM203" t="n">
        <v>8.9176</v>
      </c>
      <c r="AN203" t="n">
        <v>9.638330756426855</v>
      </c>
      <c r="AO203" t="n">
        <v>0.804</v>
      </c>
      <c r="AP203" t="n">
        <v>6039.043023599974</v>
      </c>
      <c r="AQ203" t="n">
        <v>1.02699624102973</v>
      </c>
      <c r="AR203" t="n">
        <v>6202.0745</v>
      </c>
      <c r="AT203" t="inlineStr">
        <is>
          <t>PNP_19T_30-12-2020</t>
        </is>
      </c>
      <c r="AU203" t="inlineStr">
        <is>
          <t>PNCP_12T_10-08-2020</t>
        </is>
      </c>
      <c r="AV203" t="inlineStr">
        <is>
          <t>PNCP_4T_30-04-2013</t>
        </is>
      </c>
      <c r="AW203" t="inlineStr">
        <is>
          <t>PUERTO MONTT 220</t>
        </is>
      </c>
      <c r="AX203" t="n">
        <v>111.133</v>
      </c>
      <c r="AY203" t="n">
        <v>1.083385174100913</v>
      </c>
      <c r="AZ203" t="n">
        <v>120.3998445533567</v>
      </c>
      <c r="BA203" t="n">
        <v>801.49</v>
      </c>
      <c r="BB203" t="n">
        <v>0.905</v>
      </c>
      <c r="BC203" t="n">
        <v>87.33184062701827</v>
      </c>
      <c r="BD203" t="n">
        <v>0.7824</v>
      </c>
      <c r="BE203" t="n">
        <v>68.328</v>
      </c>
      <c r="BF203" t="n">
        <v>8.9176</v>
      </c>
      <c r="BG203" t="n">
        <v>0.77</v>
      </c>
      <c r="BH203" t="n">
        <v>5962.380796939026</v>
      </c>
      <c r="BI203" t="n">
        <v>1.039640050119603</v>
      </c>
      <c r="BJ203" t="n">
        <v>6198.7299</v>
      </c>
    </row>
    <row r="204">
      <c r="A204" t="n">
        <v>2065</v>
      </c>
      <c r="B204" t="inlineStr">
        <is>
          <t>01-03-2021</t>
        </is>
      </c>
      <c r="C204" t="n">
        <v>2021</v>
      </c>
      <c r="D204" t="n">
        <v>1</v>
      </c>
      <c r="E204" t="inlineStr">
        <is>
          <t>CAREN</t>
        </is>
      </c>
      <c r="F204" t="inlineStr">
        <is>
          <t>SUM_SAESA_A</t>
        </is>
      </c>
      <c r="G204" t="inlineStr">
        <is>
          <t>A</t>
        </is>
      </c>
      <c r="H204" t="inlineStr">
        <is>
          <t>SAESA</t>
        </is>
      </c>
      <c r="I204" t="inlineStr">
        <is>
          <t>SAESCOLABLOQA</t>
        </is>
      </c>
      <c r="J204" t="inlineStr">
        <is>
          <t>COLACO</t>
        </is>
      </c>
      <c r="K204" t="n">
        <v>-2703.7496168</v>
      </c>
      <c r="L204" t="inlineStr">
        <is>
          <t>COLACO</t>
        </is>
      </c>
      <c r="M204" t="inlineStr">
        <is>
          <t>MELIPULLI</t>
        </is>
      </c>
      <c r="N204" t="n">
        <v>0.79699296539246</v>
      </c>
      <c r="O204" t="n">
        <v>2154.869425</v>
      </c>
      <c r="P204" t="inlineStr">
        <is>
          <t>BS1A</t>
        </is>
      </c>
      <c r="Q204" t="n">
        <v>2</v>
      </c>
      <c r="W204" t="n">
        <v>2</v>
      </c>
      <c r="X204" t="n">
        <v>0</v>
      </c>
      <c r="AA204" t="inlineStr">
        <is>
          <t>PNP_16T_02-11-2020</t>
        </is>
      </c>
      <c r="AB204" t="inlineStr">
        <is>
          <t>PNCP_2T_10-02-2020</t>
        </is>
      </c>
      <c r="AC204" t="inlineStr">
        <is>
          <t>PNCP_4T_30-04-2013</t>
        </is>
      </c>
      <c r="AD204" t="inlineStr">
        <is>
          <t>MELIPULLI 220</t>
        </is>
      </c>
      <c r="AE204" t="n">
        <v>111.133</v>
      </c>
      <c r="AF204" t="n">
        <v>1.080821157758461</v>
      </c>
      <c r="AG204" t="n">
        <v>120.1148977251711</v>
      </c>
      <c r="AH204" t="n">
        <v>779.3099999999999</v>
      </c>
      <c r="AI204" t="n">
        <v>0.879</v>
      </c>
      <c r="AJ204" t="n">
        <v>82.2803252917125</v>
      </c>
      <c r="AK204" t="n">
        <v>0.8421</v>
      </c>
      <c r="AL204" t="n">
        <v>69.288</v>
      </c>
      <c r="AM204" t="n">
        <v>8.9176</v>
      </c>
      <c r="AN204" t="n">
        <v>9.638330756426855</v>
      </c>
      <c r="AO204" t="n">
        <v>0.804</v>
      </c>
      <c r="AP204" t="n">
        <v>6039.043023599974</v>
      </c>
      <c r="AQ204" t="n">
        <v>1</v>
      </c>
      <c r="AR204" t="n">
        <v>6039.043</v>
      </c>
      <c r="AT204" t="inlineStr">
        <is>
          <t>PNP_19T_30-12-2020</t>
        </is>
      </c>
      <c r="AU204" t="inlineStr">
        <is>
          <t>PNCP_12T_10-08-2020</t>
        </is>
      </c>
      <c r="AV204" t="inlineStr">
        <is>
          <t>PNCP_4T_30-04-2013</t>
        </is>
      </c>
      <c r="AW204" t="inlineStr">
        <is>
          <t>MELIPULLI 220</t>
        </is>
      </c>
      <c r="AX204" t="n">
        <v>111.133</v>
      </c>
      <c r="AY204" t="n">
        <v>1.083385174100913</v>
      </c>
      <c r="AZ204" t="n">
        <v>120.3998445533567</v>
      </c>
      <c r="BA204" t="n">
        <v>801.49</v>
      </c>
      <c r="BB204" t="n">
        <v>0.905</v>
      </c>
      <c r="BC204" t="n">
        <v>87.33184062701827</v>
      </c>
      <c r="BD204" t="n">
        <v>0.7824</v>
      </c>
      <c r="BE204" t="n">
        <v>68.328</v>
      </c>
      <c r="BF204" t="n">
        <v>8.9176</v>
      </c>
      <c r="BG204" t="n">
        <v>0.77</v>
      </c>
      <c r="BH204" t="n">
        <v>5962.380796939026</v>
      </c>
      <c r="BI204" t="n">
        <v>1</v>
      </c>
      <c r="BJ204" t="n">
        <v>5962.3808</v>
      </c>
    </row>
    <row r="205">
      <c r="A205" t="n">
        <v>2067</v>
      </c>
      <c r="B205" t="inlineStr">
        <is>
          <t>01-03-2021</t>
        </is>
      </c>
      <c r="C205" t="n">
        <v>2021</v>
      </c>
      <c r="D205" t="n">
        <v>1</v>
      </c>
      <c r="E205" t="inlineStr">
        <is>
          <t>CAREN</t>
        </is>
      </c>
      <c r="F205" t="inlineStr">
        <is>
          <t>SUM_SAESA_A</t>
        </is>
      </c>
      <c r="G205" t="inlineStr">
        <is>
          <t>A</t>
        </is>
      </c>
      <c r="H205" t="inlineStr">
        <is>
          <t>SAESA</t>
        </is>
      </c>
      <c r="I205" t="inlineStr">
        <is>
          <t>SAESCOLABLOQA</t>
        </is>
      </c>
      <c r="J205" t="inlineStr">
        <is>
          <t>COLACO</t>
        </is>
      </c>
      <c r="K205" t="n">
        <v>-2703.7496168</v>
      </c>
      <c r="L205" t="inlineStr">
        <is>
          <t>COLACO</t>
        </is>
      </c>
      <c r="M205" t="inlineStr">
        <is>
          <t>Puerto Montt</t>
        </is>
      </c>
      <c r="N205" t="n">
        <v>0.94243617275741</v>
      </c>
      <c r="O205" t="n">
        <v>2548.111441</v>
      </c>
      <c r="P205" t="inlineStr">
        <is>
          <t>BS1A</t>
        </is>
      </c>
      <c r="Q205" t="n">
        <v>2</v>
      </c>
      <c r="W205" t="n">
        <v>2</v>
      </c>
      <c r="X205" t="n">
        <v>0</v>
      </c>
      <c r="AA205" t="inlineStr">
        <is>
          <t>PNP_16T_02-11-2020</t>
        </is>
      </c>
      <c r="AB205" t="inlineStr">
        <is>
          <t>PNCP_2T_10-02-2020</t>
        </is>
      </c>
      <c r="AC205" t="inlineStr">
        <is>
          <t>PNCP_4T_30-04-2013</t>
        </is>
      </c>
      <c r="AD205" t="inlineStr">
        <is>
          <t>PUERTO MONTT 220</t>
        </is>
      </c>
      <c r="AE205" t="n">
        <v>111.133</v>
      </c>
      <c r="AF205" t="n">
        <v>1.080821157758461</v>
      </c>
      <c r="AG205" t="n">
        <v>120.1148977251711</v>
      </c>
      <c r="AH205" t="n">
        <v>779.3099999999999</v>
      </c>
      <c r="AI205" t="n">
        <v>0.879</v>
      </c>
      <c r="AJ205" t="n">
        <v>82.2803252917125</v>
      </c>
      <c r="AK205" t="n">
        <v>0.8421</v>
      </c>
      <c r="AL205" t="n">
        <v>69.288</v>
      </c>
      <c r="AM205" t="n">
        <v>8.9176</v>
      </c>
      <c r="AN205" t="n">
        <v>9.638330756426855</v>
      </c>
      <c r="AO205" t="n">
        <v>0.804</v>
      </c>
      <c r="AP205" t="n">
        <v>6039.043023599974</v>
      </c>
      <c r="AQ205" t="n">
        <v>1.02699624102973</v>
      </c>
      <c r="AR205" t="n">
        <v>6202.0745</v>
      </c>
      <c r="AT205" t="inlineStr">
        <is>
          <t>PNP_19T_30-12-2020</t>
        </is>
      </c>
      <c r="AU205" t="inlineStr">
        <is>
          <t>PNCP_12T_10-08-2020</t>
        </is>
      </c>
      <c r="AV205" t="inlineStr">
        <is>
          <t>PNCP_4T_30-04-2013</t>
        </is>
      </c>
      <c r="AW205" t="inlineStr">
        <is>
          <t>PUERTO MONTT 220</t>
        </is>
      </c>
      <c r="AX205" t="n">
        <v>111.133</v>
      </c>
      <c r="AY205" t="n">
        <v>1.083385174100913</v>
      </c>
      <c r="AZ205" t="n">
        <v>120.3998445533567</v>
      </c>
      <c r="BA205" t="n">
        <v>801.49</v>
      </c>
      <c r="BB205" t="n">
        <v>0.905</v>
      </c>
      <c r="BC205" t="n">
        <v>87.33184062701827</v>
      </c>
      <c r="BD205" t="n">
        <v>0.7824</v>
      </c>
      <c r="BE205" t="n">
        <v>68.328</v>
      </c>
      <c r="BF205" t="n">
        <v>8.9176</v>
      </c>
      <c r="BG205" t="n">
        <v>0.77</v>
      </c>
      <c r="BH205" t="n">
        <v>5962.380796939026</v>
      </c>
      <c r="BI205" t="n">
        <v>1.039640050119603</v>
      </c>
      <c r="BJ205" t="n">
        <v>6198.7299</v>
      </c>
    </row>
    <row r="206">
      <c r="A206" t="n">
        <v>2069</v>
      </c>
      <c r="B206" t="inlineStr">
        <is>
          <t>01-03-2021</t>
        </is>
      </c>
      <c r="C206" t="n">
        <v>2021</v>
      </c>
      <c r="D206" t="n">
        <v>1</v>
      </c>
      <c r="E206" t="inlineStr">
        <is>
          <t>CAREN</t>
        </is>
      </c>
      <c r="F206" t="inlineStr">
        <is>
          <t>SUM_SAESA_A</t>
        </is>
      </c>
      <c r="G206" t="inlineStr">
        <is>
          <t>A</t>
        </is>
      </c>
      <c r="H206" t="inlineStr">
        <is>
          <t>SAESA</t>
        </is>
      </c>
      <c r="I206" t="inlineStr">
        <is>
          <t>SAESCOLABLOQA</t>
        </is>
      </c>
      <c r="J206" t="inlineStr">
        <is>
          <t>COLACO</t>
        </is>
      </c>
      <c r="K206" t="n">
        <v>-2703.7496168</v>
      </c>
      <c r="L206" t="inlineStr">
        <is>
          <t>COLACO</t>
        </is>
      </c>
      <c r="M206" t="inlineStr">
        <is>
          <t>VALDIVIA</t>
        </is>
      </c>
      <c r="N206" t="n">
        <v>4.787859128e-05</v>
      </c>
      <c r="O206" t="n">
        <v>0.129452</v>
      </c>
      <c r="P206" t="inlineStr">
        <is>
          <t>BS1A</t>
        </is>
      </c>
      <c r="Q206" t="n">
        <v>2</v>
      </c>
      <c r="W206" t="n">
        <v>2</v>
      </c>
      <c r="X206" t="n">
        <v>0</v>
      </c>
      <c r="AA206" t="inlineStr">
        <is>
          <t>PNP_16T_02-11-2020</t>
        </is>
      </c>
      <c r="AB206" t="inlineStr">
        <is>
          <t>PNCP_2T_10-02-2020</t>
        </is>
      </c>
      <c r="AC206" t="inlineStr">
        <is>
          <t>PNCP_4T_30-04-2013</t>
        </is>
      </c>
      <c r="AD206" t="inlineStr">
        <is>
          <t>VALDIVIA 220</t>
        </is>
      </c>
      <c r="AE206" t="n">
        <v>111.133</v>
      </c>
      <c r="AF206" t="n">
        <v>1.080821157758461</v>
      </c>
      <c r="AG206" t="n">
        <v>120.1148977251711</v>
      </c>
      <c r="AH206" t="n">
        <v>779.3099999999999</v>
      </c>
      <c r="AI206" t="n">
        <v>0.879</v>
      </c>
      <c r="AJ206" t="n">
        <v>82.2803252917125</v>
      </c>
      <c r="AK206" t="n">
        <v>0.9167</v>
      </c>
      <c r="AL206" t="n">
        <v>75.426</v>
      </c>
      <c r="AM206" t="n">
        <v>8.9176</v>
      </c>
      <c r="AN206" t="n">
        <v>9.638330756426855</v>
      </c>
      <c r="AO206" t="n">
        <v>0.804</v>
      </c>
      <c r="AP206" t="n">
        <v>6039.043023599974</v>
      </c>
      <c r="AQ206" t="n">
        <v>1.096052187605444</v>
      </c>
      <c r="AR206" t="n">
        <v>6619.1063</v>
      </c>
      <c r="AT206" t="inlineStr">
        <is>
          <t>PNP_19T_30-12-2020</t>
        </is>
      </c>
      <c r="AU206" t="inlineStr">
        <is>
          <t>PNCP_12T_10-08-2020</t>
        </is>
      </c>
      <c r="AV206" t="inlineStr">
        <is>
          <t>PNCP_4T_30-04-2013</t>
        </is>
      </c>
      <c r="AW206" t="inlineStr">
        <is>
          <t>VALDIVIA 220</t>
        </is>
      </c>
      <c r="AX206" t="n">
        <v>111.133</v>
      </c>
      <c r="AY206" t="n">
        <v>1.083385174100913</v>
      </c>
      <c r="AZ206" t="n">
        <v>120.3998445533567</v>
      </c>
      <c r="BA206" t="n">
        <v>801.49</v>
      </c>
      <c r="BB206" t="n">
        <v>0.905</v>
      </c>
      <c r="BC206" t="n">
        <v>87.33184062701827</v>
      </c>
      <c r="BD206" t="n">
        <v>0.8745000000000001</v>
      </c>
      <c r="BE206" t="n">
        <v>76.372</v>
      </c>
      <c r="BF206" t="n">
        <v>8.9176</v>
      </c>
      <c r="BG206" t="n">
        <v>0.77</v>
      </c>
      <c r="BH206" t="n">
        <v>5962.380796939026</v>
      </c>
      <c r="BI206" t="n">
        <v>1.148014846473962</v>
      </c>
      <c r="BJ206" t="n">
        <v>6844.9017</v>
      </c>
    </row>
    <row r="207">
      <c r="A207" t="n">
        <v>2065</v>
      </c>
      <c r="B207" t="inlineStr">
        <is>
          <t>01-03-2021</t>
        </is>
      </c>
      <c r="C207" t="n">
        <v>2021</v>
      </c>
      <c r="D207" t="n">
        <v>1</v>
      </c>
      <c r="E207" t="inlineStr">
        <is>
          <t>CAREN</t>
        </is>
      </c>
      <c r="F207" t="inlineStr">
        <is>
          <t>SUM_SAESA_A</t>
        </is>
      </c>
      <c r="G207" t="inlineStr">
        <is>
          <t>A</t>
        </is>
      </c>
      <c r="H207" t="inlineStr">
        <is>
          <t>SAESA</t>
        </is>
      </c>
      <c r="I207" t="inlineStr">
        <is>
          <t>SAESCORRBLOQA</t>
        </is>
      </c>
      <c r="J207" t="inlineStr">
        <is>
          <t>CORRAL</t>
        </is>
      </c>
      <c r="K207" t="n">
        <v>-869.34362702</v>
      </c>
      <c r="L207" t="inlineStr">
        <is>
          <t>CORRAL</t>
        </is>
      </c>
      <c r="M207" t="inlineStr">
        <is>
          <t>BARRO BLANCO</t>
        </is>
      </c>
      <c r="N207" t="n">
        <v>0.04422460710479</v>
      </c>
      <c r="O207" t="n">
        <v>38.44638</v>
      </c>
      <c r="P207" t="inlineStr">
        <is>
          <t>BS1A</t>
        </is>
      </c>
      <c r="Q207" t="n">
        <v>2</v>
      </c>
      <c r="W207" t="n">
        <v>2</v>
      </c>
      <c r="X207" t="n">
        <v>0</v>
      </c>
      <c r="AA207" t="inlineStr">
        <is>
          <t>PNP_16T_02-11-2020</t>
        </is>
      </c>
      <c r="AB207" t="inlineStr">
        <is>
          <t>PNCP_2T_10-02-2020</t>
        </is>
      </c>
      <c r="AC207" t="inlineStr">
        <is>
          <t>PNCP_4T_30-04-2013</t>
        </is>
      </c>
      <c r="AD207" t="inlineStr">
        <is>
          <t>Barro Blanco 220</t>
        </is>
      </c>
      <c r="AE207" t="n">
        <v>111.133</v>
      </c>
      <c r="AF207" t="n">
        <v>1.080821157758461</v>
      </c>
      <c r="AG207" t="n">
        <v>120.1148977251711</v>
      </c>
      <c r="AH207" t="n">
        <v>779.3099999999999</v>
      </c>
      <c r="AI207" t="n">
        <v>0.879</v>
      </c>
      <c r="AJ207" t="n">
        <v>82.2803252917125</v>
      </c>
      <c r="AK207" t="n">
        <v>0.846</v>
      </c>
      <c r="AL207" t="n">
        <v>69.60899999999999</v>
      </c>
      <c r="AM207" t="n">
        <v>8.9176</v>
      </c>
      <c r="AN207" t="n">
        <v>9.638330756426855</v>
      </c>
      <c r="AO207" t="n">
        <v>0.804</v>
      </c>
      <c r="AP207" t="n">
        <v>6039.043023599974</v>
      </c>
      <c r="AQ207" t="n">
        <v>1.011820868379177</v>
      </c>
      <c r="AR207" t="n">
        <v>6110.4298</v>
      </c>
      <c r="AT207" t="inlineStr">
        <is>
          <t>PNP_19T_30-12-2020</t>
        </is>
      </c>
      <c r="AU207" t="inlineStr">
        <is>
          <t>PNCP_12T_10-08-2020</t>
        </is>
      </c>
      <c r="AV207" t="inlineStr">
        <is>
          <t>PNCP_4T_30-04-2013</t>
        </is>
      </c>
      <c r="AW207" t="inlineStr">
        <is>
          <t>Barro Blanco 220</t>
        </is>
      </c>
      <c r="AX207" t="n">
        <v>111.133</v>
      </c>
      <c r="AY207" t="n">
        <v>1.083385174100913</v>
      </c>
      <c r="AZ207" t="n">
        <v>120.3998445533567</v>
      </c>
      <c r="BA207" t="n">
        <v>801.49</v>
      </c>
      <c r="BB207" t="n">
        <v>0.905</v>
      </c>
      <c r="BC207" t="n">
        <v>87.33184062701827</v>
      </c>
      <c r="BD207" t="n">
        <v>0.7946</v>
      </c>
      <c r="BE207" t="n">
        <v>69.39400000000001</v>
      </c>
      <c r="BF207" t="n">
        <v>8.9176</v>
      </c>
      <c r="BG207" t="n">
        <v>0.77</v>
      </c>
      <c r="BH207" t="n">
        <v>5962.380796939026</v>
      </c>
      <c r="BI207" t="n">
        <v>1.047283473516708</v>
      </c>
      <c r="BJ207" t="n">
        <v>6244.3029</v>
      </c>
    </row>
    <row r="208">
      <c r="A208" t="n">
        <v>2067</v>
      </c>
      <c r="B208" t="inlineStr">
        <is>
          <t>01-03-2021</t>
        </is>
      </c>
      <c r="C208" t="n">
        <v>2021</v>
      </c>
      <c r="D208" t="n">
        <v>1</v>
      </c>
      <c r="E208" t="inlineStr">
        <is>
          <t>CAREN</t>
        </is>
      </c>
      <c r="F208" t="inlineStr">
        <is>
          <t>SUM_SAESA_A</t>
        </is>
      </c>
      <c r="G208" t="inlineStr">
        <is>
          <t>A</t>
        </is>
      </c>
      <c r="H208" t="inlineStr">
        <is>
          <t>SAESA</t>
        </is>
      </c>
      <c r="I208" t="inlineStr">
        <is>
          <t>SAESCORRBLOQA</t>
        </is>
      </c>
      <c r="J208" t="inlineStr">
        <is>
          <t>CORRAL</t>
        </is>
      </c>
      <c r="K208" t="n">
        <v>-869.34362702</v>
      </c>
      <c r="L208" t="inlineStr">
        <is>
          <t>CORRAL</t>
        </is>
      </c>
      <c r="M208" t="inlineStr">
        <is>
          <t>MELIPULLI</t>
        </is>
      </c>
      <c r="N208" t="n">
        <v>0.00149371242326</v>
      </c>
      <c r="O208" t="n">
        <v>1.298549</v>
      </c>
      <c r="P208" t="inlineStr">
        <is>
          <t>BS1A</t>
        </is>
      </c>
      <c r="Q208" t="n">
        <v>2</v>
      </c>
      <c r="W208" t="n">
        <v>2</v>
      </c>
      <c r="X208" t="n">
        <v>0</v>
      </c>
      <c r="AA208" t="inlineStr">
        <is>
          <t>PNP_16T_02-11-2020</t>
        </is>
      </c>
      <c r="AB208" t="inlineStr">
        <is>
          <t>PNCP_2T_10-02-2020</t>
        </is>
      </c>
      <c r="AC208" t="inlineStr">
        <is>
          <t>PNCP_4T_30-04-2013</t>
        </is>
      </c>
      <c r="AD208" t="inlineStr">
        <is>
          <t>MELIPULLI 220</t>
        </is>
      </c>
      <c r="AE208" t="n">
        <v>111.133</v>
      </c>
      <c r="AF208" t="n">
        <v>1.080821157758461</v>
      </c>
      <c r="AG208" t="n">
        <v>120.1148977251711</v>
      </c>
      <c r="AH208" t="n">
        <v>779.3099999999999</v>
      </c>
      <c r="AI208" t="n">
        <v>0.879</v>
      </c>
      <c r="AJ208" t="n">
        <v>82.2803252917125</v>
      </c>
      <c r="AK208" t="n">
        <v>0.8421</v>
      </c>
      <c r="AL208" t="n">
        <v>69.288</v>
      </c>
      <c r="AM208" t="n">
        <v>8.9176</v>
      </c>
      <c r="AN208" t="n">
        <v>9.638330756426855</v>
      </c>
      <c r="AO208" t="n">
        <v>0.804</v>
      </c>
      <c r="AP208" t="n">
        <v>6039.043023599974</v>
      </c>
      <c r="AQ208" t="n">
        <v>1</v>
      </c>
      <c r="AR208" t="n">
        <v>6039.043</v>
      </c>
      <c r="AT208" t="inlineStr">
        <is>
          <t>PNP_19T_30-12-2020</t>
        </is>
      </c>
      <c r="AU208" t="inlineStr">
        <is>
          <t>PNCP_12T_10-08-2020</t>
        </is>
      </c>
      <c r="AV208" t="inlineStr">
        <is>
          <t>PNCP_4T_30-04-2013</t>
        </is>
      </c>
      <c r="AW208" t="inlineStr">
        <is>
          <t>MELIPULLI 220</t>
        </is>
      </c>
      <c r="AX208" t="n">
        <v>111.133</v>
      </c>
      <c r="AY208" t="n">
        <v>1.083385174100913</v>
      </c>
      <c r="AZ208" t="n">
        <v>120.3998445533567</v>
      </c>
      <c r="BA208" t="n">
        <v>801.49</v>
      </c>
      <c r="BB208" t="n">
        <v>0.905</v>
      </c>
      <c r="BC208" t="n">
        <v>87.33184062701827</v>
      </c>
      <c r="BD208" t="n">
        <v>0.7824</v>
      </c>
      <c r="BE208" t="n">
        <v>68.328</v>
      </c>
      <c r="BF208" t="n">
        <v>8.9176</v>
      </c>
      <c r="BG208" t="n">
        <v>0.77</v>
      </c>
      <c r="BH208" t="n">
        <v>5962.380796939026</v>
      </c>
      <c r="BI208" t="n">
        <v>1</v>
      </c>
      <c r="BJ208" t="n">
        <v>5962.3808</v>
      </c>
    </row>
    <row r="209">
      <c r="A209" t="n">
        <v>2069</v>
      </c>
      <c r="B209" t="inlineStr">
        <is>
          <t>01-03-2021</t>
        </is>
      </c>
      <c r="C209" t="n">
        <v>2021</v>
      </c>
      <c r="D209" t="n">
        <v>1</v>
      </c>
      <c r="E209" t="inlineStr">
        <is>
          <t>CAREN</t>
        </is>
      </c>
      <c r="F209" t="inlineStr">
        <is>
          <t>SUM_SAESA_A</t>
        </is>
      </c>
      <c r="G209" t="inlineStr">
        <is>
          <t>A</t>
        </is>
      </c>
      <c r="H209" t="inlineStr">
        <is>
          <t>SAESA</t>
        </is>
      </c>
      <c r="I209" t="inlineStr">
        <is>
          <t>SAESCORRBLOQA</t>
        </is>
      </c>
      <c r="J209" t="inlineStr">
        <is>
          <t>CORRAL</t>
        </is>
      </c>
      <c r="K209" t="n">
        <v>-869.34362702</v>
      </c>
      <c r="L209" t="inlineStr">
        <is>
          <t>CORRAL</t>
        </is>
      </c>
      <c r="M209" t="inlineStr">
        <is>
          <t>VALDIVIA</t>
        </is>
      </c>
      <c r="N209" t="n">
        <v>0.81710771051722</v>
      </c>
      <c r="O209" t="n">
        <v>710.347381</v>
      </c>
      <c r="P209" t="inlineStr">
        <is>
          <t>BS1A</t>
        </is>
      </c>
      <c r="Q209" t="n">
        <v>2</v>
      </c>
      <c r="W209" t="n">
        <v>2</v>
      </c>
      <c r="X209" t="n">
        <v>0</v>
      </c>
      <c r="AA209" t="inlineStr">
        <is>
          <t>PNP_16T_02-11-2020</t>
        </is>
      </c>
      <c r="AB209" t="inlineStr">
        <is>
          <t>PNCP_2T_10-02-2020</t>
        </is>
      </c>
      <c r="AC209" t="inlineStr">
        <is>
          <t>PNCP_4T_30-04-2013</t>
        </is>
      </c>
      <c r="AD209" t="inlineStr">
        <is>
          <t>VALDIVIA 220</t>
        </is>
      </c>
      <c r="AE209" t="n">
        <v>111.133</v>
      </c>
      <c r="AF209" t="n">
        <v>1.080821157758461</v>
      </c>
      <c r="AG209" t="n">
        <v>120.1148977251711</v>
      </c>
      <c r="AH209" t="n">
        <v>779.3099999999999</v>
      </c>
      <c r="AI209" t="n">
        <v>0.879</v>
      </c>
      <c r="AJ209" t="n">
        <v>82.2803252917125</v>
      </c>
      <c r="AK209" t="n">
        <v>0.9167</v>
      </c>
      <c r="AL209" t="n">
        <v>75.426</v>
      </c>
      <c r="AM209" t="n">
        <v>8.9176</v>
      </c>
      <c r="AN209" t="n">
        <v>9.638330756426855</v>
      </c>
      <c r="AO209" t="n">
        <v>0.804</v>
      </c>
      <c r="AP209" t="n">
        <v>6039.043023599974</v>
      </c>
      <c r="AQ209" t="n">
        <v>1.096052187605444</v>
      </c>
      <c r="AR209" t="n">
        <v>6619.1063</v>
      </c>
      <c r="AT209" t="inlineStr">
        <is>
          <t>PNP_19T_30-12-2020</t>
        </is>
      </c>
      <c r="AU209" t="inlineStr">
        <is>
          <t>PNCP_12T_10-08-2020</t>
        </is>
      </c>
      <c r="AV209" t="inlineStr">
        <is>
          <t>PNCP_4T_30-04-2013</t>
        </is>
      </c>
      <c r="AW209" t="inlineStr">
        <is>
          <t>VALDIVIA 220</t>
        </is>
      </c>
      <c r="AX209" t="n">
        <v>111.133</v>
      </c>
      <c r="AY209" t="n">
        <v>1.083385174100913</v>
      </c>
      <c r="AZ209" t="n">
        <v>120.3998445533567</v>
      </c>
      <c r="BA209" t="n">
        <v>801.49</v>
      </c>
      <c r="BB209" t="n">
        <v>0.905</v>
      </c>
      <c r="BC209" t="n">
        <v>87.33184062701827</v>
      </c>
      <c r="BD209" t="n">
        <v>0.8745000000000001</v>
      </c>
      <c r="BE209" t="n">
        <v>76.372</v>
      </c>
      <c r="BF209" t="n">
        <v>8.9176</v>
      </c>
      <c r="BG209" t="n">
        <v>0.77</v>
      </c>
      <c r="BH209" t="n">
        <v>5962.380796939026</v>
      </c>
      <c r="BI209" t="n">
        <v>1.148014846473962</v>
      </c>
      <c r="BJ209" t="n">
        <v>6844.9017</v>
      </c>
    </row>
    <row r="210">
      <c r="A210" t="n">
        <v>689</v>
      </c>
      <c r="B210" t="inlineStr">
        <is>
          <t>01-03-2021</t>
        </is>
      </c>
      <c r="C210" t="n">
        <v>2021</v>
      </c>
      <c r="D210" t="n">
        <v>1</v>
      </c>
      <c r="E210" t="inlineStr">
        <is>
          <t>CAREN</t>
        </is>
      </c>
      <c r="F210" t="inlineStr">
        <is>
          <t>SUM_SAESA_A</t>
        </is>
      </c>
      <c r="G210" t="inlineStr">
        <is>
          <t>A</t>
        </is>
      </c>
      <c r="H210" t="inlineStr">
        <is>
          <t>SAESA</t>
        </is>
      </c>
      <c r="I210" t="inlineStr">
        <is>
          <t>SAESDALCBLOQA</t>
        </is>
      </c>
      <c r="J210" t="inlineStr">
        <is>
          <t>DALCAHUE</t>
        </is>
      </c>
      <c r="K210" t="n">
        <v>-4286.99231447</v>
      </c>
      <c r="L210" t="inlineStr">
        <is>
          <t>DALCAHUE</t>
        </is>
      </c>
      <c r="M210" t="inlineStr">
        <is>
          <t>CHILOE</t>
        </is>
      </c>
      <c r="N210" t="n">
        <v>0.80502839238442</v>
      </c>
      <c r="O210" t="n">
        <v>3451.150531</v>
      </c>
      <c r="P210" t="inlineStr">
        <is>
          <t>BS1A</t>
        </is>
      </c>
      <c r="Q210" t="n">
        <v>2</v>
      </c>
      <c r="W210" t="n">
        <v>2</v>
      </c>
      <c r="X210" t="n">
        <v>0</v>
      </c>
      <c r="AA210" t="inlineStr">
        <is>
          <t>PNP_16T_02-11-2020</t>
        </is>
      </c>
      <c r="AB210" t="inlineStr">
        <is>
          <t>PNCP_2T_10-02-2020</t>
        </is>
      </c>
      <c r="AC210" t="inlineStr">
        <is>
          <t>PNCP_4T_30-04-2013</t>
        </is>
      </c>
      <c r="AD210" t="inlineStr">
        <is>
          <t>CHILOE 220</t>
        </is>
      </c>
      <c r="AE210" t="n">
        <v>111.133</v>
      </c>
      <c r="AF210" t="n">
        <v>1.080821157758461</v>
      </c>
      <c r="AG210" t="n">
        <v>120.1148977251711</v>
      </c>
      <c r="AH210" t="n">
        <v>779.3099999999999</v>
      </c>
      <c r="AI210" t="n">
        <v>0.879</v>
      </c>
      <c r="AJ210" t="n">
        <v>82.2803252917125</v>
      </c>
      <c r="AK210" t="n">
        <v>0.8486</v>
      </c>
      <c r="AL210" t="n">
        <v>69.82299999999999</v>
      </c>
      <c r="AM210" t="n">
        <v>8.9176</v>
      </c>
      <c r="AN210" t="n">
        <v>9.638330756426855</v>
      </c>
      <c r="AO210" t="n">
        <v>0.804</v>
      </c>
      <c r="AP210" t="n">
        <v>6039.043023599974</v>
      </c>
      <c r="AQ210" t="n">
        <v>1</v>
      </c>
      <c r="AR210" t="n">
        <v>6039.043</v>
      </c>
      <c r="AT210" t="inlineStr">
        <is>
          <t>PNP_19T_30-12-2020</t>
        </is>
      </c>
      <c r="AU210" t="inlineStr">
        <is>
          <t>PNCP_12T_10-08-2020</t>
        </is>
      </c>
      <c r="AV210" t="inlineStr">
        <is>
          <t>PNCP_4T_30-04-2013</t>
        </is>
      </c>
      <c r="AW210" t="inlineStr">
        <is>
          <t>CHILOE 220</t>
        </is>
      </c>
      <c r="AX210" t="n">
        <v>111.133</v>
      </c>
      <c r="AY210" t="n">
        <v>1.083385174100913</v>
      </c>
      <c r="AZ210" t="n">
        <v>120.3998445533567</v>
      </c>
      <c r="BA210" t="n">
        <v>801.49</v>
      </c>
      <c r="BB210" t="n">
        <v>0.905</v>
      </c>
      <c r="BC210" t="n">
        <v>87.33184062701827</v>
      </c>
      <c r="BD210" t="n">
        <v>0.7923</v>
      </c>
      <c r="BE210" t="n">
        <v>69.193</v>
      </c>
      <c r="BF210" t="n">
        <v>8.9176</v>
      </c>
      <c r="BG210" t="n">
        <v>0.77</v>
      </c>
      <c r="BH210" t="n">
        <v>5962.380796939026</v>
      </c>
      <c r="BI210" t="n">
        <v>1</v>
      </c>
      <c r="BJ210" t="n">
        <v>5962.3808</v>
      </c>
    </row>
    <row r="211">
      <c r="A211" t="n">
        <v>1377</v>
      </c>
      <c r="B211" t="inlineStr">
        <is>
          <t>01-03-2021</t>
        </is>
      </c>
      <c r="C211" t="n">
        <v>2021</v>
      </c>
      <c r="D211" t="n">
        <v>1</v>
      </c>
      <c r="E211" t="inlineStr">
        <is>
          <t>CAREN</t>
        </is>
      </c>
      <c r="F211" t="inlineStr">
        <is>
          <t>SUM_SAESA_A</t>
        </is>
      </c>
      <c r="G211" t="inlineStr">
        <is>
          <t>A</t>
        </is>
      </c>
      <c r="H211" t="inlineStr">
        <is>
          <t>SAESA</t>
        </is>
      </c>
      <c r="I211" t="inlineStr">
        <is>
          <t>SAESDEGABLOQA</t>
        </is>
      </c>
      <c r="J211" t="inlineStr">
        <is>
          <t>DEGAÑ</t>
        </is>
      </c>
      <c r="K211" t="n">
        <v>-1289.13648691</v>
      </c>
      <c r="L211" t="inlineStr">
        <is>
          <t>DEGAÑ</t>
        </is>
      </c>
      <c r="M211" t="inlineStr">
        <is>
          <t>CHILOE</t>
        </is>
      </c>
      <c r="N211" t="n">
        <v>0.79707666555721</v>
      </c>
      <c r="O211" t="n">
        <v>1027.540612</v>
      </c>
      <c r="P211" t="inlineStr">
        <is>
          <t>BS1A</t>
        </is>
      </c>
      <c r="Q211" t="n">
        <v>2</v>
      </c>
      <c r="W211" t="n">
        <v>2</v>
      </c>
      <c r="X211" t="n">
        <v>0</v>
      </c>
      <c r="AA211" t="inlineStr">
        <is>
          <t>PNP_16T_02-11-2020</t>
        </is>
      </c>
      <c r="AB211" t="inlineStr">
        <is>
          <t>PNCP_2T_10-02-2020</t>
        </is>
      </c>
      <c r="AC211" t="inlineStr">
        <is>
          <t>PNCP_4T_30-04-2013</t>
        </is>
      </c>
      <c r="AD211" t="inlineStr">
        <is>
          <t>CHILOE 220</t>
        </is>
      </c>
      <c r="AE211" t="n">
        <v>111.133</v>
      </c>
      <c r="AF211" t="n">
        <v>1.080821157758461</v>
      </c>
      <c r="AG211" t="n">
        <v>120.1148977251711</v>
      </c>
      <c r="AH211" t="n">
        <v>779.3099999999999</v>
      </c>
      <c r="AI211" t="n">
        <v>0.879</v>
      </c>
      <c r="AJ211" t="n">
        <v>82.2803252917125</v>
      </c>
      <c r="AK211" t="n">
        <v>0.8486</v>
      </c>
      <c r="AL211" t="n">
        <v>69.82299999999999</v>
      </c>
      <c r="AM211" t="n">
        <v>8.9176</v>
      </c>
      <c r="AN211" t="n">
        <v>9.638330756426855</v>
      </c>
      <c r="AO211" t="n">
        <v>0.804</v>
      </c>
      <c r="AP211" t="n">
        <v>6039.043023599974</v>
      </c>
      <c r="AQ211" t="n">
        <v>1</v>
      </c>
      <c r="AR211" t="n">
        <v>6039.043</v>
      </c>
      <c r="AT211" t="inlineStr">
        <is>
          <t>PNP_19T_30-12-2020</t>
        </is>
      </c>
      <c r="AU211" t="inlineStr">
        <is>
          <t>PNCP_12T_10-08-2020</t>
        </is>
      </c>
      <c r="AV211" t="inlineStr">
        <is>
          <t>PNCP_4T_30-04-2013</t>
        </is>
      </c>
      <c r="AW211" t="inlineStr">
        <is>
          <t>CHILOE 220</t>
        </is>
      </c>
      <c r="AX211" t="n">
        <v>111.133</v>
      </c>
      <c r="AY211" t="n">
        <v>1.083385174100913</v>
      </c>
      <c r="AZ211" t="n">
        <v>120.3998445533567</v>
      </c>
      <c r="BA211" t="n">
        <v>801.49</v>
      </c>
      <c r="BB211" t="n">
        <v>0.905</v>
      </c>
      <c r="BC211" t="n">
        <v>87.33184062701827</v>
      </c>
      <c r="BD211" t="n">
        <v>0.7923</v>
      </c>
      <c r="BE211" t="n">
        <v>69.193</v>
      </c>
      <c r="BF211" t="n">
        <v>8.9176</v>
      </c>
      <c r="BG211" t="n">
        <v>0.77</v>
      </c>
      <c r="BH211" t="n">
        <v>5962.380796939026</v>
      </c>
      <c r="BI211" t="n">
        <v>1</v>
      </c>
      <c r="BJ211" t="n">
        <v>5962.3808</v>
      </c>
    </row>
    <row r="212">
      <c r="A212" t="n">
        <v>1379</v>
      </c>
      <c r="B212" t="inlineStr">
        <is>
          <t>01-03-2021</t>
        </is>
      </c>
      <c r="C212" t="n">
        <v>2021</v>
      </c>
      <c r="D212" t="n">
        <v>1</v>
      </c>
      <c r="E212" t="inlineStr">
        <is>
          <t>CAREN</t>
        </is>
      </c>
      <c r="F212" t="inlineStr">
        <is>
          <t>SUM_SAESA_A</t>
        </is>
      </c>
      <c r="G212" t="inlineStr">
        <is>
          <t>A</t>
        </is>
      </c>
      <c r="H212" t="inlineStr">
        <is>
          <t>SAESA</t>
        </is>
      </c>
      <c r="I212" t="inlineStr">
        <is>
          <t>SAESDEGABLOQA</t>
        </is>
      </c>
      <c r="J212" t="inlineStr">
        <is>
          <t>DEGAÑ</t>
        </is>
      </c>
      <c r="K212" t="n">
        <v>-1289.13648691</v>
      </c>
      <c r="L212" t="inlineStr">
        <is>
          <t>DEGAÑ</t>
        </is>
      </c>
      <c r="M212" t="inlineStr">
        <is>
          <t>Puerto Montt</t>
        </is>
      </c>
      <c r="N212" t="n">
        <v>0.94243617275767</v>
      </c>
      <c r="O212" t="n">
        <v>1214.928857</v>
      </c>
      <c r="P212" t="inlineStr">
        <is>
          <t>BS1A</t>
        </is>
      </c>
      <c r="Q212" t="n">
        <v>2</v>
      </c>
      <c r="W212" t="n">
        <v>2</v>
      </c>
      <c r="X212" t="n">
        <v>0</v>
      </c>
      <c r="AA212" t="inlineStr">
        <is>
          <t>PNP_16T_02-11-2020</t>
        </is>
      </c>
      <c r="AB212" t="inlineStr">
        <is>
          <t>PNCP_2T_10-02-2020</t>
        </is>
      </c>
      <c r="AC212" t="inlineStr">
        <is>
          <t>PNCP_4T_30-04-2013</t>
        </is>
      </c>
      <c r="AD212" t="inlineStr">
        <is>
          <t>PUERTO MONTT 220</t>
        </is>
      </c>
      <c r="AE212" t="n">
        <v>111.133</v>
      </c>
      <c r="AF212" t="n">
        <v>1.080821157758461</v>
      </c>
      <c r="AG212" t="n">
        <v>120.1148977251711</v>
      </c>
      <c r="AH212" t="n">
        <v>779.3099999999999</v>
      </c>
      <c r="AI212" t="n">
        <v>0.879</v>
      </c>
      <c r="AJ212" t="n">
        <v>82.2803252917125</v>
      </c>
      <c r="AK212" t="n">
        <v>0.8421</v>
      </c>
      <c r="AL212" t="n">
        <v>69.288</v>
      </c>
      <c r="AM212" t="n">
        <v>8.9176</v>
      </c>
      <c r="AN212" t="n">
        <v>9.638330756426855</v>
      </c>
      <c r="AO212" t="n">
        <v>0.804</v>
      </c>
      <c r="AP212" t="n">
        <v>6039.043023599974</v>
      </c>
      <c r="AQ212" t="n">
        <v>1.02699624102973</v>
      </c>
      <c r="AR212" t="n">
        <v>6202.0745</v>
      </c>
      <c r="AT212" t="inlineStr">
        <is>
          <t>PNP_19T_30-12-2020</t>
        </is>
      </c>
      <c r="AU212" t="inlineStr">
        <is>
          <t>PNCP_12T_10-08-2020</t>
        </is>
      </c>
      <c r="AV212" t="inlineStr">
        <is>
          <t>PNCP_4T_30-04-2013</t>
        </is>
      </c>
      <c r="AW212" t="inlineStr">
        <is>
          <t>PUERTO MONTT 220</t>
        </is>
      </c>
      <c r="AX212" t="n">
        <v>111.133</v>
      </c>
      <c r="AY212" t="n">
        <v>1.083385174100913</v>
      </c>
      <c r="AZ212" t="n">
        <v>120.3998445533567</v>
      </c>
      <c r="BA212" t="n">
        <v>801.49</v>
      </c>
      <c r="BB212" t="n">
        <v>0.905</v>
      </c>
      <c r="BC212" t="n">
        <v>87.33184062701827</v>
      </c>
      <c r="BD212" t="n">
        <v>0.7824</v>
      </c>
      <c r="BE212" t="n">
        <v>68.328</v>
      </c>
      <c r="BF212" t="n">
        <v>8.9176</v>
      </c>
      <c r="BG212" t="n">
        <v>0.77</v>
      </c>
      <c r="BH212" t="n">
        <v>5962.380796939026</v>
      </c>
      <c r="BI212" t="n">
        <v>1.039640050119603</v>
      </c>
      <c r="BJ212" t="n">
        <v>6198.7299</v>
      </c>
    </row>
    <row r="213">
      <c r="A213" t="n">
        <v>689</v>
      </c>
      <c r="B213" t="inlineStr">
        <is>
          <t>01-03-2021</t>
        </is>
      </c>
      <c r="C213" t="n">
        <v>2021</v>
      </c>
      <c r="D213" t="n">
        <v>1</v>
      </c>
      <c r="E213" t="inlineStr">
        <is>
          <t>CAREN</t>
        </is>
      </c>
      <c r="F213" t="inlineStr">
        <is>
          <t>SUM_SAESA_A</t>
        </is>
      </c>
      <c r="G213" t="inlineStr">
        <is>
          <t>A</t>
        </is>
      </c>
      <c r="H213" t="inlineStr">
        <is>
          <t>SAESA</t>
        </is>
      </c>
      <c r="I213" t="inlineStr">
        <is>
          <t>SAESELEMBLOQA</t>
        </is>
      </c>
      <c r="J213" t="inlineStr">
        <is>
          <t>EMPALME</t>
        </is>
      </c>
      <c r="K213" t="n">
        <v>-2296.43462717</v>
      </c>
      <c r="L213" t="inlineStr">
        <is>
          <t>PARGUA 23</t>
        </is>
      </c>
      <c r="M213" t="inlineStr">
        <is>
          <t>MELIPULLI</t>
        </is>
      </c>
      <c r="N213" t="n">
        <v>0.88336054288962</v>
      </c>
      <c r="O213" t="n">
        <v>2028.579739</v>
      </c>
      <c r="P213" t="inlineStr">
        <is>
          <t>BS1A</t>
        </is>
      </c>
      <c r="Q213" t="n">
        <v>2</v>
      </c>
      <c r="W213" t="n">
        <v>2</v>
      </c>
      <c r="X213" t="n">
        <v>0</v>
      </c>
      <c r="AA213" t="inlineStr">
        <is>
          <t>PNP_16T_02-11-2020</t>
        </is>
      </c>
      <c r="AB213" t="inlineStr">
        <is>
          <t>PNCP_2T_10-02-2020</t>
        </is>
      </c>
      <c r="AC213" t="inlineStr">
        <is>
          <t>PNCP_4T_30-04-2013</t>
        </is>
      </c>
      <c r="AD213" t="inlineStr">
        <is>
          <t>MELIPULLI 220</t>
        </is>
      </c>
      <c r="AE213" t="n">
        <v>111.133</v>
      </c>
      <c r="AF213" t="n">
        <v>1.080821157758461</v>
      </c>
      <c r="AG213" t="n">
        <v>120.1148977251711</v>
      </c>
      <c r="AH213" t="n">
        <v>779.3099999999999</v>
      </c>
      <c r="AI213" t="n">
        <v>0.879</v>
      </c>
      <c r="AJ213" t="n">
        <v>82.2803252917125</v>
      </c>
      <c r="AK213" t="n">
        <v>0.8421</v>
      </c>
      <c r="AL213" t="n">
        <v>69.288</v>
      </c>
      <c r="AM213" t="n">
        <v>8.9176</v>
      </c>
      <c r="AN213" t="n">
        <v>9.638330756426855</v>
      </c>
      <c r="AO213" t="n">
        <v>0.804</v>
      </c>
      <c r="AP213" t="n">
        <v>6039.043023599974</v>
      </c>
      <c r="AQ213" t="n">
        <v>1</v>
      </c>
      <c r="AR213" t="n">
        <v>6039.043</v>
      </c>
      <c r="AT213" t="inlineStr">
        <is>
          <t>PNP_19T_30-12-2020</t>
        </is>
      </c>
      <c r="AU213" t="inlineStr">
        <is>
          <t>PNCP_12T_10-08-2020</t>
        </is>
      </c>
      <c r="AV213" t="inlineStr">
        <is>
          <t>PNCP_4T_30-04-2013</t>
        </is>
      </c>
      <c r="AW213" t="inlineStr">
        <is>
          <t>MELIPULLI 220</t>
        </is>
      </c>
      <c r="AX213" t="n">
        <v>111.133</v>
      </c>
      <c r="AY213" t="n">
        <v>1.083385174100913</v>
      </c>
      <c r="AZ213" t="n">
        <v>120.3998445533567</v>
      </c>
      <c r="BA213" t="n">
        <v>801.49</v>
      </c>
      <c r="BB213" t="n">
        <v>0.905</v>
      </c>
      <c r="BC213" t="n">
        <v>87.33184062701827</v>
      </c>
      <c r="BD213" t="n">
        <v>0.7824</v>
      </c>
      <c r="BE213" t="n">
        <v>68.328</v>
      </c>
      <c r="BF213" t="n">
        <v>8.9176</v>
      </c>
      <c r="BG213" t="n">
        <v>0.77</v>
      </c>
      <c r="BH213" t="n">
        <v>5962.380796939026</v>
      </c>
      <c r="BI213" t="n">
        <v>1</v>
      </c>
      <c r="BJ213" t="n">
        <v>5962.3808</v>
      </c>
    </row>
    <row r="214">
      <c r="A214" t="n">
        <v>5529</v>
      </c>
      <c r="B214" t="inlineStr">
        <is>
          <t>01-03-2021</t>
        </is>
      </c>
      <c r="C214" t="n">
        <v>2021</v>
      </c>
      <c r="D214" t="n">
        <v>1</v>
      </c>
      <c r="E214" t="inlineStr">
        <is>
          <t>CAREN</t>
        </is>
      </c>
      <c r="F214" t="inlineStr">
        <is>
          <t>SUM_SAESA_A</t>
        </is>
      </c>
      <c r="G214" t="inlineStr">
        <is>
          <t>A</t>
        </is>
      </c>
      <c r="H214" t="inlineStr">
        <is>
          <t>SAESA</t>
        </is>
      </c>
      <c r="I214" t="inlineStr">
        <is>
          <t>SAESFRUTBLOQA</t>
        </is>
      </c>
      <c r="J214" t="inlineStr">
        <is>
          <t>FRUTILLAR</t>
        </is>
      </c>
      <c r="K214" t="n">
        <v>-4949.36643579</v>
      </c>
      <c r="L214" t="inlineStr">
        <is>
          <t>FRUTILLAR</t>
        </is>
      </c>
      <c r="M214" t="inlineStr">
        <is>
          <t>BARRO BLANCO</t>
        </is>
      </c>
      <c r="N214" t="n">
        <v>0.30829693616367</v>
      </c>
      <c r="O214" t="n">
        <v>1525.874508</v>
      </c>
      <c r="P214" t="inlineStr">
        <is>
          <t>BS1A</t>
        </is>
      </c>
      <c r="Q214" t="n">
        <v>2</v>
      </c>
      <c r="W214" t="n">
        <v>2</v>
      </c>
      <c r="X214" t="n">
        <v>0</v>
      </c>
      <c r="AA214" t="inlineStr">
        <is>
          <t>PNP_16T_02-11-2020</t>
        </is>
      </c>
      <c r="AB214" t="inlineStr">
        <is>
          <t>PNCP_2T_10-02-2020</t>
        </is>
      </c>
      <c r="AC214" t="inlineStr">
        <is>
          <t>PNCP_4T_30-04-2013</t>
        </is>
      </c>
      <c r="AD214" t="inlineStr">
        <is>
          <t>Barro Blanco 220</t>
        </is>
      </c>
      <c r="AE214" t="n">
        <v>111.133</v>
      </c>
      <c r="AF214" t="n">
        <v>1.080821157758461</v>
      </c>
      <c r="AG214" t="n">
        <v>120.1148977251711</v>
      </c>
      <c r="AH214" t="n">
        <v>779.3099999999999</v>
      </c>
      <c r="AI214" t="n">
        <v>0.879</v>
      </c>
      <c r="AJ214" t="n">
        <v>82.2803252917125</v>
      </c>
      <c r="AK214" t="n">
        <v>0.846</v>
      </c>
      <c r="AL214" t="n">
        <v>69.60899999999999</v>
      </c>
      <c r="AM214" t="n">
        <v>8.9176</v>
      </c>
      <c r="AN214" t="n">
        <v>9.638330756426855</v>
      </c>
      <c r="AO214" t="n">
        <v>0.804</v>
      </c>
      <c r="AP214" t="n">
        <v>6039.043023599974</v>
      </c>
      <c r="AQ214" t="n">
        <v>1.011820868379177</v>
      </c>
      <c r="AR214" t="n">
        <v>6110.4298</v>
      </c>
      <c r="AT214" t="inlineStr">
        <is>
          <t>PNP_19T_30-12-2020</t>
        </is>
      </c>
      <c r="AU214" t="inlineStr">
        <is>
          <t>PNCP_12T_10-08-2020</t>
        </is>
      </c>
      <c r="AV214" t="inlineStr">
        <is>
          <t>PNCP_4T_30-04-2013</t>
        </is>
      </c>
      <c r="AW214" t="inlineStr">
        <is>
          <t>Barro Blanco 220</t>
        </is>
      </c>
      <c r="AX214" t="n">
        <v>111.133</v>
      </c>
      <c r="AY214" t="n">
        <v>1.083385174100913</v>
      </c>
      <c r="AZ214" t="n">
        <v>120.3998445533567</v>
      </c>
      <c r="BA214" t="n">
        <v>801.49</v>
      </c>
      <c r="BB214" t="n">
        <v>0.905</v>
      </c>
      <c r="BC214" t="n">
        <v>87.33184062701827</v>
      </c>
      <c r="BD214" t="n">
        <v>0.7946</v>
      </c>
      <c r="BE214" t="n">
        <v>69.39400000000001</v>
      </c>
      <c r="BF214" t="n">
        <v>8.9176</v>
      </c>
      <c r="BG214" t="n">
        <v>0.77</v>
      </c>
      <c r="BH214" t="n">
        <v>5962.380796939026</v>
      </c>
      <c r="BI214" t="n">
        <v>1.047283473516708</v>
      </c>
      <c r="BJ214" t="n">
        <v>6244.3029</v>
      </c>
    </row>
    <row r="215">
      <c r="A215" t="n">
        <v>5531</v>
      </c>
      <c r="B215" t="inlineStr">
        <is>
          <t>01-03-2021</t>
        </is>
      </c>
      <c r="C215" t="n">
        <v>2021</v>
      </c>
      <c r="D215" t="n">
        <v>1</v>
      </c>
      <c r="E215" t="inlineStr">
        <is>
          <t>CAREN</t>
        </is>
      </c>
      <c r="F215" t="inlineStr">
        <is>
          <t>SUM_SAESA_A</t>
        </is>
      </c>
      <c r="G215" t="inlineStr">
        <is>
          <t>A</t>
        </is>
      </c>
      <c r="H215" t="inlineStr">
        <is>
          <t>SAESA</t>
        </is>
      </c>
      <c r="I215" t="inlineStr">
        <is>
          <t>SAESFRUTBLOQA</t>
        </is>
      </c>
      <c r="J215" t="inlineStr">
        <is>
          <t>FRUTILLAR</t>
        </is>
      </c>
      <c r="K215" t="n">
        <v>-4949.36643579</v>
      </c>
      <c r="L215" t="inlineStr">
        <is>
          <t>FRUTILLAR</t>
        </is>
      </c>
      <c r="M215" t="inlineStr">
        <is>
          <t>MELIPULLI</t>
        </is>
      </c>
      <c r="N215" t="n">
        <v>0.58883123332719</v>
      </c>
      <c r="O215" t="n">
        <v>2914.341543</v>
      </c>
      <c r="P215" t="inlineStr">
        <is>
          <t>BS1A</t>
        </is>
      </c>
      <c r="Q215" t="n">
        <v>2</v>
      </c>
      <c r="W215" t="n">
        <v>2</v>
      </c>
      <c r="X215" t="n">
        <v>0</v>
      </c>
      <c r="AA215" t="inlineStr">
        <is>
          <t>PNP_16T_02-11-2020</t>
        </is>
      </c>
      <c r="AB215" t="inlineStr">
        <is>
          <t>PNCP_2T_10-02-2020</t>
        </is>
      </c>
      <c r="AC215" t="inlineStr">
        <is>
          <t>PNCP_4T_30-04-2013</t>
        </is>
      </c>
      <c r="AD215" t="inlineStr">
        <is>
          <t>MELIPULLI 220</t>
        </is>
      </c>
      <c r="AE215" t="n">
        <v>111.133</v>
      </c>
      <c r="AF215" t="n">
        <v>1.080821157758461</v>
      </c>
      <c r="AG215" t="n">
        <v>120.1148977251711</v>
      </c>
      <c r="AH215" t="n">
        <v>779.3099999999999</v>
      </c>
      <c r="AI215" t="n">
        <v>0.879</v>
      </c>
      <c r="AJ215" t="n">
        <v>82.2803252917125</v>
      </c>
      <c r="AK215" t="n">
        <v>0.8421</v>
      </c>
      <c r="AL215" t="n">
        <v>69.288</v>
      </c>
      <c r="AM215" t="n">
        <v>8.9176</v>
      </c>
      <c r="AN215" t="n">
        <v>9.638330756426855</v>
      </c>
      <c r="AO215" t="n">
        <v>0.804</v>
      </c>
      <c r="AP215" t="n">
        <v>6039.043023599974</v>
      </c>
      <c r="AQ215" t="n">
        <v>1</v>
      </c>
      <c r="AR215" t="n">
        <v>6039.043</v>
      </c>
      <c r="AT215" t="inlineStr">
        <is>
          <t>PNP_19T_30-12-2020</t>
        </is>
      </c>
      <c r="AU215" t="inlineStr">
        <is>
          <t>PNCP_12T_10-08-2020</t>
        </is>
      </c>
      <c r="AV215" t="inlineStr">
        <is>
          <t>PNCP_4T_30-04-2013</t>
        </is>
      </c>
      <c r="AW215" t="inlineStr">
        <is>
          <t>MELIPULLI 220</t>
        </is>
      </c>
      <c r="AX215" t="n">
        <v>111.133</v>
      </c>
      <c r="AY215" t="n">
        <v>1.083385174100913</v>
      </c>
      <c r="AZ215" t="n">
        <v>120.3998445533567</v>
      </c>
      <c r="BA215" t="n">
        <v>801.49</v>
      </c>
      <c r="BB215" t="n">
        <v>0.905</v>
      </c>
      <c r="BC215" t="n">
        <v>87.33184062701827</v>
      </c>
      <c r="BD215" t="n">
        <v>0.7824</v>
      </c>
      <c r="BE215" t="n">
        <v>68.328</v>
      </c>
      <c r="BF215" t="n">
        <v>8.9176</v>
      </c>
      <c r="BG215" t="n">
        <v>0.77</v>
      </c>
      <c r="BH215" t="n">
        <v>5962.380796939026</v>
      </c>
      <c r="BI215" t="n">
        <v>1</v>
      </c>
      <c r="BJ215" t="n">
        <v>5962.3808</v>
      </c>
    </row>
    <row r="216">
      <c r="A216" t="n">
        <v>5533</v>
      </c>
      <c r="B216" t="inlineStr">
        <is>
          <t>01-03-2021</t>
        </is>
      </c>
      <c r="C216" t="n">
        <v>2021</v>
      </c>
      <c r="D216" t="n">
        <v>1</v>
      </c>
      <c r="E216" t="inlineStr">
        <is>
          <t>CAREN</t>
        </is>
      </c>
      <c r="F216" t="inlineStr">
        <is>
          <t>SUM_SAESA_A</t>
        </is>
      </c>
      <c r="G216" t="inlineStr">
        <is>
          <t>A</t>
        </is>
      </c>
      <c r="H216" t="inlineStr">
        <is>
          <t>SAESA</t>
        </is>
      </c>
      <c r="I216" t="inlineStr">
        <is>
          <t>SAESFRUTBLOQA</t>
        </is>
      </c>
      <c r="J216" t="inlineStr">
        <is>
          <t>FRUTILLAR</t>
        </is>
      </c>
      <c r="K216" t="n">
        <v>-4949.36643579</v>
      </c>
      <c r="L216" t="inlineStr">
        <is>
          <t>FRUTILLAR</t>
        </is>
      </c>
      <c r="M216" t="inlineStr">
        <is>
          <t>Puerto Montt</t>
        </is>
      </c>
      <c r="N216" t="n">
        <v>0.66678954217717</v>
      </c>
      <c r="O216" t="n">
        <v>3300.18578</v>
      </c>
      <c r="P216" t="inlineStr">
        <is>
          <t>BS1A</t>
        </is>
      </c>
      <c r="Q216" t="n">
        <v>2</v>
      </c>
      <c r="W216" t="n">
        <v>2</v>
      </c>
      <c r="X216" t="n">
        <v>0</v>
      </c>
      <c r="AA216" t="inlineStr">
        <is>
          <t>PNP_16T_02-11-2020</t>
        </is>
      </c>
      <c r="AB216" t="inlineStr">
        <is>
          <t>PNCP_2T_10-02-2020</t>
        </is>
      </c>
      <c r="AC216" t="inlineStr">
        <is>
          <t>PNCP_4T_30-04-2013</t>
        </is>
      </c>
      <c r="AD216" t="inlineStr">
        <is>
          <t>PUERTO MONTT 220</t>
        </is>
      </c>
      <c r="AE216" t="n">
        <v>111.133</v>
      </c>
      <c r="AF216" t="n">
        <v>1.080821157758461</v>
      </c>
      <c r="AG216" t="n">
        <v>120.1148977251711</v>
      </c>
      <c r="AH216" t="n">
        <v>779.3099999999999</v>
      </c>
      <c r="AI216" t="n">
        <v>0.879</v>
      </c>
      <c r="AJ216" t="n">
        <v>82.2803252917125</v>
      </c>
      <c r="AK216" t="n">
        <v>0.8421</v>
      </c>
      <c r="AL216" t="n">
        <v>69.288</v>
      </c>
      <c r="AM216" t="n">
        <v>8.9176</v>
      </c>
      <c r="AN216" t="n">
        <v>9.638330756426855</v>
      </c>
      <c r="AO216" t="n">
        <v>0.804</v>
      </c>
      <c r="AP216" t="n">
        <v>6039.043023599974</v>
      </c>
      <c r="AQ216" t="n">
        <v>1.02699624102973</v>
      </c>
      <c r="AR216" t="n">
        <v>6202.0745</v>
      </c>
      <c r="AT216" t="inlineStr">
        <is>
          <t>PNP_19T_30-12-2020</t>
        </is>
      </c>
      <c r="AU216" t="inlineStr">
        <is>
          <t>PNCP_12T_10-08-2020</t>
        </is>
      </c>
      <c r="AV216" t="inlineStr">
        <is>
          <t>PNCP_4T_30-04-2013</t>
        </is>
      </c>
      <c r="AW216" t="inlineStr">
        <is>
          <t>PUERTO MONTT 220</t>
        </is>
      </c>
      <c r="AX216" t="n">
        <v>111.133</v>
      </c>
      <c r="AY216" t="n">
        <v>1.083385174100913</v>
      </c>
      <c r="AZ216" t="n">
        <v>120.3998445533567</v>
      </c>
      <c r="BA216" t="n">
        <v>801.49</v>
      </c>
      <c r="BB216" t="n">
        <v>0.905</v>
      </c>
      <c r="BC216" t="n">
        <v>87.33184062701827</v>
      </c>
      <c r="BD216" t="n">
        <v>0.7824</v>
      </c>
      <c r="BE216" t="n">
        <v>68.328</v>
      </c>
      <c r="BF216" t="n">
        <v>8.9176</v>
      </c>
      <c r="BG216" t="n">
        <v>0.77</v>
      </c>
      <c r="BH216" t="n">
        <v>5962.380796939026</v>
      </c>
      <c r="BI216" t="n">
        <v>1.039640050119603</v>
      </c>
      <c r="BJ216" t="n">
        <v>6198.7299</v>
      </c>
    </row>
    <row r="217">
      <c r="A217" t="n">
        <v>5535</v>
      </c>
      <c r="B217" t="inlineStr">
        <is>
          <t>01-03-2021</t>
        </is>
      </c>
      <c r="C217" t="n">
        <v>2021</v>
      </c>
      <c r="D217" t="n">
        <v>1</v>
      </c>
      <c r="E217" t="inlineStr">
        <is>
          <t>CAREN</t>
        </is>
      </c>
      <c r="F217" t="inlineStr">
        <is>
          <t>SUM_SAESA_A</t>
        </is>
      </c>
      <c r="G217" t="inlineStr">
        <is>
          <t>A</t>
        </is>
      </c>
      <c r="H217" t="inlineStr">
        <is>
          <t>SAESA</t>
        </is>
      </c>
      <c r="I217" t="inlineStr">
        <is>
          <t>SAESFRUTBLOQA</t>
        </is>
      </c>
      <c r="J217" t="inlineStr">
        <is>
          <t>FRUTILLAR</t>
        </is>
      </c>
      <c r="K217" t="n">
        <v>-4949.36643579</v>
      </c>
      <c r="L217" t="inlineStr">
        <is>
          <t>FRUTILLAR</t>
        </is>
      </c>
      <c r="M217" t="inlineStr">
        <is>
          <t>VALDIVIA</t>
        </is>
      </c>
      <c r="N217" t="n">
        <v>0.00223534123905</v>
      </c>
      <c r="O217" t="n">
        <v>11.063523</v>
      </c>
      <c r="P217" t="inlineStr">
        <is>
          <t>BS1A</t>
        </is>
      </c>
      <c r="Q217" t="n">
        <v>2</v>
      </c>
      <c r="W217" t="n">
        <v>2</v>
      </c>
      <c r="X217" t="n">
        <v>0</v>
      </c>
      <c r="AA217" t="inlineStr">
        <is>
          <t>PNP_16T_02-11-2020</t>
        </is>
      </c>
      <c r="AB217" t="inlineStr">
        <is>
          <t>PNCP_2T_10-02-2020</t>
        </is>
      </c>
      <c r="AC217" t="inlineStr">
        <is>
          <t>PNCP_4T_30-04-2013</t>
        </is>
      </c>
      <c r="AD217" t="inlineStr">
        <is>
          <t>VALDIVIA 220</t>
        </is>
      </c>
      <c r="AE217" t="n">
        <v>111.133</v>
      </c>
      <c r="AF217" t="n">
        <v>1.080821157758461</v>
      </c>
      <c r="AG217" t="n">
        <v>120.1148977251711</v>
      </c>
      <c r="AH217" t="n">
        <v>779.3099999999999</v>
      </c>
      <c r="AI217" t="n">
        <v>0.879</v>
      </c>
      <c r="AJ217" t="n">
        <v>82.2803252917125</v>
      </c>
      <c r="AK217" t="n">
        <v>0.9167</v>
      </c>
      <c r="AL217" t="n">
        <v>75.426</v>
      </c>
      <c r="AM217" t="n">
        <v>8.9176</v>
      </c>
      <c r="AN217" t="n">
        <v>9.638330756426855</v>
      </c>
      <c r="AO217" t="n">
        <v>0.804</v>
      </c>
      <c r="AP217" t="n">
        <v>6039.043023599974</v>
      </c>
      <c r="AQ217" t="n">
        <v>1.096052187605444</v>
      </c>
      <c r="AR217" t="n">
        <v>6619.1063</v>
      </c>
      <c r="AT217" t="inlineStr">
        <is>
          <t>PNP_19T_30-12-2020</t>
        </is>
      </c>
      <c r="AU217" t="inlineStr">
        <is>
          <t>PNCP_12T_10-08-2020</t>
        </is>
      </c>
      <c r="AV217" t="inlineStr">
        <is>
          <t>PNCP_4T_30-04-2013</t>
        </is>
      </c>
      <c r="AW217" t="inlineStr">
        <is>
          <t>VALDIVIA 220</t>
        </is>
      </c>
      <c r="AX217" t="n">
        <v>111.133</v>
      </c>
      <c r="AY217" t="n">
        <v>1.083385174100913</v>
      </c>
      <c r="AZ217" t="n">
        <v>120.3998445533567</v>
      </c>
      <c r="BA217" t="n">
        <v>801.49</v>
      </c>
      <c r="BB217" t="n">
        <v>0.905</v>
      </c>
      <c r="BC217" t="n">
        <v>87.33184062701827</v>
      </c>
      <c r="BD217" t="n">
        <v>0.8745000000000001</v>
      </c>
      <c r="BE217" t="n">
        <v>76.372</v>
      </c>
      <c r="BF217" t="n">
        <v>8.9176</v>
      </c>
      <c r="BG217" t="n">
        <v>0.77</v>
      </c>
      <c r="BH217" t="n">
        <v>5962.380796939026</v>
      </c>
      <c r="BI217" t="n">
        <v>1.148014846473962</v>
      </c>
      <c r="BJ217" t="n">
        <v>6844.9017</v>
      </c>
    </row>
    <row r="218">
      <c r="A218" t="n">
        <v>4057</v>
      </c>
      <c r="B218" t="inlineStr">
        <is>
          <t>01-03-2021</t>
        </is>
      </c>
      <c r="C218" t="n">
        <v>2021</v>
      </c>
      <c r="D218" t="n">
        <v>1</v>
      </c>
      <c r="E218" t="inlineStr">
        <is>
          <t>CAREN</t>
        </is>
      </c>
      <c r="F218" t="inlineStr">
        <is>
          <t>SUM_SAESA_A</t>
        </is>
      </c>
      <c r="G218" t="inlineStr">
        <is>
          <t>A</t>
        </is>
      </c>
      <c r="H218" t="inlineStr">
        <is>
          <t>SAESA</t>
        </is>
      </c>
      <c r="I218" t="inlineStr">
        <is>
          <t>SAESLOSLBLOQA</t>
        </is>
      </c>
      <c r="J218" t="inlineStr">
        <is>
          <t>L.LAGOS</t>
        </is>
      </c>
      <c r="K218" t="n">
        <v>-2216.85218919</v>
      </c>
      <c r="L218" t="inlineStr">
        <is>
          <t>LOS LAGOS</t>
        </is>
      </c>
      <c r="M218" t="inlineStr">
        <is>
          <t>Barro Blanco</t>
        </is>
      </c>
      <c r="N218" t="n">
        <v>0.18733247460026</v>
      </c>
      <c r="O218" t="n">
        <v>415.288406</v>
      </c>
      <c r="P218" t="inlineStr">
        <is>
          <t>BS1A</t>
        </is>
      </c>
      <c r="Q218" t="n">
        <v>2</v>
      </c>
      <c r="W218" t="n">
        <v>2</v>
      </c>
      <c r="X218" t="n">
        <v>0</v>
      </c>
      <c r="AA218" t="inlineStr">
        <is>
          <t>PNP_16T_02-11-2020</t>
        </is>
      </c>
      <c r="AB218" t="inlineStr">
        <is>
          <t>PNCP_2T_10-02-2020</t>
        </is>
      </c>
      <c r="AC218" t="inlineStr">
        <is>
          <t>PNCP_4T_30-04-2013</t>
        </is>
      </c>
      <c r="AD218" t="inlineStr">
        <is>
          <t>Barro Blanco 220</t>
        </is>
      </c>
      <c r="AE218" t="n">
        <v>111.133</v>
      </c>
      <c r="AF218" t="n">
        <v>1.080821157758461</v>
      </c>
      <c r="AG218" t="n">
        <v>120.1148977251711</v>
      </c>
      <c r="AH218" t="n">
        <v>779.3099999999999</v>
      </c>
      <c r="AI218" t="n">
        <v>0.879</v>
      </c>
      <c r="AJ218" t="n">
        <v>82.2803252917125</v>
      </c>
      <c r="AK218" t="n">
        <v>0.846</v>
      </c>
      <c r="AL218" t="n">
        <v>69.60899999999999</v>
      </c>
      <c r="AM218" t="n">
        <v>8.9176</v>
      </c>
      <c r="AN218" t="n">
        <v>9.638330756426855</v>
      </c>
      <c r="AO218" t="n">
        <v>0.804</v>
      </c>
      <c r="AP218" t="n">
        <v>6039.043023599974</v>
      </c>
      <c r="AQ218" t="n">
        <v>1.011820868379177</v>
      </c>
      <c r="AR218" t="n">
        <v>6110.4298</v>
      </c>
      <c r="AT218" t="inlineStr">
        <is>
          <t>PNP_19T_30-12-2020</t>
        </is>
      </c>
      <c r="AU218" t="inlineStr">
        <is>
          <t>PNCP_12T_10-08-2020</t>
        </is>
      </c>
      <c r="AV218" t="inlineStr">
        <is>
          <t>PNCP_4T_30-04-2013</t>
        </is>
      </c>
      <c r="AW218" t="inlineStr">
        <is>
          <t>Barro Blanco 220</t>
        </is>
      </c>
      <c r="AX218" t="n">
        <v>111.133</v>
      </c>
      <c r="AY218" t="n">
        <v>1.083385174100913</v>
      </c>
      <c r="AZ218" t="n">
        <v>120.3998445533567</v>
      </c>
      <c r="BA218" t="n">
        <v>801.49</v>
      </c>
      <c r="BB218" t="n">
        <v>0.905</v>
      </c>
      <c r="BC218" t="n">
        <v>87.33184062701827</v>
      </c>
      <c r="BD218" t="n">
        <v>0.7946</v>
      </c>
      <c r="BE218" t="n">
        <v>69.39400000000001</v>
      </c>
      <c r="BF218" t="n">
        <v>8.9176</v>
      </c>
      <c r="BG218" t="n">
        <v>0.77</v>
      </c>
      <c r="BH218" t="n">
        <v>5962.380796939026</v>
      </c>
      <c r="BI218" t="n">
        <v>1.047283473516708</v>
      </c>
      <c r="BJ218" t="n">
        <v>6244.3029</v>
      </c>
    </row>
    <row r="219">
      <c r="A219" t="n">
        <v>4059</v>
      </c>
      <c r="B219" t="inlineStr">
        <is>
          <t>01-03-2021</t>
        </is>
      </c>
      <c r="C219" t="n">
        <v>2021</v>
      </c>
      <c r="D219" t="n">
        <v>1</v>
      </c>
      <c r="E219" t="inlineStr">
        <is>
          <t>CAREN</t>
        </is>
      </c>
      <c r="F219" t="inlineStr">
        <is>
          <t>SUM_SAESA_A</t>
        </is>
      </c>
      <c r="G219" t="inlineStr">
        <is>
          <t>A</t>
        </is>
      </c>
      <c r="H219" t="inlineStr">
        <is>
          <t>SAESA</t>
        </is>
      </c>
      <c r="I219" t="inlineStr">
        <is>
          <t>SAESLOSLBLOQA</t>
        </is>
      </c>
      <c r="J219" t="inlineStr">
        <is>
          <t>L.LAGOS</t>
        </is>
      </c>
      <c r="K219" t="n">
        <v>-2216.85218919</v>
      </c>
      <c r="L219" t="inlineStr">
        <is>
          <t>LOS LAGOS</t>
        </is>
      </c>
      <c r="M219" t="inlineStr">
        <is>
          <t>MELIPULLI</t>
        </is>
      </c>
      <c r="N219" t="n">
        <v>0.0106384804266</v>
      </c>
      <c r="O219" t="n">
        <v>23.583939</v>
      </c>
      <c r="P219" t="inlineStr">
        <is>
          <t>BS1A</t>
        </is>
      </c>
      <c r="Q219" t="n">
        <v>2</v>
      </c>
      <c r="W219" t="n">
        <v>2</v>
      </c>
      <c r="X219" t="n">
        <v>0</v>
      </c>
      <c r="AA219" t="inlineStr">
        <is>
          <t>PNP_16T_02-11-2020</t>
        </is>
      </c>
      <c r="AB219" t="inlineStr">
        <is>
          <t>PNCP_2T_10-02-2020</t>
        </is>
      </c>
      <c r="AC219" t="inlineStr">
        <is>
          <t>PNCP_4T_30-04-2013</t>
        </is>
      </c>
      <c r="AD219" t="inlineStr">
        <is>
          <t>MELIPULLI 220</t>
        </is>
      </c>
      <c r="AE219" t="n">
        <v>111.133</v>
      </c>
      <c r="AF219" t="n">
        <v>1.080821157758461</v>
      </c>
      <c r="AG219" t="n">
        <v>120.1148977251711</v>
      </c>
      <c r="AH219" t="n">
        <v>779.3099999999999</v>
      </c>
      <c r="AI219" t="n">
        <v>0.879</v>
      </c>
      <c r="AJ219" t="n">
        <v>82.2803252917125</v>
      </c>
      <c r="AK219" t="n">
        <v>0.8421</v>
      </c>
      <c r="AL219" t="n">
        <v>69.288</v>
      </c>
      <c r="AM219" t="n">
        <v>8.9176</v>
      </c>
      <c r="AN219" t="n">
        <v>9.638330756426855</v>
      </c>
      <c r="AO219" t="n">
        <v>0.804</v>
      </c>
      <c r="AP219" t="n">
        <v>6039.043023599974</v>
      </c>
      <c r="AQ219" t="n">
        <v>1</v>
      </c>
      <c r="AR219" t="n">
        <v>6039.043</v>
      </c>
      <c r="AT219" t="inlineStr">
        <is>
          <t>PNP_19T_30-12-2020</t>
        </is>
      </c>
      <c r="AU219" t="inlineStr">
        <is>
          <t>PNCP_12T_10-08-2020</t>
        </is>
      </c>
      <c r="AV219" t="inlineStr">
        <is>
          <t>PNCP_4T_30-04-2013</t>
        </is>
      </c>
      <c r="AW219" t="inlineStr">
        <is>
          <t>MELIPULLI 220</t>
        </is>
      </c>
      <c r="AX219" t="n">
        <v>111.133</v>
      </c>
      <c r="AY219" t="n">
        <v>1.083385174100913</v>
      </c>
      <c r="AZ219" t="n">
        <v>120.3998445533567</v>
      </c>
      <c r="BA219" t="n">
        <v>801.49</v>
      </c>
      <c r="BB219" t="n">
        <v>0.905</v>
      </c>
      <c r="BC219" t="n">
        <v>87.33184062701827</v>
      </c>
      <c r="BD219" t="n">
        <v>0.7824</v>
      </c>
      <c r="BE219" t="n">
        <v>68.328</v>
      </c>
      <c r="BF219" t="n">
        <v>8.9176</v>
      </c>
      <c r="BG219" t="n">
        <v>0.77</v>
      </c>
      <c r="BH219" t="n">
        <v>5962.380796939026</v>
      </c>
      <c r="BI219" t="n">
        <v>1</v>
      </c>
      <c r="BJ219" t="n">
        <v>5962.3808</v>
      </c>
    </row>
    <row r="220">
      <c r="A220" t="n">
        <v>4061</v>
      </c>
      <c r="B220" t="inlineStr">
        <is>
          <t>01-03-2021</t>
        </is>
      </c>
      <c r="C220" t="n">
        <v>2021</v>
      </c>
      <c r="D220" t="n">
        <v>1</v>
      </c>
      <c r="E220" t="inlineStr">
        <is>
          <t>CAREN</t>
        </is>
      </c>
      <c r="F220" t="inlineStr">
        <is>
          <t>SUM_SAESA_A</t>
        </is>
      </c>
      <c r="G220" t="inlineStr">
        <is>
          <t>A</t>
        </is>
      </c>
      <c r="H220" t="inlineStr">
        <is>
          <t>SAESA</t>
        </is>
      </c>
      <c r="I220" t="inlineStr">
        <is>
          <t>SAESLOSLBLOQA</t>
        </is>
      </c>
      <c r="J220" t="inlineStr">
        <is>
          <t>L.LAGOS</t>
        </is>
      </c>
      <c r="K220" t="n">
        <v>-2216.85218919</v>
      </c>
      <c r="L220" t="inlineStr">
        <is>
          <t>LOS LAGOS</t>
        </is>
      </c>
      <c r="M220" t="inlineStr">
        <is>
          <t>VALDIVIA</t>
        </is>
      </c>
      <c r="N220" t="n">
        <v>0.74179711805072</v>
      </c>
      <c r="O220" t="n">
        <v>1644.454565</v>
      </c>
      <c r="P220" t="inlineStr">
        <is>
          <t>BS1A</t>
        </is>
      </c>
      <c r="Q220" t="n">
        <v>2</v>
      </c>
      <c r="W220" t="n">
        <v>2</v>
      </c>
      <c r="X220" t="n">
        <v>0</v>
      </c>
      <c r="AA220" t="inlineStr">
        <is>
          <t>PNP_16T_02-11-2020</t>
        </is>
      </c>
      <c r="AB220" t="inlineStr">
        <is>
          <t>PNCP_2T_10-02-2020</t>
        </is>
      </c>
      <c r="AC220" t="inlineStr">
        <is>
          <t>PNCP_4T_30-04-2013</t>
        </is>
      </c>
      <c r="AD220" t="inlineStr">
        <is>
          <t>VALDIVIA 220</t>
        </is>
      </c>
      <c r="AE220" t="n">
        <v>111.133</v>
      </c>
      <c r="AF220" t="n">
        <v>1.080821157758461</v>
      </c>
      <c r="AG220" t="n">
        <v>120.1148977251711</v>
      </c>
      <c r="AH220" t="n">
        <v>779.3099999999999</v>
      </c>
      <c r="AI220" t="n">
        <v>0.879</v>
      </c>
      <c r="AJ220" t="n">
        <v>82.2803252917125</v>
      </c>
      <c r="AK220" t="n">
        <v>0.9167</v>
      </c>
      <c r="AL220" t="n">
        <v>75.426</v>
      </c>
      <c r="AM220" t="n">
        <v>8.9176</v>
      </c>
      <c r="AN220" t="n">
        <v>9.638330756426855</v>
      </c>
      <c r="AO220" t="n">
        <v>0.804</v>
      </c>
      <c r="AP220" t="n">
        <v>6039.043023599974</v>
      </c>
      <c r="AQ220" t="n">
        <v>1.096052187605444</v>
      </c>
      <c r="AR220" t="n">
        <v>6619.1063</v>
      </c>
      <c r="AT220" t="inlineStr">
        <is>
          <t>PNP_19T_30-12-2020</t>
        </is>
      </c>
      <c r="AU220" t="inlineStr">
        <is>
          <t>PNCP_12T_10-08-2020</t>
        </is>
      </c>
      <c r="AV220" t="inlineStr">
        <is>
          <t>PNCP_4T_30-04-2013</t>
        </is>
      </c>
      <c r="AW220" t="inlineStr">
        <is>
          <t>VALDIVIA 220</t>
        </is>
      </c>
      <c r="AX220" t="n">
        <v>111.133</v>
      </c>
      <c r="AY220" t="n">
        <v>1.083385174100913</v>
      </c>
      <c r="AZ220" t="n">
        <v>120.3998445533567</v>
      </c>
      <c r="BA220" t="n">
        <v>801.49</v>
      </c>
      <c r="BB220" t="n">
        <v>0.905</v>
      </c>
      <c r="BC220" t="n">
        <v>87.33184062701827</v>
      </c>
      <c r="BD220" t="n">
        <v>0.8745000000000001</v>
      </c>
      <c r="BE220" t="n">
        <v>76.372</v>
      </c>
      <c r="BF220" t="n">
        <v>8.9176</v>
      </c>
      <c r="BG220" t="n">
        <v>0.77</v>
      </c>
      <c r="BH220" t="n">
        <v>5962.380796939026</v>
      </c>
      <c r="BI220" t="n">
        <v>1.148014846473962</v>
      </c>
      <c r="BJ220" t="n">
        <v>6844.9017</v>
      </c>
    </row>
    <row r="221">
      <c r="A221" t="n">
        <v>6154</v>
      </c>
      <c r="B221" t="inlineStr">
        <is>
          <t>01-03-2021</t>
        </is>
      </c>
      <c r="C221" t="n">
        <v>2021</v>
      </c>
      <c r="D221" t="n">
        <v>1</v>
      </c>
      <c r="E221" t="inlineStr">
        <is>
          <t>CAREN</t>
        </is>
      </c>
      <c r="F221" t="inlineStr">
        <is>
          <t>SUM_SAESA_A</t>
        </is>
      </c>
      <c r="G221" t="inlineStr">
        <is>
          <t>A</t>
        </is>
      </c>
      <c r="H221" t="inlineStr">
        <is>
          <t>SAESA</t>
        </is>
      </c>
      <c r="I221" t="inlineStr">
        <is>
          <t>SAESLAUNBLOQA</t>
        </is>
      </c>
      <c r="J221" t="inlineStr">
        <is>
          <t>L.UNION</t>
        </is>
      </c>
      <c r="K221" t="n">
        <v>-4067.52579607</v>
      </c>
      <c r="L221" t="inlineStr">
        <is>
          <t>LA UNION</t>
        </is>
      </c>
      <c r="M221" t="inlineStr">
        <is>
          <t>BARRO BLANCO</t>
        </is>
      </c>
      <c r="N221" t="n">
        <v>0.69784426704688</v>
      </c>
      <c r="O221" t="n">
        <v>2838.499558</v>
      </c>
      <c r="P221" t="inlineStr">
        <is>
          <t>BS1A</t>
        </is>
      </c>
      <c r="Q221" t="n">
        <v>2</v>
      </c>
      <c r="W221" t="n">
        <v>2</v>
      </c>
      <c r="X221" t="n">
        <v>0</v>
      </c>
      <c r="AA221" t="inlineStr">
        <is>
          <t>PNP_16T_02-11-2020</t>
        </is>
      </c>
      <c r="AB221" t="inlineStr">
        <is>
          <t>PNCP_2T_10-02-2020</t>
        </is>
      </c>
      <c r="AC221" t="inlineStr">
        <is>
          <t>PNCP_4T_30-04-2013</t>
        </is>
      </c>
      <c r="AD221" t="inlineStr">
        <is>
          <t>Barro Blanco 220</t>
        </is>
      </c>
      <c r="AE221" t="n">
        <v>111.133</v>
      </c>
      <c r="AF221" t="n">
        <v>1.080821157758461</v>
      </c>
      <c r="AG221" t="n">
        <v>120.1148977251711</v>
      </c>
      <c r="AH221" t="n">
        <v>779.3099999999999</v>
      </c>
      <c r="AI221" t="n">
        <v>0.879</v>
      </c>
      <c r="AJ221" t="n">
        <v>82.2803252917125</v>
      </c>
      <c r="AK221" t="n">
        <v>0.846</v>
      </c>
      <c r="AL221" t="n">
        <v>69.60899999999999</v>
      </c>
      <c r="AM221" t="n">
        <v>8.9176</v>
      </c>
      <c r="AN221" t="n">
        <v>9.638330756426855</v>
      </c>
      <c r="AO221" t="n">
        <v>0.804</v>
      </c>
      <c r="AP221" t="n">
        <v>6039.043023599974</v>
      </c>
      <c r="AQ221" t="n">
        <v>1.011820868379177</v>
      </c>
      <c r="AR221" t="n">
        <v>6110.4298</v>
      </c>
      <c r="AT221" t="inlineStr">
        <is>
          <t>PNP_19T_30-12-2020</t>
        </is>
      </c>
      <c r="AU221" t="inlineStr">
        <is>
          <t>PNCP_12T_10-08-2020</t>
        </is>
      </c>
      <c r="AV221" t="inlineStr">
        <is>
          <t>PNCP_4T_30-04-2013</t>
        </is>
      </c>
      <c r="AW221" t="inlineStr">
        <is>
          <t>Barro Blanco 220</t>
        </is>
      </c>
      <c r="AX221" t="n">
        <v>111.133</v>
      </c>
      <c r="AY221" t="n">
        <v>1.083385174100913</v>
      </c>
      <c r="AZ221" t="n">
        <v>120.3998445533567</v>
      </c>
      <c r="BA221" t="n">
        <v>801.49</v>
      </c>
      <c r="BB221" t="n">
        <v>0.905</v>
      </c>
      <c r="BC221" t="n">
        <v>87.33184062701827</v>
      </c>
      <c r="BD221" t="n">
        <v>0.7946</v>
      </c>
      <c r="BE221" t="n">
        <v>69.39400000000001</v>
      </c>
      <c r="BF221" t="n">
        <v>8.9176</v>
      </c>
      <c r="BG221" t="n">
        <v>0.77</v>
      </c>
      <c r="BH221" t="n">
        <v>5962.380796939026</v>
      </c>
      <c r="BI221" t="n">
        <v>1.047283473516708</v>
      </c>
      <c r="BJ221" t="n">
        <v>6244.3029</v>
      </c>
    </row>
    <row r="222">
      <c r="A222" t="n">
        <v>6156</v>
      </c>
      <c r="B222" t="inlineStr">
        <is>
          <t>01-03-2021</t>
        </is>
      </c>
      <c r="C222" t="n">
        <v>2021</v>
      </c>
      <c r="D222" t="n">
        <v>1</v>
      </c>
      <c r="E222" t="inlineStr">
        <is>
          <t>CAREN</t>
        </is>
      </c>
      <c r="F222" t="inlineStr">
        <is>
          <t>SUM_SAESA_A</t>
        </is>
      </c>
      <c r="G222" t="inlineStr">
        <is>
          <t>A</t>
        </is>
      </c>
      <c r="H222" t="inlineStr">
        <is>
          <t>SAESA</t>
        </is>
      </c>
      <c r="I222" t="inlineStr">
        <is>
          <t>SAESLAUNBLOQA</t>
        </is>
      </c>
      <c r="J222" t="inlineStr">
        <is>
          <t>L.UNION</t>
        </is>
      </c>
      <c r="K222" t="n">
        <v>-4067.52579607</v>
      </c>
      <c r="L222" t="inlineStr">
        <is>
          <t>LA UNION</t>
        </is>
      </c>
      <c r="M222" t="inlineStr">
        <is>
          <t>MELIPULLI</t>
        </is>
      </c>
      <c r="N222" t="n">
        <v>0.05477087158033</v>
      </c>
      <c r="O222" t="n">
        <v>222.781933</v>
      </c>
      <c r="P222" t="inlineStr">
        <is>
          <t>BS1A</t>
        </is>
      </c>
      <c r="Q222" t="n">
        <v>2</v>
      </c>
      <c r="W222" t="n">
        <v>2</v>
      </c>
      <c r="X222" t="n">
        <v>0</v>
      </c>
      <c r="AA222" t="inlineStr">
        <is>
          <t>PNP_16T_02-11-2020</t>
        </is>
      </c>
      <c r="AB222" t="inlineStr">
        <is>
          <t>PNCP_2T_10-02-2020</t>
        </is>
      </c>
      <c r="AC222" t="inlineStr">
        <is>
          <t>PNCP_4T_30-04-2013</t>
        </is>
      </c>
      <c r="AD222" t="inlineStr">
        <is>
          <t>MELIPULLI 220</t>
        </is>
      </c>
      <c r="AE222" t="n">
        <v>111.133</v>
      </c>
      <c r="AF222" t="n">
        <v>1.080821157758461</v>
      </c>
      <c r="AG222" t="n">
        <v>120.1148977251711</v>
      </c>
      <c r="AH222" t="n">
        <v>779.3099999999999</v>
      </c>
      <c r="AI222" t="n">
        <v>0.879</v>
      </c>
      <c r="AJ222" t="n">
        <v>82.2803252917125</v>
      </c>
      <c r="AK222" t="n">
        <v>0.8421</v>
      </c>
      <c r="AL222" t="n">
        <v>69.288</v>
      </c>
      <c r="AM222" t="n">
        <v>8.9176</v>
      </c>
      <c r="AN222" t="n">
        <v>9.638330756426855</v>
      </c>
      <c r="AO222" t="n">
        <v>0.804</v>
      </c>
      <c r="AP222" t="n">
        <v>6039.043023599974</v>
      </c>
      <c r="AQ222" t="n">
        <v>1</v>
      </c>
      <c r="AR222" t="n">
        <v>6039.043</v>
      </c>
      <c r="AT222" t="inlineStr">
        <is>
          <t>PNP_19T_30-12-2020</t>
        </is>
      </c>
      <c r="AU222" t="inlineStr">
        <is>
          <t>PNCP_12T_10-08-2020</t>
        </is>
      </c>
      <c r="AV222" t="inlineStr">
        <is>
          <t>PNCP_4T_30-04-2013</t>
        </is>
      </c>
      <c r="AW222" t="inlineStr">
        <is>
          <t>MELIPULLI 220</t>
        </is>
      </c>
      <c r="AX222" t="n">
        <v>111.133</v>
      </c>
      <c r="AY222" t="n">
        <v>1.083385174100913</v>
      </c>
      <c r="AZ222" t="n">
        <v>120.3998445533567</v>
      </c>
      <c r="BA222" t="n">
        <v>801.49</v>
      </c>
      <c r="BB222" t="n">
        <v>0.905</v>
      </c>
      <c r="BC222" t="n">
        <v>87.33184062701827</v>
      </c>
      <c r="BD222" t="n">
        <v>0.7824</v>
      </c>
      <c r="BE222" t="n">
        <v>68.328</v>
      </c>
      <c r="BF222" t="n">
        <v>8.9176</v>
      </c>
      <c r="BG222" t="n">
        <v>0.77</v>
      </c>
      <c r="BH222" t="n">
        <v>5962.380796939026</v>
      </c>
      <c r="BI222" t="n">
        <v>1</v>
      </c>
      <c r="BJ222" t="n">
        <v>5962.3808</v>
      </c>
    </row>
    <row r="223">
      <c r="A223" t="n">
        <v>6158</v>
      </c>
      <c r="B223" t="inlineStr">
        <is>
          <t>01-03-2021</t>
        </is>
      </c>
      <c r="C223" t="n">
        <v>2021</v>
      </c>
      <c r="D223" t="n">
        <v>1</v>
      </c>
      <c r="E223" t="inlineStr">
        <is>
          <t>CAREN</t>
        </is>
      </c>
      <c r="F223" t="inlineStr">
        <is>
          <t>SUM_SAESA_A</t>
        </is>
      </c>
      <c r="G223" t="inlineStr">
        <is>
          <t>A</t>
        </is>
      </c>
      <c r="H223" t="inlineStr">
        <is>
          <t>SAESA</t>
        </is>
      </c>
      <c r="I223" t="inlineStr">
        <is>
          <t>SAESLAUNBLOQA</t>
        </is>
      </c>
      <c r="J223" t="inlineStr">
        <is>
          <t>L.UNION</t>
        </is>
      </c>
      <c r="K223" t="n">
        <v>-4067.52579607</v>
      </c>
      <c r="L223" t="inlineStr">
        <is>
          <t>LA UNION</t>
        </is>
      </c>
      <c r="M223" t="inlineStr">
        <is>
          <t>VALDIVIA</t>
        </is>
      </c>
      <c r="N223" t="n">
        <v>0.26660855469556</v>
      </c>
      <c r="O223" t="n">
        <v>1084.437174</v>
      </c>
      <c r="P223" t="inlineStr">
        <is>
          <t>BS1A</t>
        </is>
      </c>
      <c r="Q223" t="n">
        <v>2</v>
      </c>
      <c r="W223" t="n">
        <v>2</v>
      </c>
      <c r="X223" t="n">
        <v>0</v>
      </c>
      <c r="AA223" t="inlineStr">
        <is>
          <t>PNP_16T_02-11-2020</t>
        </is>
      </c>
      <c r="AB223" t="inlineStr">
        <is>
          <t>PNCP_2T_10-02-2020</t>
        </is>
      </c>
      <c r="AC223" t="inlineStr">
        <is>
          <t>PNCP_4T_30-04-2013</t>
        </is>
      </c>
      <c r="AD223" t="inlineStr">
        <is>
          <t>VALDIVIA 220</t>
        </is>
      </c>
      <c r="AE223" t="n">
        <v>111.133</v>
      </c>
      <c r="AF223" t="n">
        <v>1.080821157758461</v>
      </c>
      <c r="AG223" t="n">
        <v>120.1148977251711</v>
      </c>
      <c r="AH223" t="n">
        <v>779.3099999999999</v>
      </c>
      <c r="AI223" t="n">
        <v>0.879</v>
      </c>
      <c r="AJ223" t="n">
        <v>82.2803252917125</v>
      </c>
      <c r="AK223" t="n">
        <v>0.9167</v>
      </c>
      <c r="AL223" t="n">
        <v>75.426</v>
      </c>
      <c r="AM223" t="n">
        <v>8.9176</v>
      </c>
      <c r="AN223" t="n">
        <v>9.638330756426855</v>
      </c>
      <c r="AO223" t="n">
        <v>0.804</v>
      </c>
      <c r="AP223" t="n">
        <v>6039.043023599974</v>
      </c>
      <c r="AQ223" t="n">
        <v>1.096052187605444</v>
      </c>
      <c r="AR223" t="n">
        <v>6619.1063</v>
      </c>
      <c r="AT223" t="inlineStr">
        <is>
          <t>PNP_19T_30-12-2020</t>
        </is>
      </c>
      <c r="AU223" t="inlineStr">
        <is>
          <t>PNCP_12T_10-08-2020</t>
        </is>
      </c>
      <c r="AV223" t="inlineStr">
        <is>
          <t>PNCP_4T_30-04-2013</t>
        </is>
      </c>
      <c r="AW223" t="inlineStr">
        <is>
          <t>VALDIVIA 220</t>
        </is>
      </c>
      <c r="AX223" t="n">
        <v>111.133</v>
      </c>
      <c r="AY223" t="n">
        <v>1.083385174100913</v>
      </c>
      <c r="AZ223" t="n">
        <v>120.3998445533567</v>
      </c>
      <c r="BA223" t="n">
        <v>801.49</v>
      </c>
      <c r="BB223" t="n">
        <v>0.905</v>
      </c>
      <c r="BC223" t="n">
        <v>87.33184062701827</v>
      </c>
      <c r="BD223" t="n">
        <v>0.8745000000000001</v>
      </c>
      <c r="BE223" t="n">
        <v>76.372</v>
      </c>
      <c r="BF223" t="n">
        <v>8.9176</v>
      </c>
      <c r="BG223" t="n">
        <v>0.77</v>
      </c>
      <c r="BH223" t="n">
        <v>5962.380796939026</v>
      </c>
      <c r="BI223" t="n">
        <v>1.148014846473962</v>
      </c>
      <c r="BJ223" t="n">
        <v>6844.9017</v>
      </c>
    </row>
    <row r="224">
      <c r="A224" t="n">
        <v>2065</v>
      </c>
      <c r="B224" t="inlineStr">
        <is>
          <t>01-03-2021</t>
        </is>
      </c>
      <c r="C224" t="n">
        <v>2021</v>
      </c>
      <c r="D224" t="n">
        <v>1</v>
      </c>
      <c r="E224" t="inlineStr">
        <is>
          <t>CAREN</t>
        </is>
      </c>
      <c r="F224" t="inlineStr">
        <is>
          <t>SUM_SAESA_A</t>
        </is>
      </c>
      <c r="G224" t="inlineStr">
        <is>
          <t>A</t>
        </is>
      </c>
      <c r="H224" t="inlineStr">
        <is>
          <t>SAESA</t>
        </is>
      </c>
      <c r="I224" t="inlineStr">
        <is>
          <t>SAESLONCBLOQA</t>
        </is>
      </c>
      <c r="J224" t="inlineStr">
        <is>
          <t>LONCOCHE2</t>
        </is>
      </c>
      <c r="K224" t="n">
        <v>-4159.50733591</v>
      </c>
      <c r="L224" t="inlineStr">
        <is>
          <t>LONCOCHE</t>
        </is>
      </c>
      <c r="M224" t="inlineStr">
        <is>
          <t>CAUTÍN</t>
        </is>
      </c>
      <c r="N224" t="n">
        <v>0.14466350564106</v>
      </c>
      <c r="O224" t="n">
        <v>601.728913</v>
      </c>
      <c r="P224" t="inlineStr">
        <is>
          <t>BS1A</t>
        </is>
      </c>
      <c r="Q224" t="n">
        <v>2</v>
      </c>
      <c r="W224" t="n">
        <v>2</v>
      </c>
      <c r="X224" t="n">
        <v>0</v>
      </c>
      <c r="AA224" t="inlineStr">
        <is>
          <t>PNP_16T_02-11-2020</t>
        </is>
      </c>
      <c r="AB224" t="inlineStr">
        <is>
          <t>PNCP_2T_10-02-2020</t>
        </is>
      </c>
      <c r="AC224" t="inlineStr">
        <is>
          <t>PNCP_4T_30-04-2013</t>
        </is>
      </c>
      <c r="AD224" t="inlineStr">
        <is>
          <t>CAUTÍN 220</t>
        </is>
      </c>
      <c r="AE224" t="n">
        <v>111.133</v>
      </c>
      <c r="AF224" t="n">
        <v>1.080821157758461</v>
      </c>
      <c r="AG224" t="n">
        <v>120.1148977251711</v>
      </c>
      <c r="AH224" t="n">
        <v>779.3099999999999</v>
      </c>
      <c r="AI224" t="n">
        <v>0.879</v>
      </c>
      <c r="AJ224" t="n">
        <v>82.2803252917125</v>
      </c>
      <c r="AK224" t="n">
        <v>0.9324</v>
      </c>
      <c r="AL224" t="n">
        <v>76.718</v>
      </c>
      <c r="AM224" t="n">
        <v>8.9176</v>
      </c>
      <c r="AN224" t="n">
        <v>9.638330756426855</v>
      </c>
      <c r="AO224" t="n">
        <v>0.804</v>
      </c>
      <c r="AP224" t="n">
        <v>6039.043023599974</v>
      </c>
      <c r="AQ224" t="n">
        <v>1.08558763355308</v>
      </c>
      <c r="AR224" t="n">
        <v>6555.9104</v>
      </c>
      <c r="AT224" t="inlineStr">
        <is>
          <t>PNP_19T_30-12-2020</t>
        </is>
      </c>
      <c r="AU224" t="inlineStr">
        <is>
          <t>PNCP_12T_10-08-2020</t>
        </is>
      </c>
      <c r="AV224" t="inlineStr">
        <is>
          <t>PNCP_4T_30-04-2013</t>
        </is>
      </c>
      <c r="AW224" t="inlineStr">
        <is>
          <t>CAUTÍN 220</t>
        </is>
      </c>
      <c r="AX224" t="n">
        <v>111.133</v>
      </c>
      <c r="AY224" t="n">
        <v>1.083385174100913</v>
      </c>
      <c r="AZ224" t="n">
        <v>120.3998445533567</v>
      </c>
      <c r="BA224" t="n">
        <v>801.49</v>
      </c>
      <c r="BB224" t="n">
        <v>0.905</v>
      </c>
      <c r="BC224" t="n">
        <v>87.33184062701827</v>
      </c>
      <c r="BD224" t="n">
        <v>0.9008</v>
      </c>
      <c r="BE224" t="n">
        <v>78.669</v>
      </c>
      <c r="BF224" t="n">
        <v>8.9176</v>
      </c>
      <c r="BG224" t="n">
        <v>0.77</v>
      </c>
      <c r="BH224" t="n">
        <v>5962.380796939026</v>
      </c>
      <c r="BI224" t="n">
        <v>0.9997726756080928</v>
      </c>
      <c r="BJ224" t="n">
        <v>5961.0254</v>
      </c>
    </row>
    <row r="225">
      <c r="A225" t="n">
        <v>2067</v>
      </c>
      <c r="B225" t="inlineStr">
        <is>
          <t>01-03-2021</t>
        </is>
      </c>
      <c r="C225" t="n">
        <v>2021</v>
      </c>
      <c r="D225" t="n">
        <v>1</v>
      </c>
      <c r="E225" t="inlineStr">
        <is>
          <t>CAREN</t>
        </is>
      </c>
      <c r="F225" t="inlineStr">
        <is>
          <t>SUM_SAESA_A</t>
        </is>
      </c>
      <c r="G225" t="inlineStr">
        <is>
          <t>A</t>
        </is>
      </c>
      <c r="H225" t="inlineStr">
        <is>
          <t>SAESA</t>
        </is>
      </c>
      <c r="I225" t="inlineStr">
        <is>
          <t>SAESLONCBLOQA</t>
        </is>
      </c>
      <c r="J225" t="inlineStr">
        <is>
          <t>LONCOCHE2</t>
        </is>
      </c>
      <c r="K225" t="n">
        <v>-4159.50733591</v>
      </c>
      <c r="L225" t="inlineStr">
        <is>
          <t>LONCOCHE</t>
        </is>
      </c>
      <c r="M225" t="inlineStr">
        <is>
          <t>CHARRUA</t>
        </is>
      </c>
      <c r="N225" t="n">
        <v>0.04479645833059</v>
      </c>
      <c r="O225" t="n">
        <v>186.331197</v>
      </c>
      <c r="P225" t="inlineStr">
        <is>
          <t>BS1A</t>
        </is>
      </c>
      <c r="Q225" t="n">
        <v>2</v>
      </c>
      <c r="W225" t="n">
        <v>2</v>
      </c>
      <c r="X225" t="n">
        <v>0</v>
      </c>
      <c r="AA225" t="inlineStr">
        <is>
          <t>PNP_16T_02-11-2020</t>
        </is>
      </c>
      <c r="AB225" t="inlineStr">
        <is>
          <t>PNCP_2T_10-02-2020</t>
        </is>
      </c>
      <c r="AC225" t="inlineStr">
        <is>
          <t>PNCP_4T_30-04-2013</t>
        </is>
      </c>
      <c r="AD225" t="inlineStr">
        <is>
          <t>CHARRUA 220</t>
        </is>
      </c>
      <c r="AE225" t="n">
        <v>111.133</v>
      </c>
      <c r="AF225" t="n">
        <v>1.080821157758461</v>
      </c>
      <c r="AG225" t="n">
        <v>120.1148977251711</v>
      </c>
      <c r="AH225" t="n">
        <v>779.3099999999999</v>
      </c>
      <c r="AI225" t="n">
        <v>0.879</v>
      </c>
      <c r="AJ225" t="n">
        <v>82.2803252917125</v>
      </c>
      <c r="AK225" t="n">
        <v>0.9312</v>
      </c>
      <c r="AL225" t="n">
        <v>76.619</v>
      </c>
      <c r="AM225" t="n">
        <v>8.9176</v>
      </c>
      <c r="AN225" t="n">
        <v>9.638330756426855</v>
      </c>
      <c r="AO225" t="n">
        <v>0.804</v>
      </c>
      <c r="AP225" t="n">
        <v>6039.043023599974</v>
      </c>
      <c r="AQ225" t="n">
        <v>1.118773062730627</v>
      </c>
      <c r="AR225" t="n">
        <v>6756.3187</v>
      </c>
      <c r="AT225" t="inlineStr">
        <is>
          <t>PNP_19T_30-12-2020</t>
        </is>
      </c>
      <c r="AU225" t="inlineStr">
        <is>
          <t>PNCP_12T_10-08-2020</t>
        </is>
      </c>
      <c r="AV225" t="inlineStr">
        <is>
          <t>PNCP_4T_30-04-2013</t>
        </is>
      </c>
      <c r="AW225" t="inlineStr">
        <is>
          <t>CHARRUA 220</t>
        </is>
      </c>
      <c r="AX225" t="n">
        <v>111.133</v>
      </c>
      <c r="AY225" t="n">
        <v>1.083385174100913</v>
      </c>
      <c r="AZ225" t="n">
        <v>120.3998445533567</v>
      </c>
      <c r="BA225" t="n">
        <v>801.49</v>
      </c>
      <c r="BB225" t="n">
        <v>0.905</v>
      </c>
      <c r="BC225" t="n">
        <v>87.33184062701827</v>
      </c>
      <c r="BD225" t="n">
        <v>0.8997000000000001</v>
      </c>
      <c r="BE225" t="n">
        <v>78.572</v>
      </c>
      <c r="BF225" t="n">
        <v>8.9176</v>
      </c>
      <c r="BG225" t="n">
        <v>0.77</v>
      </c>
      <c r="BH225" t="n">
        <v>5962.380796939026</v>
      </c>
      <c r="BI225" t="n">
        <v>1.026176199261993</v>
      </c>
      <c r="BJ225" t="n">
        <v>6118.4533</v>
      </c>
    </row>
    <row r="226">
      <c r="A226" t="n">
        <v>2069</v>
      </c>
      <c r="B226" t="inlineStr">
        <is>
          <t>01-03-2021</t>
        </is>
      </c>
      <c r="C226" t="n">
        <v>2021</v>
      </c>
      <c r="D226" t="n">
        <v>1</v>
      </c>
      <c r="E226" t="inlineStr">
        <is>
          <t>CAREN</t>
        </is>
      </c>
      <c r="F226" t="inlineStr">
        <is>
          <t>SUM_SAESA_A</t>
        </is>
      </c>
      <c r="G226" t="inlineStr">
        <is>
          <t>A</t>
        </is>
      </c>
      <c r="H226" t="inlineStr">
        <is>
          <t>SAESA</t>
        </is>
      </c>
      <c r="I226" t="inlineStr">
        <is>
          <t>SAESLONCBLOQA</t>
        </is>
      </c>
      <c r="J226" t="inlineStr">
        <is>
          <t>LONCOCHE2</t>
        </is>
      </c>
      <c r="K226" t="n">
        <v>-4159.50733591</v>
      </c>
      <c r="L226" t="inlineStr">
        <is>
          <t>LONCOCHE</t>
        </is>
      </c>
      <c r="M226" t="inlineStr">
        <is>
          <t>TEMUCO</t>
        </is>
      </c>
      <c r="N226" t="n">
        <v>0.81998113373673</v>
      </c>
      <c r="O226" t="n">
        <v>3410.717541</v>
      </c>
      <c r="P226" t="inlineStr">
        <is>
          <t>BS1A</t>
        </is>
      </c>
      <c r="Q226" t="n">
        <v>2</v>
      </c>
      <c r="W226" t="n">
        <v>2</v>
      </c>
      <c r="X226" t="n">
        <v>0</v>
      </c>
      <c r="AA226" t="inlineStr">
        <is>
          <t>PNP_16T_02-11-2020</t>
        </is>
      </c>
      <c r="AB226" t="inlineStr">
        <is>
          <t>PNCP_2T_10-02-2020</t>
        </is>
      </c>
      <c r="AC226" t="inlineStr">
        <is>
          <t>PNCP_4T_30-04-2013</t>
        </is>
      </c>
      <c r="AD226" t="inlineStr">
        <is>
          <t>TEMUCO 220</t>
        </is>
      </c>
      <c r="AE226" t="n">
        <v>111.133</v>
      </c>
      <c r="AF226" t="n">
        <v>1.080821157758461</v>
      </c>
      <c r="AG226" t="n">
        <v>120.1148977251711</v>
      </c>
      <c r="AH226" t="n">
        <v>779.3099999999999</v>
      </c>
      <c r="AI226" t="n">
        <v>0.879</v>
      </c>
      <c r="AJ226" t="n">
        <v>82.2803252917125</v>
      </c>
      <c r="AK226" t="n">
        <v>0.9286</v>
      </c>
      <c r="AL226" t="n">
        <v>76.40600000000001</v>
      </c>
      <c r="AM226" t="n">
        <v>8.9176</v>
      </c>
      <c r="AN226" t="n">
        <v>9.638330756426855</v>
      </c>
      <c r="AO226" t="n">
        <v>0.804</v>
      </c>
      <c r="AP226" t="n">
        <v>6039.043023599974</v>
      </c>
      <c r="AQ226" t="n">
        <v>1.081160734527318</v>
      </c>
      <c r="AR226" t="n">
        <v>6529.1762</v>
      </c>
      <c r="AT226" t="inlineStr">
        <is>
          <t>PNP_19T_30-12-2020</t>
        </is>
      </c>
      <c r="AU226" t="inlineStr">
        <is>
          <t>PNCP_12T_10-08-2020</t>
        </is>
      </c>
      <c r="AV226" t="inlineStr">
        <is>
          <t>PNCP_4T_30-04-2013</t>
        </is>
      </c>
      <c r="AW226" t="inlineStr">
        <is>
          <t>TEMUCO 220</t>
        </is>
      </c>
      <c r="AX226" t="n">
        <v>111.133</v>
      </c>
      <c r="AY226" t="n">
        <v>1.083385174100913</v>
      </c>
      <c r="AZ226" t="n">
        <v>120.3998445533567</v>
      </c>
      <c r="BA226" t="n">
        <v>801.49</v>
      </c>
      <c r="BB226" t="n">
        <v>0.905</v>
      </c>
      <c r="BC226" t="n">
        <v>87.33184062701827</v>
      </c>
      <c r="BD226" t="n">
        <v>0.8882</v>
      </c>
      <c r="BE226" t="n">
        <v>77.568</v>
      </c>
      <c r="BF226" t="n">
        <v>8.9176</v>
      </c>
      <c r="BG226" t="n">
        <v>0.77</v>
      </c>
      <c r="BH226" t="n">
        <v>5962.380796939026</v>
      </c>
      <c r="BI226" t="n">
        <v>0.9902516436182273</v>
      </c>
      <c r="BJ226" t="n">
        <v>5904.2574</v>
      </c>
    </row>
    <row r="227">
      <c r="A227" t="n">
        <v>4291</v>
      </c>
      <c r="B227" t="inlineStr">
        <is>
          <t>01-03-2021</t>
        </is>
      </c>
      <c r="C227" t="n">
        <v>2021</v>
      </c>
      <c r="D227" t="n">
        <v>1</v>
      </c>
      <c r="E227" t="inlineStr">
        <is>
          <t>CAREN</t>
        </is>
      </c>
      <c r="F227" t="inlineStr">
        <is>
          <t>SUM_SAESA_A</t>
        </is>
      </c>
      <c r="G227" t="inlineStr">
        <is>
          <t>A</t>
        </is>
      </c>
      <c r="H227" t="inlineStr">
        <is>
          <t>SAESA</t>
        </is>
      </c>
      <c r="I227" t="inlineStr">
        <is>
          <t>SAESLTAMBLOQA</t>
        </is>
      </c>
      <c r="J227" t="inlineStr">
        <is>
          <t>LOS_TAMBORES</t>
        </is>
      </c>
      <c r="K227" t="n">
        <v>-3262.78761</v>
      </c>
      <c r="L227" t="inlineStr">
        <is>
          <t>LOS TAMBORES</t>
        </is>
      </c>
      <c r="M227" t="inlineStr">
        <is>
          <t>BARRO BLANCO</t>
        </is>
      </c>
      <c r="N227" t="n">
        <v>0.75545534124308</v>
      </c>
      <c r="O227" t="n">
        <v>2464.890327</v>
      </c>
      <c r="P227" t="inlineStr">
        <is>
          <t>BS1A</t>
        </is>
      </c>
      <c r="Q227" t="n">
        <v>2</v>
      </c>
      <c r="W227" t="n">
        <v>2</v>
      </c>
      <c r="X227" t="n">
        <v>0</v>
      </c>
      <c r="AA227" t="inlineStr">
        <is>
          <t>PNP_16T_02-11-2020</t>
        </is>
      </c>
      <c r="AB227" t="inlineStr">
        <is>
          <t>PNCP_2T_10-02-2020</t>
        </is>
      </c>
      <c r="AC227" t="inlineStr">
        <is>
          <t>PNCP_4T_30-04-2013</t>
        </is>
      </c>
      <c r="AD227" t="inlineStr">
        <is>
          <t>Barro Blanco 220</t>
        </is>
      </c>
      <c r="AE227" t="n">
        <v>111.133</v>
      </c>
      <c r="AF227" t="n">
        <v>1.080821157758461</v>
      </c>
      <c r="AG227" t="n">
        <v>120.1148977251711</v>
      </c>
      <c r="AH227" t="n">
        <v>779.3099999999999</v>
      </c>
      <c r="AI227" t="n">
        <v>0.879</v>
      </c>
      <c r="AJ227" t="n">
        <v>82.2803252917125</v>
      </c>
      <c r="AK227" t="n">
        <v>0.846</v>
      </c>
      <c r="AL227" t="n">
        <v>69.60899999999999</v>
      </c>
      <c r="AM227" t="n">
        <v>8.9176</v>
      </c>
      <c r="AN227" t="n">
        <v>9.638330756426855</v>
      </c>
      <c r="AO227" t="n">
        <v>0.804</v>
      </c>
      <c r="AP227" t="n">
        <v>6039.043023599974</v>
      </c>
      <c r="AQ227" t="n">
        <v>1.011820868379177</v>
      </c>
      <c r="AR227" t="n">
        <v>6110.4298</v>
      </c>
      <c r="AT227" t="inlineStr">
        <is>
          <t>PNP_19T_30-12-2020</t>
        </is>
      </c>
      <c r="AU227" t="inlineStr">
        <is>
          <t>PNCP_12T_10-08-2020</t>
        </is>
      </c>
      <c r="AV227" t="inlineStr">
        <is>
          <t>PNCP_4T_30-04-2013</t>
        </is>
      </c>
      <c r="AW227" t="inlineStr">
        <is>
          <t>Barro Blanco 220</t>
        </is>
      </c>
      <c r="AX227" t="n">
        <v>111.133</v>
      </c>
      <c r="AY227" t="n">
        <v>1.083385174100913</v>
      </c>
      <c r="AZ227" t="n">
        <v>120.3998445533567</v>
      </c>
      <c r="BA227" t="n">
        <v>801.49</v>
      </c>
      <c r="BB227" t="n">
        <v>0.905</v>
      </c>
      <c r="BC227" t="n">
        <v>87.33184062701827</v>
      </c>
      <c r="BD227" t="n">
        <v>0.7946</v>
      </c>
      <c r="BE227" t="n">
        <v>69.39400000000001</v>
      </c>
      <c r="BF227" t="n">
        <v>8.9176</v>
      </c>
      <c r="BG227" t="n">
        <v>0.77</v>
      </c>
      <c r="BH227" t="n">
        <v>5962.380796939026</v>
      </c>
      <c r="BI227" t="n">
        <v>1.047283473516708</v>
      </c>
      <c r="BJ227" t="n">
        <v>6244.3029</v>
      </c>
    </row>
    <row r="228">
      <c r="A228" t="n">
        <v>4293</v>
      </c>
      <c r="B228" t="inlineStr">
        <is>
          <t>01-03-2021</t>
        </is>
      </c>
      <c r="C228" t="n">
        <v>2021</v>
      </c>
      <c r="D228" t="n">
        <v>1</v>
      </c>
      <c r="E228" t="inlineStr">
        <is>
          <t>CAREN</t>
        </is>
      </c>
      <c r="F228" t="inlineStr">
        <is>
          <t>SUM_SAESA_A</t>
        </is>
      </c>
      <c r="G228" t="inlineStr">
        <is>
          <t>A</t>
        </is>
      </c>
      <c r="H228" t="inlineStr">
        <is>
          <t>SAESA</t>
        </is>
      </c>
      <c r="I228" t="inlineStr">
        <is>
          <t>SAESLTAMBLOQA</t>
        </is>
      </c>
      <c r="J228" t="inlineStr">
        <is>
          <t>LOS_TAMBORES</t>
        </is>
      </c>
      <c r="K228" t="n">
        <v>-3262.78761</v>
      </c>
      <c r="L228" t="inlineStr">
        <is>
          <t>LOS TAMBORES</t>
        </is>
      </c>
      <c r="M228" t="inlineStr">
        <is>
          <t>MELIPULLI</t>
        </is>
      </c>
      <c r="N228" t="n">
        <v>0.04254585600052</v>
      </c>
      <c r="O228" t="n">
        <v>138.818092</v>
      </c>
      <c r="P228" t="inlineStr">
        <is>
          <t>BS1A</t>
        </is>
      </c>
      <c r="Q228" t="n">
        <v>2</v>
      </c>
      <c r="W228" t="n">
        <v>2</v>
      </c>
      <c r="X228" t="n">
        <v>0</v>
      </c>
      <c r="AA228" t="inlineStr">
        <is>
          <t>PNP_16T_02-11-2020</t>
        </is>
      </c>
      <c r="AB228" t="inlineStr">
        <is>
          <t>PNCP_2T_10-02-2020</t>
        </is>
      </c>
      <c r="AC228" t="inlineStr">
        <is>
          <t>PNCP_4T_30-04-2013</t>
        </is>
      </c>
      <c r="AD228" t="inlineStr">
        <is>
          <t>MELIPULLI 220</t>
        </is>
      </c>
      <c r="AE228" t="n">
        <v>111.133</v>
      </c>
      <c r="AF228" t="n">
        <v>1.080821157758461</v>
      </c>
      <c r="AG228" t="n">
        <v>120.1148977251711</v>
      </c>
      <c r="AH228" t="n">
        <v>779.3099999999999</v>
      </c>
      <c r="AI228" t="n">
        <v>0.879</v>
      </c>
      <c r="AJ228" t="n">
        <v>82.2803252917125</v>
      </c>
      <c r="AK228" t="n">
        <v>0.8421</v>
      </c>
      <c r="AL228" t="n">
        <v>69.288</v>
      </c>
      <c r="AM228" t="n">
        <v>8.9176</v>
      </c>
      <c r="AN228" t="n">
        <v>9.638330756426855</v>
      </c>
      <c r="AO228" t="n">
        <v>0.804</v>
      </c>
      <c r="AP228" t="n">
        <v>6039.043023599974</v>
      </c>
      <c r="AQ228" t="n">
        <v>1</v>
      </c>
      <c r="AR228" t="n">
        <v>6039.043</v>
      </c>
      <c r="AT228" t="inlineStr">
        <is>
          <t>PNP_19T_30-12-2020</t>
        </is>
      </c>
      <c r="AU228" t="inlineStr">
        <is>
          <t>PNCP_12T_10-08-2020</t>
        </is>
      </c>
      <c r="AV228" t="inlineStr">
        <is>
          <t>PNCP_4T_30-04-2013</t>
        </is>
      </c>
      <c r="AW228" t="inlineStr">
        <is>
          <t>MELIPULLI 220</t>
        </is>
      </c>
      <c r="AX228" t="n">
        <v>111.133</v>
      </c>
      <c r="AY228" t="n">
        <v>1.083385174100913</v>
      </c>
      <c r="AZ228" t="n">
        <v>120.3998445533567</v>
      </c>
      <c r="BA228" t="n">
        <v>801.49</v>
      </c>
      <c r="BB228" t="n">
        <v>0.905</v>
      </c>
      <c r="BC228" t="n">
        <v>87.33184062701827</v>
      </c>
      <c r="BD228" t="n">
        <v>0.7824</v>
      </c>
      <c r="BE228" t="n">
        <v>68.328</v>
      </c>
      <c r="BF228" t="n">
        <v>8.9176</v>
      </c>
      <c r="BG228" t="n">
        <v>0.77</v>
      </c>
      <c r="BH228" t="n">
        <v>5962.380796939026</v>
      </c>
      <c r="BI228" t="n">
        <v>1</v>
      </c>
      <c r="BJ228" t="n">
        <v>5962.3808</v>
      </c>
    </row>
    <row r="229">
      <c r="A229" t="n">
        <v>4295</v>
      </c>
      <c r="B229" t="inlineStr">
        <is>
          <t>01-03-2021</t>
        </is>
      </c>
      <c r="C229" t="n">
        <v>2021</v>
      </c>
      <c r="D229" t="n">
        <v>1</v>
      </c>
      <c r="E229" t="inlineStr">
        <is>
          <t>CAREN</t>
        </is>
      </c>
      <c r="F229" t="inlineStr">
        <is>
          <t>SUM_SAESA_A</t>
        </is>
      </c>
      <c r="G229" t="inlineStr">
        <is>
          <t>A</t>
        </is>
      </c>
      <c r="H229" t="inlineStr">
        <is>
          <t>SAESA</t>
        </is>
      </c>
      <c r="I229" t="inlineStr">
        <is>
          <t>SAESLTAMBLOQA</t>
        </is>
      </c>
      <c r="J229" t="inlineStr">
        <is>
          <t>LOS_TAMBORES</t>
        </is>
      </c>
      <c r="K229" t="n">
        <v>-3262.78761</v>
      </c>
      <c r="L229" t="inlineStr">
        <is>
          <t>LOS TAMBORES</t>
        </is>
      </c>
      <c r="M229" t="inlineStr">
        <is>
          <t>VALDIVIA</t>
        </is>
      </c>
      <c r="N229" t="n">
        <v>0.15079558340347</v>
      </c>
      <c r="O229" t="n">
        <v>492.013961</v>
      </c>
      <c r="P229" t="inlineStr">
        <is>
          <t>BS1A</t>
        </is>
      </c>
      <c r="Q229" t="n">
        <v>2</v>
      </c>
      <c r="W229" t="n">
        <v>2</v>
      </c>
      <c r="X229" t="n">
        <v>0</v>
      </c>
      <c r="AA229" t="inlineStr">
        <is>
          <t>PNP_16T_02-11-2020</t>
        </is>
      </c>
      <c r="AB229" t="inlineStr">
        <is>
          <t>PNCP_2T_10-02-2020</t>
        </is>
      </c>
      <c r="AC229" t="inlineStr">
        <is>
          <t>PNCP_4T_30-04-2013</t>
        </is>
      </c>
      <c r="AD229" t="inlineStr">
        <is>
          <t>VALDIVIA 220</t>
        </is>
      </c>
      <c r="AE229" t="n">
        <v>111.133</v>
      </c>
      <c r="AF229" t="n">
        <v>1.080821157758461</v>
      </c>
      <c r="AG229" t="n">
        <v>120.1148977251711</v>
      </c>
      <c r="AH229" t="n">
        <v>779.3099999999999</v>
      </c>
      <c r="AI229" t="n">
        <v>0.879</v>
      </c>
      <c r="AJ229" t="n">
        <v>82.2803252917125</v>
      </c>
      <c r="AK229" t="n">
        <v>0.9167</v>
      </c>
      <c r="AL229" t="n">
        <v>75.426</v>
      </c>
      <c r="AM229" t="n">
        <v>8.9176</v>
      </c>
      <c r="AN229" t="n">
        <v>9.638330756426855</v>
      </c>
      <c r="AO229" t="n">
        <v>0.804</v>
      </c>
      <c r="AP229" t="n">
        <v>6039.043023599974</v>
      </c>
      <c r="AQ229" t="n">
        <v>1.096052187605444</v>
      </c>
      <c r="AR229" t="n">
        <v>6619.1063</v>
      </c>
      <c r="AT229" t="inlineStr">
        <is>
          <t>PNP_19T_30-12-2020</t>
        </is>
      </c>
      <c r="AU229" t="inlineStr">
        <is>
          <t>PNCP_12T_10-08-2020</t>
        </is>
      </c>
      <c r="AV229" t="inlineStr">
        <is>
          <t>PNCP_4T_30-04-2013</t>
        </is>
      </c>
      <c r="AW229" t="inlineStr">
        <is>
          <t>VALDIVIA 220</t>
        </is>
      </c>
      <c r="AX229" t="n">
        <v>111.133</v>
      </c>
      <c r="AY229" t="n">
        <v>1.083385174100913</v>
      </c>
      <c r="AZ229" t="n">
        <v>120.3998445533567</v>
      </c>
      <c r="BA229" t="n">
        <v>801.49</v>
      </c>
      <c r="BB229" t="n">
        <v>0.905</v>
      </c>
      <c r="BC229" t="n">
        <v>87.33184062701827</v>
      </c>
      <c r="BD229" t="n">
        <v>0.8745000000000001</v>
      </c>
      <c r="BE229" t="n">
        <v>76.372</v>
      </c>
      <c r="BF229" t="n">
        <v>8.9176</v>
      </c>
      <c r="BG229" t="n">
        <v>0.77</v>
      </c>
      <c r="BH229" t="n">
        <v>5962.380796939026</v>
      </c>
      <c r="BI229" t="n">
        <v>1.148014846473962</v>
      </c>
      <c r="BJ229" t="n">
        <v>6844.9017</v>
      </c>
    </row>
    <row r="230">
      <c r="A230" t="n">
        <v>689</v>
      </c>
      <c r="B230" t="inlineStr">
        <is>
          <t>01-03-2021</t>
        </is>
      </c>
      <c r="C230" t="n">
        <v>2021</v>
      </c>
      <c r="D230" t="n">
        <v>1</v>
      </c>
      <c r="E230" t="inlineStr">
        <is>
          <t>CAREN</t>
        </is>
      </c>
      <c r="F230" t="inlineStr">
        <is>
          <t>SUM_SAESA_A</t>
        </is>
      </c>
      <c r="G230" t="inlineStr">
        <is>
          <t>A</t>
        </is>
      </c>
      <c r="H230" t="inlineStr">
        <is>
          <t>SAESA</t>
        </is>
      </c>
      <c r="I230" t="inlineStr">
        <is>
          <t>SAESMARIBLOQA</t>
        </is>
      </c>
      <c r="J230" t="inlineStr">
        <is>
          <t>MARIQUINA</t>
        </is>
      </c>
      <c r="K230" t="n">
        <v>-3372.39603697</v>
      </c>
      <c r="L230" t="inlineStr">
        <is>
          <t>MARIQUINA</t>
        </is>
      </c>
      <c r="M230" t="inlineStr">
        <is>
          <t>LOS CIRUELOS</t>
        </is>
      </c>
      <c r="N230" t="n">
        <v>0.8657261296708</v>
      </c>
      <c r="O230" t="n">
        <v>2919.571369</v>
      </c>
      <c r="P230" t="inlineStr">
        <is>
          <t>BS1A</t>
        </is>
      </c>
      <c r="Q230" t="n">
        <v>2</v>
      </c>
      <c r="W230" t="n">
        <v>2</v>
      </c>
      <c r="X230" t="n">
        <v>0</v>
      </c>
    </row>
    <row r="231">
      <c r="A231" t="n">
        <v>5433</v>
      </c>
      <c r="B231" t="inlineStr">
        <is>
          <t>01-03-2021</t>
        </is>
      </c>
      <c r="C231" t="n">
        <v>2021</v>
      </c>
      <c r="D231" t="n">
        <v>1</v>
      </c>
      <c r="E231" t="inlineStr">
        <is>
          <t>CAREN</t>
        </is>
      </c>
      <c r="F231" t="inlineStr">
        <is>
          <t>SUM_SAESA_A</t>
        </is>
      </c>
      <c r="G231" t="inlineStr">
        <is>
          <t>A</t>
        </is>
      </c>
      <c r="H231" t="inlineStr">
        <is>
          <t>SAESA</t>
        </is>
      </c>
      <c r="I231" t="inlineStr">
        <is>
          <t>SAESMELIBLOQA</t>
        </is>
      </c>
      <c r="J231" t="inlineStr">
        <is>
          <t>MELIPULLI</t>
        </is>
      </c>
      <c r="K231" t="n">
        <v>-35892.18758295</v>
      </c>
      <c r="L231" t="inlineStr">
        <is>
          <t>MELIPULLI</t>
        </is>
      </c>
      <c r="M231" t="inlineStr">
        <is>
          <t>Barro Blanco</t>
        </is>
      </c>
      <c r="N231" t="n">
        <v>0.01002306488906</v>
      </c>
      <c r="O231" t="n">
        <v>359.749725</v>
      </c>
      <c r="P231" t="inlineStr">
        <is>
          <t>BS1A</t>
        </is>
      </c>
      <c r="Q231" t="n">
        <v>2</v>
      </c>
      <c r="W231" t="n">
        <v>2</v>
      </c>
      <c r="X231" t="n">
        <v>0</v>
      </c>
      <c r="AA231" t="inlineStr">
        <is>
          <t>PNP_16T_02-11-2020</t>
        </is>
      </c>
      <c r="AB231" t="inlineStr">
        <is>
          <t>PNCP_2T_10-02-2020</t>
        </is>
      </c>
      <c r="AC231" t="inlineStr">
        <is>
          <t>PNCP_4T_30-04-2013</t>
        </is>
      </c>
      <c r="AD231" t="inlineStr">
        <is>
          <t>Barro Blanco 220</t>
        </is>
      </c>
      <c r="AE231" t="n">
        <v>111.133</v>
      </c>
      <c r="AF231" t="n">
        <v>1.080821157758461</v>
      </c>
      <c r="AG231" t="n">
        <v>120.1148977251711</v>
      </c>
      <c r="AH231" t="n">
        <v>779.3099999999999</v>
      </c>
      <c r="AI231" t="n">
        <v>0.879</v>
      </c>
      <c r="AJ231" t="n">
        <v>82.2803252917125</v>
      </c>
      <c r="AK231" t="n">
        <v>0.846</v>
      </c>
      <c r="AL231" t="n">
        <v>69.60899999999999</v>
      </c>
      <c r="AM231" t="n">
        <v>8.9176</v>
      </c>
      <c r="AN231" t="n">
        <v>9.638330756426855</v>
      </c>
      <c r="AO231" t="n">
        <v>0.804</v>
      </c>
      <c r="AP231" t="n">
        <v>6039.043023599974</v>
      </c>
      <c r="AQ231" t="n">
        <v>1.011820868379177</v>
      </c>
      <c r="AR231" t="n">
        <v>6110.4298</v>
      </c>
      <c r="AT231" t="inlineStr">
        <is>
          <t>PNP_19T_30-12-2020</t>
        </is>
      </c>
      <c r="AU231" t="inlineStr">
        <is>
          <t>PNCP_12T_10-08-2020</t>
        </is>
      </c>
      <c r="AV231" t="inlineStr">
        <is>
          <t>PNCP_4T_30-04-2013</t>
        </is>
      </c>
      <c r="AW231" t="inlineStr">
        <is>
          <t>Barro Blanco 220</t>
        </is>
      </c>
      <c r="AX231" t="n">
        <v>111.133</v>
      </c>
      <c r="AY231" t="n">
        <v>1.083385174100913</v>
      </c>
      <c r="AZ231" t="n">
        <v>120.3998445533567</v>
      </c>
      <c r="BA231" t="n">
        <v>801.49</v>
      </c>
      <c r="BB231" t="n">
        <v>0.905</v>
      </c>
      <c r="BC231" t="n">
        <v>87.33184062701827</v>
      </c>
      <c r="BD231" t="n">
        <v>0.7946</v>
      </c>
      <c r="BE231" t="n">
        <v>69.39400000000001</v>
      </c>
      <c r="BF231" t="n">
        <v>8.9176</v>
      </c>
      <c r="BG231" t="n">
        <v>0.77</v>
      </c>
      <c r="BH231" t="n">
        <v>5962.380796939026</v>
      </c>
      <c r="BI231" t="n">
        <v>1.047283473516708</v>
      </c>
      <c r="BJ231" t="n">
        <v>6244.3029</v>
      </c>
    </row>
    <row r="232">
      <c r="A232" t="n">
        <v>5435</v>
      </c>
      <c r="B232" t="inlineStr">
        <is>
          <t>01-03-2021</t>
        </is>
      </c>
      <c r="C232" t="n">
        <v>2021</v>
      </c>
      <c r="D232" t="n">
        <v>1</v>
      </c>
      <c r="E232" t="inlineStr">
        <is>
          <t>CAREN</t>
        </is>
      </c>
      <c r="F232" t="inlineStr">
        <is>
          <t>SUM_SAESA_A</t>
        </is>
      </c>
      <c r="G232" t="inlineStr">
        <is>
          <t>A</t>
        </is>
      </c>
      <c r="H232" t="inlineStr">
        <is>
          <t>SAESA</t>
        </is>
      </c>
      <c r="I232" t="inlineStr">
        <is>
          <t>SAESMELIBLOQA</t>
        </is>
      </c>
      <c r="J232" t="inlineStr">
        <is>
          <t>MELIPULLI</t>
        </is>
      </c>
      <c r="K232" t="n">
        <v>-35892.18758295</v>
      </c>
      <c r="L232" t="inlineStr">
        <is>
          <t>MELIPULLI</t>
        </is>
      </c>
      <c r="M232" t="inlineStr">
        <is>
          <t>MELIPULLI</t>
        </is>
      </c>
      <c r="N232" t="n">
        <v>0.76027818246183</v>
      </c>
      <c r="O232" t="n">
        <v>27288.04714</v>
      </c>
      <c r="P232" t="inlineStr">
        <is>
          <t>BS1A</t>
        </is>
      </c>
      <c r="Q232" t="n">
        <v>2</v>
      </c>
      <c r="W232" t="n">
        <v>2</v>
      </c>
      <c r="X232" t="n">
        <v>0</v>
      </c>
      <c r="AA232" t="inlineStr">
        <is>
          <t>PNP_16T_02-11-2020</t>
        </is>
      </c>
      <c r="AB232" t="inlineStr">
        <is>
          <t>PNCP_2T_10-02-2020</t>
        </is>
      </c>
      <c r="AC232" t="inlineStr">
        <is>
          <t>PNCP_4T_30-04-2013</t>
        </is>
      </c>
      <c r="AD232" t="inlineStr">
        <is>
          <t>MELIPULLI 220</t>
        </is>
      </c>
      <c r="AE232" t="n">
        <v>111.133</v>
      </c>
      <c r="AF232" t="n">
        <v>1.080821157758461</v>
      </c>
      <c r="AG232" t="n">
        <v>120.1148977251711</v>
      </c>
      <c r="AH232" t="n">
        <v>779.3099999999999</v>
      </c>
      <c r="AI232" t="n">
        <v>0.879</v>
      </c>
      <c r="AJ232" t="n">
        <v>82.2803252917125</v>
      </c>
      <c r="AK232" t="n">
        <v>0.8421</v>
      </c>
      <c r="AL232" t="n">
        <v>69.288</v>
      </c>
      <c r="AM232" t="n">
        <v>8.9176</v>
      </c>
      <c r="AN232" t="n">
        <v>9.638330756426855</v>
      </c>
      <c r="AO232" t="n">
        <v>0.804</v>
      </c>
      <c r="AP232" t="n">
        <v>6039.043023599974</v>
      </c>
      <c r="AQ232" t="n">
        <v>1</v>
      </c>
      <c r="AR232" t="n">
        <v>6039.043</v>
      </c>
      <c r="AT232" t="inlineStr">
        <is>
          <t>PNP_19T_30-12-2020</t>
        </is>
      </c>
      <c r="AU232" t="inlineStr">
        <is>
          <t>PNCP_12T_10-08-2020</t>
        </is>
      </c>
      <c r="AV232" t="inlineStr">
        <is>
          <t>PNCP_4T_30-04-2013</t>
        </is>
      </c>
      <c r="AW232" t="inlineStr">
        <is>
          <t>MELIPULLI 220</t>
        </is>
      </c>
      <c r="AX232" t="n">
        <v>111.133</v>
      </c>
      <c r="AY232" t="n">
        <v>1.083385174100913</v>
      </c>
      <c r="AZ232" t="n">
        <v>120.3998445533567</v>
      </c>
      <c r="BA232" t="n">
        <v>801.49</v>
      </c>
      <c r="BB232" t="n">
        <v>0.905</v>
      </c>
      <c r="BC232" t="n">
        <v>87.33184062701827</v>
      </c>
      <c r="BD232" t="n">
        <v>0.7824</v>
      </c>
      <c r="BE232" t="n">
        <v>68.328</v>
      </c>
      <c r="BF232" t="n">
        <v>8.9176</v>
      </c>
      <c r="BG232" t="n">
        <v>0.77</v>
      </c>
      <c r="BH232" t="n">
        <v>5962.380796939026</v>
      </c>
      <c r="BI232" t="n">
        <v>1</v>
      </c>
      <c r="BJ232" t="n">
        <v>5962.3808</v>
      </c>
    </row>
    <row r="233">
      <c r="A233" t="n">
        <v>5437</v>
      </c>
      <c r="B233" t="inlineStr">
        <is>
          <t>01-03-2021</t>
        </is>
      </c>
      <c r="C233" t="n">
        <v>2021</v>
      </c>
      <c r="D233" t="n">
        <v>1</v>
      </c>
      <c r="E233" t="inlineStr">
        <is>
          <t>CAREN</t>
        </is>
      </c>
      <c r="F233" t="inlineStr">
        <is>
          <t>SUM_SAESA_A</t>
        </is>
      </c>
      <c r="G233" t="inlineStr">
        <is>
          <t>A</t>
        </is>
      </c>
      <c r="H233" t="inlineStr">
        <is>
          <t>SAESA</t>
        </is>
      </c>
      <c r="I233" t="inlineStr">
        <is>
          <t>SAESMELIBLOQA</t>
        </is>
      </c>
      <c r="J233" t="inlineStr">
        <is>
          <t>MELIPULLI</t>
        </is>
      </c>
      <c r="K233" t="n">
        <v>-35892.18758295</v>
      </c>
      <c r="L233" t="inlineStr">
        <is>
          <t>MELIPULLI</t>
        </is>
      </c>
      <c r="M233" t="inlineStr">
        <is>
          <t>Puerto Montt</t>
        </is>
      </c>
      <c r="N233" t="n">
        <v>0.93811278134191</v>
      </c>
      <c r="O233" t="n">
        <v>33670.919922</v>
      </c>
      <c r="P233" t="inlineStr">
        <is>
          <t>BS1A</t>
        </is>
      </c>
      <c r="Q233" t="n">
        <v>2</v>
      </c>
      <c r="W233" t="n">
        <v>2</v>
      </c>
      <c r="X233" t="n">
        <v>0</v>
      </c>
      <c r="AA233" t="inlineStr">
        <is>
          <t>PNP_16T_02-11-2020</t>
        </is>
      </c>
      <c r="AB233" t="inlineStr">
        <is>
          <t>PNCP_2T_10-02-2020</t>
        </is>
      </c>
      <c r="AC233" t="inlineStr">
        <is>
          <t>PNCP_4T_30-04-2013</t>
        </is>
      </c>
      <c r="AD233" t="inlineStr">
        <is>
          <t>PUERTO MONTT 220</t>
        </is>
      </c>
      <c r="AE233" t="n">
        <v>111.133</v>
      </c>
      <c r="AF233" t="n">
        <v>1.080821157758461</v>
      </c>
      <c r="AG233" t="n">
        <v>120.1148977251711</v>
      </c>
      <c r="AH233" t="n">
        <v>779.3099999999999</v>
      </c>
      <c r="AI233" t="n">
        <v>0.879</v>
      </c>
      <c r="AJ233" t="n">
        <v>82.2803252917125</v>
      </c>
      <c r="AK233" t="n">
        <v>0.8421</v>
      </c>
      <c r="AL233" t="n">
        <v>69.288</v>
      </c>
      <c r="AM233" t="n">
        <v>8.9176</v>
      </c>
      <c r="AN233" t="n">
        <v>9.638330756426855</v>
      </c>
      <c r="AO233" t="n">
        <v>0.804</v>
      </c>
      <c r="AP233" t="n">
        <v>6039.043023599974</v>
      </c>
      <c r="AQ233" t="n">
        <v>1.02699624102973</v>
      </c>
      <c r="AR233" t="n">
        <v>6202.0745</v>
      </c>
      <c r="AT233" t="inlineStr">
        <is>
          <t>PNP_19T_30-12-2020</t>
        </is>
      </c>
      <c r="AU233" t="inlineStr">
        <is>
          <t>PNCP_12T_10-08-2020</t>
        </is>
      </c>
      <c r="AV233" t="inlineStr">
        <is>
          <t>PNCP_4T_30-04-2013</t>
        </is>
      </c>
      <c r="AW233" t="inlineStr">
        <is>
          <t>PUERTO MONTT 220</t>
        </is>
      </c>
      <c r="AX233" t="n">
        <v>111.133</v>
      </c>
      <c r="AY233" t="n">
        <v>1.083385174100913</v>
      </c>
      <c r="AZ233" t="n">
        <v>120.3998445533567</v>
      </c>
      <c r="BA233" t="n">
        <v>801.49</v>
      </c>
      <c r="BB233" t="n">
        <v>0.905</v>
      </c>
      <c r="BC233" t="n">
        <v>87.33184062701827</v>
      </c>
      <c r="BD233" t="n">
        <v>0.7824</v>
      </c>
      <c r="BE233" t="n">
        <v>68.328</v>
      </c>
      <c r="BF233" t="n">
        <v>8.9176</v>
      </c>
      <c r="BG233" t="n">
        <v>0.77</v>
      </c>
      <c r="BH233" t="n">
        <v>5962.380796939026</v>
      </c>
      <c r="BI233" t="n">
        <v>1.039640050119603</v>
      </c>
      <c r="BJ233" t="n">
        <v>6198.7299</v>
      </c>
    </row>
    <row r="234">
      <c r="A234" t="n">
        <v>5439</v>
      </c>
      <c r="B234" t="inlineStr">
        <is>
          <t>01-03-2021</t>
        </is>
      </c>
      <c r="C234" t="n">
        <v>2021</v>
      </c>
      <c r="D234" t="n">
        <v>1</v>
      </c>
      <c r="E234" t="inlineStr">
        <is>
          <t>CAREN</t>
        </is>
      </c>
      <c r="F234" t="inlineStr">
        <is>
          <t>SUM_SAESA_A</t>
        </is>
      </c>
      <c r="G234" t="inlineStr">
        <is>
          <t>A</t>
        </is>
      </c>
      <c r="H234" t="inlineStr">
        <is>
          <t>SAESA</t>
        </is>
      </c>
      <c r="I234" t="inlineStr">
        <is>
          <t>SAESMELIBLOQA</t>
        </is>
      </c>
      <c r="J234" t="inlineStr">
        <is>
          <t>MELIPULLI</t>
        </is>
      </c>
      <c r="K234" t="n">
        <v>-35892.18758295</v>
      </c>
      <c r="L234" t="inlineStr">
        <is>
          <t>MELIPULLI</t>
        </is>
      </c>
      <c r="M234" t="inlineStr">
        <is>
          <t>VALDIVIA</t>
        </is>
      </c>
      <c r="N234" t="n">
        <v>0.0001899181297</v>
      </c>
      <c r="O234" t="n">
        <v>6.816577</v>
      </c>
      <c r="P234" t="inlineStr">
        <is>
          <t>BS1A</t>
        </is>
      </c>
      <c r="Q234" t="n">
        <v>2</v>
      </c>
      <c r="W234" t="n">
        <v>2</v>
      </c>
      <c r="X234" t="n">
        <v>0</v>
      </c>
      <c r="AA234" t="inlineStr">
        <is>
          <t>PNP_16T_02-11-2020</t>
        </is>
      </c>
      <c r="AB234" t="inlineStr">
        <is>
          <t>PNCP_2T_10-02-2020</t>
        </is>
      </c>
      <c r="AC234" t="inlineStr">
        <is>
          <t>PNCP_4T_30-04-2013</t>
        </is>
      </c>
      <c r="AD234" t="inlineStr">
        <is>
          <t>VALDIVIA 220</t>
        </is>
      </c>
      <c r="AE234" t="n">
        <v>111.133</v>
      </c>
      <c r="AF234" t="n">
        <v>1.080821157758461</v>
      </c>
      <c r="AG234" t="n">
        <v>120.1148977251711</v>
      </c>
      <c r="AH234" t="n">
        <v>779.3099999999999</v>
      </c>
      <c r="AI234" t="n">
        <v>0.879</v>
      </c>
      <c r="AJ234" t="n">
        <v>82.2803252917125</v>
      </c>
      <c r="AK234" t="n">
        <v>0.9167</v>
      </c>
      <c r="AL234" t="n">
        <v>75.426</v>
      </c>
      <c r="AM234" t="n">
        <v>8.9176</v>
      </c>
      <c r="AN234" t="n">
        <v>9.638330756426855</v>
      </c>
      <c r="AO234" t="n">
        <v>0.804</v>
      </c>
      <c r="AP234" t="n">
        <v>6039.043023599974</v>
      </c>
      <c r="AQ234" t="n">
        <v>1.096052187605444</v>
      </c>
      <c r="AR234" t="n">
        <v>6619.1063</v>
      </c>
      <c r="AT234" t="inlineStr">
        <is>
          <t>PNP_19T_30-12-2020</t>
        </is>
      </c>
      <c r="AU234" t="inlineStr">
        <is>
          <t>PNCP_12T_10-08-2020</t>
        </is>
      </c>
      <c r="AV234" t="inlineStr">
        <is>
          <t>PNCP_4T_30-04-2013</t>
        </is>
      </c>
      <c r="AW234" t="inlineStr">
        <is>
          <t>VALDIVIA 220</t>
        </is>
      </c>
      <c r="AX234" t="n">
        <v>111.133</v>
      </c>
      <c r="AY234" t="n">
        <v>1.083385174100913</v>
      </c>
      <c r="AZ234" t="n">
        <v>120.3998445533567</v>
      </c>
      <c r="BA234" t="n">
        <v>801.49</v>
      </c>
      <c r="BB234" t="n">
        <v>0.905</v>
      </c>
      <c r="BC234" t="n">
        <v>87.33184062701827</v>
      </c>
      <c r="BD234" t="n">
        <v>0.8745000000000001</v>
      </c>
      <c r="BE234" t="n">
        <v>76.372</v>
      </c>
      <c r="BF234" t="n">
        <v>8.9176</v>
      </c>
      <c r="BG234" t="n">
        <v>0.77</v>
      </c>
      <c r="BH234" t="n">
        <v>5962.380796939026</v>
      </c>
      <c r="BI234" t="n">
        <v>1.148014846473962</v>
      </c>
      <c r="BJ234" t="n">
        <v>6844.9017</v>
      </c>
    </row>
    <row r="235">
      <c r="A235" t="n">
        <v>4147</v>
      </c>
      <c r="B235" t="inlineStr">
        <is>
          <t>01-03-2021</t>
        </is>
      </c>
      <c r="C235" t="n">
        <v>2021</v>
      </c>
      <c r="D235" t="n">
        <v>1</v>
      </c>
      <c r="E235" t="inlineStr">
        <is>
          <t>CAREN</t>
        </is>
      </c>
      <c r="F235" t="inlineStr">
        <is>
          <t>SUM_SAESA_A</t>
        </is>
      </c>
      <c r="G235" t="inlineStr">
        <is>
          <t>A</t>
        </is>
      </c>
      <c r="H235" t="inlineStr">
        <is>
          <t>SAESA</t>
        </is>
      </c>
      <c r="I235" t="inlineStr">
        <is>
          <t>SAESOSORBLOQA</t>
        </is>
      </c>
      <c r="J235" t="inlineStr">
        <is>
          <t>OSORNO</t>
        </is>
      </c>
      <c r="K235" t="n">
        <v>-19799.12974486</v>
      </c>
      <c r="L235" t="inlineStr">
        <is>
          <t>OSORNO</t>
        </is>
      </c>
      <c r="M235" t="inlineStr">
        <is>
          <t>BARRO BLANCO</t>
        </is>
      </c>
      <c r="N235" t="n">
        <v>0.78616844112992</v>
      </c>
      <c r="O235" t="n">
        <v>15565.450967</v>
      </c>
      <c r="P235" t="inlineStr">
        <is>
          <t>BS1A</t>
        </is>
      </c>
      <c r="Q235" t="n">
        <v>2</v>
      </c>
      <c r="W235" t="n">
        <v>2</v>
      </c>
      <c r="X235" t="n">
        <v>0</v>
      </c>
      <c r="AA235" t="inlineStr">
        <is>
          <t>PNP_16T_02-11-2020</t>
        </is>
      </c>
      <c r="AB235" t="inlineStr">
        <is>
          <t>PNCP_2T_10-02-2020</t>
        </is>
      </c>
      <c r="AC235" t="inlineStr">
        <is>
          <t>PNCP_4T_30-04-2013</t>
        </is>
      </c>
      <c r="AD235" t="inlineStr">
        <is>
          <t>Barro Blanco 220</t>
        </is>
      </c>
      <c r="AE235" t="n">
        <v>111.133</v>
      </c>
      <c r="AF235" t="n">
        <v>1.080821157758461</v>
      </c>
      <c r="AG235" t="n">
        <v>120.1148977251711</v>
      </c>
      <c r="AH235" t="n">
        <v>779.3099999999999</v>
      </c>
      <c r="AI235" t="n">
        <v>0.879</v>
      </c>
      <c r="AJ235" t="n">
        <v>82.2803252917125</v>
      </c>
      <c r="AK235" t="n">
        <v>0.846</v>
      </c>
      <c r="AL235" t="n">
        <v>69.60899999999999</v>
      </c>
      <c r="AM235" t="n">
        <v>8.9176</v>
      </c>
      <c r="AN235" t="n">
        <v>9.638330756426855</v>
      </c>
      <c r="AO235" t="n">
        <v>0.804</v>
      </c>
      <c r="AP235" t="n">
        <v>6039.043023599974</v>
      </c>
      <c r="AQ235" t="n">
        <v>1.011820868379177</v>
      </c>
      <c r="AR235" t="n">
        <v>6110.4298</v>
      </c>
      <c r="AT235" t="inlineStr">
        <is>
          <t>PNP_19T_30-12-2020</t>
        </is>
      </c>
      <c r="AU235" t="inlineStr">
        <is>
          <t>PNCP_12T_10-08-2020</t>
        </is>
      </c>
      <c r="AV235" t="inlineStr">
        <is>
          <t>PNCP_4T_30-04-2013</t>
        </is>
      </c>
      <c r="AW235" t="inlineStr">
        <is>
          <t>Barro Blanco 220</t>
        </is>
      </c>
      <c r="AX235" t="n">
        <v>111.133</v>
      </c>
      <c r="AY235" t="n">
        <v>1.083385174100913</v>
      </c>
      <c r="AZ235" t="n">
        <v>120.3998445533567</v>
      </c>
      <c r="BA235" t="n">
        <v>801.49</v>
      </c>
      <c r="BB235" t="n">
        <v>0.905</v>
      </c>
      <c r="BC235" t="n">
        <v>87.33184062701827</v>
      </c>
      <c r="BD235" t="n">
        <v>0.7946</v>
      </c>
      <c r="BE235" t="n">
        <v>69.39400000000001</v>
      </c>
      <c r="BF235" t="n">
        <v>8.9176</v>
      </c>
      <c r="BG235" t="n">
        <v>0.77</v>
      </c>
      <c r="BH235" t="n">
        <v>5962.380796939026</v>
      </c>
      <c r="BI235" t="n">
        <v>1.047283473516708</v>
      </c>
      <c r="BJ235" t="n">
        <v>6244.3029</v>
      </c>
    </row>
    <row r="236">
      <c r="A236" t="n">
        <v>4149</v>
      </c>
      <c r="B236" t="inlineStr">
        <is>
          <t>01-03-2021</t>
        </is>
      </c>
      <c r="C236" t="n">
        <v>2021</v>
      </c>
      <c r="D236" t="n">
        <v>1</v>
      </c>
      <c r="E236" t="inlineStr">
        <is>
          <t>CAREN</t>
        </is>
      </c>
      <c r="F236" t="inlineStr">
        <is>
          <t>SUM_SAESA_A</t>
        </is>
      </c>
      <c r="G236" t="inlineStr">
        <is>
          <t>A</t>
        </is>
      </c>
      <c r="H236" t="inlineStr">
        <is>
          <t>SAESA</t>
        </is>
      </c>
      <c r="I236" t="inlineStr">
        <is>
          <t>SAESOSORBLOQA</t>
        </is>
      </c>
      <c r="J236" t="inlineStr">
        <is>
          <t>OSORNO</t>
        </is>
      </c>
      <c r="K236" t="n">
        <v>-19799.12974486</v>
      </c>
      <c r="L236" t="inlineStr">
        <is>
          <t>OSORNO</t>
        </is>
      </c>
      <c r="M236" t="inlineStr">
        <is>
          <t>MELIPULLI</t>
        </is>
      </c>
      <c r="N236" t="n">
        <v>0.04443303733604</v>
      </c>
      <c r="O236" t="n">
        <v>879.735471</v>
      </c>
      <c r="P236" t="inlineStr">
        <is>
          <t>BS1A</t>
        </is>
      </c>
      <c r="Q236" t="n">
        <v>2</v>
      </c>
      <c r="W236" t="n">
        <v>2</v>
      </c>
      <c r="X236" t="n">
        <v>0</v>
      </c>
      <c r="AA236" t="inlineStr">
        <is>
          <t>PNP_16T_02-11-2020</t>
        </is>
      </c>
      <c r="AB236" t="inlineStr">
        <is>
          <t>PNCP_2T_10-02-2020</t>
        </is>
      </c>
      <c r="AC236" t="inlineStr">
        <is>
          <t>PNCP_4T_30-04-2013</t>
        </is>
      </c>
      <c r="AD236" t="inlineStr">
        <is>
          <t>MELIPULLI 220</t>
        </is>
      </c>
      <c r="AE236" t="n">
        <v>111.133</v>
      </c>
      <c r="AF236" t="n">
        <v>1.080821157758461</v>
      </c>
      <c r="AG236" t="n">
        <v>120.1148977251711</v>
      </c>
      <c r="AH236" t="n">
        <v>779.3099999999999</v>
      </c>
      <c r="AI236" t="n">
        <v>0.879</v>
      </c>
      <c r="AJ236" t="n">
        <v>82.2803252917125</v>
      </c>
      <c r="AK236" t="n">
        <v>0.8421</v>
      </c>
      <c r="AL236" t="n">
        <v>69.288</v>
      </c>
      <c r="AM236" t="n">
        <v>8.9176</v>
      </c>
      <c r="AN236" t="n">
        <v>9.638330756426855</v>
      </c>
      <c r="AO236" t="n">
        <v>0.804</v>
      </c>
      <c r="AP236" t="n">
        <v>6039.043023599974</v>
      </c>
      <c r="AQ236" t="n">
        <v>1</v>
      </c>
      <c r="AR236" t="n">
        <v>6039.043</v>
      </c>
      <c r="AT236" t="inlineStr">
        <is>
          <t>PNP_19T_30-12-2020</t>
        </is>
      </c>
      <c r="AU236" t="inlineStr">
        <is>
          <t>PNCP_12T_10-08-2020</t>
        </is>
      </c>
      <c r="AV236" t="inlineStr">
        <is>
          <t>PNCP_4T_30-04-2013</t>
        </is>
      </c>
      <c r="AW236" t="inlineStr">
        <is>
          <t>MELIPULLI 220</t>
        </is>
      </c>
      <c r="AX236" t="n">
        <v>111.133</v>
      </c>
      <c r="AY236" t="n">
        <v>1.083385174100913</v>
      </c>
      <c r="AZ236" t="n">
        <v>120.3998445533567</v>
      </c>
      <c r="BA236" t="n">
        <v>801.49</v>
      </c>
      <c r="BB236" t="n">
        <v>0.905</v>
      </c>
      <c r="BC236" t="n">
        <v>87.33184062701827</v>
      </c>
      <c r="BD236" t="n">
        <v>0.7824</v>
      </c>
      <c r="BE236" t="n">
        <v>68.328</v>
      </c>
      <c r="BF236" t="n">
        <v>8.9176</v>
      </c>
      <c r="BG236" t="n">
        <v>0.77</v>
      </c>
      <c r="BH236" t="n">
        <v>5962.380796939026</v>
      </c>
      <c r="BI236" t="n">
        <v>1</v>
      </c>
      <c r="BJ236" t="n">
        <v>5962.3808</v>
      </c>
    </row>
    <row r="237">
      <c r="A237" t="n">
        <v>4151</v>
      </c>
      <c r="B237" t="inlineStr">
        <is>
          <t>01-03-2021</t>
        </is>
      </c>
      <c r="C237" t="n">
        <v>2021</v>
      </c>
      <c r="D237" t="n">
        <v>1</v>
      </c>
      <c r="E237" t="inlineStr">
        <is>
          <t>CAREN</t>
        </is>
      </c>
      <c r="F237" t="inlineStr">
        <is>
          <t>SUM_SAESA_A</t>
        </is>
      </c>
      <c r="G237" t="inlineStr">
        <is>
          <t>A</t>
        </is>
      </c>
      <c r="H237" t="inlineStr">
        <is>
          <t>SAESA</t>
        </is>
      </c>
      <c r="I237" t="inlineStr">
        <is>
          <t>SAESOSORBLOQA</t>
        </is>
      </c>
      <c r="J237" t="inlineStr">
        <is>
          <t>OSORNO</t>
        </is>
      </c>
      <c r="K237" t="n">
        <v>-19799.12974486</v>
      </c>
      <c r="L237" t="inlineStr">
        <is>
          <t>OSORNO</t>
        </is>
      </c>
      <c r="M237" t="inlineStr">
        <is>
          <t>VALDIVIA</t>
        </is>
      </c>
      <c r="N237" t="n">
        <v>0.12401606703963</v>
      </c>
      <c r="O237" t="n">
        <v>2455.410202</v>
      </c>
      <c r="P237" t="inlineStr">
        <is>
          <t>BS1A</t>
        </is>
      </c>
      <c r="Q237" t="n">
        <v>2</v>
      </c>
      <c r="W237" t="n">
        <v>2</v>
      </c>
      <c r="X237" t="n">
        <v>0</v>
      </c>
      <c r="AA237" t="inlineStr">
        <is>
          <t>PNP_16T_02-11-2020</t>
        </is>
      </c>
      <c r="AB237" t="inlineStr">
        <is>
          <t>PNCP_2T_10-02-2020</t>
        </is>
      </c>
      <c r="AC237" t="inlineStr">
        <is>
          <t>PNCP_4T_30-04-2013</t>
        </is>
      </c>
      <c r="AD237" t="inlineStr">
        <is>
          <t>VALDIVIA 220</t>
        </is>
      </c>
      <c r="AE237" t="n">
        <v>111.133</v>
      </c>
      <c r="AF237" t="n">
        <v>1.080821157758461</v>
      </c>
      <c r="AG237" t="n">
        <v>120.1148977251711</v>
      </c>
      <c r="AH237" t="n">
        <v>779.3099999999999</v>
      </c>
      <c r="AI237" t="n">
        <v>0.879</v>
      </c>
      <c r="AJ237" t="n">
        <v>82.2803252917125</v>
      </c>
      <c r="AK237" t="n">
        <v>0.9167</v>
      </c>
      <c r="AL237" t="n">
        <v>75.426</v>
      </c>
      <c r="AM237" t="n">
        <v>8.9176</v>
      </c>
      <c r="AN237" t="n">
        <v>9.638330756426855</v>
      </c>
      <c r="AO237" t="n">
        <v>0.804</v>
      </c>
      <c r="AP237" t="n">
        <v>6039.043023599974</v>
      </c>
      <c r="AQ237" t="n">
        <v>1.096052187605444</v>
      </c>
      <c r="AR237" t="n">
        <v>6619.1063</v>
      </c>
      <c r="AT237" t="inlineStr">
        <is>
          <t>PNP_19T_30-12-2020</t>
        </is>
      </c>
      <c r="AU237" t="inlineStr">
        <is>
          <t>PNCP_12T_10-08-2020</t>
        </is>
      </c>
      <c r="AV237" t="inlineStr">
        <is>
          <t>PNCP_4T_30-04-2013</t>
        </is>
      </c>
      <c r="AW237" t="inlineStr">
        <is>
          <t>VALDIVIA 220</t>
        </is>
      </c>
      <c r="AX237" t="n">
        <v>111.133</v>
      </c>
      <c r="AY237" t="n">
        <v>1.083385174100913</v>
      </c>
      <c r="AZ237" t="n">
        <v>120.3998445533567</v>
      </c>
      <c r="BA237" t="n">
        <v>801.49</v>
      </c>
      <c r="BB237" t="n">
        <v>0.905</v>
      </c>
      <c r="BC237" t="n">
        <v>87.33184062701827</v>
      </c>
      <c r="BD237" t="n">
        <v>0.8745000000000001</v>
      </c>
      <c r="BE237" t="n">
        <v>76.372</v>
      </c>
      <c r="BF237" t="n">
        <v>8.9176</v>
      </c>
      <c r="BG237" t="n">
        <v>0.77</v>
      </c>
      <c r="BH237" t="n">
        <v>5962.380796939026</v>
      </c>
      <c r="BI237" t="n">
        <v>1.148014846473962</v>
      </c>
      <c r="BJ237" t="n">
        <v>6844.9017</v>
      </c>
    </row>
    <row r="238">
      <c r="A238" t="n">
        <v>5433</v>
      </c>
      <c r="B238" t="inlineStr">
        <is>
          <t>01-03-2021</t>
        </is>
      </c>
      <c r="C238" t="n">
        <v>2021</v>
      </c>
      <c r="D238" t="n">
        <v>1</v>
      </c>
      <c r="E238" t="inlineStr">
        <is>
          <t>CAREN</t>
        </is>
      </c>
      <c r="F238" t="inlineStr">
        <is>
          <t>SUM_SAESA_A</t>
        </is>
      </c>
      <c r="G238" t="inlineStr">
        <is>
          <t>A</t>
        </is>
      </c>
      <c r="H238" t="inlineStr">
        <is>
          <t>SAESA</t>
        </is>
      </c>
      <c r="I238" t="inlineStr">
        <is>
          <t>SAESPVARBLOQA</t>
        </is>
      </c>
      <c r="J238" t="inlineStr">
        <is>
          <t>P.VARAS</t>
        </is>
      </c>
      <c r="K238" t="n">
        <v>-7622.09924668</v>
      </c>
      <c r="L238" t="inlineStr">
        <is>
          <t>PUERTO VARAS</t>
        </is>
      </c>
      <c r="M238" t="inlineStr">
        <is>
          <t>BARRO BLANCO</t>
        </is>
      </c>
      <c r="N238" t="n">
        <v>0.15766115320888</v>
      </c>
      <c r="O238" t="n">
        <v>1201.708957</v>
      </c>
      <c r="P238" t="inlineStr">
        <is>
          <t>BS1A</t>
        </is>
      </c>
      <c r="Q238" t="n">
        <v>2</v>
      </c>
      <c r="W238" t="n">
        <v>2</v>
      </c>
      <c r="X238" t="n">
        <v>0</v>
      </c>
      <c r="AA238" t="inlineStr">
        <is>
          <t>PNP_16T_02-11-2020</t>
        </is>
      </c>
      <c r="AB238" t="inlineStr">
        <is>
          <t>PNCP_2T_10-02-2020</t>
        </is>
      </c>
      <c r="AC238" t="inlineStr">
        <is>
          <t>PNCP_4T_30-04-2013</t>
        </is>
      </c>
      <c r="AD238" t="inlineStr">
        <is>
          <t>Barro Blanco 220</t>
        </is>
      </c>
      <c r="AE238" t="n">
        <v>111.133</v>
      </c>
      <c r="AF238" t="n">
        <v>1.080821157758461</v>
      </c>
      <c r="AG238" t="n">
        <v>120.1148977251711</v>
      </c>
      <c r="AH238" t="n">
        <v>779.3099999999999</v>
      </c>
      <c r="AI238" t="n">
        <v>0.879</v>
      </c>
      <c r="AJ238" t="n">
        <v>82.2803252917125</v>
      </c>
      <c r="AK238" t="n">
        <v>0.846</v>
      </c>
      <c r="AL238" t="n">
        <v>69.60899999999999</v>
      </c>
      <c r="AM238" t="n">
        <v>8.9176</v>
      </c>
      <c r="AN238" t="n">
        <v>9.638330756426855</v>
      </c>
      <c r="AO238" t="n">
        <v>0.804</v>
      </c>
      <c r="AP238" t="n">
        <v>6039.043023599974</v>
      </c>
      <c r="AQ238" t="n">
        <v>1.011820868379177</v>
      </c>
      <c r="AR238" t="n">
        <v>6110.4298</v>
      </c>
      <c r="AT238" t="inlineStr">
        <is>
          <t>PNP_19T_30-12-2020</t>
        </is>
      </c>
      <c r="AU238" t="inlineStr">
        <is>
          <t>PNCP_12T_10-08-2020</t>
        </is>
      </c>
      <c r="AV238" t="inlineStr">
        <is>
          <t>PNCP_4T_30-04-2013</t>
        </is>
      </c>
      <c r="AW238" t="inlineStr">
        <is>
          <t>Barro Blanco 220</t>
        </is>
      </c>
      <c r="AX238" t="n">
        <v>111.133</v>
      </c>
      <c r="AY238" t="n">
        <v>1.083385174100913</v>
      </c>
      <c r="AZ238" t="n">
        <v>120.3998445533567</v>
      </c>
      <c r="BA238" t="n">
        <v>801.49</v>
      </c>
      <c r="BB238" t="n">
        <v>0.905</v>
      </c>
      <c r="BC238" t="n">
        <v>87.33184062701827</v>
      </c>
      <c r="BD238" t="n">
        <v>0.7946</v>
      </c>
      <c r="BE238" t="n">
        <v>69.39400000000001</v>
      </c>
      <c r="BF238" t="n">
        <v>8.9176</v>
      </c>
      <c r="BG238" t="n">
        <v>0.77</v>
      </c>
      <c r="BH238" t="n">
        <v>5962.380796939026</v>
      </c>
      <c r="BI238" t="n">
        <v>1.047283473516708</v>
      </c>
      <c r="BJ238" t="n">
        <v>6244.3029</v>
      </c>
    </row>
    <row r="239">
      <c r="A239" t="n">
        <v>5435</v>
      </c>
      <c r="B239" t="inlineStr">
        <is>
          <t>01-03-2021</t>
        </is>
      </c>
      <c r="C239" t="n">
        <v>2021</v>
      </c>
      <c r="D239" t="n">
        <v>1</v>
      </c>
      <c r="E239" t="inlineStr">
        <is>
          <t>CAREN</t>
        </is>
      </c>
      <c r="F239" t="inlineStr">
        <is>
          <t>SUM_SAESA_A</t>
        </is>
      </c>
      <c r="G239" t="inlineStr">
        <is>
          <t>A</t>
        </is>
      </c>
      <c r="H239" t="inlineStr">
        <is>
          <t>SAESA</t>
        </is>
      </c>
      <c r="I239" t="inlineStr">
        <is>
          <t>SAESPVARBLOQA</t>
        </is>
      </c>
      <c r="J239" t="inlineStr">
        <is>
          <t>P.VARAS</t>
        </is>
      </c>
      <c r="K239" t="n">
        <v>-7622.09924668</v>
      </c>
      <c r="L239" t="inlineStr">
        <is>
          <t>PUERTO VARAS</t>
        </is>
      </c>
      <c r="M239" t="inlineStr">
        <is>
          <t>MELIPULLI</t>
        </is>
      </c>
      <c r="N239" t="n">
        <v>0.61749565738</v>
      </c>
      <c r="O239" t="n">
        <v>4706.613185</v>
      </c>
      <c r="P239" t="inlineStr">
        <is>
          <t>BS1A</t>
        </is>
      </c>
      <c r="Q239" t="n">
        <v>2</v>
      </c>
      <c r="W239" t="n">
        <v>2</v>
      </c>
      <c r="X239" t="n">
        <v>0</v>
      </c>
      <c r="AA239" t="inlineStr">
        <is>
          <t>PNP_16T_02-11-2020</t>
        </is>
      </c>
      <c r="AB239" t="inlineStr">
        <is>
          <t>PNCP_2T_10-02-2020</t>
        </is>
      </c>
      <c r="AC239" t="inlineStr">
        <is>
          <t>PNCP_4T_30-04-2013</t>
        </is>
      </c>
      <c r="AD239" t="inlineStr">
        <is>
          <t>MELIPULLI 220</t>
        </is>
      </c>
      <c r="AE239" t="n">
        <v>111.133</v>
      </c>
      <c r="AF239" t="n">
        <v>1.080821157758461</v>
      </c>
      <c r="AG239" t="n">
        <v>120.1148977251711</v>
      </c>
      <c r="AH239" t="n">
        <v>779.3099999999999</v>
      </c>
      <c r="AI239" t="n">
        <v>0.879</v>
      </c>
      <c r="AJ239" t="n">
        <v>82.2803252917125</v>
      </c>
      <c r="AK239" t="n">
        <v>0.8421</v>
      </c>
      <c r="AL239" t="n">
        <v>69.288</v>
      </c>
      <c r="AM239" t="n">
        <v>8.9176</v>
      </c>
      <c r="AN239" t="n">
        <v>9.638330756426855</v>
      </c>
      <c r="AO239" t="n">
        <v>0.804</v>
      </c>
      <c r="AP239" t="n">
        <v>6039.043023599974</v>
      </c>
      <c r="AQ239" t="n">
        <v>1</v>
      </c>
      <c r="AR239" t="n">
        <v>6039.043</v>
      </c>
      <c r="AT239" t="inlineStr">
        <is>
          <t>PNP_19T_30-12-2020</t>
        </is>
      </c>
      <c r="AU239" t="inlineStr">
        <is>
          <t>PNCP_12T_10-08-2020</t>
        </is>
      </c>
      <c r="AV239" t="inlineStr">
        <is>
          <t>PNCP_4T_30-04-2013</t>
        </is>
      </c>
      <c r="AW239" t="inlineStr">
        <is>
          <t>MELIPULLI 220</t>
        </is>
      </c>
      <c r="AX239" t="n">
        <v>111.133</v>
      </c>
      <c r="AY239" t="n">
        <v>1.083385174100913</v>
      </c>
      <c r="AZ239" t="n">
        <v>120.3998445533567</v>
      </c>
      <c r="BA239" t="n">
        <v>801.49</v>
      </c>
      <c r="BB239" t="n">
        <v>0.905</v>
      </c>
      <c r="BC239" t="n">
        <v>87.33184062701827</v>
      </c>
      <c r="BD239" t="n">
        <v>0.7824</v>
      </c>
      <c r="BE239" t="n">
        <v>68.328</v>
      </c>
      <c r="BF239" t="n">
        <v>8.9176</v>
      </c>
      <c r="BG239" t="n">
        <v>0.77</v>
      </c>
      <c r="BH239" t="n">
        <v>5962.380796939026</v>
      </c>
      <c r="BI239" t="n">
        <v>1</v>
      </c>
      <c r="BJ239" t="n">
        <v>5962.3808</v>
      </c>
    </row>
    <row r="240">
      <c r="A240" t="n">
        <v>5437</v>
      </c>
      <c r="B240" t="inlineStr">
        <is>
          <t>01-03-2021</t>
        </is>
      </c>
      <c r="C240" t="n">
        <v>2021</v>
      </c>
      <c r="D240" t="n">
        <v>1</v>
      </c>
      <c r="E240" t="inlineStr">
        <is>
          <t>CAREN</t>
        </is>
      </c>
      <c r="F240" t="inlineStr">
        <is>
          <t>SUM_SAESA_A</t>
        </is>
      </c>
      <c r="G240" t="inlineStr">
        <is>
          <t>A</t>
        </is>
      </c>
      <c r="H240" t="inlineStr">
        <is>
          <t>SAESA</t>
        </is>
      </c>
      <c r="I240" t="inlineStr">
        <is>
          <t>SAESPVARBLOQA</t>
        </is>
      </c>
      <c r="J240" t="inlineStr">
        <is>
          <t>P.VARAS</t>
        </is>
      </c>
      <c r="K240" t="n">
        <v>-7622.09924668</v>
      </c>
      <c r="L240" t="inlineStr">
        <is>
          <t>PUERTO VARAS</t>
        </is>
      </c>
      <c r="M240" t="inlineStr">
        <is>
          <t>Puerto Montt</t>
        </is>
      </c>
      <c r="N240" t="n">
        <v>0.7715646681477401</v>
      </c>
      <c r="O240" t="n">
        <v>5880.942476</v>
      </c>
      <c r="P240" t="inlineStr">
        <is>
          <t>BS1A</t>
        </is>
      </c>
      <c r="Q240" t="n">
        <v>2</v>
      </c>
      <c r="W240" t="n">
        <v>2</v>
      </c>
      <c r="X240" t="n">
        <v>0</v>
      </c>
      <c r="AA240" t="inlineStr">
        <is>
          <t>PNP_16T_02-11-2020</t>
        </is>
      </c>
      <c r="AB240" t="inlineStr">
        <is>
          <t>PNCP_2T_10-02-2020</t>
        </is>
      </c>
      <c r="AC240" t="inlineStr">
        <is>
          <t>PNCP_4T_30-04-2013</t>
        </is>
      </c>
      <c r="AD240" t="inlineStr">
        <is>
          <t>PUERTO MONTT 220</t>
        </is>
      </c>
      <c r="AE240" t="n">
        <v>111.133</v>
      </c>
      <c r="AF240" t="n">
        <v>1.080821157758461</v>
      </c>
      <c r="AG240" t="n">
        <v>120.1148977251711</v>
      </c>
      <c r="AH240" t="n">
        <v>779.3099999999999</v>
      </c>
      <c r="AI240" t="n">
        <v>0.879</v>
      </c>
      <c r="AJ240" t="n">
        <v>82.2803252917125</v>
      </c>
      <c r="AK240" t="n">
        <v>0.8421</v>
      </c>
      <c r="AL240" t="n">
        <v>69.288</v>
      </c>
      <c r="AM240" t="n">
        <v>8.9176</v>
      </c>
      <c r="AN240" t="n">
        <v>9.638330756426855</v>
      </c>
      <c r="AO240" t="n">
        <v>0.804</v>
      </c>
      <c r="AP240" t="n">
        <v>6039.043023599974</v>
      </c>
      <c r="AQ240" t="n">
        <v>1.02699624102973</v>
      </c>
      <c r="AR240" t="n">
        <v>6202.0745</v>
      </c>
      <c r="AT240" t="inlineStr">
        <is>
          <t>PNP_19T_30-12-2020</t>
        </is>
      </c>
      <c r="AU240" t="inlineStr">
        <is>
          <t>PNCP_12T_10-08-2020</t>
        </is>
      </c>
      <c r="AV240" t="inlineStr">
        <is>
          <t>PNCP_4T_30-04-2013</t>
        </is>
      </c>
      <c r="AW240" t="inlineStr">
        <is>
          <t>PUERTO MONTT 220</t>
        </is>
      </c>
      <c r="AX240" t="n">
        <v>111.133</v>
      </c>
      <c r="AY240" t="n">
        <v>1.083385174100913</v>
      </c>
      <c r="AZ240" t="n">
        <v>120.3998445533567</v>
      </c>
      <c r="BA240" t="n">
        <v>801.49</v>
      </c>
      <c r="BB240" t="n">
        <v>0.905</v>
      </c>
      <c r="BC240" t="n">
        <v>87.33184062701827</v>
      </c>
      <c r="BD240" t="n">
        <v>0.7824</v>
      </c>
      <c r="BE240" t="n">
        <v>68.328</v>
      </c>
      <c r="BF240" t="n">
        <v>8.9176</v>
      </c>
      <c r="BG240" t="n">
        <v>0.77</v>
      </c>
      <c r="BH240" t="n">
        <v>5962.380796939026</v>
      </c>
      <c r="BI240" t="n">
        <v>1.039640050119603</v>
      </c>
      <c r="BJ240" t="n">
        <v>6198.7299</v>
      </c>
    </row>
    <row r="241">
      <c r="A241" t="n">
        <v>5439</v>
      </c>
      <c r="B241" t="inlineStr">
        <is>
          <t>01-03-2021</t>
        </is>
      </c>
      <c r="C241" t="n">
        <v>2021</v>
      </c>
      <c r="D241" t="n">
        <v>1</v>
      </c>
      <c r="E241" t="inlineStr">
        <is>
          <t>CAREN</t>
        </is>
      </c>
      <c r="F241" t="inlineStr">
        <is>
          <t>SUM_SAESA_A</t>
        </is>
      </c>
      <c r="G241" t="inlineStr">
        <is>
          <t>A</t>
        </is>
      </c>
      <c r="H241" t="inlineStr">
        <is>
          <t>SAESA</t>
        </is>
      </c>
      <c r="I241" t="inlineStr">
        <is>
          <t>SAESPVARBLOQA</t>
        </is>
      </c>
      <c r="J241" t="inlineStr">
        <is>
          <t>P.VARAS</t>
        </is>
      </c>
      <c r="K241" t="n">
        <v>-7622.09924668</v>
      </c>
      <c r="L241" t="inlineStr">
        <is>
          <t>PUERTO VARAS</t>
        </is>
      </c>
      <c r="M241" t="inlineStr">
        <is>
          <t>VALDIVIA</t>
        </is>
      </c>
      <c r="N241" t="n">
        <v>0.00141259278969</v>
      </c>
      <c r="O241" t="n">
        <v>10.766922</v>
      </c>
      <c r="P241" t="inlineStr">
        <is>
          <t>BS1A</t>
        </is>
      </c>
      <c r="Q241" t="n">
        <v>2</v>
      </c>
      <c r="W241" t="n">
        <v>2</v>
      </c>
      <c r="X241" t="n">
        <v>0</v>
      </c>
      <c r="AA241" t="inlineStr">
        <is>
          <t>PNP_16T_02-11-2020</t>
        </is>
      </c>
      <c r="AB241" t="inlineStr">
        <is>
          <t>PNCP_2T_10-02-2020</t>
        </is>
      </c>
      <c r="AC241" t="inlineStr">
        <is>
          <t>PNCP_4T_30-04-2013</t>
        </is>
      </c>
      <c r="AD241" t="inlineStr">
        <is>
          <t>VALDIVIA 220</t>
        </is>
      </c>
      <c r="AE241" t="n">
        <v>111.133</v>
      </c>
      <c r="AF241" t="n">
        <v>1.080821157758461</v>
      </c>
      <c r="AG241" t="n">
        <v>120.1148977251711</v>
      </c>
      <c r="AH241" t="n">
        <v>779.3099999999999</v>
      </c>
      <c r="AI241" t="n">
        <v>0.879</v>
      </c>
      <c r="AJ241" t="n">
        <v>82.2803252917125</v>
      </c>
      <c r="AK241" t="n">
        <v>0.9167</v>
      </c>
      <c r="AL241" t="n">
        <v>75.426</v>
      </c>
      <c r="AM241" t="n">
        <v>8.9176</v>
      </c>
      <c r="AN241" t="n">
        <v>9.638330756426855</v>
      </c>
      <c r="AO241" t="n">
        <v>0.804</v>
      </c>
      <c r="AP241" t="n">
        <v>6039.043023599974</v>
      </c>
      <c r="AQ241" t="n">
        <v>1.096052187605444</v>
      </c>
      <c r="AR241" t="n">
        <v>6619.1063</v>
      </c>
      <c r="AT241" t="inlineStr">
        <is>
          <t>PNP_19T_30-12-2020</t>
        </is>
      </c>
      <c r="AU241" t="inlineStr">
        <is>
          <t>PNCP_12T_10-08-2020</t>
        </is>
      </c>
      <c r="AV241" t="inlineStr">
        <is>
          <t>PNCP_4T_30-04-2013</t>
        </is>
      </c>
      <c r="AW241" t="inlineStr">
        <is>
          <t>VALDIVIA 220</t>
        </is>
      </c>
      <c r="AX241" t="n">
        <v>111.133</v>
      </c>
      <c r="AY241" t="n">
        <v>1.083385174100913</v>
      </c>
      <c r="AZ241" t="n">
        <v>120.3998445533567</v>
      </c>
      <c r="BA241" t="n">
        <v>801.49</v>
      </c>
      <c r="BB241" t="n">
        <v>0.905</v>
      </c>
      <c r="BC241" t="n">
        <v>87.33184062701827</v>
      </c>
      <c r="BD241" t="n">
        <v>0.8745000000000001</v>
      </c>
      <c r="BE241" t="n">
        <v>76.372</v>
      </c>
      <c r="BF241" t="n">
        <v>8.9176</v>
      </c>
      <c r="BG241" t="n">
        <v>0.77</v>
      </c>
      <c r="BH241" t="n">
        <v>5962.380796939026</v>
      </c>
      <c r="BI241" t="n">
        <v>1.148014846473962</v>
      </c>
      <c r="BJ241" t="n">
        <v>6844.9017</v>
      </c>
    </row>
    <row r="242">
      <c r="A242" t="n">
        <v>2065</v>
      </c>
      <c r="B242" t="inlineStr">
        <is>
          <t>01-03-2021</t>
        </is>
      </c>
      <c r="C242" t="n">
        <v>2021</v>
      </c>
      <c r="D242" t="n">
        <v>1</v>
      </c>
      <c r="E242" t="inlineStr">
        <is>
          <t>CAREN</t>
        </is>
      </c>
      <c r="F242" t="inlineStr">
        <is>
          <t>SUM_SAESA_A</t>
        </is>
      </c>
      <c r="G242" t="inlineStr">
        <is>
          <t>A</t>
        </is>
      </c>
      <c r="H242" t="inlineStr">
        <is>
          <t>SAESA</t>
        </is>
      </c>
      <c r="I242" t="inlineStr">
        <is>
          <t>SAESPANGBLOQA</t>
        </is>
      </c>
      <c r="J242" t="inlineStr">
        <is>
          <t>PANGUIPULLI</t>
        </is>
      </c>
      <c r="K242" t="n">
        <v>-7044.44174091</v>
      </c>
      <c r="L242" t="inlineStr">
        <is>
          <t>PANGUIPULLI</t>
        </is>
      </c>
      <c r="M242" t="inlineStr">
        <is>
          <t>Barro Blanco</t>
        </is>
      </c>
      <c r="N242" t="n">
        <v>0.17843880751936</v>
      </c>
      <c r="O242" t="n">
        <v>1257.001784</v>
      </c>
      <c r="P242" t="inlineStr">
        <is>
          <t>BS1A</t>
        </is>
      </c>
      <c r="Q242" t="n">
        <v>2</v>
      </c>
      <c r="W242" t="n">
        <v>2</v>
      </c>
      <c r="X242" t="n">
        <v>0</v>
      </c>
      <c r="AA242" t="inlineStr">
        <is>
          <t>PNP_16T_02-11-2020</t>
        </is>
      </c>
      <c r="AB242" t="inlineStr">
        <is>
          <t>PNCP_2T_10-02-2020</t>
        </is>
      </c>
      <c r="AC242" t="inlineStr">
        <is>
          <t>PNCP_4T_30-04-2013</t>
        </is>
      </c>
      <c r="AD242" t="inlineStr">
        <is>
          <t>Barro Blanco 220</t>
        </is>
      </c>
      <c r="AE242" t="n">
        <v>111.133</v>
      </c>
      <c r="AF242" t="n">
        <v>1.080821157758461</v>
      </c>
      <c r="AG242" t="n">
        <v>120.1148977251711</v>
      </c>
      <c r="AH242" t="n">
        <v>779.3099999999999</v>
      </c>
      <c r="AI242" t="n">
        <v>0.879</v>
      </c>
      <c r="AJ242" t="n">
        <v>82.2803252917125</v>
      </c>
      <c r="AK242" t="n">
        <v>0.846</v>
      </c>
      <c r="AL242" t="n">
        <v>69.60899999999999</v>
      </c>
      <c r="AM242" t="n">
        <v>8.9176</v>
      </c>
      <c r="AN242" t="n">
        <v>9.638330756426855</v>
      </c>
      <c r="AO242" t="n">
        <v>0.804</v>
      </c>
      <c r="AP242" t="n">
        <v>6039.043023599974</v>
      </c>
      <c r="AQ242" t="n">
        <v>1.011820868379177</v>
      </c>
      <c r="AR242" t="n">
        <v>6110.4298</v>
      </c>
      <c r="AT242" t="inlineStr">
        <is>
          <t>PNP_19T_30-12-2020</t>
        </is>
      </c>
      <c r="AU242" t="inlineStr">
        <is>
          <t>PNCP_12T_10-08-2020</t>
        </is>
      </c>
      <c r="AV242" t="inlineStr">
        <is>
          <t>PNCP_4T_30-04-2013</t>
        </is>
      </c>
      <c r="AW242" t="inlineStr">
        <is>
          <t>Barro Blanco 220</t>
        </is>
      </c>
      <c r="AX242" t="n">
        <v>111.133</v>
      </c>
      <c r="AY242" t="n">
        <v>1.083385174100913</v>
      </c>
      <c r="AZ242" t="n">
        <v>120.3998445533567</v>
      </c>
      <c r="BA242" t="n">
        <v>801.49</v>
      </c>
      <c r="BB242" t="n">
        <v>0.905</v>
      </c>
      <c r="BC242" t="n">
        <v>87.33184062701827</v>
      </c>
      <c r="BD242" t="n">
        <v>0.7946</v>
      </c>
      <c r="BE242" t="n">
        <v>69.39400000000001</v>
      </c>
      <c r="BF242" t="n">
        <v>8.9176</v>
      </c>
      <c r="BG242" t="n">
        <v>0.77</v>
      </c>
      <c r="BH242" t="n">
        <v>5962.380796939026</v>
      </c>
      <c r="BI242" t="n">
        <v>1.047283473516708</v>
      </c>
      <c r="BJ242" t="n">
        <v>6244.3029</v>
      </c>
    </row>
    <row r="243">
      <c r="A243" t="n">
        <v>2067</v>
      </c>
      <c r="B243" t="inlineStr">
        <is>
          <t>01-03-2021</t>
        </is>
      </c>
      <c r="C243" t="n">
        <v>2021</v>
      </c>
      <c r="D243" t="n">
        <v>1</v>
      </c>
      <c r="E243" t="inlineStr">
        <is>
          <t>CAREN</t>
        </is>
      </c>
      <c r="F243" t="inlineStr">
        <is>
          <t>SUM_SAESA_A</t>
        </is>
      </c>
      <c r="G243" t="inlineStr">
        <is>
          <t>A</t>
        </is>
      </c>
      <c r="H243" t="inlineStr">
        <is>
          <t>SAESA</t>
        </is>
      </c>
      <c r="I243" t="inlineStr">
        <is>
          <t>SAESPANGBLOQA</t>
        </is>
      </c>
      <c r="J243" t="inlineStr">
        <is>
          <t>PANGUIPULLI</t>
        </is>
      </c>
      <c r="K243" t="n">
        <v>-7044.44174091</v>
      </c>
      <c r="L243" t="inlineStr">
        <is>
          <t>PANGUIPULLI</t>
        </is>
      </c>
      <c r="M243" t="inlineStr">
        <is>
          <t>MELIPULLI</t>
        </is>
      </c>
      <c r="N243" t="n">
        <v>0.00938568728699</v>
      </c>
      <c r="O243" t="n">
        <v>66.116927</v>
      </c>
      <c r="P243" t="inlineStr">
        <is>
          <t>BS1A</t>
        </is>
      </c>
      <c r="Q243" t="n">
        <v>2</v>
      </c>
      <c r="W243" t="n">
        <v>2</v>
      </c>
      <c r="X243" t="n">
        <v>0</v>
      </c>
      <c r="AA243" t="inlineStr">
        <is>
          <t>PNP_16T_02-11-2020</t>
        </is>
      </c>
      <c r="AB243" t="inlineStr">
        <is>
          <t>PNCP_2T_10-02-2020</t>
        </is>
      </c>
      <c r="AC243" t="inlineStr">
        <is>
          <t>PNCP_4T_30-04-2013</t>
        </is>
      </c>
      <c r="AD243" t="inlineStr">
        <is>
          <t>MELIPULLI 220</t>
        </is>
      </c>
      <c r="AE243" t="n">
        <v>111.133</v>
      </c>
      <c r="AF243" t="n">
        <v>1.080821157758461</v>
      </c>
      <c r="AG243" t="n">
        <v>120.1148977251711</v>
      </c>
      <c r="AH243" t="n">
        <v>779.3099999999999</v>
      </c>
      <c r="AI243" t="n">
        <v>0.879</v>
      </c>
      <c r="AJ243" t="n">
        <v>82.2803252917125</v>
      </c>
      <c r="AK243" t="n">
        <v>0.8421</v>
      </c>
      <c r="AL243" t="n">
        <v>69.288</v>
      </c>
      <c r="AM243" t="n">
        <v>8.9176</v>
      </c>
      <c r="AN243" t="n">
        <v>9.638330756426855</v>
      </c>
      <c r="AO243" t="n">
        <v>0.804</v>
      </c>
      <c r="AP243" t="n">
        <v>6039.043023599974</v>
      </c>
      <c r="AQ243" t="n">
        <v>1</v>
      </c>
      <c r="AR243" t="n">
        <v>6039.043</v>
      </c>
      <c r="AT243" t="inlineStr">
        <is>
          <t>PNP_19T_30-12-2020</t>
        </is>
      </c>
      <c r="AU243" t="inlineStr">
        <is>
          <t>PNCP_12T_10-08-2020</t>
        </is>
      </c>
      <c r="AV243" t="inlineStr">
        <is>
          <t>PNCP_4T_30-04-2013</t>
        </is>
      </c>
      <c r="AW243" t="inlineStr">
        <is>
          <t>MELIPULLI 220</t>
        </is>
      </c>
      <c r="AX243" t="n">
        <v>111.133</v>
      </c>
      <c r="AY243" t="n">
        <v>1.083385174100913</v>
      </c>
      <c r="AZ243" t="n">
        <v>120.3998445533567</v>
      </c>
      <c r="BA243" t="n">
        <v>801.49</v>
      </c>
      <c r="BB243" t="n">
        <v>0.905</v>
      </c>
      <c r="BC243" t="n">
        <v>87.33184062701827</v>
      </c>
      <c r="BD243" t="n">
        <v>0.7824</v>
      </c>
      <c r="BE243" t="n">
        <v>68.328</v>
      </c>
      <c r="BF243" t="n">
        <v>8.9176</v>
      </c>
      <c r="BG243" t="n">
        <v>0.77</v>
      </c>
      <c r="BH243" t="n">
        <v>5962.380796939026</v>
      </c>
      <c r="BI243" t="n">
        <v>1</v>
      </c>
      <c r="BJ243" t="n">
        <v>5962.3808</v>
      </c>
    </row>
    <row r="244">
      <c r="A244" t="n">
        <v>2069</v>
      </c>
      <c r="B244" t="inlineStr">
        <is>
          <t>01-03-2021</t>
        </is>
      </c>
      <c r="C244" t="n">
        <v>2021</v>
      </c>
      <c r="D244" t="n">
        <v>1</v>
      </c>
      <c r="E244" t="inlineStr">
        <is>
          <t>CAREN</t>
        </is>
      </c>
      <c r="F244" t="inlineStr">
        <is>
          <t>SUM_SAESA_A</t>
        </is>
      </c>
      <c r="G244" t="inlineStr">
        <is>
          <t>A</t>
        </is>
      </c>
      <c r="H244" t="inlineStr">
        <is>
          <t>SAESA</t>
        </is>
      </c>
      <c r="I244" t="inlineStr">
        <is>
          <t>SAESPANGBLOQA</t>
        </is>
      </c>
      <c r="J244" t="inlineStr">
        <is>
          <t>PANGUIPULLI</t>
        </is>
      </c>
      <c r="K244" t="n">
        <v>-7044.44174091</v>
      </c>
      <c r="L244" t="inlineStr">
        <is>
          <t>PANGUIPULLI</t>
        </is>
      </c>
      <c r="M244" t="inlineStr">
        <is>
          <t>VALDIVIA</t>
        </is>
      </c>
      <c r="N244" t="n">
        <v>0.67856885801593</v>
      </c>
      <c r="O244" t="n">
        <v>4780.138787</v>
      </c>
      <c r="P244" t="inlineStr">
        <is>
          <t>BS1A</t>
        </is>
      </c>
      <c r="Q244" t="n">
        <v>2</v>
      </c>
      <c r="W244" t="n">
        <v>2</v>
      </c>
      <c r="X244" t="n">
        <v>0</v>
      </c>
      <c r="AA244" t="inlineStr">
        <is>
          <t>PNP_16T_02-11-2020</t>
        </is>
      </c>
      <c r="AB244" t="inlineStr">
        <is>
          <t>PNCP_2T_10-02-2020</t>
        </is>
      </c>
      <c r="AC244" t="inlineStr">
        <is>
          <t>PNCP_4T_30-04-2013</t>
        </is>
      </c>
      <c r="AD244" t="inlineStr">
        <is>
          <t>VALDIVIA 220</t>
        </is>
      </c>
      <c r="AE244" t="n">
        <v>111.133</v>
      </c>
      <c r="AF244" t="n">
        <v>1.080821157758461</v>
      </c>
      <c r="AG244" t="n">
        <v>120.1148977251711</v>
      </c>
      <c r="AH244" t="n">
        <v>779.3099999999999</v>
      </c>
      <c r="AI244" t="n">
        <v>0.879</v>
      </c>
      <c r="AJ244" t="n">
        <v>82.2803252917125</v>
      </c>
      <c r="AK244" t="n">
        <v>0.9167</v>
      </c>
      <c r="AL244" t="n">
        <v>75.426</v>
      </c>
      <c r="AM244" t="n">
        <v>8.9176</v>
      </c>
      <c r="AN244" t="n">
        <v>9.638330756426855</v>
      </c>
      <c r="AO244" t="n">
        <v>0.804</v>
      </c>
      <c r="AP244" t="n">
        <v>6039.043023599974</v>
      </c>
      <c r="AQ244" t="n">
        <v>1.096052187605444</v>
      </c>
      <c r="AR244" t="n">
        <v>6619.1063</v>
      </c>
      <c r="AT244" t="inlineStr">
        <is>
          <t>PNP_19T_30-12-2020</t>
        </is>
      </c>
      <c r="AU244" t="inlineStr">
        <is>
          <t>PNCP_12T_10-08-2020</t>
        </is>
      </c>
      <c r="AV244" t="inlineStr">
        <is>
          <t>PNCP_4T_30-04-2013</t>
        </is>
      </c>
      <c r="AW244" t="inlineStr">
        <is>
          <t>VALDIVIA 220</t>
        </is>
      </c>
      <c r="AX244" t="n">
        <v>111.133</v>
      </c>
      <c r="AY244" t="n">
        <v>1.083385174100913</v>
      </c>
      <c r="AZ244" t="n">
        <v>120.3998445533567</v>
      </c>
      <c r="BA244" t="n">
        <v>801.49</v>
      </c>
      <c r="BB244" t="n">
        <v>0.905</v>
      </c>
      <c r="BC244" t="n">
        <v>87.33184062701827</v>
      </c>
      <c r="BD244" t="n">
        <v>0.8745000000000001</v>
      </c>
      <c r="BE244" t="n">
        <v>76.372</v>
      </c>
      <c r="BF244" t="n">
        <v>8.9176</v>
      </c>
      <c r="BG244" t="n">
        <v>0.77</v>
      </c>
      <c r="BH244" t="n">
        <v>5962.380796939026</v>
      </c>
      <c r="BI244" t="n">
        <v>1.148014846473962</v>
      </c>
      <c r="BJ244" t="n">
        <v>6844.9017</v>
      </c>
    </row>
    <row r="245">
      <c r="A245" t="n">
        <v>267</v>
      </c>
      <c r="B245" t="inlineStr">
        <is>
          <t>01-03-2021</t>
        </is>
      </c>
      <c r="C245" t="n">
        <v>2021</v>
      </c>
      <c r="D245" t="n">
        <v>1</v>
      </c>
      <c r="E245" t="inlineStr">
        <is>
          <t>CAREN</t>
        </is>
      </c>
      <c r="F245" t="inlineStr">
        <is>
          <t>SUM_SAESA_A</t>
        </is>
      </c>
      <c r="G245" t="inlineStr">
        <is>
          <t>A</t>
        </is>
      </c>
      <c r="H245" t="inlineStr">
        <is>
          <t>SAESA</t>
        </is>
      </c>
      <c r="I245" t="inlineStr">
        <is>
          <t>SAESPARGBLOQA</t>
        </is>
      </c>
      <c r="J245" t="inlineStr">
        <is>
          <t>PARGUA</t>
        </is>
      </c>
      <c r="K245" t="n">
        <v>-618.39365244</v>
      </c>
      <c r="L245" t="inlineStr">
        <is>
          <t>PARGUA 23</t>
        </is>
      </c>
      <c r="M245" t="inlineStr">
        <is>
          <t>MELIPULLI</t>
        </is>
      </c>
      <c r="N245" t="n">
        <v>0.88336054288962</v>
      </c>
      <c r="O245" t="n">
        <v>546.264553</v>
      </c>
      <c r="P245" t="inlineStr">
        <is>
          <t>BS1A</t>
        </is>
      </c>
      <c r="Q245" t="n">
        <v>2</v>
      </c>
      <c r="W245" t="n">
        <v>2</v>
      </c>
      <c r="X245" t="n">
        <v>0</v>
      </c>
      <c r="AA245" t="inlineStr">
        <is>
          <t>PNP_16T_02-11-2020</t>
        </is>
      </c>
      <c r="AB245" t="inlineStr">
        <is>
          <t>PNCP_2T_10-02-2020</t>
        </is>
      </c>
      <c r="AC245" t="inlineStr">
        <is>
          <t>PNCP_4T_30-04-2013</t>
        </is>
      </c>
      <c r="AD245" t="inlineStr">
        <is>
          <t>MELIPULLI 220</t>
        </is>
      </c>
      <c r="AE245" t="n">
        <v>111.133</v>
      </c>
      <c r="AF245" t="n">
        <v>1.080821157758461</v>
      </c>
      <c r="AG245" t="n">
        <v>120.1148977251711</v>
      </c>
      <c r="AH245" t="n">
        <v>779.3099999999999</v>
      </c>
      <c r="AI245" t="n">
        <v>0.879</v>
      </c>
      <c r="AJ245" t="n">
        <v>82.2803252917125</v>
      </c>
      <c r="AK245" t="n">
        <v>0.8421</v>
      </c>
      <c r="AL245" t="n">
        <v>69.288</v>
      </c>
      <c r="AM245" t="n">
        <v>8.9176</v>
      </c>
      <c r="AN245" t="n">
        <v>9.638330756426855</v>
      </c>
      <c r="AO245" t="n">
        <v>0.804</v>
      </c>
      <c r="AP245" t="n">
        <v>6039.043023599974</v>
      </c>
      <c r="AQ245" t="n">
        <v>1</v>
      </c>
      <c r="AR245" t="n">
        <v>6039.043</v>
      </c>
      <c r="AT245" t="inlineStr">
        <is>
          <t>PNP_19T_30-12-2020</t>
        </is>
      </c>
      <c r="AU245" t="inlineStr">
        <is>
          <t>PNCP_12T_10-08-2020</t>
        </is>
      </c>
      <c r="AV245" t="inlineStr">
        <is>
          <t>PNCP_4T_30-04-2013</t>
        </is>
      </c>
      <c r="AW245" t="inlineStr">
        <is>
          <t>MELIPULLI 220</t>
        </is>
      </c>
      <c r="AX245" t="n">
        <v>111.133</v>
      </c>
      <c r="AY245" t="n">
        <v>1.083385174100913</v>
      </c>
      <c r="AZ245" t="n">
        <v>120.3998445533567</v>
      </c>
      <c r="BA245" t="n">
        <v>801.49</v>
      </c>
      <c r="BB245" t="n">
        <v>0.905</v>
      </c>
      <c r="BC245" t="n">
        <v>87.33184062701827</v>
      </c>
      <c r="BD245" t="n">
        <v>0.7824</v>
      </c>
      <c r="BE245" t="n">
        <v>68.328</v>
      </c>
      <c r="BF245" t="n">
        <v>8.9176</v>
      </c>
      <c r="BG245" t="n">
        <v>0.77</v>
      </c>
      <c r="BH245" t="n">
        <v>5962.380796939026</v>
      </c>
      <c r="BI245" t="n">
        <v>1</v>
      </c>
      <c r="BJ245" t="n">
        <v>5962.3808</v>
      </c>
    </row>
    <row r="246">
      <c r="A246" t="n">
        <v>2065</v>
      </c>
      <c r="B246" t="inlineStr">
        <is>
          <t>01-03-2021</t>
        </is>
      </c>
      <c r="C246" t="n">
        <v>2021</v>
      </c>
      <c r="D246" t="n">
        <v>1</v>
      </c>
      <c r="E246" t="inlineStr">
        <is>
          <t>CAREN</t>
        </is>
      </c>
      <c r="F246" t="inlineStr">
        <is>
          <t>SUM_SAESA_A</t>
        </is>
      </c>
      <c r="G246" t="inlineStr">
        <is>
          <t>A</t>
        </is>
      </c>
      <c r="H246" t="inlineStr">
        <is>
          <t>SAESA</t>
        </is>
      </c>
      <c r="I246" t="inlineStr">
        <is>
          <t>SAESPICABLOQA</t>
        </is>
      </c>
      <c r="J246" t="inlineStr">
        <is>
          <t>PICARTE</t>
        </is>
      </c>
      <c r="K246" t="n">
        <v>-19180.37521042</v>
      </c>
      <c r="L246" t="inlineStr">
        <is>
          <t>PICARTE</t>
        </is>
      </c>
      <c r="M246" t="inlineStr">
        <is>
          <t>BARRO BLANCO</t>
        </is>
      </c>
      <c r="N246" t="n">
        <v>0.04426188381592</v>
      </c>
      <c r="O246" t="n">
        <v>848.9595389999999</v>
      </c>
      <c r="P246" t="inlineStr">
        <is>
          <t>BS1A</t>
        </is>
      </c>
      <c r="Q246" t="n">
        <v>2</v>
      </c>
      <c r="W246" t="n">
        <v>2</v>
      </c>
      <c r="X246" t="n">
        <v>0</v>
      </c>
      <c r="AA246" t="inlineStr">
        <is>
          <t>PNP_16T_02-11-2020</t>
        </is>
      </c>
      <c r="AB246" t="inlineStr">
        <is>
          <t>PNCP_2T_10-02-2020</t>
        </is>
      </c>
      <c r="AC246" t="inlineStr">
        <is>
          <t>PNCP_4T_30-04-2013</t>
        </is>
      </c>
      <c r="AD246" t="inlineStr">
        <is>
          <t>Barro Blanco 220</t>
        </is>
      </c>
      <c r="AE246" t="n">
        <v>111.133</v>
      </c>
      <c r="AF246" t="n">
        <v>1.080821157758461</v>
      </c>
      <c r="AG246" t="n">
        <v>120.1148977251711</v>
      </c>
      <c r="AH246" t="n">
        <v>779.3099999999999</v>
      </c>
      <c r="AI246" t="n">
        <v>0.879</v>
      </c>
      <c r="AJ246" t="n">
        <v>82.2803252917125</v>
      </c>
      <c r="AK246" t="n">
        <v>0.846</v>
      </c>
      <c r="AL246" t="n">
        <v>69.60899999999999</v>
      </c>
      <c r="AM246" t="n">
        <v>8.9176</v>
      </c>
      <c r="AN246" t="n">
        <v>9.638330756426855</v>
      </c>
      <c r="AO246" t="n">
        <v>0.804</v>
      </c>
      <c r="AP246" t="n">
        <v>6039.043023599974</v>
      </c>
      <c r="AQ246" t="n">
        <v>1.011820868379177</v>
      </c>
      <c r="AR246" t="n">
        <v>6110.4298</v>
      </c>
      <c r="AT246" t="inlineStr">
        <is>
          <t>PNP_19T_30-12-2020</t>
        </is>
      </c>
      <c r="AU246" t="inlineStr">
        <is>
          <t>PNCP_12T_10-08-2020</t>
        </is>
      </c>
      <c r="AV246" t="inlineStr">
        <is>
          <t>PNCP_4T_30-04-2013</t>
        </is>
      </c>
      <c r="AW246" t="inlineStr">
        <is>
          <t>Barro Blanco 220</t>
        </is>
      </c>
      <c r="AX246" t="n">
        <v>111.133</v>
      </c>
      <c r="AY246" t="n">
        <v>1.083385174100913</v>
      </c>
      <c r="AZ246" t="n">
        <v>120.3998445533567</v>
      </c>
      <c r="BA246" t="n">
        <v>801.49</v>
      </c>
      <c r="BB246" t="n">
        <v>0.905</v>
      </c>
      <c r="BC246" t="n">
        <v>87.33184062701827</v>
      </c>
      <c r="BD246" t="n">
        <v>0.7946</v>
      </c>
      <c r="BE246" t="n">
        <v>69.39400000000001</v>
      </c>
      <c r="BF246" t="n">
        <v>8.9176</v>
      </c>
      <c r="BG246" t="n">
        <v>0.77</v>
      </c>
      <c r="BH246" t="n">
        <v>5962.380796939026</v>
      </c>
      <c r="BI246" t="n">
        <v>1.047283473516708</v>
      </c>
      <c r="BJ246" t="n">
        <v>6244.3029</v>
      </c>
    </row>
    <row r="247">
      <c r="A247" t="n">
        <v>2067</v>
      </c>
      <c r="B247" t="inlineStr">
        <is>
          <t>01-03-2021</t>
        </is>
      </c>
      <c r="C247" t="n">
        <v>2021</v>
      </c>
      <c r="D247" t="n">
        <v>1</v>
      </c>
      <c r="E247" t="inlineStr">
        <is>
          <t>CAREN</t>
        </is>
      </c>
      <c r="F247" t="inlineStr">
        <is>
          <t>SUM_SAESA_A</t>
        </is>
      </c>
      <c r="G247" t="inlineStr">
        <is>
          <t>A</t>
        </is>
      </c>
      <c r="H247" t="inlineStr">
        <is>
          <t>SAESA</t>
        </is>
      </c>
      <c r="I247" t="inlineStr">
        <is>
          <t>SAESPICABLOQA</t>
        </is>
      </c>
      <c r="J247" t="inlineStr">
        <is>
          <t>PICARTE</t>
        </is>
      </c>
      <c r="K247" t="n">
        <v>-19180.37521042</v>
      </c>
      <c r="L247" t="inlineStr">
        <is>
          <t>PICARTE</t>
        </is>
      </c>
      <c r="M247" t="inlineStr">
        <is>
          <t>MELIPULLI</t>
        </is>
      </c>
      <c r="N247" t="n">
        <v>0.00284526914055</v>
      </c>
      <c r="O247" t="n">
        <v>54.57333</v>
      </c>
      <c r="P247" t="inlineStr">
        <is>
          <t>BS1A</t>
        </is>
      </c>
      <c r="Q247" t="n">
        <v>2</v>
      </c>
      <c r="W247" t="n">
        <v>2</v>
      </c>
      <c r="X247" t="n">
        <v>0</v>
      </c>
      <c r="AA247" t="inlineStr">
        <is>
          <t>PNP_16T_02-11-2020</t>
        </is>
      </c>
      <c r="AB247" t="inlineStr">
        <is>
          <t>PNCP_2T_10-02-2020</t>
        </is>
      </c>
      <c r="AC247" t="inlineStr">
        <is>
          <t>PNCP_4T_30-04-2013</t>
        </is>
      </c>
      <c r="AD247" t="inlineStr">
        <is>
          <t>MELIPULLI 220</t>
        </is>
      </c>
      <c r="AE247" t="n">
        <v>111.133</v>
      </c>
      <c r="AF247" t="n">
        <v>1.080821157758461</v>
      </c>
      <c r="AG247" t="n">
        <v>120.1148977251711</v>
      </c>
      <c r="AH247" t="n">
        <v>779.3099999999999</v>
      </c>
      <c r="AI247" t="n">
        <v>0.879</v>
      </c>
      <c r="AJ247" t="n">
        <v>82.2803252917125</v>
      </c>
      <c r="AK247" t="n">
        <v>0.8421</v>
      </c>
      <c r="AL247" t="n">
        <v>69.288</v>
      </c>
      <c r="AM247" t="n">
        <v>8.9176</v>
      </c>
      <c r="AN247" t="n">
        <v>9.638330756426855</v>
      </c>
      <c r="AO247" t="n">
        <v>0.804</v>
      </c>
      <c r="AP247" t="n">
        <v>6039.043023599974</v>
      </c>
      <c r="AQ247" t="n">
        <v>1</v>
      </c>
      <c r="AR247" t="n">
        <v>6039.043</v>
      </c>
      <c r="AT247" t="inlineStr">
        <is>
          <t>PNP_19T_30-12-2020</t>
        </is>
      </c>
      <c r="AU247" t="inlineStr">
        <is>
          <t>PNCP_12T_10-08-2020</t>
        </is>
      </c>
      <c r="AV247" t="inlineStr">
        <is>
          <t>PNCP_4T_30-04-2013</t>
        </is>
      </c>
      <c r="AW247" t="inlineStr">
        <is>
          <t>MELIPULLI 220</t>
        </is>
      </c>
      <c r="AX247" t="n">
        <v>111.133</v>
      </c>
      <c r="AY247" t="n">
        <v>1.083385174100913</v>
      </c>
      <c r="AZ247" t="n">
        <v>120.3998445533567</v>
      </c>
      <c r="BA247" t="n">
        <v>801.49</v>
      </c>
      <c r="BB247" t="n">
        <v>0.905</v>
      </c>
      <c r="BC247" t="n">
        <v>87.33184062701827</v>
      </c>
      <c r="BD247" t="n">
        <v>0.7824</v>
      </c>
      <c r="BE247" t="n">
        <v>68.328</v>
      </c>
      <c r="BF247" t="n">
        <v>8.9176</v>
      </c>
      <c r="BG247" t="n">
        <v>0.77</v>
      </c>
      <c r="BH247" t="n">
        <v>5962.380796939026</v>
      </c>
      <c r="BI247" t="n">
        <v>1</v>
      </c>
      <c r="BJ247" t="n">
        <v>5962.3808</v>
      </c>
    </row>
    <row r="248">
      <c r="A248" t="n">
        <v>2069</v>
      </c>
      <c r="B248" t="inlineStr">
        <is>
          <t>01-03-2021</t>
        </is>
      </c>
      <c r="C248" t="n">
        <v>2021</v>
      </c>
      <c r="D248" t="n">
        <v>1</v>
      </c>
      <c r="E248" t="inlineStr">
        <is>
          <t>CAREN</t>
        </is>
      </c>
      <c r="F248" t="inlineStr">
        <is>
          <t>SUM_SAESA_A</t>
        </is>
      </c>
      <c r="G248" t="inlineStr">
        <is>
          <t>A</t>
        </is>
      </c>
      <c r="H248" t="inlineStr">
        <is>
          <t>SAESA</t>
        </is>
      </c>
      <c r="I248" t="inlineStr">
        <is>
          <t>SAESPICABLOQA</t>
        </is>
      </c>
      <c r="J248" t="inlineStr">
        <is>
          <t>PICARTE</t>
        </is>
      </c>
      <c r="K248" t="n">
        <v>-19180.37521042</v>
      </c>
      <c r="L248" t="inlineStr">
        <is>
          <t>PICARTE</t>
        </is>
      </c>
      <c r="M248" t="inlineStr">
        <is>
          <t>VALDIVIA</t>
        </is>
      </c>
      <c r="N248" t="n">
        <v>0.81632978072526</v>
      </c>
      <c r="O248" t="n">
        <v>15657.51149</v>
      </c>
      <c r="P248" t="inlineStr">
        <is>
          <t>BS1A</t>
        </is>
      </c>
      <c r="Q248" t="n">
        <v>2</v>
      </c>
      <c r="W248" t="n">
        <v>2</v>
      </c>
      <c r="X248" t="n">
        <v>0</v>
      </c>
      <c r="AA248" t="inlineStr">
        <is>
          <t>PNP_16T_02-11-2020</t>
        </is>
      </c>
      <c r="AB248" t="inlineStr">
        <is>
          <t>PNCP_2T_10-02-2020</t>
        </is>
      </c>
      <c r="AC248" t="inlineStr">
        <is>
          <t>PNCP_4T_30-04-2013</t>
        </is>
      </c>
      <c r="AD248" t="inlineStr">
        <is>
          <t>VALDIVIA 220</t>
        </is>
      </c>
      <c r="AE248" t="n">
        <v>111.133</v>
      </c>
      <c r="AF248" t="n">
        <v>1.080821157758461</v>
      </c>
      <c r="AG248" t="n">
        <v>120.1148977251711</v>
      </c>
      <c r="AH248" t="n">
        <v>779.3099999999999</v>
      </c>
      <c r="AI248" t="n">
        <v>0.879</v>
      </c>
      <c r="AJ248" t="n">
        <v>82.2803252917125</v>
      </c>
      <c r="AK248" t="n">
        <v>0.9167</v>
      </c>
      <c r="AL248" t="n">
        <v>75.426</v>
      </c>
      <c r="AM248" t="n">
        <v>8.9176</v>
      </c>
      <c r="AN248" t="n">
        <v>9.638330756426855</v>
      </c>
      <c r="AO248" t="n">
        <v>0.804</v>
      </c>
      <c r="AP248" t="n">
        <v>6039.043023599974</v>
      </c>
      <c r="AQ248" t="n">
        <v>1.096052187605444</v>
      </c>
      <c r="AR248" t="n">
        <v>6619.1063</v>
      </c>
      <c r="AT248" t="inlineStr">
        <is>
          <t>PNP_19T_30-12-2020</t>
        </is>
      </c>
      <c r="AU248" t="inlineStr">
        <is>
          <t>PNCP_12T_10-08-2020</t>
        </is>
      </c>
      <c r="AV248" t="inlineStr">
        <is>
          <t>PNCP_4T_30-04-2013</t>
        </is>
      </c>
      <c r="AW248" t="inlineStr">
        <is>
          <t>VALDIVIA 220</t>
        </is>
      </c>
      <c r="AX248" t="n">
        <v>111.133</v>
      </c>
      <c r="AY248" t="n">
        <v>1.083385174100913</v>
      </c>
      <c r="AZ248" t="n">
        <v>120.3998445533567</v>
      </c>
      <c r="BA248" t="n">
        <v>801.49</v>
      </c>
      <c r="BB248" t="n">
        <v>0.905</v>
      </c>
      <c r="BC248" t="n">
        <v>87.33184062701827</v>
      </c>
      <c r="BD248" t="n">
        <v>0.8745000000000001</v>
      </c>
      <c r="BE248" t="n">
        <v>76.372</v>
      </c>
      <c r="BF248" t="n">
        <v>8.9176</v>
      </c>
      <c r="BG248" t="n">
        <v>0.77</v>
      </c>
      <c r="BH248" t="n">
        <v>5962.380796939026</v>
      </c>
      <c r="BI248" t="n">
        <v>1.148014846473962</v>
      </c>
      <c r="BJ248" t="n">
        <v>6844.9017</v>
      </c>
    </row>
    <row r="249">
      <c r="A249" t="n">
        <v>4147</v>
      </c>
      <c r="B249" t="inlineStr">
        <is>
          <t>01-03-2021</t>
        </is>
      </c>
      <c r="C249" t="n">
        <v>2021</v>
      </c>
      <c r="D249" t="n">
        <v>1</v>
      </c>
      <c r="E249" t="inlineStr">
        <is>
          <t>CAREN</t>
        </is>
      </c>
      <c r="F249" t="inlineStr">
        <is>
          <t>SUM_SAESA_A</t>
        </is>
      </c>
      <c r="G249" t="inlineStr">
        <is>
          <t>A</t>
        </is>
      </c>
      <c r="H249" t="inlineStr">
        <is>
          <t>SAESA</t>
        </is>
      </c>
      <c r="I249" t="inlineStr">
        <is>
          <t>SAESPICHIBLOQA</t>
        </is>
      </c>
      <c r="J249" t="inlineStr">
        <is>
          <t>PICHIL</t>
        </is>
      </c>
      <c r="K249" t="n">
        <v>-735.57116799</v>
      </c>
      <c r="L249" t="inlineStr">
        <is>
          <t>PICHIL</t>
        </is>
      </c>
      <c r="M249" t="inlineStr">
        <is>
          <t>BARRO BLANCO</t>
        </is>
      </c>
      <c r="N249" t="n">
        <v>0.8920038857753</v>
      </c>
      <c r="O249" t="n">
        <v>656.13234</v>
      </c>
      <c r="P249" t="inlineStr">
        <is>
          <t>BS1A</t>
        </is>
      </c>
      <c r="Q249" t="n">
        <v>2</v>
      </c>
      <c r="W249" t="n">
        <v>2</v>
      </c>
      <c r="X249" t="n">
        <v>0</v>
      </c>
      <c r="AA249" t="inlineStr">
        <is>
          <t>PNP_16T_02-11-2020</t>
        </is>
      </c>
      <c r="AB249" t="inlineStr">
        <is>
          <t>PNCP_2T_10-02-2020</t>
        </is>
      </c>
      <c r="AC249" t="inlineStr">
        <is>
          <t>PNCP_4T_30-04-2013</t>
        </is>
      </c>
      <c r="AD249" t="inlineStr">
        <is>
          <t>Barro Blanco 220</t>
        </is>
      </c>
      <c r="AE249" t="n">
        <v>111.133</v>
      </c>
      <c r="AF249" t="n">
        <v>1.080821157758461</v>
      </c>
      <c r="AG249" t="n">
        <v>120.1148977251711</v>
      </c>
      <c r="AH249" t="n">
        <v>779.3099999999999</v>
      </c>
      <c r="AI249" t="n">
        <v>0.879</v>
      </c>
      <c r="AJ249" t="n">
        <v>82.2803252917125</v>
      </c>
      <c r="AK249" t="n">
        <v>0.846</v>
      </c>
      <c r="AL249" t="n">
        <v>69.60899999999999</v>
      </c>
      <c r="AM249" t="n">
        <v>8.9176</v>
      </c>
      <c r="AN249" t="n">
        <v>9.638330756426855</v>
      </c>
      <c r="AO249" t="n">
        <v>0.804</v>
      </c>
      <c r="AP249" t="n">
        <v>6039.043023599974</v>
      </c>
      <c r="AQ249" t="n">
        <v>1.011820868379177</v>
      </c>
      <c r="AR249" t="n">
        <v>6110.4298</v>
      </c>
      <c r="AT249" t="inlineStr">
        <is>
          <t>PNP_19T_30-12-2020</t>
        </is>
      </c>
      <c r="AU249" t="inlineStr">
        <is>
          <t>PNCP_12T_10-08-2020</t>
        </is>
      </c>
      <c r="AV249" t="inlineStr">
        <is>
          <t>PNCP_4T_30-04-2013</t>
        </is>
      </c>
      <c r="AW249" t="inlineStr">
        <is>
          <t>Barro Blanco 220</t>
        </is>
      </c>
      <c r="AX249" t="n">
        <v>111.133</v>
      </c>
      <c r="AY249" t="n">
        <v>1.083385174100913</v>
      </c>
      <c r="AZ249" t="n">
        <v>120.3998445533567</v>
      </c>
      <c r="BA249" t="n">
        <v>801.49</v>
      </c>
      <c r="BB249" t="n">
        <v>0.905</v>
      </c>
      <c r="BC249" t="n">
        <v>87.33184062701827</v>
      </c>
      <c r="BD249" t="n">
        <v>0.7946</v>
      </c>
      <c r="BE249" t="n">
        <v>69.39400000000001</v>
      </c>
      <c r="BF249" t="n">
        <v>8.9176</v>
      </c>
      <c r="BG249" t="n">
        <v>0.77</v>
      </c>
      <c r="BH249" t="n">
        <v>5962.380796939026</v>
      </c>
      <c r="BI249" t="n">
        <v>1.047283473516708</v>
      </c>
      <c r="BJ249" t="n">
        <v>6244.3029</v>
      </c>
    </row>
    <row r="250">
      <c r="A250" t="n">
        <v>4149</v>
      </c>
      <c r="B250" t="inlineStr">
        <is>
          <t>01-03-2021</t>
        </is>
      </c>
      <c r="C250" t="n">
        <v>2021</v>
      </c>
      <c r="D250" t="n">
        <v>1</v>
      </c>
      <c r="E250" t="inlineStr">
        <is>
          <t>CAREN</t>
        </is>
      </c>
      <c r="F250" t="inlineStr">
        <is>
          <t>SUM_SAESA_A</t>
        </is>
      </c>
      <c r="G250" t="inlineStr">
        <is>
          <t>A</t>
        </is>
      </c>
      <c r="H250" t="inlineStr">
        <is>
          <t>SAESA</t>
        </is>
      </c>
      <c r="I250" t="inlineStr">
        <is>
          <t>SAESPICHIBLOQA</t>
        </is>
      </c>
      <c r="J250" t="inlineStr">
        <is>
          <t>PICHIL</t>
        </is>
      </c>
      <c r="K250" t="n">
        <v>-735.57116799</v>
      </c>
      <c r="L250" t="inlineStr">
        <is>
          <t>PICHIL</t>
        </is>
      </c>
      <c r="M250" t="inlineStr">
        <is>
          <t>MELIPULLI</t>
        </is>
      </c>
      <c r="N250" t="n">
        <v>0.0602325005507</v>
      </c>
      <c r="O250" t="n">
        <v>44.305291</v>
      </c>
      <c r="P250" t="inlineStr">
        <is>
          <t>BS1A</t>
        </is>
      </c>
      <c r="Q250" t="n">
        <v>2</v>
      </c>
      <c r="W250" t="n">
        <v>2</v>
      </c>
      <c r="X250" t="n">
        <v>0</v>
      </c>
      <c r="AA250" t="inlineStr">
        <is>
          <t>PNP_16T_02-11-2020</t>
        </is>
      </c>
      <c r="AB250" t="inlineStr">
        <is>
          <t>PNCP_2T_10-02-2020</t>
        </is>
      </c>
      <c r="AC250" t="inlineStr">
        <is>
          <t>PNCP_4T_30-04-2013</t>
        </is>
      </c>
      <c r="AD250" t="inlineStr">
        <is>
          <t>MELIPULLI 220</t>
        </is>
      </c>
      <c r="AE250" t="n">
        <v>111.133</v>
      </c>
      <c r="AF250" t="n">
        <v>1.080821157758461</v>
      </c>
      <c r="AG250" t="n">
        <v>120.1148977251711</v>
      </c>
      <c r="AH250" t="n">
        <v>779.3099999999999</v>
      </c>
      <c r="AI250" t="n">
        <v>0.879</v>
      </c>
      <c r="AJ250" t="n">
        <v>82.2803252917125</v>
      </c>
      <c r="AK250" t="n">
        <v>0.8421</v>
      </c>
      <c r="AL250" t="n">
        <v>69.288</v>
      </c>
      <c r="AM250" t="n">
        <v>8.9176</v>
      </c>
      <c r="AN250" t="n">
        <v>9.638330756426855</v>
      </c>
      <c r="AO250" t="n">
        <v>0.804</v>
      </c>
      <c r="AP250" t="n">
        <v>6039.043023599974</v>
      </c>
      <c r="AQ250" t="n">
        <v>1</v>
      </c>
      <c r="AR250" t="n">
        <v>6039.043</v>
      </c>
      <c r="AT250" t="inlineStr">
        <is>
          <t>PNP_19T_30-12-2020</t>
        </is>
      </c>
      <c r="AU250" t="inlineStr">
        <is>
          <t>PNCP_12T_10-08-2020</t>
        </is>
      </c>
      <c r="AV250" t="inlineStr">
        <is>
          <t>PNCP_4T_30-04-2013</t>
        </is>
      </c>
      <c r="AW250" t="inlineStr">
        <is>
          <t>MELIPULLI 220</t>
        </is>
      </c>
      <c r="AX250" t="n">
        <v>111.133</v>
      </c>
      <c r="AY250" t="n">
        <v>1.083385174100913</v>
      </c>
      <c r="AZ250" t="n">
        <v>120.3998445533567</v>
      </c>
      <c r="BA250" t="n">
        <v>801.49</v>
      </c>
      <c r="BB250" t="n">
        <v>0.905</v>
      </c>
      <c r="BC250" t="n">
        <v>87.33184062701827</v>
      </c>
      <c r="BD250" t="n">
        <v>0.7824</v>
      </c>
      <c r="BE250" t="n">
        <v>68.328</v>
      </c>
      <c r="BF250" t="n">
        <v>8.9176</v>
      </c>
      <c r="BG250" t="n">
        <v>0.77</v>
      </c>
      <c r="BH250" t="n">
        <v>5962.380796939026</v>
      </c>
      <c r="BI250" t="n">
        <v>1</v>
      </c>
      <c r="BJ250" t="n">
        <v>5962.3808</v>
      </c>
    </row>
    <row r="251">
      <c r="A251" t="n">
        <v>4151</v>
      </c>
      <c r="B251" t="inlineStr">
        <is>
          <t>01-03-2021</t>
        </is>
      </c>
      <c r="C251" t="n">
        <v>2021</v>
      </c>
      <c r="D251" t="n">
        <v>1</v>
      </c>
      <c r="E251" t="inlineStr">
        <is>
          <t>CAREN</t>
        </is>
      </c>
      <c r="F251" t="inlineStr">
        <is>
          <t>SUM_SAESA_A</t>
        </is>
      </c>
      <c r="G251" t="inlineStr">
        <is>
          <t>A</t>
        </is>
      </c>
      <c r="H251" t="inlineStr">
        <is>
          <t>SAESA</t>
        </is>
      </c>
      <c r="I251" t="inlineStr">
        <is>
          <t>SAESPICHIBLOQA</t>
        </is>
      </c>
      <c r="J251" t="inlineStr">
        <is>
          <t>PICHIL</t>
        </is>
      </c>
      <c r="K251" t="n">
        <v>-735.57116799</v>
      </c>
      <c r="L251" t="inlineStr">
        <is>
          <t>PICHIL</t>
        </is>
      </c>
      <c r="M251" t="inlineStr">
        <is>
          <t>VALDIVIA</t>
        </is>
      </c>
      <c r="N251" t="n">
        <v>0.00992234391695</v>
      </c>
      <c r="O251" t="n">
        <v>7.29859</v>
      </c>
      <c r="P251" t="inlineStr">
        <is>
          <t>BS1A</t>
        </is>
      </c>
      <c r="Q251" t="n">
        <v>2</v>
      </c>
      <c r="W251" t="n">
        <v>2</v>
      </c>
      <c r="X251" t="n">
        <v>0</v>
      </c>
      <c r="AA251" t="inlineStr">
        <is>
          <t>PNP_16T_02-11-2020</t>
        </is>
      </c>
      <c r="AB251" t="inlineStr">
        <is>
          <t>PNCP_2T_10-02-2020</t>
        </is>
      </c>
      <c r="AC251" t="inlineStr">
        <is>
          <t>PNCP_4T_30-04-2013</t>
        </is>
      </c>
      <c r="AD251" t="inlineStr">
        <is>
          <t>VALDIVIA 220</t>
        </is>
      </c>
      <c r="AE251" t="n">
        <v>111.133</v>
      </c>
      <c r="AF251" t="n">
        <v>1.080821157758461</v>
      </c>
      <c r="AG251" t="n">
        <v>120.1148977251711</v>
      </c>
      <c r="AH251" t="n">
        <v>779.3099999999999</v>
      </c>
      <c r="AI251" t="n">
        <v>0.879</v>
      </c>
      <c r="AJ251" t="n">
        <v>82.2803252917125</v>
      </c>
      <c r="AK251" t="n">
        <v>0.9167</v>
      </c>
      <c r="AL251" t="n">
        <v>75.426</v>
      </c>
      <c r="AM251" t="n">
        <v>8.9176</v>
      </c>
      <c r="AN251" t="n">
        <v>9.638330756426855</v>
      </c>
      <c r="AO251" t="n">
        <v>0.804</v>
      </c>
      <c r="AP251" t="n">
        <v>6039.043023599974</v>
      </c>
      <c r="AQ251" t="n">
        <v>1.096052187605444</v>
      </c>
      <c r="AR251" t="n">
        <v>6619.1063</v>
      </c>
      <c r="AT251" t="inlineStr">
        <is>
          <t>PNP_19T_30-12-2020</t>
        </is>
      </c>
      <c r="AU251" t="inlineStr">
        <is>
          <t>PNCP_12T_10-08-2020</t>
        </is>
      </c>
      <c r="AV251" t="inlineStr">
        <is>
          <t>PNCP_4T_30-04-2013</t>
        </is>
      </c>
      <c r="AW251" t="inlineStr">
        <is>
          <t>VALDIVIA 220</t>
        </is>
      </c>
      <c r="AX251" t="n">
        <v>111.133</v>
      </c>
      <c r="AY251" t="n">
        <v>1.083385174100913</v>
      </c>
      <c r="AZ251" t="n">
        <v>120.3998445533567</v>
      </c>
      <c r="BA251" t="n">
        <v>801.49</v>
      </c>
      <c r="BB251" t="n">
        <v>0.905</v>
      </c>
      <c r="BC251" t="n">
        <v>87.33184062701827</v>
      </c>
      <c r="BD251" t="n">
        <v>0.8745000000000001</v>
      </c>
      <c r="BE251" t="n">
        <v>76.372</v>
      </c>
      <c r="BF251" t="n">
        <v>8.9176</v>
      </c>
      <c r="BG251" t="n">
        <v>0.77</v>
      </c>
      <c r="BH251" t="n">
        <v>5962.380796939026</v>
      </c>
      <c r="BI251" t="n">
        <v>1.148014846473962</v>
      </c>
      <c r="BJ251" t="n">
        <v>6844.9017</v>
      </c>
    </row>
    <row r="252">
      <c r="A252" t="n">
        <v>2065</v>
      </c>
      <c r="B252" t="inlineStr">
        <is>
          <t>01-03-2021</t>
        </is>
      </c>
      <c r="C252" t="n">
        <v>2021</v>
      </c>
      <c r="D252" t="n">
        <v>1</v>
      </c>
      <c r="E252" t="inlineStr">
        <is>
          <t>CAREN</t>
        </is>
      </c>
      <c r="F252" t="inlineStr">
        <is>
          <t>SUM_SAESA_A</t>
        </is>
      </c>
      <c r="G252" t="inlineStr">
        <is>
          <t>A</t>
        </is>
      </c>
      <c r="H252" t="inlineStr">
        <is>
          <t>SAESA</t>
        </is>
      </c>
      <c r="I252" t="inlineStr">
        <is>
          <t>SAESPICHBLOQA</t>
        </is>
      </c>
      <c r="J252" t="inlineStr">
        <is>
          <t>PICHIRROPULLI</t>
        </is>
      </c>
      <c r="K252" t="n">
        <v>-4151.51253909</v>
      </c>
      <c r="L252" t="inlineStr">
        <is>
          <t>PICHIRROPULLI</t>
        </is>
      </c>
      <c r="M252" t="inlineStr">
        <is>
          <t>BARRO BLANCO</t>
        </is>
      </c>
      <c r="N252" t="n">
        <v>0.44055171091363</v>
      </c>
      <c r="O252" t="n">
        <v>1828.955952</v>
      </c>
      <c r="P252" t="inlineStr">
        <is>
          <t>BS1A</t>
        </is>
      </c>
      <c r="Q252" t="n">
        <v>2</v>
      </c>
      <c r="W252" t="n">
        <v>2</v>
      </c>
      <c r="X252" t="n">
        <v>0</v>
      </c>
      <c r="AA252" t="inlineStr">
        <is>
          <t>PNP_16T_02-11-2020</t>
        </is>
      </c>
      <c r="AB252" t="inlineStr">
        <is>
          <t>PNCP_2T_10-02-2020</t>
        </is>
      </c>
      <c r="AC252" t="inlineStr">
        <is>
          <t>PNCP_4T_30-04-2013</t>
        </is>
      </c>
      <c r="AD252" t="inlineStr">
        <is>
          <t>Barro Blanco 220</t>
        </is>
      </c>
      <c r="AE252" t="n">
        <v>111.133</v>
      </c>
      <c r="AF252" t="n">
        <v>1.080821157758461</v>
      </c>
      <c r="AG252" t="n">
        <v>120.1148977251711</v>
      </c>
      <c r="AH252" t="n">
        <v>779.3099999999999</v>
      </c>
      <c r="AI252" t="n">
        <v>0.879</v>
      </c>
      <c r="AJ252" t="n">
        <v>82.2803252917125</v>
      </c>
      <c r="AK252" t="n">
        <v>0.846</v>
      </c>
      <c r="AL252" t="n">
        <v>69.60899999999999</v>
      </c>
      <c r="AM252" t="n">
        <v>8.9176</v>
      </c>
      <c r="AN252" t="n">
        <v>9.638330756426855</v>
      </c>
      <c r="AO252" t="n">
        <v>0.804</v>
      </c>
      <c r="AP252" t="n">
        <v>6039.043023599974</v>
      </c>
      <c r="AQ252" t="n">
        <v>1.011820868379177</v>
      </c>
      <c r="AR252" t="n">
        <v>6110.4298</v>
      </c>
      <c r="AT252" t="inlineStr">
        <is>
          <t>PNP_19T_30-12-2020</t>
        </is>
      </c>
      <c r="AU252" t="inlineStr">
        <is>
          <t>PNCP_12T_10-08-2020</t>
        </is>
      </c>
      <c r="AV252" t="inlineStr">
        <is>
          <t>PNCP_4T_30-04-2013</t>
        </is>
      </c>
      <c r="AW252" t="inlineStr">
        <is>
          <t>Barro Blanco 220</t>
        </is>
      </c>
      <c r="AX252" t="n">
        <v>111.133</v>
      </c>
      <c r="AY252" t="n">
        <v>1.083385174100913</v>
      </c>
      <c r="AZ252" t="n">
        <v>120.3998445533567</v>
      </c>
      <c r="BA252" t="n">
        <v>801.49</v>
      </c>
      <c r="BB252" t="n">
        <v>0.905</v>
      </c>
      <c r="BC252" t="n">
        <v>87.33184062701827</v>
      </c>
      <c r="BD252" t="n">
        <v>0.7946</v>
      </c>
      <c r="BE252" t="n">
        <v>69.39400000000001</v>
      </c>
      <c r="BF252" t="n">
        <v>8.9176</v>
      </c>
      <c r="BG252" t="n">
        <v>0.77</v>
      </c>
      <c r="BH252" t="n">
        <v>5962.380796939026</v>
      </c>
      <c r="BI252" t="n">
        <v>1.047283473516708</v>
      </c>
      <c r="BJ252" t="n">
        <v>6244.3029</v>
      </c>
    </row>
    <row r="253">
      <c r="A253" t="n">
        <v>2067</v>
      </c>
      <c r="B253" t="inlineStr">
        <is>
          <t>01-03-2021</t>
        </is>
      </c>
      <c r="C253" t="n">
        <v>2021</v>
      </c>
      <c r="D253" t="n">
        <v>1</v>
      </c>
      <c r="E253" t="inlineStr">
        <is>
          <t>CAREN</t>
        </is>
      </c>
      <c r="F253" t="inlineStr">
        <is>
          <t>SUM_SAESA_A</t>
        </is>
      </c>
      <c r="G253" t="inlineStr">
        <is>
          <t>A</t>
        </is>
      </c>
      <c r="H253" t="inlineStr">
        <is>
          <t>SAESA</t>
        </is>
      </c>
      <c r="I253" t="inlineStr">
        <is>
          <t>SAESPICHBLOQA</t>
        </is>
      </c>
      <c r="J253" t="inlineStr">
        <is>
          <t>PICHIRROPULLI</t>
        </is>
      </c>
      <c r="K253" t="n">
        <v>-4151.51253909</v>
      </c>
      <c r="L253" t="inlineStr">
        <is>
          <t>PICHIRROPULLI</t>
        </is>
      </c>
      <c r="M253" t="inlineStr">
        <is>
          <t>MELIPULLI</t>
        </is>
      </c>
      <c r="N253" t="n">
        <v>0.02469277244506</v>
      </c>
      <c r="O253" t="n">
        <v>102.512354</v>
      </c>
      <c r="P253" t="inlineStr">
        <is>
          <t>BS1A</t>
        </is>
      </c>
      <c r="Q253" t="n">
        <v>2</v>
      </c>
      <c r="W253" t="n">
        <v>2</v>
      </c>
      <c r="X253" t="n">
        <v>0</v>
      </c>
      <c r="AA253" t="inlineStr">
        <is>
          <t>PNP_16T_02-11-2020</t>
        </is>
      </c>
      <c r="AB253" t="inlineStr">
        <is>
          <t>PNCP_2T_10-02-2020</t>
        </is>
      </c>
      <c r="AC253" t="inlineStr">
        <is>
          <t>PNCP_4T_30-04-2013</t>
        </is>
      </c>
      <c r="AD253" t="inlineStr">
        <is>
          <t>MELIPULLI 220</t>
        </is>
      </c>
      <c r="AE253" t="n">
        <v>111.133</v>
      </c>
      <c r="AF253" t="n">
        <v>1.080821157758461</v>
      </c>
      <c r="AG253" t="n">
        <v>120.1148977251711</v>
      </c>
      <c r="AH253" t="n">
        <v>779.3099999999999</v>
      </c>
      <c r="AI253" t="n">
        <v>0.879</v>
      </c>
      <c r="AJ253" t="n">
        <v>82.2803252917125</v>
      </c>
      <c r="AK253" t="n">
        <v>0.8421</v>
      </c>
      <c r="AL253" t="n">
        <v>69.288</v>
      </c>
      <c r="AM253" t="n">
        <v>8.9176</v>
      </c>
      <c r="AN253" t="n">
        <v>9.638330756426855</v>
      </c>
      <c r="AO253" t="n">
        <v>0.804</v>
      </c>
      <c r="AP253" t="n">
        <v>6039.043023599974</v>
      </c>
      <c r="AQ253" t="n">
        <v>1</v>
      </c>
      <c r="AR253" t="n">
        <v>6039.043</v>
      </c>
      <c r="AT253" t="inlineStr">
        <is>
          <t>PNP_19T_30-12-2020</t>
        </is>
      </c>
      <c r="AU253" t="inlineStr">
        <is>
          <t>PNCP_12T_10-08-2020</t>
        </is>
      </c>
      <c r="AV253" t="inlineStr">
        <is>
          <t>PNCP_4T_30-04-2013</t>
        </is>
      </c>
      <c r="AW253" t="inlineStr">
        <is>
          <t>MELIPULLI 220</t>
        </is>
      </c>
      <c r="AX253" t="n">
        <v>111.133</v>
      </c>
      <c r="AY253" t="n">
        <v>1.083385174100913</v>
      </c>
      <c r="AZ253" t="n">
        <v>120.3998445533567</v>
      </c>
      <c r="BA253" t="n">
        <v>801.49</v>
      </c>
      <c r="BB253" t="n">
        <v>0.905</v>
      </c>
      <c r="BC253" t="n">
        <v>87.33184062701827</v>
      </c>
      <c r="BD253" t="n">
        <v>0.7824</v>
      </c>
      <c r="BE253" t="n">
        <v>68.328</v>
      </c>
      <c r="BF253" t="n">
        <v>8.9176</v>
      </c>
      <c r="BG253" t="n">
        <v>0.77</v>
      </c>
      <c r="BH253" t="n">
        <v>5962.380796939026</v>
      </c>
      <c r="BI253" t="n">
        <v>1</v>
      </c>
      <c r="BJ253" t="n">
        <v>5962.3808</v>
      </c>
    </row>
    <row r="254">
      <c r="A254" t="n">
        <v>2069</v>
      </c>
      <c r="B254" t="inlineStr">
        <is>
          <t>01-03-2021</t>
        </is>
      </c>
      <c r="C254" t="n">
        <v>2021</v>
      </c>
      <c r="D254" t="n">
        <v>1</v>
      </c>
      <c r="E254" t="inlineStr">
        <is>
          <t>CAREN</t>
        </is>
      </c>
      <c r="F254" t="inlineStr">
        <is>
          <t>SUM_SAESA_A</t>
        </is>
      </c>
      <c r="G254" t="inlineStr">
        <is>
          <t>A</t>
        </is>
      </c>
      <c r="H254" t="inlineStr">
        <is>
          <t>SAESA</t>
        </is>
      </c>
      <c r="I254" t="inlineStr">
        <is>
          <t>SAESPICHBLOQA</t>
        </is>
      </c>
      <c r="J254" t="inlineStr">
        <is>
          <t>PICHIRROPULLI</t>
        </is>
      </c>
      <c r="K254" t="n">
        <v>-4151.51253909</v>
      </c>
      <c r="L254" t="inlineStr">
        <is>
          <t>PICHIRROPULLI</t>
        </is>
      </c>
      <c r="M254" t="inlineStr">
        <is>
          <t>VALDIVIA</t>
        </is>
      </c>
      <c r="N254" t="n">
        <v>0.40806767195515</v>
      </c>
      <c r="O254" t="n">
        <v>1694.098057</v>
      </c>
      <c r="P254" t="inlineStr">
        <is>
          <t>BS1A</t>
        </is>
      </c>
      <c r="Q254" t="n">
        <v>2</v>
      </c>
      <c r="W254" t="n">
        <v>2</v>
      </c>
      <c r="X254" t="n">
        <v>0</v>
      </c>
      <c r="AA254" t="inlineStr">
        <is>
          <t>PNP_16T_02-11-2020</t>
        </is>
      </c>
      <c r="AB254" t="inlineStr">
        <is>
          <t>PNCP_2T_10-02-2020</t>
        </is>
      </c>
      <c r="AC254" t="inlineStr">
        <is>
          <t>PNCP_4T_30-04-2013</t>
        </is>
      </c>
      <c r="AD254" t="inlineStr">
        <is>
          <t>VALDIVIA 220</t>
        </is>
      </c>
      <c r="AE254" t="n">
        <v>111.133</v>
      </c>
      <c r="AF254" t="n">
        <v>1.080821157758461</v>
      </c>
      <c r="AG254" t="n">
        <v>120.1148977251711</v>
      </c>
      <c r="AH254" t="n">
        <v>779.3099999999999</v>
      </c>
      <c r="AI254" t="n">
        <v>0.879</v>
      </c>
      <c r="AJ254" t="n">
        <v>82.2803252917125</v>
      </c>
      <c r="AK254" t="n">
        <v>0.9167</v>
      </c>
      <c r="AL254" t="n">
        <v>75.426</v>
      </c>
      <c r="AM254" t="n">
        <v>8.9176</v>
      </c>
      <c r="AN254" t="n">
        <v>9.638330756426855</v>
      </c>
      <c r="AO254" t="n">
        <v>0.804</v>
      </c>
      <c r="AP254" t="n">
        <v>6039.043023599974</v>
      </c>
      <c r="AQ254" t="n">
        <v>1.096052187605444</v>
      </c>
      <c r="AR254" t="n">
        <v>6619.1063</v>
      </c>
      <c r="AT254" t="inlineStr">
        <is>
          <t>PNP_19T_30-12-2020</t>
        </is>
      </c>
      <c r="AU254" t="inlineStr">
        <is>
          <t>PNCP_12T_10-08-2020</t>
        </is>
      </c>
      <c r="AV254" t="inlineStr">
        <is>
          <t>PNCP_4T_30-04-2013</t>
        </is>
      </c>
      <c r="AW254" t="inlineStr">
        <is>
          <t>VALDIVIA 220</t>
        </is>
      </c>
      <c r="AX254" t="n">
        <v>111.133</v>
      </c>
      <c r="AY254" t="n">
        <v>1.083385174100913</v>
      </c>
      <c r="AZ254" t="n">
        <v>120.3998445533567</v>
      </c>
      <c r="BA254" t="n">
        <v>801.49</v>
      </c>
      <c r="BB254" t="n">
        <v>0.905</v>
      </c>
      <c r="BC254" t="n">
        <v>87.33184062701827</v>
      </c>
      <c r="BD254" t="n">
        <v>0.8745000000000001</v>
      </c>
      <c r="BE254" t="n">
        <v>76.372</v>
      </c>
      <c r="BF254" t="n">
        <v>8.9176</v>
      </c>
      <c r="BG254" t="n">
        <v>0.77</v>
      </c>
      <c r="BH254" t="n">
        <v>5962.380796939026</v>
      </c>
      <c r="BI254" t="n">
        <v>1.148014846473962</v>
      </c>
      <c r="BJ254" t="n">
        <v>6844.9017</v>
      </c>
    </row>
    <row r="255">
      <c r="A255" t="n">
        <v>2065</v>
      </c>
      <c r="B255" t="inlineStr">
        <is>
          <t>01-03-2021</t>
        </is>
      </c>
      <c r="C255" t="n">
        <v>2021</v>
      </c>
      <c r="D255" t="n">
        <v>1</v>
      </c>
      <c r="E255" t="inlineStr">
        <is>
          <t>CAREN</t>
        </is>
      </c>
      <c r="F255" t="inlineStr">
        <is>
          <t>SUM_SAESA_A</t>
        </is>
      </c>
      <c r="G255" t="inlineStr">
        <is>
          <t>A</t>
        </is>
      </c>
      <c r="H255" t="inlineStr">
        <is>
          <t>SAESA</t>
        </is>
      </c>
      <c r="I255" t="inlineStr">
        <is>
          <t>SAESPIDPBLOQA</t>
        </is>
      </c>
      <c r="J255" t="inlineStr">
        <is>
          <t>PIDPID</t>
        </is>
      </c>
      <c r="K255" t="n">
        <v>-2273.74427676</v>
      </c>
      <c r="L255" t="inlineStr">
        <is>
          <t>PID PID</t>
        </is>
      </c>
      <c r="M255" t="inlineStr">
        <is>
          <t>MELIPULLI</t>
        </is>
      </c>
      <c r="N255" t="n">
        <v>0.79666086463654</v>
      </c>
      <c r="O255" t="n">
        <v>1811.403081</v>
      </c>
      <c r="P255" t="inlineStr">
        <is>
          <t>BS1A</t>
        </is>
      </c>
      <c r="Q255" t="n">
        <v>2</v>
      </c>
      <c r="W255" t="n">
        <v>2</v>
      </c>
      <c r="X255" t="n">
        <v>0</v>
      </c>
      <c r="AA255" t="inlineStr">
        <is>
          <t>PNP_16T_02-11-2020</t>
        </is>
      </c>
      <c r="AB255" t="inlineStr">
        <is>
          <t>PNCP_2T_10-02-2020</t>
        </is>
      </c>
      <c r="AC255" t="inlineStr">
        <is>
          <t>PNCP_4T_30-04-2013</t>
        </is>
      </c>
      <c r="AD255" t="inlineStr">
        <is>
          <t>MELIPULLI 220</t>
        </is>
      </c>
      <c r="AE255" t="n">
        <v>111.133</v>
      </c>
      <c r="AF255" t="n">
        <v>1.080821157758461</v>
      </c>
      <c r="AG255" t="n">
        <v>120.1148977251711</v>
      </c>
      <c r="AH255" t="n">
        <v>779.3099999999999</v>
      </c>
      <c r="AI255" t="n">
        <v>0.879</v>
      </c>
      <c r="AJ255" t="n">
        <v>82.2803252917125</v>
      </c>
      <c r="AK255" t="n">
        <v>0.8421</v>
      </c>
      <c r="AL255" t="n">
        <v>69.288</v>
      </c>
      <c r="AM255" t="n">
        <v>8.9176</v>
      </c>
      <c r="AN255" t="n">
        <v>9.638330756426855</v>
      </c>
      <c r="AO255" t="n">
        <v>0.804</v>
      </c>
      <c r="AP255" t="n">
        <v>6039.043023599974</v>
      </c>
      <c r="AQ255" t="n">
        <v>1</v>
      </c>
      <c r="AR255" t="n">
        <v>6039.043</v>
      </c>
      <c r="AT255" t="inlineStr">
        <is>
          <t>PNP_19T_30-12-2020</t>
        </is>
      </c>
      <c r="AU255" t="inlineStr">
        <is>
          <t>PNCP_12T_10-08-2020</t>
        </is>
      </c>
      <c r="AV255" t="inlineStr">
        <is>
          <t>PNCP_4T_30-04-2013</t>
        </is>
      </c>
      <c r="AW255" t="inlineStr">
        <is>
          <t>MELIPULLI 220</t>
        </is>
      </c>
      <c r="AX255" t="n">
        <v>111.133</v>
      </c>
      <c r="AY255" t="n">
        <v>1.083385174100913</v>
      </c>
      <c r="AZ255" t="n">
        <v>120.3998445533567</v>
      </c>
      <c r="BA255" t="n">
        <v>801.49</v>
      </c>
      <c r="BB255" t="n">
        <v>0.905</v>
      </c>
      <c r="BC255" t="n">
        <v>87.33184062701827</v>
      </c>
      <c r="BD255" t="n">
        <v>0.7824</v>
      </c>
      <c r="BE255" t="n">
        <v>68.328</v>
      </c>
      <c r="BF255" t="n">
        <v>8.9176</v>
      </c>
      <c r="BG255" t="n">
        <v>0.77</v>
      </c>
      <c r="BH255" t="n">
        <v>5962.380796939026</v>
      </c>
      <c r="BI255" t="n">
        <v>1</v>
      </c>
      <c r="BJ255" t="n">
        <v>5962.3808</v>
      </c>
    </row>
    <row r="256">
      <c r="A256" t="n">
        <v>2067</v>
      </c>
      <c r="B256" t="inlineStr">
        <is>
          <t>01-03-2021</t>
        </is>
      </c>
      <c r="C256" t="n">
        <v>2021</v>
      </c>
      <c r="D256" t="n">
        <v>1</v>
      </c>
      <c r="E256" t="inlineStr">
        <is>
          <t>CAREN</t>
        </is>
      </c>
      <c r="F256" t="inlineStr">
        <is>
          <t>SUM_SAESA_A</t>
        </is>
      </c>
      <c r="G256" t="inlineStr">
        <is>
          <t>A</t>
        </is>
      </c>
      <c r="H256" t="inlineStr">
        <is>
          <t>SAESA</t>
        </is>
      </c>
      <c r="I256" t="inlineStr">
        <is>
          <t>SAESPIDPBLOQA</t>
        </is>
      </c>
      <c r="J256" t="inlineStr">
        <is>
          <t>PIDPID</t>
        </is>
      </c>
      <c r="K256" t="n">
        <v>-2273.74427676</v>
      </c>
      <c r="L256" t="inlineStr">
        <is>
          <t>PID PID</t>
        </is>
      </c>
      <c r="M256" t="inlineStr">
        <is>
          <t>Puerto Montt</t>
        </is>
      </c>
      <c r="N256" t="n">
        <v>0.94104614890391</v>
      </c>
      <c r="O256" t="n">
        <v>2139.698295</v>
      </c>
      <c r="P256" t="inlineStr">
        <is>
          <t>BS1A</t>
        </is>
      </c>
      <c r="Q256" t="n">
        <v>2</v>
      </c>
      <c r="W256" t="n">
        <v>2</v>
      </c>
      <c r="X256" t="n">
        <v>0</v>
      </c>
      <c r="AA256" t="inlineStr">
        <is>
          <t>PNP_16T_02-11-2020</t>
        </is>
      </c>
      <c r="AB256" t="inlineStr">
        <is>
          <t>PNCP_2T_10-02-2020</t>
        </is>
      </c>
      <c r="AC256" t="inlineStr">
        <is>
          <t>PNCP_4T_30-04-2013</t>
        </is>
      </c>
      <c r="AD256" t="inlineStr">
        <is>
          <t>PUERTO MONTT 220</t>
        </is>
      </c>
      <c r="AE256" t="n">
        <v>111.133</v>
      </c>
      <c r="AF256" t="n">
        <v>1.080821157758461</v>
      </c>
      <c r="AG256" t="n">
        <v>120.1148977251711</v>
      </c>
      <c r="AH256" t="n">
        <v>779.3099999999999</v>
      </c>
      <c r="AI256" t="n">
        <v>0.879</v>
      </c>
      <c r="AJ256" t="n">
        <v>82.2803252917125</v>
      </c>
      <c r="AK256" t="n">
        <v>0.8421</v>
      </c>
      <c r="AL256" t="n">
        <v>69.288</v>
      </c>
      <c r="AM256" t="n">
        <v>8.9176</v>
      </c>
      <c r="AN256" t="n">
        <v>9.638330756426855</v>
      </c>
      <c r="AO256" t="n">
        <v>0.804</v>
      </c>
      <c r="AP256" t="n">
        <v>6039.043023599974</v>
      </c>
      <c r="AQ256" t="n">
        <v>1.02699624102973</v>
      </c>
      <c r="AR256" t="n">
        <v>6202.0745</v>
      </c>
      <c r="AT256" t="inlineStr">
        <is>
          <t>PNP_19T_30-12-2020</t>
        </is>
      </c>
      <c r="AU256" t="inlineStr">
        <is>
          <t>PNCP_12T_10-08-2020</t>
        </is>
      </c>
      <c r="AV256" t="inlineStr">
        <is>
          <t>PNCP_4T_30-04-2013</t>
        </is>
      </c>
      <c r="AW256" t="inlineStr">
        <is>
          <t>PUERTO MONTT 220</t>
        </is>
      </c>
      <c r="AX256" t="n">
        <v>111.133</v>
      </c>
      <c r="AY256" t="n">
        <v>1.083385174100913</v>
      </c>
      <c r="AZ256" t="n">
        <v>120.3998445533567</v>
      </c>
      <c r="BA256" t="n">
        <v>801.49</v>
      </c>
      <c r="BB256" t="n">
        <v>0.905</v>
      </c>
      <c r="BC256" t="n">
        <v>87.33184062701827</v>
      </c>
      <c r="BD256" t="n">
        <v>0.7824</v>
      </c>
      <c r="BE256" t="n">
        <v>68.328</v>
      </c>
      <c r="BF256" t="n">
        <v>8.9176</v>
      </c>
      <c r="BG256" t="n">
        <v>0.77</v>
      </c>
      <c r="BH256" t="n">
        <v>5962.380796939026</v>
      </c>
      <c r="BI256" t="n">
        <v>1.039640050119603</v>
      </c>
      <c r="BJ256" t="n">
        <v>6198.7299</v>
      </c>
    </row>
    <row r="257">
      <c r="A257" t="n">
        <v>2069</v>
      </c>
      <c r="B257" t="inlineStr">
        <is>
          <t>01-03-2021</t>
        </is>
      </c>
      <c r="C257" t="n">
        <v>2021</v>
      </c>
      <c r="D257" t="n">
        <v>1</v>
      </c>
      <c r="E257" t="inlineStr">
        <is>
          <t>CAREN</t>
        </is>
      </c>
      <c r="F257" t="inlineStr">
        <is>
          <t>SUM_SAESA_A</t>
        </is>
      </c>
      <c r="G257" t="inlineStr">
        <is>
          <t>A</t>
        </is>
      </c>
      <c r="H257" t="inlineStr">
        <is>
          <t>SAESA</t>
        </is>
      </c>
      <c r="I257" t="inlineStr">
        <is>
          <t>SAESPIDPBLOQA</t>
        </is>
      </c>
      <c r="J257" t="inlineStr">
        <is>
          <t>PIDPID</t>
        </is>
      </c>
      <c r="K257" t="n">
        <v>-2273.74427676</v>
      </c>
      <c r="L257" t="inlineStr">
        <is>
          <t>PID PID</t>
        </is>
      </c>
      <c r="M257" t="inlineStr">
        <is>
          <t>VALDIVIA</t>
        </is>
      </c>
      <c r="N257" t="n">
        <v>0.00023768314126</v>
      </c>
      <c r="O257" t="n">
        <v>0.540431</v>
      </c>
      <c r="P257" t="inlineStr">
        <is>
          <t>BS1A</t>
        </is>
      </c>
      <c r="Q257" t="n">
        <v>2</v>
      </c>
      <c r="W257" t="n">
        <v>2</v>
      </c>
      <c r="X257" t="n">
        <v>0</v>
      </c>
      <c r="AA257" t="inlineStr">
        <is>
          <t>PNP_16T_02-11-2020</t>
        </is>
      </c>
      <c r="AB257" t="inlineStr">
        <is>
          <t>PNCP_2T_10-02-2020</t>
        </is>
      </c>
      <c r="AC257" t="inlineStr">
        <is>
          <t>PNCP_4T_30-04-2013</t>
        </is>
      </c>
      <c r="AD257" t="inlineStr">
        <is>
          <t>VALDIVIA 220</t>
        </is>
      </c>
      <c r="AE257" t="n">
        <v>111.133</v>
      </c>
      <c r="AF257" t="n">
        <v>1.080821157758461</v>
      </c>
      <c r="AG257" t="n">
        <v>120.1148977251711</v>
      </c>
      <c r="AH257" t="n">
        <v>779.3099999999999</v>
      </c>
      <c r="AI257" t="n">
        <v>0.879</v>
      </c>
      <c r="AJ257" t="n">
        <v>82.2803252917125</v>
      </c>
      <c r="AK257" t="n">
        <v>0.9167</v>
      </c>
      <c r="AL257" t="n">
        <v>75.426</v>
      </c>
      <c r="AM257" t="n">
        <v>8.9176</v>
      </c>
      <c r="AN257" t="n">
        <v>9.638330756426855</v>
      </c>
      <c r="AO257" t="n">
        <v>0.804</v>
      </c>
      <c r="AP257" t="n">
        <v>6039.043023599974</v>
      </c>
      <c r="AQ257" t="n">
        <v>1.096052187605444</v>
      </c>
      <c r="AR257" t="n">
        <v>6619.1063</v>
      </c>
      <c r="AT257" t="inlineStr">
        <is>
          <t>PNP_19T_30-12-2020</t>
        </is>
      </c>
      <c r="AU257" t="inlineStr">
        <is>
          <t>PNCP_12T_10-08-2020</t>
        </is>
      </c>
      <c r="AV257" t="inlineStr">
        <is>
          <t>PNCP_4T_30-04-2013</t>
        </is>
      </c>
      <c r="AW257" t="inlineStr">
        <is>
          <t>VALDIVIA 220</t>
        </is>
      </c>
      <c r="AX257" t="n">
        <v>111.133</v>
      </c>
      <c r="AY257" t="n">
        <v>1.083385174100913</v>
      </c>
      <c r="AZ257" t="n">
        <v>120.3998445533567</v>
      </c>
      <c r="BA257" t="n">
        <v>801.49</v>
      </c>
      <c r="BB257" t="n">
        <v>0.905</v>
      </c>
      <c r="BC257" t="n">
        <v>87.33184062701827</v>
      </c>
      <c r="BD257" t="n">
        <v>0.8745000000000001</v>
      </c>
      <c r="BE257" t="n">
        <v>76.372</v>
      </c>
      <c r="BF257" t="n">
        <v>8.9176</v>
      </c>
      <c r="BG257" t="n">
        <v>0.77</v>
      </c>
      <c r="BH257" t="n">
        <v>5962.380796939026</v>
      </c>
      <c r="BI257" t="n">
        <v>1.148014846473962</v>
      </c>
      <c r="BJ257" t="n">
        <v>6844.9017</v>
      </c>
    </row>
    <row r="258">
      <c r="A258" t="n">
        <v>6154</v>
      </c>
      <c r="B258" t="inlineStr">
        <is>
          <t>01-03-2021</t>
        </is>
      </c>
      <c r="C258" t="n">
        <v>2021</v>
      </c>
      <c r="D258" t="n">
        <v>1</v>
      </c>
      <c r="E258" t="inlineStr">
        <is>
          <t>CAREN</t>
        </is>
      </c>
      <c r="F258" t="inlineStr">
        <is>
          <t>SUM_SAESA_A</t>
        </is>
      </c>
      <c r="G258" t="inlineStr">
        <is>
          <t>A</t>
        </is>
      </c>
      <c r="H258" t="inlineStr">
        <is>
          <t>SAESA</t>
        </is>
      </c>
      <c r="I258" t="inlineStr">
        <is>
          <t>SAESPILMBLOQA</t>
        </is>
      </c>
      <c r="J258" t="inlineStr">
        <is>
          <t>PILMAIQUEN</t>
        </is>
      </c>
      <c r="K258" t="n">
        <v>0</v>
      </c>
      <c r="L258" t="inlineStr">
        <is>
          <t>PILMAIQUEN</t>
        </is>
      </c>
      <c r="M258" t="inlineStr">
        <is>
          <t>Barro Blanco</t>
        </is>
      </c>
      <c r="N258" t="n">
        <v>0.69399012693979</v>
      </c>
      <c r="O258" t="n">
        <v>0</v>
      </c>
      <c r="P258" t="inlineStr">
        <is>
          <t>BS1A</t>
        </is>
      </c>
      <c r="Q258" t="n">
        <v>2</v>
      </c>
      <c r="W258" t="n">
        <v>2</v>
      </c>
      <c r="X258" t="n">
        <v>0</v>
      </c>
      <c r="AA258" t="inlineStr">
        <is>
          <t>PNP_16T_02-11-2020</t>
        </is>
      </c>
      <c r="AB258" t="inlineStr">
        <is>
          <t>PNCP_2T_10-02-2020</t>
        </is>
      </c>
      <c r="AC258" t="inlineStr">
        <is>
          <t>PNCP_4T_30-04-2013</t>
        </is>
      </c>
      <c r="AD258" t="inlineStr">
        <is>
          <t>Barro Blanco 220</t>
        </is>
      </c>
      <c r="AE258" t="n">
        <v>111.133</v>
      </c>
      <c r="AF258" t="n">
        <v>1.080821157758461</v>
      </c>
      <c r="AG258" t="n">
        <v>120.1148977251711</v>
      </c>
      <c r="AH258" t="n">
        <v>779.3099999999999</v>
      </c>
      <c r="AI258" t="n">
        <v>0.879</v>
      </c>
      <c r="AJ258" t="n">
        <v>82.2803252917125</v>
      </c>
      <c r="AK258" t="n">
        <v>0.846</v>
      </c>
      <c r="AL258" t="n">
        <v>69.60899999999999</v>
      </c>
      <c r="AM258" t="n">
        <v>8.9176</v>
      </c>
      <c r="AN258" t="n">
        <v>9.638330756426855</v>
      </c>
      <c r="AO258" t="n">
        <v>0.804</v>
      </c>
      <c r="AP258" t="n">
        <v>6039.043023599974</v>
      </c>
      <c r="AQ258" t="n">
        <v>1.011820868379177</v>
      </c>
      <c r="AR258" t="n">
        <v>6110.4298</v>
      </c>
      <c r="AT258" t="inlineStr">
        <is>
          <t>PNP_19T_30-12-2020</t>
        </is>
      </c>
      <c r="AU258" t="inlineStr">
        <is>
          <t>PNCP_12T_10-08-2020</t>
        </is>
      </c>
      <c r="AV258" t="inlineStr">
        <is>
          <t>PNCP_4T_30-04-2013</t>
        </is>
      </c>
      <c r="AW258" t="inlineStr">
        <is>
          <t>Barro Blanco 220</t>
        </is>
      </c>
      <c r="AX258" t="n">
        <v>111.133</v>
      </c>
      <c r="AY258" t="n">
        <v>1.083385174100913</v>
      </c>
      <c r="AZ258" t="n">
        <v>120.3998445533567</v>
      </c>
      <c r="BA258" t="n">
        <v>801.49</v>
      </c>
      <c r="BB258" t="n">
        <v>0.905</v>
      </c>
      <c r="BC258" t="n">
        <v>87.33184062701827</v>
      </c>
      <c r="BD258" t="n">
        <v>0.7946</v>
      </c>
      <c r="BE258" t="n">
        <v>69.39400000000001</v>
      </c>
      <c r="BF258" t="n">
        <v>8.9176</v>
      </c>
      <c r="BG258" t="n">
        <v>0.77</v>
      </c>
      <c r="BH258" t="n">
        <v>5962.380796939026</v>
      </c>
      <c r="BI258" t="n">
        <v>1.047283473516708</v>
      </c>
      <c r="BJ258" t="n">
        <v>6244.3029</v>
      </c>
    </row>
    <row r="259">
      <c r="A259" t="n">
        <v>6156</v>
      </c>
      <c r="B259" t="inlineStr">
        <is>
          <t>01-03-2021</t>
        </is>
      </c>
      <c r="C259" t="n">
        <v>2021</v>
      </c>
      <c r="D259" t="n">
        <v>1</v>
      </c>
      <c r="E259" t="inlineStr">
        <is>
          <t>CAREN</t>
        </is>
      </c>
      <c r="F259" t="inlineStr">
        <is>
          <t>SUM_SAESA_A</t>
        </is>
      </c>
      <c r="G259" t="inlineStr">
        <is>
          <t>A</t>
        </is>
      </c>
      <c r="H259" t="inlineStr">
        <is>
          <t>SAESA</t>
        </is>
      </c>
      <c r="I259" t="inlineStr">
        <is>
          <t>SAESPILMBLOQA</t>
        </is>
      </c>
      <c r="J259" t="inlineStr">
        <is>
          <t>PILMAIQUEN</t>
        </is>
      </c>
      <c r="K259" t="n">
        <v>0</v>
      </c>
      <c r="L259" t="inlineStr">
        <is>
          <t>PILMAIQUEN</t>
        </is>
      </c>
      <c r="M259" t="inlineStr">
        <is>
          <t>MELIPULLI</t>
        </is>
      </c>
      <c r="N259" t="n">
        <v>0.04205368679911</v>
      </c>
      <c r="O259" t="n">
        <v>0</v>
      </c>
      <c r="P259" t="inlineStr">
        <is>
          <t>BS1A</t>
        </is>
      </c>
      <c r="Q259" t="n">
        <v>2</v>
      </c>
      <c r="W259" t="n">
        <v>2</v>
      </c>
      <c r="X259" t="n">
        <v>0</v>
      </c>
      <c r="AA259" t="inlineStr">
        <is>
          <t>PNP_16T_02-11-2020</t>
        </is>
      </c>
      <c r="AB259" t="inlineStr">
        <is>
          <t>PNCP_2T_10-02-2020</t>
        </is>
      </c>
      <c r="AC259" t="inlineStr">
        <is>
          <t>PNCP_4T_30-04-2013</t>
        </is>
      </c>
      <c r="AD259" t="inlineStr">
        <is>
          <t>MELIPULLI 220</t>
        </is>
      </c>
      <c r="AE259" t="n">
        <v>111.133</v>
      </c>
      <c r="AF259" t="n">
        <v>1.080821157758461</v>
      </c>
      <c r="AG259" t="n">
        <v>120.1148977251711</v>
      </c>
      <c r="AH259" t="n">
        <v>779.3099999999999</v>
      </c>
      <c r="AI259" t="n">
        <v>0.879</v>
      </c>
      <c r="AJ259" t="n">
        <v>82.2803252917125</v>
      </c>
      <c r="AK259" t="n">
        <v>0.8421</v>
      </c>
      <c r="AL259" t="n">
        <v>69.288</v>
      </c>
      <c r="AM259" t="n">
        <v>8.9176</v>
      </c>
      <c r="AN259" t="n">
        <v>9.638330756426855</v>
      </c>
      <c r="AO259" t="n">
        <v>0.804</v>
      </c>
      <c r="AP259" t="n">
        <v>6039.043023599974</v>
      </c>
      <c r="AQ259" t="n">
        <v>1</v>
      </c>
      <c r="AR259" t="n">
        <v>6039.043</v>
      </c>
      <c r="AT259" t="inlineStr">
        <is>
          <t>PNP_19T_30-12-2020</t>
        </is>
      </c>
      <c r="AU259" t="inlineStr">
        <is>
          <t>PNCP_12T_10-08-2020</t>
        </is>
      </c>
      <c r="AV259" t="inlineStr">
        <is>
          <t>PNCP_4T_30-04-2013</t>
        </is>
      </c>
      <c r="AW259" t="inlineStr">
        <is>
          <t>MELIPULLI 220</t>
        </is>
      </c>
      <c r="AX259" t="n">
        <v>111.133</v>
      </c>
      <c r="AY259" t="n">
        <v>1.083385174100913</v>
      </c>
      <c r="AZ259" t="n">
        <v>120.3998445533567</v>
      </c>
      <c r="BA259" t="n">
        <v>801.49</v>
      </c>
      <c r="BB259" t="n">
        <v>0.905</v>
      </c>
      <c r="BC259" t="n">
        <v>87.33184062701827</v>
      </c>
      <c r="BD259" t="n">
        <v>0.7824</v>
      </c>
      <c r="BE259" t="n">
        <v>68.328</v>
      </c>
      <c r="BF259" t="n">
        <v>8.9176</v>
      </c>
      <c r="BG259" t="n">
        <v>0.77</v>
      </c>
      <c r="BH259" t="n">
        <v>5962.380796939026</v>
      </c>
      <c r="BI259" t="n">
        <v>1</v>
      </c>
      <c r="BJ259" t="n">
        <v>5962.3808</v>
      </c>
    </row>
    <row r="260">
      <c r="A260" t="n">
        <v>6158</v>
      </c>
      <c r="B260" t="inlineStr">
        <is>
          <t>01-03-2021</t>
        </is>
      </c>
      <c r="C260" t="n">
        <v>2021</v>
      </c>
      <c r="D260" t="n">
        <v>1</v>
      </c>
      <c r="E260" t="inlineStr">
        <is>
          <t>CAREN</t>
        </is>
      </c>
      <c r="F260" t="inlineStr">
        <is>
          <t>SUM_SAESA_A</t>
        </is>
      </c>
      <c r="G260" t="inlineStr">
        <is>
          <t>A</t>
        </is>
      </c>
      <c r="H260" t="inlineStr">
        <is>
          <t>SAESA</t>
        </is>
      </c>
      <c r="I260" t="inlineStr">
        <is>
          <t>SAESPILMBLOQA</t>
        </is>
      </c>
      <c r="J260" t="inlineStr">
        <is>
          <t>PILMAIQUEN</t>
        </is>
      </c>
      <c r="K260" t="n">
        <v>0</v>
      </c>
      <c r="L260" t="inlineStr">
        <is>
          <t>PILMAIQUEN</t>
        </is>
      </c>
      <c r="M260" t="inlineStr">
        <is>
          <t>VALDIVIA</t>
        </is>
      </c>
      <c r="N260" t="n">
        <v>0.1616700997078</v>
      </c>
      <c r="O260" t="n">
        <v>0</v>
      </c>
      <c r="P260" t="inlineStr">
        <is>
          <t>BS1A</t>
        </is>
      </c>
      <c r="Q260" t="n">
        <v>2</v>
      </c>
      <c r="W260" t="n">
        <v>2</v>
      </c>
      <c r="X260" t="n">
        <v>0</v>
      </c>
      <c r="AA260" t="inlineStr">
        <is>
          <t>PNP_16T_02-11-2020</t>
        </is>
      </c>
      <c r="AB260" t="inlineStr">
        <is>
          <t>PNCP_2T_10-02-2020</t>
        </is>
      </c>
      <c r="AC260" t="inlineStr">
        <is>
          <t>PNCP_4T_30-04-2013</t>
        </is>
      </c>
      <c r="AD260" t="inlineStr">
        <is>
          <t>VALDIVIA 220</t>
        </is>
      </c>
      <c r="AE260" t="n">
        <v>111.133</v>
      </c>
      <c r="AF260" t="n">
        <v>1.080821157758461</v>
      </c>
      <c r="AG260" t="n">
        <v>120.1148977251711</v>
      </c>
      <c r="AH260" t="n">
        <v>779.3099999999999</v>
      </c>
      <c r="AI260" t="n">
        <v>0.879</v>
      </c>
      <c r="AJ260" t="n">
        <v>82.2803252917125</v>
      </c>
      <c r="AK260" t="n">
        <v>0.9167</v>
      </c>
      <c r="AL260" t="n">
        <v>75.426</v>
      </c>
      <c r="AM260" t="n">
        <v>8.9176</v>
      </c>
      <c r="AN260" t="n">
        <v>9.638330756426855</v>
      </c>
      <c r="AO260" t="n">
        <v>0.804</v>
      </c>
      <c r="AP260" t="n">
        <v>6039.043023599974</v>
      </c>
      <c r="AQ260" t="n">
        <v>1.096052187605444</v>
      </c>
      <c r="AR260" t="n">
        <v>6619.1063</v>
      </c>
      <c r="AT260" t="inlineStr">
        <is>
          <t>PNP_19T_30-12-2020</t>
        </is>
      </c>
      <c r="AU260" t="inlineStr">
        <is>
          <t>PNCP_12T_10-08-2020</t>
        </is>
      </c>
      <c r="AV260" t="inlineStr">
        <is>
          <t>PNCP_4T_30-04-2013</t>
        </is>
      </c>
      <c r="AW260" t="inlineStr">
        <is>
          <t>VALDIVIA 220</t>
        </is>
      </c>
      <c r="AX260" t="n">
        <v>111.133</v>
      </c>
      <c r="AY260" t="n">
        <v>1.083385174100913</v>
      </c>
      <c r="AZ260" t="n">
        <v>120.3998445533567</v>
      </c>
      <c r="BA260" t="n">
        <v>801.49</v>
      </c>
      <c r="BB260" t="n">
        <v>0.905</v>
      </c>
      <c r="BC260" t="n">
        <v>87.33184062701827</v>
      </c>
      <c r="BD260" t="n">
        <v>0.8745000000000001</v>
      </c>
      <c r="BE260" t="n">
        <v>76.372</v>
      </c>
      <c r="BF260" t="n">
        <v>8.9176</v>
      </c>
      <c r="BG260" t="n">
        <v>0.77</v>
      </c>
      <c r="BH260" t="n">
        <v>5962.380796939026</v>
      </c>
      <c r="BI260" t="n">
        <v>1.148014846473962</v>
      </c>
      <c r="BJ260" t="n">
        <v>6844.9017</v>
      </c>
    </row>
    <row r="261">
      <c r="A261" t="n">
        <v>2065</v>
      </c>
      <c r="B261" t="inlineStr">
        <is>
          <t>01-03-2021</t>
        </is>
      </c>
      <c r="C261" t="n">
        <v>2021</v>
      </c>
      <c r="D261" t="n">
        <v>1</v>
      </c>
      <c r="E261" t="inlineStr">
        <is>
          <t>CAREN</t>
        </is>
      </c>
      <c r="F261" t="inlineStr">
        <is>
          <t>SUM_SAESA_A</t>
        </is>
      </c>
      <c r="G261" t="inlineStr">
        <is>
          <t>A</t>
        </is>
      </c>
      <c r="H261" t="inlineStr">
        <is>
          <t>SAESA</t>
        </is>
      </c>
      <c r="I261" t="inlineStr">
        <is>
          <t>SAESPULLBLOQA</t>
        </is>
      </c>
      <c r="J261" t="inlineStr">
        <is>
          <t>PULLINQUE</t>
        </is>
      </c>
      <c r="K261" t="n">
        <v>-1338.67103037</v>
      </c>
      <c r="L261" t="inlineStr">
        <is>
          <t>PULLINQUE</t>
        </is>
      </c>
      <c r="M261" t="inlineStr">
        <is>
          <t>BARRO BLANCO</t>
        </is>
      </c>
      <c r="N261" t="n">
        <v>0.23546265219545</v>
      </c>
      <c r="O261" t="n">
        <v>315.207031</v>
      </c>
      <c r="P261" t="inlineStr">
        <is>
          <t>BS1A</t>
        </is>
      </c>
      <c r="Q261" t="n">
        <v>2</v>
      </c>
      <c r="W261" t="n">
        <v>2</v>
      </c>
      <c r="X261" t="n">
        <v>0</v>
      </c>
      <c r="AA261" t="inlineStr">
        <is>
          <t>PNP_16T_02-11-2020</t>
        </is>
      </c>
      <c r="AB261" t="inlineStr">
        <is>
          <t>PNCP_2T_10-02-2020</t>
        </is>
      </c>
      <c r="AC261" t="inlineStr">
        <is>
          <t>PNCP_4T_30-04-2013</t>
        </is>
      </c>
      <c r="AD261" t="inlineStr">
        <is>
          <t>Barro Blanco 220</t>
        </is>
      </c>
      <c r="AE261" t="n">
        <v>111.133</v>
      </c>
      <c r="AF261" t="n">
        <v>1.080821157758461</v>
      </c>
      <c r="AG261" t="n">
        <v>120.1148977251711</v>
      </c>
      <c r="AH261" t="n">
        <v>779.3099999999999</v>
      </c>
      <c r="AI261" t="n">
        <v>0.879</v>
      </c>
      <c r="AJ261" t="n">
        <v>82.2803252917125</v>
      </c>
      <c r="AK261" t="n">
        <v>0.846</v>
      </c>
      <c r="AL261" t="n">
        <v>69.60899999999999</v>
      </c>
      <c r="AM261" t="n">
        <v>8.9176</v>
      </c>
      <c r="AN261" t="n">
        <v>9.638330756426855</v>
      </c>
      <c r="AO261" t="n">
        <v>0.804</v>
      </c>
      <c r="AP261" t="n">
        <v>6039.043023599974</v>
      </c>
      <c r="AQ261" t="n">
        <v>1.011820868379177</v>
      </c>
      <c r="AR261" t="n">
        <v>6110.4298</v>
      </c>
      <c r="AT261" t="inlineStr">
        <is>
          <t>PNP_19T_30-12-2020</t>
        </is>
      </c>
      <c r="AU261" t="inlineStr">
        <is>
          <t>PNCP_12T_10-08-2020</t>
        </is>
      </c>
      <c r="AV261" t="inlineStr">
        <is>
          <t>PNCP_4T_30-04-2013</t>
        </is>
      </c>
      <c r="AW261" t="inlineStr">
        <is>
          <t>Barro Blanco 220</t>
        </is>
      </c>
      <c r="AX261" t="n">
        <v>111.133</v>
      </c>
      <c r="AY261" t="n">
        <v>1.083385174100913</v>
      </c>
      <c r="AZ261" t="n">
        <v>120.3998445533567</v>
      </c>
      <c r="BA261" t="n">
        <v>801.49</v>
      </c>
      <c r="BB261" t="n">
        <v>0.905</v>
      </c>
      <c r="BC261" t="n">
        <v>87.33184062701827</v>
      </c>
      <c r="BD261" t="n">
        <v>0.7946</v>
      </c>
      <c r="BE261" t="n">
        <v>69.39400000000001</v>
      </c>
      <c r="BF261" t="n">
        <v>8.9176</v>
      </c>
      <c r="BG261" t="n">
        <v>0.77</v>
      </c>
      <c r="BH261" t="n">
        <v>5962.380796939026</v>
      </c>
      <c r="BI261" t="n">
        <v>1.047283473516708</v>
      </c>
      <c r="BJ261" t="n">
        <v>6244.3029</v>
      </c>
    </row>
    <row r="262">
      <c r="A262" t="n">
        <v>2067</v>
      </c>
      <c r="B262" t="inlineStr">
        <is>
          <t>01-03-2021</t>
        </is>
      </c>
      <c r="C262" t="n">
        <v>2021</v>
      </c>
      <c r="D262" t="n">
        <v>1</v>
      </c>
      <c r="E262" t="inlineStr">
        <is>
          <t>CAREN</t>
        </is>
      </c>
      <c r="F262" t="inlineStr">
        <is>
          <t>SUM_SAESA_A</t>
        </is>
      </c>
      <c r="G262" t="inlineStr">
        <is>
          <t>A</t>
        </is>
      </c>
      <c r="H262" t="inlineStr">
        <is>
          <t>SAESA</t>
        </is>
      </c>
      <c r="I262" t="inlineStr">
        <is>
          <t>SAESPULLBLOQA</t>
        </is>
      </c>
      <c r="J262" t="inlineStr">
        <is>
          <t>PULLINQUE</t>
        </is>
      </c>
      <c r="K262" t="n">
        <v>-1338.67103037</v>
      </c>
      <c r="L262" t="inlineStr">
        <is>
          <t>PULLINQUE</t>
        </is>
      </c>
      <c r="M262" t="inlineStr">
        <is>
          <t>MELIPULLI</t>
        </is>
      </c>
      <c r="N262" t="n">
        <v>0.00896854569047</v>
      </c>
      <c r="O262" t="n">
        <v>12.005932</v>
      </c>
      <c r="P262" t="inlineStr">
        <is>
          <t>BS1A</t>
        </is>
      </c>
      <c r="Q262" t="n">
        <v>2</v>
      </c>
      <c r="W262" t="n">
        <v>2</v>
      </c>
      <c r="X262" t="n">
        <v>0</v>
      </c>
      <c r="AA262" t="inlineStr">
        <is>
          <t>PNP_16T_02-11-2020</t>
        </is>
      </c>
      <c r="AB262" t="inlineStr">
        <is>
          <t>PNCP_2T_10-02-2020</t>
        </is>
      </c>
      <c r="AC262" t="inlineStr">
        <is>
          <t>PNCP_4T_30-04-2013</t>
        </is>
      </c>
      <c r="AD262" t="inlineStr">
        <is>
          <t>MELIPULLI 220</t>
        </is>
      </c>
      <c r="AE262" t="n">
        <v>111.133</v>
      </c>
      <c r="AF262" t="n">
        <v>1.080821157758461</v>
      </c>
      <c r="AG262" t="n">
        <v>120.1148977251711</v>
      </c>
      <c r="AH262" t="n">
        <v>779.3099999999999</v>
      </c>
      <c r="AI262" t="n">
        <v>0.879</v>
      </c>
      <c r="AJ262" t="n">
        <v>82.2803252917125</v>
      </c>
      <c r="AK262" t="n">
        <v>0.8421</v>
      </c>
      <c r="AL262" t="n">
        <v>69.288</v>
      </c>
      <c r="AM262" t="n">
        <v>8.9176</v>
      </c>
      <c r="AN262" t="n">
        <v>9.638330756426855</v>
      </c>
      <c r="AO262" t="n">
        <v>0.804</v>
      </c>
      <c r="AP262" t="n">
        <v>6039.043023599974</v>
      </c>
      <c r="AQ262" t="n">
        <v>1</v>
      </c>
      <c r="AR262" t="n">
        <v>6039.043</v>
      </c>
      <c r="AT262" t="inlineStr">
        <is>
          <t>PNP_19T_30-12-2020</t>
        </is>
      </c>
      <c r="AU262" t="inlineStr">
        <is>
          <t>PNCP_12T_10-08-2020</t>
        </is>
      </c>
      <c r="AV262" t="inlineStr">
        <is>
          <t>PNCP_4T_30-04-2013</t>
        </is>
      </c>
      <c r="AW262" t="inlineStr">
        <is>
          <t>MELIPULLI 220</t>
        </is>
      </c>
      <c r="AX262" t="n">
        <v>111.133</v>
      </c>
      <c r="AY262" t="n">
        <v>1.083385174100913</v>
      </c>
      <c r="AZ262" t="n">
        <v>120.3998445533567</v>
      </c>
      <c r="BA262" t="n">
        <v>801.49</v>
      </c>
      <c r="BB262" t="n">
        <v>0.905</v>
      </c>
      <c r="BC262" t="n">
        <v>87.33184062701827</v>
      </c>
      <c r="BD262" t="n">
        <v>0.7824</v>
      </c>
      <c r="BE262" t="n">
        <v>68.328</v>
      </c>
      <c r="BF262" t="n">
        <v>8.9176</v>
      </c>
      <c r="BG262" t="n">
        <v>0.77</v>
      </c>
      <c r="BH262" t="n">
        <v>5962.380796939026</v>
      </c>
      <c r="BI262" t="n">
        <v>1</v>
      </c>
      <c r="BJ262" t="n">
        <v>5962.3808</v>
      </c>
    </row>
    <row r="263">
      <c r="A263" t="n">
        <v>2069</v>
      </c>
      <c r="B263" t="inlineStr">
        <is>
          <t>01-03-2021</t>
        </is>
      </c>
      <c r="C263" t="n">
        <v>2021</v>
      </c>
      <c r="D263" t="n">
        <v>1</v>
      </c>
      <c r="E263" t="inlineStr">
        <is>
          <t>CAREN</t>
        </is>
      </c>
      <c r="F263" t="inlineStr">
        <is>
          <t>SUM_SAESA_A</t>
        </is>
      </c>
      <c r="G263" t="inlineStr">
        <is>
          <t>A</t>
        </is>
      </c>
      <c r="H263" t="inlineStr">
        <is>
          <t>SAESA</t>
        </is>
      </c>
      <c r="I263" t="inlineStr">
        <is>
          <t>SAESPULLBLOQA</t>
        </is>
      </c>
      <c r="J263" t="inlineStr">
        <is>
          <t>PULLINQUE</t>
        </is>
      </c>
      <c r="K263" t="n">
        <v>-1338.67103037</v>
      </c>
      <c r="L263" t="inlineStr">
        <is>
          <t>PULLINQUE</t>
        </is>
      </c>
      <c r="M263" t="inlineStr">
        <is>
          <t>VALDIVIA</t>
        </is>
      </c>
      <c r="N263" t="n">
        <v>0.62227344127398</v>
      </c>
      <c r="O263" t="n">
        <v>833.0194289999999</v>
      </c>
      <c r="P263" t="inlineStr">
        <is>
          <t>BS1A</t>
        </is>
      </c>
      <c r="Q263" t="n">
        <v>2</v>
      </c>
      <c r="W263" t="n">
        <v>2</v>
      </c>
      <c r="X263" t="n">
        <v>0</v>
      </c>
      <c r="AA263" t="inlineStr">
        <is>
          <t>PNP_16T_02-11-2020</t>
        </is>
      </c>
      <c r="AB263" t="inlineStr">
        <is>
          <t>PNCP_2T_10-02-2020</t>
        </is>
      </c>
      <c r="AC263" t="inlineStr">
        <is>
          <t>PNCP_4T_30-04-2013</t>
        </is>
      </c>
      <c r="AD263" t="inlineStr">
        <is>
          <t>VALDIVIA 220</t>
        </is>
      </c>
      <c r="AE263" t="n">
        <v>111.133</v>
      </c>
      <c r="AF263" t="n">
        <v>1.080821157758461</v>
      </c>
      <c r="AG263" t="n">
        <v>120.1148977251711</v>
      </c>
      <c r="AH263" t="n">
        <v>779.3099999999999</v>
      </c>
      <c r="AI263" t="n">
        <v>0.879</v>
      </c>
      <c r="AJ263" t="n">
        <v>82.2803252917125</v>
      </c>
      <c r="AK263" t="n">
        <v>0.9167</v>
      </c>
      <c r="AL263" t="n">
        <v>75.426</v>
      </c>
      <c r="AM263" t="n">
        <v>8.9176</v>
      </c>
      <c r="AN263" t="n">
        <v>9.638330756426855</v>
      </c>
      <c r="AO263" t="n">
        <v>0.804</v>
      </c>
      <c r="AP263" t="n">
        <v>6039.043023599974</v>
      </c>
      <c r="AQ263" t="n">
        <v>1.096052187605444</v>
      </c>
      <c r="AR263" t="n">
        <v>6619.1063</v>
      </c>
      <c r="AT263" t="inlineStr">
        <is>
          <t>PNP_19T_30-12-2020</t>
        </is>
      </c>
      <c r="AU263" t="inlineStr">
        <is>
          <t>PNCP_12T_10-08-2020</t>
        </is>
      </c>
      <c r="AV263" t="inlineStr">
        <is>
          <t>PNCP_4T_30-04-2013</t>
        </is>
      </c>
      <c r="AW263" t="inlineStr">
        <is>
          <t>VALDIVIA 220</t>
        </is>
      </c>
      <c r="AX263" t="n">
        <v>111.133</v>
      </c>
      <c r="AY263" t="n">
        <v>1.083385174100913</v>
      </c>
      <c r="AZ263" t="n">
        <v>120.3998445533567</v>
      </c>
      <c r="BA263" t="n">
        <v>801.49</v>
      </c>
      <c r="BB263" t="n">
        <v>0.905</v>
      </c>
      <c r="BC263" t="n">
        <v>87.33184062701827</v>
      </c>
      <c r="BD263" t="n">
        <v>0.8745000000000001</v>
      </c>
      <c r="BE263" t="n">
        <v>76.372</v>
      </c>
      <c r="BF263" t="n">
        <v>8.9176</v>
      </c>
      <c r="BG263" t="n">
        <v>0.77</v>
      </c>
      <c r="BH263" t="n">
        <v>5962.380796939026</v>
      </c>
      <c r="BI263" t="n">
        <v>1.148014846473962</v>
      </c>
      <c r="BJ263" t="n">
        <v>6844.9017</v>
      </c>
    </row>
    <row r="264">
      <c r="A264" t="n">
        <v>5529</v>
      </c>
      <c r="B264" t="inlineStr">
        <is>
          <t>01-03-2021</t>
        </is>
      </c>
      <c r="C264" t="n">
        <v>2021</v>
      </c>
      <c r="D264" t="n">
        <v>1</v>
      </c>
      <c r="E264" t="inlineStr">
        <is>
          <t>CAREN</t>
        </is>
      </c>
      <c r="F264" t="inlineStr">
        <is>
          <t>SUM_SAESA_A</t>
        </is>
      </c>
      <c r="G264" t="inlineStr">
        <is>
          <t>A</t>
        </is>
      </c>
      <c r="H264" t="inlineStr">
        <is>
          <t>SAESA</t>
        </is>
      </c>
      <c r="I264" t="inlineStr">
        <is>
          <t>SAESPURRBLOQA</t>
        </is>
      </c>
      <c r="J264" t="inlineStr">
        <is>
          <t>PURRANQUE</t>
        </is>
      </c>
      <c r="K264" t="n">
        <v>-2429.76383974</v>
      </c>
      <c r="L264" t="inlineStr">
        <is>
          <t>PURRANQUE</t>
        </is>
      </c>
      <c r="M264" t="inlineStr">
        <is>
          <t>BARRO BLANCO</t>
        </is>
      </c>
      <c r="N264" t="n">
        <v>0.47210809734302</v>
      </c>
      <c r="O264" t="n">
        <v>1147.111183</v>
      </c>
      <c r="P264" t="inlineStr">
        <is>
          <t>BS1A</t>
        </is>
      </c>
      <c r="Q264" t="n">
        <v>2</v>
      </c>
      <c r="W264" t="n">
        <v>2</v>
      </c>
      <c r="X264" t="n">
        <v>0</v>
      </c>
      <c r="AA264" t="inlineStr">
        <is>
          <t>PNP_16T_02-11-2020</t>
        </is>
      </c>
      <c r="AB264" t="inlineStr">
        <is>
          <t>PNCP_2T_10-02-2020</t>
        </is>
      </c>
      <c r="AC264" t="inlineStr">
        <is>
          <t>PNCP_4T_30-04-2013</t>
        </is>
      </c>
      <c r="AD264" t="inlineStr">
        <is>
          <t>Barro Blanco 220</t>
        </is>
      </c>
      <c r="AE264" t="n">
        <v>111.133</v>
      </c>
      <c r="AF264" t="n">
        <v>1.080821157758461</v>
      </c>
      <c r="AG264" t="n">
        <v>120.1148977251711</v>
      </c>
      <c r="AH264" t="n">
        <v>779.3099999999999</v>
      </c>
      <c r="AI264" t="n">
        <v>0.879</v>
      </c>
      <c r="AJ264" t="n">
        <v>82.2803252917125</v>
      </c>
      <c r="AK264" t="n">
        <v>0.846</v>
      </c>
      <c r="AL264" t="n">
        <v>69.60899999999999</v>
      </c>
      <c r="AM264" t="n">
        <v>8.9176</v>
      </c>
      <c r="AN264" t="n">
        <v>9.638330756426855</v>
      </c>
      <c r="AO264" t="n">
        <v>0.804</v>
      </c>
      <c r="AP264" t="n">
        <v>6039.043023599974</v>
      </c>
      <c r="AQ264" t="n">
        <v>1.011820868379177</v>
      </c>
      <c r="AR264" t="n">
        <v>6110.4298</v>
      </c>
      <c r="AT264" t="inlineStr">
        <is>
          <t>PNP_19T_30-12-2020</t>
        </is>
      </c>
      <c r="AU264" t="inlineStr">
        <is>
          <t>PNCP_12T_10-08-2020</t>
        </is>
      </c>
      <c r="AV264" t="inlineStr">
        <is>
          <t>PNCP_4T_30-04-2013</t>
        </is>
      </c>
      <c r="AW264" t="inlineStr">
        <is>
          <t>Barro Blanco 220</t>
        </is>
      </c>
      <c r="AX264" t="n">
        <v>111.133</v>
      </c>
      <c r="AY264" t="n">
        <v>1.083385174100913</v>
      </c>
      <c r="AZ264" t="n">
        <v>120.3998445533567</v>
      </c>
      <c r="BA264" t="n">
        <v>801.49</v>
      </c>
      <c r="BB264" t="n">
        <v>0.905</v>
      </c>
      <c r="BC264" t="n">
        <v>87.33184062701827</v>
      </c>
      <c r="BD264" t="n">
        <v>0.7946</v>
      </c>
      <c r="BE264" t="n">
        <v>69.39400000000001</v>
      </c>
      <c r="BF264" t="n">
        <v>8.9176</v>
      </c>
      <c r="BG264" t="n">
        <v>0.77</v>
      </c>
      <c r="BH264" t="n">
        <v>5962.380796939026</v>
      </c>
      <c r="BI264" t="n">
        <v>1.047283473516708</v>
      </c>
      <c r="BJ264" t="n">
        <v>6244.3029</v>
      </c>
    </row>
    <row r="265">
      <c r="A265" t="n">
        <v>5531</v>
      </c>
      <c r="B265" t="inlineStr">
        <is>
          <t>01-03-2021</t>
        </is>
      </c>
      <c r="C265" t="n">
        <v>2021</v>
      </c>
      <c r="D265" t="n">
        <v>1</v>
      </c>
      <c r="E265" t="inlineStr">
        <is>
          <t>CAREN</t>
        </is>
      </c>
      <c r="F265" t="inlineStr">
        <is>
          <t>SUM_SAESA_A</t>
        </is>
      </c>
      <c r="G265" t="inlineStr">
        <is>
          <t>A</t>
        </is>
      </c>
      <c r="H265" t="inlineStr">
        <is>
          <t>SAESA</t>
        </is>
      </c>
      <c r="I265" t="inlineStr">
        <is>
          <t>SAESPURRBLOQA</t>
        </is>
      </c>
      <c r="J265" t="inlineStr">
        <is>
          <t>PURRANQUE</t>
        </is>
      </c>
      <c r="K265" t="n">
        <v>-2429.76383974</v>
      </c>
      <c r="L265" t="inlineStr">
        <is>
          <t>PURRANQUE</t>
        </is>
      </c>
      <c r="M265" t="inlineStr">
        <is>
          <t>MELIPULLI</t>
        </is>
      </c>
      <c r="N265" t="n">
        <v>0.4174959870602</v>
      </c>
      <c r="O265" t="n">
        <v>1014.416653</v>
      </c>
      <c r="P265" t="inlineStr">
        <is>
          <t>BS1A</t>
        </is>
      </c>
      <c r="Q265" t="n">
        <v>2</v>
      </c>
      <c r="W265" t="n">
        <v>2</v>
      </c>
      <c r="X265" t="n">
        <v>0</v>
      </c>
      <c r="AA265" t="inlineStr">
        <is>
          <t>PNP_16T_02-11-2020</t>
        </is>
      </c>
      <c r="AB265" t="inlineStr">
        <is>
          <t>PNCP_2T_10-02-2020</t>
        </is>
      </c>
      <c r="AC265" t="inlineStr">
        <is>
          <t>PNCP_4T_30-04-2013</t>
        </is>
      </c>
      <c r="AD265" t="inlineStr">
        <is>
          <t>MELIPULLI 220</t>
        </is>
      </c>
      <c r="AE265" t="n">
        <v>111.133</v>
      </c>
      <c r="AF265" t="n">
        <v>1.080821157758461</v>
      </c>
      <c r="AG265" t="n">
        <v>120.1148977251711</v>
      </c>
      <c r="AH265" t="n">
        <v>779.3099999999999</v>
      </c>
      <c r="AI265" t="n">
        <v>0.879</v>
      </c>
      <c r="AJ265" t="n">
        <v>82.2803252917125</v>
      </c>
      <c r="AK265" t="n">
        <v>0.8421</v>
      </c>
      <c r="AL265" t="n">
        <v>69.288</v>
      </c>
      <c r="AM265" t="n">
        <v>8.9176</v>
      </c>
      <c r="AN265" t="n">
        <v>9.638330756426855</v>
      </c>
      <c r="AO265" t="n">
        <v>0.804</v>
      </c>
      <c r="AP265" t="n">
        <v>6039.043023599974</v>
      </c>
      <c r="AQ265" t="n">
        <v>1</v>
      </c>
      <c r="AR265" t="n">
        <v>6039.043</v>
      </c>
      <c r="AT265" t="inlineStr">
        <is>
          <t>PNP_19T_30-12-2020</t>
        </is>
      </c>
      <c r="AU265" t="inlineStr">
        <is>
          <t>PNCP_12T_10-08-2020</t>
        </is>
      </c>
      <c r="AV265" t="inlineStr">
        <is>
          <t>PNCP_4T_30-04-2013</t>
        </is>
      </c>
      <c r="AW265" t="inlineStr">
        <is>
          <t>MELIPULLI 220</t>
        </is>
      </c>
      <c r="AX265" t="n">
        <v>111.133</v>
      </c>
      <c r="AY265" t="n">
        <v>1.083385174100913</v>
      </c>
      <c r="AZ265" t="n">
        <v>120.3998445533567</v>
      </c>
      <c r="BA265" t="n">
        <v>801.49</v>
      </c>
      <c r="BB265" t="n">
        <v>0.905</v>
      </c>
      <c r="BC265" t="n">
        <v>87.33184062701827</v>
      </c>
      <c r="BD265" t="n">
        <v>0.7824</v>
      </c>
      <c r="BE265" t="n">
        <v>68.328</v>
      </c>
      <c r="BF265" t="n">
        <v>8.9176</v>
      </c>
      <c r="BG265" t="n">
        <v>0.77</v>
      </c>
      <c r="BH265" t="n">
        <v>5962.380796939026</v>
      </c>
      <c r="BI265" t="n">
        <v>1</v>
      </c>
      <c r="BJ265" t="n">
        <v>5962.3808</v>
      </c>
    </row>
    <row r="266">
      <c r="A266" t="n">
        <v>5533</v>
      </c>
      <c r="B266" t="inlineStr">
        <is>
          <t>01-03-2021</t>
        </is>
      </c>
      <c r="C266" t="n">
        <v>2021</v>
      </c>
      <c r="D266" t="n">
        <v>1</v>
      </c>
      <c r="E266" t="inlineStr">
        <is>
          <t>CAREN</t>
        </is>
      </c>
      <c r="F266" t="inlineStr">
        <is>
          <t>SUM_SAESA_A</t>
        </is>
      </c>
      <c r="G266" t="inlineStr">
        <is>
          <t>A</t>
        </is>
      </c>
      <c r="H266" t="inlineStr">
        <is>
          <t>SAESA</t>
        </is>
      </c>
      <c r="I266" t="inlineStr">
        <is>
          <t>SAESPURRBLOQA</t>
        </is>
      </c>
      <c r="J266" t="inlineStr">
        <is>
          <t>PURRANQUE</t>
        </is>
      </c>
      <c r="K266" t="n">
        <v>-2429.76383974</v>
      </c>
      <c r="L266" t="inlineStr">
        <is>
          <t>PURRANQUE</t>
        </is>
      </c>
      <c r="M266" t="inlineStr">
        <is>
          <t>Puerto Montt</t>
        </is>
      </c>
      <c r="N266" t="n">
        <v>0.50813692662399</v>
      </c>
      <c r="O266" t="n">
        <v>1234.65273</v>
      </c>
      <c r="P266" t="inlineStr">
        <is>
          <t>BS1A</t>
        </is>
      </c>
      <c r="Q266" t="n">
        <v>2</v>
      </c>
      <c r="W266" t="n">
        <v>2</v>
      </c>
      <c r="X266" t="n">
        <v>0</v>
      </c>
      <c r="AA266" t="inlineStr">
        <is>
          <t>PNP_16T_02-11-2020</t>
        </is>
      </c>
      <c r="AB266" t="inlineStr">
        <is>
          <t>PNCP_2T_10-02-2020</t>
        </is>
      </c>
      <c r="AC266" t="inlineStr">
        <is>
          <t>PNCP_4T_30-04-2013</t>
        </is>
      </c>
      <c r="AD266" t="inlineStr">
        <is>
          <t>PUERTO MONTT 220</t>
        </is>
      </c>
      <c r="AE266" t="n">
        <v>111.133</v>
      </c>
      <c r="AF266" t="n">
        <v>1.080821157758461</v>
      </c>
      <c r="AG266" t="n">
        <v>120.1148977251711</v>
      </c>
      <c r="AH266" t="n">
        <v>779.3099999999999</v>
      </c>
      <c r="AI266" t="n">
        <v>0.879</v>
      </c>
      <c r="AJ266" t="n">
        <v>82.2803252917125</v>
      </c>
      <c r="AK266" t="n">
        <v>0.8421</v>
      </c>
      <c r="AL266" t="n">
        <v>69.288</v>
      </c>
      <c r="AM266" t="n">
        <v>8.9176</v>
      </c>
      <c r="AN266" t="n">
        <v>9.638330756426855</v>
      </c>
      <c r="AO266" t="n">
        <v>0.804</v>
      </c>
      <c r="AP266" t="n">
        <v>6039.043023599974</v>
      </c>
      <c r="AQ266" t="n">
        <v>1.02699624102973</v>
      </c>
      <c r="AR266" t="n">
        <v>6202.0745</v>
      </c>
      <c r="AT266" t="inlineStr">
        <is>
          <t>PNP_19T_30-12-2020</t>
        </is>
      </c>
      <c r="AU266" t="inlineStr">
        <is>
          <t>PNCP_12T_10-08-2020</t>
        </is>
      </c>
      <c r="AV266" t="inlineStr">
        <is>
          <t>PNCP_4T_30-04-2013</t>
        </is>
      </c>
      <c r="AW266" t="inlineStr">
        <is>
          <t>PUERTO MONTT 220</t>
        </is>
      </c>
      <c r="AX266" t="n">
        <v>111.133</v>
      </c>
      <c r="AY266" t="n">
        <v>1.083385174100913</v>
      </c>
      <c r="AZ266" t="n">
        <v>120.3998445533567</v>
      </c>
      <c r="BA266" t="n">
        <v>801.49</v>
      </c>
      <c r="BB266" t="n">
        <v>0.905</v>
      </c>
      <c r="BC266" t="n">
        <v>87.33184062701827</v>
      </c>
      <c r="BD266" t="n">
        <v>0.7824</v>
      </c>
      <c r="BE266" t="n">
        <v>68.328</v>
      </c>
      <c r="BF266" t="n">
        <v>8.9176</v>
      </c>
      <c r="BG266" t="n">
        <v>0.77</v>
      </c>
      <c r="BH266" t="n">
        <v>5962.380796939026</v>
      </c>
      <c r="BI266" t="n">
        <v>1.039640050119603</v>
      </c>
      <c r="BJ266" t="n">
        <v>6198.7299</v>
      </c>
    </row>
    <row r="267">
      <c r="A267" t="n">
        <v>5535</v>
      </c>
      <c r="B267" t="inlineStr">
        <is>
          <t>01-03-2021</t>
        </is>
      </c>
      <c r="C267" t="n">
        <v>2021</v>
      </c>
      <c r="D267" t="n">
        <v>1</v>
      </c>
      <c r="E267" t="inlineStr">
        <is>
          <t>CAREN</t>
        </is>
      </c>
      <c r="F267" t="inlineStr">
        <is>
          <t>SUM_SAESA_A</t>
        </is>
      </c>
      <c r="G267" t="inlineStr">
        <is>
          <t>A</t>
        </is>
      </c>
      <c r="H267" t="inlineStr">
        <is>
          <t>SAESA</t>
        </is>
      </c>
      <c r="I267" t="inlineStr">
        <is>
          <t>SAESPURRBLOQA</t>
        </is>
      </c>
      <c r="J267" t="inlineStr">
        <is>
          <t>PURRANQUE</t>
        </is>
      </c>
      <c r="K267" t="n">
        <v>-2429.76383974</v>
      </c>
      <c r="L267" t="inlineStr">
        <is>
          <t>PURRANQUE</t>
        </is>
      </c>
      <c r="M267" t="inlineStr">
        <is>
          <t>VALDIVIA</t>
        </is>
      </c>
      <c r="N267" t="n">
        <v>0.00409927459727</v>
      </c>
      <c r="O267" t="n">
        <v>9.960269</v>
      </c>
      <c r="P267" t="inlineStr">
        <is>
          <t>BS1A</t>
        </is>
      </c>
      <c r="Q267" t="n">
        <v>2</v>
      </c>
      <c r="W267" t="n">
        <v>2</v>
      </c>
      <c r="X267" t="n">
        <v>0</v>
      </c>
      <c r="AA267" t="inlineStr">
        <is>
          <t>PNP_16T_02-11-2020</t>
        </is>
      </c>
      <c r="AB267" t="inlineStr">
        <is>
          <t>PNCP_2T_10-02-2020</t>
        </is>
      </c>
      <c r="AC267" t="inlineStr">
        <is>
          <t>PNCP_4T_30-04-2013</t>
        </is>
      </c>
      <c r="AD267" t="inlineStr">
        <is>
          <t>VALDIVIA 220</t>
        </is>
      </c>
      <c r="AE267" t="n">
        <v>111.133</v>
      </c>
      <c r="AF267" t="n">
        <v>1.080821157758461</v>
      </c>
      <c r="AG267" t="n">
        <v>120.1148977251711</v>
      </c>
      <c r="AH267" t="n">
        <v>779.3099999999999</v>
      </c>
      <c r="AI267" t="n">
        <v>0.879</v>
      </c>
      <c r="AJ267" t="n">
        <v>82.2803252917125</v>
      </c>
      <c r="AK267" t="n">
        <v>0.9167</v>
      </c>
      <c r="AL267" t="n">
        <v>75.426</v>
      </c>
      <c r="AM267" t="n">
        <v>8.9176</v>
      </c>
      <c r="AN267" t="n">
        <v>9.638330756426855</v>
      </c>
      <c r="AO267" t="n">
        <v>0.804</v>
      </c>
      <c r="AP267" t="n">
        <v>6039.043023599974</v>
      </c>
      <c r="AQ267" t="n">
        <v>1.096052187605444</v>
      </c>
      <c r="AR267" t="n">
        <v>6619.1063</v>
      </c>
      <c r="AT267" t="inlineStr">
        <is>
          <t>PNP_19T_30-12-2020</t>
        </is>
      </c>
      <c r="AU267" t="inlineStr">
        <is>
          <t>PNCP_12T_10-08-2020</t>
        </is>
      </c>
      <c r="AV267" t="inlineStr">
        <is>
          <t>PNCP_4T_30-04-2013</t>
        </is>
      </c>
      <c r="AW267" t="inlineStr">
        <is>
          <t>VALDIVIA 220</t>
        </is>
      </c>
      <c r="AX267" t="n">
        <v>111.133</v>
      </c>
      <c r="AY267" t="n">
        <v>1.083385174100913</v>
      </c>
      <c r="AZ267" t="n">
        <v>120.3998445533567</v>
      </c>
      <c r="BA267" t="n">
        <v>801.49</v>
      </c>
      <c r="BB267" t="n">
        <v>0.905</v>
      </c>
      <c r="BC267" t="n">
        <v>87.33184062701827</v>
      </c>
      <c r="BD267" t="n">
        <v>0.8745000000000001</v>
      </c>
      <c r="BE267" t="n">
        <v>76.372</v>
      </c>
      <c r="BF267" t="n">
        <v>8.9176</v>
      </c>
      <c r="BG267" t="n">
        <v>0.77</v>
      </c>
      <c r="BH267" t="n">
        <v>5962.380796939026</v>
      </c>
      <c r="BI267" t="n">
        <v>1.148014846473962</v>
      </c>
      <c r="BJ267" t="n">
        <v>6844.9017</v>
      </c>
    </row>
    <row r="268">
      <c r="A268" t="n">
        <v>1377</v>
      </c>
      <c r="B268" t="inlineStr">
        <is>
          <t>01-03-2021</t>
        </is>
      </c>
      <c r="C268" t="n">
        <v>2021</v>
      </c>
      <c r="D268" t="n">
        <v>1</v>
      </c>
      <c r="E268" t="inlineStr">
        <is>
          <t>CAREN</t>
        </is>
      </c>
      <c r="F268" t="inlineStr">
        <is>
          <t>SUM_SAESA_A</t>
        </is>
      </c>
      <c r="G268" t="inlineStr">
        <is>
          <t>A</t>
        </is>
      </c>
      <c r="H268" t="inlineStr">
        <is>
          <t>SAESA</t>
        </is>
      </c>
      <c r="I268" t="inlineStr">
        <is>
          <t>SAESQUELBLOQA</t>
        </is>
      </c>
      <c r="J268" t="inlineStr">
        <is>
          <t>QUELLON</t>
        </is>
      </c>
      <c r="K268" t="n">
        <v>-4621.89588275</v>
      </c>
      <c r="L268" t="inlineStr">
        <is>
          <t>QUELLON</t>
        </is>
      </c>
      <c r="M268" t="inlineStr">
        <is>
          <t>CHILOE</t>
        </is>
      </c>
      <c r="N268" t="n">
        <v>0.79707666555743</v>
      </c>
      <c r="O268" t="n">
        <v>3684.005359</v>
      </c>
      <c r="P268" t="inlineStr">
        <is>
          <t>BS1A</t>
        </is>
      </c>
      <c r="Q268" t="n">
        <v>2</v>
      </c>
      <c r="W268" t="n">
        <v>2</v>
      </c>
      <c r="X268" t="n">
        <v>0</v>
      </c>
      <c r="AA268" t="inlineStr">
        <is>
          <t>PNP_16T_02-11-2020</t>
        </is>
      </c>
      <c r="AB268" t="inlineStr">
        <is>
          <t>PNCP_2T_10-02-2020</t>
        </is>
      </c>
      <c r="AC268" t="inlineStr">
        <is>
          <t>PNCP_4T_30-04-2013</t>
        </is>
      </c>
      <c r="AD268" t="inlineStr">
        <is>
          <t>CHILOE 220</t>
        </is>
      </c>
      <c r="AE268" t="n">
        <v>111.133</v>
      </c>
      <c r="AF268" t="n">
        <v>1.080821157758461</v>
      </c>
      <c r="AG268" t="n">
        <v>120.1148977251711</v>
      </c>
      <c r="AH268" t="n">
        <v>779.3099999999999</v>
      </c>
      <c r="AI268" t="n">
        <v>0.879</v>
      </c>
      <c r="AJ268" t="n">
        <v>82.2803252917125</v>
      </c>
      <c r="AK268" t="n">
        <v>0.8486</v>
      </c>
      <c r="AL268" t="n">
        <v>69.82299999999999</v>
      </c>
      <c r="AM268" t="n">
        <v>8.9176</v>
      </c>
      <c r="AN268" t="n">
        <v>9.638330756426855</v>
      </c>
      <c r="AO268" t="n">
        <v>0.804</v>
      </c>
      <c r="AP268" t="n">
        <v>6039.043023599974</v>
      </c>
      <c r="AQ268" t="n">
        <v>1</v>
      </c>
      <c r="AR268" t="n">
        <v>6039.043</v>
      </c>
      <c r="AT268" t="inlineStr">
        <is>
          <t>PNP_19T_30-12-2020</t>
        </is>
      </c>
      <c r="AU268" t="inlineStr">
        <is>
          <t>PNCP_12T_10-08-2020</t>
        </is>
      </c>
      <c r="AV268" t="inlineStr">
        <is>
          <t>PNCP_4T_30-04-2013</t>
        </is>
      </c>
      <c r="AW268" t="inlineStr">
        <is>
          <t>CHILOE 220</t>
        </is>
      </c>
      <c r="AX268" t="n">
        <v>111.133</v>
      </c>
      <c r="AY268" t="n">
        <v>1.083385174100913</v>
      </c>
      <c r="AZ268" t="n">
        <v>120.3998445533567</v>
      </c>
      <c r="BA268" t="n">
        <v>801.49</v>
      </c>
      <c r="BB268" t="n">
        <v>0.905</v>
      </c>
      <c r="BC268" t="n">
        <v>87.33184062701827</v>
      </c>
      <c r="BD268" t="n">
        <v>0.7923</v>
      </c>
      <c r="BE268" t="n">
        <v>69.193</v>
      </c>
      <c r="BF268" t="n">
        <v>8.9176</v>
      </c>
      <c r="BG268" t="n">
        <v>0.77</v>
      </c>
      <c r="BH268" t="n">
        <v>5962.380796939026</v>
      </c>
      <c r="BI268" t="n">
        <v>1</v>
      </c>
      <c r="BJ268" t="n">
        <v>5962.3808</v>
      </c>
    </row>
    <row r="269">
      <c r="A269" t="n">
        <v>1379</v>
      </c>
      <c r="B269" t="inlineStr">
        <is>
          <t>01-03-2021</t>
        </is>
      </c>
      <c r="C269" t="n">
        <v>2021</v>
      </c>
      <c r="D269" t="n">
        <v>1</v>
      </c>
      <c r="E269" t="inlineStr">
        <is>
          <t>CAREN</t>
        </is>
      </c>
      <c r="F269" t="inlineStr">
        <is>
          <t>SUM_SAESA_A</t>
        </is>
      </c>
      <c r="G269" t="inlineStr">
        <is>
          <t>A</t>
        </is>
      </c>
      <c r="H269" t="inlineStr">
        <is>
          <t>SAESA</t>
        </is>
      </c>
      <c r="I269" t="inlineStr">
        <is>
          <t>SAESQUELBLOQA</t>
        </is>
      </c>
      <c r="J269" t="inlineStr">
        <is>
          <t>QUELLON</t>
        </is>
      </c>
      <c r="K269" t="n">
        <v>-4621.89588275</v>
      </c>
      <c r="L269" t="inlineStr">
        <is>
          <t>QUELLON</t>
        </is>
      </c>
      <c r="M269" t="inlineStr">
        <is>
          <t>Puerto Montt</t>
        </is>
      </c>
      <c r="N269" t="n">
        <v>0.94104614890391</v>
      </c>
      <c r="O269" t="n">
        <v>4349.417321</v>
      </c>
      <c r="P269" t="inlineStr">
        <is>
          <t>BS1A</t>
        </is>
      </c>
      <c r="Q269" t="n">
        <v>2</v>
      </c>
      <c r="W269" t="n">
        <v>2</v>
      </c>
      <c r="X269" t="n">
        <v>0</v>
      </c>
      <c r="AA269" t="inlineStr">
        <is>
          <t>PNP_16T_02-11-2020</t>
        </is>
      </c>
      <c r="AB269" t="inlineStr">
        <is>
          <t>PNCP_2T_10-02-2020</t>
        </is>
      </c>
      <c r="AC269" t="inlineStr">
        <is>
          <t>PNCP_4T_30-04-2013</t>
        </is>
      </c>
      <c r="AD269" t="inlineStr">
        <is>
          <t>PUERTO MONTT 220</t>
        </is>
      </c>
      <c r="AE269" t="n">
        <v>111.133</v>
      </c>
      <c r="AF269" t="n">
        <v>1.080821157758461</v>
      </c>
      <c r="AG269" t="n">
        <v>120.1148977251711</v>
      </c>
      <c r="AH269" t="n">
        <v>779.3099999999999</v>
      </c>
      <c r="AI269" t="n">
        <v>0.879</v>
      </c>
      <c r="AJ269" t="n">
        <v>82.2803252917125</v>
      </c>
      <c r="AK269" t="n">
        <v>0.8421</v>
      </c>
      <c r="AL269" t="n">
        <v>69.288</v>
      </c>
      <c r="AM269" t="n">
        <v>8.9176</v>
      </c>
      <c r="AN269" t="n">
        <v>9.638330756426855</v>
      </c>
      <c r="AO269" t="n">
        <v>0.804</v>
      </c>
      <c r="AP269" t="n">
        <v>6039.043023599974</v>
      </c>
      <c r="AQ269" t="n">
        <v>1.02699624102973</v>
      </c>
      <c r="AR269" t="n">
        <v>6202.0745</v>
      </c>
      <c r="AT269" t="inlineStr">
        <is>
          <t>PNP_19T_30-12-2020</t>
        </is>
      </c>
      <c r="AU269" t="inlineStr">
        <is>
          <t>PNCP_12T_10-08-2020</t>
        </is>
      </c>
      <c r="AV269" t="inlineStr">
        <is>
          <t>PNCP_4T_30-04-2013</t>
        </is>
      </c>
      <c r="AW269" t="inlineStr">
        <is>
          <t>PUERTO MONTT 220</t>
        </is>
      </c>
      <c r="AX269" t="n">
        <v>111.133</v>
      </c>
      <c r="AY269" t="n">
        <v>1.083385174100913</v>
      </c>
      <c r="AZ269" t="n">
        <v>120.3998445533567</v>
      </c>
      <c r="BA269" t="n">
        <v>801.49</v>
      </c>
      <c r="BB269" t="n">
        <v>0.905</v>
      </c>
      <c r="BC269" t="n">
        <v>87.33184062701827</v>
      </c>
      <c r="BD269" t="n">
        <v>0.7824</v>
      </c>
      <c r="BE269" t="n">
        <v>68.328</v>
      </c>
      <c r="BF269" t="n">
        <v>8.9176</v>
      </c>
      <c r="BG269" t="n">
        <v>0.77</v>
      </c>
      <c r="BH269" t="n">
        <v>5962.380796939026</v>
      </c>
      <c r="BI269" t="n">
        <v>1.039640050119603</v>
      </c>
      <c r="BJ269" t="n">
        <v>6198.7299</v>
      </c>
    </row>
    <row r="270">
      <c r="A270" t="n">
        <v>925</v>
      </c>
      <c r="B270" t="inlineStr">
        <is>
          <t>01-03-2021</t>
        </is>
      </c>
      <c r="C270" t="n">
        <v>2021</v>
      </c>
      <c r="D270" t="n">
        <v>1</v>
      </c>
      <c r="E270" t="inlineStr">
        <is>
          <t>CAREN</t>
        </is>
      </c>
      <c r="F270" t="inlineStr">
        <is>
          <t>SUM_SAESA_A</t>
        </is>
      </c>
      <c r="G270" t="inlineStr">
        <is>
          <t>A</t>
        </is>
      </c>
      <c r="H270" t="inlineStr">
        <is>
          <t>SAESA</t>
        </is>
      </c>
      <c r="I270" t="inlineStr">
        <is>
          <t>SAESARNEGBLOQA</t>
        </is>
      </c>
      <c r="J270" t="inlineStr">
        <is>
          <t>R.NEGRO</t>
        </is>
      </c>
      <c r="K270" t="n">
        <v>-2495.88374759</v>
      </c>
      <c r="L270" t="inlineStr">
        <is>
          <t>RIO NEGRO 23</t>
        </is>
      </c>
      <c r="M270" t="inlineStr">
        <is>
          <t>BARRO BLANCO</t>
        </is>
      </c>
      <c r="N270" t="n">
        <v>0.80297227680351</v>
      </c>
      <c r="O270" t="n">
        <v>2004.125455</v>
      </c>
      <c r="P270" t="inlineStr">
        <is>
          <t>BS1A</t>
        </is>
      </c>
      <c r="Q270" t="n">
        <v>2</v>
      </c>
      <c r="W270" t="n">
        <v>2</v>
      </c>
      <c r="X270" t="n">
        <v>0</v>
      </c>
      <c r="AA270" t="inlineStr">
        <is>
          <t>PNP_16T_02-11-2020</t>
        </is>
      </c>
      <c r="AB270" t="inlineStr">
        <is>
          <t>PNCP_2T_10-02-2020</t>
        </is>
      </c>
      <c r="AC270" t="inlineStr">
        <is>
          <t>PNCP_4T_30-04-2013</t>
        </is>
      </c>
      <c r="AD270" t="inlineStr">
        <is>
          <t>Barro Blanco 220</t>
        </is>
      </c>
      <c r="AE270" t="n">
        <v>111.133</v>
      </c>
      <c r="AF270" t="n">
        <v>1.080821157758461</v>
      </c>
      <c r="AG270" t="n">
        <v>120.1148977251711</v>
      </c>
      <c r="AH270" t="n">
        <v>779.3099999999999</v>
      </c>
      <c r="AI270" t="n">
        <v>0.879</v>
      </c>
      <c r="AJ270" t="n">
        <v>82.2803252917125</v>
      </c>
      <c r="AK270" t="n">
        <v>0.846</v>
      </c>
      <c r="AL270" t="n">
        <v>69.60899999999999</v>
      </c>
      <c r="AM270" t="n">
        <v>8.9176</v>
      </c>
      <c r="AN270" t="n">
        <v>9.638330756426855</v>
      </c>
      <c r="AO270" t="n">
        <v>0.804</v>
      </c>
      <c r="AP270" t="n">
        <v>6039.043023599974</v>
      </c>
      <c r="AQ270" t="n">
        <v>1.011820868379177</v>
      </c>
      <c r="AR270" t="n">
        <v>6110.4298</v>
      </c>
      <c r="AT270" t="inlineStr">
        <is>
          <t>PNP_19T_30-12-2020</t>
        </is>
      </c>
      <c r="AU270" t="inlineStr">
        <is>
          <t>PNCP_12T_10-08-2020</t>
        </is>
      </c>
      <c r="AV270" t="inlineStr">
        <is>
          <t>PNCP_4T_30-04-2013</t>
        </is>
      </c>
      <c r="AW270" t="inlineStr">
        <is>
          <t>Barro Blanco 220</t>
        </is>
      </c>
      <c r="AX270" t="n">
        <v>111.133</v>
      </c>
      <c r="AY270" t="n">
        <v>1.083385174100913</v>
      </c>
      <c r="AZ270" t="n">
        <v>120.3998445533567</v>
      </c>
      <c r="BA270" t="n">
        <v>801.49</v>
      </c>
      <c r="BB270" t="n">
        <v>0.905</v>
      </c>
      <c r="BC270" t="n">
        <v>87.33184062701827</v>
      </c>
      <c r="BD270" t="n">
        <v>0.7946</v>
      </c>
      <c r="BE270" t="n">
        <v>69.39400000000001</v>
      </c>
      <c r="BF270" t="n">
        <v>8.9176</v>
      </c>
      <c r="BG270" t="n">
        <v>0.77</v>
      </c>
      <c r="BH270" t="n">
        <v>5962.380796939026</v>
      </c>
      <c r="BI270" t="n">
        <v>1.047283473516708</v>
      </c>
      <c r="BJ270" t="n">
        <v>6244.3029</v>
      </c>
    </row>
    <row r="271">
      <c r="A271" t="n">
        <v>927</v>
      </c>
      <c r="B271" t="inlineStr">
        <is>
          <t>01-03-2021</t>
        </is>
      </c>
      <c r="C271" t="n">
        <v>2021</v>
      </c>
      <c r="D271" t="n">
        <v>1</v>
      </c>
      <c r="E271" t="inlineStr">
        <is>
          <t>CAREN</t>
        </is>
      </c>
      <c r="F271" t="inlineStr">
        <is>
          <t>SUM_SAESA_A</t>
        </is>
      </c>
      <c r="G271" t="inlineStr">
        <is>
          <t>A</t>
        </is>
      </c>
      <c r="H271" t="inlineStr">
        <is>
          <t>SAESA</t>
        </is>
      </c>
      <c r="I271" t="inlineStr">
        <is>
          <t>SAESARNEGBLOQA</t>
        </is>
      </c>
      <c r="J271" t="inlineStr">
        <is>
          <t>R.NEGRO</t>
        </is>
      </c>
      <c r="K271" t="n">
        <v>-2495.88374759</v>
      </c>
      <c r="L271" t="inlineStr">
        <is>
          <t>RIO NEGRO 23</t>
        </is>
      </c>
      <c r="M271" t="inlineStr">
        <is>
          <t>MELIPULLI</t>
        </is>
      </c>
      <c r="N271" t="n">
        <v>0.046511074421</v>
      </c>
      <c r="O271" t="n">
        <v>116.086235</v>
      </c>
      <c r="P271" t="inlineStr">
        <is>
          <t>BS1A</t>
        </is>
      </c>
      <c r="Q271" t="n">
        <v>2</v>
      </c>
      <c r="W271" t="n">
        <v>2</v>
      </c>
      <c r="X271" t="n">
        <v>0</v>
      </c>
      <c r="AA271" t="inlineStr">
        <is>
          <t>PNP_16T_02-11-2020</t>
        </is>
      </c>
      <c r="AB271" t="inlineStr">
        <is>
          <t>PNCP_2T_10-02-2020</t>
        </is>
      </c>
      <c r="AC271" t="inlineStr">
        <is>
          <t>PNCP_4T_30-04-2013</t>
        </is>
      </c>
      <c r="AD271" t="inlineStr">
        <is>
          <t>MELIPULLI 220</t>
        </is>
      </c>
      <c r="AE271" t="n">
        <v>111.133</v>
      </c>
      <c r="AF271" t="n">
        <v>1.080821157758461</v>
      </c>
      <c r="AG271" t="n">
        <v>120.1148977251711</v>
      </c>
      <c r="AH271" t="n">
        <v>779.3099999999999</v>
      </c>
      <c r="AI271" t="n">
        <v>0.879</v>
      </c>
      <c r="AJ271" t="n">
        <v>82.2803252917125</v>
      </c>
      <c r="AK271" t="n">
        <v>0.8421</v>
      </c>
      <c r="AL271" t="n">
        <v>69.288</v>
      </c>
      <c r="AM271" t="n">
        <v>8.9176</v>
      </c>
      <c r="AN271" t="n">
        <v>9.638330756426855</v>
      </c>
      <c r="AO271" t="n">
        <v>0.804</v>
      </c>
      <c r="AP271" t="n">
        <v>6039.043023599974</v>
      </c>
      <c r="AQ271" t="n">
        <v>1</v>
      </c>
      <c r="AR271" t="n">
        <v>6039.043</v>
      </c>
      <c r="AT271" t="inlineStr">
        <is>
          <t>PNP_19T_30-12-2020</t>
        </is>
      </c>
      <c r="AU271" t="inlineStr">
        <is>
          <t>PNCP_12T_10-08-2020</t>
        </is>
      </c>
      <c r="AV271" t="inlineStr">
        <is>
          <t>PNCP_4T_30-04-2013</t>
        </is>
      </c>
      <c r="AW271" t="inlineStr">
        <is>
          <t>MELIPULLI 220</t>
        </is>
      </c>
      <c r="AX271" t="n">
        <v>111.133</v>
      </c>
      <c r="AY271" t="n">
        <v>1.083385174100913</v>
      </c>
      <c r="AZ271" t="n">
        <v>120.3998445533567</v>
      </c>
      <c r="BA271" t="n">
        <v>801.49</v>
      </c>
      <c r="BB271" t="n">
        <v>0.905</v>
      </c>
      <c r="BC271" t="n">
        <v>87.33184062701827</v>
      </c>
      <c r="BD271" t="n">
        <v>0.7824</v>
      </c>
      <c r="BE271" t="n">
        <v>68.328</v>
      </c>
      <c r="BF271" t="n">
        <v>8.9176</v>
      </c>
      <c r="BG271" t="n">
        <v>0.77</v>
      </c>
      <c r="BH271" t="n">
        <v>5962.380796939026</v>
      </c>
      <c r="BI271" t="n">
        <v>1</v>
      </c>
      <c r="BJ271" t="n">
        <v>5962.3808</v>
      </c>
    </row>
    <row r="272">
      <c r="A272" t="n">
        <v>929</v>
      </c>
      <c r="B272" t="inlineStr">
        <is>
          <t>01-03-2021</t>
        </is>
      </c>
      <c r="C272" t="n">
        <v>2021</v>
      </c>
      <c r="D272" t="n">
        <v>1</v>
      </c>
      <c r="E272" t="inlineStr">
        <is>
          <t>CAREN</t>
        </is>
      </c>
      <c r="F272" t="inlineStr">
        <is>
          <t>SUM_SAESA_A</t>
        </is>
      </c>
      <c r="G272" t="inlineStr">
        <is>
          <t>A</t>
        </is>
      </c>
      <c r="H272" t="inlineStr">
        <is>
          <t>SAESA</t>
        </is>
      </c>
      <c r="I272" t="inlineStr">
        <is>
          <t>SAESARNEGBLOQA</t>
        </is>
      </c>
      <c r="J272" t="inlineStr">
        <is>
          <t>R.NEGRO</t>
        </is>
      </c>
      <c r="K272" t="n">
        <v>-2495.88374759</v>
      </c>
      <c r="L272" t="inlineStr">
        <is>
          <t>RIO NEGRO 23</t>
        </is>
      </c>
      <c r="M272" t="inlineStr">
        <is>
          <t>VALDIVIA</t>
        </is>
      </c>
      <c r="N272" t="n">
        <v>0.00178849626167</v>
      </c>
      <c r="O272" t="n">
        <v>4.463879</v>
      </c>
      <c r="P272" t="inlineStr">
        <is>
          <t>BS1A</t>
        </is>
      </c>
      <c r="Q272" t="n">
        <v>2</v>
      </c>
      <c r="W272" t="n">
        <v>2</v>
      </c>
      <c r="X272" t="n">
        <v>0</v>
      </c>
      <c r="AA272" t="inlineStr">
        <is>
          <t>PNP_16T_02-11-2020</t>
        </is>
      </c>
      <c r="AB272" t="inlineStr">
        <is>
          <t>PNCP_2T_10-02-2020</t>
        </is>
      </c>
      <c r="AC272" t="inlineStr">
        <is>
          <t>PNCP_4T_30-04-2013</t>
        </is>
      </c>
      <c r="AD272" t="inlineStr">
        <is>
          <t>VALDIVIA 220</t>
        </is>
      </c>
      <c r="AE272" t="n">
        <v>111.133</v>
      </c>
      <c r="AF272" t="n">
        <v>1.080821157758461</v>
      </c>
      <c r="AG272" t="n">
        <v>120.1148977251711</v>
      </c>
      <c r="AH272" t="n">
        <v>779.3099999999999</v>
      </c>
      <c r="AI272" t="n">
        <v>0.879</v>
      </c>
      <c r="AJ272" t="n">
        <v>82.2803252917125</v>
      </c>
      <c r="AK272" t="n">
        <v>0.9167</v>
      </c>
      <c r="AL272" t="n">
        <v>75.426</v>
      </c>
      <c r="AM272" t="n">
        <v>8.9176</v>
      </c>
      <c r="AN272" t="n">
        <v>9.638330756426855</v>
      </c>
      <c r="AO272" t="n">
        <v>0.804</v>
      </c>
      <c r="AP272" t="n">
        <v>6039.043023599974</v>
      </c>
      <c r="AQ272" t="n">
        <v>1.096052187605444</v>
      </c>
      <c r="AR272" t="n">
        <v>6619.1063</v>
      </c>
      <c r="AT272" t="inlineStr">
        <is>
          <t>PNP_19T_30-12-2020</t>
        </is>
      </c>
      <c r="AU272" t="inlineStr">
        <is>
          <t>PNCP_12T_10-08-2020</t>
        </is>
      </c>
      <c r="AV272" t="inlineStr">
        <is>
          <t>PNCP_4T_30-04-2013</t>
        </is>
      </c>
      <c r="AW272" t="inlineStr">
        <is>
          <t>VALDIVIA 220</t>
        </is>
      </c>
      <c r="AX272" t="n">
        <v>111.133</v>
      </c>
      <c r="AY272" t="n">
        <v>1.083385174100913</v>
      </c>
      <c r="AZ272" t="n">
        <v>120.3998445533567</v>
      </c>
      <c r="BA272" t="n">
        <v>801.49</v>
      </c>
      <c r="BB272" t="n">
        <v>0.905</v>
      </c>
      <c r="BC272" t="n">
        <v>87.33184062701827</v>
      </c>
      <c r="BD272" t="n">
        <v>0.8745000000000001</v>
      </c>
      <c r="BE272" t="n">
        <v>76.372</v>
      </c>
      <c r="BF272" t="n">
        <v>8.9176</v>
      </c>
      <c r="BG272" t="n">
        <v>0.77</v>
      </c>
      <c r="BH272" t="n">
        <v>5962.380796939026</v>
      </c>
      <c r="BI272" t="n">
        <v>1.148014846473962</v>
      </c>
      <c r="BJ272" t="n">
        <v>6844.9017</v>
      </c>
    </row>
    <row r="273">
      <c r="A273" t="n">
        <v>449</v>
      </c>
      <c r="B273" t="inlineStr">
        <is>
          <t>01-03-2021</t>
        </is>
      </c>
      <c r="C273" t="n">
        <v>2021</v>
      </c>
      <c r="D273" t="n">
        <v>1</v>
      </c>
      <c r="E273" t="inlineStr">
        <is>
          <t>CAREN</t>
        </is>
      </c>
      <c r="F273" t="inlineStr">
        <is>
          <t>SUM_SAESA_A</t>
        </is>
      </c>
      <c r="G273" t="inlineStr">
        <is>
          <t>A</t>
        </is>
      </c>
      <c r="H273" t="inlineStr">
        <is>
          <t>SAESA</t>
        </is>
      </c>
      <c r="I273" t="inlineStr">
        <is>
          <t>SAESSANGBLOQA</t>
        </is>
      </c>
      <c r="J273" t="inlineStr">
        <is>
          <t>SANGRA</t>
        </is>
      </c>
      <c r="K273" t="n">
        <v>-3217.24669485</v>
      </c>
      <c r="L273" t="inlineStr">
        <is>
          <t>SANGRA 23</t>
        </is>
      </c>
      <c r="M273" t="inlineStr">
        <is>
          <t>BARRO BLANCO</t>
        </is>
      </c>
      <c r="N273" t="n">
        <v>0.1396556304984</v>
      </c>
      <c r="O273" t="n">
        <v>449.306616</v>
      </c>
      <c r="P273" t="inlineStr">
        <is>
          <t>BS1A</t>
        </is>
      </c>
      <c r="Q273" t="n">
        <v>2</v>
      </c>
      <c r="W273" t="n">
        <v>2</v>
      </c>
      <c r="X273" t="n">
        <v>0</v>
      </c>
      <c r="AA273" t="inlineStr">
        <is>
          <t>PNP_16T_02-11-2020</t>
        </is>
      </c>
      <c r="AB273" t="inlineStr">
        <is>
          <t>PNCP_2T_10-02-2020</t>
        </is>
      </c>
      <c r="AC273" t="inlineStr">
        <is>
          <t>PNCP_4T_30-04-2013</t>
        </is>
      </c>
      <c r="AD273" t="inlineStr">
        <is>
          <t>Barro Blanco 220</t>
        </is>
      </c>
      <c r="AE273" t="n">
        <v>111.133</v>
      </c>
      <c r="AF273" t="n">
        <v>1.080821157758461</v>
      </c>
      <c r="AG273" t="n">
        <v>120.1148977251711</v>
      </c>
      <c r="AH273" t="n">
        <v>779.3099999999999</v>
      </c>
      <c r="AI273" t="n">
        <v>0.879</v>
      </c>
      <c r="AJ273" t="n">
        <v>82.2803252917125</v>
      </c>
      <c r="AK273" t="n">
        <v>0.846</v>
      </c>
      <c r="AL273" t="n">
        <v>69.60899999999999</v>
      </c>
      <c r="AM273" t="n">
        <v>8.9176</v>
      </c>
      <c r="AN273" t="n">
        <v>9.638330756426855</v>
      </c>
      <c r="AO273" t="n">
        <v>0.804</v>
      </c>
      <c r="AP273" t="n">
        <v>6039.043023599974</v>
      </c>
      <c r="AQ273" t="n">
        <v>1.011820868379177</v>
      </c>
      <c r="AR273" t="n">
        <v>6110.4298</v>
      </c>
      <c r="AT273" t="inlineStr">
        <is>
          <t>PNP_19T_30-12-2020</t>
        </is>
      </c>
      <c r="AU273" t="inlineStr">
        <is>
          <t>PNCP_12T_10-08-2020</t>
        </is>
      </c>
      <c r="AV273" t="inlineStr">
        <is>
          <t>PNCP_4T_30-04-2013</t>
        </is>
      </c>
      <c r="AW273" t="inlineStr">
        <is>
          <t>Barro Blanco 220</t>
        </is>
      </c>
      <c r="AX273" t="n">
        <v>111.133</v>
      </c>
      <c r="AY273" t="n">
        <v>1.083385174100913</v>
      </c>
      <c r="AZ273" t="n">
        <v>120.3998445533567</v>
      </c>
      <c r="BA273" t="n">
        <v>801.49</v>
      </c>
      <c r="BB273" t="n">
        <v>0.905</v>
      </c>
      <c r="BC273" t="n">
        <v>87.33184062701827</v>
      </c>
      <c r="BD273" t="n">
        <v>0.7946</v>
      </c>
      <c r="BE273" t="n">
        <v>69.39400000000001</v>
      </c>
      <c r="BF273" t="n">
        <v>8.9176</v>
      </c>
      <c r="BG273" t="n">
        <v>0.77</v>
      </c>
      <c r="BH273" t="n">
        <v>5962.380796939026</v>
      </c>
      <c r="BI273" t="n">
        <v>1.047283473516708</v>
      </c>
      <c r="BJ273" t="n">
        <v>6244.3029</v>
      </c>
    </row>
    <row r="274">
      <c r="A274" t="n">
        <v>451</v>
      </c>
      <c r="B274" t="inlineStr">
        <is>
          <t>01-03-2021</t>
        </is>
      </c>
      <c r="C274" t="n">
        <v>2021</v>
      </c>
      <c r="D274" t="n">
        <v>1</v>
      </c>
      <c r="E274" t="inlineStr">
        <is>
          <t>CAREN</t>
        </is>
      </c>
      <c r="F274" t="inlineStr">
        <is>
          <t>SUM_SAESA_A</t>
        </is>
      </c>
      <c r="G274" t="inlineStr">
        <is>
          <t>A</t>
        </is>
      </c>
      <c r="H274" t="inlineStr">
        <is>
          <t>SAESA</t>
        </is>
      </c>
      <c r="I274" t="inlineStr">
        <is>
          <t>SAESSANGBLOQA</t>
        </is>
      </c>
      <c r="J274" t="inlineStr">
        <is>
          <t>SANGRA</t>
        </is>
      </c>
      <c r="K274" t="n">
        <v>-3217.24669485</v>
      </c>
      <c r="L274" t="inlineStr">
        <is>
          <t>SANGRA 23</t>
        </is>
      </c>
      <c r="M274" t="inlineStr">
        <is>
          <t>MELIPULLI</t>
        </is>
      </c>
      <c r="N274" t="n">
        <v>0.80146456415263</v>
      </c>
      <c r="O274" t="n">
        <v>2578.50922</v>
      </c>
      <c r="P274" t="inlineStr">
        <is>
          <t>BS1A</t>
        </is>
      </c>
      <c r="Q274" t="n">
        <v>2</v>
      </c>
      <c r="W274" t="n">
        <v>2</v>
      </c>
      <c r="X274" t="n">
        <v>0</v>
      </c>
      <c r="AA274" t="inlineStr">
        <is>
          <t>PNP_16T_02-11-2020</t>
        </is>
      </c>
      <c r="AB274" t="inlineStr">
        <is>
          <t>PNCP_2T_10-02-2020</t>
        </is>
      </c>
      <c r="AC274" t="inlineStr">
        <is>
          <t>PNCP_4T_30-04-2013</t>
        </is>
      </c>
      <c r="AD274" t="inlineStr">
        <is>
          <t>MELIPULLI 220</t>
        </is>
      </c>
      <c r="AE274" t="n">
        <v>111.133</v>
      </c>
      <c r="AF274" t="n">
        <v>1.080821157758461</v>
      </c>
      <c r="AG274" t="n">
        <v>120.1148977251711</v>
      </c>
      <c r="AH274" t="n">
        <v>779.3099999999999</v>
      </c>
      <c r="AI274" t="n">
        <v>0.879</v>
      </c>
      <c r="AJ274" t="n">
        <v>82.2803252917125</v>
      </c>
      <c r="AK274" t="n">
        <v>0.8421</v>
      </c>
      <c r="AL274" t="n">
        <v>69.288</v>
      </c>
      <c r="AM274" t="n">
        <v>8.9176</v>
      </c>
      <c r="AN274" t="n">
        <v>9.638330756426855</v>
      </c>
      <c r="AO274" t="n">
        <v>0.804</v>
      </c>
      <c r="AP274" t="n">
        <v>6039.043023599974</v>
      </c>
      <c r="AQ274" t="n">
        <v>1</v>
      </c>
      <c r="AR274" t="n">
        <v>6039.043</v>
      </c>
      <c r="AT274" t="inlineStr">
        <is>
          <t>PNP_19T_30-12-2020</t>
        </is>
      </c>
      <c r="AU274" t="inlineStr">
        <is>
          <t>PNCP_12T_10-08-2020</t>
        </is>
      </c>
      <c r="AV274" t="inlineStr">
        <is>
          <t>PNCP_4T_30-04-2013</t>
        </is>
      </c>
      <c r="AW274" t="inlineStr">
        <is>
          <t>MELIPULLI 220</t>
        </is>
      </c>
      <c r="AX274" t="n">
        <v>111.133</v>
      </c>
      <c r="AY274" t="n">
        <v>1.083385174100913</v>
      </c>
      <c r="AZ274" t="n">
        <v>120.3998445533567</v>
      </c>
      <c r="BA274" t="n">
        <v>801.49</v>
      </c>
      <c r="BB274" t="n">
        <v>0.905</v>
      </c>
      <c r="BC274" t="n">
        <v>87.33184062701827</v>
      </c>
      <c r="BD274" t="n">
        <v>0.7824</v>
      </c>
      <c r="BE274" t="n">
        <v>68.328</v>
      </c>
      <c r="BF274" t="n">
        <v>8.9176</v>
      </c>
      <c r="BG274" t="n">
        <v>0.77</v>
      </c>
      <c r="BH274" t="n">
        <v>5962.380796939026</v>
      </c>
      <c r="BI274" t="n">
        <v>1</v>
      </c>
      <c r="BJ274" t="n">
        <v>5962.3808</v>
      </c>
    </row>
    <row r="275">
      <c r="A275" t="n">
        <v>2065</v>
      </c>
      <c r="B275" t="inlineStr">
        <is>
          <t>01-03-2021</t>
        </is>
      </c>
      <c r="C275" t="n">
        <v>2021</v>
      </c>
      <c r="D275" t="n">
        <v>1</v>
      </c>
      <c r="E275" t="inlineStr">
        <is>
          <t>CAREN</t>
        </is>
      </c>
      <c r="F275" t="inlineStr">
        <is>
          <t>SUM_SAESA_A</t>
        </is>
      </c>
      <c r="G275" t="inlineStr">
        <is>
          <t>A</t>
        </is>
      </c>
      <c r="H275" t="inlineStr">
        <is>
          <t>SAESA</t>
        </is>
      </c>
      <c r="I275" t="inlineStr">
        <is>
          <t>SAESVALDENBLOQA</t>
        </is>
      </c>
      <c r="J275" t="inlineStr">
        <is>
          <t>VALDIVIA</t>
        </is>
      </c>
      <c r="K275" t="n">
        <v>-7073.32001483</v>
      </c>
      <c r="L275" t="inlineStr">
        <is>
          <t>VALDIVIA</t>
        </is>
      </c>
      <c r="M275" t="inlineStr">
        <is>
          <t>Barro Blanco</t>
        </is>
      </c>
      <c r="N275" t="n">
        <v>0.02993690585192</v>
      </c>
      <c r="O275" t="n">
        <v>211.753315</v>
      </c>
      <c r="P275" t="inlineStr">
        <is>
          <t>BS1A</t>
        </is>
      </c>
      <c r="Q275" t="n">
        <v>2</v>
      </c>
      <c r="W275" t="n">
        <v>2</v>
      </c>
      <c r="X275" t="n">
        <v>0</v>
      </c>
      <c r="AA275" t="inlineStr">
        <is>
          <t>PNP_16T_02-11-2020</t>
        </is>
      </c>
      <c r="AB275" t="inlineStr">
        <is>
          <t>PNCP_2T_10-02-2020</t>
        </is>
      </c>
      <c r="AC275" t="inlineStr">
        <is>
          <t>PNCP_4T_30-04-2013</t>
        </is>
      </c>
      <c r="AD275" t="inlineStr">
        <is>
          <t>Barro Blanco 220</t>
        </is>
      </c>
      <c r="AE275" t="n">
        <v>111.133</v>
      </c>
      <c r="AF275" t="n">
        <v>1.080821157758461</v>
      </c>
      <c r="AG275" t="n">
        <v>120.1148977251711</v>
      </c>
      <c r="AH275" t="n">
        <v>779.3099999999999</v>
      </c>
      <c r="AI275" t="n">
        <v>0.879</v>
      </c>
      <c r="AJ275" t="n">
        <v>82.2803252917125</v>
      </c>
      <c r="AK275" t="n">
        <v>0.846</v>
      </c>
      <c r="AL275" t="n">
        <v>69.60899999999999</v>
      </c>
      <c r="AM275" t="n">
        <v>8.9176</v>
      </c>
      <c r="AN275" t="n">
        <v>9.638330756426855</v>
      </c>
      <c r="AO275" t="n">
        <v>0.804</v>
      </c>
      <c r="AP275" t="n">
        <v>6039.043023599974</v>
      </c>
      <c r="AQ275" t="n">
        <v>1.011820868379177</v>
      </c>
      <c r="AR275" t="n">
        <v>6110.4298</v>
      </c>
      <c r="AT275" t="inlineStr">
        <is>
          <t>PNP_19T_30-12-2020</t>
        </is>
      </c>
      <c r="AU275" t="inlineStr">
        <is>
          <t>PNCP_12T_10-08-2020</t>
        </is>
      </c>
      <c r="AV275" t="inlineStr">
        <is>
          <t>PNCP_4T_30-04-2013</t>
        </is>
      </c>
      <c r="AW275" t="inlineStr">
        <is>
          <t>Barro Blanco 220</t>
        </is>
      </c>
      <c r="AX275" t="n">
        <v>111.133</v>
      </c>
      <c r="AY275" t="n">
        <v>1.083385174100913</v>
      </c>
      <c r="AZ275" t="n">
        <v>120.3998445533567</v>
      </c>
      <c r="BA275" t="n">
        <v>801.49</v>
      </c>
      <c r="BB275" t="n">
        <v>0.905</v>
      </c>
      <c r="BC275" t="n">
        <v>87.33184062701827</v>
      </c>
      <c r="BD275" t="n">
        <v>0.7946</v>
      </c>
      <c r="BE275" t="n">
        <v>69.39400000000001</v>
      </c>
      <c r="BF275" t="n">
        <v>8.9176</v>
      </c>
      <c r="BG275" t="n">
        <v>0.77</v>
      </c>
      <c r="BH275" t="n">
        <v>5962.380796939026</v>
      </c>
      <c r="BI275" t="n">
        <v>1.047283473516708</v>
      </c>
      <c r="BJ275" t="n">
        <v>6244.3029</v>
      </c>
    </row>
    <row r="276">
      <c r="A276" t="n">
        <v>2067</v>
      </c>
      <c r="B276" t="inlineStr">
        <is>
          <t>01-03-2021</t>
        </is>
      </c>
      <c r="C276" t="n">
        <v>2021</v>
      </c>
      <c r="D276" t="n">
        <v>1</v>
      </c>
      <c r="E276" t="inlineStr">
        <is>
          <t>CAREN</t>
        </is>
      </c>
      <c r="F276" t="inlineStr">
        <is>
          <t>SUM_SAESA_A</t>
        </is>
      </c>
      <c r="G276" t="inlineStr">
        <is>
          <t>A</t>
        </is>
      </c>
      <c r="H276" t="inlineStr">
        <is>
          <t>SAESA</t>
        </is>
      </c>
      <c r="I276" t="inlineStr">
        <is>
          <t>SAESVALDENBLOQA</t>
        </is>
      </c>
      <c r="J276" t="inlineStr">
        <is>
          <t>VALDIVIA</t>
        </is>
      </c>
      <c r="K276" t="n">
        <v>-7073.32001483</v>
      </c>
      <c r="L276" t="inlineStr">
        <is>
          <t>VALDIVIA</t>
        </is>
      </c>
      <c r="M276" t="inlineStr">
        <is>
          <t>MELIPULLI</t>
        </is>
      </c>
      <c r="N276" t="n">
        <v>0.00292386082351</v>
      </c>
      <c r="O276" t="n">
        <v>20.681403</v>
      </c>
      <c r="P276" t="inlineStr">
        <is>
          <t>BS1A</t>
        </is>
      </c>
      <c r="Q276" t="n">
        <v>2</v>
      </c>
      <c r="W276" t="n">
        <v>2</v>
      </c>
      <c r="X276" t="n">
        <v>0</v>
      </c>
      <c r="AA276" t="inlineStr">
        <is>
          <t>PNP_16T_02-11-2020</t>
        </is>
      </c>
      <c r="AB276" t="inlineStr">
        <is>
          <t>PNCP_2T_10-02-2020</t>
        </is>
      </c>
      <c r="AC276" t="inlineStr">
        <is>
          <t>PNCP_4T_30-04-2013</t>
        </is>
      </c>
      <c r="AD276" t="inlineStr">
        <is>
          <t>MELIPULLI 220</t>
        </is>
      </c>
      <c r="AE276" t="n">
        <v>111.133</v>
      </c>
      <c r="AF276" t="n">
        <v>1.080821157758461</v>
      </c>
      <c r="AG276" t="n">
        <v>120.1148977251711</v>
      </c>
      <c r="AH276" t="n">
        <v>779.3099999999999</v>
      </c>
      <c r="AI276" t="n">
        <v>0.879</v>
      </c>
      <c r="AJ276" t="n">
        <v>82.2803252917125</v>
      </c>
      <c r="AK276" t="n">
        <v>0.8421</v>
      </c>
      <c r="AL276" t="n">
        <v>69.288</v>
      </c>
      <c r="AM276" t="n">
        <v>8.9176</v>
      </c>
      <c r="AN276" t="n">
        <v>9.638330756426855</v>
      </c>
      <c r="AO276" t="n">
        <v>0.804</v>
      </c>
      <c r="AP276" t="n">
        <v>6039.043023599974</v>
      </c>
      <c r="AQ276" t="n">
        <v>1</v>
      </c>
      <c r="AR276" t="n">
        <v>6039.043</v>
      </c>
      <c r="AT276" t="inlineStr">
        <is>
          <t>PNP_19T_30-12-2020</t>
        </is>
      </c>
      <c r="AU276" t="inlineStr">
        <is>
          <t>PNCP_12T_10-08-2020</t>
        </is>
      </c>
      <c r="AV276" t="inlineStr">
        <is>
          <t>PNCP_4T_30-04-2013</t>
        </is>
      </c>
      <c r="AW276" t="inlineStr">
        <is>
          <t>MELIPULLI 220</t>
        </is>
      </c>
      <c r="AX276" t="n">
        <v>111.133</v>
      </c>
      <c r="AY276" t="n">
        <v>1.083385174100913</v>
      </c>
      <c r="AZ276" t="n">
        <v>120.3998445533567</v>
      </c>
      <c r="BA276" t="n">
        <v>801.49</v>
      </c>
      <c r="BB276" t="n">
        <v>0.905</v>
      </c>
      <c r="BC276" t="n">
        <v>87.33184062701827</v>
      </c>
      <c r="BD276" t="n">
        <v>0.7824</v>
      </c>
      <c r="BE276" t="n">
        <v>68.328</v>
      </c>
      <c r="BF276" t="n">
        <v>8.9176</v>
      </c>
      <c r="BG276" t="n">
        <v>0.77</v>
      </c>
      <c r="BH276" t="n">
        <v>5962.380796939026</v>
      </c>
      <c r="BI276" t="n">
        <v>1</v>
      </c>
      <c r="BJ276" t="n">
        <v>5962.3808</v>
      </c>
    </row>
    <row r="277">
      <c r="A277" t="n">
        <v>2069</v>
      </c>
      <c r="B277" t="inlineStr">
        <is>
          <t>01-03-2021</t>
        </is>
      </c>
      <c r="C277" t="n">
        <v>2021</v>
      </c>
      <c r="D277" t="n">
        <v>1</v>
      </c>
      <c r="E277" t="inlineStr">
        <is>
          <t>CAREN</t>
        </is>
      </c>
      <c r="F277" t="inlineStr">
        <is>
          <t>SUM_SAESA_A</t>
        </is>
      </c>
      <c r="G277" t="inlineStr">
        <is>
          <t>A</t>
        </is>
      </c>
      <c r="H277" t="inlineStr">
        <is>
          <t>SAESA</t>
        </is>
      </c>
      <c r="I277" t="inlineStr">
        <is>
          <t>SAESVALDENBLOQA</t>
        </is>
      </c>
      <c r="J277" t="inlineStr">
        <is>
          <t>VALDIVIA</t>
        </is>
      </c>
      <c r="K277" t="n">
        <v>-7073.32001483</v>
      </c>
      <c r="L277" t="inlineStr">
        <is>
          <t>VALDIVIA</t>
        </is>
      </c>
      <c r="M277" t="inlineStr">
        <is>
          <t>VALDIVIA</t>
        </is>
      </c>
      <c r="N277" t="n">
        <v>0.83180916668115</v>
      </c>
      <c r="O277" t="n">
        <v>5883.652427</v>
      </c>
      <c r="P277" t="inlineStr">
        <is>
          <t>BS1A</t>
        </is>
      </c>
      <c r="Q277" t="n">
        <v>2</v>
      </c>
      <c r="W277" t="n">
        <v>2</v>
      </c>
      <c r="X277" t="n">
        <v>0</v>
      </c>
      <c r="AA277" t="inlineStr">
        <is>
          <t>PNP_16T_02-11-2020</t>
        </is>
      </c>
      <c r="AB277" t="inlineStr">
        <is>
          <t>PNCP_2T_10-02-2020</t>
        </is>
      </c>
      <c r="AC277" t="inlineStr">
        <is>
          <t>PNCP_4T_30-04-2013</t>
        </is>
      </c>
      <c r="AD277" t="inlineStr">
        <is>
          <t>VALDIVIA 220</t>
        </is>
      </c>
      <c r="AE277" t="n">
        <v>111.133</v>
      </c>
      <c r="AF277" t="n">
        <v>1.080821157758461</v>
      </c>
      <c r="AG277" t="n">
        <v>120.1148977251711</v>
      </c>
      <c r="AH277" t="n">
        <v>779.3099999999999</v>
      </c>
      <c r="AI277" t="n">
        <v>0.879</v>
      </c>
      <c r="AJ277" t="n">
        <v>82.2803252917125</v>
      </c>
      <c r="AK277" t="n">
        <v>0.9167</v>
      </c>
      <c r="AL277" t="n">
        <v>75.426</v>
      </c>
      <c r="AM277" t="n">
        <v>8.9176</v>
      </c>
      <c r="AN277" t="n">
        <v>9.638330756426855</v>
      </c>
      <c r="AO277" t="n">
        <v>0.804</v>
      </c>
      <c r="AP277" t="n">
        <v>6039.043023599974</v>
      </c>
      <c r="AQ277" t="n">
        <v>1.096052187605444</v>
      </c>
      <c r="AR277" t="n">
        <v>6619.1063</v>
      </c>
      <c r="AT277" t="inlineStr">
        <is>
          <t>PNP_19T_30-12-2020</t>
        </is>
      </c>
      <c r="AU277" t="inlineStr">
        <is>
          <t>PNCP_12T_10-08-2020</t>
        </is>
      </c>
      <c r="AV277" t="inlineStr">
        <is>
          <t>PNCP_4T_30-04-2013</t>
        </is>
      </c>
      <c r="AW277" t="inlineStr">
        <is>
          <t>VALDIVIA 220</t>
        </is>
      </c>
      <c r="AX277" t="n">
        <v>111.133</v>
      </c>
      <c r="AY277" t="n">
        <v>1.083385174100913</v>
      </c>
      <c r="AZ277" t="n">
        <v>120.3998445533567</v>
      </c>
      <c r="BA277" t="n">
        <v>801.49</v>
      </c>
      <c r="BB277" t="n">
        <v>0.905</v>
      </c>
      <c r="BC277" t="n">
        <v>87.33184062701827</v>
      </c>
      <c r="BD277" t="n">
        <v>0.8745000000000001</v>
      </c>
      <c r="BE277" t="n">
        <v>76.372</v>
      </c>
      <c r="BF277" t="n">
        <v>8.9176</v>
      </c>
      <c r="BG277" t="n">
        <v>0.77</v>
      </c>
      <c r="BH277" t="n">
        <v>5962.380796939026</v>
      </c>
      <c r="BI277" t="n">
        <v>1.148014846473962</v>
      </c>
      <c r="BJ277" t="n">
        <v>6844.9017</v>
      </c>
    </row>
    <row r="278">
      <c r="A278" t="n">
        <v>1243</v>
      </c>
      <c r="B278" t="inlineStr">
        <is>
          <t>01-10-2020</t>
        </is>
      </c>
      <c r="C278" t="n">
        <v>2020</v>
      </c>
      <c r="D278" t="n">
        <v>1</v>
      </c>
      <c r="E278" t="inlineStr">
        <is>
          <t>CAREN</t>
        </is>
      </c>
      <c r="F278" t="inlineStr">
        <is>
          <t>SUM_SAESA_A</t>
        </is>
      </c>
      <c r="G278" t="inlineStr">
        <is>
          <t>A</t>
        </is>
      </c>
      <c r="H278" t="inlineStr">
        <is>
          <t>SAESA</t>
        </is>
      </c>
      <c r="I278" t="inlineStr">
        <is>
          <t>SAESAIHUBLOQA</t>
        </is>
      </c>
      <c r="J278" t="inlineStr">
        <is>
          <t>AIHUAPI</t>
        </is>
      </c>
      <c r="K278" t="n">
        <v>-279.08857677</v>
      </c>
      <c r="L278" t="inlineStr">
        <is>
          <t>AIHUAPI</t>
        </is>
      </c>
      <c r="M278" t="inlineStr">
        <is>
          <t>BARRO BLANCO</t>
        </is>
      </c>
      <c r="N278" t="n">
        <v>0.9345256988989999</v>
      </c>
      <c r="O278" t="n">
        <v>260.815447</v>
      </c>
      <c r="P278" t="inlineStr">
        <is>
          <t>BS1A</t>
        </is>
      </c>
      <c r="Q278" t="n">
        <v>2</v>
      </c>
      <c r="V278" t="n">
        <v>1472834.063</v>
      </c>
      <c r="W278" t="n">
        <v>2</v>
      </c>
      <c r="X278" t="n">
        <v>8.487e-08</v>
      </c>
      <c r="Y278" t="n">
        <v>0.249999</v>
      </c>
      <c r="Z278" t="n">
        <v>65.20360100000001</v>
      </c>
      <c r="AA278" t="inlineStr">
        <is>
          <t>PNP_6T_08-05-2020</t>
        </is>
      </c>
      <c r="AB278" t="inlineStr">
        <is>
          <t>PNCP_9T_12-08-2019</t>
        </is>
      </c>
      <c r="AC278" t="inlineStr">
        <is>
          <t>PNCP_4T_30-04-2013</t>
        </is>
      </c>
      <c r="AD278" t="inlineStr">
        <is>
          <t>Barro Blanco 220</t>
        </is>
      </c>
      <c r="AE278" t="n">
        <v>111.133</v>
      </c>
      <c r="AF278" t="n">
        <v>1.072776031070834</v>
      </c>
      <c r="AG278" t="n">
        <v>119.220818660995</v>
      </c>
      <c r="AH278" t="n">
        <v>694.38</v>
      </c>
      <c r="AI278" t="n">
        <v>0.875</v>
      </c>
      <c r="AJ278" t="n">
        <v>72.43648305409401</v>
      </c>
      <c r="AK278" t="n">
        <v>0.8631</v>
      </c>
      <c r="AL278" t="n">
        <v>62.52</v>
      </c>
      <c r="AM278" t="n">
        <v>8.9176</v>
      </c>
      <c r="AN278" t="n">
        <v>9.566587534677272</v>
      </c>
      <c r="AO278" t="n">
        <v>0.913</v>
      </c>
      <c r="AP278" t="n">
        <v>6064.919358776563</v>
      </c>
      <c r="AQ278" t="n">
        <v>1.004432825642191</v>
      </c>
      <c r="AR278" t="n">
        <v>6091.8041</v>
      </c>
      <c r="AS278" t="n">
        <v>4076.529134520001</v>
      </c>
      <c r="AT278" t="inlineStr">
        <is>
          <t>PNP_16T_02-11-2020</t>
        </is>
      </c>
      <c r="AU278" t="inlineStr">
        <is>
          <t>PNCP_2T_10-02-2020</t>
        </is>
      </c>
      <c r="AV278" t="inlineStr">
        <is>
          <t>PNCP_4T_30-04-2013</t>
        </is>
      </c>
      <c r="AW278" t="inlineStr">
        <is>
          <t>Barro Blanco 220</t>
        </is>
      </c>
      <c r="AX278" t="n">
        <v>111.133</v>
      </c>
      <c r="AY278" t="n">
        <v>1.080821157758461</v>
      </c>
      <c r="AZ278" t="n">
        <v>120.1148977251711</v>
      </c>
      <c r="BA278" t="n">
        <v>779.3099999999999</v>
      </c>
      <c r="BB278" t="n">
        <v>0.879</v>
      </c>
      <c r="BC278" t="n">
        <v>82.2803252917125</v>
      </c>
      <c r="BD278" t="n">
        <v>0.846</v>
      </c>
      <c r="BE278" t="n">
        <v>69.60899999999999</v>
      </c>
      <c r="BF278" t="n">
        <v>8.9176</v>
      </c>
      <c r="BG278" t="n">
        <v>0.804</v>
      </c>
      <c r="BH278" t="n">
        <v>6039.043023599974</v>
      </c>
      <c r="BI278" t="n">
        <v>1.011820868379177</v>
      </c>
      <c r="BJ278" t="n">
        <v>6110.4298</v>
      </c>
      <c r="BK278" t="n">
        <v>4538.757462009</v>
      </c>
    </row>
    <row r="279">
      <c r="A279" t="n">
        <v>1855</v>
      </c>
      <c r="B279" t="inlineStr">
        <is>
          <t>01-10-2020</t>
        </is>
      </c>
      <c r="C279" t="n">
        <v>2020</v>
      </c>
      <c r="D279" t="n">
        <v>1</v>
      </c>
      <c r="E279" t="inlineStr">
        <is>
          <t>CAREN</t>
        </is>
      </c>
      <c r="F279" t="inlineStr">
        <is>
          <t>SUM_SAESA_A</t>
        </is>
      </c>
      <c r="G279" t="inlineStr">
        <is>
          <t>A</t>
        </is>
      </c>
      <c r="H279" t="inlineStr">
        <is>
          <t>SAESA</t>
        </is>
      </c>
      <c r="I279" t="inlineStr">
        <is>
          <t>SAESABONBLOQA</t>
        </is>
      </c>
      <c r="J279" t="inlineStr">
        <is>
          <t>ALTO_BONITO</t>
        </is>
      </c>
      <c r="K279" t="n">
        <v>-7606.91389314</v>
      </c>
      <c r="L279" t="inlineStr">
        <is>
          <t>ALTO BONITO</t>
        </is>
      </c>
      <c r="M279" t="inlineStr">
        <is>
          <t>MELIPULLI</t>
        </is>
      </c>
      <c r="N279" t="n">
        <v>0.79697191581102</v>
      </c>
      <c r="O279" t="n">
        <v>6062.496739</v>
      </c>
      <c r="P279" t="inlineStr">
        <is>
          <t>BS1A</t>
        </is>
      </c>
      <c r="Q279" t="n">
        <v>2</v>
      </c>
      <c r="V279" t="n">
        <v>1472834.063</v>
      </c>
      <c r="W279" t="n">
        <v>2</v>
      </c>
      <c r="X279" t="n">
        <v>8.487e-08</v>
      </c>
      <c r="Y279" t="n">
        <v>0.249999</v>
      </c>
      <c r="Z279" t="n">
        <v>1515.618122</v>
      </c>
      <c r="AA279" t="inlineStr">
        <is>
          <t>PNP_6T_08-05-2020</t>
        </is>
      </c>
      <c r="AB279" t="inlineStr">
        <is>
          <t>PNCP_9T_12-08-2019</t>
        </is>
      </c>
      <c r="AC279" t="inlineStr">
        <is>
          <t>PNCP_4T_30-04-2013</t>
        </is>
      </c>
      <c r="AD279" t="inlineStr">
        <is>
          <t>MELIPULLI 220</t>
        </is>
      </c>
      <c r="AE279" t="n">
        <v>111.133</v>
      </c>
      <c r="AF279" t="n">
        <v>1.072776031070834</v>
      </c>
      <c r="AG279" t="n">
        <v>119.220818660995</v>
      </c>
      <c r="AH279" t="n">
        <v>694.38</v>
      </c>
      <c r="AI279" t="n">
        <v>0.875</v>
      </c>
      <c r="AJ279" t="n">
        <v>72.43648305409401</v>
      </c>
      <c r="AK279" t="n">
        <v>0.8826000000000001</v>
      </c>
      <c r="AL279" t="n">
        <v>63.932</v>
      </c>
      <c r="AM279" t="n">
        <v>8.9176</v>
      </c>
      <c r="AN279" t="n">
        <v>9.566587534677272</v>
      </c>
      <c r="AO279" t="n">
        <v>0.913</v>
      </c>
      <c r="AP279" t="n">
        <v>6064.919358776563</v>
      </c>
      <c r="AQ279" t="n">
        <v>1</v>
      </c>
      <c r="AR279" t="n">
        <v>6064.9194</v>
      </c>
      <c r="AS279" t="n">
        <v>96896.497775704</v>
      </c>
      <c r="AT279" t="inlineStr">
        <is>
          <t>PNP_16T_02-11-2020</t>
        </is>
      </c>
      <c r="AU279" t="inlineStr">
        <is>
          <t>PNCP_2T_10-02-2020</t>
        </is>
      </c>
      <c r="AV279" t="inlineStr">
        <is>
          <t>PNCP_4T_30-04-2013</t>
        </is>
      </c>
      <c r="AW279" t="inlineStr">
        <is>
          <t>MELIPULLI 220</t>
        </is>
      </c>
      <c r="AX279" t="n">
        <v>111.133</v>
      </c>
      <c r="AY279" t="n">
        <v>1.080821157758461</v>
      </c>
      <c r="AZ279" t="n">
        <v>120.1148977251711</v>
      </c>
      <c r="BA279" t="n">
        <v>779.3099999999999</v>
      </c>
      <c r="BB279" t="n">
        <v>0.879</v>
      </c>
      <c r="BC279" t="n">
        <v>82.2803252917125</v>
      </c>
      <c r="BD279" t="n">
        <v>0.8421</v>
      </c>
      <c r="BE279" t="n">
        <v>69.288</v>
      </c>
      <c r="BF279" t="n">
        <v>8.9176</v>
      </c>
      <c r="BG279" t="n">
        <v>0.804</v>
      </c>
      <c r="BH279" t="n">
        <v>6039.043023599974</v>
      </c>
      <c r="BI279" t="n">
        <v>1</v>
      </c>
      <c r="BJ279" t="n">
        <v>6039.043</v>
      </c>
      <c r="BK279" t="n">
        <v>105014.148437136</v>
      </c>
    </row>
    <row r="280">
      <c r="A280" t="n">
        <v>1857</v>
      </c>
      <c r="B280" t="inlineStr">
        <is>
          <t>01-10-2020</t>
        </is>
      </c>
      <c r="C280" t="n">
        <v>2020</v>
      </c>
      <c r="D280" t="n">
        <v>1</v>
      </c>
      <c r="E280" t="inlineStr">
        <is>
          <t>CAREN</t>
        </is>
      </c>
      <c r="F280" t="inlineStr">
        <is>
          <t>SUM_SAESA_A</t>
        </is>
      </c>
      <c r="G280" t="inlineStr">
        <is>
          <t>A</t>
        </is>
      </c>
      <c r="H280" t="inlineStr">
        <is>
          <t>SAESA</t>
        </is>
      </c>
      <c r="I280" t="inlineStr">
        <is>
          <t>SAESABONBLOQA</t>
        </is>
      </c>
      <c r="J280" t="inlineStr">
        <is>
          <t>ALTO_BONITO</t>
        </is>
      </c>
      <c r="K280" t="n">
        <v>-7606.91389314</v>
      </c>
      <c r="L280" t="inlineStr">
        <is>
          <t>ALTO BONITO</t>
        </is>
      </c>
      <c r="M280" t="inlineStr">
        <is>
          <t>Puerto Montt</t>
        </is>
      </c>
      <c r="N280" t="n">
        <v>0.94104614890384</v>
      </c>
      <c r="O280" t="n">
        <v>7158.457024</v>
      </c>
      <c r="P280" t="inlineStr">
        <is>
          <t>BS1A</t>
        </is>
      </c>
      <c r="Q280" t="n">
        <v>2</v>
      </c>
      <c r="V280" t="n">
        <v>1472834.063</v>
      </c>
      <c r="W280" t="n">
        <v>2</v>
      </c>
      <c r="X280" t="n">
        <v>8.487e-08</v>
      </c>
      <c r="Y280" t="n">
        <v>0.249999</v>
      </c>
      <c r="Z280" t="n">
        <v>1789.607098</v>
      </c>
      <c r="AA280" t="inlineStr">
        <is>
          <t>PNP_6T_08-05-2020</t>
        </is>
      </c>
      <c r="AB280" t="inlineStr">
        <is>
          <t>PNCP_9T_12-08-2019</t>
        </is>
      </c>
      <c r="AC280" t="inlineStr">
        <is>
          <t>PNCP_4T_30-04-2013</t>
        </is>
      </c>
      <c r="AD280" t="inlineStr">
        <is>
          <t>PUERTO MONTT 220</t>
        </is>
      </c>
      <c r="AE280" t="n">
        <v>111.133</v>
      </c>
      <c r="AF280" t="n">
        <v>1.072776031070834</v>
      </c>
      <c r="AG280" t="n">
        <v>119.220818660995</v>
      </c>
      <c r="AH280" t="n">
        <v>694.38</v>
      </c>
      <c r="AI280" t="n">
        <v>0.875</v>
      </c>
      <c r="AJ280" t="n">
        <v>72.43648305409401</v>
      </c>
      <c r="AK280" t="n">
        <v>0.8826000000000001</v>
      </c>
      <c r="AL280" t="n">
        <v>63.932</v>
      </c>
      <c r="AM280" t="n">
        <v>8.9176</v>
      </c>
      <c r="AN280" t="n">
        <v>9.566587534677272</v>
      </c>
      <c r="AO280" t="n">
        <v>0.913</v>
      </c>
      <c r="AP280" t="n">
        <v>6064.919358776563</v>
      </c>
      <c r="AQ280" t="n">
        <v>1.016858412119831</v>
      </c>
      <c r="AR280" t="n">
        <v>6167.1643</v>
      </c>
      <c r="AS280" t="n">
        <v>114413.160989336</v>
      </c>
      <c r="AT280" t="inlineStr">
        <is>
          <t>PNP_16T_02-11-2020</t>
        </is>
      </c>
      <c r="AU280" t="inlineStr">
        <is>
          <t>PNCP_2T_10-02-2020</t>
        </is>
      </c>
      <c r="AV280" t="inlineStr">
        <is>
          <t>PNCP_4T_30-04-2013</t>
        </is>
      </c>
      <c r="AW280" t="inlineStr">
        <is>
          <t>PUERTO MONTT 220</t>
        </is>
      </c>
      <c r="AX280" t="n">
        <v>111.133</v>
      </c>
      <c r="AY280" t="n">
        <v>1.080821157758461</v>
      </c>
      <c r="AZ280" t="n">
        <v>120.1148977251711</v>
      </c>
      <c r="BA280" t="n">
        <v>779.3099999999999</v>
      </c>
      <c r="BB280" t="n">
        <v>0.879</v>
      </c>
      <c r="BC280" t="n">
        <v>82.2803252917125</v>
      </c>
      <c r="BD280" t="n">
        <v>0.8421</v>
      </c>
      <c r="BE280" t="n">
        <v>69.288</v>
      </c>
      <c r="BF280" t="n">
        <v>8.9176</v>
      </c>
      <c r="BG280" t="n">
        <v>0.804</v>
      </c>
      <c r="BH280" t="n">
        <v>6039.043023599974</v>
      </c>
      <c r="BI280" t="n">
        <v>1.02699624102973</v>
      </c>
      <c r="BJ280" t="n">
        <v>6202.0745</v>
      </c>
      <c r="BK280" t="n">
        <v>123998.296606224</v>
      </c>
    </row>
    <row r="281">
      <c r="A281" t="n">
        <v>1859</v>
      </c>
      <c r="B281" t="inlineStr">
        <is>
          <t>01-10-2020</t>
        </is>
      </c>
      <c r="C281" t="n">
        <v>2020</v>
      </c>
      <c r="D281" t="n">
        <v>1</v>
      </c>
      <c r="E281" t="inlineStr">
        <is>
          <t>CAREN</t>
        </is>
      </c>
      <c r="F281" t="inlineStr">
        <is>
          <t>SUM_SAESA_A</t>
        </is>
      </c>
      <c r="G281" t="inlineStr">
        <is>
          <t>A</t>
        </is>
      </c>
      <c r="H281" t="inlineStr">
        <is>
          <t>SAESA</t>
        </is>
      </c>
      <c r="I281" t="inlineStr">
        <is>
          <t>SAESABONBLOQA</t>
        </is>
      </c>
      <c r="J281" t="inlineStr">
        <is>
          <t>ALTO_BONITO</t>
        </is>
      </c>
      <c r="K281" t="n">
        <v>-7606.91389314</v>
      </c>
      <c r="L281" t="inlineStr">
        <is>
          <t>ALTO BONITO</t>
        </is>
      </c>
      <c r="M281" t="inlineStr">
        <is>
          <t>VALDIVIA</t>
        </is>
      </c>
      <c r="N281" t="n">
        <v>5.983619997e-05</v>
      </c>
      <c r="O281" t="n">
        <v>0.455169</v>
      </c>
      <c r="P281" t="inlineStr">
        <is>
          <t>BS1A</t>
        </is>
      </c>
      <c r="Q281" t="n">
        <v>2</v>
      </c>
      <c r="V281" t="n">
        <v>1472834.063</v>
      </c>
      <c r="W281" t="n">
        <v>2</v>
      </c>
      <c r="X281" t="n">
        <v>8.487e-08</v>
      </c>
      <c r="Y281" t="n">
        <v>0.249999</v>
      </c>
      <c r="Z281" t="n">
        <v>0.113792</v>
      </c>
      <c r="AA281" t="inlineStr">
        <is>
          <t>PNP_6T_08-05-2020</t>
        </is>
      </c>
      <c r="AB281" t="inlineStr">
        <is>
          <t>PNCP_9T_12-08-2019</t>
        </is>
      </c>
      <c r="AC281" t="inlineStr">
        <is>
          <t>PNCP_4T_30-04-2013</t>
        </is>
      </c>
      <c r="AD281" t="inlineStr">
        <is>
          <t>VALDIVIA 220</t>
        </is>
      </c>
      <c r="AE281" t="n">
        <v>111.133</v>
      </c>
      <c r="AF281" t="n">
        <v>1.072776031070834</v>
      </c>
      <c r="AG281" t="n">
        <v>119.220818660995</v>
      </c>
      <c r="AH281" t="n">
        <v>694.38</v>
      </c>
      <c r="AI281" t="n">
        <v>0.875</v>
      </c>
      <c r="AJ281" t="n">
        <v>72.43648305409401</v>
      </c>
      <c r="AK281" t="n">
        <v>0.913</v>
      </c>
      <c r="AL281" t="n">
        <v>66.13500000000001</v>
      </c>
      <c r="AM281" t="n">
        <v>8.9176</v>
      </c>
      <c r="AN281" t="n">
        <v>9.566587534677272</v>
      </c>
      <c r="AO281" t="n">
        <v>0.913</v>
      </c>
      <c r="AP281" t="n">
        <v>6064.919358776563</v>
      </c>
      <c r="AQ281" t="n">
        <v>1.051287819142954</v>
      </c>
      <c r="AR281" t="n">
        <v>6375.9758</v>
      </c>
      <c r="AS281" t="n">
        <v>7.525633920000001</v>
      </c>
      <c r="AT281" t="inlineStr">
        <is>
          <t>PNP_16T_02-11-2020</t>
        </is>
      </c>
      <c r="AU281" t="inlineStr">
        <is>
          <t>PNCP_2T_10-02-2020</t>
        </is>
      </c>
      <c r="AV281" t="inlineStr">
        <is>
          <t>PNCP_4T_30-04-2013</t>
        </is>
      </c>
      <c r="AW281" t="inlineStr">
        <is>
          <t>VALDIVIA 220</t>
        </is>
      </c>
      <c r="AX281" t="n">
        <v>111.133</v>
      </c>
      <c r="AY281" t="n">
        <v>1.080821157758461</v>
      </c>
      <c r="AZ281" t="n">
        <v>120.1148977251711</v>
      </c>
      <c r="BA281" t="n">
        <v>779.3099999999999</v>
      </c>
      <c r="BB281" t="n">
        <v>0.879</v>
      </c>
      <c r="BC281" t="n">
        <v>82.2803252917125</v>
      </c>
      <c r="BD281" t="n">
        <v>0.9167</v>
      </c>
      <c r="BE281" t="n">
        <v>75.426</v>
      </c>
      <c r="BF281" t="n">
        <v>8.9176</v>
      </c>
      <c r="BG281" t="n">
        <v>0.804</v>
      </c>
      <c r="BH281" t="n">
        <v>6039.043023599974</v>
      </c>
      <c r="BI281" t="n">
        <v>1.096052187605444</v>
      </c>
      <c r="BJ281" t="n">
        <v>6619.1063</v>
      </c>
      <c r="BK281" t="n">
        <v>8.582875392</v>
      </c>
    </row>
    <row r="282">
      <c r="A282" t="n">
        <v>1237</v>
      </c>
      <c r="B282" t="inlineStr">
        <is>
          <t>01-10-2020</t>
        </is>
      </c>
      <c r="C282" t="n">
        <v>2020</v>
      </c>
      <c r="D282" t="n">
        <v>1</v>
      </c>
      <c r="E282" t="inlineStr">
        <is>
          <t>CAREN</t>
        </is>
      </c>
      <c r="F282" t="inlineStr">
        <is>
          <t>SUM_SAESA_A</t>
        </is>
      </c>
      <c r="G282" t="inlineStr">
        <is>
          <t>A</t>
        </is>
      </c>
      <c r="H282" t="inlineStr">
        <is>
          <t>SAESA</t>
        </is>
      </c>
      <c r="I282" t="inlineStr">
        <is>
          <t>SAESANCUBLOQA</t>
        </is>
      </c>
      <c r="J282" t="inlineStr">
        <is>
          <t>ANCUD</t>
        </is>
      </c>
      <c r="K282" t="n">
        <v>-6506.82458411</v>
      </c>
      <c r="L282" t="inlineStr">
        <is>
          <t>ANCUD</t>
        </is>
      </c>
      <c r="M282" t="inlineStr">
        <is>
          <t>CHILOE</t>
        </is>
      </c>
      <c r="N282" t="n">
        <v>0.79707666555769</v>
      </c>
      <c r="O282" t="n">
        <v>5186.438043</v>
      </c>
      <c r="P282" t="inlineStr">
        <is>
          <t>BS1A</t>
        </is>
      </c>
      <c r="Q282" t="n">
        <v>2</v>
      </c>
      <c r="V282" t="n">
        <v>1472834.063</v>
      </c>
      <c r="W282" t="n">
        <v>2</v>
      </c>
      <c r="X282" t="n">
        <v>8.487e-08</v>
      </c>
      <c r="Y282" t="n">
        <v>0.249999</v>
      </c>
      <c r="Z282" t="n">
        <v>1296.604324</v>
      </c>
      <c r="AA282" t="inlineStr">
        <is>
          <t>PNP_6T_08-05-2020</t>
        </is>
      </c>
      <c r="AB282" t="inlineStr">
        <is>
          <t>PNCP_9T_12-08-2019</t>
        </is>
      </c>
      <c r="AC282" t="inlineStr">
        <is>
          <t>PNCP_4T_30-04-2013</t>
        </is>
      </c>
      <c r="AD282" t="inlineStr">
        <is>
          <t>CHILOE 220</t>
        </is>
      </c>
      <c r="AE282" t="n">
        <v>111.133</v>
      </c>
      <c r="AF282" t="n">
        <v>1.072776031070834</v>
      </c>
      <c r="AG282" t="n">
        <v>119.220818660995</v>
      </c>
      <c r="AH282" t="n">
        <v>694.38</v>
      </c>
      <c r="AI282" t="n">
        <v>0.875</v>
      </c>
      <c r="AJ282" t="n">
        <v>72.43648305409401</v>
      </c>
      <c r="AK282" t="n">
        <v>0.8903</v>
      </c>
      <c r="AL282" t="n">
        <v>64.48999999999999</v>
      </c>
      <c r="AM282" t="n">
        <v>8.9176</v>
      </c>
      <c r="AN282" t="n">
        <v>9.566587534677272</v>
      </c>
      <c r="AO282" t="n">
        <v>0.913</v>
      </c>
      <c r="AP282" t="n">
        <v>6064.919358776563</v>
      </c>
      <c r="AQ282" t="n">
        <v>1</v>
      </c>
      <c r="AR282" t="n">
        <v>6064.9194</v>
      </c>
      <c r="AS282" t="n">
        <v>83618.01285475999</v>
      </c>
      <c r="AT282" t="inlineStr">
        <is>
          <t>PNP_16T_02-11-2020</t>
        </is>
      </c>
      <c r="AU282" t="inlineStr">
        <is>
          <t>PNCP_2T_10-02-2020</t>
        </is>
      </c>
      <c r="AV282" t="inlineStr">
        <is>
          <t>PNCP_4T_30-04-2013</t>
        </is>
      </c>
      <c r="AW282" t="inlineStr">
        <is>
          <t>CHILOE 220</t>
        </is>
      </c>
      <c r="AX282" t="n">
        <v>111.133</v>
      </c>
      <c r="AY282" t="n">
        <v>1.080821157758461</v>
      </c>
      <c r="AZ282" t="n">
        <v>120.1148977251711</v>
      </c>
      <c r="BA282" t="n">
        <v>779.3099999999999</v>
      </c>
      <c r="BB282" t="n">
        <v>0.879</v>
      </c>
      <c r="BC282" t="n">
        <v>82.2803252917125</v>
      </c>
      <c r="BD282" t="n">
        <v>0.8486</v>
      </c>
      <c r="BE282" t="n">
        <v>69.82299999999999</v>
      </c>
      <c r="BF282" t="n">
        <v>8.9176</v>
      </c>
      <c r="BG282" t="n">
        <v>0.804</v>
      </c>
      <c r="BH282" t="n">
        <v>6039.043023599974</v>
      </c>
      <c r="BI282" t="n">
        <v>1</v>
      </c>
      <c r="BJ282" t="n">
        <v>6039.043</v>
      </c>
      <c r="BK282" t="n">
        <v>90532.80371465198</v>
      </c>
    </row>
    <row r="283">
      <c r="A283" t="n">
        <v>1239</v>
      </c>
      <c r="B283" t="inlineStr">
        <is>
          <t>01-10-2020</t>
        </is>
      </c>
      <c r="C283" t="n">
        <v>2020</v>
      </c>
      <c r="D283" t="n">
        <v>1</v>
      </c>
      <c r="E283" t="inlineStr">
        <is>
          <t>CAREN</t>
        </is>
      </c>
      <c r="F283" t="inlineStr">
        <is>
          <t>SUM_SAESA_A</t>
        </is>
      </c>
      <c r="G283" t="inlineStr">
        <is>
          <t>A</t>
        </is>
      </c>
      <c r="H283" t="inlineStr">
        <is>
          <t>SAESA</t>
        </is>
      </c>
      <c r="I283" t="inlineStr">
        <is>
          <t>SAESANCUBLOQA</t>
        </is>
      </c>
      <c r="J283" t="inlineStr">
        <is>
          <t>ANCUD</t>
        </is>
      </c>
      <c r="K283" t="n">
        <v>-6506.82458411</v>
      </c>
      <c r="L283" t="inlineStr">
        <is>
          <t>ANCUD</t>
        </is>
      </c>
      <c r="M283" t="inlineStr">
        <is>
          <t>Puerto Montt</t>
        </is>
      </c>
      <c r="N283" t="n">
        <v>0.9410461489039</v>
      </c>
      <c r="O283" t="n">
        <v>6123.222216</v>
      </c>
      <c r="P283" t="inlineStr">
        <is>
          <t>BS1A</t>
        </is>
      </c>
      <c r="Q283" t="n">
        <v>2</v>
      </c>
      <c r="V283" t="n">
        <v>1472834.063</v>
      </c>
      <c r="W283" t="n">
        <v>2</v>
      </c>
      <c r="X283" t="n">
        <v>8.487e-08</v>
      </c>
      <c r="Y283" t="n">
        <v>0.249999</v>
      </c>
      <c r="Z283" t="n">
        <v>1530.799431</v>
      </c>
      <c r="AA283" t="inlineStr">
        <is>
          <t>PNP_6T_08-05-2020</t>
        </is>
      </c>
      <c r="AB283" t="inlineStr">
        <is>
          <t>PNCP_9T_12-08-2019</t>
        </is>
      </c>
      <c r="AC283" t="inlineStr">
        <is>
          <t>PNCP_4T_30-04-2013</t>
        </is>
      </c>
      <c r="AD283" t="inlineStr">
        <is>
          <t>PUERTO MONTT 220</t>
        </is>
      </c>
      <c r="AE283" t="n">
        <v>111.133</v>
      </c>
      <c r="AF283" t="n">
        <v>1.072776031070834</v>
      </c>
      <c r="AG283" t="n">
        <v>119.220818660995</v>
      </c>
      <c r="AH283" t="n">
        <v>694.38</v>
      </c>
      <c r="AI283" t="n">
        <v>0.875</v>
      </c>
      <c r="AJ283" t="n">
        <v>72.43648305409401</v>
      </c>
      <c r="AK283" t="n">
        <v>0.8826000000000001</v>
      </c>
      <c r="AL283" t="n">
        <v>63.932</v>
      </c>
      <c r="AM283" t="n">
        <v>8.9176</v>
      </c>
      <c r="AN283" t="n">
        <v>9.566587534677272</v>
      </c>
      <c r="AO283" t="n">
        <v>0.913</v>
      </c>
      <c r="AP283" t="n">
        <v>6064.919358776563</v>
      </c>
      <c r="AQ283" t="n">
        <v>1.016858412119831</v>
      </c>
      <c r="AR283" t="n">
        <v>6167.1643</v>
      </c>
      <c r="AS283" t="n">
        <v>97867.06922269199</v>
      </c>
      <c r="AT283" t="inlineStr">
        <is>
          <t>PNP_16T_02-11-2020</t>
        </is>
      </c>
      <c r="AU283" t="inlineStr">
        <is>
          <t>PNCP_2T_10-02-2020</t>
        </is>
      </c>
      <c r="AV283" t="inlineStr">
        <is>
          <t>PNCP_4T_30-04-2013</t>
        </is>
      </c>
      <c r="AW283" t="inlineStr">
        <is>
          <t>PUERTO MONTT 220</t>
        </is>
      </c>
      <c r="AX283" t="n">
        <v>111.133</v>
      </c>
      <c r="AY283" t="n">
        <v>1.080821157758461</v>
      </c>
      <c r="AZ283" t="n">
        <v>120.1148977251711</v>
      </c>
      <c r="BA283" t="n">
        <v>779.3099999999999</v>
      </c>
      <c r="BB283" t="n">
        <v>0.879</v>
      </c>
      <c r="BC283" t="n">
        <v>82.2803252917125</v>
      </c>
      <c r="BD283" t="n">
        <v>0.8421</v>
      </c>
      <c r="BE283" t="n">
        <v>69.288</v>
      </c>
      <c r="BF283" t="n">
        <v>8.9176</v>
      </c>
      <c r="BG283" t="n">
        <v>0.804</v>
      </c>
      <c r="BH283" t="n">
        <v>6039.043023599974</v>
      </c>
      <c r="BI283" t="n">
        <v>1.02699624102973</v>
      </c>
      <c r="BJ283" t="n">
        <v>6202.0745</v>
      </c>
      <c r="BK283" t="n">
        <v>106066.030975128</v>
      </c>
    </row>
    <row r="284">
      <c r="A284" t="n">
        <v>339</v>
      </c>
      <c r="B284" t="inlineStr">
        <is>
          <t>01-10-2020</t>
        </is>
      </c>
      <c r="C284" t="n">
        <v>2020</v>
      </c>
      <c r="D284" t="n">
        <v>1</v>
      </c>
      <c r="E284" t="inlineStr">
        <is>
          <t>CAREN</t>
        </is>
      </c>
      <c r="F284" t="inlineStr">
        <is>
          <t>SUM_SAESA_A</t>
        </is>
      </c>
      <c r="G284" t="inlineStr">
        <is>
          <t>A</t>
        </is>
      </c>
      <c r="H284" t="inlineStr">
        <is>
          <t>SAESA</t>
        </is>
      </c>
      <c r="I284" t="inlineStr">
        <is>
          <t>SAESARMBLOQA</t>
        </is>
      </c>
      <c r="J284" t="inlineStr">
        <is>
          <t>ARMAZONES</t>
        </is>
      </c>
      <c r="K284" t="n">
        <v>-1234.79352669</v>
      </c>
      <c r="L284" t="inlineStr">
        <is>
          <t>ARMAZONES</t>
        </is>
      </c>
      <c r="M284" t="inlineStr">
        <is>
          <t>DIEGO DE ALMAGRO</t>
        </is>
      </c>
      <c r="N284" t="n">
        <v>0.81055053060743</v>
      </c>
      <c r="O284" t="n">
        <v>1000.862548</v>
      </c>
      <c r="P284" t="inlineStr">
        <is>
          <t>BS1A</t>
        </is>
      </c>
      <c r="Q284" t="n">
        <v>2</v>
      </c>
      <c r="V284" t="n">
        <v>1472834.063</v>
      </c>
      <c r="W284" t="n">
        <v>2</v>
      </c>
      <c r="X284" t="n">
        <v>8.487e-08</v>
      </c>
      <c r="Y284" t="n">
        <v>0.249999</v>
      </c>
      <c r="Z284" t="n">
        <v>250.214636</v>
      </c>
      <c r="AA284" t="inlineStr">
        <is>
          <t>PNP_6T_08-05-2020</t>
        </is>
      </c>
      <c r="AB284" t="inlineStr">
        <is>
          <t>PNCP_9T_12-08-2019</t>
        </is>
      </c>
      <c r="AC284" t="inlineStr">
        <is>
          <t>PNCP_4T_30-04-2013</t>
        </is>
      </c>
      <c r="AD284" t="inlineStr">
        <is>
          <t>DIEGO DE ALMAGRO 220</t>
        </is>
      </c>
      <c r="AE284" t="n">
        <v>111.133</v>
      </c>
      <c r="AF284" t="n">
        <v>1.072776031070834</v>
      </c>
      <c r="AG284" t="n">
        <v>119.220818660995</v>
      </c>
      <c r="AH284" t="n">
        <v>694.38</v>
      </c>
      <c r="AI284" t="n">
        <v>0.875</v>
      </c>
      <c r="AJ284" t="n">
        <v>72.43648305409401</v>
      </c>
      <c r="AK284" t="n">
        <v>0.981</v>
      </c>
      <c r="AL284" t="n">
        <v>71.06</v>
      </c>
      <c r="AM284" t="n">
        <v>8.9176</v>
      </c>
      <c r="AN284" t="n">
        <v>9.566587534677272</v>
      </c>
      <c r="AO284" t="n">
        <v>0.913</v>
      </c>
      <c r="AP284" t="n">
        <v>6064.919358776563</v>
      </c>
      <c r="AQ284" t="n">
        <v>1.00689729496713</v>
      </c>
      <c r="AR284" t="n">
        <v>6106.7509</v>
      </c>
      <c r="AS284" t="n">
        <v>17780.25203416</v>
      </c>
      <c r="AT284" t="inlineStr">
        <is>
          <t>PNP_16T_02-11-2020</t>
        </is>
      </c>
      <c r="AU284" t="inlineStr">
        <is>
          <t>PNCP_2T_10-02-2020</t>
        </is>
      </c>
      <c r="AV284" t="inlineStr">
        <is>
          <t>PNCP_4T_30-04-2013</t>
        </is>
      </c>
      <c r="AW284" t="inlineStr">
        <is>
          <t>DIEGO DE ALMAGRO 220</t>
        </is>
      </c>
      <c r="AX284" t="n">
        <v>111.133</v>
      </c>
      <c r="AY284" t="n">
        <v>1.080821157758461</v>
      </c>
      <c r="AZ284" t="n">
        <v>120.1148977251711</v>
      </c>
      <c r="BA284" t="n">
        <v>779.3099999999999</v>
      </c>
      <c r="BB284" t="n">
        <v>0.879</v>
      </c>
      <c r="BC284" t="n">
        <v>82.2803252917125</v>
      </c>
      <c r="BD284" t="n">
        <v>0.9133</v>
      </c>
      <c r="BE284" t="n">
        <v>75.14700000000001</v>
      </c>
      <c r="BF284" t="n">
        <v>8.9176</v>
      </c>
      <c r="BG284" t="n">
        <v>0.804</v>
      </c>
      <c r="BH284" t="n">
        <v>6039.043023599974</v>
      </c>
      <c r="BI284" t="n">
        <v>0.9584006897294968</v>
      </c>
      <c r="BJ284" t="n">
        <v>5787.823</v>
      </c>
      <c r="BK284" t="n">
        <v>18802.879251492</v>
      </c>
    </row>
    <row r="285">
      <c r="A285" t="n">
        <v>3745</v>
      </c>
      <c r="B285" t="inlineStr">
        <is>
          <t>01-10-2020</t>
        </is>
      </c>
      <c r="C285" t="n">
        <v>2020</v>
      </c>
      <c r="D285" t="n">
        <v>1</v>
      </c>
      <c r="E285" t="inlineStr">
        <is>
          <t>CAREN</t>
        </is>
      </c>
      <c r="F285" t="inlineStr">
        <is>
          <t>SUM_SAESA_A</t>
        </is>
      </c>
      <c r="G285" t="inlineStr">
        <is>
          <t>A</t>
        </is>
      </c>
      <c r="H285" t="inlineStr">
        <is>
          <t>SAESA</t>
        </is>
      </c>
      <c r="I285" t="inlineStr">
        <is>
          <t>SAESBBLABLOQA</t>
        </is>
      </c>
      <c r="J285" t="inlineStr">
        <is>
          <t>B.BLANCO</t>
        </is>
      </c>
      <c r="K285" t="n">
        <v>-7288.51224153</v>
      </c>
      <c r="L285" t="inlineStr">
        <is>
          <t>BARRO BLANCO</t>
        </is>
      </c>
      <c r="M285" t="inlineStr">
        <is>
          <t>BARRO BLANCO</t>
        </is>
      </c>
      <c r="N285" t="n">
        <v>0.68542358589689</v>
      </c>
      <c r="O285" t="n">
        <v>4995.718196</v>
      </c>
      <c r="P285" t="inlineStr">
        <is>
          <t>BS1A</t>
        </is>
      </c>
      <c r="Q285" t="n">
        <v>2</v>
      </c>
      <c r="V285" t="n">
        <v>1472834.063</v>
      </c>
      <c r="W285" t="n">
        <v>2</v>
      </c>
      <c r="X285" t="n">
        <v>8.487e-08</v>
      </c>
      <c r="Y285" t="n">
        <v>0.249999</v>
      </c>
      <c r="Z285" t="n">
        <v>1248.924553</v>
      </c>
      <c r="AA285" t="inlineStr">
        <is>
          <t>PNP_6T_08-05-2020</t>
        </is>
      </c>
      <c r="AB285" t="inlineStr">
        <is>
          <t>PNCP_9T_12-08-2019</t>
        </is>
      </c>
      <c r="AC285" t="inlineStr">
        <is>
          <t>PNCP_4T_30-04-2013</t>
        </is>
      </c>
      <c r="AD285" t="inlineStr">
        <is>
          <t>Barro Blanco 220</t>
        </is>
      </c>
      <c r="AE285" t="n">
        <v>111.133</v>
      </c>
      <c r="AF285" t="n">
        <v>1.072776031070834</v>
      </c>
      <c r="AG285" t="n">
        <v>119.220818660995</v>
      </c>
      <c r="AH285" t="n">
        <v>694.38</v>
      </c>
      <c r="AI285" t="n">
        <v>0.875</v>
      </c>
      <c r="AJ285" t="n">
        <v>72.43648305409401</v>
      </c>
      <c r="AK285" t="n">
        <v>0.8631</v>
      </c>
      <c r="AL285" t="n">
        <v>62.52</v>
      </c>
      <c r="AM285" t="n">
        <v>8.9176</v>
      </c>
      <c r="AN285" t="n">
        <v>9.566587534677272</v>
      </c>
      <c r="AO285" t="n">
        <v>0.913</v>
      </c>
      <c r="AP285" t="n">
        <v>6064.919358776563</v>
      </c>
      <c r="AQ285" t="n">
        <v>1.004432825642191</v>
      </c>
      <c r="AR285" t="n">
        <v>6091.8041</v>
      </c>
      <c r="AS285" t="n">
        <v>78082.76305356</v>
      </c>
      <c r="AT285" t="inlineStr">
        <is>
          <t>PNP_16T_02-11-2020</t>
        </is>
      </c>
      <c r="AU285" t="inlineStr">
        <is>
          <t>PNCP_2T_10-02-2020</t>
        </is>
      </c>
      <c r="AV285" t="inlineStr">
        <is>
          <t>PNCP_4T_30-04-2013</t>
        </is>
      </c>
      <c r="AW285" t="inlineStr">
        <is>
          <t>Barro Blanco 220</t>
        </is>
      </c>
      <c r="AX285" t="n">
        <v>111.133</v>
      </c>
      <c r="AY285" t="n">
        <v>1.080821157758461</v>
      </c>
      <c r="AZ285" t="n">
        <v>120.1148977251711</v>
      </c>
      <c r="BA285" t="n">
        <v>779.3099999999999</v>
      </c>
      <c r="BB285" t="n">
        <v>0.879</v>
      </c>
      <c r="BC285" t="n">
        <v>82.2803252917125</v>
      </c>
      <c r="BD285" t="n">
        <v>0.846</v>
      </c>
      <c r="BE285" t="n">
        <v>69.60899999999999</v>
      </c>
      <c r="BF285" t="n">
        <v>8.9176</v>
      </c>
      <c r="BG285" t="n">
        <v>0.804</v>
      </c>
      <c r="BH285" t="n">
        <v>6039.043023599974</v>
      </c>
      <c r="BI285" t="n">
        <v>1.011820868379177</v>
      </c>
      <c r="BJ285" t="n">
        <v>6110.4298</v>
      </c>
      <c r="BK285" t="n">
        <v>86936.389209777</v>
      </c>
    </row>
    <row r="286">
      <c r="A286" t="n">
        <v>3747</v>
      </c>
      <c r="B286" t="inlineStr">
        <is>
          <t>01-10-2020</t>
        </is>
      </c>
      <c r="C286" t="n">
        <v>2020</v>
      </c>
      <c r="D286" t="n">
        <v>1</v>
      </c>
      <c r="E286" t="inlineStr">
        <is>
          <t>CAREN</t>
        </is>
      </c>
      <c r="F286" t="inlineStr">
        <is>
          <t>SUM_SAESA_A</t>
        </is>
      </c>
      <c r="G286" t="inlineStr">
        <is>
          <t>A</t>
        </is>
      </c>
      <c r="H286" t="inlineStr">
        <is>
          <t>SAESA</t>
        </is>
      </c>
      <c r="I286" t="inlineStr">
        <is>
          <t>SAESBBLABLOQA</t>
        </is>
      </c>
      <c r="J286" t="inlineStr">
        <is>
          <t>B.BLANCO</t>
        </is>
      </c>
      <c r="K286" t="n">
        <v>-7288.51224153</v>
      </c>
      <c r="L286" t="inlineStr">
        <is>
          <t>BARRO BLANCO</t>
        </is>
      </c>
      <c r="M286" t="inlineStr">
        <is>
          <t>MELIPULLI</t>
        </is>
      </c>
      <c r="N286" t="n">
        <v>0.0564855654883</v>
      </c>
      <c r="O286" t="n">
        <v>411.695736</v>
      </c>
      <c r="P286" t="inlineStr">
        <is>
          <t>BS1A</t>
        </is>
      </c>
      <c r="Q286" t="n">
        <v>2</v>
      </c>
      <c r="V286" t="n">
        <v>1472834.063</v>
      </c>
      <c r="W286" t="n">
        <v>2</v>
      </c>
      <c r="X286" t="n">
        <v>8.487e-08</v>
      </c>
      <c r="Y286" t="n">
        <v>0.249999</v>
      </c>
      <c r="Z286" t="n">
        <v>102.923522</v>
      </c>
      <c r="AA286" t="inlineStr">
        <is>
          <t>PNP_6T_08-05-2020</t>
        </is>
      </c>
      <c r="AB286" t="inlineStr">
        <is>
          <t>PNCP_9T_12-08-2019</t>
        </is>
      </c>
      <c r="AC286" t="inlineStr">
        <is>
          <t>PNCP_4T_30-04-2013</t>
        </is>
      </c>
      <c r="AD286" t="inlineStr">
        <is>
          <t>MELIPULLI 220</t>
        </is>
      </c>
      <c r="AE286" t="n">
        <v>111.133</v>
      </c>
      <c r="AF286" t="n">
        <v>1.072776031070834</v>
      </c>
      <c r="AG286" t="n">
        <v>119.220818660995</v>
      </c>
      <c r="AH286" t="n">
        <v>694.38</v>
      </c>
      <c r="AI286" t="n">
        <v>0.875</v>
      </c>
      <c r="AJ286" t="n">
        <v>72.43648305409401</v>
      </c>
      <c r="AK286" t="n">
        <v>0.8826000000000001</v>
      </c>
      <c r="AL286" t="n">
        <v>63.932</v>
      </c>
      <c r="AM286" t="n">
        <v>8.9176</v>
      </c>
      <c r="AN286" t="n">
        <v>9.566587534677272</v>
      </c>
      <c r="AO286" t="n">
        <v>0.913</v>
      </c>
      <c r="AP286" t="n">
        <v>6064.919358776563</v>
      </c>
      <c r="AQ286" t="n">
        <v>1</v>
      </c>
      <c r="AR286" t="n">
        <v>6064.9194</v>
      </c>
      <c r="AS286" t="n">
        <v>6580.106608504</v>
      </c>
      <c r="AT286" t="inlineStr">
        <is>
          <t>PNP_16T_02-11-2020</t>
        </is>
      </c>
      <c r="AU286" t="inlineStr">
        <is>
          <t>PNCP_2T_10-02-2020</t>
        </is>
      </c>
      <c r="AV286" t="inlineStr">
        <is>
          <t>PNCP_4T_30-04-2013</t>
        </is>
      </c>
      <c r="AW286" t="inlineStr">
        <is>
          <t>MELIPULLI 220</t>
        </is>
      </c>
      <c r="AX286" t="n">
        <v>111.133</v>
      </c>
      <c r="AY286" t="n">
        <v>1.080821157758461</v>
      </c>
      <c r="AZ286" t="n">
        <v>120.1148977251711</v>
      </c>
      <c r="BA286" t="n">
        <v>779.3099999999999</v>
      </c>
      <c r="BB286" t="n">
        <v>0.879</v>
      </c>
      <c r="BC286" t="n">
        <v>82.2803252917125</v>
      </c>
      <c r="BD286" t="n">
        <v>0.8421</v>
      </c>
      <c r="BE286" t="n">
        <v>69.288</v>
      </c>
      <c r="BF286" t="n">
        <v>8.9176</v>
      </c>
      <c r="BG286" t="n">
        <v>0.804</v>
      </c>
      <c r="BH286" t="n">
        <v>6039.043023599974</v>
      </c>
      <c r="BI286" t="n">
        <v>1</v>
      </c>
      <c r="BJ286" t="n">
        <v>6039.043</v>
      </c>
      <c r="BK286" t="n">
        <v>7131.364992336</v>
      </c>
    </row>
    <row r="287">
      <c r="A287" t="n">
        <v>3749</v>
      </c>
      <c r="B287" t="inlineStr">
        <is>
          <t>01-10-2020</t>
        </is>
      </c>
      <c r="C287" t="n">
        <v>2020</v>
      </c>
      <c r="D287" t="n">
        <v>1</v>
      </c>
      <c r="E287" t="inlineStr">
        <is>
          <t>CAREN</t>
        </is>
      </c>
      <c r="F287" t="inlineStr">
        <is>
          <t>SUM_SAESA_A</t>
        </is>
      </c>
      <c r="G287" t="inlineStr">
        <is>
          <t>A</t>
        </is>
      </c>
      <c r="H287" t="inlineStr">
        <is>
          <t>SAESA</t>
        </is>
      </c>
      <c r="I287" t="inlineStr">
        <is>
          <t>SAESBBLABLOQA</t>
        </is>
      </c>
      <c r="J287" t="inlineStr">
        <is>
          <t>B.BLANCO</t>
        </is>
      </c>
      <c r="K287" t="n">
        <v>-7288.51224153</v>
      </c>
      <c r="L287" t="inlineStr">
        <is>
          <t>BARRO BLANCO</t>
        </is>
      </c>
      <c r="M287" t="inlineStr">
        <is>
          <t>VALDIVIA</t>
        </is>
      </c>
      <c r="N287" t="n">
        <v>0.21815833770618</v>
      </c>
      <c r="O287" t="n">
        <v>1590.049715</v>
      </c>
      <c r="P287" t="inlineStr">
        <is>
          <t>BS1A</t>
        </is>
      </c>
      <c r="Q287" t="n">
        <v>2</v>
      </c>
      <c r="V287" t="n">
        <v>1472834.063</v>
      </c>
      <c r="W287" t="n">
        <v>2</v>
      </c>
      <c r="X287" t="n">
        <v>8.487e-08</v>
      </c>
      <c r="Y287" t="n">
        <v>0.249999</v>
      </c>
      <c r="Z287" t="n">
        <v>397.510839</v>
      </c>
      <c r="AA287" t="inlineStr">
        <is>
          <t>PNP_6T_08-05-2020</t>
        </is>
      </c>
      <c r="AB287" t="inlineStr">
        <is>
          <t>PNCP_9T_12-08-2019</t>
        </is>
      </c>
      <c r="AC287" t="inlineStr">
        <is>
          <t>PNCP_4T_30-04-2013</t>
        </is>
      </c>
      <c r="AD287" t="inlineStr">
        <is>
          <t>VALDIVIA 220</t>
        </is>
      </c>
      <c r="AE287" t="n">
        <v>111.133</v>
      </c>
      <c r="AF287" t="n">
        <v>1.072776031070834</v>
      </c>
      <c r="AG287" t="n">
        <v>119.220818660995</v>
      </c>
      <c r="AH287" t="n">
        <v>694.38</v>
      </c>
      <c r="AI287" t="n">
        <v>0.875</v>
      </c>
      <c r="AJ287" t="n">
        <v>72.43648305409401</v>
      </c>
      <c r="AK287" t="n">
        <v>0.913</v>
      </c>
      <c r="AL287" t="n">
        <v>66.13500000000001</v>
      </c>
      <c r="AM287" t="n">
        <v>8.9176</v>
      </c>
      <c r="AN287" t="n">
        <v>9.566587534677272</v>
      </c>
      <c r="AO287" t="n">
        <v>0.913</v>
      </c>
      <c r="AP287" t="n">
        <v>6064.919358776563</v>
      </c>
      <c r="AQ287" t="n">
        <v>1.051287819142954</v>
      </c>
      <c r="AR287" t="n">
        <v>6375.9758</v>
      </c>
      <c r="AS287" t="n">
        <v>26289.379337265</v>
      </c>
      <c r="AT287" t="inlineStr">
        <is>
          <t>PNP_16T_02-11-2020</t>
        </is>
      </c>
      <c r="AU287" t="inlineStr">
        <is>
          <t>PNCP_2T_10-02-2020</t>
        </is>
      </c>
      <c r="AV287" t="inlineStr">
        <is>
          <t>PNCP_4T_30-04-2013</t>
        </is>
      </c>
      <c r="AW287" t="inlineStr">
        <is>
          <t>VALDIVIA 220</t>
        </is>
      </c>
      <c r="AX287" t="n">
        <v>111.133</v>
      </c>
      <c r="AY287" t="n">
        <v>1.080821157758461</v>
      </c>
      <c r="AZ287" t="n">
        <v>120.1148977251711</v>
      </c>
      <c r="BA287" t="n">
        <v>779.3099999999999</v>
      </c>
      <c r="BB287" t="n">
        <v>0.879</v>
      </c>
      <c r="BC287" t="n">
        <v>82.2803252917125</v>
      </c>
      <c r="BD287" t="n">
        <v>0.9167</v>
      </c>
      <c r="BE287" t="n">
        <v>75.426</v>
      </c>
      <c r="BF287" t="n">
        <v>8.9176</v>
      </c>
      <c r="BG287" t="n">
        <v>0.804</v>
      </c>
      <c r="BH287" t="n">
        <v>6039.043023599974</v>
      </c>
      <c r="BI287" t="n">
        <v>1.096052187605444</v>
      </c>
      <c r="BJ287" t="n">
        <v>6619.1063</v>
      </c>
      <c r="BK287" t="n">
        <v>29982.652542414</v>
      </c>
    </row>
    <row r="288">
      <c r="A288" t="n">
        <v>1855</v>
      </c>
      <c r="B288" t="inlineStr">
        <is>
          <t>01-10-2020</t>
        </is>
      </c>
      <c r="C288" t="n">
        <v>2020</v>
      </c>
      <c r="D288" t="n">
        <v>1</v>
      </c>
      <c r="E288" t="inlineStr">
        <is>
          <t>CAREN</t>
        </is>
      </c>
      <c r="F288" t="inlineStr">
        <is>
          <t>SUM_SAESA_A</t>
        </is>
      </c>
      <c r="G288" t="inlineStr">
        <is>
          <t>A</t>
        </is>
      </c>
      <c r="H288" t="inlineStr">
        <is>
          <t>SAESA</t>
        </is>
      </c>
      <c r="I288" t="inlineStr">
        <is>
          <t>SAESCALBBLOQA</t>
        </is>
      </c>
      <c r="J288" t="inlineStr">
        <is>
          <t>CALBUCO</t>
        </is>
      </c>
      <c r="K288" t="n">
        <v>-3217.66504179</v>
      </c>
      <c r="L288" t="inlineStr">
        <is>
          <t>CALBUCO</t>
        </is>
      </c>
      <c r="M288" t="inlineStr">
        <is>
          <t>MELIPULLI</t>
        </is>
      </c>
      <c r="N288" t="n">
        <v>0.79695127981308</v>
      </c>
      <c r="O288" t="n">
        <v>2564.322273</v>
      </c>
      <c r="P288" t="inlineStr">
        <is>
          <t>BS1A</t>
        </is>
      </c>
      <c r="Q288" t="n">
        <v>2</v>
      </c>
      <c r="V288" t="n">
        <v>1472834.063</v>
      </c>
      <c r="W288" t="n">
        <v>2</v>
      </c>
      <c r="X288" t="n">
        <v>8.487e-08</v>
      </c>
      <c r="Y288" t="n">
        <v>0.249999</v>
      </c>
      <c r="Z288" t="n">
        <v>641.078004</v>
      </c>
      <c r="AA288" t="inlineStr">
        <is>
          <t>PNP_6T_08-05-2020</t>
        </is>
      </c>
      <c r="AB288" t="inlineStr">
        <is>
          <t>PNCP_9T_12-08-2019</t>
        </is>
      </c>
      <c r="AC288" t="inlineStr">
        <is>
          <t>PNCP_4T_30-04-2013</t>
        </is>
      </c>
      <c r="AD288" t="inlineStr">
        <is>
          <t>MELIPULLI 220</t>
        </is>
      </c>
      <c r="AE288" t="n">
        <v>111.133</v>
      </c>
      <c r="AF288" t="n">
        <v>1.072776031070834</v>
      </c>
      <c r="AG288" t="n">
        <v>119.220818660995</v>
      </c>
      <c r="AH288" t="n">
        <v>694.38</v>
      </c>
      <c r="AI288" t="n">
        <v>0.875</v>
      </c>
      <c r="AJ288" t="n">
        <v>72.43648305409401</v>
      </c>
      <c r="AK288" t="n">
        <v>0.8826000000000001</v>
      </c>
      <c r="AL288" t="n">
        <v>63.932</v>
      </c>
      <c r="AM288" t="n">
        <v>8.9176</v>
      </c>
      <c r="AN288" t="n">
        <v>9.566587534677272</v>
      </c>
      <c r="AO288" t="n">
        <v>0.913</v>
      </c>
      <c r="AP288" t="n">
        <v>6064.919358776563</v>
      </c>
      <c r="AQ288" t="n">
        <v>1</v>
      </c>
      <c r="AR288" t="n">
        <v>6064.9194</v>
      </c>
      <c r="AS288" t="n">
        <v>40985.398951728</v>
      </c>
      <c r="AT288" t="inlineStr">
        <is>
          <t>PNP_16T_02-11-2020</t>
        </is>
      </c>
      <c r="AU288" t="inlineStr">
        <is>
          <t>PNCP_2T_10-02-2020</t>
        </is>
      </c>
      <c r="AV288" t="inlineStr">
        <is>
          <t>PNCP_4T_30-04-2013</t>
        </is>
      </c>
      <c r="AW288" t="inlineStr">
        <is>
          <t>MELIPULLI 220</t>
        </is>
      </c>
      <c r="AX288" t="n">
        <v>111.133</v>
      </c>
      <c r="AY288" t="n">
        <v>1.080821157758461</v>
      </c>
      <c r="AZ288" t="n">
        <v>120.1148977251711</v>
      </c>
      <c r="BA288" t="n">
        <v>779.3099999999999</v>
      </c>
      <c r="BB288" t="n">
        <v>0.879</v>
      </c>
      <c r="BC288" t="n">
        <v>82.2803252917125</v>
      </c>
      <c r="BD288" t="n">
        <v>0.8421</v>
      </c>
      <c r="BE288" t="n">
        <v>69.288</v>
      </c>
      <c r="BF288" t="n">
        <v>8.9176</v>
      </c>
      <c r="BG288" t="n">
        <v>0.804</v>
      </c>
      <c r="BH288" t="n">
        <v>6039.043023599974</v>
      </c>
      <c r="BI288" t="n">
        <v>1</v>
      </c>
      <c r="BJ288" t="n">
        <v>6039.043</v>
      </c>
      <c r="BK288" t="n">
        <v>44419.01274115199</v>
      </c>
    </row>
    <row r="289">
      <c r="A289" t="n">
        <v>1857</v>
      </c>
      <c r="B289" t="inlineStr">
        <is>
          <t>01-10-2020</t>
        </is>
      </c>
      <c r="C289" t="n">
        <v>2020</v>
      </c>
      <c r="D289" t="n">
        <v>1</v>
      </c>
      <c r="E289" t="inlineStr">
        <is>
          <t>CAREN</t>
        </is>
      </c>
      <c r="F289" t="inlineStr">
        <is>
          <t>SUM_SAESA_A</t>
        </is>
      </c>
      <c r="G289" t="inlineStr">
        <is>
          <t>A</t>
        </is>
      </c>
      <c r="H289" t="inlineStr">
        <is>
          <t>SAESA</t>
        </is>
      </c>
      <c r="I289" t="inlineStr">
        <is>
          <t>SAESCALBBLOQA</t>
        </is>
      </c>
      <c r="J289" t="inlineStr">
        <is>
          <t>CALBUCO</t>
        </is>
      </c>
      <c r="K289" t="n">
        <v>-3217.66504179</v>
      </c>
      <c r="L289" t="inlineStr">
        <is>
          <t>CALBUCO</t>
        </is>
      </c>
      <c r="M289" t="inlineStr">
        <is>
          <t>Puerto Montt</t>
        </is>
      </c>
      <c r="N289" t="n">
        <v>0.94243617275731</v>
      </c>
      <c r="O289" t="n">
        <v>3032.443927</v>
      </c>
      <c r="P289" t="inlineStr">
        <is>
          <t>BS1A</t>
        </is>
      </c>
      <c r="Q289" t="n">
        <v>2</v>
      </c>
      <c r="V289" t="n">
        <v>1472834.063</v>
      </c>
      <c r="W289" t="n">
        <v>2</v>
      </c>
      <c r="X289" t="n">
        <v>8.487e-08</v>
      </c>
      <c r="Y289" t="n">
        <v>0.249999</v>
      </c>
      <c r="Z289" t="n">
        <v>758.107949</v>
      </c>
      <c r="AA289" t="inlineStr">
        <is>
          <t>PNP_6T_08-05-2020</t>
        </is>
      </c>
      <c r="AB289" t="inlineStr">
        <is>
          <t>PNCP_9T_12-08-2019</t>
        </is>
      </c>
      <c r="AC289" t="inlineStr">
        <is>
          <t>PNCP_4T_30-04-2013</t>
        </is>
      </c>
      <c r="AD289" t="inlineStr">
        <is>
          <t>PUERTO MONTT 220</t>
        </is>
      </c>
      <c r="AE289" t="n">
        <v>111.133</v>
      </c>
      <c r="AF289" t="n">
        <v>1.072776031070834</v>
      </c>
      <c r="AG289" t="n">
        <v>119.220818660995</v>
      </c>
      <c r="AH289" t="n">
        <v>694.38</v>
      </c>
      <c r="AI289" t="n">
        <v>0.875</v>
      </c>
      <c r="AJ289" t="n">
        <v>72.43648305409401</v>
      </c>
      <c r="AK289" t="n">
        <v>0.8826000000000001</v>
      </c>
      <c r="AL289" t="n">
        <v>63.932</v>
      </c>
      <c r="AM289" t="n">
        <v>8.9176</v>
      </c>
      <c r="AN289" t="n">
        <v>9.566587534677272</v>
      </c>
      <c r="AO289" t="n">
        <v>0.913</v>
      </c>
      <c r="AP289" t="n">
        <v>6064.919358776563</v>
      </c>
      <c r="AQ289" t="n">
        <v>1.016858412119831</v>
      </c>
      <c r="AR289" t="n">
        <v>6167.1643</v>
      </c>
      <c r="AS289" t="n">
        <v>48467.357395468</v>
      </c>
      <c r="AT289" t="inlineStr">
        <is>
          <t>PNP_16T_02-11-2020</t>
        </is>
      </c>
      <c r="AU289" t="inlineStr">
        <is>
          <t>PNCP_2T_10-02-2020</t>
        </is>
      </c>
      <c r="AV289" t="inlineStr">
        <is>
          <t>PNCP_4T_30-04-2013</t>
        </is>
      </c>
      <c r="AW289" t="inlineStr">
        <is>
          <t>PUERTO MONTT 220</t>
        </is>
      </c>
      <c r="AX289" t="n">
        <v>111.133</v>
      </c>
      <c r="AY289" t="n">
        <v>1.080821157758461</v>
      </c>
      <c r="AZ289" t="n">
        <v>120.1148977251711</v>
      </c>
      <c r="BA289" t="n">
        <v>779.3099999999999</v>
      </c>
      <c r="BB289" t="n">
        <v>0.879</v>
      </c>
      <c r="BC289" t="n">
        <v>82.2803252917125</v>
      </c>
      <c r="BD289" t="n">
        <v>0.8421</v>
      </c>
      <c r="BE289" t="n">
        <v>69.288</v>
      </c>
      <c r="BF289" t="n">
        <v>8.9176</v>
      </c>
      <c r="BG289" t="n">
        <v>0.804</v>
      </c>
      <c r="BH289" t="n">
        <v>6039.043023599974</v>
      </c>
      <c r="BI289" t="n">
        <v>1.02699624102973</v>
      </c>
      <c r="BJ289" t="n">
        <v>6202.0745</v>
      </c>
      <c r="BK289" t="n">
        <v>52527.78357031199</v>
      </c>
    </row>
    <row r="290">
      <c r="A290" t="n">
        <v>1859</v>
      </c>
      <c r="B290" t="inlineStr">
        <is>
          <t>01-10-2020</t>
        </is>
      </c>
      <c r="C290" t="n">
        <v>2020</v>
      </c>
      <c r="D290" t="n">
        <v>1</v>
      </c>
      <c r="E290" t="inlineStr">
        <is>
          <t>CAREN</t>
        </is>
      </c>
      <c r="F290" t="inlineStr">
        <is>
          <t>SUM_SAESA_A</t>
        </is>
      </c>
      <c r="G290" t="inlineStr">
        <is>
          <t>A</t>
        </is>
      </c>
      <c r="H290" t="inlineStr">
        <is>
          <t>SAESA</t>
        </is>
      </c>
      <c r="I290" t="inlineStr">
        <is>
          <t>SAESCALBBLOQA</t>
        </is>
      </c>
      <c r="J290" t="inlineStr">
        <is>
          <t>CALBUCO</t>
        </is>
      </c>
      <c r="K290" t="n">
        <v>-3217.66504179</v>
      </c>
      <c r="L290" t="inlineStr">
        <is>
          <t>CALBUCO</t>
        </is>
      </c>
      <c r="M290" t="inlineStr">
        <is>
          <t>VALDIVIA</t>
        </is>
      </c>
      <c r="N290" t="n">
        <v>7.167390938e-05</v>
      </c>
      <c r="O290" t="n">
        <v>0.230623</v>
      </c>
      <c r="P290" t="inlineStr">
        <is>
          <t>BS1A</t>
        </is>
      </c>
      <c r="Q290" t="n">
        <v>2</v>
      </c>
      <c r="V290" t="n">
        <v>1472834.063</v>
      </c>
      <c r="W290" t="n">
        <v>2</v>
      </c>
      <c r="X290" t="n">
        <v>8.487e-08</v>
      </c>
      <c r="Y290" t="n">
        <v>0.249999</v>
      </c>
      <c r="Z290" t="n">
        <v>0.057656</v>
      </c>
      <c r="AA290" t="inlineStr">
        <is>
          <t>PNP_6T_08-05-2020</t>
        </is>
      </c>
      <c r="AB290" t="inlineStr">
        <is>
          <t>PNCP_9T_12-08-2019</t>
        </is>
      </c>
      <c r="AC290" t="inlineStr">
        <is>
          <t>PNCP_4T_30-04-2013</t>
        </is>
      </c>
      <c r="AD290" t="inlineStr">
        <is>
          <t>VALDIVIA 220</t>
        </is>
      </c>
      <c r="AE290" t="n">
        <v>111.133</v>
      </c>
      <c r="AF290" t="n">
        <v>1.072776031070834</v>
      </c>
      <c r="AG290" t="n">
        <v>119.220818660995</v>
      </c>
      <c r="AH290" t="n">
        <v>694.38</v>
      </c>
      <c r="AI290" t="n">
        <v>0.875</v>
      </c>
      <c r="AJ290" t="n">
        <v>72.43648305409401</v>
      </c>
      <c r="AK290" t="n">
        <v>0.913</v>
      </c>
      <c r="AL290" t="n">
        <v>66.13500000000001</v>
      </c>
      <c r="AM290" t="n">
        <v>8.9176</v>
      </c>
      <c r="AN290" t="n">
        <v>9.566587534677272</v>
      </c>
      <c r="AO290" t="n">
        <v>0.913</v>
      </c>
      <c r="AP290" t="n">
        <v>6064.919358776563</v>
      </c>
      <c r="AQ290" t="n">
        <v>1.051287819142954</v>
      </c>
      <c r="AR290" t="n">
        <v>6375.9758</v>
      </c>
      <c r="AS290" t="n">
        <v>3.81307956</v>
      </c>
      <c r="AT290" t="inlineStr">
        <is>
          <t>PNP_16T_02-11-2020</t>
        </is>
      </c>
      <c r="AU290" t="inlineStr">
        <is>
          <t>PNCP_2T_10-02-2020</t>
        </is>
      </c>
      <c r="AV290" t="inlineStr">
        <is>
          <t>PNCP_4T_30-04-2013</t>
        </is>
      </c>
      <c r="AW290" t="inlineStr">
        <is>
          <t>VALDIVIA 220</t>
        </is>
      </c>
      <c r="AX290" t="n">
        <v>111.133</v>
      </c>
      <c r="AY290" t="n">
        <v>1.080821157758461</v>
      </c>
      <c r="AZ290" t="n">
        <v>120.1148977251711</v>
      </c>
      <c r="BA290" t="n">
        <v>779.3099999999999</v>
      </c>
      <c r="BB290" t="n">
        <v>0.879</v>
      </c>
      <c r="BC290" t="n">
        <v>82.2803252917125</v>
      </c>
      <c r="BD290" t="n">
        <v>0.9167</v>
      </c>
      <c r="BE290" t="n">
        <v>75.426</v>
      </c>
      <c r="BF290" t="n">
        <v>8.9176</v>
      </c>
      <c r="BG290" t="n">
        <v>0.804</v>
      </c>
      <c r="BH290" t="n">
        <v>6039.043023599974</v>
      </c>
      <c r="BI290" t="n">
        <v>1.096052187605444</v>
      </c>
      <c r="BJ290" t="n">
        <v>6619.1063</v>
      </c>
      <c r="BK290" t="n">
        <v>4.348761456</v>
      </c>
    </row>
    <row r="291">
      <c r="A291" t="n">
        <v>1237</v>
      </c>
      <c r="B291" t="inlineStr">
        <is>
          <t>01-10-2020</t>
        </is>
      </c>
      <c r="C291" t="n">
        <v>2020</v>
      </c>
      <c r="D291" t="n">
        <v>1</v>
      </c>
      <c r="E291" t="inlineStr">
        <is>
          <t>CAREN</t>
        </is>
      </c>
      <c r="F291" t="inlineStr">
        <is>
          <t>SUM_SAESA_A</t>
        </is>
      </c>
      <c r="G291" t="inlineStr">
        <is>
          <t>A</t>
        </is>
      </c>
      <c r="H291" t="inlineStr">
        <is>
          <t>SAESA</t>
        </is>
      </c>
      <c r="I291" t="inlineStr">
        <is>
          <t>SAESCASTBLOQA</t>
        </is>
      </c>
      <c r="J291" t="inlineStr">
        <is>
          <t>CASTRO</t>
        </is>
      </c>
      <c r="K291" t="n">
        <v>-6169.39688716</v>
      </c>
      <c r="L291" t="inlineStr">
        <is>
          <t>CASTRO</t>
        </is>
      </c>
      <c r="M291" t="inlineStr">
        <is>
          <t>CHILOE</t>
        </is>
      </c>
      <c r="N291" t="n">
        <v>0.79707666555766</v>
      </c>
      <c r="O291" t="n">
        <v>4917.482299</v>
      </c>
      <c r="P291" t="inlineStr">
        <is>
          <t>BS1A</t>
        </is>
      </c>
      <c r="Q291" t="n">
        <v>2</v>
      </c>
      <c r="V291" t="n">
        <v>1472834.063</v>
      </c>
      <c r="W291" t="n">
        <v>2</v>
      </c>
      <c r="X291" t="n">
        <v>8.487e-08</v>
      </c>
      <c r="Y291" t="n">
        <v>0.249999</v>
      </c>
      <c r="Z291" t="n">
        <v>1229.365657</v>
      </c>
      <c r="AA291" t="inlineStr">
        <is>
          <t>PNP_6T_08-05-2020</t>
        </is>
      </c>
      <c r="AB291" t="inlineStr">
        <is>
          <t>PNCP_9T_12-08-2019</t>
        </is>
      </c>
      <c r="AC291" t="inlineStr">
        <is>
          <t>PNCP_4T_30-04-2013</t>
        </is>
      </c>
      <c r="AD291" t="inlineStr">
        <is>
          <t>CHILOE 220</t>
        </is>
      </c>
      <c r="AE291" t="n">
        <v>111.133</v>
      </c>
      <c r="AF291" t="n">
        <v>1.072776031070834</v>
      </c>
      <c r="AG291" t="n">
        <v>119.220818660995</v>
      </c>
      <c r="AH291" t="n">
        <v>694.38</v>
      </c>
      <c r="AI291" t="n">
        <v>0.875</v>
      </c>
      <c r="AJ291" t="n">
        <v>72.43648305409401</v>
      </c>
      <c r="AK291" t="n">
        <v>0.8903</v>
      </c>
      <c r="AL291" t="n">
        <v>64.48999999999999</v>
      </c>
      <c r="AM291" t="n">
        <v>8.9176</v>
      </c>
      <c r="AN291" t="n">
        <v>9.566587534677272</v>
      </c>
      <c r="AO291" t="n">
        <v>0.913</v>
      </c>
      <c r="AP291" t="n">
        <v>6064.919358776563</v>
      </c>
      <c r="AQ291" t="n">
        <v>1</v>
      </c>
      <c r="AR291" t="n">
        <v>6064.9194</v>
      </c>
      <c r="AS291" t="n">
        <v>79281.79121993</v>
      </c>
      <c r="AT291" t="inlineStr">
        <is>
          <t>PNP_16T_02-11-2020</t>
        </is>
      </c>
      <c r="AU291" t="inlineStr">
        <is>
          <t>PNCP_2T_10-02-2020</t>
        </is>
      </c>
      <c r="AV291" t="inlineStr">
        <is>
          <t>PNCP_4T_30-04-2013</t>
        </is>
      </c>
      <c r="AW291" t="inlineStr">
        <is>
          <t>CHILOE 220</t>
        </is>
      </c>
      <c r="AX291" t="n">
        <v>111.133</v>
      </c>
      <c r="AY291" t="n">
        <v>1.080821157758461</v>
      </c>
      <c r="AZ291" t="n">
        <v>120.1148977251711</v>
      </c>
      <c r="BA291" t="n">
        <v>779.3099999999999</v>
      </c>
      <c r="BB291" t="n">
        <v>0.879</v>
      </c>
      <c r="BC291" t="n">
        <v>82.2803252917125</v>
      </c>
      <c r="BD291" t="n">
        <v>0.8486</v>
      </c>
      <c r="BE291" t="n">
        <v>69.82299999999999</v>
      </c>
      <c r="BF291" t="n">
        <v>8.9176</v>
      </c>
      <c r="BG291" t="n">
        <v>0.804</v>
      </c>
      <c r="BH291" t="n">
        <v>6039.043023599974</v>
      </c>
      <c r="BI291" t="n">
        <v>1</v>
      </c>
      <c r="BJ291" t="n">
        <v>6039.043</v>
      </c>
      <c r="BK291" t="n">
        <v>85837.998268711</v>
      </c>
    </row>
    <row r="292">
      <c r="A292" t="n">
        <v>1239</v>
      </c>
      <c r="B292" t="inlineStr">
        <is>
          <t>01-10-2020</t>
        </is>
      </c>
      <c r="C292" t="n">
        <v>2020</v>
      </c>
      <c r="D292" t="n">
        <v>1</v>
      </c>
      <c r="E292" t="inlineStr">
        <is>
          <t>CAREN</t>
        </is>
      </c>
      <c r="F292" t="inlineStr">
        <is>
          <t>SUM_SAESA_A</t>
        </is>
      </c>
      <c r="G292" t="inlineStr">
        <is>
          <t>A</t>
        </is>
      </c>
      <c r="H292" t="inlineStr">
        <is>
          <t>SAESA</t>
        </is>
      </c>
      <c r="I292" t="inlineStr">
        <is>
          <t>SAESCASTBLOQA</t>
        </is>
      </c>
      <c r="J292" t="inlineStr">
        <is>
          <t>CASTRO</t>
        </is>
      </c>
      <c r="K292" t="n">
        <v>-6169.39688716</v>
      </c>
      <c r="L292" t="inlineStr">
        <is>
          <t>CASTRO</t>
        </is>
      </c>
      <c r="M292" t="inlineStr">
        <is>
          <t>Puerto Montt</t>
        </is>
      </c>
      <c r="N292" t="n">
        <v>0.94383030910781</v>
      </c>
      <c r="O292" t="n">
        <v>5822.863771</v>
      </c>
      <c r="P292" t="inlineStr">
        <is>
          <t>BS1A</t>
        </is>
      </c>
      <c r="Q292" t="n">
        <v>2</v>
      </c>
      <c r="V292" t="n">
        <v>1472834.063</v>
      </c>
      <c r="W292" t="n">
        <v>2</v>
      </c>
      <c r="X292" t="n">
        <v>8.487e-08</v>
      </c>
      <c r="Y292" t="n">
        <v>0.249999</v>
      </c>
      <c r="Z292" t="n">
        <v>1455.71012</v>
      </c>
      <c r="AA292" t="inlineStr">
        <is>
          <t>PNP_6T_08-05-2020</t>
        </is>
      </c>
      <c r="AB292" t="inlineStr">
        <is>
          <t>PNCP_9T_12-08-2019</t>
        </is>
      </c>
      <c r="AC292" t="inlineStr">
        <is>
          <t>PNCP_4T_30-04-2013</t>
        </is>
      </c>
      <c r="AD292" t="inlineStr">
        <is>
          <t>PUERTO MONTT 220</t>
        </is>
      </c>
      <c r="AE292" t="n">
        <v>111.133</v>
      </c>
      <c r="AF292" t="n">
        <v>1.072776031070834</v>
      </c>
      <c r="AG292" t="n">
        <v>119.220818660995</v>
      </c>
      <c r="AH292" t="n">
        <v>694.38</v>
      </c>
      <c r="AI292" t="n">
        <v>0.875</v>
      </c>
      <c r="AJ292" t="n">
        <v>72.43648305409401</v>
      </c>
      <c r="AK292" t="n">
        <v>0.8826000000000001</v>
      </c>
      <c r="AL292" t="n">
        <v>63.932</v>
      </c>
      <c r="AM292" t="n">
        <v>8.9176</v>
      </c>
      <c r="AN292" t="n">
        <v>9.566587534677272</v>
      </c>
      <c r="AO292" t="n">
        <v>0.913</v>
      </c>
      <c r="AP292" t="n">
        <v>6064.919358776563</v>
      </c>
      <c r="AQ292" t="n">
        <v>1.016858412119831</v>
      </c>
      <c r="AR292" t="n">
        <v>6167.1643</v>
      </c>
      <c r="AS292" t="n">
        <v>93066.45939184001</v>
      </c>
      <c r="AT292" t="inlineStr">
        <is>
          <t>PNP_16T_02-11-2020</t>
        </is>
      </c>
      <c r="AU292" t="inlineStr">
        <is>
          <t>PNCP_2T_10-02-2020</t>
        </is>
      </c>
      <c r="AV292" t="inlineStr">
        <is>
          <t>PNCP_4T_30-04-2013</t>
        </is>
      </c>
      <c r="AW292" t="inlineStr">
        <is>
          <t>PUERTO MONTT 220</t>
        </is>
      </c>
      <c r="AX292" t="n">
        <v>111.133</v>
      </c>
      <c r="AY292" t="n">
        <v>1.080821157758461</v>
      </c>
      <c r="AZ292" t="n">
        <v>120.1148977251711</v>
      </c>
      <c r="BA292" t="n">
        <v>779.3099999999999</v>
      </c>
      <c r="BB292" t="n">
        <v>0.879</v>
      </c>
      <c r="BC292" t="n">
        <v>82.2803252917125</v>
      </c>
      <c r="BD292" t="n">
        <v>0.8421</v>
      </c>
      <c r="BE292" t="n">
        <v>69.288</v>
      </c>
      <c r="BF292" t="n">
        <v>8.9176</v>
      </c>
      <c r="BG292" t="n">
        <v>0.804</v>
      </c>
      <c r="BH292" t="n">
        <v>6039.043023599974</v>
      </c>
      <c r="BI292" t="n">
        <v>1.02699624102973</v>
      </c>
      <c r="BJ292" t="n">
        <v>6202.0745</v>
      </c>
      <c r="BK292" t="n">
        <v>100863.24279456</v>
      </c>
    </row>
    <row r="293">
      <c r="A293" t="n">
        <v>287</v>
      </c>
      <c r="B293" t="inlineStr">
        <is>
          <t>01-10-2020</t>
        </is>
      </c>
      <c r="C293" t="n">
        <v>2020</v>
      </c>
      <c r="D293" t="n">
        <v>1</v>
      </c>
      <c r="E293" t="inlineStr">
        <is>
          <t>CAREN</t>
        </is>
      </c>
      <c r="F293" t="inlineStr">
        <is>
          <t>SUM_SAESA_A</t>
        </is>
      </c>
      <c r="G293" t="inlineStr">
        <is>
          <t>A</t>
        </is>
      </c>
      <c r="H293" t="inlineStr">
        <is>
          <t>SAESA</t>
        </is>
      </c>
      <c r="I293" t="inlineStr">
        <is>
          <t>SAESACHIRREBLOQA</t>
        </is>
      </c>
      <c r="J293" t="inlineStr">
        <is>
          <t>CHIRRE</t>
        </is>
      </c>
      <c r="K293" t="n">
        <v>-2942.60149855</v>
      </c>
      <c r="L293" t="inlineStr">
        <is>
          <t>CHIRRE 23</t>
        </is>
      </c>
      <c r="M293" t="inlineStr">
        <is>
          <t>BARRO BLANCO</t>
        </is>
      </c>
      <c r="N293" t="n">
        <v>0.90362399609009</v>
      </c>
      <c r="O293" t="n">
        <v>2659.005325</v>
      </c>
      <c r="P293" t="inlineStr">
        <is>
          <t>BS1A</t>
        </is>
      </c>
      <c r="Q293" t="n">
        <v>2</v>
      </c>
      <c r="V293" t="n">
        <v>1472834.063</v>
      </c>
      <c r="W293" t="n">
        <v>2</v>
      </c>
      <c r="X293" t="n">
        <v>8.487e-08</v>
      </c>
      <c r="Y293" t="n">
        <v>0.249999</v>
      </c>
      <c r="Z293" t="n">
        <v>664.7486720000001</v>
      </c>
      <c r="AA293" t="inlineStr">
        <is>
          <t>PNP_6T_08-05-2020</t>
        </is>
      </c>
      <c r="AB293" t="inlineStr">
        <is>
          <t>PNCP_9T_12-08-2019</t>
        </is>
      </c>
      <c r="AC293" t="inlineStr">
        <is>
          <t>PNCP_4T_30-04-2013</t>
        </is>
      </c>
      <c r="AD293" t="inlineStr">
        <is>
          <t>Barro Blanco 220</t>
        </is>
      </c>
      <c r="AE293" t="n">
        <v>111.133</v>
      </c>
      <c r="AF293" t="n">
        <v>1.072776031070834</v>
      </c>
      <c r="AG293" t="n">
        <v>119.220818660995</v>
      </c>
      <c r="AH293" t="n">
        <v>694.38</v>
      </c>
      <c r="AI293" t="n">
        <v>0.875</v>
      </c>
      <c r="AJ293" t="n">
        <v>72.43648305409401</v>
      </c>
      <c r="AK293" t="n">
        <v>0.8631</v>
      </c>
      <c r="AL293" t="n">
        <v>62.52</v>
      </c>
      <c r="AM293" t="n">
        <v>8.9176</v>
      </c>
      <c r="AN293" t="n">
        <v>9.566587534677272</v>
      </c>
      <c r="AO293" t="n">
        <v>0.913</v>
      </c>
      <c r="AP293" t="n">
        <v>6064.919358776563</v>
      </c>
      <c r="AQ293" t="n">
        <v>1.004432825642191</v>
      </c>
      <c r="AR293" t="n">
        <v>6091.8041</v>
      </c>
      <c r="AS293" t="n">
        <v>41560.08697344</v>
      </c>
      <c r="AT293" t="inlineStr">
        <is>
          <t>PNP_16T_02-11-2020</t>
        </is>
      </c>
      <c r="AU293" t="inlineStr">
        <is>
          <t>PNCP_2T_10-02-2020</t>
        </is>
      </c>
      <c r="AV293" t="inlineStr">
        <is>
          <t>PNCP_4T_30-04-2013</t>
        </is>
      </c>
      <c r="AW293" t="inlineStr">
        <is>
          <t>Barro Blanco 220</t>
        </is>
      </c>
      <c r="AX293" t="n">
        <v>111.133</v>
      </c>
      <c r="AY293" t="n">
        <v>1.080821157758461</v>
      </c>
      <c r="AZ293" t="n">
        <v>120.1148977251711</v>
      </c>
      <c r="BA293" t="n">
        <v>779.3099999999999</v>
      </c>
      <c r="BB293" t="n">
        <v>0.879</v>
      </c>
      <c r="BC293" t="n">
        <v>82.2803252917125</v>
      </c>
      <c r="BD293" t="n">
        <v>0.846</v>
      </c>
      <c r="BE293" t="n">
        <v>69.60899999999999</v>
      </c>
      <c r="BF293" t="n">
        <v>8.9176</v>
      </c>
      <c r="BG293" t="n">
        <v>0.804</v>
      </c>
      <c r="BH293" t="n">
        <v>6039.043023599974</v>
      </c>
      <c r="BI293" t="n">
        <v>1.011820868379177</v>
      </c>
      <c r="BJ293" t="n">
        <v>6110.4298</v>
      </c>
      <c r="BK293" t="n">
        <v>46272.490309248</v>
      </c>
    </row>
    <row r="294">
      <c r="A294" t="n">
        <v>1237</v>
      </c>
      <c r="B294" t="inlineStr">
        <is>
          <t>01-10-2020</t>
        </is>
      </c>
      <c r="C294" t="n">
        <v>2020</v>
      </c>
      <c r="D294" t="n">
        <v>1</v>
      </c>
      <c r="E294" t="inlineStr">
        <is>
          <t>CAREN</t>
        </is>
      </c>
      <c r="F294" t="inlineStr">
        <is>
          <t>SUM_SAESA_A</t>
        </is>
      </c>
      <c r="G294" t="inlineStr">
        <is>
          <t>A</t>
        </is>
      </c>
      <c r="H294" t="inlineStr">
        <is>
          <t>SAESA</t>
        </is>
      </c>
      <c r="I294" t="inlineStr">
        <is>
          <t>SAESCHONBLOQA</t>
        </is>
      </c>
      <c r="J294" t="inlineStr">
        <is>
          <t>CHONCHI</t>
        </is>
      </c>
      <c r="K294" t="n">
        <v>-3730.28914074</v>
      </c>
      <c r="L294" t="inlineStr">
        <is>
          <t>CHONCHI</t>
        </is>
      </c>
      <c r="M294" t="inlineStr">
        <is>
          <t>CHILOE</t>
        </is>
      </c>
      <c r="N294" t="n">
        <v>0.79707666555781</v>
      </c>
      <c r="O294" t="n">
        <v>2973.32643</v>
      </c>
      <c r="P294" t="inlineStr">
        <is>
          <t>BS1A</t>
        </is>
      </c>
      <c r="Q294" t="n">
        <v>2</v>
      </c>
      <c r="V294" t="n">
        <v>1472834.063</v>
      </c>
      <c r="W294" t="n">
        <v>2</v>
      </c>
      <c r="X294" t="n">
        <v>8.487e-08</v>
      </c>
      <c r="Y294" t="n">
        <v>0.249999</v>
      </c>
      <c r="Z294" t="n">
        <v>743.328634</v>
      </c>
      <c r="AA294" t="inlineStr">
        <is>
          <t>PNP_6T_08-05-2020</t>
        </is>
      </c>
      <c r="AB294" t="inlineStr">
        <is>
          <t>PNCP_9T_12-08-2019</t>
        </is>
      </c>
      <c r="AC294" t="inlineStr">
        <is>
          <t>PNCP_4T_30-04-2013</t>
        </is>
      </c>
      <c r="AD294" t="inlineStr">
        <is>
          <t>CHILOE 220</t>
        </is>
      </c>
      <c r="AE294" t="n">
        <v>111.133</v>
      </c>
      <c r="AF294" t="n">
        <v>1.072776031070834</v>
      </c>
      <c r="AG294" t="n">
        <v>119.220818660995</v>
      </c>
      <c r="AH294" t="n">
        <v>694.38</v>
      </c>
      <c r="AI294" t="n">
        <v>0.875</v>
      </c>
      <c r="AJ294" t="n">
        <v>72.43648305409401</v>
      </c>
      <c r="AK294" t="n">
        <v>0.8903</v>
      </c>
      <c r="AL294" t="n">
        <v>64.48999999999999</v>
      </c>
      <c r="AM294" t="n">
        <v>8.9176</v>
      </c>
      <c r="AN294" t="n">
        <v>9.566587534677272</v>
      </c>
      <c r="AO294" t="n">
        <v>0.913</v>
      </c>
      <c r="AP294" t="n">
        <v>6064.919358776563</v>
      </c>
      <c r="AQ294" t="n">
        <v>1</v>
      </c>
      <c r="AR294" t="n">
        <v>6064.9194</v>
      </c>
      <c r="AS294" t="n">
        <v>47937.26360666</v>
      </c>
      <c r="AT294" t="inlineStr">
        <is>
          <t>PNP_16T_02-11-2020</t>
        </is>
      </c>
      <c r="AU294" t="inlineStr">
        <is>
          <t>PNCP_2T_10-02-2020</t>
        </is>
      </c>
      <c r="AV294" t="inlineStr">
        <is>
          <t>PNCP_4T_30-04-2013</t>
        </is>
      </c>
      <c r="AW294" t="inlineStr">
        <is>
          <t>CHILOE 220</t>
        </is>
      </c>
      <c r="AX294" t="n">
        <v>111.133</v>
      </c>
      <c r="AY294" t="n">
        <v>1.080821157758461</v>
      </c>
      <c r="AZ294" t="n">
        <v>120.1148977251711</v>
      </c>
      <c r="BA294" t="n">
        <v>779.3099999999999</v>
      </c>
      <c r="BB294" t="n">
        <v>0.879</v>
      </c>
      <c r="BC294" t="n">
        <v>82.2803252917125</v>
      </c>
      <c r="BD294" t="n">
        <v>0.8486</v>
      </c>
      <c r="BE294" t="n">
        <v>69.82299999999999</v>
      </c>
      <c r="BF294" t="n">
        <v>8.9176</v>
      </c>
      <c r="BG294" t="n">
        <v>0.804</v>
      </c>
      <c r="BH294" t="n">
        <v>6039.043023599974</v>
      </c>
      <c r="BI294" t="n">
        <v>1</v>
      </c>
      <c r="BJ294" t="n">
        <v>6039.043</v>
      </c>
      <c r="BK294" t="n">
        <v>51901.43521178199</v>
      </c>
    </row>
    <row r="295">
      <c r="A295" t="n">
        <v>1239</v>
      </c>
      <c r="B295" t="inlineStr">
        <is>
          <t>01-10-2020</t>
        </is>
      </c>
      <c r="C295" t="n">
        <v>2020</v>
      </c>
      <c r="D295" t="n">
        <v>1</v>
      </c>
      <c r="E295" t="inlineStr">
        <is>
          <t>CAREN</t>
        </is>
      </c>
      <c r="F295" t="inlineStr">
        <is>
          <t>SUM_SAESA_A</t>
        </is>
      </c>
      <c r="G295" t="inlineStr">
        <is>
          <t>A</t>
        </is>
      </c>
      <c r="H295" t="inlineStr">
        <is>
          <t>SAESA</t>
        </is>
      </c>
      <c r="I295" t="inlineStr">
        <is>
          <t>SAESCHONBLOQA</t>
        </is>
      </c>
      <c r="J295" t="inlineStr">
        <is>
          <t>CHONCHI</t>
        </is>
      </c>
      <c r="K295" t="n">
        <v>-3730.28914074</v>
      </c>
      <c r="L295" t="inlineStr">
        <is>
          <t>CHONCHI</t>
        </is>
      </c>
      <c r="M295" t="inlineStr">
        <is>
          <t>Puerto Montt</t>
        </is>
      </c>
      <c r="N295" t="n">
        <v>0.94243617275754</v>
      </c>
      <c r="O295" t="n">
        <v>3515.559421</v>
      </c>
      <c r="P295" t="inlineStr">
        <is>
          <t>BS1A</t>
        </is>
      </c>
      <c r="Q295" t="n">
        <v>2</v>
      </c>
      <c r="V295" t="n">
        <v>1472834.063</v>
      </c>
      <c r="W295" t="n">
        <v>2</v>
      </c>
      <c r="X295" t="n">
        <v>8.487e-08</v>
      </c>
      <c r="Y295" t="n">
        <v>0.249999</v>
      </c>
      <c r="Z295" t="n">
        <v>878.88634</v>
      </c>
      <c r="AA295" t="inlineStr">
        <is>
          <t>PNP_6T_08-05-2020</t>
        </is>
      </c>
      <c r="AB295" t="inlineStr">
        <is>
          <t>PNCP_9T_12-08-2019</t>
        </is>
      </c>
      <c r="AC295" t="inlineStr">
        <is>
          <t>PNCP_4T_30-04-2013</t>
        </is>
      </c>
      <c r="AD295" t="inlineStr">
        <is>
          <t>PUERTO MONTT 220</t>
        </is>
      </c>
      <c r="AE295" t="n">
        <v>111.133</v>
      </c>
      <c r="AF295" t="n">
        <v>1.072776031070834</v>
      </c>
      <c r="AG295" t="n">
        <v>119.220818660995</v>
      </c>
      <c r="AH295" t="n">
        <v>694.38</v>
      </c>
      <c r="AI295" t="n">
        <v>0.875</v>
      </c>
      <c r="AJ295" t="n">
        <v>72.43648305409401</v>
      </c>
      <c r="AK295" t="n">
        <v>0.8826000000000001</v>
      </c>
      <c r="AL295" t="n">
        <v>63.932</v>
      </c>
      <c r="AM295" t="n">
        <v>8.9176</v>
      </c>
      <c r="AN295" t="n">
        <v>9.566587534677272</v>
      </c>
      <c r="AO295" t="n">
        <v>0.913</v>
      </c>
      <c r="AP295" t="n">
        <v>6064.919358776563</v>
      </c>
      <c r="AQ295" t="n">
        <v>1.016858412119831</v>
      </c>
      <c r="AR295" t="n">
        <v>6167.1643</v>
      </c>
      <c r="AS295" t="n">
        <v>56188.96148888001</v>
      </c>
      <c r="AT295" t="inlineStr">
        <is>
          <t>PNP_16T_02-11-2020</t>
        </is>
      </c>
      <c r="AU295" t="inlineStr">
        <is>
          <t>PNCP_2T_10-02-2020</t>
        </is>
      </c>
      <c r="AV295" t="inlineStr">
        <is>
          <t>PNCP_4T_30-04-2013</t>
        </is>
      </c>
      <c r="AW295" t="inlineStr">
        <is>
          <t>PUERTO MONTT 220</t>
        </is>
      </c>
      <c r="AX295" t="n">
        <v>111.133</v>
      </c>
      <c r="AY295" t="n">
        <v>1.080821157758461</v>
      </c>
      <c r="AZ295" t="n">
        <v>120.1148977251711</v>
      </c>
      <c r="BA295" t="n">
        <v>779.3099999999999</v>
      </c>
      <c r="BB295" t="n">
        <v>0.879</v>
      </c>
      <c r="BC295" t="n">
        <v>82.2803252917125</v>
      </c>
      <c r="BD295" t="n">
        <v>0.8421</v>
      </c>
      <c r="BE295" t="n">
        <v>69.288</v>
      </c>
      <c r="BF295" t="n">
        <v>8.9176</v>
      </c>
      <c r="BG295" t="n">
        <v>0.804</v>
      </c>
      <c r="BH295" t="n">
        <v>6039.043023599974</v>
      </c>
      <c r="BI295" t="n">
        <v>1.02699624102973</v>
      </c>
      <c r="BJ295" t="n">
        <v>6202.0745</v>
      </c>
      <c r="BK295" t="n">
        <v>60896.27672592</v>
      </c>
    </row>
    <row r="296">
      <c r="A296" t="n">
        <v>1855</v>
      </c>
      <c r="B296" t="inlineStr">
        <is>
          <t>01-10-2020</t>
        </is>
      </c>
      <c r="C296" t="n">
        <v>2020</v>
      </c>
      <c r="D296" t="n">
        <v>1</v>
      </c>
      <c r="E296" t="inlineStr">
        <is>
          <t>CAREN</t>
        </is>
      </c>
      <c r="F296" t="inlineStr">
        <is>
          <t>SUM_SAESA_A</t>
        </is>
      </c>
      <c r="G296" t="inlineStr">
        <is>
          <t>A</t>
        </is>
      </c>
      <c r="H296" t="inlineStr">
        <is>
          <t>SAESA</t>
        </is>
      </c>
      <c r="I296" t="inlineStr">
        <is>
          <t>SAESCOLABLOQA</t>
        </is>
      </c>
      <c r="J296" t="inlineStr">
        <is>
          <t>COLACO</t>
        </is>
      </c>
      <c r="K296" t="n">
        <v>-2670.32196609</v>
      </c>
      <c r="L296" t="inlineStr">
        <is>
          <t>COLACO</t>
        </is>
      </c>
      <c r="M296" t="inlineStr">
        <is>
          <t>MELIPULLI</t>
        </is>
      </c>
      <c r="N296" t="n">
        <v>0.79699296539246</v>
      </c>
      <c r="O296" t="n">
        <v>2128.227822</v>
      </c>
      <c r="P296" t="inlineStr">
        <is>
          <t>BS1A</t>
        </is>
      </c>
      <c r="Q296" t="n">
        <v>2</v>
      </c>
      <c r="V296" t="n">
        <v>1472834.063</v>
      </c>
      <c r="W296" t="n">
        <v>2</v>
      </c>
      <c r="X296" t="n">
        <v>8.487e-08</v>
      </c>
      <c r="Y296" t="n">
        <v>0.249999</v>
      </c>
      <c r="Z296" t="n">
        <v>532.054827</v>
      </c>
      <c r="AA296" t="inlineStr">
        <is>
          <t>PNP_6T_08-05-2020</t>
        </is>
      </c>
      <c r="AB296" t="inlineStr">
        <is>
          <t>PNCP_9T_12-08-2019</t>
        </is>
      </c>
      <c r="AC296" t="inlineStr">
        <is>
          <t>PNCP_4T_30-04-2013</t>
        </is>
      </c>
      <c r="AD296" t="inlineStr">
        <is>
          <t>MELIPULLI 220</t>
        </is>
      </c>
      <c r="AE296" t="n">
        <v>111.133</v>
      </c>
      <c r="AF296" t="n">
        <v>1.072776031070834</v>
      </c>
      <c r="AG296" t="n">
        <v>119.220818660995</v>
      </c>
      <c r="AH296" t="n">
        <v>694.38</v>
      </c>
      <c r="AI296" t="n">
        <v>0.875</v>
      </c>
      <c r="AJ296" t="n">
        <v>72.43648305409401</v>
      </c>
      <c r="AK296" t="n">
        <v>0.8826000000000001</v>
      </c>
      <c r="AL296" t="n">
        <v>63.932</v>
      </c>
      <c r="AM296" t="n">
        <v>8.9176</v>
      </c>
      <c r="AN296" t="n">
        <v>9.566587534677272</v>
      </c>
      <c r="AO296" t="n">
        <v>0.913</v>
      </c>
      <c r="AP296" t="n">
        <v>6064.919358776563</v>
      </c>
      <c r="AQ296" t="n">
        <v>1</v>
      </c>
      <c r="AR296" t="n">
        <v>6064.9194</v>
      </c>
      <c r="AS296" t="n">
        <v>34015.329199764</v>
      </c>
      <c r="AT296" t="inlineStr">
        <is>
          <t>PNP_16T_02-11-2020</t>
        </is>
      </c>
      <c r="AU296" t="inlineStr">
        <is>
          <t>PNCP_2T_10-02-2020</t>
        </is>
      </c>
      <c r="AV296" t="inlineStr">
        <is>
          <t>PNCP_4T_30-04-2013</t>
        </is>
      </c>
      <c r="AW296" t="inlineStr">
        <is>
          <t>MELIPULLI 220</t>
        </is>
      </c>
      <c r="AX296" t="n">
        <v>111.133</v>
      </c>
      <c r="AY296" t="n">
        <v>1.080821157758461</v>
      </c>
      <c r="AZ296" t="n">
        <v>120.1148977251711</v>
      </c>
      <c r="BA296" t="n">
        <v>779.3099999999999</v>
      </c>
      <c r="BB296" t="n">
        <v>0.879</v>
      </c>
      <c r="BC296" t="n">
        <v>82.2803252917125</v>
      </c>
      <c r="BD296" t="n">
        <v>0.8421</v>
      </c>
      <c r="BE296" t="n">
        <v>69.288</v>
      </c>
      <c r="BF296" t="n">
        <v>8.9176</v>
      </c>
      <c r="BG296" t="n">
        <v>0.804</v>
      </c>
      <c r="BH296" t="n">
        <v>6039.043023599974</v>
      </c>
      <c r="BI296" t="n">
        <v>1</v>
      </c>
      <c r="BJ296" t="n">
        <v>6039.043</v>
      </c>
      <c r="BK296" t="n">
        <v>36865.014853176</v>
      </c>
    </row>
    <row r="297">
      <c r="A297" t="n">
        <v>1857</v>
      </c>
      <c r="B297" t="inlineStr">
        <is>
          <t>01-10-2020</t>
        </is>
      </c>
      <c r="C297" t="n">
        <v>2020</v>
      </c>
      <c r="D297" t="n">
        <v>1</v>
      </c>
      <c r="E297" t="inlineStr">
        <is>
          <t>CAREN</t>
        </is>
      </c>
      <c r="F297" t="inlineStr">
        <is>
          <t>SUM_SAESA_A</t>
        </is>
      </c>
      <c r="G297" t="inlineStr">
        <is>
          <t>A</t>
        </is>
      </c>
      <c r="H297" t="inlineStr">
        <is>
          <t>SAESA</t>
        </is>
      </c>
      <c r="I297" t="inlineStr">
        <is>
          <t>SAESCOLABLOQA</t>
        </is>
      </c>
      <c r="J297" t="inlineStr">
        <is>
          <t>COLACO</t>
        </is>
      </c>
      <c r="K297" t="n">
        <v>-2670.32196609</v>
      </c>
      <c r="L297" t="inlineStr">
        <is>
          <t>COLACO</t>
        </is>
      </c>
      <c r="M297" t="inlineStr">
        <is>
          <t>Puerto Montt</t>
        </is>
      </c>
      <c r="N297" t="n">
        <v>0.94243617275741</v>
      </c>
      <c r="O297" t="n">
        <v>2516.608014</v>
      </c>
      <c r="P297" t="inlineStr">
        <is>
          <t>BS1A</t>
        </is>
      </c>
      <c r="Q297" t="n">
        <v>2</v>
      </c>
      <c r="V297" t="n">
        <v>1472834.063</v>
      </c>
      <c r="W297" t="n">
        <v>2</v>
      </c>
      <c r="X297" t="n">
        <v>8.487e-08</v>
      </c>
      <c r="Y297" t="n">
        <v>0.249999</v>
      </c>
      <c r="Z297" t="n">
        <v>629.149487</v>
      </c>
      <c r="AA297" t="inlineStr">
        <is>
          <t>PNP_6T_08-05-2020</t>
        </is>
      </c>
      <c r="AB297" t="inlineStr">
        <is>
          <t>PNCP_9T_12-08-2019</t>
        </is>
      </c>
      <c r="AC297" t="inlineStr">
        <is>
          <t>PNCP_4T_30-04-2013</t>
        </is>
      </c>
      <c r="AD297" t="inlineStr">
        <is>
          <t>PUERTO MONTT 220</t>
        </is>
      </c>
      <c r="AE297" t="n">
        <v>111.133</v>
      </c>
      <c r="AF297" t="n">
        <v>1.072776031070834</v>
      </c>
      <c r="AG297" t="n">
        <v>119.220818660995</v>
      </c>
      <c r="AH297" t="n">
        <v>694.38</v>
      </c>
      <c r="AI297" t="n">
        <v>0.875</v>
      </c>
      <c r="AJ297" t="n">
        <v>72.43648305409401</v>
      </c>
      <c r="AK297" t="n">
        <v>0.8826000000000001</v>
      </c>
      <c r="AL297" t="n">
        <v>63.932</v>
      </c>
      <c r="AM297" t="n">
        <v>8.9176</v>
      </c>
      <c r="AN297" t="n">
        <v>9.566587534677272</v>
      </c>
      <c r="AO297" t="n">
        <v>0.913</v>
      </c>
      <c r="AP297" t="n">
        <v>6064.919358776563</v>
      </c>
      <c r="AQ297" t="n">
        <v>1.016858412119831</v>
      </c>
      <c r="AR297" t="n">
        <v>6167.1643</v>
      </c>
      <c r="AS297" t="n">
        <v>40222.785002884</v>
      </c>
      <c r="AT297" t="inlineStr">
        <is>
          <t>PNP_16T_02-11-2020</t>
        </is>
      </c>
      <c r="AU297" t="inlineStr">
        <is>
          <t>PNCP_2T_10-02-2020</t>
        </is>
      </c>
      <c r="AV297" t="inlineStr">
        <is>
          <t>PNCP_4T_30-04-2013</t>
        </is>
      </c>
      <c r="AW297" t="inlineStr">
        <is>
          <t>PUERTO MONTT 220</t>
        </is>
      </c>
      <c r="AX297" t="n">
        <v>111.133</v>
      </c>
      <c r="AY297" t="n">
        <v>1.080821157758461</v>
      </c>
      <c r="AZ297" t="n">
        <v>120.1148977251711</v>
      </c>
      <c r="BA297" t="n">
        <v>779.3099999999999</v>
      </c>
      <c r="BB297" t="n">
        <v>0.879</v>
      </c>
      <c r="BC297" t="n">
        <v>82.2803252917125</v>
      </c>
      <c r="BD297" t="n">
        <v>0.8421</v>
      </c>
      <c r="BE297" t="n">
        <v>69.288</v>
      </c>
      <c r="BF297" t="n">
        <v>8.9176</v>
      </c>
      <c r="BG297" t="n">
        <v>0.804</v>
      </c>
      <c r="BH297" t="n">
        <v>6039.043023599974</v>
      </c>
      <c r="BI297" t="n">
        <v>1.02699624102973</v>
      </c>
      <c r="BJ297" t="n">
        <v>6202.0745</v>
      </c>
      <c r="BK297" t="n">
        <v>43592.509655256</v>
      </c>
    </row>
    <row r="298">
      <c r="A298" t="n">
        <v>1859</v>
      </c>
      <c r="B298" t="inlineStr">
        <is>
          <t>01-10-2020</t>
        </is>
      </c>
      <c r="C298" t="n">
        <v>2020</v>
      </c>
      <c r="D298" t="n">
        <v>1</v>
      </c>
      <c r="E298" t="inlineStr">
        <is>
          <t>CAREN</t>
        </is>
      </c>
      <c r="F298" t="inlineStr">
        <is>
          <t>SUM_SAESA_A</t>
        </is>
      </c>
      <c r="G298" t="inlineStr">
        <is>
          <t>A</t>
        </is>
      </c>
      <c r="H298" t="inlineStr">
        <is>
          <t>SAESA</t>
        </is>
      </c>
      <c r="I298" t="inlineStr">
        <is>
          <t>SAESCOLABLOQA</t>
        </is>
      </c>
      <c r="J298" t="inlineStr">
        <is>
          <t>COLACO</t>
        </is>
      </c>
      <c r="K298" t="n">
        <v>-2670.32196609</v>
      </c>
      <c r="L298" t="inlineStr">
        <is>
          <t>COLACO</t>
        </is>
      </c>
      <c r="M298" t="inlineStr">
        <is>
          <t>VALDIVIA</t>
        </is>
      </c>
      <c r="N298" t="n">
        <v>4.787859128e-05</v>
      </c>
      <c r="O298" t="n">
        <v>0.127851</v>
      </c>
      <c r="P298" t="inlineStr">
        <is>
          <t>BS1A</t>
        </is>
      </c>
      <c r="Q298" t="n">
        <v>2</v>
      </c>
      <c r="V298" t="n">
        <v>1472834.063</v>
      </c>
      <c r="W298" t="n">
        <v>2</v>
      </c>
      <c r="X298" t="n">
        <v>8.487e-08</v>
      </c>
      <c r="Y298" t="n">
        <v>0.249999</v>
      </c>
      <c r="Z298" t="n">
        <v>0.031963</v>
      </c>
      <c r="AA298" t="inlineStr">
        <is>
          <t>PNP_6T_08-05-2020</t>
        </is>
      </c>
      <c r="AB298" t="inlineStr">
        <is>
          <t>PNCP_9T_12-08-2019</t>
        </is>
      </c>
      <c r="AC298" t="inlineStr">
        <is>
          <t>PNCP_4T_30-04-2013</t>
        </is>
      </c>
      <c r="AD298" t="inlineStr">
        <is>
          <t>VALDIVIA 220</t>
        </is>
      </c>
      <c r="AE298" t="n">
        <v>111.133</v>
      </c>
      <c r="AF298" t="n">
        <v>1.072776031070834</v>
      </c>
      <c r="AG298" t="n">
        <v>119.220818660995</v>
      </c>
      <c r="AH298" t="n">
        <v>694.38</v>
      </c>
      <c r="AI298" t="n">
        <v>0.875</v>
      </c>
      <c r="AJ298" t="n">
        <v>72.43648305409401</v>
      </c>
      <c r="AK298" t="n">
        <v>0.913</v>
      </c>
      <c r="AL298" t="n">
        <v>66.13500000000001</v>
      </c>
      <c r="AM298" t="n">
        <v>8.9176</v>
      </c>
      <c r="AN298" t="n">
        <v>9.566587534677272</v>
      </c>
      <c r="AO298" t="n">
        <v>0.913</v>
      </c>
      <c r="AP298" t="n">
        <v>6064.919358776563</v>
      </c>
      <c r="AQ298" t="n">
        <v>1.051287819142954</v>
      </c>
      <c r="AR298" t="n">
        <v>6375.9758</v>
      </c>
      <c r="AS298" t="n">
        <v>2.113873005</v>
      </c>
      <c r="AT298" t="inlineStr">
        <is>
          <t>PNP_16T_02-11-2020</t>
        </is>
      </c>
      <c r="AU298" t="inlineStr">
        <is>
          <t>PNCP_2T_10-02-2020</t>
        </is>
      </c>
      <c r="AV298" t="inlineStr">
        <is>
          <t>PNCP_4T_30-04-2013</t>
        </is>
      </c>
      <c r="AW298" t="inlineStr">
        <is>
          <t>VALDIVIA 220</t>
        </is>
      </c>
      <c r="AX298" t="n">
        <v>111.133</v>
      </c>
      <c r="AY298" t="n">
        <v>1.080821157758461</v>
      </c>
      <c r="AZ298" t="n">
        <v>120.1148977251711</v>
      </c>
      <c r="BA298" t="n">
        <v>779.3099999999999</v>
      </c>
      <c r="BB298" t="n">
        <v>0.879</v>
      </c>
      <c r="BC298" t="n">
        <v>82.2803252917125</v>
      </c>
      <c r="BD298" t="n">
        <v>0.9167</v>
      </c>
      <c r="BE298" t="n">
        <v>75.426</v>
      </c>
      <c r="BF298" t="n">
        <v>8.9176</v>
      </c>
      <c r="BG298" t="n">
        <v>0.804</v>
      </c>
      <c r="BH298" t="n">
        <v>6039.043023599974</v>
      </c>
      <c r="BI298" t="n">
        <v>1.096052187605444</v>
      </c>
      <c r="BJ298" t="n">
        <v>6619.1063</v>
      </c>
      <c r="BK298" t="n">
        <v>2.410841238</v>
      </c>
    </row>
    <row r="299">
      <c r="A299" t="n">
        <v>1855</v>
      </c>
      <c r="B299" t="inlineStr">
        <is>
          <t>01-10-2020</t>
        </is>
      </c>
      <c r="C299" t="n">
        <v>2020</v>
      </c>
      <c r="D299" t="n">
        <v>1</v>
      </c>
      <c r="E299" t="inlineStr">
        <is>
          <t>CAREN</t>
        </is>
      </c>
      <c r="F299" t="inlineStr">
        <is>
          <t>SUM_SAESA_A</t>
        </is>
      </c>
      <c r="G299" t="inlineStr">
        <is>
          <t>A</t>
        </is>
      </c>
      <c r="H299" t="inlineStr">
        <is>
          <t>SAESA</t>
        </is>
      </c>
      <c r="I299" t="inlineStr">
        <is>
          <t>SAESCORRBLOQA</t>
        </is>
      </c>
      <c r="J299" t="inlineStr">
        <is>
          <t>CORRAL</t>
        </is>
      </c>
      <c r="K299" t="n">
        <v>-986.40764705</v>
      </c>
      <c r="L299" t="inlineStr">
        <is>
          <t>CORRAL</t>
        </is>
      </c>
      <c r="M299" t="inlineStr">
        <is>
          <t>BARRO BLANCO</t>
        </is>
      </c>
      <c r="N299" t="n">
        <v>0.04422460710479</v>
      </c>
      <c r="O299" t="n">
        <v>43.623491</v>
      </c>
      <c r="P299" t="inlineStr">
        <is>
          <t>BS1A</t>
        </is>
      </c>
      <c r="Q299" t="n">
        <v>2</v>
      </c>
      <c r="V299" t="n">
        <v>1472834.063</v>
      </c>
      <c r="W299" t="n">
        <v>2</v>
      </c>
      <c r="X299" t="n">
        <v>8.487e-08</v>
      </c>
      <c r="Y299" t="n">
        <v>0.249999</v>
      </c>
      <c r="Z299" t="n">
        <v>10.905829</v>
      </c>
      <c r="AA299" t="inlineStr">
        <is>
          <t>PNP_6T_08-05-2020</t>
        </is>
      </c>
      <c r="AB299" t="inlineStr">
        <is>
          <t>PNCP_9T_12-08-2019</t>
        </is>
      </c>
      <c r="AC299" t="inlineStr">
        <is>
          <t>PNCP_4T_30-04-2013</t>
        </is>
      </c>
      <c r="AD299" t="inlineStr">
        <is>
          <t>Barro Blanco 220</t>
        </is>
      </c>
      <c r="AE299" t="n">
        <v>111.133</v>
      </c>
      <c r="AF299" t="n">
        <v>1.072776031070834</v>
      </c>
      <c r="AG299" t="n">
        <v>119.220818660995</v>
      </c>
      <c r="AH299" t="n">
        <v>694.38</v>
      </c>
      <c r="AI299" t="n">
        <v>0.875</v>
      </c>
      <c r="AJ299" t="n">
        <v>72.43648305409401</v>
      </c>
      <c r="AK299" t="n">
        <v>0.8631</v>
      </c>
      <c r="AL299" t="n">
        <v>62.52</v>
      </c>
      <c r="AM299" t="n">
        <v>8.9176</v>
      </c>
      <c r="AN299" t="n">
        <v>9.566587534677272</v>
      </c>
      <c r="AO299" t="n">
        <v>0.913</v>
      </c>
      <c r="AP299" t="n">
        <v>6064.919358776563</v>
      </c>
      <c r="AQ299" t="n">
        <v>1.004432825642191</v>
      </c>
      <c r="AR299" t="n">
        <v>6091.8041</v>
      </c>
      <c r="AS299" t="n">
        <v>681.8324290800001</v>
      </c>
      <c r="AT299" t="inlineStr">
        <is>
          <t>PNP_16T_02-11-2020</t>
        </is>
      </c>
      <c r="AU299" t="inlineStr">
        <is>
          <t>PNCP_2T_10-02-2020</t>
        </is>
      </c>
      <c r="AV299" t="inlineStr">
        <is>
          <t>PNCP_4T_30-04-2013</t>
        </is>
      </c>
      <c r="AW299" t="inlineStr">
        <is>
          <t>Barro Blanco 220</t>
        </is>
      </c>
      <c r="AX299" t="n">
        <v>111.133</v>
      </c>
      <c r="AY299" t="n">
        <v>1.080821157758461</v>
      </c>
      <c r="AZ299" t="n">
        <v>120.1148977251711</v>
      </c>
      <c r="BA299" t="n">
        <v>779.3099999999999</v>
      </c>
      <c r="BB299" t="n">
        <v>0.879</v>
      </c>
      <c r="BC299" t="n">
        <v>82.2803252917125</v>
      </c>
      <c r="BD299" t="n">
        <v>0.846</v>
      </c>
      <c r="BE299" t="n">
        <v>69.60899999999999</v>
      </c>
      <c r="BF299" t="n">
        <v>8.9176</v>
      </c>
      <c r="BG299" t="n">
        <v>0.804</v>
      </c>
      <c r="BH299" t="n">
        <v>6039.043023599974</v>
      </c>
      <c r="BI299" t="n">
        <v>1.011820868379177</v>
      </c>
      <c r="BJ299" t="n">
        <v>6110.4298</v>
      </c>
      <c r="BK299" t="n">
        <v>759.143850861</v>
      </c>
    </row>
    <row r="300">
      <c r="A300" t="n">
        <v>1857</v>
      </c>
      <c r="B300" t="inlineStr">
        <is>
          <t>01-10-2020</t>
        </is>
      </c>
      <c r="C300" t="n">
        <v>2020</v>
      </c>
      <c r="D300" t="n">
        <v>1</v>
      </c>
      <c r="E300" t="inlineStr">
        <is>
          <t>CAREN</t>
        </is>
      </c>
      <c r="F300" t="inlineStr">
        <is>
          <t>SUM_SAESA_A</t>
        </is>
      </c>
      <c r="G300" t="inlineStr">
        <is>
          <t>A</t>
        </is>
      </c>
      <c r="H300" t="inlineStr">
        <is>
          <t>SAESA</t>
        </is>
      </c>
      <c r="I300" t="inlineStr">
        <is>
          <t>SAESCORRBLOQA</t>
        </is>
      </c>
      <c r="J300" t="inlineStr">
        <is>
          <t>CORRAL</t>
        </is>
      </c>
      <c r="K300" t="n">
        <v>-986.40764705</v>
      </c>
      <c r="L300" t="inlineStr">
        <is>
          <t>CORRAL</t>
        </is>
      </c>
      <c r="M300" t="inlineStr">
        <is>
          <t>MELIPULLI</t>
        </is>
      </c>
      <c r="N300" t="n">
        <v>0.00149371242326</v>
      </c>
      <c r="O300" t="n">
        <v>1.473409</v>
      </c>
      <c r="P300" t="inlineStr">
        <is>
          <t>BS1A</t>
        </is>
      </c>
      <c r="Q300" t="n">
        <v>2</v>
      </c>
      <c r="V300" t="n">
        <v>1472834.063</v>
      </c>
      <c r="W300" t="n">
        <v>2</v>
      </c>
      <c r="X300" t="n">
        <v>8.487e-08</v>
      </c>
      <c r="Y300" t="n">
        <v>0.249999</v>
      </c>
      <c r="Z300" t="n">
        <v>0.368351</v>
      </c>
      <c r="AA300" t="inlineStr">
        <is>
          <t>PNP_6T_08-05-2020</t>
        </is>
      </c>
      <c r="AB300" t="inlineStr">
        <is>
          <t>PNCP_9T_12-08-2019</t>
        </is>
      </c>
      <c r="AC300" t="inlineStr">
        <is>
          <t>PNCP_4T_30-04-2013</t>
        </is>
      </c>
      <c r="AD300" t="inlineStr">
        <is>
          <t>MELIPULLI 220</t>
        </is>
      </c>
      <c r="AE300" t="n">
        <v>111.133</v>
      </c>
      <c r="AF300" t="n">
        <v>1.072776031070834</v>
      </c>
      <c r="AG300" t="n">
        <v>119.220818660995</v>
      </c>
      <c r="AH300" t="n">
        <v>694.38</v>
      </c>
      <c r="AI300" t="n">
        <v>0.875</v>
      </c>
      <c r="AJ300" t="n">
        <v>72.43648305409401</v>
      </c>
      <c r="AK300" t="n">
        <v>0.8826000000000001</v>
      </c>
      <c r="AL300" t="n">
        <v>63.932</v>
      </c>
      <c r="AM300" t="n">
        <v>8.9176</v>
      </c>
      <c r="AN300" t="n">
        <v>9.566587534677272</v>
      </c>
      <c r="AO300" t="n">
        <v>0.913</v>
      </c>
      <c r="AP300" t="n">
        <v>6064.919358776563</v>
      </c>
      <c r="AQ300" t="n">
        <v>1</v>
      </c>
      <c r="AR300" t="n">
        <v>6064.9194</v>
      </c>
      <c r="AS300" t="n">
        <v>23.549416132</v>
      </c>
      <c r="AT300" t="inlineStr">
        <is>
          <t>PNP_16T_02-11-2020</t>
        </is>
      </c>
      <c r="AU300" t="inlineStr">
        <is>
          <t>PNCP_2T_10-02-2020</t>
        </is>
      </c>
      <c r="AV300" t="inlineStr">
        <is>
          <t>PNCP_4T_30-04-2013</t>
        </is>
      </c>
      <c r="AW300" t="inlineStr">
        <is>
          <t>MELIPULLI 220</t>
        </is>
      </c>
      <c r="AX300" t="n">
        <v>111.133</v>
      </c>
      <c r="AY300" t="n">
        <v>1.080821157758461</v>
      </c>
      <c r="AZ300" t="n">
        <v>120.1148977251711</v>
      </c>
      <c r="BA300" t="n">
        <v>779.3099999999999</v>
      </c>
      <c r="BB300" t="n">
        <v>0.879</v>
      </c>
      <c r="BC300" t="n">
        <v>82.2803252917125</v>
      </c>
      <c r="BD300" t="n">
        <v>0.8421</v>
      </c>
      <c r="BE300" t="n">
        <v>69.288</v>
      </c>
      <c r="BF300" t="n">
        <v>8.9176</v>
      </c>
      <c r="BG300" t="n">
        <v>0.804</v>
      </c>
      <c r="BH300" t="n">
        <v>6039.043023599974</v>
      </c>
      <c r="BI300" t="n">
        <v>1</v>
      </c>
      <c r="BJ300" t="n">
        <v>6039.043</v>
      </c>
      <c r="BK300" t="n">
        <v>25.522304088</v>
      </c>
    </row>
    <row r="301">
      <c r="A301" t="n">
        <v>1859</v>
      </c>
      <c r="B301" t="inlineStr">
        <is>
          <t>01-10-2020</t>
        </is>
      </c>
      <c r="C301" t="n">
        <v>2020</v>
      </c>
      <c r="D301" t="n">
        <v>1</v>
      </c>
      <c r="E301" t="inlineStr">
        <is>
          <t>CAREN</t>
        </is>
      </c>
      <c r="F301" t="inlineStr">
        <is>
          <t>SUM_SAESA_A</t>
        </is>
      </c>
      <c r="G301" t="inlineStr">
        <is>
          <t>A</t>
        </is>
      </c>
      <c r="H301" t="inlineStr">
        <is>
          <t>SAESA</t>
        </is>
      </c>
      <c r="I301" t="inlineStr">
        <is>
          <t>SAESCORRBLOQA</t>
        </is>
      </c>
      <c r="J301" t="inlineStr">
        <is>
          <t>CORRAL</t>
        </is>
      </c>
      <c r="K301" t="n">
        <v>-986.40764705</v>
      </c>
      <c r="L301" t="inlineStr">
        <is>
          <t>CORRAL</t>
        </is>
      </c>
      <c r="M301" t="inlineStr">
        <is>
          <t>VALDIVIA</t>
        </is>
      </c>
      <c r="N301" t="n">
        <v>0.81710771051722</v>
      </c>
      <c r="O301" t="n">
        <v>806.001294</v>
      </c>
      <c r="P301" t="inlineStr">
        <is>
          <t>BS1A</t>
        </is>
      </c>
      <c r="Q301" t="n">
        <v>2</v>
      </c>
      <c r="V301" t="n">
        <v>1472834.063</v>
      </c>
      <c r="W301" t="n">
        <v>2</v>
      </c>
      <c r="X301" t="n">
        <v>8.487e-08</v>
      </c>
      <c r="Y301" t="n">
        <v>0.249999</v>
      </c>
      <c r="Z301" t="n">
        <v>201.499517</v>
      </c>
      <c r="AA301" t="inlineStr">
        <is>
          <t>PNP_6T_08-05-2020</t>
        </is>
      </c>
      <c r="AB301" t="inlineStr">
        <is>
          <t>PNCP_9T_12-08-2019</t>
        </is>
      </c>
      <c r="AC301" t="inlineStr">
        <is>
          <t>PNCP_4T_30-04-2013</t>
        </is>
      </c>
      <c r="AD301" t="inlineStr">
        <is>
          <t>VALDIVIA 220</t>
        </is>
      </c>
      <c r="AE301" t="n">
        <v>111.133</v>
      </c>
      <c r="AF301" t="n">
        <v>1.072776031070834</v>
      </c>
      <c r="AG301" t="n">
        <v>119.220818660995</v>
      </c>
      <c r="AH301" t="n">
        <v>694.38</v>
      </c>
      <c r="AI301" t="n">
        <v>0.875</v>
      </c>
      <c r="AJ301" t="n">
        <v>72.43648305409401</v>
      </c>
      <c r="AK301" t="n">
        <v>0.913</v>
      </c>
      <c r="AL301" t="n">
        <v>66.13500000000001</v>
      </c>
      <c r="AM301" t="n">
        <v>8.9176</v>
      </c>
      <c r="AN301" t="n">
        <v>9.566587534677272</v>
      </c>
      <c r="AO301" t="n">
        <v>0.913</v>
      </c>
      <c r="AP301" t="n">
        <v>6064.919358776563</v>
      </c>
      <c r="AQ301" t="n">
        <v>1.051287819142954</v>
      </c>
      <c r="AR301" t="n">
        <v>6375.9758</v>
      </c>
      <c r="AS301" t="n">
        <v>13326.170556795</v>
      </c>
      <c r="AT301" t="inlineStr">
        <is>
          <t>PNP_16T_02-11-2020</t>
        </is>
      </c>
      <c r="AU301" t="inlineStr">
        <is>
          <t>PNCP_2T_10-02-2020</t>
        </is>
      </c>
      <c r="AV301" t="inlineStr">
        <is>
          <t>PNCP_4T_30-04-2013</t>
        </is>
      </c>
      <c r="AW301" t="inlineStr">
        <is>
          <t>VALDIVIA 220</t>
        </is>
      </c>
      <c r="AX301" t="n">
        <v>111.133</v>
      </c>
      <c r="AY301" t="n">
        <v>1.080821157758461</v>
      </c>
      <c r="AZ301" t="n">
        <v>120.1148977251711</v>
      </c>
      <c r="BA301" t="n">
        <v>779.3099999999999</v>
      </c>
      <c r="BB301" t="n">
        <v>0.879</v>
      </c>
      <c r="BC301" t="n">
        <v>82.2803252917125</v>
      </c>
      <c r="BD301" t="n">
        <v>0.9167</v>
      </c>
      <c r="BE301" t="n">
        <v>75.426</v>
      </c>
      <c r="BF301" t="n">
        <v>8.9176</v>
      </c>
      <c r="BG301" t="n">
        <v>0.804</v>
      </c>
      <c r="BH301" t="n">
        <v>6039.043023599974</v>
      </c>
      <c r="BI301" t="n">
        <v>1.096052187605444</v>
      </c>
      <c r="BJ301" t="n">
        <v>6619.1063</v>
      </c>
      <c r="BK301" t="n">
        <v>15198.302569242</v>
      </c>
    </row>
    <row r="302">
      <c r="A302" t="n">
        <v>619</v>
      </c>
      <c r="B302" t="inlineStr">
        <is>
          <t>01-10-2020</t>
        </is>
      </c>
      <c r="C302" t="n">
        <v>2020</v>
      </c>
      <c r="D302" t="n">
        <v>1</v>
      </c>
      <c r="E302" t="inlineStr">
        <is>
          <t>CAREN</t>
        </is>
      </c>
      <c r="F302" t="inlineStr">
        <is>
          <t>SUM_SAESA_A</t>
        </is>
      </c>
      <c r="G302" t="inlineStr">
        <is>
          <t>A</t>
        </is>
      </c>
      <c r="H302" t="inlineStr">
        <is>
          <t>SAESA</t>
        </is>
      </c>
      <c r="I302" t="inlineStr">
        <is>
          <t>SAESDALCBLOQA</t>
        </is>
      </c>
      <c r="J302" t="inlineStr">
        <is>
          <t>DALCAHUE</t>
        </is>
      </c>
      <c r="K302" t="n">
        <v>-4642.62840484</v>
      </c>
      <c r="L302" t="inlineStr">
        <is>
          <t>DALCAHUE</t>
        </is>
      </c>
      <c r="M302" t="inlineStr">
        <is>
          <t>CHILOE</t>
        </is>
      </c>
      <c r="N302" t="n">
        <v>0.80502839238442</v>
      </c>
      <c r="O302" t="n">
        <v>3737.447681</v>
      </c>
      <c r="P302" t="inlineStr">
        <is>
          <t>BS1A</t>
        </is>
      </c>
      <c r="Q302" t="n">
        <v>2</v>
      </c>
      <c r="V302" t="n">
        <v>1472834.063</v>
      </c>
      <c r="W302" t="n">
        <v>2</v>
      </c>
      <c r="X302" t="n">
        <v>8.487e-08</v>
      </c>
      <c r="Y302" t="n">
        <v>0.249999</v>
      </c>
      <c r="Z302" t="n">
        <v>934.3581830000001</v>
      </c>
      <c r="AA302" t="inlineStr">
        <is>
          <t>PNP_6T_08-05-2020</t>
        </is>
      </c>
      <c r="AB302" t="inlineStr">
        <is>
          <t>PNCP_9T_12-08-2019</t>
        </is>
      </c>
      <c r="AC302" t="inlineStr">
        <is>
          <t>PNCP_4T_30-04-2013</t>
        </is>
      </c>
      <c r="AD302" t="inlineStr">
        <is>
          <t>CHILOE 220</t>
        </is>
      </c>
      <c r="AE302" t="n">
        <v>111.133</v>
      </c>
      <c r="AF302" t="n">
        <v>1.072776031070834</v>
      </c>
      <c r="AG302" t="n">
        <v>119.220818660995</v>
      </c>
      <c r="AH302" t="n">
        <v>694.38</v>
      </c>
      <c r="AI302" t="n">
        <v>0.875</v>
      </c>
      <c r="AJ302" t="n">
        <v>72.43648305409401</v>
      </c>
      <c r="AK302" t="n">
        <v>0.8903</v>
      </c>
      <c r="AL302" t="n">
        <v>64.48999999999999</v>
      </c>
      <c r="AM302" t="n">
        <v>8.9176</v>
      </c>
      <c r="AN302" t="n">
        <v>9.566587534677272</v>
      </c>
      <c r="AO302" t="n">
        <v>0.913</v>
      </c>
      <c r="AP302" t="n">
        <v>6064.919358776563</v>
      </c>
      <c r="AQ302" t="n">
        <v>1</v>
      </c>
      <c r="AR302" t="n">
        <v>6064.9194</v>
      </c>
      <c r="AS302" t="n">
        <v>60256.75922167</v>
      </c>
      <c r="AT302" t="inlineStr">
        <is>
          <t>PNP_16T_02-11-2020</t>
        </is>
      </c>
      <c r="AU302" t="inlineStr">
        <is>
          <t>PNCP_2T_10-02-2020</t>
        </is>
      </c>
      <c r="AV302" t="inlineStr">
        <is>
          <t>PNCP_4T_30-04-2013</t>
        </is>
      </c>
      <c r="AW302" t="inlineStr">
        <is>
          <t>CHILOE 220</t>
        </is>
      </c>
      <c r="AX302" t="n">
        <v>111.133</v>
      </c>
      <c r="AY302" t="n">
        <v>1.080821157758461</v>
      </c>
      <c r="AZ302" t="n">
        <v>120.1148977251711</v>
      </c>
      <c r="BA302" t="n">
        <v>779.3099999999999</v>
      </c>
      <c r="BB302" t="n">
        <v>0.879</v>
      </c>
      <c r="BC302" t="n">
        <v>82.2803252917125</v>
      </c>
      <c r="BD302" t="n">
        <v>0.8486</v>
      </c>
      <c r="BE302" t="n">
        <v>69.82299999999999</v>
      </c>
      <c r="BF302" t="n">
        <v>8.9176</v>
      </c>
      <c r="BG302" t="n">
        <v>0.804</v>
      </c>
      <c r="BH302" t="n">
        <v>6039.043023599974</v>
      </c>
      <c r="BI302" t="n">
        <v>1</v>
      </c>
      <c r="BJ302" t="n">
        <v>6039.043</v>
      </c>
      <c r="BK302" t="n">
        <v>65239.691411609</v>
      </c>
    </row>
    <row r="303">
      <c r="A303" t="n">
        <v>1237</v>
      </c>
      <c r="B303" t="inlineStr">
        <is>
          <t>01-10-2020</t>
        </is>
      </c>
      <c r="C303" t="n">
        <v>2020</v>
      </c>
      <c r="D303" t="n">
        <v>1</v>
      </c>
      <c r="E303" t="inlineStr">
        <is>
          <t>CAREN</t>
        </is>
      </c>
      <c r="F303" t="inlineStr">
        <is>
          <t>SUM_SAESA_A</t>
        </is>
      </c>
      <c r="G303" t="inlineStr">
        <is>
          <t>A</t>
        </is>
      </c>
      <c r="H303" t="inlineStr">
        <is>
          <t>SAESA</t>
        </is>
      </c>
      <c r="I303" t="inlineStr">
        <is>
          <t>SAESDEGABLOQA</t>
        </is>
      </c>
      <c r="J303" t="inlineStr">
        <is>
          <t>DEGAÑ</t>
        </is>
      </c>
      <c r="K303" t="n">
        <v>-1520.70606112</v>
      </c>
      <c r="L303" t="inlineStr">
        <is>
          <t>DEGAÑ</t>
        </is>
      </c>
      <c r="M303" t="inlineStr">
        <is>
          <t>CHILOE</t>
        </is>
      </c>
      <c r="N303" t="n">
        <v>0.79707666555721</v>
      </c>
      <c r="O303" t="n">
        <v>1212.119316</v>
      </c>
      <c r="P303" t="inlineStr">
        <is>
          <t>BS1A</t>
        </is>
      </c>
      <c r="Q303" t="n">
        <v>2</v>
      </c>
      <c r="V303" t="n">
        <v>1472834.063</v>
      </c>
      <c r="W303" t="n">
        <v>2</v>
      </c>
      <c r="X303" t="n">
        <v>8.487e-08</v>
      </c>
      <c r="Y303" t="n">
        <v>0.249999</v>
      </c>
      <c r="Z303" t="n">
        <v>303.028617</v>
      </c>
      <c r="AA303" t="inlineStr">
        <is>
          <t>PNP_6T_08-05-2020</t>
        </is>
      </c>
      <c r="AB303" t="inlineStr">
        <is>
          <t>PNCP_9T_12-08-2019</t>
        </is>
      </c>
      <c r="AC303" t="inlineStr">
        <is>
          <t>PNCP_4T_30-04-2013</t>
        </is>
      </c>
      <c r="AD303" t="inlineStr">
        <is>
          <t>CHILOE 220</t>
        </is>
      </c>
      <c r="AE303" t="n">
        <v>111.133</v>
      </c>
      <c r="AF303" t="n">
        <v>1.072776031070834</v>
      </c>
      <c r="AG303" t="n">
        <v>119.220818660995</v>
      </c>
      <c r="AH303" t="n">
        <v>694.38</v>
      </c>
      <c r="AI303" t="n">
        <v>0.875</v>
      </c>
      <c r="AJ303" t="n">
        <v>72.43648305409401</v>
      </c>
      <c r="AK303" t="n">
        <v>0.8903</v>
      </c>
      <c r="AL303" t="n">
        <v>64.48999999999999</v>
      </c>
      <c r="AM303" t="n">
        <v>8.9176</v>
      </c>
      <c r="AN303" t="n">
        <v>9.566587534677272</v>
      </c>
      <c r="AO303" t="n">
        <v>0.913</v>
      </c>
      <c r="AP303" t="n">
        <v>6064.919358776563</v>
      </c>
      <c r="AQ303" t="n">
        <v>1</v>
      </c>
      <c r="AR303" t="n">
        <v>6064.9194</v>
      </c>
      <c r="AS303" t="n">
        <v>19542.31551033</v>
      </c>
      <c r="AT303" t="inlineStr">
        <is>
          <t>PNP_16T_02-11-2020</t>
        </is>
      </c>
      <c r="AU303" t="inlineStr">
        <is>
          <t>PNCP_2T_10-02-2020</t>
        </is>
      </c>
      <c r="AV303" t="inlineStr">
        <is>
          <t>PNCP_4T_30-04-2013</t>
        </is>
      </c>
      <c r="AW303" t="inlineStr">
        <is>
          <t>CHILOE 220</t>
        </is>
      </c>
      <c r="AX303" t="n">
        <v>111.133</v>
      </c>
      <c r="AY303" t="n">
        <v>1.080821157758461</v>
      </c>
      <c r="AZ303" t="n">
        <v>120.1148977251711</v>
      </c>
      <c r="BA303" t="n">
        <v>779.3099999999999</v>
      </c>
      <c r="BB303" t="n">
        <v>0.879</v>
      </c>
      <c r="BC303" t="n">
        <v>82.2803252917125</v>
      </c>
      <c r="BD303" t="n">
        <v>0.8486</v>
      </c>
      <c r="BE303" t="n">
        <v>69.82299999999999</v>
      </c>
      <c r="BF303" t="n">
        <v>8.9176</v>
      </c>
      <c r="BG303" t="n">
        <v>0.804</v>
      </c>
      <c r="BH303" t="n">
        <v>6039.043023599974</v>
      </c>
      <c r="BI303" t="n">
        <v>1</v>
      </c>
      <c r="BJ303" t="n">
        <v>6039.043</v>
      </c>
      <c r="BK303" t="n">
        <v>21158.367124791</v>
      </c>
    </row>
    <row r="304">
      <c r="A304" t="n">
        <v>1239</v>
      </c>
      <c r="B304" t="inlineStr">
        <is>
          <t>01-10-2020</t>
        </is>
      </c>
      <c r="C304" t="n">
        <v>2020</v>
      </c>
      <c r="D304" t="n">
        <v>1</v>
      </c>
      <c r="E304" t="inlineStr">
        <is>
          <t>CAREN</t>
        </is>
      </c>
      <c r="F304" t="inlineStr">
        <is>
          <t>SUM_SAESA_A</t>
        </is>
      </c>
      <c r="G304" t="inlineStr">
        <is>
          <t>A</t>
        </is>
      </c>
      <c r="H304" t="inlineStr">
        <is>
          <t>SAESA</t>
        </is>
      </c>
      <c r="I304" t="inlineStr">
        <is>
          <t>SAESDEGABLOQA</t>
        </is>
      </c>
      <c r="J304" t="inlineStr">
        <is>
          <t>DEGAÑ</t>
        </is>
      </c>
      <c r="K304" t="n">
        <v>-1520.70606112</v>
      </c>
      <c r="L304" t="inlineStr">
        <is>
          <t>DEGAÑ</t>
        </is>
      </c>
      <c r="M304" t="inlineStr">
        <is>
          <t>Puerto Montt</t>
        </is>
      </c>
      <c r="N304" t="n">
        <v>0.94243617275767</v>
      </c>
      <c r="O304" t="n">
        <v>1433.1684</v>
      </c>
      <c r="P304" t="inlineStr">
        <is>
          <t>BS1A</t>
        </is>
      </c>
      <c r="Q304" t="n">
        <v>2</v>
      </c>
      <c r="V304" t="n">
        <v>1472834.063</v>
      </c>
      <c r="W304" t="n">
        <v>2</v>
      </c>
      <c r="X304" t="n">
        <v>8.487e-08</v>
      </c>
      <c r="Y304" t="n">
        <v>0.249999</v>
      </c>
      <c r="Z304" t="n">
        <v>358.290667</v>
      </c>
      <c r="AA304" t="inlineStr">
        <is>
          <t>PNP_6T_08-05-2020</t>
        </is>
      </c>
      <c r="AB304" t="inlineStr">
        <is>
          <t>PNCP_9T_12-08-2019</t>
        </is>
      </c>
      <c r="AC304" t="inlineStr">
        <is>
          <t>PNCP_4T_30-04-2013</t>
        </is>
      </c>
      <c r="AD304" t="inlineStr">
        <is>
          <t>PUERTO MONTT 220</t>
        </is>
      </c>
      <c r="AE304" t="n">
        <v>111.133</v>
      </c>
      <c r="AF304" t="n">
        <v>1.072776031070834</v>
      </c>
      <c r="AG304" t="n">
        <v>119.220818660995</v>
      </c>
      <c r="AH304" t="n">
        <v>694.38</v>
      </c>
      <c r="AI304" t="n">
        <v>0.875</v>
      </c>
      <c r="AJ304" t="n">
        <v>72.43648305409401</v>
      </c>
      <c r="AK304" t="n">
        <v>0.8826000000000001</v>
      </c>
      <c r="AL304" t="n">
        <v>63.932</v>
      </c>
      <c r="AM304" t="n">
        <v>8.9176</v>
      </c>
      <c r="AN304" t="n">
        <v>9.566587534677272</v>
      </c>
      <c r="AO304" t="n">
        <v>0.913</v>
      </c>
      <c r="AP304" t="n">
        <v>6064.919358776563</v>
      </c>
      <c r="AQ304" t="n">
        <v>1.016858412119831</v>
      </c>
      <c r="AR304" t="n">
        <v>6167.1643</v>
      </c>
      <c r="AS304" t="n">
        <v>22906.238922644</v>
      </c>
      <c r="AT304" t="inlineStr">
        <is>
          <t>PNP_16T_02-11-2020</t>
        </is>
      </c>
      <c r="AU304" t="inlineStr">
        <is>
          <t>PNCP_2T_10-02-2020</t>
        </is>
      </c>
      <c r="AV304" t="inlineStr">
        <is>
          <t>PNCP_4T_30-04-2013</t>
        </is>
      </c>
      <c r="AW304" t="inlineStr">
        <is>
          <t>PUERTO MONTT 220</t>
        </is>
      </c>
      <c r="AX304" t="n">
        <v>111.133</v>
      </c>
      <c r="AY304" t="n">
        <v>1.080821157758461</v>
      </c>
      <c r="AZ304" t="n">
        <v>120.1148977251711</v>
      </c>
      <c r="BA304" t="n">
        <v>779.3099999999999</v>
      </c>
      <c r="BB304" t="n">
        <v>0.879</v>
      </c>
      <c r="BC304" t="n">
        <v>82.2803252917125</v>
      </c>
      <c r="BD304" t="n">
        <v>0.8421</v>
      </c>
      <c r="BE304" t="n">
        <v>69.288</v>
      </c>
      <c r="BF304" t="n">
        <v>8.9176</v>
      </c>
      <c r="BG304" t="n">
        <v>0.804</v>
      </c>
      <c r="BH304" t="n">
        <v>6039.043023599974</v>
      </c>
      <c r="BI304" t="n">
        <v>1.02699624102973</v>
      </c>
      <c r="BJ304" t="n">
        <v>6202.0745</v>
      </c>
      <c r="BK304" t="n">
        <v>24825.243735096</v>
      </c>
    </row>
    <row r="305">
      <c r="A305" t="n">
        <v>619</v>
      </c>
      <c r="B305" t="inlineStr">
        <is>
          <t>01-10-2020</t>
        </is>
      </c>
      <c r="C305" t="n">
        <v>2020</v>
      </c>
      <c r="D305" t="n">
        <v>1</v>
      </c>
      <c r="E305" t="inlineStr">
        <is>
          <t>CAREN</t>
        </is>
      </c>
      <c r="F305" t="inlineStr">
        <is>
          <t>SUM_SAESA_A</t>
        </is>
      </c>
      <c r="G305" t="inlineStr">
        <is>
          <t>A</t>
        </is>
      </c>
      <c r="H305" t="inlineStr">
        <is>
          <t>SAESA</t>
        </is>
      </c>
      <c r="I305" t="inlineStr">
        <is>
          <t>SAESELEMBLOQA</t>
        </is>
      </c>
      <c r="J305" t="inlineStr">
        <is>
          <t>EMPALME</t>
        </is>
      </c>
      <c r="K305" t="n">
        <v>-2845.36755488</v>
      </c>
      <c r="L305" t="inlineStr">
        <is>
          <t>PARGUA 23</t>
        </is>
      </c>
      <c r="M305" t="inlineStr">
        <is>
          <t>MELIPULLI</t>
        </is>
      </c>
      <c r="N305" t="n">
        <v>0.88336054288962</v>
      </c>
      <c r="O305" t="n">
        <v>2513.485428</v>
      </c>
      <c r="P305" t="inlineStr">
        <is>
          <t>BS1A</t>
        </is>
      </c>
      <c r="Q305" t="n">
        <v>2</v>
      </c>
      <c r="V305" t="n">
        <v>1472834.063</v>
      </c>
      <c r="W305" t="n">
        <v>2</v>
      </c>
      <c r="X305" t="n">
        <v>8.487e-08</v>
      </c>
      <c r="Y305" t="n">
        <v>0.249999</v>
      </c>
      <c r="Z305" t="n">
        <v>628.368844</v>
      </c>
      <c r="AA305" t="inlineStr">
        <is>
          <t>PNP_6T_08-05-2020</t>
        </is>
      </c>
      <c r="AB305" t="inlineStr">
        <is>
          <t>PNCP_9T_12-08-2019</t>
        </is>
      </c>
      <c r="AC305" t="inlineStr">
        <is>
          <t>PNCP_4T_30-04-2013</t>
        </is>
      </c>
      <c r="AD305" t="inlineStr">
        <is>
          <t>MELIPULLI 220</t>
        </is>
      </c>
      <c r="AE305" t="n">
        <v>111.133</v>
      </c>
      <c r="AF305" t="n">
        <v>1.072776031070834</v>
      </c>
      <c r="AG305" t="n">
        <v>119.220818660995</v>
      </c>
      <c r="AH305" t="n">
        <v>694.38</v>
      </c>
      <c r="AI305" t="n">
        <v>0.875</v>
      </c>
      <c r="AJ305" t="n">
        <v>72.43648305409401</v>
      </c>
      <c r="AK305" t="n">
        <v>0.8826000000000001</v>
      </c>
      <c r="AL305" t="n">
        <v>63.932</v>
      </c>
      <c r="AM305" t="n">
        <v>8.9176</v>
      </c>
      <c r="AN305" t="n">
        <v>9.566587534677272</v>
      </c>
      <c r="AO305" t="n">
        <v>0.913</v>
      </c>
      <c r="AP305" t="n">
        <v>6064.919358776563</v>
      </c>
      <c r="AQ305" t="n">
        <v>1</v>
      </c>
      <c r="AR305" t="n">
        <v>6064.9194</v>
      </c>
      <c r="AS305" t="n">
        <v>40172.876934608</v>
      </c>
      <c r="AT305" t="inlineStr">
        <is>
          <t>PNP_16T_02-11-2020</t>
        </is>
      </c>
      <c r="AU305" t="inlineStr">
        <is>
          <t>PNCP_2T_10-02-2020</t>
        </is>
      </c>
      <c r="AV305" t="inlineStr">
        <is>
          <t>PNCP_4T_30-04-2013</t>
        </is>
      </c>
      <c r="AW305" t="inlineStr">
        <is>
          <t>MELIPULLI 220</t>
        </is>
      </c>
      <c r="AX305" t="n">
        <v>111.133</v>
      </c>
      <c r="AY305" t="n">
        <v>1.080821157758461</v>
      </c>
      <c r="AZ305" t="n">
        <v>120.1148977251711</v>
      </c>
      <c r="BA305" t="n">
        <v>779.3099999999999</v>
      </c>
      <c r="BB305" t="n">
        <v>0.879</v>
      </c>
      <c r="BC305" t="n">
        <v>82.2803252917125</v>
      </c>
      <c r="BD305" t="n">
        <v>0.8421</v>
      </c>
      <c r="BE305" t="n">
        <v>69.288</v>
      </c>
      <c r="BF305" t="n">
        <v>8.9176</v>
      </c>
      <c r="BG305" t="n">
        <v>0.804</v>
      </c>
      <c r="BH305" t="n">
        <v>6039.043023599974</v>
      </c>
      <c r="BI305" t="n">
        <v>1</v>
      </c>
      <c r="BJ305" t="n">
        <v>6039.043</v>
      </c>
      <c r="BK305" t="n">
        <v>43538.420463072</v>
      </c>
    </row>
    <row r="306">
      <c r="A306" t="n">
        <v>4969</v>
      </c>
      <c r="B306" t="inlineStr">
        <is>
          <t>01-10-2020</t>
        </is>
      </c>
      <c r="C306" t="n">
        <v>2020</v>
      </c>
      <c r="D306" t="n">
        <v>1</v>
      </c>
      <c r="E306" t="inlineStr">
        <is>
          <t>CAREN</t>
        </is>
      </c>
      <c r="F306" t="inlineStr">
        <is>
          <t>SUM_SAESA_A</t>
        </is>
      </c>
      <c r="G306" t="inlineStr">
        <is>
          <t>A</t>
        </is>
      </c>
      <c r="H306" t="inlineStr">
        <is>
          <t>SAESA</t>
        </is>
      </c>
      <c r="I306" t="inlineStr">
        <is>
          <t>SAESFRUTBLOQA</t>
        </is>
      </c>
      <c r="J306" t="inlineStr">
        <is>
          <t>FRUTILLAR</t>
        </is>
      </c>
      <c r="K306" t="n">
        <v>-5059.16413345</v>
      </c>
      <c r="L306" t="inlineStr">
        <is>
          <t>FRUTILLAR</t>
        </is>
      </c>
      <c r="M306" t="inlineStr">
        <is>
          <t>BARRO BLANCO</t>
        </is>
      </c>
      <c r="N306" t="n">
        <v>0.30829693616367</v>
      </c>
      <c r="O306" t="n">
        <v>1559.724802</v>
      </c>
      <c r="P306" t="inlineStr">
        <is>
          <t>BS1A</t>
        </is>
      </c>
      <c r="Q306" t="n">
        <v>2</v>
      </c>
      <c r="V306" t="n">
        <v>1472834.063</v>
      </c>
      <c r="W306" t="n">
        <v>2</v>
      </c>
      <c r="X306" t="n">
        <v>8.487e-08</v>
      </c>
      <c r="Y306" t="n">
        <v>0.249999</v>
      </c>
      <c r="Z306" t="n">
        <v>389.929641</v>
      </c>
      <c r="AA306" t="inlineStr">
        <is>
          <t>PNP_6T_08-05-2020</t>
        </is>
      </c>
      <c r="AB306" t="inlineStr">
        <is>
          <t>PNCP_9T_12-08-2019</t>
        </is>
      </c>
      <c r="AC306" t="inlineStr">
        <is>
          <t>PNCP_4T_30-04-2013</t>
        </is>
      </c>
      <c r="AD306" t="inlineStr">
        <is>
          <t>Barro Blanco 220</t>
        </is>
      </c>
      <c r="AE306" t="n">
        <v>111.133</v>
      </c>
      <c r="AF306" t="n">
        <v>1.072776031070834</v>
      </c>
      <c r="AG306" t="n">
        <v>119.220818660995</v>
      </c>
      <c r="AH306" t="n">
        <v>694.38</v>
      </c>
      <c r="AI306" t="n">
        <v>0.875</v>
      </c>
      <c r="AJ306" t="n">
        <v>72.43648305409401</v>
      </c>
      <c r="AK306" t="n">
        <v>0.8631</v>
      </c>
      <c r="AL306" t="n">
        <v>62.52</v>
      </c>
      <c r="AM306" t="n">
        <v>8.9176</v>
      </c>
      <c r="AN306" t="n">
        <v>9.566587534677272</v>
      </c>
      <c r="AO306" t="n">
        <v>0.913</v>
      </c>
      <c r="AP306" t="n">
        <v>6064.919358776563</v>
      </c>
      <c r="AQ306" t="n">
        <v>1.004432825642191</v>
      </c>
      <c r="AR306" t="n">
        <v>6091.8041</v>
      </c>
      <c r="AS306" t="n">
        <v>24378.40115532</v>
      </c>
      <c r="AT306" t="inlineStr">
        <is>
          <t>PNP_16T_02-11-2020</t>
        </is>
      </c>
      <c r="AU306" t="inlineStr">
        <is>
          <t>PNCP_2T_10-02-2020</t>
        </is>
      </c>
      <c r="AV306" t="inlineStr">
        <is>
          <t>PNCP_4T_30-04-2013</t>
        </is>
      </c>
      <c r="AW306" t="inlineStr">
        <is>
          <t>Barro Blanco 220</t>
        </is>
      </c>
      <c r="AX306" t="n">
        <v>111.133</v>
      </c>
      <c r="AY306" t="n">
        <v>1.080821157758461</v>
      </c>
      <c r="AZ306" t="n">
        <v>120.1148977251711</v>
      </c>
      <c r="BA306" t="n">
        <v>779.3099999999999</v>
      </c>
      <c r="BB306" t="n">
        <v>0.879</v>
      </c>
      <c r="BC306" t="n">
        <v>82.2803252917125</v>
      </c>
      <c r="BD306" t="n">
        <v>0.846</v>
      </c>
      <c r="BE306" t="n">
        <v>69.60899999999999</v>
      </c>
      <c r="BF306" t="n">
        <v>8.9176</v>
      </c>
      <c r="BG306" t="n">
        <v>0.804</v>
      </c>
      <c r="BH306" t="n">
        <v>6039.043023599974</v>
      </c>
      <c r="BI306" t="n">
        <v>1.011820868379177</v>
      </c>
      <c r="BJ306" t="n">
        <v>6110.4298</v>
      </c>
      <c r="BK306" t="n">
        <v>27142.612380369</v>
      </c>
    </row>
    <row r="307">
      <c r="A307" t="n">
        <v>4971</v>
      </c>
      <c r="B307" t="inlineStr">
        <is>
          <t>01-10-2020</t>
        </is>
      </c>
      <c r="C307" t="n">
        <v>2020</v>
      </c>
      <c r="D307" t="n">
        <v>1</v>
      </c>
      <c r="E307" t="inlineStr">
        <is>
          <t>CAREN</t>
        </is>
      </c>
      <c r="F307" t="inlineStr">
        <is>
          <t>SUM_SAESA_A</t>
        </is>
      </c>
      <c r="G307" t="inlineStr">
        <is>
          <t>A</t>
        </is>
      </c>
      <c r="H307" t="inlineStr">
        <is>
          <t>SAESA</t>
        </is>
      </c>
      <c r="I307" t="inlineStr">
        <is>
          <t>SAESFRUTBLOQA</t>
        </is>
      </c>
      <c r="J307" t="inlineStr">
        <is>
          <t>FRUTILLAR</t>
        </is>
      </c>
      <c r="K307" t="n">
        <v>-5059.16413345</v>
      </c>
      <c r="L307" t="inlineStr">
        <is>
          <t>FRUTILLAR</t>
        </is>
      </c>
      <c r="M307" t="inlineStr">
        <is>
          <t>MELIPULLI</t>
        </is>
      </c>
      <c r="N307" t="n">
        <v>0.58883123332719</v>
      </c>
      <c r="O307" t="n">
        <v>2978.993856</v>
      </c>
      <c r="P307" t="inlineStr">
        <is>
          <t>BS1A</t>
        </is>
      </c>
      <c r="Q307" t="n">
        <v>2</v>
      </c>
      <c r="V307" t="n">
        <v>1472834.063</v>
      </c>
      <c r="W307" t="n">
        <v>2</v>
      </c>
      <c r="X307" t="n">
        <v>8.487e-08</v>
      </c>
      <c r="Y307" t="n">
        <v>0.249999</v>
      </c>
      <c r="Z307" t="n">
        <v>744.745485</v>
      </c>
      <c r="AA307" t="inlineStr">
        <is>
          <t>PNP_6T_08-05-2020</t>
        </is>
      </c>
      <c r="AB307" t="inlineStr">
        <is>
          <t>PNCP_9T_12-08-2019</t>
        </is>
      </c>
      <c r="AC307" t="inlineStr">
        <is>
          <t>PNCP_4T_30-04-2013</t>
        </is>
      </c>
      <c r="AD307" t="inlineStr">
        <is>
          <t>MELIPULLI 220</t>
        </is>
      </c>
      <c r="AE307" t="n">
        <v>111.133</v>
      </c>
      <c r="AF307" t="n">
        <v>1.072776031070834</v>
      </c>
      <c r="AG307" t="n">
        <v>119.220818660995</v>
      </c>
      <c r="AH307" t="n">
        <v>694.38</v>
      </c>
      <c r="AI307" t="n">
        <v>0.875</v>
      </c>
      <c r="AJ307" t="n">
        <v>72.43648305409401</v>
      </c>
      <c r="AK307" t="n">
        <v>0.8826000000000001</v>
      </c>
      <c r="AL307" t="n">
        <v>63.932</v>
      </c>
      <c r="AM307" t="n">
        <v>8.9176</v>
      </c>
      <c r="AN307" t="n">
        <v>9.566587534677272</v>
      </c>
      <c r="AO307" t="n">
        <v>0.913</v>
      </c>
      <c r="AP307" t="n">
        <v>6064.919358776563</v>
      </c>
      <c r="AQ307" t="n">
        <v>1</v>
      </c>
      <c r="AR307" t="n">
        <v>6064.9194</v>
      </c>
      <c r="AS307" t="n">
        <v>47613.06834702</v>
      </c>
      <c r="AT307" t="inlineStr">
        <is>
          <t>PNP_16T_02-11-2020</t>
        </is>
      </c>
      <c r="AU307" t="inlineStr">
        <is>
          <t>PNCP_2T_10-02-2020</t>
        </is>
      </c>
      <c r="AV307" t="inlineStr">
        <is>
          <t>PNCP_4T_30-04-2013</t>
        </is>
      </c>
      <c r="AW307" t="inlineStr">
        <is>
          <t>MELIPULLI 220</t>
        </is>
      </c>
      <c r="AX307" t="n">
        <v>111.133</v>
      </c>
      <c r="AY307" t="n">
        <v>1.080821157758461</v>
      </c>
      <c r="AZ307" t="n">
        <v>120.1148977251711</v>
      </c>
      <c r="BA307" t="n">
        <v>779.3099999999999</v>
      </c>
      <c r="BB307" t="n">
        <v>0.879</v>
      </c>
      <c r="BC307" t="n">
        <v>82.2803252917125</v>
      </c>
      <c r="BD307" t="n">
        <v>0.8421</v>
      </c>
      <c r="BE307" t="n">
        <v>69.288</v>
      </c>
      <c r="BF307" t="n">
        <v>8.9176</v>
      </c>
      <c r="BG307" t="n">
        <v>0.804</v>
      </c>
      <c r="BH307" t="n">
        <v>6039.043023599974</v>
      </c>
      <c r="BI307" t="n">
        <v>1</v>
      </c>
      <c r="BJ307" t="n">
        <v>6039.043</v>
      </c>
      <c r="BK307" t="n">
        <v>51601.92516468</v>
      </c>
    </row>
    <row r="308">
      <c r="A308" t="n">
        <v>4973</v>
      </c>
      <c r="B308" t="inlineStr">
        <is>
          <t>01-10-2020</t>
        </is>
      </c>
      <c r="C308" t="n">
        <v>2020</v>
      </c>
      <c r="D308" t="n">
        <v>1</v>
      </c>
      <c r="E308" t="inlineStr">
        <is>
          <t>CAREN</t>
        </is>
      </c>
      <c r="F308" t="inlineStr">
        <is>
          <t>SUM_SAESA_A</t>
        </is>
      </c>
      <c r="G308" t="inlineStr">
        <is>
          <t>A</t>
        </is>
      </c>
      <c r="H308" t="inlineStr">
        <is>
          <t>SAESA</t>
        </is>
      </c>
      <c r="I308" t="inlineStr">
        <is>
          <t>SAESFRUTBLOQA</t>
        </is>
      </c>
      <c r="J308" t="inlineStr">
        <is>
          <t>FRUTILLAR</t>
        </is>
      </c>
      <c r="K308" t="n">
        <v>-5059.16413345</v>
      </c>
      <c r="L308" t="inlineStr">
        <is>
          <t>FRUTILLAR</t>
        </is>
      </c>
      <c r="M308" t="inlineStr">
        <is>
          <t>Puerto Montt</t>
        </is>
      </c>
      <c r="N308" t="n">
        <v>0.66678954217717</v>
      </c>
      <c r="O308" t="n">
        <v>3373.397736</v>
      </c>
      <c r="P308" t="inlineStr">
        <is>
          <t>BS1A</t>
        </is>
      </c>
      <c r="Q308" t="n">
        <v>2</v>
      </c>
      <c r="V308" t="n">
        <v>1472834.063</v>
      </c>
      <c r="W308" t="n">
        <v>2</v>
      </c>
      <c r="X308" t="n">
        <v>8.487e-08</v>
      </c>
      <c r="Y308" t="n">
        <v>0.249999</v>
      </c>
      <c r="Z308" t="n">
        <v>843.346061</v>
      </c>
      <c r="AA308" t="inlineStr">
        <is>
          <t>PNP_6T_08-05-2020</t>
        </is>
      </c>
      <c r="AB308" t="inlineStr">
        <is>
          <t>PNCP_9T_12-08-2019</t>
        </is>
      </c>
      <c r="AC308" t="inlineStr">
        <is>
          <t>PNCP_4T_30-04-2013</t>
        </is>
      </c>
      <c r="AD308" t="inlineStr">
        <is>
          <t>PUERTO MONTT 220</t>
        </is>
      </c>
      <c r="AE308" t="n">
        <v>111.133</v>
      </c>
      <c r="AF308" t="n">
        <v>1.072776031070834</v>
      </c>
      <c r="AG308" t="n">
        <v>119.220818660995</v>
      </c>
      <c r="AH308" t="n">
        <v>694.38</v>
      </c>
      <c r="AI308" t="n">
        <v>0.875</v>
      </c>
      <c r="AJ308" t="n">
        <v>72.43648305409401</v>
      </c>
      <c r="AK308" t="n">
        <v>0.8826000000000001</v>
      </c>
      <c r="AL308" t="n">
        <v>63.932</v>
      </c>
      <c r="AM308" t="n">
        <v>8.9176</v>
      </c>
      <c r="AN308" t="n">
        <v>9.566587534677272</v>
      </c>
      <c r="AO308" t="n">
        <v>0.913</v>
      </c>
      <c r="AP308" t="n">
        <v>6064.919358776563</v>
      </c>
      <c r="AQ308" t="n">
        <v>1.016858412119831</v>
      </c>
      <c r="AR308" t="n">
        <v>6167.1643</v>
      </c>
      <c r="AS308" t="n">
        <v>53916.800371852</v>
      </c>
      <c r="AT308" t="inlineStr">
        <is>
          <t>PNP_16T_02-11-2020</t>
        </is>
      </c>
      <c r="AU308" t="inlineStr">
        <is>
          <t>PNCP_2T_10-02-2020</t>
        </is>
      </c>
      <c r="AV308" t="inlineStr">
        <is>
          <t>PNCP_4T_30-04-2013</t>
        </is>
      </c>
      <c r="AW308" t="inlineStr">
        <is>
          <t>PUERTO MONTT 220</t>
        </is>
      </c>
      <c r="AX308" t="n">
        <v>111.133</v>
      </c>
      <c r="AY308" t="n">
        <v>1.080821157758461</v>
      </c>
      <c r="AZ308" t="n">
        <v>120.1148977251711</v>
      </c>
      <c r="BA308" t="n">
        <v>779.3099999999999</v>
      </c>
      <c r="BB308" t="n">
        <v>0.879</v>
      </c>
      <c r="BC308" t="n">
        <v>82.2803252917125</v>
      </c>
      <c r="BD308" t="n">
        <v>0.8421</v>
      </c>
      <c r="BE308" t="n">
        <v>69.288</v>
      </c>
      <c r="BF308" t="n">
        <v>8.9176</v>
      </c>
      <c r="BG308" t="n">
        <v>0.804</v>
      </c>
      <c r="BH308" t="n">
        <v>6039.043023599974</v>
      </c>
      <c r="BI308" t="n">
        <v>1.02699624102973</v>
      </c>
      <c r="BJ308" t="n">
        <v>6202.0745</v>
      </c>
      <c r="BK308" t="n">
        <v>58433.76187456799</v>
      </c>
    </row>
    <row r="309">
      <c r="A309" t="n">
        <v>4975</v>
      </c>
      <c r="B309" t="inlineStr">
        <is>
          <t>01-10-2020</t>
        </is>
      </c>
      <c r="C309" t="n">
        <v>2020</v>
      </c>
      <c r="D309" t="n">
        <v>1</v>
      </c>
      <c r="E309" t="inlineStr">
        <is>
          <t>CAREN</t>
        </is>
      </c>
      <c r="F309" t="inlineStr">
        <is>
          <t>SUM_SAESA_A</t>
        </is>
      </c>
      <c r="G309" t="inlineStr">
        <is>
          <t>A</t>
        </is>
      </c>
      <c r="H309" t="inlineStr">
        <is>
          <t>SAESA</t>
        </is>
      </c>
      <c r="I309" t="inlineStr">
        <is>
          <t>SAESFRUTBLOQA</t>
        </is>
      </c>
      <c r="J309" t="inlineStr">
        <is>
          <t>FRUTILLAR</t>
        </is>
      </c>
      <c r="K309" t="n">
        <v>-5059.16413345</v>
      </c>
      <c r="L309" t="inlineStr">
        <is>
          <t>FRUTILLAR</t>
        </is>
      </c>
      <c r="M309" t="inlineStr">
        <is>
          <t>VALDIVIA</t>
        </is>
      </c>
      <c r="N309" t="n">
        <v>0.00223534123905</v>
      </c>
      <c r="O309" t="n">
        <v>11.308958</v>
      </c>
      <c r="P309" t="inlineStr">
        <is>
          <t>BS1A</t>
        </is>
      </c>
      <c r="Q309" t="n">
        <v>2</v>
      </c>
      <c r="V309" t="n">
        <v>1472834.063</v>
      </c>
      <c r="W309" t="n">
        <v>2</v>
      </c>
      <c r="X309" t="n">
        <v>8.487e-08</v>
      </c>
      <c r="Y309" t="n">
        <v>0.249999</v>
      </c>
      <c r="Z309" t="n">
        <v>2.827228</v>
      </c>
      <c r="AA309" t="inlineStr">
        <is>
          <t>PNP_6T_08-05-2020</t>
        </is>
      </c>
      <c r="AB309" t="inlineStr">
        <is>
          <t>PNCP_9T_12-08-2019</t>
        </is>
      </c>
      <c r="AC309" t="inlineStr">
        <is>
          <t>PNCP_4T_30-04-2013</t>
        </is>
      </c>
      <c r="AD309" t="inlineStr">
        <is>
          <t>VALDIVIA 220</t>
        </is>
      </c>
      <c r="AE309" t="n">
        <v>111.133</v>
      </c>
      <c r="AF309" t="n">
        <v>1.072776031070834</v>
      </c>
      <c r="AG309" t="n">
        <v>119.220818660995</v>
      </c>
      <c r="AH309" t="n">
        <v>694.38</v>
      </c>
      <c r="AI309" t="n">
        <v>0.875</v>
      </c>
      <c r="AJ309" t="n">
        <v>72.43648305409401</v>
      </c>
      <c r="AK309" t="n">
        <v>0.913</v>
      </c>
      <c r="AL309" t="n">
        <v>66.13500000000001</v>
      </c>
      <c r="AM309" t="n">
        <v>8.9176</v>
      </c>
      <c r="AN309" t="n">
        <v>9.566587534677272</v>
      </c>
      <c r="AO309" t="n">
        <v>0.913</v>
      </c>
      <c r="AP309" t="n">
        <v>6064.919358776563</v>
      </c>
      <c r="AQ309" t="n">
        <v>1.051287819142954</v>
      </c>
      <c r="AR309" t="n">
        <v>6375.9758</v>
      </c>
      <c r="AS309" t="n">
        <v>186.97872378</v>
      </c>
      <c r="AT309" t="inlineStr">
        <is>
          <t>PNP_16T_02-11-2020</t>
        </is>
      </c>
      <c r="AU309" t="inlineStr">
        <is>
          <t>PNCP_2T_10-02-2020</t>
        </is>
      </c>
      <c r="AV309" t="inlineStr">
        <is>
          <t>PNCP_4T_30-04-2013</t>
        </is>
      </c>
      <c r="AW309" t="inlineStr">
        <is>
          <t>VALDIVIA 220</t>
        </is>
      </c>
      <c r="AX309" t="n">
        <v>111.133</v>
      </c>
      <c r="AY309" t="n">
        <v>1.080821157758461</v>
      </c>
      <c r="AZ309" t="n">
        <v>120.1148977251711</v>
      </c>
      <c r="BA309" t="n">
        <v>779.3099999999999</v>
      </c>
      <c r="BB309" t="n">
        <v>0.879</v>
      </c>
      <c r="BC309" t="n">
        <v>82.2803252917125</v>
      </c>
      <c r="BD309" t="n">
        <v>0.9167</v>
      </c>
      <c r="BE309" t="n">
        <v>75.426</v>
      </c>
      <c r="BF309" t="n">
        <v>8.9176</v>
      </c>
      <c r="BG309" t="n">
        <v>0.804</v>
      </c>
      <c r="BH309" t="n">
        <v>6039.043023599974</v>
      </c>
      <c r="BI309" t="n">
        <v>1.096052187605444</v>
      </c>
      <c r="BJ309" t="n">
        <v>6619.1063</v>
      </c>
      <c r="BK309" t="n">
        <v>213.246499128</v>
      </c>
    </row>
    <row r="310">
      <c r="A310" t="n">
        <v>3637</v>
      </c>
      <c r="B310" t="inlineStr">
        <is>
          <t>01-10-2020</t>
        </is>
      </c>
      <c r="C310" t="n">
        <v>2020</v>
      </c>
      <c r="D310" t="n">
        <v>1</v>
      </c>
      <c r="E310" t="inlineStr">
        <is>
          <t>CAREN</t>
        </is>
      </c>
      <c r="F310" t="inlineStr">
        <is>
          <t>SUM_SAESA_A</t>
        </is>
      </c>
      <c r="G310" t="inlineStr">
        <is>
          <t>A</t>
        </is>
      </c>
      <c r="H310" t="inlineStr">
        <is>
          <t>SAESA</t>
        </is>
      </c>
      <c r="I310" t="inlineStr">
        <is>
          <t>SAESLOSLBLOQA</t>
        </is>
      </c>
      <c r="J310" t="inlineStr">
        <is>
          <t>L.LAGOS</t>
        </is>
      </c>
      <c r="K310" t="n">
        <v>-1657.7595014</v>
      </c>
      <c r="L310" t="inlineStr">
        <is>
          <t>LOS LAGOS</t>
        </is>
      </c>
      <c r="M310" t="inlineStr">
        <is>
          <t>Barro Blanco</t>
        </is>
      </c>
      <c r="N310" t="n">
        <v>0.18733247460026</v>
      </c>
      <c r="O310" t="n">
        <v>310.55219</v>
      </c>
      <c r="P310" t="inlineStr">
        <is>
          <t>BS1A</t>
        </is>
      </c>
      <c r="Q310" t="n">
        <v>2</v>
      </c>
      <c r="V310" t="n">
        <v>1472834.063</v>
      </c>
      <c r="W310" t="n">
        <v>2</v>
      </c>
      <c r="X310" t="n">
        <v>8.487e-08</v>
      </c>
      <c r="Y310" t="n">
        <v>0.249999</v>
      </c>
      <c r="Z310" t="n">
        <v>77.637737</v>
      </c>
      <c r="AA310" t="inlineStr">
        <is>
          <t>PNP_6T_08-05-2020</t>
        </is>
      </c>
      <c r="AB310" t="inlineStr">
        <is>
          <t>PNCP_9T_12-08-2019</t>
        </is>
      </c>
      <c r="AC310" t="inlineStr">
        <is>
          <t>PNCP_4T_30-04-2013</t>
        </is>
      </c>
      <c r="AD310" t="inlineStr">
        <is>
          <t>Barro Blanco 220</t>
        </is>
      </c>
      <c r="AE310" t="n">
        <v>111.133</v>
      </c>
      <c r="AF310" t="n">
        <v>1.072776031070834</v>
      </c>
      <c r="AG310" t="n">
        <v>119.220818660995</v>
      </c>
      <c r="AH310" t="n">
        <v>694.38</v>
      </c>
      <c r="AI310" t="n">
        <v>0.875</v>
      </c>
      <c r="AJ310" t="n">
        <v>72.43648305409401</v>
      </c>
      <c r="AK310" t="n">
        <v>0.8631</v>
      </c>
      <c r="AL310" t="n">
        <v>62.52</v>
      </c>
      <c r="AM310" t="n">
        <v>8.9176</v>
      </c>
      <c r="AN310" t="n">
        <v>9.566587534677272</v>
      </c>
      <c r="AO310" t="n">
        <v>0.913</v>
      </c>
      <c r="AP310" t="n">
        <v>6064.919358776563</v>
      </c>
      <c r="AQ310" t="n">
        <v>1.004432825642191</v>
      </c>
      <c r="AR310" t="n">
        <v>6091.8041</v>
      </c>
      <c r="AS310" t="n">
        <v>4853.91131724</v>
      </c>
      <c r="AT310" t="inlineStr">
        <is>
          <t>PNP_16T_02-11-2020</t>
        </is>
      </c>
      <c r="AU310" t="inlineStr">
        <is>
          <t>PNCP_2T_10-02-2020</t>
        </is>
      </c>
      <c r="AV310" t="inlineStr">
        <is>
          <t>PNCP_4T_30-04-2013</t>
        </is>
      </c>
      <c r="AW310" t="inlineStr">
        <is>
          <t>Barro Blanco 220</t>
        </is>
      </c>
      <c r="AX310" t="n">
        <v>111.133</v>
      </c>
      <c r="AY310" t="n">
        <v>1.080821157758461</v>
      </c>
      <c r="AZ310" t="n">
        <v>120.1148977251711</v>
      </c>
      <c r="BA310" t="n">
        <v>779.3099999999999</v>
      </c>
      <c r="BB310" t="n">
        <v>0.879</v>
      </c>
      <c r="BC310" t="n">
        <v>82.2803252917125</v>
      </c>
      <c r="BD310" t="n">
        <v>0.846</v>
      </c>
      <c r="BE310" t="n">
        <v>69.60899999999999</v>
      </c>
      <c r="BF310" t="n">
        <v>8.9176</v>
      </c>
      <c r="BG310" t="n">
        <v>0.804</v>
      </c>
      <c r="BH310" t="n">
        <v>6039.043023599974</v>
      </c>
      <c r="BI310" t="n">
        <v>1.011820868379177</v>
      </c>
      <c r="BJ310" t="n">
        <v>6110.4298</v>
      </c>
      <c r="BK310" t="n">
        <v>5404.285234833</v>
      </c>
    </row>
    <row r="311">
      <c r="A311" t="n">
        <v>3639</v>
      </c>
      <c r="B311" t="inlineStr">
        <is>
          <t>01-10-2020</t>
        </is>
      </c>
      <c r="C311" t="n">
        <v>2020</v>
      </c>
      <c r="D311" t="n">
        <v>1</v>
      </c>
      <c r="E311" t="inlineStr">
        <is>
          <t>CAREN</t>
        </is>
      </c>
      <c r="F311" t="inlineStr">
        <is>
          <t>SUM_SAESA_A</t>
        </is>
      </c>
      <c r="G311" t="inlineStr">
        <is>
          <t>A</t>
        </is>
      </c>
      <c r="H311" t="inlineStr">
        <is>
          <t>SAESA</t>
        </is>
      </c>
      <c r="I311" t="inlineStr">
        <is>
          <t>SAESLOSLBLOQA</t>
        </is>
      </c>
      <c r="J311" t="inlineStr">
        <is>
          <t>L.LAGOS</t>
        </is>
      </c>
      <c r="K311" t="n">
        <v>-1657.7595014</v>
      </c>
      <c r="L311" t="inlineStr">
        <is>
          <t>LOS LAGOS</t>
        </is>
      </c>
      <c r="M311" t="inlineStr">
        <is>
          <t>MELIPULLI</t>
        </is>
      </c>
      <c r="N311" t="n">
        <v>0.0106384804266</v>
      </c>
      <c r="O311" t="n">
        <v>17.636042</v>
      </c>
      <c r="P311" t="inlineStr">
        <is>
          <t>BS1A</t>
        </is>
      </c>
      <c r="Q311" t="n">
        <v>2</v>
      </c>
      <c r="V311" t="n">
        <v>1472834.063</v>
      </c>
      <c r="W311" t="n">
        <v>2</v>
      </c>
      <c r="X311" t="n">
        <v>8.487e-08</v>
      </c>
      <c r="Y311" t="n">
        <v>0.249999</v>
      </c>
      <c r="Z311" t="n">
        <v>4.408993</v>
      </c>
      <c r="AA311" t="inlineStr">
        <is>
          <t>PNP_6T_08-05-2020</t>
        </is>
      </c>
      <c r="AB311" t="inlineStr">
        <is>
          <t>PNCP_9T_12-08-2019</t>
        </is>
      </c>
      <c r="AC311" t="inlineStr">
        <is>
          <t>PNCP_4T_30-04-2013</t>
        </is>
      </c>
      <c r="AD311" t="inlineStr">
        <is>
          <t>MELIPULLI 220</t>
        </is>
      </c>
      <c r="AE311" t="n">
        <v>111.133</v>
      </c>
      <c r="AF311" t="n">
        <v>1.072776031070834</v>
      </c>
      <c r="AG311" t="n">
        <v>119.220818660995</v>
      </c>
      <c r="AH311" t="n">
        <v>694.38</v>
      </c>
      <c r="AI311" t="n">
        <v>0.875</v>
      </c>
      <c r="AJ311" t="n">
        <v>72.43648305409401</v>
      </c>
      <c r="AK311" t="n">
        <v>0.8826000000000001</v>
      </c>
      <c r="AL311" t="n">
        <v>63.932</v>
      </c>
      <c r="AM311" t="n">
        <v>8.9176</v>
      </c>
      <c r="AN311" t="n">
        <v>9.566587534677272</v>
      </c>
      <c r="AO311" t="n">
        <v>0.913</v>
      </c>
      <c r="AP311" t="n">
        <v>6064.919358776563</v>
      </c>
      <c r="AQ311" t="n">
        <v>1</v>
      </c>
      <c r="AR311" t="n">
        <v>6064.9194</v>
      </c>
      <c r="AS311" t="n">
        <v>281.875740476</v>
      </c>
      <c r="AT311" t="inlineStr">
        <is>
          <t>PNP_16T_02-11-2020</t>
        </is>
      </c>
      <c r="AU311" t="inlineStr">
        <is>
          <t>PNCP_2T_10-02-2020</t>
        </is>
      </c>
      <c r="AV311" t="inlineStr">
        <is>
          <t>PNCP_4T_30-04-2013</t>
        </is>
      </c>
      <c r="AW311" t="inlineStr">
        <is>
          <t>MELIPULLI 220</t>
        </is>
      </c>
      <c r="AX311" t="n">
        <v>111.133</v>
      </c>
      <c r="AY311" t="n">
        <v>1.080821157758461</v>
      </c>
      <c r="AZ311" t="n">
        <v>120.1148977251711</v>
      </c>
      <c r="BA311" t="n">
        <v>779.3099999999999</v>
      </c>
      <c r="BB311" t="n">
        <v>0.879</v>
      </c>
      <c r="BC311" t="n">
        <v>82.2803252917125</v>
      </c>
      <c r="BD311" t="n">
        <v>0.8421</v>
      </c>
      <c r="BE311" t="n">
        <v>69.288</v>
      </c>
      <c r="BF311" t="n">
        <v>8.9176</v>
      </c>
      <c r="BG311" t="n">
        <v>0.804</v>
      </c>
      <c r="BH311" t="n">
        <v>6039.043023599974</v>
      </c>
      <c r="BI311" t="n">
        <v>1</v>
      </c>
      <c r="BJ311" t="n">
        <v>6039.043</v>
      </c>
      <c r="BK311" t="n">
        <v>305.490306984</v>
      </c>
    </row>
    <row r="312">
      <c r="A312" t="n">
        <v>3641</v>
      </c>
      <c r="B312" t="inlineStr">
        <is>
          <t>01-10-2020</t>
        </is>
      </c>
      <c r="C312" t="n">
        <v>2020</v>
      </c>
      <c r="D312" t="n">
        <v>1</v>
      </c>
      <c r="E312" t="inlineStr">
        <is>
          <t>CAREN</t>
        </is>
      </c>
      <c r="F312" t="inlineStr">
        <is>
          <t>SUM_SAESA_A</t>
        </is>
      </c>
      <c r="G312" t="inlineStr">
        <is>
          <t>A</t>
        </is>
      </c>
      <c r="H312" t="inlineStr">
        <is>
          <t>SAESA</t>
        </is>
      </c>
      <c r="I312" t="inlineStr">
        <is>
          <t>SAESLOSLBLOQA</t>
        </is>
      </c>
      <c r="J312" t="inlineStr">
        <is>
          <t>L.LAGOS</t>
        </is>
      </c>
      <c r="K312" t="n">
        <v>-1657.7595014</v>
      </c>
      <c r="L312" t="inlineStr">
        <is>
          <t>LOS LAGOS</t>
        </is>
      </c>
      <c r="M312" t="inlineStr">
        <is>
          <t>VALDIVIA</t>
        </is>
      </c>
      <c r="N312" t="n">
        <v>0.74179711805072</v>
      </c>
      <c r="O312" t="n">
        <v>1229.721221</v>
      </c>
      <c r="P312" t="inlineStr">
        <is>
          <t>BS1A</t>
        </is>
      </c>
      <c r="Q312" t="n">
        <v>2</v>
      </c>
      <c r="V312" t="n">
        <v>1472834.063</v>
      </c>
      <c r="W312" t="n">
        <v>2</v>
      </c>
      <c r="X312" t="n">
        <v>8.487e-08</v>
      </c>
      <c r="Y312" t="n">
        <v>0.249999</v>
      </c>
      <c r="Z312" t="n">
        <v>307.429076</v>
      </c>
      <c r="AA312" t="inlineStr">
        <is>
          <t>PNP_6T_08-05-2020</t>
        </is>
      </c>
      <c r="AB312" t="inlineStr">
        <is>
          <t>PNCP_9T_12-08-2019</t>
        </is>
      </c>
      <c r="AC312" t="inlineStr">
        <is>
          <t>PNCP_4T_30-04-2013</t>
        </is>
      </c>
      <c r="AD312" t="inlineStr">
        <is>
          <t>VALDIVIA 220</t>
        </is>
      </c>
      <c r="AE312" t="n">
        <v>111.133</v>
      </c>
      <c r="AF312" t="n">
        <v>1.072776031070834</v>
      </c>
      <c r="AG312" t="n">
        <v>119.220818660995</v>
      </c>
      <c r="AH312" t="n">
        <v>694.38</v>
      </c>
      <c r="AI312" t="n">
        <v>0.875</v>
      </c>
      <c r="AJ312" t="n">
        <v>72.43648305409401</v>
      </c>
      <c r="AK312" t="n">
        <v>0.913</v>
      </c>
      <c r="AL312" t="n">
        <v>66.13500000000001</v>
      </c>
      <c r="AM312" t="n">
        <v>8.9176</v>
      </c>
      <c r="AN312" t="n">
        <v>9.566587534677272</v>
      </c>
      <c r="AO312" t="n">
        <v>0.913</v>
      </c>
      <c r="AP312" t="n">
        <v>6064.919358776563</v>
      </c>
      <c r="AQ312" t="n">
        <v>1.051287819142954</v>
      </c>
      <c r="AR312" t="n">
        <v>6375.9758</v>
      </c>
      <c r="AS312" t="n">
        <v>20331.82194126</v>
      </c>
      <c r="AT312" t="inlineStr">
        <is>
          <t>PNP_16T_02-11-2020</t>
        </is>
      </c>
      <c r="AU312" t="inlineStr">
        <is>
          <t>PNCP_2T_10-02-2020</t>
        </is>
      </c>
      <c r="AV312" t="inlineStr">
        <is>
          <t>PNCP_4T_30-04-2013</t>
        </is>
      </c>
      <c r="AW312" t="inlineStr">
        <is>
          <t>VALDIVIA 220</t>
        </is>
      </c>
      <c r="AX312" t="n">
        <v>111.133</v>
      </c>
      <c r="AY312" t="n">
        <v>1.080821157758461</v>
      </c>
      <c r="AZ312" t="n">
        <v>120.1148977251711</v>
      </c>
      <c r="BA312" t="n">
        <v>779.3099999999999</v>
      </c>
      <c r="BB312" t="n">
        <v>0.879</v>
      </c>
      <c r="BC312" t="n">
        <v>82.2803252917125</v>
      </c>
      <c r="BD312" t="n">
        <v>0.9167</v>
      </c>
      <c r="BE312" t="n">
        <v>75.426</v>
      </c>
      <c r="BF312" t="n">
        <v>8.9176</v>
      </c>
      <c r="BG312" t="n">
        <v>0.804</v>
      </c>
      <c r="BH312" t="n">
        <v>6039.043023599974</v>
      </c>
      <c r="BI312" t="n">
        <v>1.096052187605444</v>
      </c>
      <c r="BJ312" t="n">
        <v>6619.1063</v>
      </c>
      <c r="BK312" t="n">
        <v>23188.145486376</v>
      </c>
    </row>
    <row r="313">
      <c r="A313" t="n">
        <v>5524</v>
      </c>
      <c r="B313" t="inlineStr">
        <is>
          <t>01-10-2020</t>
        </is>
      </c>
      <c r="C313" t="n">
        <v>2020</v>
      </c>
      <c r="D313" t="n">
        <v>1</v>
      </c>
      <c r="E313" t="inlineStr">
        <is>
          <t>CAREN</t>
        </is>
      </c>
      <c r="F313" t="inlineStr">
        <is>
          <t>SUM_SAESA_A</t>
        </is>
      </c>
      <c r="G313" t="inlineStr">
        <is>
          <t>A</t>
        </is>
      </c>
      <c r="H313" t="inlineStr">
        <is>
          <t>SAESA</t>
        </is>
      </c>
      <c r="I313" t="inlineStr">
        <is>
          <t>SAESLAUNBLOQA</t>
        </is>
      </c>
      <c r="J313" t="inlineStr">
        <is>
          <t>L.UNION</t>
        </is>
      </c>
      <c r="K313" t="n">
        <v>-4657.41927638</v>
      </c>
      <c r="L313" t="inlineStr">
        <is>
          <t>LA UNION</t>
        </is>
      </c>
      <c r="M313" t="inlineStr">
        <is>
          <t>BARRO BLANCO</t>
        </is>
      </c>
      <c r="N313" t="n">
        <v>0.69784426704688</v>
      </c>
      <c r="O313" t="n">
        <v>3250.153341</v>
      </c>
      <c r="P313" t="inlineStr">
        <is>
          <t>BS1A</t>
        </is>
      </c>
      <c r="Q313" t="n">
        <v>2</v>
      </c>
      <c r="V313" t="n">
        <v>1472834.063</v>
      </c>
      <c r="W313" t="n">
        <v>2</v>
      </c>
      <c r="X313" t="n">
        <v>8.487e-08</v>
      </c>
      <c r="Y313" t="n">
        <v>0.249999</v>
      </c>
      <c r="Z313" t="n">
        <v>812.535085</v>
      </c>
      <c r="AA313" t="inlineStr">
        <is>
          <t>PNP_6T_08-05-2020</t>
        </is>
      </c>
      <c r="AB313" t="inlineStr">
        <is>
          <t>PNCP_9T_12-08-2019</t>
        </is>
      </c>
      <c r="AC313" t="inlineStr">
        <is>
          <t>PNCP_4T_30-04-2013</t>
        </is>
      </c>
      <c r="AD313" t="inlineStr">
        <is>
          <t>Barro Blanco 220</t>
        </is>
      </c>
      <c r="AE313" t="n">
        <v>111.133</v>
      </c>
      <c r="AF313" t="n">
        <v>1.072776031070834</v>
      </c>
      <c r="AG313" t="n">
        <v>119.220818660995</v>
      </c>
      <c r="AH313" t="n">
        <v>694.38</v>
      </c>
      <c r="AI313" t="n">
        <v>0.875</v>
      </c>
      <c r="AJ313" t="n">
        <v>72.43648305409401</v>
      </c>
      <c r="AK313" t="n">
        <v>0.8631</v>
      </c>
      <c r="AL313" t="n">
        <v>62.52</v>
      </c>
      <c r="AM313" t="n">
        <v>8.9176</v>
      </c>
      <c r="AN313" t="n">
        <v>9.566587534677272</v>
      </c>
      <c r="AO313" t="n">
        <v>0.913</v>
      </c>
      <c r="AP313" t="n">
        <v>6064.919358776563</v>
      </c>
      <c r="AQ313" t="n">
        <v>1.004432825642191</v>
      </c>
      <c r="AR313" t="n">
        <v>6091.8041</v>
      </c>
      <c r="AS313" t="n">
        <v>50799.6935142</v>
      </c>
      <c r="AT313" t="inlineStr">
        <is>
          <t>PNP_16T_02-11-2020</t>
        </is>
      </c>
      <c r="AU313" t="inlineStr">
        <is>
          <t>PNCP_2T_10-02-2020</t>
        </is>
      </c>
      <c r="AV313" t="inlineStr">
        <is>
          <t>PNCP_4T_30-04-2013</t>
        </is>
      </c>
      <c r="AW313" t="inlineStr">
        <is>
          <t>Barro Blanco 220</t>
        </is>
      </c>
      <c r="AX313" t="n">
        <v>111.133</v>
      </c>
      <c r="AY313" t="n">
        <v>1.080821157758461</v>
      </c>
      <c r="AZ313" t="n">
        <v>120.1148977251711</v>
      </c>
      <c r="BA313" t="n">
        <v>779.3099999999999</v>
      </c>
      <c r="BB313" t="n">
        <v>0.879</v>
      </c>
      <c r="BC313" t="n">
        <v>82.2803252917125</v>
      </c>
      <c r="BD313" t="n">
        <v>0.846</v>
      </c>
      <c r="BE313" t="n">
        <v>69.60899999999999</v>
      </c>
      <c r="BF313" t="n">
        <v>8.9176</v>
      </c>
      <c r="BG313" t="n">
        <v>0.804</v>
      </c>
      <c r="BH313" t="n">
        <v>6039.043023599974</v>
      </c>
      <c r="BI313" t="n">
        <v>1.011820868379177</v>
      </c>
      <c r="BJ313" t="n">
        <v>6110.4298</v>
      </c>
      <c r="BK313" t="n">
        <v>56559.754731765</v>
      </c>
    </row>
    <row r="314">
      <c r="A314" t="n">
        <v>5526</v>
      </c>
      <c r="B314" t="inlineStr">
        <is>
          <t>01-10-2020</t>
        </is>
      </c>
      <c r="C314" t="n">
        <v>2020</v>
      </c>
      <c r="D314" t="n">
        <v>1</v>
      </c>
      <c r="E314" t="inlineStr">
        <is>
          <t>CAREN</t>
        </is>
      </c>
      <c r="F314" t="inlineStr">
        <is>
          <t>SUM_SAESA_A</t>
        </is>
      </c>
      <c r="G314" t="inlineStr">
        <is>
          <t>A</t>
        </is>
      </c>
      <c r="H314" t="inlineStr">
        <is>
          <t>SAESA</t>
        </is>
      </c>
      <c r="I314" t="inlineStr">
        <is>
          <t>SAESLAUNBLOQA</t>
        </is>
      </c>
      <c r="J314" t="inlineStr">
        <is>
          <t>L.UNION</t>
        </is>
      </c>
      <c r="K314" t="n">
        <v>-4657.41927638</v>
      </c>
      <c r="L314" t="inlineStr">
        <is>
          <t>LA UNION</t>
        </is>
      </c>
      <c r="M314" t="inlineStr">
        <is>
          <t>MELIPULLI</t>
        </is>
      </c>
      <c r="N314" t="n">
        <v>0.05477087158033</v>
      </c>
      <c r="O314" t="n">
        <v>255.090913</v>
      </c>
      <c r="P314" t="inlineStr">
        <is>
          <t>BS1A</t>
        </is>
      </c>
      <c r="Q314" t="n">
        <v>2</v>
      </c>
      <c r="V314" t="n">
        <v>1472834.063</v>
      </c>
      <c r="W314" t="n">
        <v>2</v>
      </c>
      <c r="X314" t="n">
        <v>8.487e-08</v>
      </c>
      <c r="Y314" t="n">
        <v>0.249999</v>
      </c>
      <c r="Z314" t="n">
        <v>63.772473</v>
      </c>
      <c r="AA314" t="inlineStr">
        <is>
          <t>PNP_6T_08-05-2020</t>
        </is>
      </c>
      <c r="AB314" t="inlineStr">
        <is>
          <t>PNCP_9T_12-08-2019</t>
        </is>
      </c>
      <c r="AC314" t="inlineStr">
        <is>
          <t>PNCP_4T_30-04-2013</t>
        </is>
      </c>
      <c r="AD314" t="inlineStr">
        <is>
          <t>MELIPULLI 220</t>
        </is>
      </c>
      <c r="AE314" t="n">
        <v>111.133</v>
      </c>
      <c r="AF314" t="n">
        <v>1.072776031070834</v>
      </c>
      <c r="AG314" t="n">
        <v>119.220818660995</v>
      </c>
      <c r="AH314" t="n">
        <v>694.38</v>
      </c>
      <c r="AI314" t="n">
        <v>0.875</v>
      </c>
      <c r="AJ314" t="n">
        <v>72.43648305409401</v>
      </c>
      <c r="AK314" t="n">
        <v>0.8826000000000001</v>
      </c>
      <c r="AL314" t="n">
        <v>63.932</v>
      </c>
      <c r="AM314" t="n">
        <v>8.9176</v>
      </c>
      <c r="AN314" t="n">
        <v>9.566587534677272</v>
      </c>
      <c r="AO314" t="n">
        <v>0.913</v>
      </c>
      <c r="AP314" t="n">
        <v>6064.919358776563</v>
      </c>
      <c r="AQ314" t="n">
        <v>1</v>
      </c>
      <c r="AR314" t="n">
        <v>6064.9194</v>
      </c>
      <c r="AS314" t="n">
        <v>4077.101743836</v>
      </c>
      <c r="AT314" t="inlineStr">
        <is>
          <t>PNP_16T_02-11-2020</t>
        </is>
      </c>
      <c r="AU314" t="inlineStr">
        <is>
          <t>PNCP_2T_10-02-2020</t>
        </is>
      </c>
      <c r="AV314" t="inlineStr">
        <is>
          <t>PNCP_4T_30-04-2013</t>
        </is>
      </c>
      <c r="AW314" t="inlineStr">
        <is>
          <t>MELIPULLI 220</t>
        </is>
      </c>
      <c r="AX314" t="n">
        <v>111.133</v>
      </c>
      <c r="AY314" t="n">
        <v>1.080821157758461</v>
      </c>
      <c r="AZ314" t="n">
        <v>120.1148977251711</v>
      </c>
      <c r="BA314" t="n">
        <v>779.3099999999999</v>
      </c>
      <c r="BB314" t="n">
        <v>0.879</v>
      </c>
      <c r="BC314" t="n">
        <v>82.2803252917125</v>
      </c>
      <c r="BD314" t="n">
        <v>0.8421</v>
      </c>
      <c r="BE314" t="n">
        <v>69.288</v>
      </c>
      <c r="BF314" t="n">
        <v>8.9176</v>
      </c>
      <c r="BG314" t="n">
        <v>0.804</v>
      </c>
      <c r="BH314" t="n">
        <v>6039.043023599974</v>
      </c>
      <c r="BI314" t="n">
        <v>1</v>
      </c>
      <c r="BJ314" t="n">
        <v>6039.043</v>
      </c>
      <c r="BK314" t="n">
        <v>4418.667109223999</v>
      </c>
    </row>
    <row r="315">
      <c r="A315" t="n">
        <v>5528</v>
      </c>
      <c r="B315" t="inlineStr">
        <is>
          <t>01-10-2020</t>
        </is>
      </c>
      <c r="C315" t="n">
        <v>2020</v>
      </c>
      <c r="D315" t="n">
        <v>1</v>
      </c>
      <c r="E315" t="inlineStr">
        <is>
          <t>CAREN</t>
        </is>
      </c>
      <c r="F315" t="inlineStr">
        <is>
          <t>SUM_SAESA_A</t>
        </is>
      </c>
      <c r="G315" t="inlineStr">
        <is>
          <t>A</t>
        </is>
      </c>
      <c r="H315" t="inlineStr">
        <is>
          <t>SAESA</t>
        </is>
      </c>
      <c r="I315" t="inlineStr">
        <is>
          <t>SAESLAUNBLOQA</t>
        </is>
      </c>
      <c r="J315" t="inlineStr">
        <is>
          <t>L.UNION</t>
        </is>
      </c>
      <c r="K315" t="n">
        <v>-4657.41927638</v>
      </c>
      <c r="L315" t="inlineStr">
        <is>
          <t>LA UNION</t>
        </is>
      </c>
      <c r="M315" t="inlineStr">
        <is>
          <t>VALDIVIA</t>
        </is>
      </c>
      <c r="N315" t="n">
        <v>0.26660855469556</v>
      </c>
      <c r="O315" t="n">
        <v>1241.707822</v>
      </c>
      <c r="P315" t="inlineStr">
        <is>
          <t>BS1A</t>
        </is>
      </c>
      <c r="Q315" t="n">
        <v>2</v>
      </c>
      <c r="V315" t="n">
        <v>1472834.063</v>
      </c>
      <c r="W315" t="n">
        <v>2</v>
      </c>
      <c r="X315" t="n">
        <v>8.487e-08</v>
      </c>
      <c r="Y315" t="n">
        <v>0.249999</v>
      </c>
      <c r="Z315" t="n">
        <v>310.425714</v>
      </c>
      <c r="AA315" t="inlineStr">
        <is>
          <t>PNP_6T_08-05-2020</t>
        </is>
      </c>
      <c r="AB315" t="inlineStr">
        <is>
          <t>PNCP_9T_12-08-2019</t>
        </is>
      </c>
      <c r="AC315" t="inlineStr">
        <is>
          <t>PNCP_4T_30-04-2013</t>
        </is>
      </c>
      <c r="AD315" t="inlineStr">
        <is>
          <t>VALDIVIA 220</t>
        </is>
      </c>
      <c r="AE315" t="n">
        <v>111.133</v>
      </c>
      <c r="AF315" t="n">
        <v>1.072776031070834</v>
      </c>
      <c r="AG315" t="n">
        <v>119.220818660995</v>
      </c>
      <c r="AH315" t="n">
        <v>694.38</v>
      </c>
      <c r="AI315" t="n">
        <v>0.875</v>
      </c>
      <c r="AJ315" t="n">
        <v>72.43648305409401</v>
      </c>
      <c r="AK315" t="n">
        <v>0.913</v>
      </c>
      <c r="AL315" t="n">
        <v>66.13500000000001</v>
      </c>
      <c r="AM315" t="n">
        <v>8.9176</v>
      </c>
      <c r="AN315" t="n">
        <v>9.566587534677272</v>
      </c>
      <c r="AO315" t="n">
        <v>0.913</v>
      </c>
      <c r="AP315" t="n">
        <v>6064.919358776563</v>
      </c>
      <c r="AQ315" t="n">
        <v>1.051287819142954</v>
      </c>
      <c r="AR315" t="n">
        <v>6375.9758</v>
      </c>
      <c r="AS315" t="n">
        <v>20530.00459539</v>
      </c>
      <c r="AT315" t="inlineStr">
        <is>
          <t>PNP_16T_02-11-2020</t>
        </is>
      </c>
      <c r="AU315" t="inlineStr">
        <is>
          <t>PNCP_2T_10-02-2020</t>
        </is>
      </c>
      <c r="AV315" t="inlineStr">
        <is>
          <t>PNCP_4T_30-04-2013</t>
        </is>
      </c>
      <c r="AW315" t="inlineStr">
        <is>
          <t>VALDIVIA 220</t>
        </is>
      </c>
      <c r="AX315" t="n">
        <v>111.133</v>
      </c>
      <c r="AY315" t="n">
        <v>1.080821157758461</v>
      </c>
      <c r="AZ315" t="n">
        <v>120.1148977251711</v>
      </c>
      <c r="BA315" t="n">
        <v>779.3099999999999</v>
      </c>
      <c r="BB315" t="n">
        <v>0.879</v>
      </c>
      <c r="BC315" t="n">
        <v>82.2803252917125</v>
      </c>
      <c r="BD315" t="n">
        <v>0.9167</v>
      </c>
      <c r="BE315" t="n">
        <v>75.426</v>
      </c>
      <c r="BF315" t="n">
        <v>8.9176</v>
      </c>
      <c r="BG315" t="n">
        <v>0.804</v>
      </c>
      <c r="BH315" t="n">
        <v>6039.043023599974</v>
      </c>
      <c r="BI315" t="n">
        <v>1.096052187605444</v>
      </c>
      <c r="BJ315" t="n">
        <v>6619.1063</v>
      </c>
      <c r="BK315" t="n">
        <v>23414.169904164</v>
      </c>
    </row>
    <row r="316">
      <c r="A316" t="n">
        <v>1855</v>
      </c>
      <c r="B316" t="inlineStr">
        <is>
          <t>01-10-2020</t>
        </is>
      </c>
      <c r="C316" t="n">
        <v>2020</v>
      </c>
      <c r="D316" t="n">
        <v>1</v>
      </c>
      <c r="E316" t="inlineStr">
        <is>
          <t>CAREN</t>
        </is>
      </c>
      <c r="F316" t="inlineStr">
        <is>
          <t>SUM_SAESA_A</t>
        </is>
      </c>
      <c r="G316" t="inlineStr">
        <is>
          <t>A</t>
        </is>
      </c>
      <c r="H316" t="inlineStr">
        <is>
          <t>SAESA</t>
        </is>
      </c>
      <c r="I316" t="inlineStr">
        <is>
          <t>SAESLONCBLOQA</t>
        </is>
      </c>
      <c r="J316" t="inlineStr">
        <is>
          <t>LONCOCHE2</t>
        </is>
      </c>
      <c r="K316" t="n">
        <v>-5169.39822491</v>
      </c>
      <c r="L316" t="inlineStr">
        <is>
          <t>LONCOCHE</t>
        </is>
      </c>
      <c r="M316" t="inlineStr">
        <is>
          <t>CAUTÍN</t>
        </is>
      </c>
      <c r="N316" t="n">
        <v>0.14466350564106</v>
      </c>
      <c r="O316" t="n">
        <v>747.823269</v>
      </c>
      <c r="P316" t="inlineStr">
        <is>
          <t>BS1A</t>
        </is>
      </c>
      <c r="Q316" t="n">
        <v>2</v>
      </c>
      <c r="V316" t="n">
        <v>1472834.063</v>
      </c>
      <c r="W316" t="n">
        <v>2</v>
      </c>
      <c r="X316" t="n">
        <v>8.487e-08</v>
      </c>
      <c r="Y316" t="n">
        <v>0.249999</v>
      </c>
      <c r="Z316" t="n">
        <v>186.955069</v>
      </c>
      <c r="AA316" t="inlineStr">
        <is>
          <t>PNP_6T_08-05-2020</t>
        </is>
      </c>
      <c r="AB316" t="inlineStr">
        <is>
          <t>PNCP_9T_12-08-2019</t>
        </is>
      </c>
      <c r="AC316" t="inlineStr">
        <is>
          <t>PNCP_4T_30-04-2013</t>
        </is>
      </c>
      <c r="AD316" t="inlineStr">
        <is>
          <t>CAUTÍN 220</t>
        </is>
      </c>
      <c r="AE316" t="n">
        <v>111.133</v>
      </c>
      <c r="AF316" t="n">
        <v>1.072776031070834</v>
      </c>
      <c r="AG316" t="n">
        <v>119.220818660995</v>
      </c>
      <c r="AH316" t="n">
        <v>694.38</v>
      </c>
      <c r="AI316" t="n">
        <v>0.875</v>
      </c>
      <c r="AJ316" t="n">
        <v>72.43648305409401</v>
      </c>
      <c r="AK316" t="n">
        <v>0.9214</v>
      </c>
      <c r="AL316" t="n">
        <v>66.74299999999999</v>
      </c>
      <c r="AM316" t="n">
        <v>8.9176</v>
      </c>
      <c r="AN316" t="n">
        <v>9.566587534677272</v>
      </c>
      <c r="AO316" t="n">
        <v>0.913</v>
      </c>
      <c r="AP316" t="n">
        <v>6064.919358776563</v>
      </c>
      <c r="AQ316" t="n">
        <v>1.04671516253694</v>
      </c>
      <c r="AR316" t="n">
        <v>6348.2431</v>
      </c>
      <c r="AS316" t="n">
        <v>12477.942170267</v>
      </c>
      <c r="AT316" t="inlineStr">
        <is>
          <t>PNP_16T_02-11-2020</t>
        </is>
      </c>
      <c r="AU316" t="inlineStr">
        <is>
          <t>PNCP_2T_10-02-2020</t>
        </is>
      </c>
      <c r="AV316" t="inlineStr">
        <is>
          <t>PNCP_4T_30-04-2013</t>
        </is>
      </c>
      <c r="AW316" t="inlineStr">
        <is>
          <t>CAUTÍN 220</t>
        </is>
      </c>
      <c r="AX316" t="n">
        <v>111.133</v>
      </c>
      <c r="AY316" t="n">
        <v>1.080821157758461</v>
      </c>
      <c r="AZ316" t="n">
        <v>120.1148977251711</v>
      </c>
      <c r="BA316" t="n">
        <v>779.3099999999999</v>
      </c>
      <c r="BB316" t="n">
        <v>0.879</v>
      </c>
      <c r="BC316" t="n">
        <v>82.2803252917125</v>
      </c>
      <c r="BD316" t="n">
        <v>0.9324</v>
      </c>
      <c r="BE316" t="n">
        <v>76.718</v>
      </c>
      <c r="BF316" t="n">
        <v>8.9176</v>
      </c>
      <c r="BG316" t="n">
        <v>0.804</v>
      </c>
      <c r="BH316" t="n">
        <v>6039.043023599974</v>
      </c>
      <c r="BI316" t="n">
        <v>1.08558763355308</v>
      </c>
      <c r="BJ316" t="n">
        <v>6555.9104</v>
      </c>
      <c r="BK316" t="n">
        <v>14342.818983542</v>
      </c>
    </row>
    <row r="317">
      <c r="A317" t="n">
        <v>1857</v>
      </c>
      <c r="B317" t="inlineStr">
        <is>
          <t>01-10-2020</t>
        </is>
      </c>
      <c r="C317" t="n">
        <v>2020</v>
      </c>
      <c r="D317" t="n">
        <v>1</v>
      </c>
      <c r="E317" t="inlineStr">
        <is>
          <t>CAREN</t>
        </is>
      </c>
      <c r="F317" t="inlineStr">
        <is>
          <t>SUM_SAESA_A</t>
        </is>
      </c>
      <c r="G317" t="inlineStr">
        <is>
          <t>A</t>
        </is>
      </c>
      <c r="H317" t="inlineStr">
        <is>
          <t>SAESA</t>
        </is>
      </c>
      <c r="I317" t="inlineStr">
        <is>
          <t>SAESLONCBLOQA</t>
        </is>
      </c>
      <c r="J317" t="inlineStr">
        <is>
          <t>LONCOCHE2</t>
        </is>
      </c>
      <c r="K317" t="n">
        <v>-5169.39822491</v>
      </c>
      <c r="L317" t="inlineStr">
        <is>
          <t>LONCOCHE</t>
        </is>
      </c>
      <c r="M317" t="inlineStr">
        <is>
          <t>CHARRUA</t>
        </is>
      </c>
      <c r="N317" t="n">
        <v>0.04479645833059</v>
      </c>
      <c r="O317" t="n">
        <v>231.570732</v>
      </c>
      <c r="P317" t="inlineStr">
        <is>
          <t>BS1A</t>
        </is>
      </c>
      <c r="Q317" t="n">
        <v>2</v>
      </c>
      <c r="V317" t="n">
        <v>1472834.063</v>
      </c>
      <c r="W317" t="n">
        <v>2</v>
      </c>
      <c r="X317" t="n">
        <v>8.487e-08</v>
      </c>
      <c r="Y317" t="n">
        <v>0.249999</v>
      </c>
      <c r="Z317" t="n">
        <v>57.892451</v>
      </c>
      <c r="AA317" t="inlineStr">
        <is>
          <t>PNP_6T_08-05-2020</t>
        </is>
      </c>
      <c r="AB317" t="inlineStr">
        <is>
          <t>PNCP_9T_12-08-2019</t>
        </is>
      </c>
      <c r="AC317" t="inlineStr">
        <is>
          <t>PNCP_4T_30-04-2013</t>
        </is>
      </c>
      <c r="AD317" t="inlineStr">
        <is>
          <t>CHARRUA 220</t>
        </is>
      </c>
      <c r="AE317" t="n">
        <v>111.133</v>
      </c>
      <c r="AF317" t="n">
        <v>1.072776031070834</v>
      </c>
      <c r="AG317" t="n">
        <v>119.220818660995</v>
      </c>
      <c r="AH317" t="n">
        <v>694.38</v>
      </c>
      <c r="AI317" t="n">
        <v>0.875</v>
      </c>
      <c r="AJ317" t="n">
        <v>72.43648305409401</v>
      </c>
      <c r="AK317" t="n">
        <v>0.9350000000000001</v>
      </c>
      <c r="AL317" t="n">
        <v>67.72799999999999</v>
      </c>
      <c r="AM317" t="n">
        <v>8.9176</v>
      </c>
      <c r="AN317" t="n">
        <v>9.566587534677272</v>
      </c>
      <c r="AO317" t="n">
        <v>0.913</v>
      </c>
      <c r="AP317" t="n">
        <v>6064.919358776563</v>
      </c>
      <c r="AQ317" t="n">
        <v>1.096171586715867</v>
      </c>
      <c r="AR317" t="n">
        <v>6648.1923</v>
      </c>
      <c r="AS317" t="n">
        <v>3920.939921328</v>
      </c>
      <c r="AT317" t="inlineStr">
        <is>
          <t>PNP_16T_02-11-2020</t>
        </is>
      </c>
      <c r="AU317" t="inlineStr">
        <is>
          <t>PNCP_2T_10-02-2020</t>
        </is>
      </c>
      <c r="AV317" t="inlineStr">
        <is>
          <t>PNCP_4T_30-04-2013</t>
        </is>
      </c>
      <c r="AW317" t="inlineStr">
        <is>
          <t>CHARRUA 220</t>
        </is>
      </c>
      <c r="AX317" t="n">
        <v>111.133</v>
      </c>
      <c r="AY317" t="n">
        <v>1.080821157758461</v>
      </c>
      <c r="AZ317" t="n">
        <v>120.1148977251711</v>
      </c>
      <c r="BA317" t="n">
        <v>779.3099999999999</v>
      </c>
      <c r="BB317" t="n">
        <v>0.879</v>
      </c>
      <c r="BC317" t="n">
        <v>82.2803252917125</v>
      </c>
      <c r="BD317" t="n">
        <v>0.9312</v>
      </c>
      <c r="BE317" t="n">
        <v>76.619</v>
      </c>
      <c r="BF317" t="n">
        <v>8.9176</v>
      </c>
      <c r="BG317" t="n">
        <v>0.804</v>
      </c>
      <c r="BH317" t="n">
        <v>6039.043023599974</v>
      </c>
      <c r="BI317" t="n">
        <v>1.118773062730627</v>
      </c>
      <c r="BJ317" t="n">
        <v>6756.3187</v>
      </c>
      <c r="BK317" t="n">
        <v>4435.661703169</v>
      </c>
    </row>
    <row r="318">
      <c r="A318" t="n">
        <v>1859</v>
      </c>
      <c r="B318" t="inlineStr">
        <is>
          <t>01-10-2020</t>
        </is>
      </c>
      <c r="C318" t="n">
        <v>2020</v>
      </c>
      <c r="D318" t="n">
        <v>1</v>
      </c>
      <c r="E318" t="inlineStr">
        <is>
          <t>CAREN</t>
        </is>
      </c>
      <c r="F318" t="inlineStr">
        <is>
          <t>SUM_SAESA_A</t>
        </is>
      </c>
      <c r="G318" t="inlineStr">
        <is>
          <t>A</t>
        </is>
      </c>
      <c r="H318" t="inlineStr">
        <is>
          <t>SAESA</t>
        </is>
      </c>
      <c r="I318" t="inlineStr">
        <is>
          <t>SAESLONCBLOQA</t>
        </is>
      </c>
      <c r="J318" t="inlineStr">
        <is>
          <t>LONCOCHE2</t>
        </is>
      </c>
      <c r="K318" t="n">
        <v>-5169.39822491</v>
      </c>
      <c r="L318" t="inlineStr">
        <is>
          <t>LONCOCHE</t>
        </is>
      </c>
      <c r="M318" t="inlineStr">
        <is>
          <t>TEMUCO</t>
        </is>
      </c>
      <c r="N318" t="n">
        <v>0.81998113373673</v>
      </c>
      <c r="O318" t="n">
        <v>4238.809017</v>
      </c>
      <c r="P318" t="inlineStr">
        <is>
          <t>BS1A</t>
        </is>
      </c>
      <c r="Q318" t="n">
        <v>2</v>
      </c>
      <c r="V318" t="n">
        <v>1472834.063</v>
      </c>
      <c r="W318" t="n">
        <v>2</v>
      </c>
      <c r="X318" t="n">
        <v>8.487e-08</v>
      </c>
      <c r="Y318" t="n">
        <v>0.249999</v>
      </c>
      <c r="Z318" t="n">
        <v>1059.698015</v>
      </c>
      <c r="AA318" t="inlineStr">
        <is>
          <t>PNP_6T_08-05-2020</t>
        </is>
      </c>
      <c r="AB318" t="inlineStr">
        <is>
          <t>PNCP_9T_12-08-2019</t>
        </is>
      </c>
      <c r="AC318" t="inlineStr">
        <is>
          <t>PNCP_4T_30-04-2013</t>
        </is>
      </c>
      <c r="AD318" t="inlineStr">
        <is>
          <t>TEMUCO 220</t>
        </is>
      </c>
      <c r="AE318" t="n">
        <v>111.133</v>
      </c>
      <c r="AF318" t="n">
        <v>1.072776031070834</v>
      </c>
      <c r="AG318" t="n">
        <v>119.220818660995</v>
      </c>
      <c r="AH318" t="n">
        <v>694.38</v>
      </c>
      <c r="AI318" t="n">
        <v>0.875</v>
      </c>
      <c r="AJ318" t="n">
        <v>72.43648305409401</v>
      </c>
      <c r="AK318" t="n">
        <v>0.9159</v>
      </c>
      <c r="AL318" t="n">
        <v>66.345</v>
      </c>
      <c r="AM318" t="n">
        <v>8.9176</v>
      </c>
      <c r="AN318" t="n">
        <v>9.566587534677272</v>
      </c>
      <c r="AO318" t="n">
        <v>0.913</v>
      </c>
      <c r="AP318" t="n">
        <v>6064.919358776563</v>
      </c>
      <c r="AQ318" t="n">
        <v>1.043187485830877</v>
      </c>
      <c r="AR318" t="n">
        <v>6326.848</v>
      </c>
      <c r="AS318" t="n">
        <v>70305.66480517499</v>
      </c>
      <c r="AT318" t="inlineStr">
        <is>
          <t>PNP_16T_02-11-2020</t>
        </is>
      </c>
      <c r="AU318" t="inlineStr">
        <is>
          <t>PNCP_2T_10-02-2020</t>
        </is>
      </c>
      <c r="AV318" t="inlineStr">
        <is>
          <t>PNCP_4T_30-04-2013</t>
        </is>
      </c>
      <c r="AW318" t="inlineStr">
        <is>
          <t>TEMUCO 220</t>
        </is>
      </c>
      <c r="AX318" t="n">
        <v>111.133</v>
      </c>
      <c r="AY318" t="n">
        <v>1.080821157758461</v>
      </c>
      <c r="AZ318" t="n">
        <v>120.1148977251711</v>
      </c>
      <c r="BA318" t="n">
        <v>779.3099999999999</v>
      </c>
      <c r="BB318" t="n">
        <v>0.879</v>
      </c>
      <c r="BC318" t="n">
        <v>82.2803252917125</v>
      </c>
      <c r="BD318" t="n">
        <v>0.9286</v>
      </c>
      <c r="BE318" t="n">
        <v>76.40600000000001</v>
      </c>
      <c r="BF318" t="n">
        <v>8.9176</v>
      </c>
      <c r="BG318" t="n">
        <v>0.804</v>
      </c>
      <c r="BH318" t="n">
        <v>6039.043023599974</v>
      </c>
      <c r="BI318" t="n">
        <v>1.081160734527318</v>
      </c>
      <c r="BJ318" t="n">
        <v>6529.1762</v>
      </c>
      <c r="BK318" t="n">
        <v>80967.28653409</v>
      </c>
    </row>
    <row r="319">
      <c r="A319" t="n">
        <v>3727</v>
      </c>
      <c r="B319" t="inlineStr">
        <is>
          <t>01-10-2020</t>
        </is>
      </c>
      <c r="C319" t="n">
        <v>2020</v>
      </c>
      <c r="D319" t="n">
        <v>1</v>
      </c>
      <c r="E319" t="inlineStr">
        <is>
          <t>CAREN</t>
        </is>
      </c>
      <c r="F319" t="inlineStr">
        <is>
          <t>SUM_SAESA_A</t>
        </is>
      </c>
      <c r="G319" t="inlineStr">
        <is>
          <t>A</t>
        </is>
      </c>
      <c r="H319" t="inlineStr">
        <is>
          <t>SAESA</t>
        </is>
      </c>
      <c r="I319" t="inlineStr">
        <is>
          <t>SAESLTAMBLOQA</t>
        </is>
      </c>
      <c r="J319" t="inlineStr">
        <is>
          <t>LOS_TAMBORES</t>
        </is>
      </c>
      <c r="K319" t="n">
        <v>-3852.98157354</v>
      </c>
      <c r="L319" t="inlineStr">
        <is>
          <t>LOS TAMBORES</t>
        </is>
      </c>
      <c r="M319" t="inlineStr">
        <is>
          <t>BARRO BLANCO</t>
        </is>
      </c>
      <c r="N319" t="n">
        <v>0.75545534124308</v>
      </c>
      <c r="O319" t="n">
        <v>2910.755509</v>
      </c>
      <c r="P319" t="inlineStr">
        <is>
          <t>BS1A</t>
        </is>
      </c>
      <c r="Q319" t="n">
        <v>2</v>
      </c>
      <c r="V319" t="n">
        <v>1472834.063</v>
      </c>
      <c r="W319" t="n">
        <v>2</v>
      </c>
      <c r="X319" t="n">
        <v>8.487e-08</v>
      </c>
      <c r="Y319" t="n">
        <v>0.249999</v>
      </c>
      <c r="Z319" t="n">
        <v>727.685966</v>
      </c>
      <c r="AA319" t="inlineStr">
        <is>
          <t>PNP_6T_08-05-2020</t>
        </is>
      </c>
      <c r="AB319" t="inlineStr">
        <is>
          <t>PNCP_9T_12-08-2019</t>
        </is>
      </c>
      <c r="AC319" t="inlineStr">
        <is>
          <t>PNCP_4T_30-04-2013</t>
        </is>
      </c>
      <c r="AD319" t="inlineStr">
        <is>
          <t>Barro Blanco 220</t>
        </is>
      </c>
      <c r="AE319" t="n">
        <v>111.133</v>
      </c>
      <c r="AF319" t="n">
        <v>1.072776031070834</v>
      </c>
      <c r="AG319" t="n">
        <v>119.220818660995</v>
      </c>
      <c r="AH319" t="n">
        <v>694.38</v>
      </c>
      <c r="AI319" t="n">
        <v>0.875</v>
      </c>
      <c r="AJ319" t="n">
        <v>72.43648305409401</v>
      </c>
      <c r="AK319" t="n">
        <v>0.8631</v>
      </c>
      <c r="AL319" t="n">
        <v>62.52</v>
      </c>
      <c r="AM319" t="n">
        <v>8.9176</v>
      </c>
      <c r="AN319" t="n">
        <v>9.566587534677272</v>
      </c>
      <c r="AO319" t="n">
        <v>0.913</v>
      </c>
      <c r="AP319" t="n">
        <v>6064.919358776563</v>
      </c>
      <c r="AQ319" t="n">
        <v>1.004432825642191</v>
      </c>
      <c r="AR319" t="n">
        <v>6091.8041</v>
      </c>
      <c r="AS319" t="n">
        <v>45494.92659432</v>
      </c>
      <c r="AT319" t="inlineStr">
        <is>
          <t>PNP_16T_02-11-2020</t>
        </is>
      </c>
      <c r="AU319" t="inlineStr">
        <is>
          <t>PNCP_2T_10-02-2020</t>
        </is>
      </c>
      <c r="AV319" t="inlineStr">
        <is>
          <t>PNCP_4T_30-04-2013</t>
        </is>
      </c>
      <c r="AW319" t="inlineStr">
        <is>
          <t>Barro Blanco 220</t>
        </is>
      </c>
      <c r="AX319" t="n">
        <v>111.133</v>
      </c>
      <c r="AY319" t="n">
        <v>1.080821157758461</v>
      </c>
      <c r="AZ319" t="n">
        <v>120.1148977251711</v>
      </c>
      <c r="BA319" t="n">
        <v>779.3099999999999</v>
      </c>
      <c r="BB319" t="n">
        <v>0.879</v>
      </c>
      <c r="BC319" t="n">
        <v>82.2803252917125</v>
      </c>
      <c r="BD319" t="n">
        <v>0.846</v>
      </c>
      <c r="BE319" t="n">
        <v>69.60899999999999</v>
      </c>
      <c r="BF319" t="n">
        <v>8.9176</v>
      </c>
      <c r="BG319" t="n">
        <v>0.804</v>
      </c>
      <c r="BH319" t="n">
        <v>6039.043023599974</v>
      </c>
      <c r="BI319" t="n">
        <v>1.011820868379177</v>
      </c>
      <c r="BJ319" t="n">
        <v>6110.4298</v>
      </c>
      <c r="BK319" t="n">
        <v>50653.492407294</v>
      </c>
    </row>
    <row r="320">
      <c r="A320" t="n">
        <v>3729</v>
      </c>
      <c r="B320" t="inlineStr">
        <is>
          <t>01-10-2020</t>
        </is>
      </c>
      <c r="C320" t="n">
        <v>2020</v>
      </c>
      <c r="D320" t="n">
        <v>1</v>
      </c>
      <c r="E320" t="inlineStr">
        <is>
          <t>CAREN</t>
        </is>
      </c>
      <c r="F320" t="inlineStr">
        <is>
          <t>SUM_SAESA_A</t>
        </is>
      </c>
      <c r="G320" t="inlineStr">
        <is>
          <t>A</t>
        </is>
      </c>
      <c r="H320" t="inlineStr">
        <is>
          <t>SAESA</t>
        </is>
      </c>
      <c r="I320" t="inlineStr">
        <is>
          <t>SAESLTAMBLOQA</t>
        </is>
      </c>
      <c r="J320" t="inlineStr">
        <is>
          <t>LOS_TAMBORES</t>
        </is>
      </c>
      <c r="K320" t="n">
        <v>-3852.98157354</v>
      </c>
      <c r="L320" t="inlineStr">
        <is>
          <t>LOS TAMBORES</t>
        </is>
      </c>
      <c r="M320" t="inlineStr">
        <is>
          <t>MELIPULLI</t>
        </is>
      </c>
      <c r="N320" t="n">
        <v>0.04254585600052</v>
      </c>
      <c r="O320" t="n">
        <v>163.928399</v>
      </c>
      <c r="P320" t="inlineStr">
        <is>
          <t>BS1A</t>
        </is>
      </c>
      <c r="Q320" t="n">
        <v>2</v>
      </c>
      <c r="V320" t="n">
        <v>1472834.063</v>
      </c>
      <c r="W320" t="n">
        <v>2</v>
      </c>
      <c r="X320" t="n">
        <v>8.487e-08</v>
      </c>
      <c r="Y320" t="n">
        <v>0.249999</v>
      </c>
      <c r="Z320" t="n">
        <v>40.981936</v>
      </c>
      <c r="AA320" t="inlineStr">
        <is>
          <t>PNP_6T_08-05-2020</t>
        </is>
      </c>
      <c r="AB320" t="inlineStr">
        <is>
          <t>PNCP_9T_12-08-2019</t>
        </is>
      </c>
      <c r="AC320" t="inlineStr">
        <is>
          <t>PNCP_4T_30-04-2013</t>
        </is>
      </c>
      <c r="AD320" t="inlineStr">
        <is>
          <t>MELIPULLI 220</t>
        </is>
      </c>
      <c r="AE320" t="n">
        <v>111.133</v>
      </c>
      <c r="AF320" t="n">
        <v>1.072776031070834</v>
      </c>
      <c r="AG320" t="n">
        <v>119.220818660995</v>
      </c>
      <c r="AH320" t="n">
        <v>694.38</v>
      </c>
      <c r="AI320" t="n">
        <v>0.875</v>
      </c>
      <c r="AJ320" t="n">
        <v>72.43648305409401</v>
      </c>
      <c r="AK320" t="n">
        <v>0.8826000000000001</v>
      </c>
      <c r="AL320" t="n">
        <v>63.932</v>
      </c>
      <c r="AM320" t="n">
        <v>8.9176</v>
      </c>
      <c r="AN320" t="n">
        <v>9.566587534677272</v>
      </c>
      <c r="AO320" t="n">
        <v>0.913</v>
      </c>
      <c r="AP320" t="n">
        <v>6064.919358776563</v>
      </c>
      <c r="AQ320" t="n">
        <v>1</v>
      </c>
      <c r="AR320" t="n">
        <v>6064.9194</v>
      </c>
      <c r="AS320" t="n">
        <v>2620.057132352</v>
      </c>
      <c r="AT320" t="inlineStr">
        <is>
          <t>PNP_16T_02-11-2020</t>
        </is>
      </c>
      <c r="AU320" t="inlineStr">
        <is>
          <t>PNCP_2T_10-02-2020</t>
        </is>
      </c>
      <c r="AV320" t="inlineStr">
        <is>
          <t>PNCP_4T_30-04-2013</t>
        </is>
      </c>
      <c r="AW320" t="inlineStr">
        <is>
          <t>MELIPULLI 220</t>
        </is>
      </c>
      <c r="AX320" t="n">
        <v>111.133</v>
      </c>
      <c r="AY320" t="n">
        <v>1.080821157758461</v>
      </c>
      <c r="AZ320" t="n">
        <v>120.1148977251711</v>
      </c>
      <c r="BA320" t="n">
        <v>779.3099999999999</v>
      </c>
      <c r="BB320" t="n">
        <v>0.879</v>
      </c>
      <c r="BC320" t="n">
        <v>82.2803252917125</v>
      </c>
      <c r="BD320" t="n">
        <v>0.8421</v>
      </c>
      <c r="BE320" t="n">
        <v>69.288</v>
      </c>
      <c r="BF320" t="n">
        <v>8.9176</v>
      </c>
      <c r="BG320" t="n">
        <v>0.804</v>
      </c>
      <c r="BH320" t="n">
        <v>6039.043023599974</v>
      </c>
      <c r="BI320" t="n">
        <v>1</v>
      </c>
      <c r="BJ320" t="n">
        <v>6039.043</v>
      </c>
      <c r="BK320" t="n">
        <v>2839.556381568</v>
      </c>
    </row>
    <row r="321">
      <c r="A321" t="n">
        <v>3731</v>
      </c>
      <c r="B321" t="inlineStr">
        <is>
          <t>01-10-2020</t>
        </is>
      </c>
      <c r="C321" t="n">
        <v>2020</v>
      </c>
      <c r="D321" t="n">
        <v>1</v>
      </c>
      <c r="E321" t="inlineStr">
        <is>
          <t>CAREN</t>
        </is>
      </c>
      <c r="F321" t="inlineStr">
        <is>
          <t>SUM_SAESA_A</t>
        </is>
      </c>
      <c r="G321" t="inlineStr">
        <is>
          <t>A</t>
        </is>
      </c>
      <c r="H321" t="inlineStr">
        <is>
          <t>SAESA</t>
        </is>
      </c>
      <c r="I321" t="inlineStr">
        <is>
          <t>SAESLTAMBLOQA</t>
        </is>
      </c>
      <c r="J321" t="inlineStr">
        <is>
          <t>LOS_TAMBORES</t>
        </is>
      </c>
      <c r="K321" t="n">
        <v>-3852.98157354</v>
      </c>
      <c r="L321" t="inlineStr">
        <is>
          <t>LOS TAMBORES</t>
        </is>
      </c>
      <c r="M321" t="inlineStr">
        <is>
          <t>VALDIVIA</t>
        </is>
      </c>
      <c r="N321" t="n">
        <v>0.15079558340347</v>
      </c>
      <c r="O321" t="n">
        <v>581.012604</v>
      </c>
      <c r="P321" t="inlineStr">
        <is>
          <t>BS1A</t>
        </is>
      </c>
      <c r="Q321" t="n">
        <v>2</v>
      </c>
      <c r="V321" t="n">
        <v>1472834.063</v>
      </c>
      <c r="W321" t="n">
        <v>2</v>
      </c>
      <c r="X321" t="n">
        <v>8.487e-08</v>
      </c>
      <c r="Y321" t="n">
        <v>0.249999</v>
      </c>
      <c r="Z321" t="n">
        <v>145.25257</v>
      </c>
      <c r="AA321" t="inlineStr">
        <is>
          <t>PNP_6T_08-05-2020</t>
        </is>
      </c>
      <c r="AB321" t="inlineStr">
        <is>
          <t>PNCP_9T_12-08-2019</t>
        </is>
      </c>
      <c r="AC321" t="inlineStr">
        <is>
          <t>PNCP_4T_30-04-2013</t>
        </is>
      </c>
      <c r="AD321" t="inlineStr">
        <is>
          <t>VALDIVIA 220</t>
        </is>
      </c>
      <c r="AE321" t="n">
        <v>111.133</v>
      </c>
      <c r="AF321" t="n">
        <v>1.072776031070834</v>
      </c>
      <c r="AG321" t="n">
        <v>119.220818660995</v>
      </c>
      <c r="AH321" t="n">
        <v>694.38</v>
      </c>
      <c r="AI321" t="n">
        <v>0.875</v>
      </c>
      <c r="AJ321" t="n">
        <v>72.43648305409401</v>
      </c>
      <c r="AK321" t="n">
        <v>0.913</v>
      </c>
      <c r="AL321" t="n">
        <v>66.13500000000001</v>
      </c>
      <c r="AM321" t="n">
        <v>8.9176</v>
      </c>
      <c r="AN321" t="n">
        <v>9.566587534677272</v>
      </c>
      <c r="AO321" t="n">
        <v>0.913</v>
      </c>
      <c r="AP321" t="n">
        <v>6064.919358776563</v>
      </c>
      <c r="AQ321" t="n">
        <v>1.051287819142954</v>
      </c>
      <c r="AR321" t="n">
        <v>6375.9758</v>
      </c>
      <c r="AS321" t="n">
        <v>9606.278716950001</v>
      </c>
      <c r="AT321" t="inlineStr">
        <is>
          <t>PNP_16T_02-11-2020</t>
        </is>
      </c>
      <c r="AU321" t="inlineStr">
        <is>
          <t>PNCP_2T_10-02-2020</t>
        </is>
      </c>
      <c r="AV321" t="inlineStr">
        <is>
          <t>PNCP_4T_30-04-2013</t>
        </is>
      </c>
      <c r="AW321" t="inlineStr">
        <is>
          <t>VALDIVIA 220</t>
        </is>
      </c>
      <c r="AX321" t="n">
        <v>111.133</v>
      </c>
      <c r="AY321" t="n">
        <v>1.080821157758461</v>
      </c>
      <c r="AZ321" t="n">
        <v>120.1148977251711</v>
      </c>
      <c r="BA321" t="n">
        <v>779.3099999999999</v>
      </c>
      <c r="BB321" t="n">
        <v>0.879</v>
      </c>
      <c r="BC321" t="n">
        <v>82.2803252917125</v>
      </c>
      <c r="BD321" t="n">
        <v>0.9167</v>
      </c>
      <c r="BE321" t="n">
        <v>75.426</v>
      </c>
      <c r="BF321" t="n">
        <v>8.9176</v>
      </c>
      <c r="BG321" t="n">
        <v>0.804</v>
      </c>
      <c r="BH321" t="n">
        <v>6039.043023599974</v>
      </c>
      <c r="BI321" t="n">
        <v>1.096052187605444</v>
      </c>
      <c r="BJ321" t="n">
        <v>6619.1063</v>
      </c>
      <c r="BK321" t="n">
        <v>10955.82034482</v>
      </c>
    </row>
    <row r="322">
      <c r="A322" t="n">
        <v>619</v>
      </c>
      <c r="B322" t="inlineStr">
        <is>
          <t>01-10-2020</t>
        </is>
      </c>
      <c r="C322" t="n">
        <v>2020</v>
      </c>
      <c r="D322" t="n">
        <v>1</v>
      </c>
      <c r="E322" t="inlineStr">
        <is>
          <t>CAREN</t>
        </is>
      </c>
      <c r="F322" t="inlineStr">
        <is>
          <t>SUM_SAESA_A</t>
        </is>
      </c>
      <c r="G322" t="inlineStr">
        <is>
          <t>A</t>
        </is>
      </c>
      <c r="H322" t="inlineStr">
        <is>
          <t>SAESA</t>
        </is>
      </c>
      <c r="I322" t="inlineStr">
        <is>
          <t>SAESMARIBLOQA</t>
        </is>
      </c>
      <c r="J322" t="inlineStr">
        <is>
          <t>MARIQUINA</t>
        </is>
      </c>
      <c r="K322" t="n">
        <v>-3242.39499026</v>
      </c>
      <c r="L322" t="inlineStr">
        <is>
          <t>MARIQUINA</t>
        </is>
      </c>
      <c r="M322" t="inlineStr">
        <is>
          <t>LOS CIRUELOS</t>
        </is>
      </c>
      <c r="N322" t="n">
        <v>0.8657261296708</v>
      </c>
      <c r="O322" t="n">
        <v>2807.026066</v>
      </c>
      <c r="P322" t="inlineStr">
        <is>
          <t>BS1A</t>
        </is>
      </c>
      <c r="Q322" t="n">
        <v>2</v>
      </c>
      <c r="V322" t="n">
        <v>1472834.063</v>
      </c>
      <c r="W322" t="n">
        <v>2</v>
      </c>
      <c r="X322" t="n">
        <v>8.487e-08</v>
      </c>
      <c r="Y322" t="n">
        <v>0.249999</v>
      </c>
      <c r="Z322" t="n">
        <v>701.753709</v>
      </c>
    </row>
    <row r="323">
      <c r="A323" t="n">
        <v>4873</v>
      </c>
      <c r="B323" t="inlineStr">
        <is>
          <t>01-10-2020</t>
        </is>
      </c>
      <c r="C323" t="n">
        <v>2020</v>
      </c>
      <c r="D323" t="n">
        <v>1</v>
      </c>
      <c r="E323" t="inlineStr">
        <is>
          <t>CAREN</t>
        </is>
      </c>
      <c r="F323" t="inlineStr">
        <is>
          <t>SUM_SAESA_A</t>
        </is>
      </c>
      <c r="G323" t="inlineStr">
        <is>
          <t>A</t>
        </is>
      </c>
      <c r="H323" t="inlineStr">
        <is>
          <t>SAESA</t>
        </is>
      </c>
      <c r="I323" t="inlineStr">
        <is>
          <t>SAESMELIBLOQA</t>
        </is>
      </c>
      <c r="J323" t="inlineStr">
        <is>
          <t>MELIPULLI</t>
        </is>
      </c>
      <c r="K323" t="n">
        <v>-46978.71675743</v>
      </c>
      <c r="L323" t="inlineStr">
        <is>
          <t>MELIPULLI</t>
        </is>
      </c>
      <c r="M323" t="inlineStr">
        <is>
          <t>Barro Blanco</t>
        </is>
      </c>
      <c r="N323" t="n">
        <v>0.01002306488906</v>
      </c>
      <c r="O323" t="n">
        <v>470.870726</v>
      </c>
      <c r="P323" t="inlineStr">
        <is>
          <t>BS1A</t>
        </is>
      </c>
      <c r="Q323" t="n">
        <v>2</v>
      </c>
      <c r="V323" t="n">
        <v>1472834.063</v>
      </c>
      <c r="W323" t="n">
        <v>2</v>
      </c>
      <c r="X323" t="n">
        <v>8.487e-08</v>
      </c>
      <c r="Y323" t="n">
        <v>0.249999</v>
      </c>
      <c r="Z323" t="n">
        <v>117.717211</v>
      </c>
      <c r="AA323" t="inlineStr">
        <is>
          <t>PNP_6T_08-05-2020</t>
        </is>
      </c>
      <c r="AB323" t="inlineStr">
        <is>
          <t>PNCP_9T_12-08-2019</t>
        </is>
      </c>
      <c r="AC323" t="inlineStr">
        <is>
          <t>PNCP_4T_30-04-2013</t>
        </is>
      </c>
      <c r="AD323" t="inlineStr">
        <is>
          <t>Barro Blanco 220</t>
        </is>
      </c>
      <c r="AE323" t="n">
        <v>111.133</v>
      </c>
      <c r="AF323" t="n">
        <v>1.072776031070834</v>
      </c>
      <c r="AG323" t="n">
        <v>119.220818660995</v>
      </c>
      <c r="AH323" t="n">
        <v>694.38</v>
      </c>
      <c r="AI323" t="n">
        <v>0.875</v>
      </c>
      <c r="AJ323" t="n">
        <v>72.43648305409401</v>
      </c>
      <c r="AK323" t="n">
        <v>0.8631</v>
      </c>
      <c r="AL323" t="n">
        <v>62.52</v>
      </c>
      <c r="AM323" t="n">
        <v>8.9176</v>
      </c>
      <c r="AN323" t="n">
        <v>9.566587534677272</v>
      </c>
      <c r="AO323" t="n">
        <v>0.913</v>
      </c>
      <c r="AP323" t="n">
        <v>6064.919358776563</v>
      </c>
      <c r="AQ323" t="n">
        <v>1.004432825642191</v>
      </c>
      <c r="AR323" t="n">
        <v>6091.8041</v>
      </c>
      <c r="AS323" t="n">
        <v>7359.68003172</v>
      </c>
      <c r="AT323" t="inlineStr">
        <is>
          <t>PNP_16T_02-11-2020</t>
        </is>
      </c>
      <c r="AU323" t="inlineStr">
        <is>
          <t>PNCP_2T_10-02-2020</t>
        </is>
      </c>
      <c r="AV323" t="inlineStr">
        <is>
          <t>PNCP_4T_30-04-2013</t>
        </is>
      </c>
      <c r="AW323" t="inlineStr">
        <is>
          <t>Barro Blanco 220</t>
        </is>
      </c>
      <c r="AX323" t="n">
        <v>111.133</v>
      </c>
      <c r="AY323" t="n">
        <v>1.080821157758461</v>
      </c>
      <c r="AZ323" t="n">
        <v>120.1148977251711</v>
      </c>
      <c r="BA323" t="n">
        <v>779.3099999999999</v>
      </c>
      <c r="BB323" t="n">
        <v>0.879</v>
      </c>
      <c r="BC323" t="n">
        <v>82.2803252917125</v>
      </c>
      <c r="BD323" t="n">
        <v>0.846</v>
      </c>
      <c r="BE323" t="n">
        <v>69.60899999999999</v>
      </c>
      <c r="BF323" t="n">
        <v>8.9176</v>
      </c>
      <c r="BG323" t="n">
        <v>0.804</v>
      </c>
      <c r="BH323" t="n">
        <v>6039.043023599974</v>
      </c>
      <c r="BI323" t="n">
        <v>1.011820868379177</v>
      </c>
      <c r="BJ323" t="n">
        <v>6110.4298</v>
      </c>
      <c r="BK323" t="n">
        <v>8194.177340499</v>
      </c>
    </row>
    <row r="324">
      <c r="A324" t="n">
        <v>4875</v>
      </c>
      <c r="B324" t="inlineStr">
        <is>
          <t>01-10-2020</t>
        </is>
      </c>
      <c r="C324" t="n">
        <v>2020</v>
      </c>
      <c r="D324" t="n">
        <v>1</v>
      </c>
      <c r="E324" t="inlineStr">
        <is>
          <t>CAREN</t>
        </is>
      </c>
      <c r="F324" t="inlineStr">
        <is>
          <t>SUM_SAESA_A</t>
        </is>
      </c>
      <c r="G324" t="inlineStr">
        <is>
          <t>A</t>
        </is>
      </c>
      <c r="H324" t="inlineStr">
        <is>
          <t>SAESA</t>
        </is>
      </c>
      <c r="I324" t="inlineStr">
        <is>
          <t>SAESMELIBLOQA</t>
        </is>
      </c>
      <c r="J324" t="inlineStr">
        <is>
          <t>MELIPULLI</t>
        </is>
      </c>
      <c r="K324" t="n">
        <v>-46978.71675743</v>
      </c>
      <c r="L324" t="inlineStr">
        <is>
          <t>MELIPULLI</t>
        </is>
      </c>
      <c r="M324" t="inlineStr">
        <is>
          <t>MELIPULLI</t>
        </is>
      </c>
      <c r="N324" t="n">
        <v>0.76027818246183</v>
      </c>
      <c r="O324" t="n">
        <v>35716.893391</v>
      </c>
      <c r="P324" t="inlineStr">
        <is>
          <t>BS1A</t>
        </is>
      </c>
      <c r="Q324" t="n">
        <v>2</v>
      </c>
      <c r="V324" t="n">
        <v>1472834.063</v>
      </c>
      <c r="W324" t="n">
        <v>2</v>
      </c>
      <c r="X324" t="n">
        <v>8.487e-08</v>
      </c>
      <c r="Y324" t="n">
        <v>0.249999</v>
      </c>
      <c r="Z324" t="n">
        <v>8929.187631000001</v>
      </c>
      <c r="AA324" t="inlineStr">
        <is>
          <t>PNP_6T_08-05-2020</t>
        </is>
      </c>
      <c r="AB324" t="inlineStr">
        <is>
          <t>PNCP_9T_12-08-2019</t>
        </is>
      </c>
      <c r="AC324" t="inlineStr">
        <is>
          <t>PNCP_4T_30-04-2013</t>
        </is>
      </c>
      <c r="AD324" t="inlineStr">
        <is>
          <t>MELIPULLI 220</t>
        </is>
      </c>
      <c r="AE324" t="n">
        <v>111.133</v>
      </c>
      <c r="AF324" t="n">
        <v>1.072776031070834</v>
      </c>
      <c r="AG324" t="n">
        <v>119.220818660995</v>
      </c>
      <c r="AH324" t="n">
        <v>694.38</v>
      </c>
      <c r="AI324" t="n">
        <v>0.875</v>
      </c>
      <c r="AJ324" t="n">
        <v>72.43648305409401</v>
      </c>
      <c r="AK324" t="n">
        <v>0.8826000000000001</v>
      </c>
      <c r="AL324" t="n">
        <v>63.932</v>
      </c>
      <c r="AM324" t="n">
        <v>8.9176</v>
      </c>
      <c r="AN324" t="n">
        <v>9.566587534677272</v>
      </c>
      <c r="AO324" t="n">
        <v>0.913</v>
      </c>
      <c r="AP324" t="n">
        <v>6064.919358776563</v>
      </c>
      <c r="AQ324" t="n">
        <v>1</v>
      </c>
      <c r="AR324" t="n">
        <v>6064.9194</v>
      </c>
      <c r="AS324" t="n">
        <v>570860.823625092</v>
      </c>
      <c r="AT324" t="inlineStr">
        <is>
          <t>PNP_16T_02-11-2020</t>
        </is>
      </c>
      <c r="AU324" t="inlineStr">
        <is>
          <t>PNCP_2T_10-02-2020</t>
        </is>
      </c>
      <c r="AV324" t="inlineStr">
        <is>
          <t>PNCP_4T_30-04-2013</t>
        </is>
      </c>
      <c r="AW324" t="inlineStr">
        <is>
          <t>MELIPULLI 220</t>
        </is>
      </c>
      <c r="AX324" t="n">
        <v>111.133</v>
      </c>
      <c r="AY324" t="n">
        <v>1.080821157758461</v>
      </c>
      <c r="AZ324" t="n">
        <v>120.1148977251711</v>
      </c>
      <c r="BA324" t="n">
        <v>779.3099999999999</v>
      </c>
      <c r="BB324" t="n">
        <v>0.879</v>
      </c>
      <c r="BC324" t="n">
        <v>82.2803252917125</v>
      </c>
      <c r="BD324" t="n">
        <v>0.8421</v>
      </c>
      <c r="BE324" t="n">
        <v>69.288</v>
      </c>
      <c r="BF324" t="n">
        <v>8.9176</v>
      </c>
      <c r="BG324" t="n">
        <v>0.804</v>
      </c>
      <c r="BH324" t="n">
        <v>6039.043023599974</v>
      </c>
      <c r="BI324" t="n">
        <v>1</v>
      </c>
      <c r="BJ324" t="n">
        <v>6039.043</v>
      </c>
      <c r="BK324" t="n">
        <v>618685.552576728</v>
      </c>
    </row>
    <row r="325">
      <c r="A325" t="n">
        <v>4877</v>
      </c>
      <c r="B325" t="inlineStr">
        <is>
          <t>01-10-2020</t>
        </is>
      </c>
      <c r="C325" t="n">
        <v>2020</v>
      </c>
      <c r="D325" t="n">
        <v>1</v>
      </c>
      <c r="E325" t="inlineStr">
        <is>
          <t>CAREN</t>
        </is>
      </c>
      <c r="F325" t="inlineStr">
        <is>
          <t>SUM_SAESA_A</t>
        </is>
      </c>
      <c r="G325" t="inlineStr">
        <is>
          <t>A</t>
        </is>
      </c>
      <c r="H325" t="inlineStr">
        <is>
          <t>SAESA</t>
        </is>
      </c>
      <c r="I325" t="inlineStr">
        <is>
          <t>SAESMELIBLOQA</t>
        </is>
      </c>
      <c r="J325" t="inlineStr">
        <is>
          <t>MELIPULLI</t>
        </is>
      </c>
      <c r="K325" t="n">
        <v>-46978.71675743</v>
      </c>
      <c r="L325" t="inlineStr">
        <is>
          <t>MELIPULLI</t>
        </is>
      </c>
      <c r="M325" t="inlineStr">
        <is>
          <t>Puerto Montt</t>
        </is>
      </c>
      <c r="N325" t="n">
        <v>0.93811278134191</v>
      </c>
      <c r="O325" t="n">
        <v>44071.334641</v>
      </c>
      <c r="P325" t="inlineStr">
        <is>
          <t>BS1A</t>
        </is>
      </c>
      <c r="Q325" t="n">
        <v>2</v>
      </c>
      <c r="V325" t="n">
        <v>1472834.063</v>
      </c>
      <c r="W325" t="n">
        <v>2</v>
      </c>
      <c r="X325" t="n">
        <v>8.487e-08</v>
      </c>
      <c r="Y325" t="n">
        <v>0.249999</v>
      </c>
      <c r="Z325" t="n">
        <v>11017.789589</v>
      </c>
      <c r="AA325" t="inlineStr">
        <is>
          <t>PNP_6T_08-05-2020</t>
        </is>
      </c>
      <c r="AB325" t="inlineStr">
        <is>
          <t>PNCP_9T_12-08-2019</t>
        </is>
      </c>
      <c r="AC325" t="inlineStr">
        <is>
          <t>PNCP_4T_30-04-2013</t>
        </is>
      </c>
      <c r="AD325" t="inlineStr">
        <is>
          <t>PUERTO MONTT 220</t>
        </is>
      </c>
      <c r="AE325" t="n">
        <v>111.133</v>
      </c>
      <c r="AF325" t="n">
        <v>1.072776031070834</v>
      </c>
      <c r="AG325" t="n">
        <v>119.220818660995</v>
      </c>
      <c r="AH325" t="n">
        <v>694.38</v>
      </c>
      <c r="AI325" t="n">
        <v>0.875</v>
      </c>
      <c r="AJ325" t="n">
        <v>72.43648305409401</v>
      </c>
      <c r="AK325" t="n">
        <v>0.8826000000000001</v>
      </c>
      <c r="AL325" t="n">
        <v>63.932</v>
      </c>
      <c r="AM325" t="n">
        <v>8.9176</v>
      </c>
      <c r="AN325" t="n">
        <v>9.566587534677272</v>
      </c>
      <c r="AO325" t="n">
        <v>0.913</v>
      </c>
      <c r="AP325" t="n">
        <v>6064.919358776563</v>
      </c>
      <c r="AQ325" t="n">
        <v>1.016858412119831</v>
      </c>
      <c r="AR325" t="n">
        <v>6167.1643</v>
      </c>
      <c r="AS325" t="n">
        <v>704389.324003948</v>
      </c>
      <c r="AT325" t="inlineStr">
        <is>
          <t>PNP_16T_02-11-2020</t>
        </is>
      </c>
      <c r="AU325" t="inlineStr">
        <is>
          <t>PNCP_2T_10-02-2020</t>
        </is>
      </c>
      <c r="AV325" t="inlineStr">
        <is>
          <t>PNCP_4T_30-04-2013</t>
        </is>
      </c>
      <c r="AW325" t="inlineStr">
        <is>
          <t>PUERTO MONTT 220</t>
        </is>
      </c>
      <c r="AX325" t="n">
        <v>111.133</v>
      </c>
      <c r="AY325" t="n">
        <v>1.080821157758461</v>
      </c>
      <c r="AZ325" t="n">
        <v>120.1148977251711</v>
      </c>
      <c r="BA325" t="n">
        <v>779.3099999999999</v>
      </c>
      <c r="BB325" t="n">
        <v>0.879</v>
      </c>
      <c r="BC325" t="n">
        <v>82.2803252917125</v>
      </c>
      <c r="BD325" t="n">
        <v>0.8421</v>
      </c>
      <c r="BE325" t="n">
        <v>69.288</v>
      </c>
      <c r="BF325" t="n">
        <v>8.9176</v>
      </c>
      <c r="BG325" t="n">
        <v>0.804</v>
      </c>
      <c r="BH325" t="n">
        <v>6039.043023599974</v>
      </c>
      <c r="BI325" t="n">
        <v>1.02699624102973</v>
      </c>
      <c r="BJ325" t="n">
        <v>6202.0745</v>
      </c>
      <c r="BK325" t="n">
        <v>763400.605042632</v>
      </c>
    </row>
    <row r="326">
      <c r="A326" t="n">
        <v>4879</v>
      </c>
      <c r="B326" t="inlineStr">
        <is>
          <t>01-10-2020</t>
        </is>
      </c>
      <c r="C326" t="n">
        <v>2020</v>
      </c>
      <c r="D326" t="n">
        <v>1</v>
      </c>
      <c r="E326" t="inlineStr">
        <is>
          <t>CAREN</t>
        </is>
      </c>
      <c r="F326" t="inlineStr">
        <is>
          <t>SUM_SAESA_A</t>
        </is>
      </c>
      <c r="G326" t="inlineStr">
        <is>
          <t>A</t>
        </is>
      </c>
      <c r="H326" t="inlineStr">
        <is>
          <t>SAESA</t>
        </is>
      </c>
      <c r="I326" t="inlineStr">
        <is>
          <t>SAESMELIBLOQA</t>
        </is>
      </c>
      <c r="J326" t="inlineStr">
        <is>
          <t>MELIPULLI</t>
        </is>
      </c>
      <c r="K326" t="n">
        <v>-46978.71675743</v>
      </c>
      <c r="L326" t="inlineStr">
        <is>
          <t>MELIPULLI</t>
        </is>
      </c>
      <c r="M326" t="inlineStr">
        <is>
          <t>VALDIVIA</t>
        </is>
      </c>
      <c r="N326" t="n">
        <v>0.0001899181297</v>
      </c>
      <c r="O326" t="n">
        <v>8.92211</v>
      </c>
      <c r="P326" t="inlineStr">
        <is>
          <t>BS1A</t>
        </is>
      </c>
      <c r="Q326" t="n">
        <v>2</v>
      </c>
      <c r="V326" t="n">
        <v>1472834.063</v>
      </c>
      <c r="W326" t="n">
        <v>2</v>
      </c>
      <c r="X326" t="n">
        <v>8.487e-08</v>
      </c>
      <c r="Y326" t="n">
        <v>0.249999</v>
      </c>
      <c r="Z326" t="n">
        <v>2.230519</v>
      </c>
      <c r="AA326" t="inlineStr">
        <is>
          <t>PNP_6T_08-05-2020</t>
        </is>
      </c>
      <c r="AB326" t="inlineStr">
        <is>
          <t>PNCP_9T_12-08-2019</t>
        </is>
      </c>
      <c r="AC326" t="inlineStr">
        <is>
          <t>PNCP_4T_30-04-2013</t>
        </is>
      </c>
      <c r="AD326" t="inlineStr">
        <is>
          <t>VALDIVIA 220</t>
        </is>
      </c>
      <c r="AE326" t="n">
        <v>111.133</v>
      </c>
      <c r="AF326" t="n">
        <v>1.072776031070834</v>
      </c>
      <c r="AG326" t="n">
        <v>119.220818660995</v>
      </c>
      <c r="AH326" t="n">
        <v>694.38</v>
      </c>
      <c r="AI326" t="n">
        <v>0.875</v>
      </c>
      <c r="AJ326" t="n">
        <v>72.43648305409401</v>
      </c>
      <c r="AK326" t="n">
        <v>0.913</v>
      </c>
      <c r="AL326" t="n">
        <v>66.13500000000001</v>
      </c>
      <c r="AM326" t="n">
        <v>8.9176</v>
      </c>
      <c r="AN326" t="n">
        <v>9.566587534677272</v>
      </c>
      <c r="AO326" t="n">
        <v>0.913</v>
      </c>
      <c r="AP326" t="n">
        <v>6064.919358776563</v>
      </c>
      <c r="AQ326" t="n">
        <v>1.051287819142954</v>
      </c>
      <c r="AR326" t="n">
        <v>6375.9758</v>
      </c>
      <c r="AS326" t="n">
        <v>147.515374065</v>
      </c>
      <c r="AT326" t="inlineStr">
        <is>
          <t>PNP_16T_02-11-2020</t>
        </is>
      </c>
      <c r="AU326" t="inlineStr">
        <is>
          <t>PNCP_2T_10-02-2020</t>
        </is>
      </c>
      <c r="AV326" t="inlineStr">
        <is>
          <t>PNCP_4T_30-04-2013</t>
        </is>
      </c>
      <c r="AW326" t="inlineStr">
        <is>
          <t>VALDIVIA 220</t>
        </is>
      </c>
      <c r="AX326" t="n">
        <v>111.133</v>
      </c>
      <c r="AY326" t="n">
        <v>1.080821157758461</v>
      </c>
      <c r="AZ326" t="n">
        <v>120.1148977251711</v>
      </c>
      <c r="BA326" t="n">
        <v>779.3099999999999</v>
      </c>
      <c r="BB326" t="n">
        <v>0.879</v>
      </c>
      <c r="BC326" t="n">
        <v>82.2803252917125</v>
      </c>
      <c r="BD326" t="n">
        <v>0.9167</v>
      </c>
      <c r="BE326" t="n">
        <v>75.426</v>
      </c>
      <c r="BF326" t="n">
        <v>8.9176</v>
      </c>
      <c r="BG326" t="n">
        <v>0.804</v>
      </c>
      <c r="BH326" t="n">
        <v>6039.043023599974</v>
      </c>
      <c r="BI326" t="n">
        <v>1.096052187605444</v>
      </c>
      <c r="BJ326" t="n">
        <v>6619.1063</v>
      </c>
      <c r="BK326" t="n">
        <v>168.239126094</v>
      </c>
    </row>
    <row r="327">
      <c r="A327" t="n">
        <v>3727</v>
      </c>
      <c r="B327" t="inlineStr">
        <is>
          <t>01-10-2020</t>
        </is>
      </c>
      <c r="C327" t="n">
        <v>2020</v>
      </c>
      <c r="D327" t="n">
        <v>1</v>
      </c>
      <c r="E327" t="inlineStr">
        <is>
          <t>CAREN</t>
        </is>
      </c>
      <c r="F327" t="inlineStr">
        <is>
          <t>SUM_SAESA_A</t>
        </is>
      </c>
      <c r="G327" t="inlineStr">
        <is>
          <t>A</t>
        </is>
      </c>
      <c r="H327" t="inlineStr">
        <is>
          <t>SAESA</t>
        </is>
      </c>
      <c r="I327" t="inlineStr">
        <is>
          <t>SAESOSORBLOQA</t>
        </is>
      </c>
      <c r="J327" t="inlineStr">
        <is>
          <t>OSORNO</t>
        </is>
      </c>
      <c r="K327" t="n">
        <v>-21630.39020731</v>
      </c>
      <c r="L327" t="inlineStr">
        <is>
          <t>OSORNO</t>
        </is>
      </c>
      <c r="M327" t="inlineStr">
        <is>
          <t>BARRO BLANCO</t>
        </is>
      </c>
      <c r="N327" t="n">
        <v>0.78616844112992</v>
      </c>
      <c r="O327" t="n">
        <v>17005.13015</v>
      </c>
      <c r="P327" t="inlineStr">
        <is>
          <t>BS1A</t>
        </is>
      </c>
      <c r="Q327" t="n">
        <v>2</v>
      </c>
      <c r="V327" t="n">
        <v>1472834.063</v>
      </c>
      <c r="W327" t="n">
        <v>2</v>
      </c>
      <c r="X327" t="n">
        <v>8.487e-08</v>
      </c>
      <c r="Y327" t="n">
        <v>0.249999</v>
      </c>
      <c r="Z327" t="n">
        <v>4251.265532</v>
      </c>
      <c r="AA327" t="inlineStr">
        <is>
          <t>PNP_6T_08-05-2020</t>
        </is>
      </c>
      <c r="AB327" t="inlineStr">
        <is>
          <t>PNCP_9T_12-08-2019</t>
        </is>
      </c>
      <c r="AC327" t="inlineStr">
        <is>
          <t>PNCP_4T_30-04-2013</t>
        </is>
      </c>
      <c r="AD327" t="inlineStr">
        <is>
          <t>Barro Blanco 220</t>
        </is>
      </c>
      <c r="AE327" t="n">
        <v>111.133</v>
      </c>
      <c r="AF327" t="n">
        <v>1.072776031070834</v>
      </c>
      <c r="AG327" t="n">
        <v>119.220818660995</v>
      </c>
      <c r="AH327" t="n">
        <v>694.38</v>
      </c>
      <c r="AI327" t="n">
        <v>0.875</v>
      </c>
      <c r="AJ327" t="n">
        <v>72.43648305409401</v>
      </c>
      <c r="AK327" t="n">
        <v>0.8631</v>
      </c>
      <c r="AL327" t="n">
        <v>62.52</v>
      </c>
      <c r="AM327" t="n">
        <v>8.9176</v>
      </c>
      <c r="AN327" t="n">
        <v>9.566587534677272</v>
      </c>
      <c r="AO327" t="n">
        <v>0.913</v>
      </c>
      <c r="AP327" t="n">
        <v>6064.919358776563</v>
      </c>
      <c r="AQ327" t="n">
        <v>1.004432825642191</v>
      </c>
      <c r="AR327" t="n">
        <v>6091.8041</v>
      </c>
      <c r="AS327" t="n">
        <v>265789.12106064</v>
      </c>
      <c r="AT327" t="inlineStr">
        <is>
          <t>PNP_16T_02-11-2020</t>
        </is>
      </c>
      <c r="AU327" t="inlineStr">
        <is>
          <t>PNCP_2T_10-02-2020</t>
        </is>
      </c>
      <c r="AV327" t="inlineStr">
        <is>
          <t>PNCP_4T_30-04-2013</t>
        </is>
      </c>
      <c r="AW327" t="inlineStr">
        <is>
          <t>Barro Blanco 220</t>
        </is>
      </c>
      <c r="AX327" t="n">
        <v>111.133</v>
      </c>
      <c r="AY327" t="n">
        <v>1.080821157758461</v>
      </c>
      <c r="AZ327" t="n">
        <v>120.1148977251711</v>
      </c>
      <c r="BA327" t="n">
        <v>779.3099999999999</v>
      </c>
      <c r="BB327" t="n">
        <v>0.879</v>
      </c>
      <c r="BC327" t="n">
        <v>82.2803252917125</v>
      </c>
      <c r="BD327" t="n">
        <v>0.846</v>
      </c>
      <c r="BE327" t="n">
        <v>69.60899999999999</v>
      </c>
      <c r="BF327" t="n">
        <v>8.9176</v>
      </c>
      <c r="BG327" t="n">
        <v>0.804</v>
      </c>
      <c r="BH327" t="n">
        <v>6039.043023599974</v>
      </c>
      <c r="BI327" t="n">
        <v>1.011820868379177</v>
      </c>
      <c r="BJ327" t="n">
        <v>6110.4298</v>
      </c>
      <c r="BK327" t="n">
        <v>295926.342416988</v>
      </c>
    </row>
    <row r="328">
      <c r="A328" t="n">
        <v>3729</v>
      </c>
      <c r="B328" t="inlineStr">
        <is>
          <t>01-10-2020</t>
        </is>
      </c>
      <c r="C328" t="n">
        <v>2020</v>
      </c>
      <c r="D328" t="n">
        <v>1</v>
      </c>
      <c r="E328" t="inlineStr">
        <is>
          <t>CAREN</t>
        </is>
      </c>
      <c r="F328" t="inlineStr">
        <is>
          <t>SUM_SAESA_A</t>
        </is>
      </c>
      <c r="G328" t="inlineStr">
        <is>
          <t>A</t>
        </is>
      </c>
      <c r="H328" t="inlineStr">
        <is>
          <t>SAESA</t>
        </is>
      </c>
      <c r="I328" t="inlineStr">
        <is>
          <t>SAESOSORBLOQA</t>
        </is>
      </c>
      <c r="J328" t="inlineStr">
        <is>
          <t>OSORNO</t>
        </is>
      </c>
      <c r="K328" t="n">
        <v>-21630.39020731</v>
      </c>
      <c r="L328" t="inlineStr">
        <is>
          <t>OSORNO</t>
        </is>
      </c>
      <c r="M328" t="inlineStr">
        <is>
          <t>MELIPULLI</t>
        </is>
      </c>
      <c r="N328" t="n">
        <v>0.04443303733604</v>
      </c>
      <c r="O328" t="n">
        <v>961.103936</v>
      </c>
      <c r="P328" t="inlineStr">
        <is>
          <t>BS1A</t>
        </is>
      </c>
      <c r="Q328" t="n">
        <v>2</v>
      </c>
      <c r="V328" t="n">
        <v>1472834.063</v>
      </c>
      <c r="W328" t="n">
        <v>2</v>
      </c>
      <c r="X328" t="n">
        <v>8.487e-08</v>
      </c>
      <c r="Y328" t="n">
        <v>0.249999</v>
      </c>
      <c r="Z328" t="n">
        <v>240.275023</v>
      </c>
      <c r="AA328" t="inlineStr">
        <is>
          <t>PNP_6T_08-05-2020</t>
        </is>
      </c>
      <c r="AB328" t="inlineStr">
        <is>
          <t>PNCP_9T_12-08-2019</t>
        </is>
      </c>
      <c r="AC328" t="inlineStr">
        <is>
          <t>PNCP_4T_30-04-2013</t>
        </is>
      </c>
      <c r="AD328" t="inlineStr">
        <is>
          <t>MELIPULLI 220</t>
        </is>
      </c>
      <c r="AE328" t="n">
        <v>111.133</v>
      </c>
      <c r="AF328" t="n">
        <v>1.072776031070834</v>
      </c>
      <c r="AG328" t="n">
        <v>119.220818660995</v>
      </c>
      <c r="AH328" t="n">
        <v>694.38</v>
      </c>
      <c r="AI328" t="n">
        <v>0.875</v>
      </c>
      <c r="AJ328" t="n">
        <v>72.43648305409401</v>
      </c>
      <c r="AK328" t="n">
        <v>0.8826000000000001</v>
      </c>
      <c r="AL328" t="n">
        <v>63.932</v>
      </c>
      <c r="AM328" t="n">
        <v>8.9176</v>
      </c>
      <c r="AN328" t="n">
        <v>9.566587534677272</v>
      </c>
      <c r="AO328" t="n">
        <v>0.913</v>
      </c>
      <c r="AP328" t="n">
        <v>6064.919358776563</v>
      </c>
      <c r="AQ328" t="n">
        <v>1</v>
      </c>
      <c r="AR328" t="n">
        <v>6064.9194</v>
      </c>
      <c r="AS328" t="n">
        <v>15361.262770436</v>
      </c>
      <c r="AT328" t="inlineStr">
        <is>
          <t>PNP_16T_02-11-2020</t>
        </is>
      </c>
      <c r="AU328" t="inlineStr">
        <is>
          <t>PNCP_2T_10-02-2020</t>
        </is>
      </c>
      <c r="AV328" t="inlineStr">
        <is>
          <t>PNCP_4T_30-04-2013</t>
        </is>
      </c>
      <c r="AW328" t="inlineStr">
        <is>
          <t>MELIPULLI 220</t>
        </is>
      </c>
      <c r="AX328" t="n">
        <v>111.133</v>
      </c>
      <c r="AY328" t="n">
        <v>1.080821157758461</v>
      </c>
      <c r="AZ328" t="n">
        <v>120.1148977251711</v>
      </c>
      <c r="BA328" t="n">
        <v>779.3099999999999</v>
      </c>
      <c r="BB328" t="n">
        <v>0.879</v>
      </c>
      <c r="BC328" t="n">
        <v>82.2803252917125</v>
      </c>
      <c r="BD328" t="n">
        <v>0.8421</v>
      </c>
      <c r="BE328" t="n">
        <v>69.288</v>
      </c>
      <c r="BF328" t="n">
        <v>8.9176</v>
      </c>
      <c r="BG328" t="n">
        <v>0.804</v>
      </c>
      <c r="BH328" t="n">
        <v>6039.043023599974</v>
      </c>
      <c r="BI328" t="n">
        <v>1</v>
      </c>
      <c r="BJ328" t="n">
        <v>6039.043</v>
      </c>
      <c r="BK328" t="n">
        <v>16648.175793624</v>
      </c>
    </row>
    <row r="329">
      <c r="A329" t="n">
        <v>3731</v>
      </c>
      <c r="B329" t="inlineStr">
        <is>
          <t>01-10-2020</t>
        </is>
      </c>
      <c r="C329" t="n">
        <v>2020</v>
      </c>
      <c r="D329" t="n">
        <v>1</v>
      </c>
      <c r="E329" t="inlineStr">
        <is>
          <t>CAREN</t>
        </is>
      </c>
      <c r="F329" t="inlineStr">
        <is>
          <t>SUM_SAESA_A</t>
        </is>
      </c>
      <c r="G329" t="inlineStr">
        <is>
          <t>A</t>
        </is>
      </c>
      <c r="H329" t="inlineStr">
        <is>
          <t>SAESA</t>
        </is>
      </c>
      <c r="I329" t="inlineStr">
        <is>
          <t>SAESOSORBLOQA</t>
        </is>
      </c>
      <c r="J329" t="inlineStr">
        <is>
          <t>OSORNO</t>
        </is>
      </c>
      <c r="K329" t="n">
        <v>-21630.39020731</v>
      </c>
      <c r="L329" t="inlineStr">
        <is>
          <t>OSORNO</t>
        </is>
      </c>
      <c r="M329" t="inlineStr">
        <is>
          <t>VALDIVIA</t>
        </is>
      </c>
      <c r="N329" t="n">
        <v>0.12401606703963</v>
      </c>
      <c r="O329" t="n">
        <v>2682.515922</v>
      </c>
      <c r="P329" t="inlineStr">
        <is>
          <t>BS1A</t>
        </is>
      </c>
      <c r="Q329" t="n">
        <v>2</v>
      </c>
      <c r="V329" t="n">
        <v>1472834.063</v>
      </c>
      <c r="W329" t="n">
        <v>2</v>
      </c>
      <c r="X329" t="n">
        <v>8.487e-08</v>
      </c>
      <c r="Y329" t="n">
        <v>0.249999</v>
      </c>
      <c r="Z329" t="n">
        <v>670.626298</v>
      </c>
      <c r="AA329" t="inlineStr">
        <is>
          <t>PNP_6T_08-05-2020</t>
        </is>
      </c>
      <c r="AB329" t="inlineStr">
        <is>
          <t>PNCP_9T_12-08-2019</t>
        </is>
      </c>
      <c r="AC329" t="inlineStr">
        <is>
          <t>PNCP_4T_30-04-2013</t>
        </is>
      </c>
      <c r="AD329" t="inlineStr">
        <is>
          <t>VALDIVIA 220</t>
        </is>
      </c>
      <c r="AE329" t="n">
        <v>111.133</v>
      </c>
      <c r="AF329" t="n">
        <v>1.072776031070834</v>
      </c>
      <c r="AG329" t="n">
        <v>119.220818660995</v>
      </c>
      <c r="AH329" t="n">
        <v>694.38</v>
      </c>
      <c r="AI329" t="n">
        <v>0.875</v>
      </c>
      <c r="AJ329" t="n">
        <v>72.43648305409401</v>
      </c>
      <c r="AK329" t="n">
        <v>0.913</v>
      </c>
      <c r="AL329" t="n">
        <v>66.13500000000001</v>
      </c>
      <c r="AM329" t="n">
        <v>8.9176</v>
      </c>
      <c r="AN329" t="n">
        <v>9.566587534677272</v>
      </c>
      <c r="AO329" t="n">
        <v>0.913</v>
      </c>
      <c r="AP329" t="n">
        <v>6064.919358776563</v>
      </c>
      <c r="AQ329" t="n">
        <v>1.051287819142954</v>
      </c>
      <c r="AR329" t="n">
        <v>6375.9758</v>
      </c>
      <c r="AS329" t="n">
        <v>44351.87021823</v>
      </c>
      <c r="AT329" t="inlineStr">
        <is>
          <t>PNP_16T_02-11-2020</t>
        </is>
      </c>
      <c r="AU329" t="inlineStr">
        <is>
          <t>PNCP_2T_10-02-2020</t>
        </is>
      </c>
      <c r="AV329" t="inlineStr">
        <is>
          <t>PNCP_4T_30-04-2013</t>
        </is>
      </c>
      <c r="AW329" t="inlineStr">
        <is>
          <t>VALDIVIA 220</t>
        </is>
      </c>
      <c r="AX329" t="n">
        <v>111.133</v>
      </c>
      <c r="AY329" t="n">
        <v>1.080821157758461</v>
      </c>
      <c r="AZ329" t="n">
        <v>120.1148977251711</v>
      </c>
      <c r="BA329" t="n">
        <v>779.3099999999999</v>
      </c>
      <c r="BB329" t="n">
        <v>0.879</v>
      </c>
      <c r="BC329" t="n">
        <v>82.2803252917125</v>
      </c>
      <c r="BD329" t="n">
        <v>0.9167</v>
      </c>
      <c r="BE329" t="n">
        <v>75.426</v>
      </c>
      <c r="BF329" t="n">
        <v>8.9176</v>
      </c>
      <c r="BG329" t="n">
        <v>0.804</v>
      </c>
      <c r="BH329" t="n">
        <v>6039.043023599974</v>
      </c>
      <c r="BI329" t="n">
        <v>1.096052187605444</v>
      </c>
      <c r="BJ329" t="n">
        <v>6619.1063</v>
      </c>
      <c r="BK329" t="n">
        <v>50582.659152948</v>
      </c>
    </row>
    <row r="330">
      <c r="A330" t="n">
        <v>4873</v>
      </c>
      <c r="B330" t="inlineStr">
        <is>
          <t>01-10-2020</t>
        </is>
      </c>
      <c r="C330" t="n">
        <v>2020</v>
      </c>
      <c r="D330" t="n">
        <v>1</v>
      </c>
      <c r="E330" t="inlineStr">
        <is>
          <t>CAREN</t>
        </is>
      </c>
      <c r="F330" t="inlineStr">
        <is>
          <t>SUM_SAESA_A</t>
        </is>
      </c>
      <c r="G330" t="inlineStr">
        <is>
          <t>A</t>
        </is>
      </c>
      <c r="H330" t="inlineStr">
        <is>
          <t>SAESA</t>
        </is>
      </c>
      <c r="I330" t="inlineStr">
        <is>
          <t>SAESPVARBLOQA</t>
        </is>
      </c>
      <c r="J330" t="inlineStr">
        <is>
          <t>P.VARAS</t>
        </is>
      </c>
      <c r="K330" t="n">
        <v>-9215.175648369999</v>
      </c>
      <c r="L330" t="inlineStr">
        <is>
          <t>PUERTO VARAS</t>
        </is>
      </c>
      <c r="M330" t="inlineStr">
        <is>
          <t>BARRO BLANCO</t>
        </is>
      </c>
      <c r="N330" t="n">
        <v>0.15766115320888</v>
      </c>
      <c r="O330" t="n">
        <v>1452.87522</v>
      </c>
      <c r="P330" t="inlineStr">
        <is>
          <t>BS1A</t>
        </is>
      </c>
      <c r="Q330" t="n">
        <v>2</v>
      </c>
      <c r="V330" t="n">
        <v>1472834.063</v>
      </c>
      <c r="W330" t="n">
        <v>2</v>
      </c>
      <c r="X330" t="n">
        <v>8.487e-08</v>
      </c>
      <c r="Y330" t="n">
        <v>0.249999</v>
      </c>
      <c r="Z330" t="n">
        <v>363.217352</v>
      </c>
      <c r="AA330" t="inlineStr">
        <is>
          <t>PNP_6T_08-05-2020</t>
        </is>
      </c>
      <c r="AB330" t="inlineStr">
        <is>
          <t>PNCP_9T_12-08-2019</t>
        </is>
      </c>
      <c r="AC330" t="inlineStr">
        <is>
          <t>PNCP_4T_30-04-2013</t>
        </is>
      </c>
      <c r="AD330" t="inlineStr">
        <is>
          <t>Barro Blanco 220</t>
        </is>
      </c>
      <c r="AE330" t="n">
        <v>111.133</v>
      </c>
      <c r="AF330" t="n">
        <v>1.072776031070834</v>
      </c>
      <c r="AG330" t="n">
        <v>119.220818660995</v>
      </c>
      <c r="AH330" t="n">
        <v>694.38</v>
      </c>
      <c r="AI330" t="n">
        <v>0.875</v>
      </c>
      <c r="AJ330" t="n">
        <v>72.43648305409401</v>
      </c>
      <c r="AK330" t="n">
        <v>0.8631</v>
      </c>
      <c r="AL330" t="n">
        <v>62.52</v>
      </c>
      <c r="AM330" t="n">
        <v>8.9176</v>
      </c>
      <c r="AN330" t="n">
        <v>9.566587534677272</v>
      </c>
      <c r="AO330" t="n">
        <v>0.913</v>
      </c>
      <c r="AP330" t="n">
        <v>6064.919358776563</v>
      </c>
      <c r="AQ330" t="n">
        <v>1.004432825642191</v>
      </c>
      <c r="AR330" t="n">
        <v>6091.8041</v>
      </c>
      <c r="AS330" t="n">
        <v>22708.34884704</v>
      </c>
      <c r="AT330" t="inlineStr">
        <is>
          <t>PNP_16T_02-11-2020</t>
        </is>
      </c>
      <c r="AU330" t="inlineStr">
        <is>
          <t>PNCP_2T_10-02-2020</t>
        </is>
      </c>
      <c r="AV330" t="inlineStr">
        <is>
          <t>PNCP_4T_30-04-2013</t>
        </is>
      </c>
      <c r="AW330" t="inlineStr">
        <is>
          <t>Barro Blanco 220</t>
        </is>
      </c>
      <c r="AX330" t="n">
        <v>111.133</v>
      </c>
      <c r="AY330" t="n">
        <v>1.080821157758461</v>
      </c>
      <c r="AZ330" t="n">
        <v>120.1148977251711</v>
      </c>
      <c r="BA330" t="n">
        <v>779.3099999999999</v>
      </c>
      <c r="BB330" t="n">
        <v>0.879</v>
      </c>
      <c r="BC330" t="n">
        <v>82.2803252917125</v>
      </c>
      <c r="BD330" t="n">
        <v>0.846</v>
      </c>
      <c r="BE330" t="n">
        <v>69.60899999999999</v>
      </c>
      <c r="BF330" t="n">
        <v>8.9176</v>
      </c>
      <c r="BG330" t="n">
        <v>0.804</v>
      </c>
      <c r="BH330" t="n">
        <v>6039.043023599974</v>
      </c>
      <c r="BI330" t="n">
        <v>1.011820868379177</v>
      </c>
      <c r="BJ330" t="n">
        <v>6110.4298</v>
      </c>
      <c r="BK330" t="n">
        <v>25283.196655368</v>
      </c>
    </row>
    <row r="331">
      <c r="A331" t="n">
        <v>4875</v>
      </c>
      <c r="B331" t="inlineStr">
        <is>
          <t>01-10-2020</t>
        </is>
      </c>
      <c r="C331" t="n">
        <v>2020</v>
      </c>
      <c r="D331" t="n">
        <v>1</v>
      </c>
      <c r="E331" t="inlineStr">
        <is>
          <t>CAREN</t>
        </is>
      </c>
      <c r="F331" t="inlineStr">
        <is>
          <t>SUM_SAESA_A</t>
        </is>
      </c>
      <c r="G331" t="inlineStr">
        <is>
          <t>A</t>
        </is>
      </c>
      <c r="H331" t="inlineStr">
        <is>
          <t>SAESA</t>
        </is>
      </c>
      <c r="I331" t="inlineStr">
        <is>
          <t>SAESPVARBLOQA</t>
        </is>
      </c>
      <c r="J331" t="inlineStr">
        <is>
          <t>P.VARAS</t>
        </is>
      </c>
      <c r="K331" t="n">
        <v>-9215.175648369999</v>
      </c>
      <c r="L331" t="inlineStr">
        <is>
          <t>PUERTO VARAS</t>
        </is>
      </c>
      <c r="M331" t="inlineStr">
        <is>
          <t>MELIPULLI</t>
        </is>
      </c>
      <c r="N331" t="n">
        <v>0.61749565738</v>
      </c>
      <c r="O331" t="n">
        <v>5690.330945</v>
      </c>
      <c r="P331" t="inlineStr">
        <is>
          <t>BS1A</t>
        </is>
      </c>
      <c r="Q331" t="n">
        <v>2</v>
      </c>
      <c r="V331" t="n">
        <v>1472834.063</v>
      </c>
      <c r="W331" t="n">
        <v>2</v>
      </c>
      <c r="X331" t="n">
        <v>8.487e-08</v>
      </c>
      <c r="Y331" t="n">
        <v>0.249999</v>
      </c>
      <c r="Z331" t="n">
        <v>1422.577046</v>
      </c>
      <c r="AA331" t="inlineStr">
        <is>
          <t>PNP_6T_08-05-2020</t>
        </is>
      </c>
      <c r="AB331" t="inlineStr">
        <is>
          <t>PNCP_9T_12-08-2019</t>
        </is>
      </c>
      <c r="AC331" t="inlineStr">
        <is>
          <t>PNCP_4T_30-04-2013</t>
        </is>
      </c>
      <c r="AD331" t="inlineStr">
        <is>
          <t>MELIPULLI 220</t>
        </is>
      </c>
      <c r="AE331" t="n">
        <v>111.133</v>
      </c>
      <c r="AF331" t="n">
        <v>1.072776031070834</v>
      </c>
      <c r="AG331" t="n">
        <v>119.220818660995</v>
      </c>
      <c r="AH331" t="n">
        <v>694.38</v>
      </c>
      <c r="AI331" t="n">
        <v>0.875</v>
      </c>
      <c r="AJ331" t="n">
        <v>72.43648305409401</v>
      </c>
      <c r="AK331" t="n">
        <v>0.8826000000000001</v>
      </c>
      <c r="AL331" t="n">
        <v>63.932</v>
      </c>
      <c r="AM331" t="n">
        <v>8.9176</v>
      </c>
      <c r="AN331" t="n">
        <v>9.566587534677272</v>
      </c>
      <c r="AO331" t="n">
        <v>0.913</v>
      </c>
      <c r="AP331" t="n">
        <v>6064.919358776563</v>
      </c>
      <c r="AQ331" t="n">
        <v>1</v>
      </c>
      <c r="AR331" t="n">
        <v>6064.9194</v>
      </c>
      <c r="AS331" t="n">
        <v>90948.19570487201</v>
      </c>
      <c r="AT331" t="inlineStr">
        <is>
          <t>PNP_16T_02-11-2020</t>
        </is>
      </c>
      <c r="AU331" t="inlineStr">
        <is>
          <t>PNCP_2T_10-02-2020</t>
        </is>
      </c>
      <c r="AV331" t="inlineStr">
        <is>
          <t>PNCP_4T_30-04-2013</t>
        </is>
      </c>
      <c r="AW331" t="inlineStr">
        <is>
          <t>MELIPULLI 220</t>
        </is>
      </c>
      <c r="AX331" t="n">
        <v>111.133</v>
      </c>
      <c r="AY331" t="n">
        <v>1.080821157758461</v>
      </c>
      <c r="AZ331" t="n">
        <v>120.1148977251711</v>
      </c>
      <c r="BA331" t="n">
        <v>779.3099999999999</v>
      </c>
      <c r="BB331" t="n">
        <v>0.879</v>
      </c>
      <c r="BC331" t="n">
        <v>82.2803252917125</v>
      </c>
      <c r="BD331" t="n">
        <v>0.8421</v>
      </c>
      <c r="BE331" t="n">
        <v>69.288</v>
      </c>
      <c r="BF331" t="n">
        <v>8.9176</v>
      </c>
      <c r="BG331" t="n">
        <v>0.804</v>
      </c>
      <c r="BH331" t="n">
        <v>6039.043023599974</v>
      </c>
      <c r="BI331" t="n">
        <v>1</v>
      </c>
      <c r="BJ331" t="n">
        <v>6039.043</v>
      </c>
      <c r="BK331" t="n">
        <v>98567.518363248</v>
      </c>
    </row>
    <row r="332">
      <c r="A332" t="n">
        <v>4877</v>
      </c>
      <c r="B332" t="inlineStr">
        <is>
          <t>01-10-2020</t>
        </is>
      </c>
      <c r="C332" t="n">
        <v>2020</v>
      </c>
      <c r="D332" t="n">
        <v>1</v>
      </c>
      <c r="E332" t="inlineStr">
        <is>
          <t>CAREN</t>
        </is>
      </c>
      <c r="F332" t="inlineStr">
        <is>
          <t>SUM_SAESA_A</t>
        </is>
      </c>
      <c r="G332" t="inlineStr">
        <is>
          <t>A</t>
        </is>
      </c>
      <c r="H332" t="inlineStr">
        <is>
          <t>SAESA</t>
        </is>
      </c>
      <c r="I332" t="inlineStr">
        <is>
          <t>SAESPVARBLOQA</t>
        </is>
      </c>
      <c r="J332" t="inlineStr">
        <is>
          <t>P.VARAS</t>
        </is>
      </c>
      <c r="K332" t="n">
        <v>-9215.175648369999</v>
      </c>
      <c r="L332" t="inlineStr">
        <is>
          <t>PUERTO VARAS</t>
        </is>
      </c>
      <c r="M332" t="inlineStr">
        <is>
          <t>Puerto Montt</t>
        </is>
      </c>
      <c r="N332" t="n">
        <v>0.7715646681477401</v>
      </c>
      <c r="O332" t="n">
        <v>7110.103941</v>
      </c>
      <c r="P332" t="inlineStr">
        <is>
          <t>BS1A</t>
        </is>
      </c>
      <c r="Q332" t="n">
        <v>2</v>
      </c>
      <c r="V332" t="n">
        <v>1472834.063</v>
      </c>
      <c r="W332" t="n">
        <v>2</v>
      </c>
      <c r="X332" t="n">
        <v>8.487e-08</v>
      </c>
      <c r="Y332" t="n">
        <v>0.249999</v>
      </c>
      <c r="Z332" t="n">
        <v>1777.518875</v>
      </c>
      <c r="AA332" t="inlineStr">
        <is>
          <t>PNP_6T_08-05-2020</t>
        </is>
      </c>
      <c r="AB332" t="inlineStr">
        <is>
          <t>PNCP_9T_12-08-2019</t>
        </is>
      </c>
      <c r="AC332" t="inlineStr">
        <is>
          <t>PNCP_4T_30-04-2013</t>
        </is>
      </c>
      <c r="AD332" t="inlineStr">
        <is>
          <t>PUERTO MONTT 220</t>
        </is>
      </c>
      <c r="AE332" t="n">
        <v>111.133</v>
      </c>
      <c r="AF332" t="n">
        <v>1.072776031070834</v>
      </c>
      <c r="AG332" t="n">
        <v>119.220818660995</v>
      </c>
      <c r="AH332" t="n">
        <v>694.38</v>
      </c>
      <c r="AI332" t="n">
        <v>0.875</v>
      </c>
      <c r="AJ332" t="n">
        <v>72.43648305409401</v>
      </c>
      <c r="AK332" t="n">
        <v>0.8826000000000001</v>
      </c>
      <c r="AL332" t="n">
        <v>63.932</v>
      </c>
      <c r="AM332" t="n">
        <v>8.9176</v>
      </c>
      <c r="AN332" t="n">
        <v>9.566587534677272</v>
      </c>
      <c r="AO332" t="n">
        <v>0.913</v>
      </c>
      <c r="AP332" t="n">
        <v>6064.919358776563</v>
      </c>
      <c r="AQ332" t="n">
        <v>1.016858412119831</v>
      </c>
      <c r="AR332" t="n">
        <v>6167.1643</v>
      </c>
      <c r="AS332" t="n">
        <v>113640.3367165</v>
      </c>
      <c r="AT332" t="inlineStr">
        <is>
          <t>PNP_16T_02-11-2020</t>
        </is>
      </c>
      <c r="AU332" t="inlineStr">
        <is>
          <t>PNCP_2T_10-02-2020</t>
        </is>
      </c>
      <c r="AV332" t="inlineStr">
        <is>
          <t>PNCP_4T_30-04-2013</t>
        </is>
      </c>
      <c r="AW332" t="inlineStr">
        <is>
          <t>PUERTO MONTT 220</t>
        </is>
      </c>
      <c r="AX332" t="n">
        <v>111.133</v>
      </c>
      <c r="AY332" t="n">
        <v>1.080821157758461</v>
      </c>
      <c r="AZ332" t="n">
        <v>120.1148977251711</v>
      </c>
      <c r="BA332" t="n">
        <v>779.3099999999999</v>
      </c>
      <c r="BB332" t="n">
        <v>0.879</v>
      </c>
      <c r="BC332" t="n">
        <v>82.2803252917125</v>
      </c>
      <c r="BD332" t="n">
        <v>0.8421</v>
      </c>
      <c r="BE332" t="n">
        <v>69.288</v>
      </c>
      <c r="BF332" t="n">
        <v>8.9176</v>
      </c>
      <c r="BG332" t="n">
        <v>0.804</v>
      </c>
      <c r="BH332" t="n">
        <v>6039.043023599974</v>
      </c>
      <c r="BI332" t="n">
        <v>1.02699624102973</v>
      </c>
      <c r="BJ332" t="n">
        <v>6202.0745</v>
      </c>
      <c r="BK332" t="n">
        <v>123160.727811</v>
      </c>
    </row>
    <row r="333">
      <c r="A333" t="n">
        <v>4879</v>
      </c>
      <c r="B333" t="inlineStr">
        <is>
          <t>01-10-2020</t>
        </is>
      </c>
      <c r="C333" t="n">
        <v>2020</v>
      </c>
      <c r="D333" t="n">
        <v>1</v>
      </c>
      <c r="E333" t="inlineStr">
        <is>
          <t>CAREN</t>
        </is>
      </c>
      <c r="F333" t="inlineStr">
        <is>
          <t>SUM_SAESA_A</t>
        </is>
      </c>
      <c r="G333" t="inlineStr">
        <is>
          <t>A</t>
        </is>
      </c>
      <c r="H333" t="inlineStr">
        <is>
          <t>SAESA</t>
        </is>
      </c>
      <c r="I333" t="inlineStr">
        <is>
          <t>SAESPVARBLOQA</t>
        </is>
      </c>
      <c r="J333" t="inlineStr">
        <is>
          <t>P.VARAS</t>
        </is>
      </c>
      <c r="K333" t="n">
        <v>-9215.175648369999</v>
      </c>
      <c r="L333" t="inlineStr">
        <is>
          <t>PUERTO VARAS</t>
        </is>
      </c>
      <c r="M333" t="inlineStr">
        <is>
          <t>VALDIVIA</t>
        </is>
      </c>
      <c r="N333" t="n">
        <v>0.00141259278969</v>
      </c>
      <c r="O333" t="n">
        <v>13.017291</v>
      </c>
      <c r="P333" t="inlineStr">
        <is>
          <t>BS1A</t>
        </is>
      </c>
      <c r="Q333" t="n">
        <v>2</v>
      </c>
      <c r="V333" t="n">
        <v>1472834.063</v>
      </c>
      <c r="W333" t="n">
        <v>2</v>
      </c>
      <c r="X333" t="n">
        <v>8.487e-08</v>
      </c>
      <c r="Y333" t="n">
        <v>0.249999</v>
      </c>
      <c r="Z333" t="n">
        <v>3.25431</v>
      </c>
      <c r="AA333" t="inlineStr">
        <is>
          <t>PNP_6T_08-05-2020</t>
        </is>
      </c>
      <c r="AB333" t="inlineStr">
        <is>
          <t>PNCP_9T_12-08-2019</t>
        </is>
      </c>
      <c r="AC333" t="inlineStr">
        <is>
          <t>PNCP_4T_30-04-2013</t>
        </is>
      </c>
      <c r="AD333" t="inlineStr">
        <is>
          <t>VALDIVIA 220</t>
        </is>
      </c>
      <c r="AE333" t="n">
        <v>111.133</v>
      </c>
      <c r="AF333" t="n">
        <v>1.072776031070834</v>
      </c>
      <c r="AG333" t="n">
        <v>119.220818660995</v>
      </c>
      <c r="AH333" t="n">
        <v>694.38</v>
      </c>
      <c r="AI333" t="n">
        <v>0.875</v>
      </c>
      <c r="AJ333" t="n">
        <v>72.43648305409401</v>
      </c>
      <c r="AK333" t="n">
        <v>0.913</v>
      </c>
      <c r="AL333" t="n">
        <v>66.13500000000001</v>
      </c>
      <c r="AM333" t="n">
        <v>8.9176</v>
      </c>
      <c r="AN333" t="n">
        <v>9.566587534677272</v>
      </c>
      <c r="AO333" t="n">
        <v>0.913</v>
      </c>
      <c r="AP333" t="n">
        <v>6064.919358776563</v>
      </c>
      <c r="AQ333" t="n">
        <v>1.051287819142954</v>
      </c>
      <c r="AR333" t="n">
        <v>6375.9758</v>
      </c>
      <c r="AS333" t="n">
        <v>215.22379185</v>
      </c>
      <c r="AT333" t="inlineStr">
        <is>
          <t>PNP_16T_02-11-2020</t>
        </is>
      </c>
      <c r="AU333" t="inlineStr">
        <is>
          <t>PNCP_2T_10-02-2020</t>
        </is>
      </c>
      <c r="AV333" t="inlineStr">
        <is>
          <t>PNCP_4T_30-04-2013</t>
        </is>
      </c>
      <c r="AW333" t="inlineStr">
        <is>
          <t>VALDIVIA 220</t>
        </is>
      </c>
      <c r="AX333" t="n">
        <v>111.133</v>
      </c>
      <c r="AY333" t="n">
        <v>1.080821157758461</v>
      </c>
      <c r="AZ333" t="n">
        <v>120.1148977251711</v>
      </c>
      <c r="BA333" t="n">
        <v>779.3099999999999</v>
      </c>
      <c r="BB333" t="n">
        <v>0.879</v>
      </c>
      <c r="BC333" t="n">
        <v>82.2803252917125</v>
      </c>
      <c r="BD333" t="n">
        <v>0.9167</v>
      </c>
      <c r="BE333" t="n">
        <v>75.426</v>
      </c>
      <c r="BF333" t="n">
        <v>8.9176</v>
      </c>
      <c r="BG333" t="n">
        <v>0.804</v>
      </c>
      <c r="BH333" t="n">
        <v>6039.043023599974</v>
      </c>
      <c r="BI333" t="n">
        <v>1.096052187605444</v>
      </c>
      <c r="BJ333" t="n">
        <v>6619.1063</v>
      </c>
      <c r="BK333" t="n">
        <v>245.45958606</v>
      </c>
    </row>
    <row r="334">
      <c r="A334" t="n">
        <v>1855</v>
      </c>
      <c r="B334" t="inlineStr">
        <is>
          <t>01-10-2020</t>
        </is>
      </c>
      <c r="C334" t="n">
        <v>2020</v>
      </c>
      <c r="D334" t="n">
        <v>1</v>
      </c>
      <c r="E334" t="inlineStr">
        <is>
          <t>CAREN</t>
        </is>
      </c>
      <c r="F334" t="inlineStr">
        <is>
          <t>SUM_SAESA_A</t>
        </is>
      </c>
      <c r="G334" t="inlineStr">
        <is>
          <t>A</t>
        </is>
      </c>
      <c r="H334" t="inlineStr">
        <is>
          <t>SAESA</t>
        </is>
      </c>
      <c r="I334" t="inlineStr">
        <is>
          <t>SAESPANGBLOQA</t>
        </is>
      </c>
      <c r="J334" t="inlineStr">
        <is>
          <t>PANGUIPULLI</t>
        </is>
      </c>
      <c r="K334" t="n">
        <v>-7177.04883369</v>
      </c>
      <c r="L334" t="inlineStr">
        <is>
          <t>PANGUIPULLI</t>
        </is>
      </c>
      <c r="M334" t="inlineStr">
        <is>
          <t>Barro Blanco</t>
        </is>
      </c>
      <c r="N334" t="n">
        <v>0.17843880751936</v>
      </c>
      <c r="O334" t="n">
        <v>1280.664035</v>
      </c>
      <c r="P334" t="inlineStr">
        <is>
          <t>BS1A</t>
        </is>
      </c>
      <c r="Q334" t="n">
        <v>2</v>
      </c>
      <c r="V334" t="n">
        <v>1472834.063</v>
      </c>
      <c r="W334" t="n">
        <v>2</v>
      </c>
      <c r="X334" t="n">
        <v>8.487e-08</v>
      </c>
      <c r="Y334" t="n">
        <v>0.249999</v>
      </c>
      <c r="Z334" t="n">
        <v>320.164728</v>
      </c>
      <c r="AA334" t="inlineStr">
        <is>
          <t>PNP_6T_08-05-2020</t>
        </is>
      </c>
      <c r="AB334" t="inlineStr">
        <is>
          <t>PNCP_9T_12-08-2019</t>
        </is>
      </c>
      <c r="AC334" t="inlineStr">
        <is>
          <t>PNCP_4T_30-04-2013</t>
        </is>
      </c>
      <c r="AD334" t="inlineStr">
        <is>
          <t>Barro Blanco 220</t>
        </is>
      </c>
      <c r="AE334" t="n">
        <v>111.133</v>
      </c>
      <c r="AF334" t="n">
        <v>1.072776031070834</v>
      </c>
      <c r="AG334" t="n">
        <v>119.220818660995</v>
      </c>
      <c r="AH334" t="n">
        <v>694.38</v>
      </c>
      <c r="AI334" t="n">
        <v>0.875</v>
      </c>
      <c r="AJ334" t="n">
        <v>72.43648305409401</v>
      </c>
      <c r="AK334" t="n">
        <v>0.8631</v>
      </c>
      <c r="AL334" t="n">
        <v>62.52</v>
      </c>
      <c r="AM334" t="n">
        <v>8.9176</v>
      </c>
      <c r="AN334" t="n">
        <v>9.566587534677272</v>
      </c>
      <c r="AO334" t="n">
        <v>0.913</v>
      </c>
      <c r="AP334" t="n">
        <v>6064.919358776563</v>
      </c>
      <c r="AQ334" t="n">
        <v>1.004432825642191</v>
      </c>
      <c r="AR334" t="n">
        <v>6091.8041</v>
      </c>
      <c r="AS334" t="n">
        <v>20016.69879456</v>
      </c>
      <c r="AT334" t="inlineStr">
        <is>
          <t>PNP_16T_02-11-2020</t>
        </is>
      </c>
      <c r="AU334" t="inlineStr">
        <is>
          <t>PNCP_2T_10-02-2020</t>
        </is>
      </c>
      <c r="AV334" t="inlineStr">
        <is>
          <t>PNCP_4T_30-04-2013</t>
        </is>
      </c>
      <c r="AW334" t="inlineStr">
        <is>
          <t>Barro Blanco 220</t>
        </is>
      </c>
      <c r="AX334" t="n">
        <v>111.133</v>
      </c>
      <c r="AY334" t="n">
        <v>1.080821157758461</v>
      </c>
      <c r="AZ334" t="n">
        <v>120.1148977251711</v>
      </c>
      <c r="BA334" t="n">
        <v>779.3099999999999</v>
      </c>
      <c r="BB334" t="n">
        <v>0.879</v>
      </c>
      <c r="BC334" t="n">
        <v>82.2803252917125</v>
      </c>
      <c r="BD334" t="n">
        <v>0.846</v>
      </c>
      <c r="BE334" t="n">
        <v>69.60899999999999</v>
      </c>
      <c r="BF334" t="n">
        <v>8.9176</v>
      </c>
      <c r="BG334" t="n">
        <v>0.804</v>
      </c>
      <c r="BH334" t="n">
        <v>6039.043023599974</v>
      </c>
      <c r="BI334" t="n">
        <v>1.011820868379177</v>
      </c>
      <c r="BJ334" t="n">
        <v>6110.4298</v>
      </c>
      <c r="BK334" t="n">
        <v>22286.346551352</v>
      </c>
    </row>
    <row r="335">
      <c r="A335" t="n">
        <v>1857</v>
      </c>
      <c r="B335" t="inlineStr">
        <is>
          <t>01-10-2020</t>
        </is>
      </c>
      <c r="C335" t="n">
        <v>2020</v>
      </c>
      <c r="D335" t="n">
        <v>1</v>
      </c>
      <c r="E335" t="inlineStr">
        <is>
          <t>CAREN</t>
        </is>
      </c>
      <c r="F335" t="inlineStr">
        <is>
          <t>SUM_SAESA_A</t>
        </is>
      </c>
      <c r="G335" t="inlineStr">
        <is>
          <t>A</t>
        </is>
      </c>
      <c r="H335" t="inlineStr">
        <is>
          <t>SAESA</t>
        </is>
      </c>
      <c r="I335" t="inlineStr">
        <is>
          <t>SAESPANGBLOQA</t>
        </is>
      </c>
      <c r="J335" t="inlineStr">
        <is>
          <t>PANGUIPULLI</t>
        </is>
      </c>
      <c r="K335" t="n">
        <v>-7177.04883369</v>
      </c>
      <c r="L335" t="inlineStr">
        <is>
          <t>PANGUIPULLI</t>
        </is>
      </c>
      <c r="M335" t="inlineStr">
        <is>
          <t>MELIPULLI</t>
        </is>
      </c>
      <c r="N335" t="n">
        <v>0.00938568728699</v>
      </c>
      <c r="O335" t="n">
        <v>67.361536</v>
      </c>
      <c r="P335" t="inlineStr">
        <is>
          <t>BS1A</t>
        </is>
      </c>
      <c r="Q335" t="n">
        <v>2</v>
      </c>
      <c r="V335" t="n">
        <v>1472834.063</v>
      </c>
      <c r="W335" t="n">
        <v>2</v>
      </c>
      <c r="X335" t="n">
        <v>8.487e-08</v>
      </c>
      <c r="Y335" t="n">
        <v>0.249999</v>
      </c>
      <c r="Z335" t="n">
        <v>16.840317</v>
      </c>
      <c r="AA335" t="inlineStr">
        <is>
          <t>PNP_6T_08-05-2020</t>
        </is>
      </c>
      <c r="AB335" t="inlineStr">
        <is>
          <t>PNCP_9T_12-08-2019</t>
        </is>
      </c>
      <c r="AC335" t="inlineStr">
        <is>
          <t>PNCP_4T_30-04-2013</t>
        </is>
      </c>
      <c r="AD335" t="inlineStr">
        <is>
          <t>MELIPULLI 220</t>
        </is>
      </c>
      <c r="AE335" t="n">
        <v>111.133</v>
      </c>
      <c r="AF335" t="n">
        <v>1.072776031070834</v>
      </c>
      <c r="AG335" t="n">
        <v>119.220818660995</v>
      </c>
      <c r="AH335" t="n">
        <v>694.38</v>
      </c>
      <c r="AI335" t="n">
        <v>0.875</v>
      </c>
      <c r="AJ335" t="n">
        <v>72.43648305409401</v>
      </c>
      <c r="AK335" t="n">
        <v>0.8826000000000001</v>
      </c>
      <c r="AL335" t="n">
        <v>63.932</v>
      </c>
      <c r="AM335" t="n">
        <v>8.9176</v>
      </c>
      <c r="AN335" t="n">
        <v>9.566587534677272</v>
      </c>
      <c r="AO335" t="n">
        <v>0.913</v>
      </c>
      <c r="AP335" t="n">
        <v>6064.919358776563</v>
      </c>
      <c r="AQ335" t="n">
        <v>1</v>
      </c>
      <c r="AR335" t="n">
        <v>6064.9194</v>
      </c>
      <c r="AS335" t="n">
        <v>1076.635146444</v>
      </c>
      <c r="AT335" t="inlineStr">
        <is>
          <t>PNP_16T_02-11-2020</t>
        </is>
      </c>
      <c r="AU335" t="inlineStr">
        <is>
          <t>PNCP_2T_10-02-2020</t>
        </is>
      </c>
      <c r="AV335" t="inlineStr">
        <is>
          <t>PNCP_4T_30-04-2013</t>
        </is>
      </c>
      <c r="AW335" t="inlineStr">
        <is>
          <t>MELIPULLI 220</t>
        </is>
      </c>
      <c r="AX335" t="n">
        <v>111.133</v>
      </c>
      <c r="AY335" t="n">
        <v>1.080821157758461</v>
      </c>
      <c r="AZ335" t="n">
        <v>120.1148977251711</v>
      </c>
      <c r="BA335" t="n">
        <v>779.3099999999999</v>
      </c>
      <c r="BB335" t="n">
        <v>0.879</v>
      </c>
      <c r="BC335" t="n">
        <v>82.2803252917125</v>
      </c>
      <c r="BD335" t="n">
        <v>0.8421</v>
      </c>
      <c r="BE335" t="n">
        <v>69.288</v>
      </c>
      <c r="BF335" t="n">
        <v>8.9176</v>
      </c>
      <c r="BG335" t="n">
        <v>0.804</v>
      </c>
      <c r="BH335" t="n">
        <v>6039.043023599974</v>
      </c>
      <c r="BI335" t="n">
        <v>1</v>
      </c>
      <c r="BJ335" t="n">
        <v>6039.043</v>
      </c>
      <c r="BK335" t="n">
        <v>1166.831884296</v>
      </c>
    </row>
    <row r="336">
      <c r="A336" t="n">
        <v>1859</v>
      </c>
      <c r="B336" t="inlineStr">
        <is>
          <t>01-10-2020</t>
        </is>
      </c>
      <c r="C336" t="n">
        <v>2020</v>
      </c>
      <c r="D336" t="n">
        <v>1</v>
      </c>
      <c r="E336" t="inlineStr">
        <is>
          <t>CAREN</t>
        </is>
      </c>
      <c r="F336" t="inlineStr">
        <is>
          <t>SUM_SAESA_A</t>
        </is>
      </c>
      <c r="G336" t="inlineStr">
        <is>
          <t>A</t>
        </is>
      </c>
      <c r="H336" t="inlineStr">
        <is>
          <t>SAESA</t>
        </is>
      </c>
      <c r="I336" t="inlineStr">
        <is>
          <t>SAESPANGBLOQA</t>
        </is>
      </c>
      <c r="J336" t="inlineStr">
        <is>
          <t>PANGUIPULLI</t>
        </is>
      </c>
      <c r="K336" t="n">
        <v>-7177.04883369</v>
      </c>
      <c r="L336" t="inlineStr">
        <is>
          <t>PANGUIPULLI</t>
        </is>
      </c>
      <c r="M336" t="inlineStr">
        <is>
          <t>VALDIVIA</t>
        </is>
      </c>
      <c r="N336" t="n">
        <v>0.67856885801593</v>
      </c>
      <c r="O336" t="n">
        <v>4870.121831</v>
      </c>
      <c r="P336" t="inlineStr">
        <is>
          <t>BS1A</t>
        </is>
      </c>
      <c r="Q336" t="n">
        <v>2</v>
      </c>
      <c r="V336" t="n">
        <v>1472834.063</v>
      </c>
      <c r="W336" t="n">
        <v>2</v>
      </c>
      <c r="X336" t="n">
        <v>8.487e-08</v>
      </c>
      <c r="Y336" t="n">
        <v>0.249999</v>
      </c>
      <c r="Z336" t="n">
        <v>1217.525588</v>
      </c>
      <c r="AA336" t="inlineStr">
        <is>
          <t>PNP_6T_08-05-2020</t>
        </is>
      </c>
      <c r="AB336" t="inlineStr">
        <is>
          <t>PNCP_9T_12-08-2019</t>
        </is>
      </c>
      <c r="AC336" t="inlineStr">
        <is>
          <t>PNCP_4T_30-04-2013</t>
        </is>
      </c>
      <c r="AD336" t="inlineStr">
        <is>
          <t>VALDIVIA 220</t>
        </is>
      </c>
      <c r="AE336" t="n">
        <v>111.133</v>
      </c>
      <c r="AF336" t="n">
        <v>1.072776031070834</v>
      </c>
      <c r="AG336" t="n">
        <v>119.220818660995</v>
      </c>
      <c r="AH336" t="n">
        <v>694.38</v>
      </c>
      <c r="AI336" t="n">
        <v>0.875</v>
      </c>
      <c r="AJ336" t="n">
        <v>72.43648305409401</v>
      </c>
      <c r="AK336" t="n">
        <v>0.913</v>
      </c>
      <c r="AL336" t="n">
        <v>66.13500000000001</v>
      </c>
      <c r="AM336" t="n">
        <v>8.9176</v>
      </c>
      <c r="AN336" t="n">
        <v>9.566587534677272</v>
      </c>
      <c r="AO336" t="n">
        <v>0.913</v>
      </c>
      <c r="AP336" t="n">
        <v>6064.919358776563</v>
      </c>
      <c r="AQ336" t="n">
        <v>1.051287819142954</v>
      </c>
      <c r="AR336" t="n">
        <v>6375.9758</v>
      </c>
      <c r="AS336" t="n">
        <v>80521.05476238001</v>
      </c>
      <c r="AT336" t="inlineStr">
        <is>
          <t>PNP_16T_02-11-2020</t>
        </is>
      </c>
      <c r="AU336" t="inlineStr">
        <is>
          <t>PNCP_2T_10-02-2020</t>
        </is>
      </c>
      <c r="AV336" t="inlineStr">
        <is>
          <t>PNCP_4T_30-04-2013</t>
        </is>
      </c>
      <c r="AW336" t="inlineStr">
        <is>
          <t>VALDIVIA 220</t>
        </is>
      </c>
      <c r="AX336" t="n">
        <v>111.133</v>
      </c>
      <c r="AY336" t="n">
        <v>1.080821157758461</v>
      </c>
      <c r="AZ336" t="n">
        <v>120.1148977251711</v>
      </c>
      <c r="BA336" t="n">
        <v>779.3099999999999</v>
      </c>
      <c r="BB336" t="n">
        <v>0.879</v>
      </c>
      <c r="BC336" t="n">
        <v>82.2803252917125</v>
      </c>
      <c r="BD336" t="n">
        <v>0.9167</v>
      </c>
      <c r="BE336" t="n">
        <v>75.426</v>
      </c>
      <c r="BF336" t="n">
        <v>8.9176</v>
      </c>
      <c r="BG336" t="n">
        <v>0.804</v>
      </c>
      <c r="BH336" t="n">
        <v>6039.043023599974</v>
      </c>
      <c r="BI336" t="n">
        <v>1.096052187605444</v>
      </c>
      <c r="BJ336" t="n">
        <v>6619.1063</v>
      </c>
      <c r="BK336" t="n">
        <v>91833.085000488</v>
      </c>
    </row>
    <row r="337">
      <c r="A337" t="n">
        <v>197</v>
      </c>
      <c r="B337" t="inlineStr">
        <is>
          <t>01-10-2020</t>
        </is>
      </c>
      <c r="C337" t="n">
        <v>2020</v>
      </c>
      <c r="D337" t="n">
        <v>1</v>
      </c>
      <c r="E337" t="inlineStr">
        <is>
          <t>CAREN</t>
        </is>
      </c>
      <c r="F337" t="inlineStr">
        <is>
          <t>SUM_SAESA_A</t>
        </is>
      </c>
      <c r="G337" t="inlineStr">
        <is>
          <t>A</t>
        </is>
      </c>
      <c r="H337" t="inlineStr">
        <is>
          <t>SAESA</t>
        </is>
      </c>
      <c r="I337" t="inlineStr">
        <is>
          <t>SAESPARGBLOQA</t>
        </is>
      </c>
      <c r="J337" t="inlineStr">
        <is>
          <t>PARGUA</t>
        </is>
      </c>
      <c r="K337" t="n">
        <v>-588.28566919</v>
      </c>
      <c r="L337" t="inlineStr">
        <is>
          <t>PARGUA 23</t>
        </is>
      </c>
      <c r="M337" t="inlineStr">
        <is>
          <t>MELIPULLI</t>
        </is>
      </c>
      <c r="N337" t="n">
        <v>0.88336054288962</v>
      </c>
      <c r="O337" t="n">
        <v>519.668348</v>
      </c>
      <c r="P337" t="inlineStr">
        <is>
          <t>BS1A</t>
        </is>
      </c>
      <c r="Q337" t="n">
        <v>2</v>
      </c>
      <c r="V337" t="n">
        <v>1472834.063</v>
      </c>
      <c r="W337" t="n">
        <v>2</v>
      </c>
      <c r="X337" t="n">
        <v>8.487e-08</v>
      </c>
      <c r="Y337" t="n">
        <v>0.249999</v>
      </c>
      <c r="Z337" t="n">
        <v>129.916567</v>
      </c>
      <c r="AA337" t="inlineStr">
        <is>
          <t>PNP_6T_08-05-2020</t>
        </is>
      </c>
      <c r="AB337" t="inlineStr">
        <is>
          <t>PNCP_9T_12-08-2019</t>
        </is>
      </c>
      <c r="AC337" t="inlineStr">
        <is>
          <t>PNCP_4T_30-04-2013</t>
        </is>
      </c>
      <c r="AD337" t="inlineStr">
        <is>
          <t>MELIPULLI 220</t>
        </is>
      </c>
      <c r="AE337" t="n">
        <v>111.133</v>
      </c>
      <c r="AF337" t="n">
        <v>1.072776031070834</v>
      </c>
      <c r="AG337" t="n">
        <v>119.220818660995</v>
      </c>
      <c r="AH337" t="n">
        <v>694.38</v>
      </c>
      <c r="AI337" t="n">
        <v>0.875</v>
      </c>
      <c r="AJ337" t="n">
        <v>72.43648305409401</v>
      </c>
      <c r="AK337" t="n">
        <v>0.8826000000000001</v>
      </c>
      <c r="AL337" t="n">
        <v>63.932</v>
      </c>
      <c r="AM337" t="n">
        <v>8.9176</v>
      </c>
      <c r="AN337" t="n">
        <v>9.566587534677272</v>
      </c>
      <c r="AO337" t="n">
        <v>0.913</v>
      </c>
      <c r="AP337" t="n">
        <v>6064.919358776563</v>
      </c>
      <c r="AQ337" t="n">
        <v>1</v>
      </c>
      <c r="AR337" t="n">
        <v>6064.9194</v>
      </c>
      <c r="AS337" t="n">
        <v>8305.825961443999</v>
      </c>
      <c r="AT337" t="inlineStr">
        <is>
          <t>PNP_16T_02-11-2020</t>
        </is>
      </c>
      <c r="AU337" t="inlineStr">
        <is>
          <t>PNCP_2T_10-02-2020</t>
        </is>
      </c>
      <c r="AV337" t="inlineStr">
        <is>
          <t>PNCP_4T_30-04-2013</t>
        </is>
      </c>
      <c r="AW337" t="inlineStr">
        <is>
          <t>MELIPULLI 220</t>
        </is>
      </c>
      <c r="AX337" t="n">
        <v>111.133</v>
      </c>
      <c r="AY337" t="n">
        <v>1.080821157758461</v>
      </c>
      <c r="AZ337" t="n">
        <v>120.1148977251711</v>
      </c>
      <c r="BA337" t="n">
        <v>779.3099999999999</v>
      </c>
      <c r="BB337" t="n">
        <v>0.879</v>
      </c>
      <c r="BC337" t="n">
        <v>82.2803252917125</v>
      </c>
      <c r="BD337" t="n">
        <v>0.8421</v>
      </c>
      <c r="BE337" t="n">
        <v>69.288</v>
      </c>
      <c r="BF337" t="n">
        <v>8.9176</v>
      </c>
      <c r="BG337" t="n">
        <v>0.804</v>
      </c>
      <c r="BH337" t="n">
        <v>6039.043023599974</v>
      </c>
      <c r="BI337" t="n">
        <v>1</v>
      </c>
      <c r="BJ337" t="n">
        <v>6039.043</v>
      </c>
      <c r="BK337" t="n">
        <v>9001.659094295999</v>
      </c>
    </row>
    <row r="338">
      <c r="A338" t="n">
        <v>1855</v>
      </c>
      <c r="B338" t="inlineStr">
        <is>
          <t>01-10-2020</t>
        </is>
      </c>
      <c r="C338" t="n">
        <v>2020</v>
      </c>
      <c r="D338" t="n">
        <v>1</v>
      </c>
      <c r="E338" t="inlineStr">
        <is>
          <t>CAREN</t>
        </is>
      </c>
      <c r="F338" t="inlineStr">
        <is>
          <t>SUM_SAESA_A</t>
        </is>
      </c>
      <c r="G338" t="inlineStr">
        <is>
          <t>A</t>
        </is>
      </c>
      <c r="H338" t="inlineStr">
        <is>
          <t>SAESA</t>
        </is>
      </c>
      <c r="I338" t="inlineStr">
        <is>
          <t>SAESPICABLOQA</t>
        </is>
      </c>
      <c r="J338" t="inlineStr">
        <is>
          <t>PICARTE</t>
        </is>
      </c>
      <c r="K338" t="n">
        <v>-24963.04397874</v>
      </c>
      <c r="L338" t="inlineStr">
        <is>
          <t>PICARTE</t>
        </is>
      </c>
      <c r="M338" t="inlineStr">
        <is>
          <t>BARRO BLANCO</t>
        </is>
      </c>
      <c r="N338" t="n">
        <v>0.04426188381592</v>
      </c>
      <c r="O338" t="n">
        <v>1104.911352</v>
      </c>
      <c r="P338" t="inlineStr">
        <is>
          <t>BS1A</t>
        </is>
      </c>
      <c r="Q338" t="n">
        <v>2</v>
      </c>
      <c r="V338" t="n">
        <v>1472834.063</v>
      </c>
      <c r="W338" t="n">
        <v>2</v>
      </c>
      <c r="X338" t="n">
        <v>8.487e-08</v>
      </c>
      <c r="Y338" t="n">
        <v>0.249999</v>
      </c>
      <c r="Z338" t="n">
        <v>276.226733</v>
      </c>
      <c r="AA338" t="inlineStr">
        <is>
          <t>PNP_6T_08-05-2020</t>
        </is>
      </c>
      <c r="AB338" t="inlineStr">
        <is>
          <t>PNCP_9T_12-08-2019</t>
        </is>
      </c>
      <c r="AC338" t="inlineStr">
        <is>
          <t>PNCP_4T_30-04-2013</t>
        </is>
      </c>
      <c r="AD338" t="inlineStr">
        <is>
          <t>Barro Blanco 220</t>
        </is>
      </c>
      <c r="AE338" t="n">
        <v>111.133</v>
      </c>
      <c r="AF338" t="n">
        <v>1.072776031070834</v>
      </c>
      <c r="AG338" t="n">
        <v>119.220818660995</v>
      </c>
      <c r="AH338" t="n">
        <v>694.38</v>
      </c>
      <c r="AI338" t="n">
        <v>0.875</v>
      </c>
      <c r="AJ338" t="n">
        <v>72.43648305409401</v>
      </c>
      <c r="AK338" t="n">
        <v>0.8631</v>
      </c>
      <c r="AL338" t="n">
        <v>62.52</v>
      </c>
      <c r="AM338" t="n">
        <v>8.9176</v>
      </c>
      <c r="AN338" t="n">
        <v>9.566587534677272</v>
      </c>
      <c r="AO338" t="n">
        <v>0.913</v>
      </c>
      <c r="AP338" t="n">
        <v>6064.919358776563</v>
      </c>
      <c r="AQ338" t="n">
        <v>1.004432825642191</v>
      </c>
      <c r="AR338" t="n">
        <v>6091.8041</v>
      </c>
      <c r="AS338" t="n">
        <v>17269.69534716</v>
      </c>
      <c r="AT338" t="inlineStr">
        <is>
          <t>PNP_16T_02-11-2020</t>
        </is>
      </c>
      <c r="AU338" t="inlineStr">
        <is>
          <t>PNCP_2T_10-02-2020</t>
        </is>
      </c>
      <c r="AV338" t="inlineStr">
        <is>
          <t>PNCP_4T_30-04-2013</t>
        </is>
      </c>
      <c r="AW338" t="inlineStr">
        <is>
          <t>Barro Blanco 220</t>
        </is>
      </c>
      <c r="AX338" t="n">
        <v>111.133</v>
      </c>
      <c r="AY338" t="n">
        <v>1.080821157758461</v>
      </c>
      <c r="AZ338" t="n">
        <v>120.1148977251711</v>
      </c>
      <c r="BA338" t="n">
        <v>779.3099999999999</v>
      </c>
      <c r="BB338" t="n">
        <v>0.879</v>
      </c>
      <c r="BC338" t="n">
        <v>82.2803252917125</v>
      </c>
      <c r="BD338" t="n">
        <v>0.846</v>
      </c>
      <c r="BE338" t="n">
        <v>69.60899999999999</v>
      </c>
      <c r="BF338" t="n">
        <v>8.9176</v>
      </c>
      <c r="BG338" t="n">
        <v>0.804</v>
      </c>
      <c r="BH338" t="n">
        <v>6039.043023599974</v>
      </c>
      <c r="BI338" t="n">
        <v>1.011820868379177</v>
      </c>
      <c r="BJ338" t="n">
        <v>6110.4298</v>
      </c>
      <c r="BK338" t="n">
        <v>19227.866657397</v>
      </c>
    </row>
    <row r="339">
      <c r="A339" t="n">
        <v>1857</v>
      </c>
      <c r="B339" t="inlineStr">
        <is>
          <t>01-10-2020</t>
        </is>
      </c>
      <c r="C339" t="n">
        <v>2020</v>
      </c>
      <c r="D339" t="n">
        <v>1</v>
      </c>
      <c r="E339" t="inlineStr">
        <is>
          <t>CAREN</t>
        </is>
      </c>
      <c r="F339" t="inlineStr">
        <is>
          <t>SUM_SAESA_A</t>
        </is>
      </c>
      <c r="G339" t="inlineStr">
        <is>
          <t>A</t>
        </is>
      </c>
      <c r="H339" t="inlineStr">
        <is>
          <t>SAESA</t>
        </is>
      </c>
      <c r="I339" t="inlineStr">
        <is>
          <t>SAESPICABLOQA</t>
        </is>
      </c>
      <c r="J339" t="inlineStr">
        <is>
          <t>PICARTE</t>
        </is>
      </c>
      <c r="K339" t="n">
        <v>-24963.04397874</v>
      </c>
      <c r="L339" t="inlineStr">
        <is>
          <t>PICARTE</t>
        </is>
      </c>
      <c r="M339" t="inlineStr">
        <is>
          <t>MELIPULLI</t>
        </is>
      </c>
      <c r="N339" t="n">
        <v>0.00284526914055</v>
      </c>
      <c r="O339" t="n">
        <v>71.026579</v>
      </c>
      <c r="P339" t="inlineStr">
        <is>
          <t>BS1A</t>
        </is>
      </c>
      <c r="Q339" t="n">
        <v>2</v>
      </c>
      <c r="V339" t="n">
        <v>1472834.063</v>
      </c>
      <c r="W339" t="n">
        <v>2</v>
      </c>
      <c r="X339" t="n">
        <v>8.487e-08</v>
      </c>
      <c r="Y339" t="n">
        <v>0.249999</v>
      </c>
      <c r="Z339" t="n">
        <v>17.756574</v>
      </c>
      <c r="AA339" t="inlineStr">
        <is>
          <t>PNP_6T_08-05-2020</t>
        </is>
      </c>
      <c r="AB339" t="inlineStr">
        <is>
          <t>PNCP_9T_12-08-2019</t>
        </is>
      </c>
      <c r="AC339" t="inlineStr">
        <is>
          <t>PNCP_4T_30-04-2013</t>
        </is>
      </c>
      <c r="AD339" t="inlineStr">
        <is>
          <t>MELIPULLI 220</t>
        </is>
      </c>
      <c r="AE339" t="n">
        <v>111.133</v>
      </c>
      <c r="AF339" t="n">
        <v>1.072776031070834</v>
      </c>
      <c r="AG339" t="n">
        <v>119.220818660995</v>
      </c>
      <c r="AH339" t="n">
        <v>694.38</v>
      </c>
      <c r="AI339" t="n">
        <v>0.875</v>
      </c>
      <c r="AJ339" t="n">
        <v>72.43648305409401</v>
      </c>
      <c r="AK339" t="n">
        <v>0.8826000000000001</v>
      </c>
      <c r="AL339" t="n">
        <v>63.932</v>
      </c>
      <c r="AM339" t="n">
        <v>8.9176</v>
      </c>
      <c r="AN339" t="n">
        <v>9.566587534677272</v>
      </c>
      <c r="AO339" t="n">
        <v>0.913</v>
      </c>
      <c r="AP339" t="n">
        <v>6064.919358776563</v>
      </c>
      <c r="AQ339" t="n">
        <v>1</v>
      </c>
      <c r="AR339" t="n">
        <v>6064.9194</v>
      </c>
      <c r="AS339" t="n">
        <v>1135.213288968</v>
      </c>
      <c r="AT339" t="inlineStr">
        <is>
          <t>PNP_16T_02-11-2020</t>
        </is>
      </c>
      <c r="AU339" t="inlineStr">
        <is>
          <t>PNCP_2T_10-02-2020</t>
        </is>
      </c>
      <c r="AV339" t="inlineStr">
        <is>
          <t>PNCP_4T_30-04-2013</t>
        </is>
      </c>
      <c r="AW339" t="inlineStr">
        <is>
          <t>MELIPULLI 220</t>
        </is>
      </c>
      <c r="AX339" t="n">
        <v>111.133</v>
      </c>
      <c r="AY339" t="n">
        <v>1.080821157758461</v>
      </c>
      <c r="AZ339" t="n">
        <v>120.1148977251711</v>
      </c>
      <c r="BA339" t="n">
        <v>779.3099999999999</v>
      </c>
      <c r="BB339" t="n">
        <v>0.879</v>
      </c>
      <c r="BC339" t="n">
        <v>82.2803252917125</v>
      </c>
      <c r="BD339" t="n">
        <v>0.8421</v>
      </c>
      <c r="BE339" t="n">
        <v>69.288</v>
      </c>
      <c r="BF339" t="n">
        <v>8.9176</v>
      </c>
      <c r="BG339" t="n">
        <v>0.804</v>
      </c>
      <c r="BH339" t="n">
        <v>6039.043023599974</v>
      </c>
      <c r="BI339" t="n">
        <v>1</v>
      </c>
      <c r="BJ339" t="n">
        <v>6039.043</v>
      </c>
      <c r="BK339" t="n">
        <v>1230.317499312</v>
      </c>
    </row>
    <row r="340">
      <c r="A340" t="n">
        <v>1859</v>
      </c>
      <c r="B340" t="inlineStr">
        <is>
          <t>01-10-2020</t>
        </is>
      </c>
      <c r="C340" t="n">
        <v>2020</v>
      </c>
      <c r="D340" t="n">
        <v>1</v>
      </c>
      <c r="E340" t="inlineStr">
        <is>
          <t>CAREN</t>
        </is>
      </c>
      <c r="F340" t="inlineStr">
        <is>
          <t>SUM_SAESA_A</t>
        </is>
      </c>
      <c r="G340" t="inlineStr">
        <is>
          <t>A</t>
        </is>
      </c>
      <c r="H340" t="inlineStr">
        <is>
          <t>SAESA</t>
        </is>
      </c>
      <c r="I340" t="inlineStr">
        <is>
          <t>SAESPICABLOQA</t>
        </is>
      </c>
      <c r="J340" t="inlineStr">
        <is>
          <t>PICARTE</t>
        </is>
      </c>
      <c r="K340" t="n">
        <v>-24963.04397874</v>
      </c>
      <c r="L340" t="inlineStr">
        <is>
          <t>PICARTE</t>
        </is>
      </c>
      <c r="M340" t="inlineStr">
        <is>
          <t>VALDIVIA</t>
        </is>
      </c>
      <c r="N340" t="n">
        <v>0.81632978072526</v>
      </c>
      <c r="O340" t="n">
        <v>20378.076217</v>
      </c>
      <c r="P340" t="inlineStr">
        <is>
          <t>BS1A</t>
        </is>
      </c>
      <c r="Q340" t="n">
        <v>2</v>
      </c>
      <c r="V340" t="n">
        <v>1472834.063</v>
      </c>
      <c r="W340" t="n">
        <v>2</v>
      </c>
      <c r="X340" t="n">
        <v>8.487e-08</v>
      </c>
      <c r="Y340" t="n">
        <v>0.249999</v>
      </c>
      <c r="Z340" t="n">
        <v>5094.498676</v>
      </c>
      <c r="AA340" t="inlineStr">
        <is>
          <t>PNP_6T_08-05-2020</t>
        </is>
      </c>
      <c r="AB340" t="inlineStr">
        <is>
          <t>PNCP_9T_12-08-2019</t>
        </is>
      </c>
      <c r="AC340" t="inlineStr">
        <is>
          <t>PNCP_4T_30-04-2013</t>
        </is>
      </c>
      <c r="AD340" t="inlineStr">
        <is>
          <t>VALDIVIA 220</t>
        </is>
      </c>
      <c r="AE340" t="n">
        <v>111.133</v>
      </c>
      <c r="AF340" t="n">
        <v>1.072776031070834</v>
      </c>
      <c r="AG340" t="n">
        <v>119.220818660995</v>
      </c>
      <c r="AH340" t="n">
        <v>694.38</v>
      </c>
      <c r="AI340" t="n">
        <v>0.875</v>
      </c>
      <c r="AJ340" t="n">
        <v>72.43648305409401</v>
      </c>
      <c r="AK340" t="n">
        <v>0.913</v>
      </c>
      <c r="AL340" t="n">
        <v>66.13500000000001</v>
      </c>
      <c r="AM340" t="n">
        <v>8.9176</v>
      </c>
      <c r="AN340" t="n">
        <v>9.566587534677272</v>
      </c>
      <c r="AO340" t="n">
        <v>0.913</v>
      </c>
      <c r="AP340" t="n">
        <v>6064.919358776563</v>
      </c>
      <c r="AQ340" t="n">
        <v>1.051287819142954</v>
      </c>
      <c r="AR340" t="n">
        <v>6375.9758</v>
      </c>
      <c r="AS340" t="n">
        <v>336924.66993726</v>
      </c>
      <c r="AT340" t="inlineStr">
        <is>
          <t>PNP_16T_02-11-2020</t>
        </is>
      </c>
      <c r="AU340" t="inlineStr">
        <is>
          <t>PNCP_2T_10-02-2020</t>
        </is>
      </c>
      <c r="AV340" t="inlineStr">
        <is>
          <t>PNCP_4T_30-04-2013</t>
        </is>
      </c>
      <c r="AW340" t="inlineStr">
        <is>
          <t>VALDIVIA 220</t>
        </is>
      </c>
      <c r="AX340" t="n">
        <v>111.133</v>
      </c>
      <c r="AY340" t="n">
        <v>1.080821157758461</v>
      </c>
      <c r="AZ340" t="n">
        <v>120.1148977251711</v>
      </c>
      <c r="BA340" t="n">
        <v>779.3099999999999</v>
      </c>
      <c r="BB340" t="n">
        <v>0.879</v>
      </c>
      <c r="BC340" t="n">
        <v>82.2803252917125</v>
      </c>
      <c r="BD340" t="n">
        <v>0.9167</v>
      </c>
      <c r="BE340" t="n">
        <v>75.426</v>
      </c>
      <c r="BF340" t="n">
        <v>8.9176</v>
      </c>
      <c r="BG340" t="n">
        <v>0.804</v>
      </c>
      <c r="BH340" t="n">
        <v>6039.043023599974</v>
      </c>
      <c r="BI340" t="n">
        <v>1.096052187605444</v>
      </c>
      <c r="BJ340" t="n">
        <v>6619.1063</v>
      </c>
      <c r="BK340" t="n">
        <v>384257.657135976</v>
      </c>
    </row>
    <row r="341">
      <c r="A341" t="n">
        <v>3727</v>
      </c>
      <c r="B341" t="inlineStr">
        <is>
          <t>01-10-2020</t>
        </is>
      </c>
      <c r="C341" t="n">
        <v>2020</v>
      </c>
      <c r="D341" t="n">
        <v>1</v>
      </c>
      <c r="E341" t="inlineStr">
        <is>
          <t>CAREN</t>
        </is>
      </c>
      <c r="F341" t="inlineStr">
        <is>
          <t>SUM_SAESA_A</t>
        </is>
      </c>
      <c r="G341" t="inlineStr">
        <is>
          <t>A</t>
        </is>
      </c>
      <c r="H341" t="inlineStr">
        <is>
          <t>SAESA</t>
        </is>
      </c>
      <c r="I341" t="inlineStr">
        <is>
          <t>SAESPICHIBLOQA</t>
        </is>
      </c>
      <c r="J341" t="inlineStr">
        <is>
          <t>PICHIL</t>
        </is>
      </c>
      <c r="K341" t="n">
        <v>-700.26514645</v>
      </c>
      <c r="L341" t="inlineStr">
        <is>
          <t>PICHIL</t>
        </is>
      </c>
      <c r="M341" t="inlineStr">
        <is>
          <t>BARRO BLANCO</t>
        </is>
      </c>
      <c r="N341" t="n">
        <v>0.8920038857753</v>
      </c>
      <c r="O341" t="n">
        <v>624.639232</v>
      </c>
      <c r="P341" t="inlineStr">
        <is>
          <t>BS1A</t>
        </is>
      </c>
      <c r="Q341" t="n">
        <v>2</v>
      </c>
      <c r="V341" t="n">
        <v>1472834.063</v>
      </c>
      <c r="W341" t="n">
        <v>2</v>
      </c>
      <c r="X341" t="n">
        <v>8.487e-08</v>
      </c>
      <c r="Y341" t="n">
        <v>0.249999</v>
      </c>
      <c r="Z341" t="n">
        <v>156.159183</v>
      </c>
      <c r="AA341" t="inlineStr">
        <is>
          <t>PNP_6T_08-05-2020</t>
        </is>
      </c>
      <c r="AB341" t="inlineStr">
        <is>
          <t>PNCP_9T_12-08-2019</t>
        </is>
      </c>
      <c r="AC341" t="inlineStr">
        <is>
          <t>PNCP_4T_30-04-2013</t>
        </is>
      </c>
      <c r="AD341" t="inlineStr">
        <is>
          <t>Barro Blanco 220</t>
        </is>
      </c>
      <c r="AE341" t="n">
        <v>111.133</v>
      </c>
      <c r="AF341" t="n">
        <v>1.072776031070834</v>
      </c>
      <c r="AG341" t="n">
        <v>119.220818660995</v>
      </c>
      <c r="AH341" t="n">
        <v>694.38</v>
      </c>
      <c r="AI341" t="n">
        <v>0.875</v>
      </c>
      <c r="AJ341" t="n">
        <v>72.43648305409401</v>
      </c>
      <c r="AK341" t="n">
        <v>0.8631</v>
      </c>
      <c r="AL341" t="n">
        <v>62.52</v>
      </c>
      <c r="AM341" t="n">
        <v>8.9176</v>
      </c>
      <c r="AN341" t="n">
        <v>9.566587534677272</v>
      </c>
      <c r="AO341" t="n">
        <v>0.913</v>
      </c>
      <c r="AP341" t="n">
        <v>6064.919358776563</v>
      </c>
      <c r="AQ341" t="n">
        <v>1.004432825642191</v>
      </c>
      <c r="AR341" t="n">
        <v>6091.8041</v>
      </c>
      <c r="AS341" t="n">
        <v>9763.072121160001</v>
      </c>
      <c r="AT341" t="inlineStr">
        <is>
          <t>PNP_16T_02-11-2020</t>
        </is>
      </c>
      <c r="AU341" t="inlineStr">
        <is>
          <t>PNCP_2T_10-02-2020</t>
        </is>
      </c>
      <c r="AV341" t="inlineStr">
        <is>
          <t>PNCP_4T_30-04-2013</t>
        </is>
      </c>
      <c r="AW341" t="inlineStr">
        <is>
          <t>Barro Blanco 220</t>
        </is>
      </c>
      <c r="AX341" t="n">
        <v>111.133</v>
      </c>
      <c r="AY341" t="n">
        <v>1.080821157758461</v>
      </c>
      <c r="AZ341" t="n">
        <v>120.1148977251711</v>
      </c>
      <c r="BA341" t="n">
        <v>779.3099999999999</v>
      </c>
      <c r="BB341" t="n">
        <v>0.879</v>
      </c>
      <c r="BC341" t="n">
        <v>82.2803252917125</v>
      </c>
      <c r="BD341" t="n">
        <v>0.846</v>
      </c>
      <c r="BE341" t="n">
        <v>69.60899999999999</v>
      </c>
      <c r="BF341" t="n">
        <v>8.9176</v>
      </c>
      <c r="BG341" t="n">
        <v>0.804</v>
      </c>
      <c r="BH341" t="n">
        <v>6039.043023599974</v>
      </c>
      <c r="BI341" t="n">
        <v>1.011820868379177</v>
      </c>
      <c r="BJ341" t="n">
        <v>6110.4298</v>
      </c>
      <c r="BK341" t="n">
        <v>10870.084569447</v>
      </c>
    </row>
    <row r="342">
      <c r="A342" t="n">
        <v>3729</v>
      </c>
      <c r="B342" t="inlineStr">
        <is>
          <t>01-10-2020</t>
        </is>
      </c>
      <c r="C342" t="n">
        <v>2020</v>
      </c>
      <c r="D342" t="n">
        <v>1</v>
      </c>
      <c r="E342" t="inlineStr">
        <is>
          <t>CAREN</t>
        </is>
      </c>
      <c r="F342" t="inlineStr">
        <is>
          <t>SUM_SAESA_A</t>
        </is>
      </c>
      <c r="G342" t="inlineStr">
        <is>
          <t>A</t>
        </is>
      </c>
      <c r="H342" t="inlineStr">
        <is>
          <t>SAESA</t>
        </is>
      </c>
      <c r="I342" t="inlineStr">
        <is>
          <t>SAESPICHIBLOQA</t>
        </is>
      </c>
      <c r="J342" t="inlineStr">
        <is>
          <t>PICHIL</t>
        </is>
      </c>
      <c r="K342" t="n">
        <v>-700.26514645</v>
      </c>
      <c r="L342" t="inlineStr">
        <is>
          <t>PICHIL</t>
        </is>
      </c>
      <c r="M342" t="inlineStr">
        <is>
          <t>MELIPULLI</t>
        </is>
      </c>
      <c r="N342" t="n">
        <v>0.0602325005507</v>
      </c>
      <c r="O342" t="n">
        <v>42.178721</v>
      </c>
      <c r="P342" t="inlineStr">
        <is>
          <t>BS1A</t>
        </is>
      </c>
      <c r="Q342" t="n">
        <v>2</v>
      </c>
      <c r="V342" t="n">
        <v>1472834.063</v>
      </c>
      <c r="W342" t="n">
        <v>2</v>
      </c>
      <c r="X342" t="n">
        <v>8.487e-08</v>
      </c>
      <c r="Y342" t="n">
        <v>0.249999</v>
      </c>
      <c r="Z342" t="n">
        <v>10.544638</v>
      </c>
      <c r="AA342" t="inlineStr">
        <is>
          <t>PNP_6T_08-05-2020</t>
        </is>
      </c>
      <c r="AB342" t="inlineStr">
        <is>
          <t>PNCP_9T_12-08-2019</t>
        </is>
      </c>
      <c r="AC342" t="inlineStr">
        <is>
          <t>PNCP_4T_30-04-2013</t>
        </is>
      </c>
      <c r="AD342" t="inlineStr">
        <is>
          <t>MELIPULLI 220</t>
        </is>
      </c>
      <c r="AE342" t="n">
        <v>111.133</v>
      </c>
      <c r="AF342" t="n">
        <v>1.072776031070834</v>
      </c>
      <c r="AG342" t="n">
        <v>119.220818660995</v>
      </c>
      <c r="AH342" t="n">
        <v>694.38</v>
      </c>
      <c r="AI342" t="n">
        <v>0.875</v>
      </c>
      <c r="AJ342" t="n">
        <v>72.43648305409401</v>
      </c>
      <c r="AK342" t="n">
        <v>0.8826000000000001</v>
      </c>
      <c r="AL342" t="n">
        <v>63.932</v>
      </c>
      <c r="AM342" t="n">
        <v>8.9176</v>
      </c>
      <c r="AN342" t="n">
        <v>9.566587534677272</v>
      </c>
      <c r="AO342" t="n">
        <v>0.913</v>
      </c>
      <c r="AP342" t="n">
        <v>6064.919358776563</v>
      </c>
      <c r="AQ342" t="n">
        <v>1</v>
      </c>
      <c r="AR342" t="n">
        <v>6064.9194</v>
      </c>
      <c r="AS342" t="n">
        <v>674.1397966160001</v>
      </c>
      <c r="AT342" t="inlineStr">
        <is>
          <t>PNP_16T_02-11-2020</t>
        </is>
      </c>
      <c r="AU342" t="inlineStr">
        <is>
          <t>PNCP_2T_10-02-2020</t>
        </is>
      </c>
      <c r="AV342" t="inlineStr">
        <is>
          <t>PNCP_4T_30-04-2013</t>
        </is>
      </c>
      <c r="AW342" t="inlineStr">
        <is>
          <t>MELIPULLI 220</t>
        </is>
      </c>
      <c r="AX342" t="n">
        <v>111.133</v>
      </c>
      <c r="AY342" t="n">
        <v>1.080821157758461</v>
      </c>
      <c r="AZ342" t="n">
        <v>120.1148977251711</v>
      </c>
      <c r="BA342" t="n">
        <v>779.3099999999999</v>
      </c>
      <c r="BB342" t="n">
        <v>0.879</v>
      </c>
      <c r="BC342" t="n">
        <v>82.2803252917125</v>
      </c>
      <c r="BD342" t="n">
        <v>0.8421</v>
      </c>
      <c r="BE342" t="n">
        <v>69.288</v>
      </c>
      <c r="BF342" t="n">
        <v>8.9176</v>
      </c>
      <c r="BG342" t="n">
        <v>0.804</v>
      </c>
      <c r="BH342" t="n">
        <v>6039.043023599974</v>
      </c>
      <c r="BI342" t="n">
        <v>1</v>
      </c>
      <c r="BJ342" t="n">
        <v>6039.043</v>
      </c>
      <c r="BK342" t="n">
        <v>730.616877744</v>
      </c>
    </row>
    <row r="343">
      <c r="A343" t="n">
        <v>3731</v>
      </c>
      <c r="B343" t="inlineStr">
        <is>
          <t>01-10-2020</t>
        </is>
      </c>
      <c r="C343" t="n">
        <v>2020</v>
      </c>
      <c r="D343" t="n">
        <v>1</v>
      </c>
      <c r="E343" t="inlineStr">
        <is>
          <t>CAREN</t>
        </is>
      </c>
      <c r="F343" t="inlineStr">
        <is>
          <t>SUM_SAESA_A</t>
        </is>
      </c>
      <c r="G343" t="inlineStr">
        <is>
          <t>A</t>
        </is>
      </c>
      <c r="H343" t="inlineStr">
        <is>
          <t>SAESA</t>
        </is>
      </c>
      <c r="I343" t="inlineStr">
        <is>
          <t>SAESPICHIBLOQA</t>
        </is>
      </c>
      <c r="J343" t="inlineStr">
        <is>
          <t>PICHIL</t>
        </is>
      </c>
      <c r="K343" t="n">
        <v>-700.26514645</v>
      </c>
      <c r="L343" t="inlineStr">
        <is>
          <t>PICHIL</t>
        </is>
      </c>
      <c r="M343" t="inlineStr">
        <is>
          <t>VALDIVIA</t>
        </is>
      </c>
      <c r="N343" t="n">
        <v>0.00992234391695</v>
      </c>
      <c r="O343" t="n">
        <v>6.948272</v>
      </c>
      <c r="P343" t="inlineStr">
        <is>
          <t>BS1A</t>
        </is>
      </c>
      <c r="Q343" t="n">
        <v>2</v>
      </c>
      <c r="V343" t="n">
        <v>1472834.063</v>
      </c>
      <c r="W343" t="n">
        <v>2</v>
      </c>
      <c r="X343" t="n">
        <v>8.487e-08</v>
      </c>
      <c r="Y343" t="n">
        <v>0.249999</v>
      </c>
      <c r="Z343" t="n">
        <v>1.737061</v>
      </c>
      <c r="AA343" t="inlineStr">
        <is>
          <t>PNP_6T_08-05-2020</t>
        </is>
      </c>
      <c r="AB343" t="inlineStr">
        <is>
          <t>PNCP_9T_12-08-2019</t>
        </is>
      </c>
      <c r="AC343" t="inlineStr">
        <is>
          <t>PNCP_4T_30-04-2013</t>
        </is>
      </c>
      <c r="AD343" t="inlineStr">
        <is>
          <t>VALDIVIA 220</t>
        </is>
      </c>
      <c r="AE343" t="n">
        <v>111.133</v>
      </c>
      <c r="AF343" t="n">
        <v>1.072776031070834</v>
      </c>
      <c r="AG343" t="n">
        <v>119.220818660995</v>
      </c>
      <c r="AH343" t="n">
        <v>694.38</v>
      </c>
      <c r="AI343" t="n">
        <v>0.875</v>
      </c>
      <c r="AJ343" t="n">
        <v>72.43648305409401</v>
      </c>
      <c r="AK343" t="n">
        <v>0.913</v>
      </c>
      <c r="AL343" t="n">
        <v>66.13500000000001</v>
      </c>
      <c r="AM343" t="n">
        <v>8.9176</v>
      </c>
      <c r="AN343" t="n">
        <v>9.566587534677272</v>
      </c>
      <c r="AO343" t="n">
        <v>0.913</v>
      </c>
      <c r="AP343" t="n">
        <v>6064.919358776563</v>
      </c>
      <c r="AQ343" t="n">
        <v>1.051287819142954</v>
      </c>
      <c r="AR343" t="n">
        <v>6375.9758</v>
      </c>
      <c r="AS343" t="n">
        <v>114.880529235</v>
      </c>
      <c r="AT343" t="inlineStr">
        <is>
          <t>PNP_16T_02-11-2020</t>
        </is>
      </c>
      <c r="AU343" t="inlineStr">
        <is>
          <t>PNCP_2T_10-02-2020</t>
        </is>
      </c>
      <c r="AV343" t="inlineStr">
        <is>
          <t>PNCP_4T_30-04-2013</t>
        </is>
      </c>
      <c r="AW343" t="inlineStr">
        <is>
          <t>VALDIVIA 220</t>
        </is>
      </c>
      <c r="AX343" t="n">
        <v>111.133</v>
      </c>
      <c r="AY343" t="n">
        <v>1.080821157758461</v>
      </c>
      <c r="AZ343" t="n">
        <v>120.1148977251711</v>
      </c>
      <c r="BA343" t="n">
        <v>779.3099999999999</v>
      </c>
      <c r="BB343" t="n">
        <v>0.879</v>
      </c>
      <c r="BC343" t="n">
        <v>82.2803252917125</v>
      </c>
      <c r="BD343" t="n">
        <v>0.9167</v>
      </c>
      <c r="BE343" t="n">
        <v>75.426</v>
      </c>
      <c r="BF343" t="n">
        <v>8.9176</v>
      </c>
      <c r="BG343" t="n">
        <v>0.804</v>
      </c>
      <c r="BH343" t="n">
        <v>6039.043023599974</v>
      </c>
      <c r="BI343" t="n">
        <v>1.096052187605444</v>
      </c>
      <c r="BJ343" t="n">
        <v>6619.1063</v>
      </c>
      <c r="BK343" t="n">
        <v>131.019562986</v>
      </c>
    </row>
    <row r="344">
      <c r="A344" t="n">
        <v>1855</v>
      </c>
      <c r="B344" t="inlineStr">
        <is>
          <t>01-10-2020</t>
        </is>
      </c>
      <c r="C344" t="n">
        <v>2020</v>
      </c>
      <c r="D344" t="n">
        <v>1</v>
      </c>
      <c r="E344" t="inlineStr">
        <is>
          <t>CAREN</t>
        </is>
      </c>
      <c r="F344" t="inlineStr">
        <is>
          <t>SUM_SAESA_A</t>
        </is>
      </c>
      <c r="G344" t="inlineStr">
        <is>
          <t>A</t>
        </is>
      </c>
      <c r="H344" t="inlineStr">
        <is>
          <t>SAESA</t>
        </is>
      </c>
      <c r="I344" t="inlineStr">
        <is>
          <t>SAESPICHBLOQA</t>
        </is>
      </c>
      <c r="J344" t="inlineStr">
        <is>
          <t>PICHIRROPULLI</t>
        </is>
      </c>
      <c r="K344" t="n">
        <v>-4392.88325577</v>
      </c>
      <c r="L344" t="inlineStr">
        <is>
          <t>PICHIRROPULLI</t>
        </is>
      </c>
      <c r="M344" t="inlineStr">
        <is>
          <t>BARRO BLANCO</t>
        </is>
      </c>
      <c r="N344" t="n">
        <v>0.44055171091363</v>
      </c>
      <c r="O344" t="n">
        <v>1935.292234</v>
      </c>
      <c r="P344" t="inlineStr">
        <is>
          <t>BS1A</t>
        </is>
      </c>
      <c r="Q344" t="n">
        <v>2</v>
      </c>
      <c r="V344" t="n">
        <v>1472834.063</v>
      </c>
      <c r="W344" t="n">
        <v>2</v>
      </c>
      <c r="X344" t="n">
        <v>8.487e-08</v>
      </c>
      <c r="Y344" t="n">
        <v>0.249999</v>
      </c>
      <c r="Z344" t="n">
        <v>483.821123</v>
      </c>
      <c r="AA344" t="inlineStr">
        <is>
          <t>PNP_6T_08-05-2020</t>
        </is>
      </c>
      <c r="AB344" t="inlineStr">
        <is>
          <t>PNCP_9T_12-08-2019</t>
        </is>
      </c>
      <c r="AC344" t="inlineStr">
        <is>
          <t>PNCP_4T_30-04-2013</t>
        </is>
      </c>
      <c r="AD344" t="inlineStr">
        <is>
          <t>Barro Blanco 220</t>
        </is>
      </c>
      <c r="AE344" t="n">
        <v>111.133</v>
      </c>
      <c r="AF344" t="n">
        <v>1.072776031070834</v>
      </c>
      <c r="AG344" t="n">
        <v>119.220818660995</v>
      </c>
      <c r="AH344" t="n">
        <v>694.38</v>
      </c>
      <c r="AI344" t="n">
        <v>0.875</v>
      </c>
      <c r="AJ344" t="n">
        <v>72.43648305409401</v>
      </c>
      <c r="AK344" t="n">
        <v>0.8631</v>
      </c>
      <c r="AL344" t="n">
        <v>62.52</v>
      </c>
      <c r="AM344" t="n">
        <v>8.9176</v>
      </c>
      <c r="AN344" t="n">
        <v>9.566587534677272</v>
      </c>
      <c r="AO344" t="n">
        <v>0.913</v>
      </c>
      <c r="AP344" t="n">
        <v>6064.919358776563</v>
      </c>
      <c r="AQ344" t="n">
        <v>1.004432825642191</v>
      </c>
      <c r="AR344" t="n">
        <v>6091.8041</v>
      </c>
      <c r="AS344" t="n">
        <v>30248.49660996</v>
      </c>
      <c r="AT344" t="inlineStr">
        <is>
          <t>PNP_16T_02-11-2020</t>
        </is>
      </c>
      <c r="AU344" t="inlineStr">
        <is>
          <t>PNCP_2T_10-02-2020</t>
        </is>
      </c>
      <c r="AV344" t="inlineStr">
        <is>
          <t>PNCP_4T_30-04-2013</t>
        </is>
      </c>
      <c r="AW344" t="inlineStr">
        <is>
          <t>Barro Blanco 220</t>
        </is>
      </c>
      <c r="AX344" t="n">
        <v>111.133</v>
      </c>
      <c r="AY344" t="n">
        <v>1.080821157758461</v>
      </c>
      <c r="AZ344" t="n">
        <v>120.1148977251711</v>
      </c>
      <c r="BA344" t="n">
        <v>779.3099999999999</v>
      </c>
      <c r="BB344" t="n">
        <v>0.879</v>
      </c>
      <c r="BC344" t="n">
        <v>82.2803252917125</v>
      </c>
      <c r="BD344" t="n">
        <v>0.846</v>
      </c>
      <c r="BE344" t="n">
        <v>69.60899999999999</v>
      </c>
      <c r="BF344" t="n">
        <v>8.9176</v>
      </c>
      <c r="BG344" t="n">
        <v>0.804</v>
      </c>
      <c r="BH344" t="n">
        <v>6039.043023599974</v>
      </c>
      <c r="BI344" t="n">
        <v>1.011820868379177</v>
      </c>
      <c r="BJ344" t="n">
        <v>6110.4298</v>
      </c>
      <c r="BK344" t="n">
        <v>33678.304550907</v>
      </c>
    </row>
    <row r="345">
      <c r="A345" t="n">
        <v>1857</v>
      </c>
      <c r="B345" t="inlineStr">
        <is>
          <t>01-10-2020</t>
        </is>
      </c>
      <c r="C345" t="n">
        <v>2020</v>
      </c>
      <c r="D345" t="n">
        <v>1</v>
      </c>
      <c r="E345" t="inlineStr">
        <is>
          <t>CAREN</t>
        </is>
      </c>
      <c r="F345" t="inlineStr">
        <is>
          <t>SUM_SAESA_A</t>
        </is>
      </c>
      <c r="G345" t="inlineStr">
        <is>
          <t>A</t>
        </is>
      </c>
      <c r="H345" t="inlineStr">
        <is>
          <t>SAESA</t>
        </is>
      </c>
      <c r="I345" t="inlineStr">
        <is>
          <t>SAESPICHBLOQA</t>
        </is>
      </c>
      <c r="J345" t="inlineStr">
        <is>
          <t>PICHIRROPULLI</t>
        </is>
      </c>
      <c r="K345" t="n">
        <v>-4392.88325577</v>
      </c>
      <c r="L345" t="inlineStr">
        <is>
          <t>PICHIRROPULLI</t>
        </is>
      </c>
      <c r="M345" t="inlineStr">
        <is>
          <t>MELIPULLI</t>
        </is>
      </c>
      <c r="N345" t="n">
        <v>0.02469277244506</v>
      </c>
      <c r="O345" t="n">
        <v>108.472467</v>
      </c>
      <c r="P345" t="inlineStr">
        <is>
          <t>BS1A</t>
        </is>
      </c>
      <c r="Q345" t="n">
        <v>2</v>
      </c>
      <c r="V345" t="n">
        <v>1472834.063</v>
      </c>
      <c r="W345" t="n">
        <v>2</v>
      </c>
      <c r="X345" t="n">
        <v>8.487e-08</v>
      </c>
      <c r="Y345" t="n">
        <v>0.249999</v>
      </c>
      <c r="Z345" t="n">
        <v>27.118008</v>
      </c>
      <c r="AA345" t="inlineStr">
        <is>
          <t>PNP_6T_08-05-2020</t>
        </is>
      </c>
      <c r="AB345" t="inlineStr">
        <is>
          <t>PNCP_9T_12-08-2019</t>
        </is>
      </c>
      <c r="AC345" t="inlineStr">
        <is>
          <t>PNCP_4T_30-04-2013</t>
        </is>
      </c>
      <c r="AD345" t="inlineStr">
        <is>
          <t>MELIPULLI 220</t>
        </is>
      </c>
      <c r="AE345" t="n">
        <v>111.133</v>
      </c>
      <c r="AF345" t="n">
        <v>1.072776031070834</v>
      </c>
      <c r="AG345" t="n">
        <v>119.220818660995</v>
      </c>
      <c r="AH345" t="n">
        <v>694.38</v>
      </c>
      <c r="AI345" t="n">
        <v>0.875</v>
      </c>
      <c r="AJ345" t="n">
        <v>72.43648305409401</v>
      </c>
      <c r="AK345" t="n">
        <v>0.8826000000000001</v>
      </c>
      <c r="AL345" t="n">
        <v>63.932</v>
      </c>
      <c r="AM345" t="n">
        <v>8.9176</v>
      </c>
      <c r="AN345" t="n">
        <v>9.566587534677272</v>
      </c>
      <c r="AO345" t="n">
        <v>0.913</v>
      </c>
      <c r="AP345" t="n">
        <v>6064.919358776563</v>
      </c>
      <c r="AQ345" t="n">
        <v>1</v>
      </c>
      <c r="AR345" t="n">
        <v>6064.9194</v>
      </c>
      <c r="AS345" t="n">
        <v>1733.708487456</v>
      </c>
      <c r="AT345" t="inlineStr">
        <is>
          <t>PNP_16T_02-11-2020</t>
        </is>
      </c>
      <c r="AU345" t="inlineStr">
        <is>
          <t>PNCP_2T_10-02-2020</t>
        </is>
      </c>
      <c r="AV345" t="inlineStr">
        <is>
          <t>PNCP_4T_30-04-2013</t>
        </is>
      </c>
      <c r="AW345" t="inlineStr">
        <is>
          <t>MELIPULLI 220</t>
        </is>
      </c>
      <c r="AX345" t="n">
        <v>111.133</v>
      </c>
      <c r="AY345" t="n">
        <v>1.080821157758461</v>
      </c>
      <c r="AZ345" t="n">
        <v>120.1148977251711</v>
      </c>
      <c r="BA345" t="n">
        <v>779.3099999999999</v>
      </c>
      <c r="BB345" t="n">
        <v>0.879</v>
      </c>
      <c r="BC345" t="n">
        <v>82.2803252917125</v>
      </c>
      <c r="BD345" t="n">
        <v>0.8421</v>
      </c>
      <c r="BE345" t="n">
        <v>69.288</v>
      </c>
      <c r="BF345" t="n">
        <v>8.9176</v>
      </c>
      <c r="BG345" t="n">
        <v>0.804</v>
      </c>
      <c r="BH345" t="n">
        <v>6039.043023599974</v>
      </c>
      <c r="BI345" t="n">
        <v>1</v>
      </c>
      <c r="BJ345" t="n">
        <v>6039.043</v>
      </c>
      <c r="BK345" t="n">
        <v>1878.952538304</v>
      </c>
    </row>
    <row r="346">
      <c r="A346" t="n">
        <v>1859</v>
      </c>
      <c r="B346" t="inlineStr">
        <is>
          <t>01-10-2020</t>
        </is>
      </c>
      <c r="C346" t="n">
        <v>2020</v>
      </c>
      <c r="D346" t="n">
        <v>1</v>
      </c>
      <c r="E346" t="inlineStr">
        <is>
          <t>CAREN</t>
        </is>
      </c>
      <c r="F346" t="inlineStr">
        <is>
          <t>SUM_SAESA_A</t>
        </is>
      </c>
      <c r="G346" t="inlineStr">
        <is>
          <t>A</t>
        </is>
      </c>
      <c r="H346" t="inlineStr">
        <is>
          <t>SAESA</t>
        </is>
      </c>
      <c r="I346" t="inlineStr">
        <is>
          <t>SAESPICHBLOQA</t>
        </is>
      </c>
      <c r="J346" t="inlineStr">
        <is>
          <t>PICHIRROPULLI</t>
        </is>
      </c>
      <c r="K346" t="n">
        <v>-4392.88325577</v>
      </c>
      <c r="L346" t="inlineStr">
        <is>
          <t>PICHIRROPULLI</t>
        </is>
      </c>
      <c r="M346" t="inlineStr">
        <is>
          <t>VALDIVIA</t>
        </is>
      </c>
      <c r="N346" t="n">
        <v>0.40806767195515</v>
      </c>
      <c r="O346" t="n">
        <v>1792.593643</v>
      </c>
      <c r="P346" t="inlineStr">
        <is>
          <t>BS1A</t>
        </is>
      </c>
      <c r="Q346" t="n">
        <v>2</v>
      </c>
      <c r="V346" t="n">
        <v>1472834.063</v>
      </c>
      <c r="W346" t="n">
        <v>2</v>
      </c>
      <c r="X346" t="n">
        <v>8.487e-08</v>
      </c>
      <c r="Y346" t="n">
        <v>0.249999</v>
      </c>
      <c r="Z346" t="n">
        <v>448.146618</v>
      </c>
      <c r="AA346" t="inlineStr">
        <is>
          <t>PNP_6T_08-05-2020</t>
        </is>
      </c>
      <c r="AB346" t="inlineStr">
        <is>
          <t>PNCP_9T_12-08-2019</t>
        </is>
      </c>
      <c r="AC346" t="inlineStr">
        <is>
          <t>PNCP_4T_30-04-2013</t>
        </is>
      </c>
      <c r="AD346" t="inlineStr">
        <is>
          <t>VALDIVIA 220</t>
        </is>
      </c>
      <c r="AE346" t="n">
        <v>111.133</v>
      </c>
      <c r="AF346" t="n">
        <v>1.072776031070834</v>
      </c>
      <c r="AG346" t="n">
        <v>119.220818660995</v>
      </c>
      <c r="AH346" t="n">
        <v>694.38</v>
      </c>
      <c r="AI346" t="n">
        <v>0.875</v>
      </c>
      <c r="AJ346" t="n">
        <v>72.43648305409401</v>
      </c>
      <c r="AK346" t="n">
        <v>0.913</v>
      </c>
      <c r="AL346" t="n">
        <v>66.13500000000001</v>
      </c>
      <c r="AM346" t="n">
        <v>8.9176</v>
      </c>
      <c r="AN346" t="n">
        <v>9.566587534677272</v>
      </c>
      <c r="AO346" t="n">
        <v>0.913</v>
      </c>
      <c r="AP346" t="n">
        <v>6064.919358776563</v>
      </c>
      <c r="AQ346" t="n">
        <v>1.051287819142954</v>
      </c>
      <c r="AR346" t="n">
        <v>6375.9758</v>
      </c>
      <c r="AS346" t="n">
        <v>29638.17658143</v>
      </c>
      <c r="AT346" t="inlineStr">
        <is>
          <t>PNP_16T_02-11-2020</t>
        </is>
      </c>
      <c r="AU346" t="inlineStr">
        <is>
          <t>PNCP_2T_10-02-2020</t>
        </is>
      </c>
      <c r="AV346" t="inlineStr">
        <is>
          <t>PNCP_4T_30-04-2013</t>
        </is>
      </c>
      <c r="AW346" t="inlineStr">
        <is>
          <t>VALDIVIA 220</t>
        </is>
      </c>
      <c r="AX346" t="n">
        <v>111.133</v>
      </c>
      <c r="AY346" t="n">
        <v>1.080821157758461</v>
      </c>
      <c r="AZ346" t="n">
        <v>120.1148977251711</v>
      </c>
      <c r="BA346" t="n">
        <v>779.3099999999999</v>
      </c>
      <c r="BB346" t="n">
        <v>0.879</v>
      </c>
      <c r="BC346" t="n">
        <v>82.2803252917125</v>
      </c>
      <c r="BD346" t="n">
        <v>0.9167</v>
      </c>
      <c r="BE346" t="n">
        <v>75.426</v>
      </c>
      <c r="BF346" t="n">
        <v>8.9176</v>
      </c>
      <c r="BG346" t="n">
        <v>0.804</v>
      </c>
      <c r="BH346" t="n">
        <v>6039.043023599974</v>
      </c>
      <c r="BI346" t="n">
        <v>1.096052187605444</v>
      </c>
      <c r="BJ346" t="n">
        <v>6619.1063</v>
      </c>
      <c r="BK346" t="n">
        <v>33801.906809268</v>
      </c>
    </row>
    <row r="347">
      <c r="A347" t="n">
        <v>1855</v>
      </c>
      <c r="B347" t="inlineStr">
        <is>
          <t>01-10-2020</t>
        </is>
      </c>
      <c r="C347" t="n">
        <v>2020</v>
      </c>
      <c r="D347" t="n">
        <v>1</v>
      </c>
      <c r="E347" t="inlineStr">
        <is>
          <t>CAREN</t>
        </is>
      </c>
      <c r="F347" t="inlineStr">
        <is>
          <t>SUM_SAESA_A</t>
        </is>
      </c>
      <c r="G347" t="inlineStr">
        <is>
          <t>A</t>
        </is>
      </c>
      <c r="H347" t="inlineStr">
        <is>
          <t>SAESA</t>
        </is>
      </c>
      <c r="I347" t="inlineStr">
        <is>
          <t>SAESPIDPBLOQA</t>
        </is>
      </c>
      <c r="J347" t="inlineStr">
        <is>
          <t>PIDPID</t>
        </is>
      </c>
      <c r="K347" t="n">
        <v>-3265.1500046</v>
      </c>
      <c r="L347" t="inlineStr">
        <is>
          <t>PID PID</t>
        </is>
      </c>
      <c r="M347" t="inlineStr">
        <is>
          <t>MELIPULLI</t>
        </is>
      </c>
      <c r="N347" t="n">
        <v>0.79666086463654</v>
      </c>
      <c r="O347" t="n">
        <v>2601.217226</v>
      </c>
      <c r="P347" t="inlineStr">
        <is>
          <t>BS1A</t>
        </is>
      </c>
      <c r="Q347" t="n">
        <v>2</v>
      </c>
      <c r="V347" t="n">
        <v>1472834.063</v>
      </c>
      <c r="W347" t="n">
        <v>2</v>
      </c>
      <c r="X347" t="n">
        <v>8.487e-08</v>
      </c>
      <c r="Y347" t="n">
        <v>0.249999</v>
      </c>
      <c r="Z347" t="n">
        <v>650.301705</v>
      </c>
      <c r="AA347" t="inlineStr">
        <is>
          <t>PNP_6T_08-05-2020</t>
        </is>
      </c>
      <c r="AB347" t="inlineStr">
        <is>
          <t>PNCP_9T_12-08-2019</t>
        </is>
      </c>
      <c r="AC347" t="inlineStr">
        <is>
          <t>PNCP_4T_30-04-2013</t>
        </is>
      </c>
      <c r="AD347" t="inlineStr">
        <is>
          <t>MELIPULLI 220</t>
        </is>
      </c>
      <c r="AE347" t="n">
        <v>111.133</v>
      </c>
      <c r="AF347" t="n">
        <v>1.072776031070834</v>
      </c>
      <c r="AG347" t="n">
        <v>119.220818660995</v>
      </c>
      <c r="AH347" t="n">
        <v>694.38</v>
      </c>
      <c r="AI347" t="n">
        <v>0.875</v>
      </c>
      <c r="AJ347" t="n">
        <v>72.43648305409401</v>
      </c>
      <c r="AK347" t="n">
        <v>0.8826000000000001</v>
      </c>
      <c r="AL347" t="n">
        <v>63.932</v>
      </c>
      <c r="AM347" t="n">
        <v>8.9176</v>
      </c>
      <c r="AN347" t="n">
        <v>9.566587534677272</v>
      </c>
      <c r="AO347" t="n">
        <v>0.913</v>
      </c>
      <c r="AP347" t="n">
        <v>6064.919358776563</v>
      </c>
      <c r="AQ347" t="n">
        <v>1</v>
      </c>
      <c r="AR347" t="n">
        <v>6064.9194</v>
      </c>
      <c r="AS347" t="n">
        <v>41575.08860406</v>
      </c>
      <c r="AT347" t="inlineStr">
        <is>
          <t>PNP_16T_02-11-2020</t>
        </is>
      </c>
      <c r="AU347" t="inlineStr">
        <is>
          <t>PNCP_2T_10-02-2020</t>
        </is>
      </c>
      <c r="AV347" t="inlineStr">
        <is>
          <t>PNCP_4T_30-04-2013</t>
        </is>
      </c>
      <c r="AW347" t="inlineStr">
        <is>
          <t>MELIPULLI 220</t>
        </is>
      </c>
      <c r="AX347" t="n">
        <v>111.133</v>
      </c>
      <c r="AY347" t="n">
        <v>1.080821157758461</v>
      </c>
      <c r="AZ347" t="n">
        <v>120.1148977251711</v>
      </c>
      <c r="BA347" t="n">
        <v>779.3099999999999</v>
      </c>
      <c r="BB347" t="n">
        <v>0.879</v>
      </c>
      <c r="BC347" t="n">
        <v>82.2803252917125</v>
      </c>
      <c r="BD347" t="n">
        <v>0.8421</v>
      </c>
      <c r="BE347" t="n">
        <v>69.288</v>
      </c>
      <c r="BF347" t="n">
        <v>8.9176</v>
      </c>
      <c r="BG347" t="n">
        <v>0.804</v>
      </c>
      <c r="BH347" t="n">
        <v>6039.043023599974</v>
      </c>
      <c r="BI347" t="n">
        <v>1</v>
      </c>
      <c r="BJ347" t="n">
        <v>6039.043</v>
      </c>
      <c r="BK347" t="n">
        <v>45058.10453603999</v>
      </c>
    </row>
    <row r="348">
      <c r="A348" t="n">
        <v>1857</v>
      </c>
      <c r="B348" t="inlineStr">
        <is>
          <t>01-10-2020</t>
        </is>
      </c>
      <c r="C348" t="n">
        <v>2020</v>
      </c>
      <c r="D348" t="n">
        <v>1</v>
      </c>
      <c r="E348" t="inlineStr">
        <is>
          <t>CAREN</t>
        </is>
      </c>
      <c r="F348" t="inlineStr">
        <is>
          <t>SUM_SAESA_A</t>
        </is>
      </c>
      <c r="G348" t="inlineStr">
        <is>
          <t>A</t>
        </is>
      </c>
      <c r="H348" t="inlineStr">
        <is>
          <t>SAESA</t>
        </is>
      </c>
      <c r="I348" t="inlineStr">
        <is>
          <t>SAESPIDPBLOQA</t>
        </is>
      </c>
      <c r="J348" t="inlineStr">
        <is>
          <t>PIDPID</t>
        </is>
      </c>
      <c r="K348" t="n">
        <v>-3265.1500046</v>
      </c>
      <c r="L348" t="inlineStr">
        <is>
          <t>PID PID</t>
        </is>
      </c>
      <c r="M348" t="inlineStr">
        <is>
          <t>Puerto Montt</t>
        </is>
      </c>
      <c r="N348" t="n">
        <v>0.94104614890391</v>
      </c>
      <c r="O348" t="n">
        <v>3072.656837</v>
      </c>
      <c r="P348" t="inlineStr">
        <is>
          <t>BS1A</t>
        </is>
      </c>
      <c r="Q348" t="n">
        <v>2</v>
      </c>
      <c r="V348" t="n">
        <v>1472834.063</v>
      </c>
      <c r="W348" t="n">
        <v>2</v>
      </c>
      <c r="X348" t="n">
        <v>8.487e-08</v>
      </c>
      <c r="Y348" t="n">
        <v>0.249999</v>
      </c>
      <c r="Z348" t="n">
        <v>768.1611370000001</v>
      </c>
      <c r="AA348" t="inlineStr">
        <is>
          <t>PNP_6T_08-05-2020</t>
        </is>
      </c>
      <c r="AB348" t="inlineStr">
        <is>
          <t>PNCP_9T_12-08-2019</t>
        </is>
      </c>
      <c r="AC348" t="inlineStr">
        <is>
          <t>PNCP_4T_30-04-2013</t>
        </is>
      </c>
      <c r="AD348" t="inlineStr">
        <is>
          <t>PUERTO MONTT 220</t>
        </is>
      </c>
      <c r="AE348" t="n">
        <v>111.133</v>
      </c>
      <c r="AF348" t="n">
        <v>1.072776031070834</v>
      </c>
      <c r="AG348" t="n">
        <v>119.220818660995</v>
      </c>
      <c r="AH348" t="n">
        <v>694.38</v>
      </c>
      <c r="AI348" t="n">
        <v>0.875</v>
      </c>
      <c r="AJ348" t="n">
        <v>72.43648305409401</v>
      </c>
      <c r="AK348" t="n">
        <v>0.8826000000000001</v>
      </c>
      <c r="AL348" t="n">
        <v>63.932</v>
      </c>
      <c r="AM348" t="n">
        <v>8.9176</v>
      </c>
      <c r="AN348" t="n">
        <v>9.566587534677272</v>
      </c>
      <c r="AO348" t="n">
        <v>0.913</v>
      </c>
      <c r="AP348" t="n">
        <v>6064.919358776563</v>
      </c>
      <c r="AQ348" t="n">
        <v>1.016858412119831</v>
      </c>
      <c r="AR348" t="n">
        <v>6167.1643</v>
      </c>
      <c r="AS348" t="n">
        <v>49110.07781068401</v>
      </c>
      <c r="AT348" t="inlineStr">
        <is>
          <t>PNP_16T_02-11-2020</t>
        </is>
      </c>
      <c r="AU348" t="inlineStr">
        <is>
          <t>PNCP_2T_10-02-2020</t>
        </is>
      </c>
      <c r="AV348" t="inlineStr">
        <is>
          <t>PNCP_4T_30-04-2013</t>
        </is>
      </c>
      <c r="AW348" t="inlineStr">
        <is>
          <t>PUERTO MONTT 220</t>
        </is>
      </c>
      <c r="AX348" t="n">
        <v>111.133</v>
      </c>
      <c r="AY348" t="n">
        <v>1.080821157758461</v>
      </c>
      <c r="AZ348" t="n">
        <v>120.1148977251711</v>
      </c>
      <c r="BA348" t="n">
        <v>779.3099999999999</v>
      </c>
      <c r="BB348" t="n">
        <v>0.879</v>
      </c>
      <c r="BC348" t="n">
        <v>82.2803252917125</v>
      </c>
      <c r="BD348" t="n">
        <v>0.8421</v>
      </c>
      <c r="BE348" t="n">
        <v>69.288</v>
      </c>
      <c r="BF348" t="n">
        <v>8.9176</v>
      </c>
      <c r="BG348" t="n">
        <v>0.804</v>
      </c>
      <c r="BH348" t="n">
        <v>6039.043023599974</v>
      </c>
      <c r="BI348" t="n">
        <v>1.02699624102973</v>
      </c>
      <c r="BJ348" t="n">
        <v>6202.0745</v>
      </c>
      <c r="BK348" t="n">
        <v>53224.348860456</v>
      </c>
    </row>
    <row r="349">
      <c r="A349" t="n">
        <v>1859</v>
      </c>
      <c r="B349" t="inlineStr">
        <is>
          <t>01-10-2020</t>
        </is>
      </c>
      <c r="C349" t="n">
        <v>2020</v>
      </c>
      <c r="D349" t="n">
        <v>1</v>
      </c>
      <c r="E349" t="inlineStr">
        <is>
          <t>CAREN</t>
        </is>
      </c>
      <c r="F349" t="inlineStr">
        <is>
          <t>SUM_SAESA_A</t>
        </is>
      </c>
      <c r="G349" t="inlineStr">
        <is>
          <t>A</t>
        </is>
      </c>
      <c r="H349" t="inlineStr">
        <is>
          <t>SAESA</t>
        </is>
      </c>
      <c r="I349" t="inlineStr">
        <is>
          <t>SAESPIDPBLOQA</t>
        </is>
      </c>
      <c r="J349" t="inlineStr">
        <is>
          <t>PIDPID</t>
        </is>
      </c>
      <c r="K349" t="n">
        <v>-3265.1500046</v>
      </c>
      <c r="L349" t="inlineStr">
        <is>
          <t>PID PID</t>
        </is>
      </c>
      <c r="M349" t="inlineStr">
        <is>
          <t>VALDIVIA</t>
        </is>
      </c>
      <c r="N349" t="n">
        <v>0.00023768314126</v>
      </c>
      <c r="O349" t="n">
        <v>0.776071</v>
      </c>
      <c r="P349" t="inlineStr">
        <is>
          <t>BS1A</t>
        </is>
      </c>
      <c r="Q349" t="n">
        <v>2</v>
      </c>
      <c r="V349" t="n">
        <v>1472834.063</v>
      </c>
      <c r="W349" t="n">
        <v>2</v>
      </c>
      <c r="X349" t="n">
        <v>8.487e-08</v>
      </c>
      <c r="Y349" t="n">
        <v>0.249999</v>
      </c>
      <c r="Z349" t="n">
        <v>0.194017</v>
      </c>
      <c r="AA349" t="inlineStr">
        <is>
          <t>PNP_6T_08-05-2020</t>
        </is>
      </c>
      <c r="AB349" t="inlineStr">
        <is>
          <t>PNCP_9T_12-08-2019</t>
        </is>
      </c>
      <c r="AC349" t="inlineStr">
        <is>
          <t>PNCP_4T_30-04-2013</t>
        </is>
      </c>
      <c r="AD349" t="inlineStr">
        <is>
          <t>VALDIVIA 220</t>
        </is>
      </c>
      <c r="AE349" t="n">
        <v>111.133</v>
      </c>
      <c r="AF349" t="n">
        <v>1.072776031070834</v>
      </c>
      <c r="AG349" t="n">
        <v>119.220818660995</v>
      </c>
      <c r="AH349" t="n">
        <v>694.38</v>
      </c>
      <c r="AI349" t="n">
        <v>0.875</v>
      </c>
      <c r="AJ349" t="n">
        <v>72.43648305409401</v>
      </c>
      <c r="AK349" t="n">
        <v>0.913</v>
      </c>
      <c r="AL349" t="n">
        <v>66.13500000000001</v>
      </c>
      <c r="AM349" t="n">
        <v>8.9176</v>
      </c>
      <c r="AN349" t="n">
        <v>9.566587534677272</v>
      </c>
      <c r="AO349" t="n">
        <v>0.913</v>
      </c>
      <c r="AP349" t="n">
        <v>6064.919358776563</v>
      </c>
      <c r="AQ349" t="n">
        <v>1.051287819142954</v>
      </c>
      <c r="AR349" t="n">
        <v>6375.9758</v>
      </c>
      <c r="AS349" t="n">
        <v>12.831314295</v>
      </c>
      <c r="AT349" t="inlineStr">
        <is>
          <t>PNP_16T_02-11-2020</t>
        </is>
      </c>
      <c r="AU349" t="inlineStr">
        <is>
          <t>PNCP_2T_10-02-2020</t>
        </is>
      </c>
      <c r="AV349" t="inlineStr">
        <is>
          <t>PNCP_4T_30-04-2013</t>
        </is>
      </c>
      <c r="AW349" t="inlineStr">
        <is>
          <t>VALDIVIA 220</t>
        </is>
      </c>
      <c r="AX349" t="n">
        <v>111.133</v>
      </c>
      <c r="AY349" t="n">
        <v>1.080821157758461</v>
      </c>
      <c r="AZ349" t="n">
        <v>120.1148977251711</v>
      </c>
      <c r="BA349" t="n">
        <v>779.3099999999999</v>
      </c>
      <c r="BB349" t="n">
        <v>0.879</v>
      </c>
      <c r="BC349" t="n">
        <v>82.2803252917125</v>
      </c>
      <c r="BD349" t="n">
        <v>0.9167</v>
      </c>
      <c r="BE349" t="n">
        <v>75.426</v>
      </c>
      <c r="BF349" t="n">
        <v>8.9176</v>
      </c>
      <c r="BG349" t="n">
        <v>0.804</v>
      </c>
      <c r="BH349" t="n">
        <v>6039.043023599974</v>
      </c>
      <c r="BI349" t="n">
        <v>1.096052187605444</v>
      </c>
      <c r="BJ349" t="n">
        <v>6619.1063</v>
      </c>
      <c r="BK349" t="n">
        <v>14.633926242</v>
      </c>
    </row>
    <row r="350">
      <c r="A350" t="n">
        <v>5524</v>
      </c>
      <c r="B350" t="inlineStr">
        <is>
          <t>01-10-2020</t>
        </is>
      </c>
      <c r="C350" t="n">
        <v>2020</v>
      </c>
      <c r="D350" t="n">
        <v>1</v>
      </c>
      <c r="E350" t="inlineStr">
        <is>
          <t>CAREN</t>
        </is>
      </c>
      <c r="F350" t="inlineStr">
        <is>
          <t>SUM_SAESA_A</t>
        </is>
      </c>
      <c r="G350" t="inlineStr">
        <is>
          <t>A</t>
        </is>
      </c>
      <c r="H350" t="inlineStr">
        <is>
          <t>SAESA</t>
        </is>
      </c>
      <c r="I350" t="inlineStr">
        <is>
          <t>SAESPILMBLOQA</t>
        </is>
      </c>
      <c r="J350" t="inlineStr">
        <is>
          <t>PILMAIQUEN</t>
        </is>
      </c>
      <c r="K350" t="n">
        <v>0</v>
      </c>
      <c r="L350" t="inlineStr">
        <is>
          <t>PILMAIQUEN</t>
        </is>
      </c>
      <c r="M350" t="inlineStr">
        <is>
          <t>Barro Blanco</t>
        </is>
      </c>
      <c r="N350" t="n">
        <v>0.69399012693979</v>
      </c>
      <c r="O350" t="n">
        <v>0</v>
      </c>
      <c r="P350" t="inlineStr">
        <is>
          <t>BS1A</t>
        </is>
      </c>
      <c r="Q350" t="n">
        <v>2</v>
      </c>
      <c r="V350" t="n">
        <v>1472834.063</v>
      </c>
      <c r="W350" t="n">
        <v>2</v>
      </c>
      <c r="X350" t="n">
        <v>8.487e-08</v>
      </c>
      <c r="Y350" t="n">
        <v>0.249999</v>
      </c>
      <c r="Z350" t="n">
        <v>0</v>
      </c>
      <c r="AA350" t="inlineStr">
        <is>
          <t>PNP_6T_08-05-2020</t>
        </is>
      </c>
      <c r="AB350" t="inlineStr">
        <is>
          <t>PNCP_9T_12-08-2019</t>
        </is>
      </c>
      <c r="AC350" t="inlineStr">
        <is>
          <t>PNCP_4T_30-04-2013</t>
        </is>
      </c>
      <c r="AD350" t="inlineStr">
        <is>
          <t>Barro Blanco 220</t>
        </is>
      </c>
      <c r="AE350" t="n">
        <v>111.133</v>
      </c>
      <c r="AF350" t="n">
        <v>1.072776031070834</v>
      </c>
      <c r="AG350" t="n">
        <v>119.220818660995</v>
      </c>
      <c r="AH350" t="n">
        <v>694.38</v>
      </c>
      <c r="AI350" t="n">
        <v>0.875</v>
      </c>
      <c r="AJ350" t="n">
        <v>72.43648305409401</v>
      </c>
      <c r="AK350" t="n">
        <v>0.8631</v>
      </c>
      <c r="AL350" t="n">
        <v>62.52</v>
      </c>
      <c r="AM350" t="n">
        <v>8.9176</v>
      </c>
      <c r="AN350" t="n">
        <v>9.566587534677272</v>
      </c>
      <c r="AO350" t="n">
        <v>0.913</v>
      </c>
      <c r="AP350" t="n">
        <v>6064.919358776563</v>
      </c>
      <c r="AQ350" t="n">
        <v>1.004432825642191</v>
      </c>
      <c r="AR350" t="n">
        <v>6091.8041</v>
      </c>
      <c r="AS350" t="n">
        <v>0</v>
      </c>
      <c r="AT350" t="inlineStr">
        <is>
          <t>PNP_16T_02-11-2020</t>
        </is>
      </c>
      <c r="AU350" t="inlineStr">
        <is>
          <t>PNCP_2T_10-02-2020</t>
        </is>
      </c>
      <c r="AV350" t="inlineStr">
        <is>
          <t>PNCP_4T_30-04-2013</t>
        </is>
      </c>
      <c r="AW350" t="inlineStr">
        <is>
          <t>Barro Blanco 220</t>
        </is>
      </c>
      <c r="AX350" t="n">
        <v>111.133</v>
      </c>
      <c r="AY350" t="n">
        <v>1.080821157758461</v>
      </c>
      <c r="AZ350" t="n">
        <v>120.1148977251711</v>
      </c>
      <c r="BA350" t="n">
        <v>779.3099999999999</v>
      </c>
      <c r="BB350" t="n">
        <v>0.879</v>
      </c>
      <c r="BC350" t="n">
        <v>82.2803252917125</v>
      </c>
      <c r="BD350" t="n">
        <v>0.846</v>
      </c>
      <c r="BE350" t="n">
        <v>69.60899999999999</v>
      </c>
      <c r="BF350" t="n">
        <v>8.9176</v>
      </c>
      <c r="BG350" t="n">
        <v>0.804</v>
      </c>
      <c r="BH350" t="n">
        <v>6039.043023599974</v>
      </c>
      <c r="BI350" t="n">
        <v>1.011820868379177</v>
      </c>
      <c r="BJ350" t="n">
        <v>6110.4298</v>
      </c>
      <c r="BK350" t="n">
        <v>0</v>
      </c>
    </row>
    <row r="351">
      <c r="A351" t="n">
        <v>5526</v>
      </c>
      <c r="B351" t="inlineStr">
        <is>
          <t>01-10-2020</t>
        </is>
      </c>
      <c r="C351" t="n">
        <v>2020</v>
      </c>
      <c r="D351" t="n">
        <v>1</v>
      </c>
      <c r="E351" t="inlineStr">
        <is>
          <t>CAREN</t>
        </is>
      </c>
      <c r="F351" t="inlineStr">
        <is>
          <t>SUM_SAESA_A</t>
        </is>
      </c>
      <c r="G351" t="inlineStr">
        <is>
          <t>A</t>
        </is>
      </c>
      <c r="H351" t="inlineStr">
        <is>
          <t>SAESA</t>
        </is>
      </c>
      <c r="I351" t="inlineStr">
        <is>
          <t>SAESPILMBLOQA</t>
        </is>
      </c>
      <c r="J351" t="inlineStr">
        <is>
          <t>PILMAIQUEN</t>
        </is>
      </c>
      <c r="K351" t="n">
        <v>0</v>
      </c>
      <c r="L351" t="inlineStr">
        <is>
          <t>PILMAIQUEN</t>
        </is>
      </c>
      <c r="M351" t="inlineStr">
        <is>
          <t>MELIPULLI</t>
        </is>
      </c>
      <c r="N351" t="n">
        <v>0.04205368679911</v>
      </c>
      <c r="O351" t="n">
        <v>0</v>
      </c>
      <c r="P351" t="inlineStr">
        <is>
          <t>BS1A</t>
        </is>
      </c>
      <c r="Q351" t="n">
        <v>2</v>
      </c>
      <c r="V351" t="n">
        <v>1472834.063</v>
      </c>
      <c r="W351" t="n">
        <v>2</v>
      </c>
      <c r="X351" t="n">
        <v>8.487e-08</v>
      </c>
      <c r="Y351" t="n">
        <v>0.249999</v>
      </c>
      <c r="Z351" t="n">
        <v>0</v>
      </c>
      <c r="AA351" t="inlineStr">
        <is>
          <t>PNP_6T_08-05-2020</t>
        </is>
      </c>
      <c r="AB351" t="inlineStr">
        <is>
          <t>PNCP_9T_12-08-2019</t>
        </is>
      </c>
      <c r="AC351" t="inlineStr">
        <is>
          <t>PNCP_4T_30-04-2013</t>
        </is>
      </c>
      <c r="AD351" t="inlineStr">
        <is>
          <t>MELIPULLI 220</t>
        </is>
      </c>
      <c r="AE351" t="n">
        <v>111.133</v>
      </c>
      <c r="AF351" t="n">
        <v>1.072776031070834</v>
      </c>
      <c r="AG351" t="n">
        <v>119.220818660995</v>
      </c>
      <c r="AH351" t="n">
        <v>694.38</v>
      </c>
      <c r="AI351" t="n">
        <v>0.875</v>
      </c>
      <c r="AJ351" t="n">
        <v>72.43648305409401</v>
      </c>
      <c r="AK351" t="n">
        <v>0.8826000000000001</v>
      </c>
      <c r="AL351" t="n">
        <v>63.932</v>
      </c>
      <c r="AM351" t="n">
        <v>8.9176</v>
      </c>
      <c r="AN351" t="n">
        <v>9.566587534677272</v>
      </c>
      <c r="AO351" t="n">
        <v>0.913</v>
      </c>
      <c r="AP351" t="n">
        <v>6064.919358776563</v>
      </c>
      <c r="AQ351" t="n">
        <v>1</v>
      </c>
      <c r="AR351" t="n">
        <v>6064.9194</v>
      </c>
      <c r="AS351" t="n">
        <v>0</v>
      </c>
      <c r="AT351" t="inlineStr">
        <is>
          <t>PNP_16T_02-11-2020</t>
        </is>
      </c>
      <c r="AU351" t="inlineStr">
        <is>
          <t>PNCP_2T_10-02-2020</t>
        </is>
      </c>
      <c r="AV351" t="inlineStr">
        <is>
          <t>PNCP_4T_30-04-2013</t>
        </is>
      </c>
      <c r="AW351" t="inlineStr">
        <is>
          <t>MELIPULLI 220</t>
        </is>
      </c>
      <c r="AX351" t="n">
        <v>111.133</v>
      </c>
      <c r="AY351" t="n">
        <v>1.080821157758461</v>
      </c>
      <c r="AZ351" t="n">
        <v>120.1148977251711</v>
      </c>
      <c r="BA351" t="n">
        <v>779.3099999999999</v>
      </c>
      <c r="BB351" t="n">
        <v>0.879</v>
      </c>
      <c r="BC351" t="n">
        <v>82.2803252917125</v>
      </c>
      <c r="BD351" t="n">
        <v>0.8421</v>
      </c>
      <c r="BE351" t="n">
        <v>69.288</v>
      </c>
      <c r="BF351" t="n">
        <v>8.9176</v>
      </c>
      <c r="BG351" t="n">
        <v>0.804</v>
      </c>
      <c r="BH351" t="n">
        <v>6039.043023599974</v>
      </c>
      <c r="BI351" t="n">
        <v>1</v>
      </c>
      <c r="BJ351" t="n">
        <v>6039.043</v>
      </c>
      <c r="BK351" t="n">
        <v>0</v>
      </c>
    </row>
    <row r="352">
      <c r="A352" t="n">
        <v>5528</v>
      </c>
      <c r="B352" t="inlineStr">
        <is>
          <t>01-10-2020</t>
        </is>
      </c>
      <c r="C352" t="n">
        <v>2020</v>
      </c>
      <c r="D352" t="n">
        <v>1</v>
      </c>
      <c r="E352" t="inlineStr">
        <is>
          <t>CAREN</t>
        </is>
      </c>
      <c r="F352" t="inlineStr">
        <is>
          <t>SUM_SAESA_A</t>
        </is>
      </c>
      <c r="G352" t="inlineStr">
        <is>
          <t>A</t>
        </is>
      </c>
      <c r="H352" t="inlineStr">
        <is>
          <t>SAESA</t>
        </is>
      </c>
      <c r="I352" t="inlineStr">
        <is>
          <t>SAESPILMBLOQA</t>
        </is>
      </c>
      <c r="J352" t="inlineStr">
        <is>
          <t>PILMAIQUEN</t>
        </is>
      </c>
      <c r="K352" t="n">
        <v>0</v>
      </c>
      <c r="L352" t="inlineStr">
        <is>
          <t>PILMAIQUEN</t>
        </is>
      </c>
      <c r="M352" t="inlineStr">
        <is>
          <t>VALDIVIA</t>
        </is>
      </c>
      <c r="N352" t="n">
        <v>0.1616700997078</v>
      </c>
      <c r="O352" t="n">
        <v>0</v>
      </c>
      <c r="P352" t="inlineStr">
        <is>
          <t>BS1A</t>
        </is>
      </c>
      <c r="Q352" t="n">
        <v>2</v>
      </c>
      <c r="V352" t="n">
        <v>1472834.063</v>
      </c>
      <c r="W352" t="n">
        <v>2</v>
      </c>
      <c r="X352" t="n">
        <v>8.487e-08</v>
      </c>
      <c r="Y352" t="n">
        <v>0.249999</v>
      </c>
      <c r="Z352" t="n">
        <v>0</v>
      </c>
      <c r="AA352" t="inlineStr">
        <is>
          <t>PNP_6T_08-05-2020</t>
        </is>
      </c>
      <c r="AB352" t="inlineStr">
        <is>
          <t>PNCP_9T_12-08-2019</t>
        </is>
      </c>
      <c r="AC352" t="inlineStr">
        <is>
          <t>PNCP_4T_30-04-2013</t>
        </is>
      </c>
      <c r="AD352" t="inlineStr">
        <is>
          <t>VALDIVIA 220</t>
        </is>
      </c>
      <c r="AE352" t="n">
        <v>111.133</v>
      </c>
      <c r="AF352" t="n">
        <v>1.072776031070834</v>
      </c>
      <c r="AG352" t="n">
        <v>119.220818660995</v>
      </c>
      <c r="AH352" t="n">
        <v>694.38</v>
      </c>
      <c r="AI352" t="n">
        <v>0.875</v>
      </c>
      <c r="AJ352" t="n">
        <v>72.43648305409401</v>
      </c>
      <c r="AK352" t="n">
        <v>0.913</v>
      </c>
      <c r="AL352" t="n">
        <v>66.13500000000001</v>
      </c>
      <c r="AM352" t="n">
        <v>8.9176</v>
      </c>
      <c r="AN352" t="n">
        <v>9.566587534677272</v>
      </c>
      <c r="AO352" t="n">
        <v>0.913</v>
      </c>
      <c r="AP352" t="n">
        <v>6064.919358776563</v>
      </c>
      <c r="AQ352" t="n">
        <v>1.051287819142954</v>
      </c>
      <c r="AR352" t="n">
        <v>6375.9758</v>
      </c>
      <c r="AS352" t="n">
        <v>0</v>
      </c>
      <c r="AT352" t="inlineStr">
        <is>
          <t>PNP_16T_02-11-2020</t>
        </is>
      </c>
      <c r="AU352" t="inlineStr">
        <is>
          <t>PNCP_2T_10-02-2020</t>
        </is>
      </c>
      <c r="AV352" t="inlineStr">
        <is>
          <t>PNCP_4T_30-04-2013</t>
        </is>
      </c>
      <c r="AW352" t="inlineStr">
        <is>
          <t>VALDIVIA 220</t>
        </is>
      </c>
      <c r="AX352" t="n">
        <v>111.133</v>
      </c>
      <c r="AY352" t="n">
        <v>1.080821157758461</v>
      </c>
      <c r="AZ352" t="n">
        <v>120.1148977251711</v>
      </c>
      <c r="BA352" t="n">
        <v>779.3099999999999</v>
      </c>
      <c r="BB352" t="n">
        <v>0.879</v>
      </c>
      <c r="BC352" t="n">
        <v>82.2803252917125</v>
      </c>
      <c r="BD352" t="n">
        <v>0.9167</v>
      </c>
      <c r="BE352" t="n">
        <v>75.426</v>
      </c>
      <c r="BF352" t="n">
        <v>8.9176</v>
      </c>
      <c r="BG352" t="n">
        <v>0.804</v>
      </c>
      <c r="BH352" t="n">
        <v>6039.043023599974</v>
      </c>
      <c r="BI352" t="n">
        <v>1.096052187605444</v>
      </c>
      <c r="BJ352" t="n">
        <v>6619.1063</v>
      </c>
      <c r="BK352" t="n">
        <v>0</v>
      </c>
    </row>
    <row r="353">
      <c r="A353" t="n">
        <v>1855</v>
      </c>
      <c r="B353" t="inlineStr">
        <is>
          <t>01-10-2020</t>
        </is>
      </c>
      <c r="C353" t="n">
        <v>2020</v>
      </c>
      <c r="D353" t="n">
        <v>1</v>
      </c>
      <c r="E353" t="inlineStr">
        <is>
          <t>CAREN</t>
        </is>
      </c>
      <c r="F353" t="inlineStr">
        <is>
          <t>SUM_SAESA_A</t>
        </is>
      </c>
      <c r="G353" t="inlineStr">
        <is>
          <t>A</t>
        </is>
      </c>
      <c r="H353" t="inlineStr">
        <is>
          <t>SAESA</t>
        </is>
      </c>
      <c r="I353" t="inlineStr">
        <is>
          <t>SAESPULLBLOQA</t>
        </is>
      </c>
      <c r="J353" t="inlineStr">
        <is>
          <t>PULLINQUE</t>
        </is>
      </c>
      <c r="K353" t="n">
        <v>-1780.97576036</v>
      </c>
      <c r="L353" t="inlineStr">
        <is>
          <t>PULLINQUE</t>
        </is>
      </c>
      <c r="M353" t="inlineStr">
        <is>
          <t>BARRO BLANCO</t>
        </is>
      </c>
      <c r="N353" t="n">
        <v>0.23546265219545</v>
      </c>
      <c r="O353" t="n">
        <v>419.353276</v>
      </c>
      <c r="P353" t="inlineStr">
        <is>
          <t>BS1A</t>
        </is>
      </c>
      <c r="Q353" t="n">
        <v>2</v>
      </c>
      <c r="V353" t="n">
        <v>1472834.063</v>
      </c>
      <c r="W353" t="n">
        <v>2</v>
      </c>
      <c r="X353" t="n">
        <v>8.487e-08</v>
      </c>
      <c r="Y353" t="n">
        <v>0.249999</v>
      </c>
      <c r="Z353" t="n">
        <v>104.8379</v>
      </c>
      <c r="AA353" t="inlineStr">
        <is>
          <t>PNP_6T_08-05-2020</t>
        </is>
      </c>
      <c r="AB353" t="inlineStr">
        <is>
          <t>PNCP_9T_12-08-2019</t>
        </is>
      </c>
      <c r="AC353" t="inlineStr">
        <is>
          <t>PNCP_4T_30-04-2013</t>
        </is>
      </c>
      <c r="AD353" t="inlineStr">
        <is>
          <t>Barro Blanco 220</t>
        </is>
      </c>
      <c r="AE353" t="n">
        <v>111.133</v>
      </c>
      <c r="AF353" t="n">
        <v>1.072776031070834</v>
      </c>
      <c r="AG353" t="n">
        <v>119.220818660995</v>
      </c>
      <c r="AH353" t="n">
        <v>694.38</v>
      </c>
      <c r="AI353" t="n">
        <v>0.875</v>
      </c>
      <c r="AJ353" t="n">
        <v>72.43648305409401</v>
      </c>
      <c r="AK353" t="n">
        <v>0.8631</v>
      </c>
      <c r="AL353" t="n">
        <v>62.52</v>
      </c>
      <c r="AM353" t="n">
        <v>8.9176</v>
      </c>
      <c r="AN353" t="n">
        <v>9.566587534677272</v>
      </c>
      <c r="AO353" t="n">
        <v>0.913</v>
      </c>
      <c r="AP353" t="n">
        <v>6064.919358776563</v>
      </c>
      <c r="AQ353" t="n">
        <v>1.004432825642191</v>
      </c>
      <c r="AR353" t="n">
        <v>6091.8041</v>
      </c>
      <c r="AS353" t="n">
        <v>6554.465508</v>
      </c>
      <c r="AT353" t="inlineStr">
        <is>
          <t>PNP_16T_02-11-2020</t>
        </is>
      </c>
      <c r="AU353" t="inlineStr">
        <is>
          <t>PNCP_2T_10-02-2020</t>
        </is>
      </c>
      <c r="AV353" t="inlineStr">
        <is>
          <t>PNCP_4T_30-04-2013</t>
        </is>
      </c>
      <c r="AW353" t="inlineStr">
        <is>
          <t>Barro Blanco 220</t>
        </is>
      </c>
      <c r="AX353" t="n">
        <v>111.133</v>
      </c>
      <c r="AY353" t="n">
        <v>1.080821157758461</v>
      </c>
      <c r="AZ353" t="n">
        <v>120.1148977251711</v>
      </c>
      <c r="BA353" t="n">
        <v>779.3099999999999</v>
      </c>
      <c r="BB353" t="n">
        <v>0.879</v>
      </c>
      <c r="BC353" t="n">
        <v>82.2803252917125</v>
      </c>
      <c r="BD353" t="n">
        <v>0.846</v>
      </c>
      <c r="BE353" t="n">
        <v>69.60899999999999</v>
      </c>
      <c r="BF353" t="n">
        <v>8.9176</v>
      </c>
      <c r="BG353" t="n">
        <v>0.804</v>
      </c>
      <c r="BH353" t="n">
        <v>6039.043023599974</v>
      </c>
      <c r="BI353" t="n">
        <v>1.011820868379177</v>
      </c>
      <c r="BJ353" t="n">
        <v>6110.4298</v>
      </c>
      <c r="BK353" t="n">
        <v>7297.6613811</v>
      </c>
    </row>
    <row r="354">
      <c r="A354" t="n">
        <v>1857</v>
      </c>
      <c r="B354" t="inlineStr">
        <is>
          <t>01-10-2020</t>
        </is>
      </c>
      <c r="C354" t="n">
        <v>2020</v>
      </c>
      <c r="D354" t="n">
        <v>1</v>
      </c>
      <c r="E354" t="inlineStr">
        <is>
          <t>CAREN</t>
        </is>
      </c>
      <c r="F354" t="inlineStr">
        <is>
          <t>SUM_SAESA_A</t>
        </is>
      </c>
      <c r="G354" t="inlineStr">
        <is>
          <t>A</t>
        </is>
      </c>
      <c r="H354" t="inlineStr">
        <is>
          <t>SAESA</t>
        </is>
      </c>
      <c r="I354" t="inlineStr">
        <is>
          <t>SAESPULLBLOQA</t>
        </is>
      </c>
      <c r="J354" t="inlineStr">
        <is>
          <t>PULLINQUE</t>
        </is>
      </c>
      <c r="K354" t="n">
        <v>-1780.97576036</v>
      </c>
      <c r="L354" t="inlineStr">
        <is>
          <t>PULLINQUE</t>
        </is>
      </c>
      <c r="M354" t="inlineStr">
        <is>
          <t>MELIPULLI</t>
        </is>
      </c>
      <c r="N354" t="n">
        <v>0.00896854569047</v>
      </c>
      <c r="O354" t="n">
        <v>15.972762</v>
      </c>
      <c r="P354" t="inlineStr">
        <is>
          <t>BS1A</t>
        </is>
      </c>
      <c r="Q354" t="n">
        <v>2</v>
      </c>
      <c r="V354" t="n">
        <v>1472834.063</v>
      </c>
      <c r="W354" t="n">
        <v>2</v>
      </c>
      <c r="X354" t="n">
        <v>8.487e-08</v>
      </c>
      <c r="Y354" t="n">
        <v>0.249999</v>
      </c>
      <c r="Z354" t="n">
        <v>3.993175</v>
      </c>
      <c r="AA354" t="inlineStr">
        <is>
          <t>PNP_6T_08-05-2020</t>
        </is>
      </c>
      <c r="AB354" t="inlineStr">
        <is>
          <t>PNCP_9T_12-08-2019</t>
        </is>
      </c>
      <c r="AC354" t="inlineStr">
        <is>
          <t>PNCP_4T_30-04-2013</t>
        </is>
      </c>
      <c r="AD354" t="inlineStr">
        <is>
          <t>MELIPULLI 220</t>
        </is>
      </c>
      <c r="AE354" t="n">
        <v>111.133</v>
      </c>
      <c r="AF354" t="n">
        <v>1.072776031070834</v>
      </c>
      <c r="AG354" t="n">
        <v>119.220818660995</v>
      </c>
      <c r="AH354" t="n">
        <v>694.38</v>
      </c>
      <c r="AI354" t="n">
        <v>0.875</v>
      </c>
      <c r="AJ354" t="n">
        <v>72.43648305409401</v>
      </c>
      <c r="AK354" t="n">
        <v>0.8826000000000001</v>
      </c>
      <c r="AL354" t="n">
        <v>63.932</v>
      </c>
      <c r="AM354" t="n">
        <v>8.9176</v>
      </c>
      <c r="AN354" t="n">
        <v>9.566587534677272</v>
      </c>
      <c r="AO354" t="n">
        <v>0.913</v>
      </c>
      <c r="AP354" t="n">
        <v>6064.919358776563</v>
      </c>
      <c r="AQ354" t="n">
        <v>1</v>
      </c>
      <c r="AR354" t="n">
        <v>6064.9194</v>
      </c>
      <c r="AS354" t="n">
        <v>255.2916641</v>
      </c>
      <c r="AT354" t="inlineStr">
        <is>
          <t>PNP_16T_02-11-2020</t>
        </is>
      </c>
      <c r="AU354" t="inlineStr">
        <is>
          <t>PNCP_2T_10-02-2020</t>
        </is>
      </c>
      <c r="AV354" t="inlineStr">
        <is>
          <t>PNCP_4T_30-04-2013</t>
        </is>
      </c>
      <c r="AW354" t="inlineStr">
        <is>
          <t>MELIPULLI 220</t>
        </is>
      </c>
      <c r="AX354" t="n">
        <v>111.133</v>
      </c>
      <c r="AY354" t="n">
        <v>1.080821157758461</v>
      </c>
      <c r="AZ354" t="n">
        <v>120.1148977251711</v>
      </c>
      <c r="BA354" t="n">
        <v>779.3099999999999</v>
      </c>
      <c r="BB354" t="n">
        <v>0.879</v>
      </c>
      <c r="BC354" t="n">
        <v>82.2803252917125</v>
      </c>
      <c r="BD354" t="n">
        <v>0.8421</v>
      </c>
      <c r="BE354" t="n">
        <v>69.288</v>
      </c>
      <c r="BF354" t="n">
        <v>8.9176</v>
      </c>
      <c r="BG354" t="n">
        <v>0.804</v>
      </c>
      <c r="BH354" t="n">
        <v>6039.043023599974</v>
      </c>
      <c r="BI354" t="n">
        <v>1</v>
      </c>
      <c r="BJ354" t="n">
        <v>6039.043</v>
      </c>
      <c r="BK354" t="n">
        <v>276.6791094</v>
      </c>
    </row>
    <row r="355">
      <c r="A355" t="n">
        <v>1859</v>
      </c>
      <c r="B355" t="inlineStr">
        <is>
          <t>01-10-2020</t>
        </is>
      </c>
      <c r="C355" t="n">
        <v>2020</v>
      </c>
      <c r="D355" t="n">
        <v>1</v>
      </c>
      <c r="E355" t="inlineStr">
        <is>
          <t>CAREN</t>
        </is>
      </c>
      <c r="F355" t="inlineStr">
        <is>
          <t>SUM_SAESA_A</t>
        </is>
      </c>
      <c r="G355" t="inlineStr">
        <is>
          <t>A</t>
        </is>
      </c>
      <c r="H355" t="inlineStr">
        <is>
          <t>SAESA</t>
        </is>
      </c>
      <c r="I355" t="inlineStr">
        <is>
          <t>SAESPULLBLOQA</t>
        </is>
      </c>
      <c r="J355" t="inlineStr">
        <is>
          <t>PULLINQUE</t>
        </is>
      </c>
      <c r="K355" t="n">
        <v>-1780.97576036</v>
      </c>
      <c r="L355" t="inlineStr">
        <is>
          <t>PULLINQUE</t>
        </is>
      </c>
      <c r="M355" t="inlineStr">
        <is>
          <t>VALDIVIA</t>
        </is>
      </c>
      <c r="N355" t="n">
        <v>0.62227344127398</v>
      </c>
      <c r="O355" t="n">
        <v>1108.253915</v>
      </c>
      <c r="P355" t="inlineStr">
        <is>
          <t>BS1A</t>
        </is>
      </c>
      <c r="Q355" t="n">
        <v>2</v>
      </c>
      <c r="V355" t="n">
        <v>1472834.063</v>
      </c>
      <c r="W355" t="n">
        <v>2</v>
      </c>
      <c r="X355" t="n">
        <v>8.487e-08</v>
      </c>
      <c r="Y355" t="n">
        <v>0.249999</v>
      </c>
      <c r="Z355" t="n">
        <v>277.06237</v>
      </c>
      <c r="AA355" t="inlineStr">
        <is>
          <t>PNP_6T_08-05-2020</t>
        </is>
      </c>
      <c r="AB355" t="inlineStr">
        <is>
          <t>PNCP_9T_12-08-2019</t>
        </is>
      </c>
      <c r="AC355" t="inlineStr">
        <is>
          <t>PNCP_4T_30-04-2013</t>
        </is>
      </c>
      <c r="AD355" t="inlineStr">
        <is>
          <t>VALDIVIA 220</t>
        </is>
      </c>
      <c r="AE355" t="n">
        <v>111.133</v>
      </c>
      <c r="AF355" t="n">
        <v>1.072776031070834</v>
      </c>
      <c r="AG355" t="n">
        <v>119.220818660995</v>
      </c>
      <c r="AH355" t="n">
        <v>694.38</v>
      </c>
      <c r="AI355" t="n">
        <v>0.875</v>
      </c>
      <c r="AJ355" t="n">
        <v>72.43648305409401</v>
      </c>
      <c r="AK355" t="n">
        <v>0.913</v>
      </c>
      <c r="AL355" t="n">
        <v>66.13500000000001</v>
      </c>
      <c r="AM355" t="n">
        <v>8.9176</v>
      </c>
      <c r="AN355" t="n">
        <v>9.566587534677272</v>
      </c>
      <c r="AO355" t="n">
        <v>0.913</v>
      </c>
      <c r="AP355" t="n">
        <v>6064.919358776563</v>
      </c>
      <c r="AQ355" t="n">
        <v>1.051287819142954</v>
      </c>
      <c r="AR355" t="n">
        <v>6375.9758</v>
      </c>
      <c r="AS355" t="n">
        <v>18323.51983995</v>
      </c>
      <c r="AT355" t="inlineStr">
        <is>
          <t>PNP_16T_02-11-2020</t>
        </is>
      </c>
      <c r="AU355" t="inlineStr">
        <is>
          <t>PNCP_2T_10-02-2020</t>
        </is>
      </c>
      <c r="AV355" t="inlineStr">
        <is>
          <t>PNCP_4T_30-04-2013</t>
        </is>
      </c>
      <c r="AW355" t="inlineStr">
        <is>
          <t>VALDIVIA 220</t>
        </is>
      </c>
      <c r="AX355" t="n">
        <v>111.133</v>
      </c>
      <c r="AY355" t="n">
        <v>1.080821157758461</v>
      </c>
      <c r="AZ355" t="n">
        <v>120.1148977251711</v>
      </c>
      <c r="BA355" t="n">
        <v>779.3099999999999</v>
      </c>
      <c r="BB355" t="n">
        <v>0.879</v>
      </c>
      <c r="BC355" t="n">
        <v>82.2803252917125</v>
      </c>
      <c r="BD355" t="n">
        <v>0.9167</v>
      </c>
      <c r="BE355" t="n">
        <v>75.426</v>
      </c>
      <c r="BF355" t="n">
        <v>8.9176</v>
      </c>
      <c r="BG355" t="n">
        <v>0.804</v>
      </c>
      <c r="BH355" t="n">
        <v>6039.043023599974</v>
      </c>
      <c r="BI355" t="n">
        <v>1.096052187605444</v>
      </c>
      <c r="BJ355" t="n">
        <v>6619.1063</v>
      </c>
      <c r="BK355" t="n">
        <v>20897.70631962</v>
      </c>
    </row>
    <row r="356">
      <c r="A356" t="n">
        <v>4969</v>
      </c>
      <c r="B356" t="inlineStr">
        <is>
          <t>01-10-2020</t>
        </is>
      </c>
      <c r="C356" t="n">
        <v>2020</v>
      </c>
      <c r="D356" t="n">
        <v>1</v>
      </c>
      <c r="E356" t="inlineStr">
        <is>
          <t>CAREN</t>
        </is>
      </c>
      <c r="F356" t="inlineStr">
        <is>
          <t>SUM_SAESA_A</t>
        </is>
      </c>
      <c r="G356" t="inlineStr">
        <is>
          <t>A</t>
        </is>
      </c>
      <c r="H356" t="inlineStr">
        <is>
          <t>SAESA</t>
        </is>
      </c>
      <c r="I356" t="inlineStr">
        <is>
          <t>SAESPURRBLOQA</t>
        </is>
      </c>
      <c r="J356" t="inlineStr">
        <is>
          <t>PURRANQUE</t>
        </is>
      </c>
      <c r="K356" t="n">
        <v>-3879.37061004</v>
      </c>
      <c r="L356" t="inlineStr">
        <is>
          <t>PURRANQUE</t>
        </is>
      </c>
      <c r="M356" t="inlineStr">
        <is>
          <t>BARRO BLANCO</t>
        </is>
      </c>
      <c r="N356" t="n">
        <v>0.47210809734302</v>
      </c>
      <c r="O356" t="n">
        <v>1831.482278</v>
      </c>
      <c r="P356" t="inlineStr">
        <is>
          <t>BS1A</t>
        </is>
      </c>
      <c r="Q356" t="n">
        <v>2</v>
      </c>
      <c r="V356" t="n">
        <v>1472834.063</v>
      </c>
      <c r="W356" t="n">
        <v>2</v>
      </c>
      <c r="X356" t="n">
        <v>8.487e-08</v>
      </c>
      <c r="Y356" t="n">
        <v>0.249999</v>
      </c>
      <c r="Z356" t="n">
        <v>457.868738</v>
      </c>
      <c r="AA356" t="inlineStr">
        <is>
          <t>PNP_6T_08-05-2020</t>
        </is>
      </c>
      <c r="AB356" t="inlineStr">
        <is>
          <t>PNCP_9T_12-08-2019</t>
        </is>
      </c>
      <c r="AC356" t="inlineStr">
        <is>
          <t>PNCP_4T_30-04-2013</t>
        </is>
      </c>
      <c r="AD356" t="inlineStr">
        <is>
          <t>Barro Blanco 220</t>
        </is>
      </c>
      <c r="AE356" t="n">
        <v>111.133</v>
      </c>
      <c r="AF356" t="n">
        <v>1.072776031070834</v>
      </c>
      <c r="AG356" t="n">
        <v>119.220818660995</v>
      </c>
      <c r="AH356" t="n">
        <v>694.38</v>
      </c>
      <c r="AI356" t="n">
        <v>0.875</v>
      </c>
      <c r="AJ356" t="n">
        <v>72.43648305409401</v>
      </c>
      <c r="AK356" t="n">
        <v>0.8631</v>
      </c>
      <c r="AL356" t="n">
        <v>62.52</v>
      </c>
      <c r="AM356" t="n">
        <v>8.9176</v>
      </c>
      <c r="AN356" t="n">
        <v>9.566587534677272</v>
      </c>
      <c r="AO356" t="n">
        <v>0.913</v>
      </c>
      <c r="AP356" t="n">
        <v>6064.919358776563</v>
      </c>
      <c r="AQ356" t="n">
        <v>1.004432825642191</v>
      </c>
      <c r="AR356" t="n">
        <v>6091.8041</v>
      </c>
      <c r="AS356" t="n">
        <v>28625.95349976</v>
      </c>
      <c r="AT356" t="inlineStr">
        <is>
          <t>PNP_16T_02-11-2020</t>
        </is>
      </c>
      <c r="AU356" t="inlineStr">
        <is>
          <t>PNCP_2T_10-02-2020</t>
        </is>
      </c>
      <c r="AV356" t="inlineStr">
        <is>
          <t>PNCP_4T_30-04-2013</t>
        </is>
      </c>
      <c r="AW356" t="inlineStr">
        <is>
          <t>Barro Blanco 220</t>
        </is>
      </c>
      <c r="AX356" t="n">
        <v>111.133</v>
      </c>
      <c r="AY356" t="n">
        <v>1.080821157758461</v>
      </c>
      <c r="AZ356" t="n">
        <v>120.1148977251711</v>
      </c>
      <c r="BA356" t="n">
        <v>779.3099999999999</v>
      </c>
      <c r="BB356" t="n">
        <v>0.879</v>
      </c>
      <c r="BC356" t="n">
        <v>82.2803252917125</v>
      </c>
      <c r="BD356" t="n">
        <v>0.846</v>
      </c>
      <c r="BE356" t="n">
        <v>69.60899999999999</v>
      </c>
      <c r="BF356" t="n">
        <v>8.9176</v>
      </c>
      <c r="BG356" t="n">
        <v>0.804</v>
      </c>
      <c r="BH356" t="n">
        <v>6039.043023599974</v>
      </c>
      <c r="BI356" t="n">
        <v>1.011820868379177</v>
      </c>
      <c r="BJ356" t="n">
        <v>6110.4298</v>
      </c>
      <c r="BK356" t="n">
        <v>31871.784983442</v>
      </c>
    </row>
    <row r="357">
      <c r="A357" t="n">
        <v>4971</v>
      </c>
      <c r="B357" t="inlineStr">
        <is>
          <t>01-10-2020</t>
        </is>
      </c>
      <c r="C357" t="n">
        <v>2020</v>
      </c>
      <c r="D357" t="n">
        <v>1</v>
      </c>
      <c r="E357" t="inlineStr">
        <is>
          <t>CAREN</t>
        </is>
      </c>
      <c r="F357" t="inlineStr">
        <is>
          <t>SUM_SAESA_A</t>
        </is>
      </c>
      <c r="G357" t="inlineStr">
        <is>
          <t>A</t>
        </is>
      </c>
      <c r="H357" t="inlineStr">
        <is>
          <t>SAESA</t>
        </is>
      </c>
      <c r="I357" t="inlineStr">
        <is>
          <t>SAESPURRBLOQA</t>
        </is>
      </c>
      <c r="J357" t="inlineStr">
        <is>
          <t>PURRANQUE</t>
        </is>
      </c>
      <c r="K357" t="n">
        <v>-3879.37061004</v>
      </c>
      <c r="L357" t="inlineStr">
        <is>
          <t>PURRANQUE</t>
        </is>
      </c>
      <c r="M357" t="inlineStr">
        <is>
          <t>MELIPULLI</t>
        </is>
      </c>
      <c r="N357" t="n">
        <v>0.4174959870602</v>
      </c>
      <c r="O357" t="n">
        <v>1619.621662</v>
      </c>
      <c r="P357" t="inlineStr">
        <is>
          <t>BS1A</t>
        </is>
      </c>
      <c r="Q357" t="n">
        <v>2</v>
      </c>
      <c r="V357" t="n">
        <v>1472834.063</v>
      </c>
      <c r="W357" t="n">
        <v>2</v>
      </c>
      <c r="X357" t="n">
        <v>8.487e-08</v>
      </c>
      <c r="Y357" t="n">
        <v>0.249999</v>
      </c>
      <c r="Z357" t="n">
        <v>404.903796</v>
      </c>
      <c r="AA357" t="inlineStr">
        <is>
          <t>PNP_6T_08-05-2020</t>
        </is>
      </c>
      <c r="AB357" t="inlineStr">
        <is>
          <t>PNCP_9T_12-08-2019</t>
        </is>
      </c>
      <c r="AC357" t="inlineStr">
        <is>
          <t>PNCP_4T_30-04-2013</t>
        </is>
      </c>
      <c r="AD357" t="inlineStr">
        <is>
          <t>MELIPULLI 220</t>
        </is>
      </c>
      <c r="AE357" t="n">
        <v>111.133</v>
      </c>
      <c r="AF357" t="n">
        <v>1.072776031070834</v>
      </c>
      <c r="AG357" t="n">
        <v>119.220818660995</v>
      </c>
      <c r="AH357" t="n">
        <v>694.38</v>
      </c>
      <c r="AI357" t="n">
        <v>0.875</v>
      </c>
      <c r="AJ357" t="n">
        <v>72.43648305409401</v>
      </c>
      <c r="AK357" t="n">
        <v>0.8826000000000001</v>
      </c>
      <c r="AL357" t="n">
        <v>63.932</v>
      </c>
      <c r="AM357" t="n">
        <v>8.9176</v>
      </c>
      <c r="AN357" t="n">
        <v>9.566587534677272</v>
      </c>
      <c r="AO357" t="n">
        <v>0.913</v>
      </c>
      <c r="AP357" t="n">
        <v>6064.919358776563</v>
      </c>
      <c r="AQ357" t="n">
        <v>1</v>
      </c>
      <c r="AR357" t="n">
        <v>6064.9194</v>
      </c>
      <c r="AS357" t="n">
        <v>25886.309485872</v>
      </c>
      <c r="AT357" t="inlineStr">
        <is>
          <t>PNP_16T_02-11-2020</t>
        </is>
      </c>
      <c r="AU357" t="inlineStr">
        <is>
          <t>PNCP_2T_10-02-2020</t>
        </is>
      </c>
      <c r="AV357" t="inlineStr">
        <is>
          <t>PNCP_4T_30-04-2013</t>
        </is>
      </c>
      <c r="AW357" t="inlineStr">
        <is>
          <t>MELIPULLI 220</t>
        </is>
      </c>
      <c r="AX357" t="n">
        <v>111.133</v>
      </c>
      <c r="AY357" t="n">
        <v>1.080821157758461</v>
      </c>
      <c r="AZ357" t="n">
        <v>120.1148977251711</v>
      </c>
      <c r="BA357" t="n">
        <v>779.3099999999999</v>
      </c>
      <c r="BB357" t="n">
        <v>0.879</v>
      </c>
      <c r="BC357" t="n">
        <v>82.2803252917125</v>
      </c>
      <c r="BD357" t="n">
        <v>0.8421</v>
      </c>
      <c r="BE357" t="n">
        <v>69.288</v>
      </c>
      <c r="BF357" t="n">
        <v>8.9176</v>
      </c>
      <c r="BG357" t="n">
        <v>0.804</v>
      </c>
      <c r="BH357" t="n">
        <v>6039.043023599974</v>
      </c>
      <c r="BI357" t="n">
        <v>1</v>
      </c>
      <c r="BJ357" t="n">
        <v>6039.043</v>
      </c>
      <c r="BK357" t="n">
        <v>28054.974217248</v>
      </c>
    </row>
    <row r="358">
      <c r="A358" t="n">
        <v>4973</v>
      </c>
      <c r="B358" t="inlineStr">
        <is>
          <t>01-10-2020</t>
        </is>
      </c>
      <c r="C358" t="n">
        <v>2020</v>
      </c>
      <c r="D358" t="n">
        <v>1</v>
      </c>
      <c r="E358" t="inlineStr">
        <is>
          <t>CAREN</t>
        </is>
      </c>
      <c r="F358" t="inlineStr">
        <is>
          <t>SUM_SAESA_A</t>
        </is>
      </c>
      <c r="G358" t="inlineStr">
        <is>
          <t>A</t>
        </is>
      </c>
      <c r="H358" t="inlineStr">
        <is>
          <t>SAESA</t>
        </is>
      </c>
      <c r="I358" t="inlineStr">
        <is>
          <t>SAESPURRBLOQA</t>
        </is>
      </c>
      <c r="J358" t="inlineStr">
        <is>
          <t>PURRANQUE</t>
        </is>
      </c>
      <c r="K358" t="n">
        <v>-3879.37061004</v>
      </c>
      <c r="L358" t="inlineStr">
        <is>
          <t>PURRANQUE</t>
        </is>
      </c>
      <c r="M358" t="inlineStr">
        <is>
          <t>Puerto Montt</t>
        </is>
      </c>
      <c r="N358" t="n">
        <v>0.50813692662399</v>
      </c>
      <c r="O358" t="n">
        <v>1971.251459</v>
      </c>
      <c r="P358" t="inlineStr">
        <is>
          <t>BS1A</t>
        </is>
      </c>
      <c r="Q358" t="n">
        <v>2</v>
      </c>
      <c r="V358" t="n">
        <v>1472834.063</v>
      </c>
      <c r="W358" t="n">
        <v>2</v>
      </c>
      <c r="X358" t="n">
        <v>8.487e-08</v>
      </c>
      <c r="Y358" t="n">
        <v>0.249999</v>
      </c>
      <c r="Z358" t="n">
        <v>492.810893</v>
      </c>
      <c r="AA358" t="inlineStr">
        <is>
          <t>PNP_6T_08-05-2020</t>
        </is>
      </c>
      <c r="AB358" t="inlineStr">
        <is>
          <t>PNCP_9T_12-08-2019</t>
        </is>
      </c>
      <c r="AC358" t="inlineStr">
        <is>
          <t>PNCP_4T_30-04-2013</t>
        </is>
      </c>
      <c r="AD358" t="inlineStr">
        <is>
          <t>PUERTO MONTT 220</t>
        </is>
      </c>
      <c r="AE358" t="n">
        <v>111.133</v>
      </c>
      <c r="AF358" t="n">
        <v>1.072776031070834</v>
      </c>
      <c r="AG358" t="n">
        <v>119.220818660995</v>
      </c>
      <c r="AH358" t="n">
        <v>694.38</v>
      </c>
      <c r="AI358" t="n">
        <v>0.875</v>
      </c>
      <c r="AJ358" t="n">
        <v>72.43648305409401</v>
      </c>
      <c r="AK358" t="n">
        <v>0.8826000000000001</v>
      </c>
      <c r="AL358" t="n">
        <v>63.932</v>
      </c>
      <c r="AM358" t="n">
        <v>8.9176</v>
      </c>
      <c r="AN358" t="n">
        <v>9.566587534677272</v>
      </c>
      <c r="AO358" t="n">
        <v>0.913</v>
      </c>
      <c r="AP358" t="n">
        <v>6064.919358776563</v>
      </c>
      <c r="AQ358" t="n">
        <v>1.016858412119831</v>
      </c>
      <c r="AR358" t="n">
        <v>6167.1643</v>
      </c>
      <c r="AS358" t="n">
        <v>31506.386011276</v>
      </c>
      <c r="AT358" t="inlineStr">
        <is>
          <t>PNP_16T_02-11-2020</t>
        </is>
      </c>
      <c r="AU358" t="inlineStr">
        <is>
          <t>PNCP_2T_10-02-2020</t>
        </is>
      </c>
      <c r="AV358" t="inlineStr">
        <is>
          <t>PNCP_4T_30-04-2013</t>
        </is>
      </c>
      <c r="AW358" t="inlineStr">
        <is>
          <t>PUERTO MONTT 220</t>
        </is>
      </c>
      <c r="AX358" t="n">
        <v>111.133</v>
      </c>
      <c r="AY358" t="n">
        <v>1.080821157758461</v>
      </c>
      <c r="AZ358" t="n">
        <v>120.1148977251711</v>
      </c>
      <c r="BA358" t="n">
        <v>779.3099999999999</v>
      </c>
      <c r="BB358" t="n">
        <v>0.879</v>
      </c>
      <c r="BC358" t="n">
        <v>82.2803252917125</v>
      </c>
      <c r="BD358" t="n">
        <v>0.8421</v>
      </c>
      <c r="BE358" t="n">
        <v>69.288</v>
      </c>
      <c r="BF358" t="n">
        <v>8.9176</v>
      </c>
      <c r="BG358" t="n">
        <v>0.804</v>
      </c>
      <c r="BH358" t="n">
        <v>6039.043023599974</v>
      </c>
      <c r="BI358" t="n">
        <v>1.02699624102973</v>
      </c>
      <c r="BJ358" t="n">
        <v>6202.0745</v>
      </c>
      <c r="BK358" t="n">
        <v>34145.881154184</v>
      </c>
    </row>
    <row r="359">
      <c r="A359" t="n">
        <v>4975</v>
      </c>
      <c r="B359" t="inlineStr">
        <is>
          <t>01-10-2020</t>
        </is>
      </c>
      <c r="C359" t="n">
        <v>2020</v>
      </c>
      <c r="D359" t="n">
        <v>1</v>
      </c>
      <c r="E359" t="inlineStr">
        <is>
          <t>CAREN</t>
        </is>
      </c>
      <c r="F359" t="inlineStr">
        <is>
          <t>SUM_SAESA_A</t>
        </is>
      </c>
      <c r="G359" t="inlineStr">
        <is>
          <t>A</t>
        </is>
      </c>
      <c r="H359" t="inlineStr">
        <is>
          <t>SAESA</t>
        </is>
      </c>
      <c r="I359" t="inlineStr">
        <is>
          <t>SAESPURRBLOQA</t>
        </is>
      </c>
      <c r="J359" t="inlineStr">
        <is>
          <t>PURRANQUE</t>
        </is>
      </c>
      <c r="K359" t="n">
        <v>-3879.37061004</v>
      </c>
      <c r="L359" t="inlineStr">
        <is>
          <t>PURRANQUE</t>
        </is>
      </c>
      <c r="M359" t="inlineStr">
        <is>
          <t>VALDIVIA</t>
        </is>
      </c>
      <c r="N359" t="n">
        <v>0.00409927459727</v>
      </c>
      <c r="O359" t="n">
        <v>15.902605</v>
      </c>
      <c r="P359" t="inlineStr">
        <is>
          <t>BS1A</t>
        </is>
      </c>
      <c r="Q359" t="n">
        <v>2</v>
      </c>
      <c r="V359" t="n">
        <v>1472834.063</v>
      </c>
      <c r="W359" t="n">
        <v>2</v>
      </c>
      <c r="X359" t="n">
        <v>8.487e-08</v>
      </c>
      <c r="Y359" t="n">
        <v>0.249999</v>
      </c>
      <c r="Z359" t="n">
        <v>3.975635</v>
      </c>
      <c r="AA359" t="inlineStr">
        <is>
          <t>PNP_6T_08-05-2020</t>
        </is>
      </c>
      <c r="AB359" t="inlineStr">
        <is>
          <t>PNCP_9T_12-08-2019</t>
        </is>
      </c>
      <c r="AC359" t="inlineStr">
        <is>
          <t>PNCP_4T_30-04-2013</t>
        </is>
      </c>
      <c r="AD359" t="inlineStr">
        <is>
          <t>VALDIVIA 220</t>
        </is>
      </c>
      <c r="AE359" t="n">
        <v>111.133</v>
      </c>
      <c r="AF359" t="n">
        <v>1.072776031070834</v>
      </c>
      <c r="AG359" t="n">
        <v>119.220818660995</v>
      </c>
      <c r="AH359" t="n">
        <v>694.38</v>
      </c>
      <c r="AI359" t="n">
        <v>0.875</v>
      </c>
      <c r="AJ359" t="n">
        <v>72.43648305409401</v>
      </c>
      <c r="AK359" t="n">
        <v>0.913</v>
      </c>
      <c r="AL359" t="n">
        <v>66.13500000000001</v>
      </c>
      <c r="AM359" t="n">
        <v>8.9176</v>
      </c>
      <c r="AN359" t="n">
        <v>9.566587534677272</v>
      </c>
      <c r="AO359" t="n">
        <v>0.913</v>
      </c>
      <c r="AP359" t="n">
        <v>6064.919358776563</v>
      </c>
      <c r="AQ359" t="n">
        <v>1.051287819142954</v>
      </c>
      <c r="AR359" t="n">
        <v>6375.9758</v>
      </c>
      <c r="AS359" t="n">
        <v>262.928620725</v>
      </c>
      <c r="AT359" t="inlineStr">
        <is>
          <t>PNP_16T_02-11-2020</t>
        </is>
      </c>
      <c r="AU359" t="inlineStr">
        <is>
          <t>PNCP_2T_10-02-2020</t>
        </is>
      </c>
      <c r="AV359" t="inlineStr">
        <is>
          <t>PNCP_4T_30-04-2013</t>
        </is>
      </c>
      <c r="AW359" t="inlineStr">
        <is>
          <t>VALDIVIA 220</t>
        </is>
      </c>
      <c r="AX359" t="n">
        <v>111.133</v>
      </c>
      <c r="AY359" t="n">
        <v>1.080821157758461</v>
      </c>
      <c r="AZ359" t="n">
        <v>120.1148977251711</v>
      </c>
      <c r="BA359" t="n">
        <v>779.3099999999999</v>
      </c>
      <c r="BB359" t="n">
        <v>0.879</v>
      </c>
      <c r="BC359" t="n">
        <v>82.2803252917125</v>
      </c>
      <c r="BD359" t="n">
        <v>0.9167</v>
      </c>
      <c r="BE359" t="n">
        <v>75.426</v>
      </c>
      <c r="BF359" t="n">
        <v>8.9176</v>
      </c>
      <c r="BG359" t="n">
        <v>0.804</v>
      </c>
      <c r="BH359" t="n">
        <v>6039.043023599974</v>
      </c>
      <c r="BI359" t="n">
        <v>1.096052187605444</v>
      </c>
      <c r="BJ359" t="n">
        <v>6619.1063</v>
      </c>
      <c r="BK359" t="n">
        <v>299.86624551</v>
      </c>
    </row>
    <row r="360">
      <c r="A360" t="n">
        <v>1237</v>
      </c>
      <c r="B360" t="inlineStr">
        <is>
          <t>01-10-2020</t>
        </is>
      </c>
      <c r="C360" t="n">
        <v>2020</v>
      </c>
      <c r="D360" t="n">
        <v>1</v>
      </c>
      <c r="E360" t="inlineStr">
        <is>
          <t>CAREN</t>
        </is>
      </c>
      <c r="F360" t="inlineStr">
        <is>
          <t>SUM_SAESA_A</t>
        </is>
      </c>
      <c r="G360" t="inlineStr">
        <is>
          <t>A</t>
        </is>
      </c>
      <c r="H360" t="inlineStr">
        <is>
          <t>SAESA</t>
        </is>
      </c>
      <c r="I360" t="inlineStr">
        <is>
          <t>SAESQUELBLOQA</t>
        </is>
      </c>
      <c r="J360" t="inlineStr">
        <is>
          <t>QUELLON</t>
        </is>
      </c>
      <c r="K360" t="n">
        <v>-4806.02318234</v>
      </c>
      <c r="L360" t="inlineStr">
        <is>
          <t>QUELLON</t>
        </is>
      </c>
      <c r="M360" t="inlineStr">
        <is>
          <t>CHILOE</t>
        </is>
      </c>
      <c r="N360" t="n">
        <v>0.79707666555743</v>
      </c>
      <c r="O360" t="n">
        <v>3830.768933</v>
      </c>
      <c r="P360" t="inlineStr">
        <is>
          <t>BS1A</t>
        </is>
      </c>
      <c r="Q360" t="n">
        <v>2</v>
      </c>
      <c r="V360" t="n">
        <v>1472834.063</v>
      </c>
      <c r="W360" t="n">
        <v>2</v>
      </c>
      <c r="X360" t="n">
        <v>8.487e-08</v>
      </c>
      <c r="Y360" t="n">
        <v>0.249999</v>
      </c>
      <c r="Z360" t="n">
        <v>957.688402</v>
      </c>
      <c r="AA360" t="inlineStr">
        <is>
          <t>PNP_6T_08-05-2020</t>
        </is>
      </c>
      <c r="AB360" t="inlineStr">
        <is>
          <t>PNCP_9T_12-08-2019</t>
        </is>
      </c>
      <c r="AC360" t="inlineStr">
        <is>
          <t>PNCP_4T_30-04-2013</t>
        </is>
      </c>
      <c r="AD360" t="inlineStr">
        <is>
          <t>CHILOE 220</t>
        </is>
      </c>
      <c r="AE360" t="n">
        <v>111.133</v>
      </c>
      <c r="AF360" t="n">
        <v>1.072776031070834</v>
      </c>
      <c r="AG360" t="n">
        <v>119.220818660995</v>
      </c>
      <c r="AH360" t="n">
        <v>694.38</v>
      </c>
      <c r="AI360" t="n">
        <v>0.875</v>
      </c>
      <c r="AJ360" t="n">
        <v>72.43648305409401</v>
      </c>
      <c r="AK360" t="n">
        <v>0.8903</v>
      </c>
      <c r="AL360" t="n">
        <v>64.48999999999999</v>
      </c>
      <c r="AM360" t="n">
        <v>8.9176</v>
      </c>
      <c r="AN360" t="n">
        <v>9.566587534677272</v>
      </c>
      <c r="AO360" t="n">
        <v>0.913</v>
      </c>
      <c r="AP360" t="n">
        <v>6064.919358776563</v>
      </c>
      <c r="AQ360" t="n">
        <v>1</v>
      </c>
      <c r="AR360" t="n">
        <v>6064.9194</v>
      </c>
      <c r="AS360" t="n">
        <v>61761.32504498</v>
      </c>
      <c r="AT360" t="inlineStr">
        <is>
          <t>PNP_16T_02-11-2020</t>
        </is>
      </c>
      <c r="AU360" t="inlineStr">
        <is>
          <t>PNCP_2T_10-02-2020</t>
        </is>
      </c>
      <c r="AV360" t="inlineStr">
        <is>
          <t>PNCP_4T_30-04-2013</t>
        </is>
      </c>
      <c r="AW360" t="inlineStr">
        <is>
          <t>CHILOE 220</t>
        </is>
      </c>
      <c r="AX360" t="n">
        <v>111.133</v>
      </c>
      <c r="AY360" t="n">
        <v>1.080821157758461</v>
      </c>
      <c r="AZ360" t="n">
        <v>120.1148977251711</v>
      </c>
      <c r="BA360" t="n">
        <v>779.3099999999999</v>
      </c>
      <c r="BB360" t="n">
        <v>0.879</v>
      </c>
      <c r="BC360" t="n">
        <v>82.2803252917125</v>
      </c>
      <c r="BD360" t="n">
        <v>0.8486</v>
      </c>
      <c r="BE360" t="n">
        <v>69.82299999999999</v>
      </c>
      <c r="BF360" t="n">
        <v>8.9176</v>
      </c>
      <c r="BG360" t="n">
        <v>0.804</v>
      </c>
      <c r="BH360" t="n">
        <v>6039.043023599974</v>
      </c>
      <c r="BI360" t="n">
        <v>1</v>
      </c>
      <c r="BJ360" t="n">
        <v>6039.043</v>
      </c>
      <c r="BK360" t="n">
        <v>66868.677292846</v>
      </c>
    </row>
    <row r="361">
      <c r="A361" t="n">
        <v>1239</v>
      </c>
      <c r="B361" t="inlineStr">
        <is>
          <t>01-10-2020</t>
        </is>
      </c>
      <c r="C361" t="n">
        <v>2020</v>
      </c>
      <c r="D361" t="n">
        <v>1</v>
      </c>
      <c r="E361" t="inlineStr">
        <is>
          <t>CAREN</t>
        </is>
      </c>
      <c r="F361" t="inlineStr">
        <is>
          <t>SUM_SAESA_A</t>
        </is>
      </c>
      <c r="G361" t="inlineStr">
        <is>
          <t>A</t>
        </is>
      </c>
      <c r="H361" t="inlineStr">
        <is>
          <t>SAESA</t>
        </is>
      </c>
      <c r="I361" t="inlineStr">
        <is>
          <t>SAESQUELBLOQA</t>
        </is>
      </c>
      <c r="J361" t="inlineStr">
        <is>
          <t>QUELLON</t>
        </is>
      </c>
      <c r="K361" t="n">
        <v>-4806.02318234</v>
      </c>
      <c r="L361" t="inlineStr">
        <is>
          <t>QUELLON</t>
        </is>
      </c>
      <c r="M361" t="inlineStr">
        <is>
          <t>Puerto Montt</t>
        </is>
      </c>
      <c r="N361" t="n">
        <v>0.94104614890391</v>
      </c>
      <c r="O361" t="n">
        <v>4522.689607</v>
      </c>
      <c r="P361" t="inlineStr">
        <is>
          <t>BS1A</t>
        </is>
      </c>
      <c r="Q361" t="n">
        <v>2</v>
      </c>
      <c r="V361" t="n">
        <v>1472834.063</v>
      </c>
      <c r="W361" t="n">
        <v>2</v>
      </c>
      <c r="X361" t="n">
        <v>8.487e-08</v>
      </c>
      <c r="Y361" t="n">
        <v>0.249999</v>
      </c>
      <c r="Z361" t="n">
        <v>1130.667879</v>
      </c>
      <c r="AA361" t="inlineStr">
        <is>
          <t>PNP_6T_08-05-2020</t>
        </is>
      </c>
      <c r="AB361" t="inlineStr">
        <is>
          <t>PNCP_9T_12-08-2019</t>
        </is>
      </c>
      <c r="AC361" t="inlineStr">
        <is>
          <t>PNCP_4T_30-04-2013</t>
        </is>
      </c>
      <c r="AD361" t="inlineStr">
        <is>
          <t>PUERTO MONTT 220</t>
        </is>
      </c>
      <c r="AE361" t="n">
        <v>111.133</v>
      </c>
      <c r="AF361" t="n">
        <v>1.072776031070834</v>
      </c>
      <c r="AG361" t="n">
        <v>119.220818660995</v>
      </c>
      <c r="AH361" t="n">
        <v>694.38</v>
      </c>
      <c r="AI361" t="n">
        <v>0.875</v>
      </c>
      <c r="AJ361" t="n">
        <v>72.43648305409401</v>
      </c>
      <c r="AK361" t="n">
        <v>0.8826000000000001</v>
      </c>
      <c r="AL361" t="n">
        <v>63.932</v>
      </c>
      <c r="AM361" t="n">
        <v>8.9176</v>
      </c>
      <c r="AN361" t="n">
        <v>9.566587534677272</v>
      </c>
      <c r="AO361" t="n">
        <v>0.913</v>
      </c>
      <c r="AP361" t="n">
        <v>6064.919358776563</v>
      </c>
      <c r="AQ361" t="n">
        <v>1.016858412119831</v>
      </c>
      <c r="AR361" t="n">
        <v>6167.1643</v>
      </c>
      <c r="AS361" t="n">
        <v>72285.85884022801</v>
      </c>
      <c r="AT361" t="inlineStr">
        <is>
          <t>PNP_16T_02-11-2020</t>
        </is>
      </c>
      <c r="AU361" t="inlineStr">
        <is>
          <t>PNCP_2T_10-02-2020</t>
        </is>
      </c>
      <c r="AV361" t="inlineStr">
        <is>
          <t>PNCP_4T_30-04-2013</t>
        </is>
      </c>
      <c r="AW361" t="inlineStr">
        <is>
          <t>PUERTO MONTT 220</t>
        </is>
      </c>
      <c r="AX361" t="n">
        <v>111.133</v>
      </c>
      <c r="AY361" t="n">
        <v>1.080821157758461</v>
      </c>
      <c r="AZ361" t="n">
        <v>120.1148977251711</v>
      </c>
      <c r="BA361" t="n">
        <v>779.3099999999999</v>
      </c>
      <c r="BB361" t="n">
        <v>0.879</v>
      </c>
      <c r="BC361" t="n">
        <v>82.2803252917125</v>
      </c>
      <c r="BD361" t="n">
        <v>0.8421</v>
      </c>
      <c r="BE361" t="n">
        <v>69.288</v>
      </c>
      <c r="BF361" t="n">
        <v>8.9176</v>
      </c>
      <c r="BG361" t="n">
        <v>0.804</v>
      </c>
      <c r="BH361" t="n">
        <v>6039.043023599974</v>
      </c>
      <c r="BI361" t="n">
        <v>1.02699624102973</v>
      </c>
      <c r="BJ361" t="n">
        <v>6202.0745</v>
      </c>
      <c r="BK361" t="n">
        <v>78341.716000152</v>
      </c>
    </row>
    <row r="362">
      <c r="A362" t="n">
        <v>715</v>
      </c>
      <c r="B362" t="inlineStr">
        <is>
          <t>01-10-2020</t>
        </is>
      </c>
      <c r="C362" t="n">
        <v>2020</v>
      </c>
      <c r="D362" t="n">
        <v>1</v>
      </c>
      <c r="E362" t="inlineStr">
        <is>
          <t>CAREN</t>
        </is>
      </c>
      <c r="F362" t="inlineStr">
        <is>
          <t>SUM_SAESA_A</t>
        </is>
      </c>
      <c r="G362" t="inlineStr">
        <is>
          <t>A</t>
        </is>
      </c>
      <c r="H362" t="inlineStr">
        <is>
          <t>SAESA</t>
        </is>
      </c>
      <c r="I362" t="inlineStr">
        <is>
          <t>SAESARNEGBLOQA</t>
        </is>
      </c>
      <c r="J362" t="inlineStr">
        <is>
          <t>R.NEGRO</t>
        </is>
      </c>
      <c r="K362" t="n">
        <v>-1462.81790003</v>
      </c>
      <c r="L362" t="inlineStr">
        <is>
          <t>RIO NEGRO 23</t>
        </is>
      </c>
      <c r="M362" t="inlineStr">
        <is>
          <t>BARRO BLANCO</t>
        </is>
      </c>
      <c r="N362" t="n">
        <v>0.80297227680351</v>
      </c>
      <c r="O362" t="n">
        <v>1174.60222</v>
      </c>
      <c r="P362" t="inlineStr">
        <is>
          <t>BS1A</t>
        </is>
      </c>
      <c r="Q362" t="n">
        <v>2</v>
      </c>
      <c r="V362" t="n">
        <v>1472834.063</v>
      </c>
      <c r="W362" t="n">
        <v>2</v>
      </c>
      <c r="X362" t="n">
        <v>8.487e-08</v>
      </c>
      <c r="Y362" t="n">
        <v>0.249999</v>
      </c>
      <c r="Z362" t="n">
        <v>293.64938</v>
      </c>
      <c r="AA362" t="inlineStr">
        <is>
          <t>PNP_6T_08-05-2020</t>
        </is>
      </c>
      <c r="AB362" t="inlineStr">
        <is>
          <t>PNCP_9T_12-08-2019</t>
        </is>
      </c>
      <c r="AC362" t="inlineStr">
        <is>
          <t>PNCP_4T_30-04-2013</t>
        </is>
      </c>
      <c r="AD362" t="inlineStr">
        <is>
          <t>Barro Blanco 220</t>
        </is>
      </c>
      <c r="AE362" t="n">
        <v>111.133</v>
      </c>
      <c r="AF362" t="n">
        <v>1.072776031070834</v>
      </c>
      <c r="AG362" t="n">
        <v>119.220818660995</v>
      </c>
      <c r="AH362" t="n">
        <v>694.38</v>
      </c>
      <c r="AI362" t="n">
        <v>0.875</v>
      </c>
      <c r="AJ362" t="n">
        <v>72.43648305409401</v>
      </c>
      <c r="AK362" t="n">
        <v>0.8631</v>
      </c>
      <c r="AL362" t="n">
        <v>62.52</v>
      </c>
      <c r="AM362" t="n">
        <v>8.9176</v>
      </c>
      <c r="AN362" t="n">
        <v>9.566587534677272</v>
      </c>
      <c r="AO362" t="n">
        <v>0.913</v>
      </c>
      <c r="AP362" t="n">
        <v>6064.919358776563</v>
      </c>
      <c r="AQ362" t="n">
        <v>1.004432825642191</v>
      </c>
      <c r="AR362" t="n">
        <v>6091.8041</v>
      </c>
      <c r="AS362" t="n">
        <v>18358.9592376</v>
      </c>
      <c r="AT362" t="inlineStr">
        <is>
          <t>PNP_16T_02-11-2020</t>
        </is>
      </c>
      <c r="AU362" t="inlineStr">
        <is>
          <t>PNCP_2T_10-02-2020</t>
        </is>
      </c>
      <c r="AV362" t="inlineStr">
        <is>
          <t>PNCP_4T_30-04-2013</t>
        </is>
      </c>
      <c r="AW362" t="inlineStr">
        <is>
          <t>Barro Blanco 220</t>
        </is>
      </c>
      <c r="AX362" t="n">
        <v>111.133</v>
      </c>
      <c r="AY362" t="n">
        <v>1.080821157758461</v>
      </c>
      <c r="AZ362" t="n">
        <v>120.1148977251711</v>
      </c>
      <c r="BA362" t="n">
        <v>779.3099999999999</v>
      </c>
      <c r="BB362" t="n">
        <v>0.879</v>
      </c>
      <c r="BC362" t="n">
        <v>82.2803252917125</v>
      </c>
      <c r="BD362" t="n">
        <v>0.846</v>
      </c>
      <c r="BE362" t="n">
        <v>69.60899999999999</v>
      </c>
      <c r="BF362" t="n">
        <v>8.9176</v>
      </c>
      <c r="BG362" t="n">
        <v>0.804</v>
      </c>
      <c r="BH362" t="n">
        <v>6039.043023599974</v>
      </c>
      <c r="BI362" t="n">
        <v>1.011820868379177</v>
      </c>
      <c r="BJ362" t="n">
        <v>6110.4298</v>
      </c>
      <c r="BK362" t="n">
        <v>20440.63969242</v>
      </c>
    </row>
    <row r="363">
      <c r="A363" t="n">
        <v>717</v>
      </c>
      <c r="B363" t="inlineStr">
        <is>
          <t>01-10-2020</t>
        </is>
      </c>
      <c r="C363" t="n">
        <v>2020</v>
      </c>
      <c r="D363" t="n">
        <v>1</v>
      </c>
      <c r="E363" t="inlineStr">
        <is>
          <t>CAREN</t>
        </is>
      </c>
      <c r="F363" t="inlineStr">
        <is>
          <t>SUM_SAESA_A</t>
        </is>
      </c>
      <c r="G363" t="inlineStr">
        <is>
          <t>A</t>
        </is>
      </c>
      <c r="H363" t="inlineStr">
        <is>
          <t>SAESA</t>
        </is>
      </c>
      <c r="I363" t="inlineStr">
        <is>
          <t>SAESARNEGBLOQA</t>
        </is>
      </c>
      <c r="J363" t="inlineStr">
        <is>
          <t>R.NEGRO</t>
        </is>
      </c>
      <c r="K363" t="n">
        <v>-1462.81790003</v>
      </c>
      <c r="L363" t="inlineStr">
        <is>
          <t>RIO NEGRO 23</t>
        </is>
      </c>
      <c r="M363" t="inlineStr">
        <is>
          <t>MELIPULLI</t>
        </is>
      </c>
      <c r="N363" t="n">
        <v>0.046511074421</v>
      </c>
      <c r="O363" t="n">
        <v>68.037232</v>
      </c>
      <c r="P363" t="inlineStr">
        <is>
          <t>BS1A</t>
        </is>
      </c>
      <c r="Q363" t="n">
        <v>2</v>
      </c>
      <c r="V363" t="n">
        <v>1472834.063</v>
      </c>
      <c r="W363" t="n">
        <v>2</v>
      </c>
      <c r="X363" t="n">
        <v>8.487e-08</v>
      </c>
      <c r="Y363" t="n">
        <v>0.249999</v>
      </c>
      <c r="Z363" t="n">
        <v>17.00924</v>
      </c>
      <c r="AA363" t="inlineStr">
        <is>
          <t>PNP_6T_08-05-2020</t>
        </is>
      </c>
      <c r="AB363" t="inlineStr">
        <is>
          <t>PNCP_9T_12-08-2019</t>
        </is>
      </c>
      <c r="AC363" t="inlineStr">
        <is>
          <t>PNCP_4T_30-04-2013</t>
        </is>
      </c>
      <c r="AD363" t="inlineStr">
        <is>
          <t>MELIPULLI 220</t>
        </is>
      </c>
      <c r="AE363" t="n">
        <v>111.133</v>
      </c>
      <c r="AF363" t="n">
        <v>1.072776031070834</v>
      </c>
      <c r="AG363" t="n">
        <v>119.220818660995</v>
      </c>
      <c r="AH363" t="n">
        <v>694.38</v>
      </c>
      <c r="AI363" t="n">
        <v>0.875</v>
      </c>
      <c r="AJ363" t="n">
        <v>72.43648305409401</v>
      </c>
      <c r="AK363" t="n">
        <v>0.8826000000000001</v>
      </c>
      <c r="AL363" t="n">
        <v>63.932</v>
      </c>
      <c r="AM363" t="n">
        <v>8.9176</v>
      </c>
      <c r="AN363" t="n">
        <v>9.566587534677272</v>
      </c>
      <c r="AO363" t="n">
        <v>0.913</v>
      </c>
      <c r="AP363" t="n">
        <v>6064.919358776563</v>
      </c>
      <c r="AQ363" t="n">
        <v>1</v>
      </c>
      <c r="AR363" t="n">
        <v>6064.9194</v>
      </c>
      <c r="AS363" t="n">
        <v>1087.43473168</v>
      </c>
      <c r="AT363" t="inlineStr">
        <is>
          <t>PNP_16T_02-11-2020</t>
        </is>
      </c>
      <c r="AU363" t="inlineStr">
        <is>
          <t>PNCP_2T_10-02-2020</t>
        </is>
      </c>
      <c r="AV363" t="inlineStr">
        <is>
          <t>PNCP_4T_30-04-2013</t>
        </is>
      </c>
      <c r="AW363" t="inlineStr">
        <is>
          <t>MELIPULLI 220</t>
        </is>
      </c>
      <c r="AX363" t="n">
        <v>111.133</v>
      </c>
      <c r="AY363" t="n">
        <v>1.080821157758461</v>
      </c>
      <c r="AZ363" t="n">
        <v>120.1148977251711</v>
      </c>
      <c r="BA363" t="n">
        <v>779.3099999999999</v>
      </c>
      <c r="BB363" t="n">
        <v>0.879</v>
      </c>
      <c r="BC363" t="n">
        <v>82.2803252917125</v>
      </c>
      <c r="BD363" t="n">
        <v>0.8421</v>
      </c>
      <c r="BE363" t="n">
        <v>69.288</v>
      </c>
      <c r="BF363" t="n">
        <v>8.9176</v>
      </c>
      <c r="BG363" t="n">
        <v>0.804</v>
      </c>
      <c r="BH363" t="n">
        <v>6039.043023599974</v>
      </c>
      <c r="BI363" t="n">
        <v>1</v>
      </c>
      <c r="BJ363" t="n">
        <v>6039.043</v>
      </c>
      <c r="BK363" t="n">
        <v>1178.53622112</v>
      </c>
    </row>
    <row r="364">
      <c r="A364" t="n">
        <v>719</v>
      </c>
      <c r="B364" t="inlineStr">
        <is>
          <t>01-10-2020</t>
        </is>
      </c>
      <c r="C364" t="n">
        <v>2020</v>
      </c>
      <c r="D364" t="n">
        <v>1</v>
      </c>
      <c r="E364" t="inlineStr">
        <is>
          <t>CAREN</t>
        </is>
      </c>
      <c r="F364" t="inlineStr">
        <is>
          <t>SUM_SAESA_A</t>
        </is>
      </c>
      <c r="G364" t="inlineStr">
        <is>
          <t>A</t>
        </is>
      </c>
      <c r="H364" t="inlineStr">
        <is>
          <t>SAESA</t>
        </is>
      </c>
      <c r="I364" t="inlineStr">
        <is>
          <t>SAESARNEGBLOQA</t>
        </is>
      </c>
      <c r="J364" t="inlineStr">
        <is>
          <t>R.NEGRO</t>
        </is>
      </c>
      <c r="K364" t="n">
        <v>-1462.81790003</v>
      </c>
      <c r="L364" t="inlineStr">
        <is>
          <t>RIO NEGRO 23</t>
        </is>
      </c>
      <c r="M364" t="inlineStr">
        <is>
          <t>VALDIVIA</t>
        </is>
      </c>
      <c r="N364" t="n">
        <v>0.00178849626167</v>
      </c>
      <c r="O364" t="n">
        <v>2.616244</v>
      </c>
      <c r="P364" t="inlineStr">
        <is>
          <t>BS1A</t>
        </is>
      </c>
      <c r="Q364" t="n">
        <v>2</v>
      </c>
      <c r="V364" t="n">
        <v>1472834.063</v>
      </c>
      <c r="W364" t="n">
        <v>2</v>
      </c>
      <c r="X364" t="n">
        <v>8.487e-08</v>
      </c>
      <c r="Y364" t="n">
        <v>0.249999</v>
      </c>
      <c r="Z364" t="n">
        <v>0.654058</v>
      </c>
      <c r="AA364" t="inlineStr">
        <is>
          <t>PNP_6T_08-05-2020</t>
        </is>
      </c>
      <c r="AB364" t="inlineStr">
        <is>
          <t>PNCP_9T_12-08-2019</t>
        </is>
      </c>
      <c r="AC364" t="inlineStr">
        <is>
          <t>PNCP_4T_30-04-2013</t>
        </is>
      </c>
      <c r="AD364" t="inlineStr">
        <is>
          <t>VALDIVIA 220</t>
        </is>
      </c>
      <c r="AE364" t="n">
        <v>111.133</v>
      </c>
      <c r="AF364" t="n">
        <v>1.072776031070834</v>
      </c>
      <c r="AG364" t="n">
        <v>119.220818660995</v>
      </c>
      <c r="AH364" t="n">
        <v>694.38</v>
      </c>
      <c r="AI364" t="n">
        <v>0.875</v>
      </c>
      <c r="AJ364" t="n">
        <v>72.43648305409401</v>
      </c>
      <c r="AK364" t="n">
        <v>0.913</v>
      </c>
      <c r="AL364" t="n">
        <v>66.13500000000001</v>
      </c>
      <c r="AM364" t="n">
        <v>8.9176</v>
      </c>
      <c r="AN364" t="n">
        <v>9.566587534677272</v>
      </c>
      <c r="AO364" t="n">
        <v>0.913</v>
      </c>
      <c r="AP364" t="n">
        <v>6064.919358776563</v>
      </c>
      <c r="AQ364" t="n">
        <v>1.051287819142954</v>
      </c>
      <c r="AR364" t="n">
        <v>6375.9758</v>
      </c>
      <c r="AS364" t="n">
        <v>43.25612583</v>
      </c>
      <c r="AT364" t="inlineStr">
        <is>
          <t>PNP_16T_02-11-2020</t>
        </is>
      </c>
      <c r="AU364" t="inlineStr">
        <is>
          <t>PNCP_2T_10-02-2020</t>
        </is>
      </c>
      <c r="AV364" t="inlineStr">
        <is>
          <t>PNCP_4T_30-04-2013</t>
        </is>
      </c>
      <c r="AW364" t="inlineStr">
        <is>
          <t>VALDIVIA 220</t>
        </is>
      </c>
      <c r="AX364" t="n">
        <v>111.133</v>
      </c>
      <c r="AY364" t="n">
        <v>1.080821157758461</v>
      </c>
      <c r="AZ364" t="n">
        <v>120.1148977251711</v>
      </c>
      <c r="BA364" t="n">
        <v>779.3099999999999</v>
      </c>
      <c r="BB364" t="n">
        <v>0.879</v>
      </c>
      <c r="BC364" t="n">
        <v>82.2803252917125</v>
      </c>
      <c r="BD364" t="n">
        <v>0.9167</v>
      </c>
      <c r="BE364" t="n">
        <v>75.426</v>
      </c>
      <c r="BF364" t="n">
        <v>8.9176</v>
      </c>
      <c r="BG364" t="n">
        <v>0.804</v>
      </c>
      <c r="BH364" t="n">
        <v>6039.043023599974</v>
      </c>
      <c r="BI364" t="n">
        <v>1.096052187605444</v>
      </c>
      <c r="BJ364" t="n">
        <v>6619.1063</v>
      </c>
      <c r="BK364" t="n">
        <v>49.33297870800001</v>
      </c>
    </row>
    <row r="365">
      <c r="A365" t="n">
        <v>309</v>
      </c>
      <c r="B365" t="inlineStr">
        <is>
          <t>01-10-2020</t>
        </is>
      </c>
      <c r="C365" t="n">
        <v>2020</v>
      </c>
      <c r="D365" t="n">
        <v>1</v>
      </c>
      <c r="E365" t="inlineStr">
        <is>
          <t>CAREN</t>
        </is>
      </c>
      <c r="F365" t="inlineStr">
        <is>
          <t>SUM_SAESA_A</t>
        </is>
      </c>
      <c r="G365" t="inlineStr">
        <is>
          <t>A</t>
        </is>
      </c>
      <c r="H365" t="inlineStr">
        <is>
          <t>SAESA</t>
        </is>
      </c>
      <c r="I365" t="inlineStr">
        <is>
          <t>SAESSANGBLOQA</t>
        </is>
      </c>
      <c r="J365" t="inlineStr">
        <is>
          <t>SANGRA</t>
        </is>
      </c>
      <c r="K365" t="n">
        <v>-4124.20280172</v>
      </c>
      <c r="L365" t="inlineStr">
        <is>
          <t>SANGRA 23</t>
        </is>
      </c>
      <c r="M365" t="inlineStr">
        <is>
          <t>BARRO BLANCO</t>
        </is>
      </c>
      <c r="N365" t="n">
        <v>0.1396556304984</v>
      </c>
      <c r="O365" t="n">
        <v>575.9681430000001</v>
      </c>
      <c r="P365" t="inlineStr">
        <is>
          <t>BS1A</t>
        </is>
      </c>
      <c r="Q365" t="n">
        <v>2</v>
      </c>
      <c r="V365" t="n">
        <v>1472834.063</v>
      </c>
      <c r="W365" t="n">
        <v>2</v>
      </c>
      <c r="X365" t="n">
        <v>8.487e-08</v>
      </c>
      <c r="Y365" t="n">
        <v>0.249999</v>
      </c>
      <c r="Z365" t="n">
        <v>143.99146</v>
      </c>
      <c r="AA365" t="inlineStr">
        <is>
          <t>PNP_6T_08-05-2020</t>
        </is>
      </c>
      <c r="AB365" t="inlineStr">
        <is>
          <t>PNCP_9T_12-08-2019</t>
        </is>
      </c>
      <c r="AC365" t="inlineStr">
        <is>
          <t>PNCP_4T_30-04-2013</t>
        </is>
      </c>
      <c r="AD365" t="inlineStr">
        <is>
          <t>Barro Blanco 220</t>
        </is>
      </c>
      <c r="AE365" t="n">
        <v>111.133</v>
      </c>
      <c r="AF365" t="n">
        <v>1.072776031070834</v>
      </c>
      <c r="AG365" t="n">
        <v>119.220818660995</v>
      </c>
      <c r="AH365" t="n">
        <v>694.38</v>
      </c>
      <c r="AI365" t="n">
        <v>0.875</v>
      </c>
      <c r="AJ365" t="n">
        <v>72.43648305409401</v>
      </c>
      <c r="AK365" t="n">
        <v>0.8631</v>
      </c>
      <c r="AL365" t="n">
        <v>62.52</v>
      </c>
      <c r="AM365" t="n">
        <v>8.9176</v>
      </c>
      <c r="AN365" t="n">
        <v>9.566587534677272</v>
      </c>
      <c r="AO365" t="n">
        <v>0.913</v>
      </c>
      <c r="AP365" t="n">
        <v>6064.919358776563</v>
      </c>
      <c r="AQ365" t="n">
        <v>1.004432825642191</v>
      </c>
      <c r="AR365" t="n">
        <v>6091.8041</v>
      </c>
      <c r="AS365" t="n">
        <v>9002.346079200001</v>
      </c>
      <c r="AT365" t="inlineStr">
        <is>
          <t>PNP_16T_02-11-2020</t>
        </is>
      </c>
      <c r="AU365" t="inlineStr">
        <is>
          <t>PNCP_2T_10-02-2020</t>
        </is>
      </c>
      <c r="AV365" t="inlineStr">
        <is>
          <t>PNCP_4T_30-04-2013</t>
        </is>
      </c>
      <c r="AW365" t="inlineStr">
        <is>
          <t>Barro Blanco 220</t>
        </is>
      </c>
      <c r="AX365" t="n">
        <v>111.133</v>
      </c>
      <c r="AY365" t="n">
        <v>1.080821157758461</v>
      </c>
      <c r="AZ365" t="n">
        <v>120.1148977251711</v>
      </c>
      <c r="BA365" t="n">
        <v>779.3099999999999</v>
      </c>
      <c r="BB365" t="n">
        <v>0.879</v>
      </c>
      <c r="BC365" t="n">
        <v>82.2803252917125</v>
      </c>
      <c r="BD365" t="n">
        <v>0.846</v>
      </c>
      <c r="BE365" t="n">
        <v>69.60899999999999</v>
      </c>
      <c r="BF365" t="n">
        <v>8.9176</v>
      </c>
      <c r="BG365" t="n">
        <v>0.804</v>
      </c>
      <c r="BH365" t="n">
        <v>6039.043023599974</v>
      </c>
      <c r="BI365" t="n">
        <v>1.011820868379177</v>
      </c>
      <c r="BJ365" t="n">
        <v>6110.4298</v>
      </c>
      <c r="BK365" t="n">
        <v>10023.10153914</v>
      </c>
    </row>
    <row r="366">
      <c r="A366" t="n">
        <v>311</v>
      </c>
      <c r="B366" t="inlineStr">
        <is>
          <t>01-10-2020</t>
        </is>
      </c>
      <c r="C366" t="n">
        <v>2020</v>
      </c>
      <c r="D366" t="n">
        <v>1</v>
      </c>
      <c r="E366" t="inlineStr">
        <is>
          <t>CAREN</t>
        </is>
      </c>
      <c r="F366" t="inlineStr">
        <is>
          <t>SUM_SAESA_A</t>
        </is>
      </c>
      <c r="G366" t="inlineStr">
        <is>
          <t>A</t>
        </is>
      </c>
      <c r="H366" t="inlineStr">
        <is>
          <t>SAESA</t>
        </is>
      </c>
      <c r="I366" t="inlineStr">
        <is>
          <t>SAESSANGBLOQA</t>
        </is>
      </c>
      <c r="J366" t="inlineStr">
        <is>
          <t>SANGRA</t>
        </is>
      </c>
      <c r="K366" t="n">
        <v>-4124.20280172</v>
      </c>
      <c r="L366" t="inlineStr">
        <is>
          <t>SANGRA 23</t>
        </is>
      </c>
      <c r="M366" t="inlineStr">
        <is>
          <t>MELIPULLI</t>
        </is>
      </c>
      <c r="N366" t="n">
        <v>0.80146456415263</v>
      </c>
      <c r="O366" t="n">
        <v>3305.402401</v>
      </c>
      <c r="P366" t="inlineStr">
        <is>
          <t>BS1A</t>
        </is>
      </c>
      <c r="Q366" t="n">
        <v>2</v>
      </c>
      <c r="V366" t="n">
        <v>1472834.063</v>
      </c>
      <c r="W366" t="n">
        <v>2</v>
      </c>
      <c r="X366" t="n">
        <v>8.487e-08</v>
      </c>
      <c r="Y366" t="n">
        <v>0.249999</v>
      </c>
      <c r="Z366" t="n">
        <v>826.347295</v>
      </c>
      <c r="AA366" t="inlineStr">
        <is>
          <t>PNP_6T_08-05-2020</t>
        </is>
      </c>
      <c r="AB366" t="inlineStr">
        <is>
          <t>PNCP_9T_12-08-2019</t>
        </is>
      </c>
      <c r="AC366" t="inlineStr">
        <is>
          <t>PNCP_4T_30-04-2013</t>
        </is>
      </c>
      <c r="AD366" t="inlineStr">
        <is>
          <t>MELIPULLI 220</t>
        </is>
      </c>
      <c r="AE366" t="n">
        <v>111.133</v>
      </c>
      <c r="AF366" t="n">
        <v>1.072776031070834</v>
      </c>
      <c r="AG366" t="n">
        <v>119.220818660995</v>
      </c>
      <c r="AH366" t="n">
        <v>694.38</v>
      </c>
      <c r="AI366" t="n">
        <v>0.875</v>
      </c>
      <c r="AJ366" t="n">
        <v>72.43648305409401</v>
      </c>
      <c r="AK366" t="n">
        <v>0.8826000000000001</v>
      </c>
      <c r="AL366" t="n">
        <v>63.932</v>
      </c>
      <c r="AM366" t="n">
        <v>8.9176</v>
      </c>
      <c r="AN366" t="n">
        <v>9.566587534677272</v>
      </c>
      <c r="AO366" t="n">
        <v>0.913</v>
      </c>
      <c r="AP366" t="n">
        <v>6064.919358776563</v>
      </c>
      <c r="AQ366" t="n">
        <v>1</v>
      </c>
      <c r="AR366" t="n">
        <v>6064.9194</v>
      </c>
      <c r="AS366" t="n">
        <v>52830.03526394</v>
      </c>
      <c r="AT366" t="inlineStr">
        <is>
          <t>PNP_16T_02-11-2020</t>
        </is>
      </c>
      <c r="AU366" t="inlineStr">
        <is>
          <t>PNCP_2T_10-02-2020</t>
        </is>
      </c>
      <c r="AV366" t="inlineStr">
        <is>
          <t>PNCP_4T_30-04-2013</t>
        </is>
      </c>
      <c r="AW366" t="inlineStr">
        <is>
          <t>MELIPULLI 220</t>
        </is>
      </c>
      <c r="AX366" t="n">
        <v>111.133</v>
      </c>
      <c r="AY366" t="n">
        <v>1.080821157758461</v>
      </c>
      <c r="AZ366" t="n">
        <v>120.1148977251711</v>
      </c>
      <c r="BA366" t="n">
        <v>779.3099999999999</v>
      </c>
      <c r="BB366" t="n">
        <v>0.879</v>
      </c>
      <c r="BC366" t="n">
        <v>82.2803252917125</v>
      </c>
      <c r="BD366" t="n">
        <v>0.8421</v>
      </c>
      <c r="BE366" t="n">
        <v>69.288</v>
      </c>
      <c r="BF366" t="n">
        <v>8.9176</v>
      </c>
      <c r="BG366" t="n">
        <v>0.804</v>
      </c>
      <c r="BH366" t="n">
        <v>6039.043023599974</v>
      </c>
      <c r="BI366" t="n">
        <v>1</v>
      </c>
      <c r="BJ366" t="n">
        <v>6039.043</v>
      </c>
      <c r="BK366" t="n">
        <v>57255.95137596</v>
      </c>
    </row>
    <row r="367">
      <c r="A367" t="n">
        <v>1855</v>
      </c>
      <c r="B367" t="inlineStr">
        <is>
          <t>01-10-2020</t>
        </is>
      </c>
      <c r="C367" t="n">
        <v>2020</v>
      </c>
      <c r="D367" t="n">
        <v>1</v>
      </c>
      <c r="E367" t="inlineStr">
        <is>
          <t>CAREN</t>
        </is>
      </c>
      <c r="F367" t="inlineStr">
        <is>
          <t>SUM_SAESA_A</t>
        </is>
      </c>
      <c r="G367" t="inlineStr">
        <is>
          <t>A</t>
        </is>
      </c>
      <c r="H367" t="inlineStr">
        <is>
          <t>SAESA</t>
        </is>
      </c>
      <c r="I367" t="inlineStr">
        <is>
          <t>SAESVALDENBLOQA</t>
        </is>
      </c>
      <c r="J367" t="inlineStr">
        <is>
          <t>VALDIVIA</t>
        </is>
      </c>
      <c r="K367" t="n">
        <v>-7807.78492691</v>
      </c>
      <c r="L367" t="inlineStr">
        <is>
          <t>VALDIVIA</t>
        </is>
      </c>
      <c r="M367" t="inlineStr">
        <is>
          <t>Barro Blanco</t>
        </is>
      </c>
      <c r="N367" t="n">
        <v>0.02993690585192</v>
      </c>
      <c r="O367" t="n">
        <v>233.740922</v>
      </c>
      <c r="P367" t="inlineStr">
        <is>
          <t>BS1A</t>
        </is>
      </c>
      <c r="Q367" t="n">
        <v>2</v>
      </c>
      <c r="V367" t="n">
        <v>1472834.063</v>
      </c>
      <c r="W367" t="n">
        <v>2</v>
      </c>
      <c r="X367" t="n">
        <v>8.487e-08</v>
      </c>
      <c r="Y367" t="n">
        <v>0.249999</v>
      </c>
      <c r="Z367" t="n">
        <v>58.434997</v>
      </c>
      <c r="AA367" t="inlineStr">
        <is>
          <t>PNP_6T_08-05-2020</t>
        </is>
      </c>
      <c r="AB367" t="inlineStr">
        <is>
          <t>PNCP_9T_12-08-2019</t>
        </is>
      </c>
      <c r="AC367" t="inlineStr">
        <is>
          <t>PNCP_4T_30-04-2013</t>
        </is>
      </c>
      <c r="AD367" t="inlineStr">
        <is>
          <t>Barro Blanco 220</t>
        </is>
      </c>
      <c r="AE367" t="n">
        <v>111.133</v>
      </c>
      <c r="AF367" t="n">
        <v>1.072776031070834</v>
      </c>
      <c r="AG367" t="n">
        <v>119.220818660995</v>
      </c>
      <c r="AH367" t="n">
        <v>694.38</v>
      </c>
      <c r="AI367" t="n">
        <v>0.875</v>
      </c>
      <c r="AJ367" t="n">
        <v>72.43648305409401</v>
      </c>
      <c r="AK367" t="n">
        <v>0.8631</v>
      </c>
      <c r="AL367" t="n">
        <v>62.52</v>
      </c>
      <c r="AM367" t="n">
        <v>8.9176</v>
      </c>
      <c r="AN367" t="n">
        <v>9.566587534677272</v>
      </c>
      <c r="AO367" t="n">
        <v>0.913</v>
      </c>
      <c r="AP367" t="n">
        <v>6064.919358776563</v>
      </c>
      <c r="AQ367" t="n">
        <v>1.004432825642191</v>
      </c>
      <c r="AR367" t="n">
        <v>6091.8041</v>
      </c>
      <c r="AS367" t="n">
        <v>3653.356012440001</v>
      </c>
      <c r="AT367" t="inlineStr">
        <is>
          <t>PNP_16T_02-11-2020</t>
        </is>
      </c>
      <c r="AU367" t="inlineStr">
        <is>
          <t>PNCP_2T_10-02-2020</t>
        </is>
      </c>
      <c r="AV367" t="inlineStr">
        <is>
          <t>PNCP_4T_30-04-2013</t>
        </is>
      </c>
      <c r="AW367" t="inlineStr">
        <is>
          <t>Barro Blanco 220</t>
        </is>
      </c>
      <c r="AX367" t="n">
        <v>111.133</v>
      </c>
      <c r="AY367" t="n">
        <v>1.080821157758461</v>
      </c>
      <c r="AZ367" t="n">
        <v>120.1148977251711</v>
      </c>
      <c r="BA367" t="n">
        <v>779.3099999999999</v>
      </c>
      <c r="BB367" t="n">
        <v>0.879</v>
      </c>
      <c r="BC367" t="n">
        <v>82.2803252917125</v>
      </c>
      <c r="BD367" t="n">
        <v>0.846</v>
      </c>
      <c r="BE367" t="n">
        <v>69.60899999999999</v>
      </c>
      <c r="BF367" t="n">
        <v>8.9176</v>
      </c>
      <c r="BG367" t="n">
        <v>0.804</v>
      </c>
      <c r="BH367" t="n">
        <v>6039.043023599974</v>
      </c>
      <c r="BI367" t="n">
        <v>1.011820868379177</v>
      </c>
      <c r="BJ367" t="n">
        <v>6110.4298</v>
      </c>
      <c r="BK367" t="n">
        <v>4067.601706173</v>
      </c>
    </row>
    <row r="368">
      <c r="A368" t="n">
        <v>1857</v>
      </c>
      <c r="B368" t="inlineStr">
        <is>
          <t>01-10-2020</t>
        </is>
      </c>
      <c r="C368" t="n">
        <v>2020</v>
      </c>
      <c r="D368" t="n">
        <v>1</v>
      </c>
      <c r="E368" t="inlineStr">
        <is>
          <t>CAREN</t>
        </is>
      </c>
      <c r="F368" t="inlineStr">
        <is>
          <t>SUM_SAESA_A</t>
        </is>
      </c>
      <c r="G368" t="inlineStr">
        <is>
          <t>A</t>
        </is>
      </c>
      <c r="H368" t="inlineStr">
        <is>
          <t>SAESA</t>
        </is>
      </c>
      <c r="I368" t="inlineStr">
        <is>
          <t>SAESVALDENBLOQA</t>
        </is>
      </c>
      <c r="J368" t="inlineStr">
        <is>
          <t>VALDIVIA</t>
        </is>
      </c>
      <c r="K368" t="n">
        <v>-7807.78492691</v>
      </c>
      <c r="L368" t="inlineStr">
        <is>
          <t>VALDIVIA</t>
        </is>
      </c>
      <c r="M368" t="inlineStr">
        <is>
          <t>MELIPULLI</t>
        </is>
      </c>
      <c r="N368" t="n">
        <v>0.00292386082351</v>
      </c>
      <c r="O368" t="n">
        <v>22.828876</v>
      </c>
      <c r="P368" t="inlineStr">
        <is>
          <t>BS1A</t>
        </is>
      </c>
      <c r="Q368" t="n">
        <v>2</v>
      </c>
      <c r="V368" t="n">
        <v>1472834.063</v>
      </c>
      <c r="W368" t="n">
        <v>2</v>
      </c>
      <c r="X368" t="n">
        <v>8.487e-08</v>
      </c>
      <c r="Y368" t="n">
        <v>0.249999</v>
      </c>
      <c r="Z368" t="n">
        <v>5.707196</v>
      </c>
      <c r="AA368" t="inlineStr">
        <is>
          <t>PNP_6T_08-05-2020</t>
        </is>
      </c>
      <c r="AB368" t="inlineStr">
        <is>
          <t>PNCP_9T_12-08-2019</t>
        </is>
      </c>
      <c r="AC368" t="inlineStr">
        <is>
          <t>PNCP_4T_30-04-2013</t>
        </is>
      </c>
      <c r="AD368" t="inlineStr">
        <is>
          <t>MELIPULLI 220</t>
        </is>
      </c>
      <c r="AE368" t="n">
        <v>111.133</v>
      </c>
      <c r="AF368" t="n">
        <v>1.072776031070834</v>
      </c>
      <c r="AG368" t="n">
        <v>119.220818660995</v>
      </c>
      <c r="AH368" t="n">
        <v>694.38</v>
      </c>
      <c r="AI368" t="n">
        <v>0.875</v>
      </c>
      <c r="AJ368" t="n">
        <v>72.43648305409401</v>
      </c>
      <c r="AK368" t="n">
        <v>0.8826000000000001</v>
      </c>
      <c r="AL368" t="n">
        <v>63.932</v>
      </c>
      <c r="AM368" t="n">
        <v>8.9176</v>
      </c>
      <c r="AN368" t="n">
        <v>9.566587534677272</v>
      </c>
      <c r="AO368" t="n">
        <v>0.913</v>
      </c>
      <c r="AP368" t="n">
        <v>6064.919358776563</v>
      </c>
      <c r="AQ368" t="n">
        <v>1</v>
      </c>
      <c r="AR368" t="n">
        <v>6064.9194</v>
      </c>
      <c r="AS368" t="n">
        <v>364.872454672</v>
      </c>
      <c r="AT368" t="inlineStr">
        <is>
          <t>PNP_16T_02-11-2020</t>
        </is>
      </c>
      <c r="AU368" t="inlineStr">
        <is>
          <t>PNCP_2T_10-02-2020</t>
        </is>
      </c>
      <c r="AV368" t="inlineStr">
        <is>
          <t>PNCP_4T_30-04-2013</t>
        </is>
      </c>
      <c r="AW368" t="inlineStr">
        <is>
          <t>MELIPULLI 220</t>
        </is>
      </c>
      <c r="AX368" t="n">
        <v>111.133</v>
      </c>
      <c r="AY368" t="n">
        <v>1.080821157758461</v>
      </c>
      <c r="AZ368" t="n">
        <v>120.1148977251711</v>
      </c>
      <c r="BA368" t="n">
        <v>779.3099999999999</v>
      </c>
      <c r="BB368" t="n">
        <v>0.879</v>
      </c>
      <c r="BC368" t="n">
        <v>82.2803252917125</v>
      </c>
      <c r="BD368" t="n">
        <v>0.8421</v>
      </c>
      <c r="BE368" t="n">
        <v>69.288</v>
      </c>
      <c r="BF368" t="n">
        <v>8.9176</v>
      </c>
      <c r="BG368" t="n">
        <v>0.804</v>
      </c>
      <c r="BH368" t="n">
        <v>6039.043023599974</v>
      </c>
      <c r="BI368" t="n">
        <v>1</v>
      </c>
      <c r="BJ368" t="n">
        <v>6039.043</v>
      </c>
      <c r="BK368" t="n">
        <v>395.4401964479999</v>
      </c>
    </row>
    <row r="369">
      <c r="A369" t="n">
        <v>1859</v>
      </c>
      <c r="B369" t="inlineStr">
        <is>
          <t>01-10-2020</t>
        </is>
      </c>
      <c r="C369" t="n">
        <v>2020</v>
      </c>
      <c r="D369" t="n">
        <v>1</v>
      </c>
      <c r="E369" t="inlineStr">
        <is>
          <t>CAREN</t>
        </is>
      </c>
      <c r="F369" t="inlineStr">
        <is>
          <t>SUM_SAESA_A</t>
        </is>
      </c>
      <c r="G369" t="inlineStr">
        <is>
          <t>A</t>
        </is>
      </c>
      <c r="H369" t="inlineStr">
        <is>
          <t>SAESA</t>
        </is>
      </c>
      <c r="I369" t="inlineStr">
        <is>
          <t>SAESVALDENBLOQA</t>
        </is>
      </c>
      <c r="J369" t="inlineStr">
        <is>
          <t>VALDIVIA</t>
        </is>
      </c>
      <c r="K369" t="n">
        <v>-7807.78492691</v>
      </c>
      <c r="L369" t="inlineStr">
        <is>
          <t>VALDIVIA</t>
        </is>
      </c>
      <c r="M369" t="inlineStr">
        <is>
          <t>VALDIVIA</t>
        </is>
      </c>
      <c r="N369" t="n">
        <v>0.83180916668115</v>
      </c>
      <c r="O369" t="n">
        <v>6494.587074</v>
      </c>
      <c r="P369" t="inlineStr">
        <is>
          <t>BS1A</t>
        </is>
      </c>
      <c r="Q369" t="n">
        <v>2</v>
      </c>
      <c r="V369" t="n">
        <v>1472834.063</v>
      </c>
      <c r="W369" t="n">
        <v>2</v>
      </c>
      <c r="X369" t="n">
        <v>8.487e-08</v>
      </c>
      <c r="Y369" t="n">
        <v>0.249999</v>
      </c>
      <c r="Z369" t="n">
        <v>1623.640274</v>
      </c>
      <c r="AA369" t="inlineStr">
        <is>
          <t>PNP_6T_08-05-2020</t>
        </is>
      </c>
      <c r="AB369" t="inlineStr">
        <is>
          <t>PNCP_9T_12-08-2019</t>
        </is>
      </c>
      <c r="AC369" t="inlineStr">
        <is>
          <t>PNCP_4T_30-04-2013</t>
        </is>
      </c>
      <c r="AD369" t="inlineStr">
        <is>
          <t>VALDIVIA 220</t>
        </is>
      </c>
      <c r="AE369" t="n">
        <v>111.133</v>
      </c>
      <c r="AF369" t="n">
        <v>1.072776031070834</v>
      </c>
      <c r="AG369" t="n">
        <v>119.220818660995</v>
      </c>
      <c r="AH369" t="n">
        <v>694.38</v>
      </c>
      <c r="AI369" t="n">
        <v>0.875</v>
      </c>
      <c r="AJ369" t="n">
        <v>72.43648305409401</v>
      </c>
      <c r="AK369" t="n">
        <v>0.913</v>
      </c>
      <c r="AL369" t="n">
        <v>66.13500000000001</v>
      </c>
      <c r="AM369" t="n">
        <v>8.9176</v>
      </c>
      <c r="AN369" t="n">
        <v>9.566587534677272</v>
      </c>
      <c r="AO369" t="n">
        <v>0.913</v>
      </c>
      <c r="AP369" t="n">
        <v>6064.919358776563</v>
      </c>
      <c r="AQ369" t="n">
        <v>1.051287819142954</v>
      </c>
      <c r="AR369" t="n">
        <v>6375.9758</v>
      </c>
      <c r="AS369" t="n">
        <v>107379.44952099</v>
      </c>
      <c r="AT369" t="inlineStr">
        <is>
          <t>PNP_16T_02-11-2020</t>
        </is>
      </c>
      <c r="AU369" t="inlineStr">
        <is>
          <t>PNCP_2T_10-02-2020</t>
        </is>
      </c>
      <c r="AV369" t="inlineStr">
        <is>
          <t>PNCP_4T_30-04-2013</t>
        </is>
      </c>
      <c r="AW369" t="inlineStr">
        <is>
          <t>VALDIVIA 220</t>
        </is>
      </c>
      <c r="AX369" t="n">
        <v>111.133</v>
      </c>
      <c r="AY369" t="n">
        <v>1.080821157758461</v>
      </c>
      <c r="AZ369" t="n">
        <v>120.1148977251711</v>
      </c>
      <c r="BA369" t="n">
        <v>779.3099999999999</v>
      </c>
      <c r="BB369" t="n">
        <v>0.879</v>
      </c>
      <c r="BC369" t="n">
        <v>82.2803252917125</v>
      </c>
      <c r="BD369" t="n">
        <v>0.9167</v>
      </c>
      <c r="BE369" t="n">
        <v>75.426</v>
      </c>
      <c r="BF369" t="n">
        <v>8.9176</v>
      </c>
      <c r="BG369" t="n">
        <v>0.804</v>
      </c>
      <c r="BH369" t="n">
        <v>6039.043023599974</v>
      </c>
      <c r="BI369" t="n">
        <v>1.096052187605444</v>
      </c>
      <c r="BJ369" t="n">
        <v>6619.1063</v>
      </c>
      <c r="BK369" t="n">
        <v>122464.691306724</v>
      </c>
    </row>
    <row r="370">
      <c r="A370" t="n">
        <v>1271</v>
      </c>
      <c r="B370" t="inlineStr">
        <is>
          <t>01-11-2020</t>
        </is>
      </c>
      <c r="C370" t="n">
        <v>2020</v>
      </c>
      <c r="D370" t="n">
        <v>1</v>
      </c>
      <c r="E370" t="inlineStr">
        <is>
          <t>CAREN</t>
        </is>
      </c>
      <c r="F370" t="inlineStr">
        <is>
          <t>SUM_SAESA_A</t>
        </is>
      </c>
      <c r="G370" t="inlineStr">
        <is>
          <t>A</t>
        </is>
      </c>
      <c r="H370" t="inlineStr">
        <is>
          <t>SAESA</t>
        </is>
      </c>
      <c r="I370" t="inlineStr">
        <is>
          <t>SAESAIHUBLOQA</t>
        </is>
      </c>
      <c r="J370" t="inlineStr">
        <is>
          <t>AIHUAPI</t>
        </is>
      </c>
      <c r="K370" t="n">
        <v>-271.39467851</v>
      </c>
      <c r="L370" t="inlineStr">
        <is>
          <t>AIHUAPI</t>
        </is>
      </c>
      <c r="M370" t="inlineStr">
        <is>
          <t>BARRO BLANCO</t>
        </is>
      </c>
      <c r="N370" t="n">
        <v>0.9345256988989999</v>
      </c>
      <c r="O370" t="n">
        <v>253.625302</v>
      </c>
      <c r="P370" t="inlineStr">
        <is>
          <t>BS1A</t>
        </is>
      </c>
      <c r="Q370" t="n">
        <v>2</v>
      </c>
      <c r="V370" t="n">
        <v>1472834.063</v>
      </c>
      <c r="W370" t="n">
        <v>2</v>
      </c>
      <c r="X370" t="n">
        <v>8.487e-08</v>
      </c>
      <c r="Y370" t="n">
        <v>0.249999</v>
      </c>
      <c r="Z370" t="n">
        <v>63.406072</v>
      </c>
      <c r="AA370" t="inlineStr">
        <is>
          <t>PNP_6T_08-05-2020</t>
        </is>
      </c>
      <c r="AB370" t="inlineStr">
        <is>
          <t>PNCP_9T_12-08-2019</t>
        </is>
      </c>
      <c r="AC370" t="inlineStr">
        <is>
          <t>PNCP_4T_30-04-2013</t>
        </is>
      </c>
      <c r="AD370" t="inlineStr">
        <is>
          <t>Barro Blanco 220</t>
        </is>
      </c>
      <c r="AE370" t="n">
        <v>111.133</v>
      </c>
      <c r="AF370" t="n">
        <v>1.072776031070834</v>
      </c>
      <c r="AG370" t="n">
        <v>119.220818660995</v>
      </c>
      <c r="AH370" t="n">
        <v>694.38</v>
      </c>
      <c r="AI370" t="n">
        <v>0.875</v>
      </c>
      <c r="AJ370" t="n">
        <v>72.43648305409401</v>
      </c>
      <c r="AK370" t="n">
        <v>0.8631</v>
      </c>
      <c r="AL370" t="n">
        <v>62.52</v>
      </c>
      <c r="AM370" t="n">
        <v>8.9176</v>
      </c>
      <c r="AN370" t="n">
        <v>9.566587534677272</v>
      </c>
      <c r="AO370" t="n">
        <v>0.913</v>
      </c>
      <c r="AP370" t="n">
        <v>6064.919358776563</v>
      </c>
      <c r="AQ370" t="n">
        <v>1.004432825642191</v>
      </c>
      <c r="AR370" t="n">
        <v>6091.8041</v>
      </c>
      <c r="AS370" t="n">
        <v>3964.14762144</v>
      </c>
      <c r="AT370" t="inlineStr">
        <is>
          <t>PNP_16T_02-11-2020</t>
        </is>
      </c>
      <c r="AU370" t="inlineStr">
        <is>
          <t>PNCP_2T_10-02-2020</t>
        </is>
      </c>
      <c r="AV370" t="inlineStr">
        <is>
          <t>PNCP_4T_30-04-2013</t>
        </is>
      </c>
      <c r="AW370" t="inlineStr">
        <is>
          <t>Barro Blanco 220</t>
        </is>
      </c>
      <c r="AX370" t="n">
        <v>111.133</v>
      </c>
      <c r="AY370" t="n">
        <v>1.080821157758461</v>
      </c>
      <c r="AZ370" t="n">
        <v>120.1148977251711</v>
      </c>
      <c r="BA370" t="n">
        <v>779.3099999999999</v>
      </c>
      <c r="BB370" t="n">
        <v>0.879</v>
      </c>
      <c r="BC370" t="n">
        <v>82.2803252917125</v>
      </c>
      <c r="BD370" t="n">
        <v>0.846</v>
      </c>
      <c r="BE370" t="n">
        <v>69.60899999999999</v>
      </c>
      <c r="BF370" t="n">
        <v>8.9176</v>
      </c>
      <c r="BG370" t="n">
        <v>0.804</v>
      </c>
      <c r="BH370" t="n">
        <v>6039.043023599974</v>
      </c>
      <c r="BI370" t="n">
        <v>1.011820868379177</v>
      </c>
      <c r="BJ370" t="n">
        <v>6110.4298</v>
      </c>
      <c r="BK370" t="n">
        <v>4413.633265848</v>
      </c>
    </row>
    <row r="371">
      <c r="A371" t="n">
        <v>1897</v>
      </c>
      <c r="B371" t="inlineStr">
        <is>
          <t>01-11-2020</t>
        </is>
      </c>
      <c r="C371" t="n">
        <v>2020</v>
      </c>
      <c r="D371" t="n">
        <v>1</v>
      </c>
      <c r="E371" t="inlineStr">
        <is>
          <t>CAREN</t>
        </is>
      </c>
      <c r="F371" t="inlineStr">
        <is>
          <t>SUM_SAESA_A</t>
        </is>
      </c>
      <c r="G371" t="inlineStr">
        <is>
          <t>A</t>
        </is>
      </c>
      <c r="H371" t="inlineStr">
        <is>
          <t>SAESA</t>
        </is>
      </c>
      <c r="I371" t="inlineStr">
        <is>
          <t>SAESABONBLOQA</t>
        </is>
      </c>
      <c r="J371" t="inlineStr">
        <is>
          <t>ALTO_BONITO</t>
        </is>
      </c>
      <c r="K371" t="n">
        <v>-8837.83729476</v>
      </c>
      <c r="L371" t="inlineStr">
        <is>
          <t>ALTO BONITO</t>
        </is>
      </c>
      <c r="M371" t="inlineStr">
        <is>
          <t>MELIPULLI</t>
        </is>
      </c>
      <c r="N371" t="n">
        <v>0.79697191581102</v>
      </c>
      <c r="O371" t="n">
        <v>7043.50812</v>
      </c>
      <c r="P371" t="inlineStr">
        <is>
          <t>BS1A</t>
        </is>
      </c>
      <c r="Q371" t="n">
        <v>2</v>
      </c>
      <c r="V371" t="n">
        <v>1472834.063</v>
      </c>
      <c r="W371" t="n">
        <v>2</v>
      </c>
      <c r="X371" t="n">
        <v>8.487e-08</v>
      </c>
      <c r="Y371" t="n">
        <v>0.249999</v>
      </c>
      <c r="Z371" t="n">
        <v>1760.869986</v>
      </c>
      <c r="AA371" t="inlineStr">
        <is>
          <t>PNP_6T_08-05-2020</t>
        </is>
      </c>
      <c r="AB371" t="inlineStr">
        <is>
          <t>PNCP_9T_12-08-2019</t>
        </is>
      </c>
      <c r="AC371" t="inlineStr">
        <is>
          <t>PNCP_4T_30-04-2013</t>
        </is>
      </c>
      <c r="AD371" t="inlineStr">
        <is>
          <t>MELIPULLI 220</t>
        </is>
      </c>
      <c r="AE371" t="n">
        <v>111.133</v>
      </c>
      <c r="AF371" t="n">
        <v>1.072776031070834</v>
      </c>
      <c r="AG371" t="n">
        <v>119.220818660995</v>
      </c>
      <c r="AH371" t="n">
        <v>694.38</v>
      </c>
      <c r="AI371" t="n">
        <v>0.875</v>
      </c>
      <c r="AJ371" t="n">
        <v>72.43648305409401</v>
      </c>
      <c r="AK371" t="n">
        <v>0.8826000000000001</v>
      </c>
      <c r="AL371" t="n">
        <v>63.932</v>
      </c>
      <c r="AM371" t="n">
        <v>8.9176</v>
      </c>
      <c r="AN371" t="n">
        <v>9.566587534677272</v>
      </c>
      <c r="AO371" t="n">
        <v>0.913</v>
      </c>
      <c r="AP371" t="n">
        <v>6064.919358776563</v>
      </c>
      <c r="AQ371" t="n">
        <v>1</v>
      </c>
      <c r="AR371" t="n">
        <v>6064.9194</v>
      </c>
      <c r="AS371" t="n">
        <v>112575.939944952</v>
      </c>
      <c r="AT371" t="inlineStr">
        <is>
          <t>PNP_16T_02-11-2020</t>
        </is>
      </c>
      <c r="AU371" t="inlineStr">
        <is>
          <t>PNCP_2T_10-02-2020</t>
        </is>
      </c>
      <c r="AV371" t="inlineStr">
        <is>
          <t>PNCP_4T_30-04-2013</t>
        </is>
      </c>
      <c r="AW371" t="inlineStr">
        <is>
          <t>MELIPULLI 220</t>
        </is>
      </c>
      <c r="AX371" t="n">
        <v>111.133</v>
      </c>
      <c r="AY371" t="n">
        <v>1.080821157758461</v>
      </c>
      <c r="AZ371" t="n">
        <v>120.1148977251711</v>
      </c>
      <c r="BA371" t="n">
        <v>779.3099999999999</v>
      </c>
      <c r="BB371" t="n">
        <v>0.879</v>
      </c>
      <c r="BC371" t="n">
        <v>82.2803252917125</v>
      </c>
      <c r="BD371" t="n">
        <v>0.8421</v>
      </c>
      <c r="BE371" t="n">
        <v>69.288</v>
      </c>
      <c r="BF371" t="n">
        <v>8.9176</v>
      </c>
      <c r="BG371" t="n">
        <v>0.804</v>
      </c>
      <c r="BH371" t="n">
        <v>6039.043023599974</v>
      </c>
      <c r="BI371" t="n">
        <v>1</v>
      </c>
      <c r="BJ371" t="n">
        <v>6039.043</v>
      </c>
      <c r="BK371" t="n">
        <v>122007.159589968</v>
      </c>
    </row>
    <row r="372">
      <c r="A372" t="n">
        <v>1899</v>
      </c>
      <c r="B372" t="inlineStr">
        <is>
          <t>01-11-2020</t>
        </is>
      </c>
      <c r="C372" t="n">
        <v>2020</v>
      </c>
      <c r="D372" t="n">
        <v>1</v>
      </c>
      <c r="E372" t="inlineStr">
        <is>
          <t>CAREN</t>
        </is>
      </c>
      <c r="F372" t="inlineStr">
        <is>
          <t>SUM_SAESA_A</t>
        </is>
      </c>
      <c r="G372" t="inlineStr">
        <is>
          <t>A</t>
        </is>
      </c>
      <c r="H372" t="inlineStr">
        <is>
          <t>SAESA</t>
        </is>
      </c>
      <c r="I372" t="inlineStr">
        <is>
          <t>SAESABONBLOQA</t>
        </is>
      </c>
      <c r="J372" t="inlineStr">
        <is>
          <t>ALTO_BONITO</t>
        </is>
      </c>
      <c r="K372" t="n">
        <v>-8837.83729476</v>
      </c>
      <c r="L372" t="inlineStr">
        <is>
          <t>ALTO BONITO</t>
        </is>
      </c>
      <c r="M372" t="inlineStr">
        <is>
          <t>Puerto Montt</t>
        </is>
      </c>
      <c r="N372" t="n">
        <v>0.94104614890384</v>
      </c>
      <c r="O372" t="n">
        <v>8316.812750999999</v>
      </c>
      <c r="P372" t="inlineStr">
        <is>
          <t>BS1A</t>
        </is>
      </c>
      <c r="Q372" t="n">
        <v>2</v>
      </c>
      <c r="V372" t="n">
        <v>1472834.063</v>
      </c>
      <c r="W372" t="n">
        <v>2</v>
      </c>
      <c r="X372" t="n">
        <v>8.487e-08</v>
      </c>
      <c r="Y372" t="n">
        <v>0.249999</v>
      </c>
      <c r="Z372" t="n">
        <v>2079.194871</v>
      </c>
      <c r="AA372" t="inlineStr">
        <is>
          <t>PNP_6T_08-05-2020</t>
        </is>
      </c>
      <c r="AB372" t="inlineStr">
        <is>
          <t>PNCP_9T_12-08-2019</t>
        </is>
      </c>
      <c r="AC372" t="inlineStr">
        <is>
          <t>PNCP_4T_30-04-2013</t>
        </is>
      </c>
      <c r="AD372" t="inlineStr">
        <is>
          <t>PUERTO MONTT 220</t>
        </is>
      </c>
      <c r="AE372" t="n">
        <v>111.133</v>
      </c>
      <c r="AF372" t="n">
        <v>1.072776031070834</v>
      </c>
      <c r="AG372" t="n">
        <v>119.220818660995</v>
      </c>
      <c r="AH372" t="n">
        <v>694.38</v>
      </c>
      <c r="AI372" t="n">
        <v>0.875</v>
      </c>
      <c r="AJ372" t="n">
        <v>72.43648305409401</v>
      </c>
      <c r="AK372" t="n">
        <v>0.8826000000000001</v>
      </c>
      <c r="AL372" t="n">
        <v>63.932</v>
      </c>
      <c r="AM372" t="n">
        <v>8.9176</v>
      </c>
      <c r="AN372" t="n">
        <v>9.566587534677272</v>
      </c>
      <c r="AO372" t="n">
        <v>0.913</v>
      </c>
      <c r="AP372" t="n">
        <v>6064.919358776563</v>
      </c>
      <c r="AQ372" t="n">
        <v>1.016858412119831</v>
      </c>
      <c r="AR372" t="n">
        <v>6167.1643</v>
      </c>
      <c r="AS372" t="n">
        <v>132927.086492772</v>
      </c>
      <c r="AT372" t="inlineStr">
        <is>
          <t>PNP_16T_02-11-2020</t>
        </is>
      </c>
      <c r="AU372" t="inlineStr">
        <is>
          <t>PNCP_2T_10-02-2020</t>
        </is>
      </c>
      <c r="AV372" t="inlineStr">
        <is>
          <t>PNCP_4T_30-04-2013</t>
        </is>
      </c>
      <c r="AW372" t="inlineStr">
        <is>
          <t>PUERTO MONTT 220</t>
        </is>
      </c>
      <c r="AX372" t="n">
        <v>111.133</v>
      </c>
      <c r="AY372" t="n">
        <v>1.080821157758461</v>
      </c>
      <c r="AZ372" t="n">
        <v>120.1148977251711</v>
      </c>
      <c r="BA372" t="n">
        <v>779.3099999999999</v>
      </c>
      <c r="BB372" t="n">
        <v>0.879</v>
      </c>
      <c r="BC372" t="n">
        <v>82.2803252917125</v>
      </c>
      <c r="BD372" t="n">
        <v>0.8421</v>
      </c>
      <c r="BE372" t="n">
        <v>69.288</v>
      </c>
      <c r="BF372" t="n">
        <v>8.9176</v>
      </c>
      <c r="BG372" t="n">
        <v>0.804</v>
      </c>
      <c r="BH372" t="n">
        <v>6039.043023599974</v>
      </c>
      <c r="BI372" t="n">
        <v>1.02699624102973</v>
      </c>
      <c r="BJ372" t="n">
        <v>6202.0745</v>
      </c>
      <c r="BK372" t="n">
        <v>144063.254221848</v>
      </c>
    </row>
    <row r="373">
      <c r="A373" t="n">
        <v>1901</v>
      </c>
      <c r="B373" t="inlineStr">
        <is>
          <t>01-11-2020</t>
        </is>
      </c>
      <c r="C373" t="n">
        <v>2020</v>
      </c>
      <c r="D373" t="n">
        <v>1</v>
      </c>
      <c r="E373" t="inlineStr">
        <is>
          <t>CAREN</t>
        </is>
      </c>
      <c r="F373" t="inlineStr">
        <is>
          <t>SUM_SAESA_A</t>
        </is>
      </c>
      <c r="G373" t="inlineStr">
        <is>
          <t>A</t>
        </is>
      </c>
      <c r="H373" t="inlineStr">
        <is>
          <t>SAESA</t>
        </is>
      </c>
      <c r="I373" t="inlineStr">
        <is>
          <t>SAESABONBLOQA</t>
        </is>
      </c>
      <c r="J373" t="inlineStr">
        <is>
          <t>ALTO_BONITO</t>
        </is>
      </c>
      <c r="K373" t="n">
        <v>-8837.83729476</v>
      </c>
      <c r="L373" t="inlineStr">
        <is>
          <t>ALTO BONITO</t>
        </is>
      </c>
      <c r="M373" t="inlineStr">
        <is>
          <t>VALDIVIA</t>
        </is>
      </c>
      <c r="N373" t="n">
        <v>5.983619997e-05</v>
      </c>
      <c r="O373" t="n">
        <v>0.528823</v>
      </c>
      <c r="P373" t="inlineStr">
        <is>
          <t>BS1A</t>
        </is>
      </c>
      <c r="Q373" t="n">
        <v>2</v>
      </c>
      <c r="V373" t="n">
        <v>1472834.063</v>
      </c>
      <c r="W373" t="n">
        <v>2</v>
      </c>
      <c r="X373" t="n">
        <v>8.487e-08</v>
      </c>
      <c r="Y373" t="n">
        <v>0.249999</v>
      </c>
      <c r="Z373" t="n">
        <v>0.132205</v>
      </c>
      <c r="AA373" t="inlineStr">
        <is>
          <t>PNP_6T_08-05-2020</t>
        </is>
      </c>
      <c r="AB373" t="inlineStr">
        <is>
          <t>PNCP_9T_12-08-2019</t>
        </is>
      </c>
      <c r="AC373" t="inlineStr">
        <is>
          <t>PNCP_4T_30-04-2013</t>
        </is>
      </c>
      <c r="AD373" t="inlineStr">
        <is>
          <t>VALDIVIA 220</t>
        </is>
      </c>
      <c r="AE373" t="n">
        <v>111.133</v>
      </c>
      <c r="AF373" t="n">
        <v>1.072776031070834</v>
      </c>
      <c r="AG373" t="n">
        <v>119.220818660995</v>
      </c>
      <c r="AH373" t="n">
        <v>694.38</v>
      </c>
      <c r="AI373" t="n">
        <v>0.875</v>
      </c>
      <c r="AJ373" t="n">
        <v>72.43648305409401</v>
      </c>
      <c r="AK373" t="n">
        <v>0.913</v>
      </c>
      <c r="AL373" t="n">
        <v>66.13500000000001</v>
      </c>
      <c r="AM373" t="n">
        <v>8.9176</v>
      </c>
      <c r="AN373" t="n">
        <v>9.566587534677272</v>
      </c>
      <c r="AO373" t="n">
        <v>0.913</v>
      </c>
      <c r="AP373" t="n">
        <v>6064.919358776563</v>
      </c>
      <c r="AQ373" t="n">
        <v>1.051287819142954</v>
      </c>
      <c r="AR373" t="n">
        <v>6375.9758</v>
      </c>
      <c r="AS373" t="n">
        <v>8.743377675</v>
      </c>
      <c r="AT373" t="inlineStr">
        <is>
          <t>PNP_16T_02-11-2020</t>
        </is>
      </c>
      <c r="AU373" t="inlineStr">
        <is>
          <t>PNCP_2T_10-02-2020</t>
        </is>
      </c>
      <c r="AV373" t="inlineStr">
        <is>
          <t>PNCP_4T_30-04-2013</t>
        </is>
      </c>
      <c r="AW373" t="inlineStr">
        <is>
          <t>VALDIVIA 220</t>
        </is>
      </c>
      <c r="AX373" t="n">
        <v>111.133</v>
      </c>
      <c r="AY373" t="n">
        <v>1.080821157758461</v>
      </c>
      <c r="AZ373" t="n">
        <v>120.1148977251711</v>
      </c>
      <c r="BA373" t="n">
        <v>779.3099999999999</v>
      </c>
      <c r="BB373" t="n">
        <v>0.879</v>
      </c>
      <c r="BC373" t="n">
        <v>82.2803252917125</v>
      </c>
      <c r="BD373" t="n">
        <v>0.9167</v>
      </c>
      <c r="BE373" t="n">
        <v>75.426</v>
      </c>
      <c r="BF373" t="n">
        <v>8.9176</v>
      </c>
      <c r="BG373" t="n">
        <v>0.804</v>
      </c>
      <c r="BH373" t="n">
        <v>6039.043023599974</v>
      </c>
      <c r="BI373" t="n">
        <v>1.096052187605444</v>
      </c>
      <c r="BJ373" t="n">
        <v>6619.1063</v>
      </c>
      <c r="BK373" t="n">
        <v>9.97169433</v>
      </c>
    </row>
    <row r="374">
      <c r="A374" t="n">
        <v>1265</v>
      </c>
      <c r="B374" t="inlineStr">
        <is>
          <t>01-11-2020</t>
        </is>
      </c>
      <c r="C374" t="n">
        <v>2020</v>
      </c>
      <c r="D374" t="n">
        <v>1</v>
      </c>
      <c r="E374" t="inlineStr">
        <is>
          <t>CAREN</t>
        </is>
      </c>
      <c r="F374" t="inlineStr">
        <is>
          <t>SUM_SAESA_A</t>
        </is>
      </c>
      <c r="G374" t="inlineStr">
        <is>
          <t>A</t>
        </is>
      </c>
      <c r="H374" t="inlineStr">
        <is>
          <t>SAESA</t>
        </is>
      </c>
      <c r="I374" t="inlineStr">
        <is>
          <t>SAESANCUBLOQA</t>
        </is>
      </c>
      <c r="J374" t="inlineStr">
        <is>
          <t>ANCUD</t>
        </is>
      </c>
      <c r="K374" t="n">
        <v>-6280.57750909</v>
      </c>
      <c r="L374" t="inlineStr">
        <is>
          <t>ANCUD</t>
        </is>
      </c>
      <c r="M374" t="inlineStr">
        <is>
          <t>CHILOE</t>
        </is>
      </c>
      <c r="N374" t="n">
        <v>0.79707666555769</v>
      </c>
      <c r="O374" t="n">
        <v>5006.101779</v>
      </c>
      <c r="P374" t="inlineStr">
        <is>
          <t>BS1A</t>
        </is>
      </c>
      <c r="Q374" t="n">
        <v>2</v>
      </c>
      <c r="V374" t="n">
        <v>1472834.063</v>
      </c>
      <c r="W374" t="n">
        <v>2</v>
      </c>
      <c r="X374" t="n">
        <v>8.487e-08</v>
      </c>
      <c r="Y374" t="n">
        <v>0.249999</v>
      </c>
      <c r="Z374" t="n">
        <v>1251.520439</v>
      </c>
      <c r="AA374" t="inlineStr">
        <is>
          <t>PNP_6T_08-05-2020</t>
        </is>
      </c>
      <c r="AB374" t="inlineStr">
        <is>
          <t>PNCP_9T_12-08-2019</t>
        </is>
      </c>
      <c r="AC374" t="inlineStr">
        <is>
          <t>PNCP_4T_30-04-2013</t>
        </is>
      </c>
      <c r="AD374" t="inlineStr">
        <is>
          <t>CHILOE 220</t>
        </is>
      </c>
      <c r="AE374" t="n">
        <v>111.133</v>
      </c>
      <c r="AF374" t="n">
        <v>1.072776031070834</v>
      </c>
      <c r="AG374" t="n">
        <v>119.220818660995</v>
      </c>
      <c r="AH374" t="n">
        <v>694.38</v>
      </c>
      <c r="AI374" t="n">
        <v>0.875</v>
      </c>
      <c r="AJ374" t="n">
        <v>72.43648305409401</v>
      </c>
      <c r="AK374" t="n">
        <v>0.8903</v>
      </c>
      <c r="AL374" t="n">
        <v>64.48999999999999</v>
      </c>
      <c r="AM374" t="n">
        <v>8.9176</v>
      </c>
      <c r="AN374" t="n">
        <v>9.566587534677272</v>
      </c>
      <c r="AO374" t="n">
        <v>0.913</v>
      </c>
      <c r="AP374" t="n">
        <v>6064.919358776563</v>
      </c>
      <c r="AQ374" t="n">
        <v>1</v>
      </c>
      <c r="AR374" t="n">
        <v>6064.9194</v>
      </c>
      <c r="AS374" t="n">
        <v>80710.55311110998</v>
      </c>
      <c r="AT374" t="inlineStr">
        <is>
          <t>PNP_16T_02-11-2020</t>
        </is>
      </c>
      <c r="AU374" t="inlineStr">
        <is>
          <t>PNCP_2T_10-02-2020</t>
        </is>
      </c>
      <c r="AV374" t="inlineStr">
        <is>
          <t>PNCP_4T_30-04-2013</t>
        </is>
      </c>
      <c r="AW374" t="inlineStr">
        <is>
          <t>CHILOE 220</t>
        </is>
      </c>
      <c r="AX374" t="n">
        <v>111.133</v>
      </c>
      <c r="AY374" t="n">
        <v>1.080821157758461</v>
      </c>
      <c r="AZ374" t="n">
        <v>120.1148977251711</v>
      </c>
      <c r="BA374" t="n">
        <v>779.3099999999999</v>
      </c>
      <c r="BB374" t="n">
        <v>0.879</v>
      </c>
      <c r="BC374" t="n">
        <v>82.2803252917125</v>
      </c>
      <c r="BD374" t="n">
        <v>0.8486</v>
      </c>
      <c r="BE374" t="n">
        <v>69.82299999999999</v>
      </c>
      <c r="BF374" t="n">
        <v>8.9176</v>
      </c>
      <c r="BG374" t="n">
        <v>0.804</v>
      </c>
      <c r="BH374" t="n">
        <v>6039.043023599974</v>
      </c>
      <c r="BI374" t="n">
        <v>1</v>
      </c>
      <c r="BJ374" t="n">
        <v>6039.043</v>
      </c>
      <c r="BK374" t="n">
        <v>87384.91161229699</v>
      </c>
    </row>
    <row r="375">
      <c r="A375" t="n">
        <v>1267</v>
      </c>
      <c r="B375" t="inlineStr">
        <is>
          <t>01-11-2020</t>
        </is>
      </c>
      <c r="C375" t="n">
        <v>2020</v>
      </c>
      <c r="D375" t="n">
        <v>1</v>
      </c>
      <c r="E375" t="inlineStr">
        <is>
          <t>CAREN</t>
        </is>
      </c>
      <c r="F375" t="inlineStr">
        <is>
          <t>SUM_SAESA_A</t>
        </is>
      </c>
      <c r="G375" t="inlineStr">
        <is>
          <t>A</t>
        </is>
      </c>
      <c r="H375" t="inlineStr">
        <is>
          <t>SAESA</t>
        </is>
      </c>
      <c r="I375" t="inlineStr">
        <is>
          <t>SAESANCUBLOQA</t>
        </is>
      </c>
      <c r="J375" t="inlineStr">
        <is>
          <t>ANCUD</t>
        </is>
      </c>
      <c r="K375" t="n">
        <v>-6280.57750909</v>
      </c>
      <c r="L375" t="inlineStr">
        <is>
          <t>ANCUD</t>
        </is>
      </c>
      <c r="M375" t="inlineStr">
        <is>
          <t>Puerto Montt</t>
        </is>
      </c>
      <c r="N375" t="n">
        <v>0.9410461489039</v>
      </c>
      <c r="O375" t="n">
        <v>5910.313278</v>
      </c>
      <c r="P375" t="inlineStr">
        <is>
          <t>BS1A</t>
        </is>
      </c>
      <c r="Q375" t="n">
        <v>2</v>
      </c>
      <c r="V375" t="n">
        <v>1472834.063</v>
      </c>
      <c r="W375" t="n">
        <v>2</v>
      </c>
      <c r="X375" t="n">
        <v>8.487e-08</v>
      </c>
      <c r="Y375" t="n">
        <v>0.249999</v>
      </c>
      <c r="Z375" t="n">
        <v>1477.572409</v>
      </c>
      <c r="AA375" t="inlineStr">
        <is>
          <t>PNP_6T_08-05-2020</t>
        </is>
      </c>
      <c r="AB375" t="inlineStr">
        <is>
          <t>PNCP_9T_12-08-2019</t>
        </is>
      </c>
      <c r="AC375" t="inlineStr">
        <is>
          <t>PNCP_4T_30-04-2013</t>
        </is>
      </c>
      <c r="AD375" t="inlineStr">
        <is>
          <t>PUERTO MONTT 220</t>
        </is>
      </c>
      <c r="AE375" t="n">
        <v>111.133</v>
      </c>
      <c r="AF375" t="n">
        <v>1.072776031070834</v>
      </c>
      <c r="AG375" t="n">
        <v>119.220818660995</v>
      </c>
      <c r="AH375" t="n">
        <v>694.38</v>
      </c>
      <c r="AI375" t="n">
        <v>0.875</v>
      </c>
      <c r="AJ375" t="n">
        <v>72.43648305409401</v>
      </c>
      <c r="AK375" t="n">
        <v>0.8826000000000001</v>
      </c>
      <c r="AL375" t="n">
        <v>63.932</v>
      </c>
      <c r="AM375" t="n">
        <v>8.9176</v>
      </c>
      <c r="AN375" t="n">
        <v>9.566587534677272</v>
      </c>
      <c r="AO375" t="n">
        <v>0.913</v>
      </c>
      <c r="AP375" t="n">
        <v>6064.919358776563</v>
      </c>
      <c r="AQ375" t="n">
        <v>1.016858412119831</v>
      </c>
      <c r="AR375" t="n">
        <v>6167.1643</v>
      </c>
      <c r="AS375" t="n">
        <v>94464.15925218801</v>
      </c>
      <c r="AT375" t="inlineStr">
        <is>
          <t>PNP_16T_02-11-2020</t>
        </is>
      </c>
      <c r="AU375" t="inlineStr">
        <is>
          <t>PNCP_2T_10-02-2020</t>
        </is>
      </c>
      <c r="AV375" t="inlineStr">
        <is>
          <t>PNCP_4T_30-04-2013</t>
        </is>
      </c>
      <c r="AW375" t="inlineStr">
        <is>
          <t>PUERTO MONTT 220</t>
        </is>
      </c>
      <c r="AX375" t="n">
        <v>111.133</v>
      </c>
      <c r="AY375" t="n">
        <v>1.080821157758461</v>
      </c>
      <c r="AZ375" t="n">
        <v>120.1148977251711</v>
      </c>
      <c r="BA375" t="n">
        <v>779.3099999999999</v>
      </c>
      <c r="BB375" t="n">
        <v>0.879</v>
      </c>
      <c r="BC375" t="n">
        <v>82.2803252917125</v>
      </c>
      <c r="BD375" t="n">
        <v>0.8421</v>
      </c>
      <c r="BE375" t="n">
        <v>69.288</v>
      </c>
      <c r="BF375" t="n">
        <v>8.9176</v>
      </c>
      <c r="BG375" t="n">
        <v>0.804</v>
      </c>
      <c r="BH375" t="n">
        <v>6039.043023599974</v>
      </c>
      <c r="BI375" t="n">
        <v>1.02699624102973</v>
      </c>
      <c r="BJ375" t="n">
        <v>6202.0745</v>
      </c>
      <c r="BK375" t="n">
        <v>102378.037074792</v>
      </c>
    </row>
    <row r="376">
      <c r="A376" t="n">
        <v>353</v>
      </c>
      <c r="B376" t="inlineStr">
        <is>
          <t>01-11-2020</t>
        </is>
      </c>
      <c r="C376" t="n">
        <v>2020</v>
      </c>
      <c r="D376" t="n">
        <v>1</v>
      </c>
      <c r="E376" t="inlineStr">
        <is>
          <t>CAREN</t>
        </is>
      </c>
      <c r="F376" t="inlineStr">
        <is>
          <t>SUM_SAESA_A</t>
        </is>
      </c>
      <c r="G376" t="inlineStr">
        <is>
          <t>A</t>
        </is>
      </c>
      <c r="H376" t="inlineStr">
        <is>
          <t>SAESA</t>
        </is>
      </c>
      <c r="I376" t="inlineStr">
        <is>
          <t>SAESARMBLOQA</t>
        </is>
      </c>
      <c r="J376" t="inlineStr">
        <is>
          <t>ARMAZONES</t>
        </is>
      </c>
      <c r="K376" t="n">
        <v>-1316.28708515</v>
      </c>
      <c r="L376" t="inlineStr">
        <is>
          <t>ARMAZONES</t>
        </is>
      </c>
      <c r="M376" t="inlineStr">
        <is>
          <t>DIEGO DE ALMAGRO</t>
        </is>
      </c>
      <c r="N376" t="n">
        <v>0.81055053060743</v>
      </c>
      <c r="O376" t="n">
        <v>1066.917195</v>
      </c>
      <c r="P376" t="inlineStr">
        <is>
          <t>BS1A</t>
        </is>
      </c>
      <c r="Q376" t="n">
        <v>2</v>
      </c>
      <c r="V376" t="n">
        <v>1472834.063</v>
      </c>
      <c r="W376" t="n">
        <v>2</v>
      </c>
      <c r="X376" t="n">
        <v>8.487e-08</v>
      </c>
      <c r="Y376" t="n">
        <v>0.249999</v>
      </c>
      <c r="Z376" t="n">
        <v>266.728232</v>
      </c>
      <c r="AA376" t="inlineStr">
        <is>
          <t>PNP_6T_08-05-2020</t>
        </is>
      </c>
      <c r="AB376" t="inlineStr">
        <is>
          <t>PNCP_9T_12-08-2019</t>
        </is>
      </c>
      <c r="AC376" t="inlineStr">
        <is>
          <t>PNCP_4T_30-04-2013</t>
        </is>
      </c>
      <c r="AD376" t="inlineStr">
        <is>
          <t>DIEGO DE ALMAGRO 220</t>
        </is>
      </c>
      <c r="AE376" t="n">
        <v>111.133</v>
      </c>
      <c r="AF376" t="n">
        <v>1.072776031070834</v>
      </c>
      <c r="AG376" t="n">
        <v>119.220818660995</v>
      </c>
      <c r="AH376" t="n">
        <v>694.38</v>
      </c>
      <c r="AI376" t="n">
        <v>0.875</v>
      </c>
      <c r="AJ376" t="n">
        <v>72.43648305409401</v>
      </c>
      <c r="AK376" t="n">
        <v>0.981</v>
      </c>
      <c r="AL376" t="n">
        <v>71.06</v>
      </c>
      <c r="AM376" t="n">
        <v>8.9176</v>
      </c>
      <c r="AN376" t="n">
        <v>9.566587534677272</v>
      </c>
      <c r="AO376" t="n">
        <v>0.913</v>
      </c>
      <c r="AP376" t="n">
        <v>6064.919358776563</v>
      </c>
      <c r="AQ376" t="n">
        <v>1.00689729496713</v>
      </c>
      <c r="AR376" t="n">
        <v>6106.7509</v>
      </c>
      <c r="AS376" t="n">
        <v>18953.70816592</v>
      </c>
      <c r="AT376" t="inlineStr">
        <is>
          <t>PNP_16T_02-11-2020</t>
        </is>
      </c>
      <c r="AU376" t="inlineStr">
        <is>
          <t>PNCP_2T_10-02-2020</t>
        </is>
      </c>
      <c r="AV376" t="inlineStr">
        <is>
          <t>PNCP_4T_30-04-2013</t>
        </is>
      </c>
      <c r="AW376" t="inlineStr">
        <is>
          <t>DIEGO DE ALMAGRO 220</t>
        </is>
      </c>
      <c r="AX376" t="n">
        <v>111.133</v>
      </c>
      <c r="AY376" t="n">
        <v>1.080821157758461</v>
      </c>
      <c r="AZ376" t="n">
        <v>120.1148977251711</v>
      </c>
      <c r="BA376" t="n">
        <v>779.3099999999999</v>
      </c>
      <c r="BB376" t="n">
        <v>0.879</v>
      </c>
      <c r="BC376" t="n">
        <v>82.2803252917125</v>
      </c>
      <c r="BD376" t="n">
        <v>0.9133</v>
      </c>
      <c r="BE376" t="n">
        <v>75.14700000000001</v>
      </c>
      <c r="BF376" t="n">
        <v>8.9176</v>
      </c>
      <c r="BG376" t="n">
        <v>0.804</v>
      </c>
      <c r="BH376" t="n">
        <v>6039.043023599974</v>
      </c>
      <c r="BI376" t="n">
        <v>0.9584006897294968</v>
      </c>
      <c r="BJ376" t="n">
        <v>5787.823</v>
      </c>
      <c r="BK376" t="n">
        <v>20043.826450104</v>
      </c>
    </row>
    <row r="377">
      <c r="A377" t="n">
        <v>3829</v>
      </c>
      <c r="B377" t="inlineStr">
        <is>
          <t>01-11-2020</t>
        </is>
      </c>
      <c r="C377" t="n">
        <v>2020</v>
      </c>
      <c r="D377" t="n">
        <v>1</v>
      </c>
      <c r="E377" t="inlineStr">
        <is>
          <t>CAREN</t>
        </is>
      </c>
      <c r="F377" t="inlineStr">
        <is>
          <t>SUM_SAESA_A</t>
        </is>
      </c>
      <c r="G377" t="inlineStr">
        <is>
          <t>A</t>
        </is>
      </c>
      <c r="H377" t="inlineStr">
        <is>
          <t>SAESA</t>
        </is>
      </c>
      <c r="I377" t="inlineStr">
        <is>
          <t>SAESBBLABLOQA</t>
        </is>
      </c>
      <c r="J377" t="inlineStr">
        <is>
          <t>B.BLANCO</t>
        </is>
      </c>
      <c r="K377" t="n">
        <v>-4235.88582281</v>
      </c>
      <c r="L377" t="inlineStr">
        <is>
          <t>BARRO BLANCO</t>
        </is>
      </c>
      <c r="M377" t="inlineStr">
        <is>
          <t>BARRO BLANCO</t>
        </is>
      </c>
      <c r="N377" t="n">
        <v>0.68542358589689</v>
      </c>
      <c r="O377" t="n">
        <v>2903.37605</v>
      </c>
      <c r="P377" t="inlineStr">
        <is>
          <t>BS1A</t>
        </is>
      </c>
      <c r="Q377" t="n">
        <v>2</v>
      </c>
      <c r="V377" t="n">
        <v>1472834.063</v>
      </c>
      <c r="W377" t="n">
        <v>2</v>
      </c>
      <c r="X377" t="n">
        <v>8.487e-08</v>
      </c>
      <c r="Y377" t="n">
        <v>0.249999</v>
      </c>
      <c r="Z377" t="n">
        <v>725.841109</v>
      </c>
      <c r="AA377" t="inlineStr">
        <is>
          <t>PNP_6T_08-05-2020</t>
        </is>
      </c>
      <c r="AB377" t="inlineStr">
        <is>
          <t>PNCP_9T_12-08-2019</t>
        </is>
      </c>
      <c r="AC377" t="inlineStr">
        <is>
          <t>PNCP_4T_30-04-2013</t>
        </is>
      </c>
      <c r="AD377" t="inlineStr">
        <is>
          <t>Barro Blanco 220</t>
        </is>
      </c>
      <c r="AE377" t="n">
        <v>111.133</v>
      </c>
      <c r="AF377" t="n">
        <v>1.072776031070834</v>
      </c>
      <c r="AG377" t="n">
        <v>119.220818660995</v>
      </c>
      <c r="AH377" t="n">
        <v>694.38</v>
      </c>
      <c r="AI377" t="n">
        <v>0.875</v>
      </c>
      <c r="AJ377" t="n">
        <v>72.43648305409401</v>
      </c>
      <c r="AK377" t="n">
        <v>0.8631</v>
      </c>
      <c r="AL377" t="n">
        <v>62.52</v>
      </c>
      <c r="AM377" t="n">
        <v>8.9176</v>
      </c>
      <c r="AN377" t="n">
        <v>9.566587534677272</v>
      </c>
      <c r="AO377" t="n">
        <v>0.913</v>
      </c>
      <c r="AP377" t="n">
        <v>6064.919358776563</v>
      </c>
      <c r="AQ377" t="n">
        <v>1.004432825642191</v>
      </c>
      <c r="AR377" t="n">
        <v>6091.8041</v>
      </c>
      <c r="AS377" t="n">
        <v>45379.58613468</v>
      </c>
      <c r="AT377" t="inlineStr">
        <is>
          <t>PNP_16T_02-11-2020</t>
        </is>
      </c>
      <c r="AU377" t="inlineStr">
        <is>
          <t>PNCP_2T_10-02-2020</t>
        </is>
      </c>
      <c r="AV377" t="inlineStr">
        <is>
          <t>PNCP_4T_30-04-2013</t>
        </is>
      </c>
      <c r="AW377" t="inlineStr">
        <is>
          <t>Barro Blanco 220</t>
        </is>
      </c>
      <c r="AX377" t="n">
        <v>111.133</v>
      </c>
      <c r="AY377" t="n">
        <v>1.080821157758461</v>
      </c>
      <c r="AZ377" t="n">
        <v>120.1148977251711</v>
      </c>
      <c r="BA377" t="n">
        <v>779.3099999999999</v>
      </c>
      <c r="BB377" t="n">
        <v>0.879</v>
      </c>
      <c r="BC377" t="n">
        <v>82.2803252917125</v>
      </c>
      <c r="BD377" t="n">
        <v>0.846</v>
      </c>
      <c r="BE377" t="n">
        <v>69.60899999999999</v>
      </c>
      <c r="BF377" t="n">
        <v>8.9176</v>
      </c>
      <c r="BG377" t="n">
        <v>0.804</v>
      </c>
      <c r="BH377" t="n">
        <v>6039.043023599974</v>
      </c>
      <c r="BI377" t="n">
        <v>1.011820868379177</v>
      </c>
      <c r="BJ377" t="n">
        <v>6110.4298</v>
      </c>
      <c r="BK377" t="n">
        <v>50525.073756381</v>
      </c>
    </row>
    <row r="378">
      <c r="A378" t="n">
        <v>3831</v>
      </c>
      <c r="B378" t="inlineStr">
        <is>
          <t>01-11-2020</t>
        </is>
      </c>
      <c r="C378" t="n">
        <v>2020</v>
      </c>
      <c r="D378" t="n">
        <v>1</v>
      </c>
      <c r="E378" t="inlineStr">
        <is>
          <t>CAREN</t>
        </is>
      </c>
      <c r="F378" t="inlineStr">
        <is>
          <t>SUM_SAESA_A</t>
        </is>
      </c>
      <c r="G378" t="inlineStr">
        <is>
          <t>A</t>
        </is>
      </c>
      <c r="H378" t="inlineStr">
        <is>
          <t>SAESA</t>
        </is>
      </c>
      <c r="I378" t="inlineStr">
        <is>
          <t>SAESBBLABLOQA</t>
        </is>
      </c>
      <c r="J378" t="inlineStr">
        <is>
          <t>B.BLANCO</t>
        </is>
      </c>
      <c r="K378" t="n">
        <v>-4235.88582281</v>
      </c>
      <c r="L378" t="inlineStr">
        <is>
          <t>BARRO BLANCO</t>
        </is>
      </c>
      <c r="M378" t="inlineStr">
        <is>
          <t>MELIPULLI</t>
        </is>
      </c>
      <c r="N378" t="n">
        <v>0.0564855654883</v>
      </c>
      <c r="O378" t="n">
        <v>239.266406</v>
      </c>
      <c r="P378" t="inlineStr">
        <is>
          <t>BS1A</t>
        </is>
      </c>
      <c r="Q378" t="n">
        <v>2</v>
      </c>
      <c r="V378" t="n">
        <v>1472834.063</v>
      </c>
      <c r="W378" t="n">
        <v>2</v>
      </c>
      <c r="X378" t="n">
        <v>8.487e-08</v>
      </c>
      <c r="Y378" t="n">
        <v>0.249999</v>
      </c>
      <c r="Z378" t="n">
        <v>59.816362</v>
      </c>
      <c r="AA378" t="inlineStr">
        <is>
          <t>PNP_6T_08-05-2020</t>
        </is>
      </c>
      <c r="AB378" t="inlineStr">
        <is>
          <t>PNCP_9T_12-08-2019</t>
        </is>
      </c>
      <c r="AC378" t="inlineStr">
        <is>
          <t>PNCP_4T_30-04-2013</t>
        </is>
      </c>
      <c r="AD378" t="inlineStr">
        <is>
          <t>MELIPULLI 220</t>
        </is>
      </c>
      <c r="AE378" t="n">
        <v>111.133</v>
      </c>
      <c r="AF378" t="n">
        <v>1.072776031070834</v>
      </c>
      <c r="AG378" t="n">
        <v>119.220818660995</v>
      </c>
      <c r="AH378" t="n">
        <v>694.38</v>
      </c>
      <c r="AI378" t="n">
        <v>0.875</v>
      </c>
      <c r="AJ378" t="n">
        <v>72.43648305409401</v>
      </c>
      <c r="AK378" t="n">
        <v>0.8826000000000001</v>
      </c>
      <c r="AL378" t="n">
        <v>63.932</v>
      </c>
      <c r="AM378" t="n">
        <v>8.9176</v>
      </c>
      <c r="AN378" t="n">
        <v>9.566587534677272</v>
      </c>
      <c r="AO378" t="n">
        <v>0.913</v>
      </c>
      <c r="AP378" t="n">
        <v>6064.919358776563</v>
      </c>
      <c r="AQ378" t="n">
        <v>1</v>
      </c>
      <c r="AR378" t="n">
        <v>6064.9194</v>
      </c>
      <c r="AS378" t="n">
        <v>3824.179655384</v>
      </c>
      <c r="AT378" t="inlineStr">
        <is>
          <t>PNP_16T_02-11-2020</t>
        </is>
      </c>
      <c r="AU378" t="inlineStr">
        <is>
          <t>PNCP_2T_10-02-2020</t>
        </is>
      </c>
      <c r="AV378" t="inlineStr">
        <is>
          <t>PNCP_4T_30-04-2013</t>
        </is>
      </c>
      <c r="AW378" t="inlineStr">
        <is>
          <t>MELIPULLI 220</t>
        </is>
      </c>
      <c r="AX378" t="n">
        <v>111.133</v>
      </c>
      <c r="AY378" t="n">
        <v>1.080821157758461</v>
      </c>
      <c r="AZ378" t="n">
        <v>120.1148977251711</v>
      </c>
      <c r="BA378" t="n">
        <v>779.3099999999999</v>
      </c>
      <c r="BB378" t="n">
        <v>0.879</v>
      </c>
      <c r="BC378" t="n">
        <v>82.2803252917125</v>
      </c>
      <c r="BD378" t="n">
        <v>0.8421</v>
      </c>
      <c r="BE378" t="n">
        <v>69.288</v>
      </c>
      <c r="BF378" t="n">
        <v>8.9176</v>
      </c>
      <c r="BG378" t="n">
        <v>0.804</v>
      </c>
      <c r="BH378" t="n">
        <v>6039.043023599974</v>
      </c>
      <c r="BI378" t="n">
        <v>1</v>
      </c>
      <c r="BJ378" t="n">
        <v>6039.043</v>
      </c>
      <c r="BK378" t="n">
        <v>4144.556090256</v>
      </c>
    </row>
    <row r="379">
      <c r="A379" t="n">
        <v>3833</v>
      </c>
      <c r="B379" t="inlineStr">
        <is>
          <t>01-11-2020</t>
        </is>
      </c>
      <c r="C379" t="n">
        <v>2020</v>
      </c>
      <c r="D379" t="n">
        <v>1</v>
      </c>
      <c r="E379" t="inlineStr">
        <is>
          <t>CAREN</t>
        </is>
      </c>
      <c r="F379" t="inlineStr">
        <is>
          <t>SUM_SAESA_A</t>
        </is>
      </c>
      <c r="G379" t="inlineStr">
        <is>
          <t>A</t>
        </is>
      </c>
      <c r="H379" t="inlineStr">
        <is>
          <t>SAESA</t>
        </is>
      </c>
      <c r="I379" t="inlineStr">
        <is>
          <t>SAESBBLABLOQA</t>
        </is>
      </c>
      <c r="J379" t="inlineStr">
        <is>
          <t>B.BLANCO</t>
        </is>
      </c>
      <c r="K379" t="n">
        <v>-4235.88582281</v>
      </c>
      <c r="L379" t="inlineStr">
        <is>
          <t>BARRO BLANCO</t>
        </is>
      </c>
      <c r="M379" t="inlineStr">
        <is>
          <t>VALDIVIA</t>
        </is>
      </c>
      <c r="N379" t="n">
        <v>0.21815833770618</v>
      </c>
      <c r="O379" t="n">
        <v>924.09381</v>
      </c>
      <c r="P379" t="inlineStr">
        <is>
          <t>BS1A</t>
        </is>
      </c>
      <c r="Q379" t="n">
        <v>2</v>
      </c>
      <c r="V379" t="n">
        <v>1472834.063</v>
      </c>
      <c r="W379" t="n">
        <v>2</v>
      </c>
      <c r="X379" t="n">
        <v>8.487e-08</v>
      </c>
      <c r="Y379" t="n">
        <v>0.249999</v>
      </c>
      <c r="Z379" t="n">
        <v>231.022528</v>
      </c>
      <c r="AA379" t="inlineStr">
        <is>
          <t>PNP_6T_08-05-2020</t>
        </is>
      </c>
      <c r="AB379" t="inlineStr">
        <is>
          <t>PNCP_9T_12-08-2019</t>
        </is>
      </c>
      <c r="AC379" t="inlineStr">
        <is>
          <t>PNCP_4T_30-04-2013</t>
        </is>
      </c>
      <c r="AD379" t="inlineStr">
        <is>
          <t>VALDIVIA 220</t>
        </is>
      </c>
      <c r="AE379" t="n">
        <v>111.133</v>
      </c>
      <c r="AF379" t="n">
        <v>1.072776031070834</v>
      </c>
      <c r="AG379" t="n">
        <v>119.220818660995</v>
      </c>
      <c r="AH379" t="n">
        <v>694.38</v>
      </c>
      <c r="AI379" t="n">
        <v>0.875</v>
      </c>
      <c r="AJ379" t="n">
        <v>72.43648305409401</v>
      </c>
      <c r="AK379" t="n">
        <v>0.913</v>
      </c>
      <c r="AL379" t="n">
        <v>66.13500000000001</v>
      </c>
      <c r="AM379" t="n">
        <v>8.9176</v>
      </c>
      <c r="AN379" t="n">
        <v>9.566587534677272</v>
      </c>
      <c r="AO379" t="n">
        <v>0.913</v>
      </c>
      <c r="AP379" t="n">
        <v>6064.919358776563</v>
      </c>
      <c r="AQ379" t="n">
        <v>1.051287819142954</v>
      </c>
      <c r="AR379" t="n">
        <v>6375.9758</v>
      </c>
      <c r="AS379" t="n">
        <v>15278.67488928</v>
      </c>
      <c r="AT379" t="inlineStr">
        <is>
          <t>PNP_16T_02-11-2020</t>
        </is>
      </c>
      <c r="AU379" t="inlineStr">
        <is>
          <t>PNCP_2T_10-02-2020</t>
        </is>
      </c>
      <c r="AV379" t="inlineStr">
        <is>
          <t>PNCP_4T_30-04-2013</t>
        </is>
      </c>
      <c r="AW379" t="inlineStr">
        <is>
          <t>VALDIVIA 220</t>
        </is>
      </c>
      <c r="AX379" t="n">
        <v>111.133</v>
      </c>
      <c r="AY379" t="n">
        <v>1.080821157758461</v>
      </c>
      <c r="AZ379" t="n">
        <v>120.1148977251711</v>
      </c>
      <c r="BA379" t="n">
        <v>779.3099999999999</v>
      </c>
      <c r="BB379" t="n">
        <v>0.879</v>
      </c>
      <c r="BC379" t="n">
        <v>82.2803252917125</v>
      </c>
      <c r="BD379" t="n">
        <v>0.9167</v>
      </c>
      <c r="BE379" t="n">
        <v>75.426</v>
      </c>
      <c r="BF379" t="n">
        <v>8.9176</v>
      </c>
      <c r="BG379" t="n">
        <v>0.804</v>
      </c>
      <c r="BH379" t="n">
        <v>6039.043023599974</v>
      </c>
      <c r="BI379" t="n">
        <v>1.096052187605444</v>
      </c>
      <c r="BJ379" t="n">
        <v>6619.1063</v>
      </c>
      <c r="BK379" t="n">
        <v>17425.105196928</v>
      </c>
    </row>
    <row r="380">
      <c r="A380" t="n">
        <v>1897</v>
      </c>
      <c r="B380" t="inlineStr">
        <is>
          <t>01-11-2020</t>
        </is>
      </c>
      <c r="C380" t="n">
        <v>2020</v>
      </c>
      <c r="D380" t="n">
        <v>1</v>
      </c>
      <c r="E380" t="inlineStr">
        <is>
          <t>CAREN</t>
        </is>
      </c>
      <c r="F380" t="inlineStr">
        <is>
          <t>SUM_SAESA_A</t>
        </is>
      </c>
      <c r="G380" t="inlineStr">
        <is>
          <t>A</t>
        </is>
      </c>
      <c r="H380" t="inlineStr">
        <is>
          <t>SAESA</t>
        </is>
      </c>
      <c r="I380" t="inlineStr">
        <is>
          <t>SAESCALBBLOQA</t>
        </is>
      </c>
      <c r="J380" t="inlineStr">
        <is>
          <t>CALBUCO</t>
        </is>
      </c>
      <c r="K380" t="n">
        <v>-3023.5905473</v>
      </c>
      <c r="L380" t="inlineStr">
        <is>
          <t>CALBUCO</t>
        </is>
      </c>
      <c r="M380" t="inlineStr">
        <is>
          <t>MELIPULLI</t>
        </is>
      </c>
      <c r="N380" t="n">
        <v>0.79695127981308</v>
      </c>
      <c r="O380" t="n">
        <v>2409.654356</v>
      </c>
      <c r="P380" t="inlineStr">
        <is>
          <t>BS1A</t>
        </is>
      </c>
      <c r="Q380" t="n">
        <v>2</v>
      </c>
      <c r="V380" t="n">
        <v>1472834.063</v>
      </c>
      <c r="W380" t="n">
        <v>2</v>
      </c>
      <c r="X380" t="n">
        <v>8.487e-08</v>
      </c>
      <c r="Y380" t="n">
        <v>0.249999</v>
      </c>
      <c r="Z380" t="n">
        <v>602.4111789999999</v>
      </c>
      <c r="AA380" t="inlineStr">
        <is>
          <t>PNP_6T_08-05-2020</t>
        </is>
      </c>
      <c r="AB380" t="inlineStr">
        <is>
          <t>PNCP_9T_12-08-2019</t>
        </is>
      </c>
      <c r="AC380" t="inlineStr">
        <is>
          <t>PNCP_4T_30-04-2013</t>
        </is>
      </c>
      <c r="AD380" t="inlineStr">
        <is>
          <t>MELIPULLI 220</t>
        </is>
      </c>
      <c r="AE380" t="n">
        <v>111.133</v>
      </c>
      <c r="AF380" t="n">
        <v>1.072776031070834</v>
      </c>
      <c r="AG380" t="n">
        <v>119.220818660995</v>
      </c>
      <c r="AH380" t="n">
        <v>694.38</v>
      </c>
      <c r="AI380" t="n">
        <v>0.875</v>
      </c>
      <c r="AJ380" t="n">
        <v>72.43648305409401</v>
      </c>
      <c r="AK380" t="n">
        <v>0.8826000000000001</v>
      </c>
      <c r="AL380" t="n">
        <v>63.932</v>
      </c>
      <c r="AM380" t="n">
        <v>8.9176</v>
      </c>
      <c r="AN380" t="n">
        <v>9.566587534677272</v>
      </c>
      <c r="AO380" t="n">
        <v>0.913</v>
      </c>
      <c r="AP380" t="n">
        <v>6064.919358776563</v>
      </c>
      <c r="AQ380" t="n">
        <v>1</v>
      </c>
      <c r="AR380" t="n">
        <v>6064.9194</v>
      </c>
      <c r="AS380" t="n">
        <v>38513.351495828</v>
      </c>
      <c r="AT380" t="inlineStr">
        <is>
          <t>PNP_16T_02-11-2020</t>
        </is>
      </c>
      <c r="AU380" t="inlineStr">
        <is>
          <t>PNCP_2T_10-02-2020</t>
        </is>
      </c>
      <c r="AV380" t="inlineStr">
        <is>
          <t>PNCP_4T_30-04-2013</t>
        </is>
      </c>
      <c r="AW380" t="inlineStr">
        <is>
          <t>MELIPULLI 220</t>
        </is>
      </c>
      <c r="AX380" t="n">
        <v>111.133</v>
      </c>
      <c r="AY380" t="n">
        <v>1.080821157758461</v>
      </c>
      <c r="AZ380" t="n">
        <v>120.1148977251711</v>
      </c>
      <c r="BA380" t="n">
        <v>779.3099999999999</v>
      </c>
      <c r="BB380" t="n">
        <v>0.879</v>
      </c>
      <c r="BC380" t="n">
        <v>82.2803252917125</v>
      </c>
      <c r="BD380" t="n">
        <v>0.8421</v>
      </c>
      <c r="BE380" t="n">
        <v>69.288</v>
      </c>
      <c r="BF380" t="n">
        <v>8.9176</v>
      </c>
      <c r="BG380" t="n">
        <v>0.804</v>
      </c>
      <c r="BH380" t="n">
        <v>6039.043023599974</v>
      </c>
      <c r="BI380" t="n">
        <v>1</v>
      </c>
      <c r="BJ380" t="n">
        <v>6039.043</v>
      </c>
      <c r="BK380" t="n">
        <v>41739.86577055199</v>
      </c>
    </row>
    <row r="381">
      <c r="A381" t="n">
        <v>1899</v>
      </c>
      <c r="B381" t="inlineStr">
        <is>
          <t>01-11-2020</t>
        </is>
      </c>
      <c r="C381" t="n">
        <v>2020</v>
      </c>
      <c r="D381" t="n">
        <v>1</v>
      </c>
      <c r="E381" t="inlineStr">
        <is>
          <t>CAREN</t>
        </is>
      </c>
      <c r="F381" t="inlineStr">
        <is>
          <t>SUM_SAESA_A</t>
        </is>
      </c>
      <c r="G381" t="inlineStr">
        <is>
          <t>A</t>
        </is>
      </c>
      <c r="H381" t="inlineStr">
        <is>
          <t>SAESA</t>
        </is>
      </c>
      <c r="I381" t="inlineStr">
        <is>
          <t>SAESCALBBLOQA</t>
        </is>
      </c>
      <c r="J381" t="inlineStr">
        <is>
          <t>CALBUCO</t>
        </is>
      </c>
      <c r="K381" t="n">
        <v>-3023.5905473</v>
      </c>
      <c r="L381" t="inlineStr">
        <is>
          <t>CALBUCO</t>
        </is>
      </c>
      <c r="M381" t="inlineStr">
        <is>
          <t>Puerto Montt</t>
        </is>
      </c>
      <c r="N381" t="n">
        <v>0.94243617275731</v>
      </c>
      <c r="O381" t="n">
        <v>2849.541103</v>
      </c>
      <c r="P381" t="inlineStr">
        <is>
          <t>BS1A</t>
        </is>
      </c>
      <c r="Q381" t="n">
        <v>2</v>
      </c>
      <c r="V381" t="n">
        <v>1472834.063</v>
      </c>
      <c r="W381" t="n">
        <v>2</v>
      </c>
      <c r="X381" t="n">
        <v>8.487e-08</v>
      </c>
      <c r="Y381" t="n">
        <v>0.249999</v>
      </c>
      <c r="Z381" t="n">
        <v>712.382426</v>
      </c>
      <c r="AA381" t="inlineStr">
        <is>
          <t>PNP_6T_08-05-2020</t>
        </is>
      </c>
      <c r="AB381" t="inlineStr">
        <is>
          <t>PNCP_9T_12-08-2019</t>
        </is>
      </c>
      <c r="AC381" t="inlineStr">
        <is>
          <t>PNCP_4T_30-04-2013</t>
        </is>
      </c>
      <c r="AD381" t="inlineStr">
        <is>
          <t>PUERTO MONTT 220</t>
        </is>
      </c>
      <c r="AE381" t="n">
        <v>111.133</v>
      </c>
      <c r="AF381" t="n">
        <v>1.072776031070834</v>
      </c>
      <c r="AG381" t="n">
        <v>119.220818660995</v>
      </c>
      <c r="AH381" t="n">
        <v>694.38</v>
      </c>
      <c r="AI381" t="n">
        <v>0.875</v>
      </c>
      <c r="AJ381" t="n">
        <v>72.43648305409401</v>
      </c>
      <c r="AK381" t="n">
        <v>0.8826000000000001</v>
      </c>
      <c r="AL381" t="n">
        <v>63.932</v>
      </c>
      <c r="AM381" t="n">
        <v>8.9176</v>
      </c>
      <c r="AN381" t="n">
        <v>9.566587534677272</v>
      </c>
      <c r="AO381" t="n">
        <v>0.913</v>
      </c>
      <c r="AP381" t="n">
        <v>6064.919358776563</v>
      </c>
      <c r="AQ381" t="n">
        <v>1.016858412119831</v>
      </c>
      <c r="AR381" t="n">
        <v>6167.1643</v>
      </c>
      <c r="AS381" t="n">
        <v>45544.033259032</v>
      </c>
      <c r="AT381" t="inlineStr">
        <is>
          <t>PNP_16T_02-11-2020</t>
        </is>
      </c>
      <c r="AU381" t="inlineStr">
        <is>
          <t>PNCP_2T_10-02-2020</t>
        </is>
      </c>
      <c r="AV381" t="inlineStr">
        <is>
          <t>PNCP_4T_30-04-2013</t>
        </is>
      </c>
      <c r="AW381" t="inlineStr">
        <is>
          <t>PUERTO MONTT 220</t>
        </is>
      </c>
      <c r="AX381" t="n">
        <v>111.133</v>
      </c>
      <c r="AY381" t="n">
        <v>1.080821157758461</v>
      </c>
      <c r="AZ381" t="n">
        <v>120.1148977251711</v>
      </c>
      <c r="BA381" t="n">
        <v>779.3099999999999</v>
      </c>
      <c r="BB381" t="n">
        <v>0.879</v>
      </c>
      <c r="BC381" t="n">
        <v>82.2803252917125</v>
      </c>
      <c r="BD381" t="n">
        <v>0.8421</v>
      </c>
      <c r="BE381" t="n">
        <v>69.288</v>
      </c>
      <c r="BF381" t="n">
        <v>8.9176</v>
      </c>
      <c r="BG381" t="n">
        <v>0.804</v>
      </c>
      <c r="BH381" t="n">
        <v>6039.043023599974</v>
      </c>
      <c r="BI381" t="n">
        <v>1.02699624102973</v>
      </c>
      <c r="BJ381" t="n">
        <v>6202.0745</v>
      </c>
      <c r="BK381" t="n">
        <v>49359.553532688</v>
      </c>
    </row>
    <row r="382">
      <c r="A382" t="n">
        <v>1901</v>
      </c>
      <c r="B382" t="inlineStr">
        <is>
          <t>01-11-2020</t>
        </is>
      </c>
      <c r="C382" t="n">
        <v>2020</v>
      </c>
      <c r="D382" t="n">
        <v>1</v>
      </c>
      <c r="E382" t="inlineStr">
        <is>
          <t>CAREN</t>
        </is>
      </c>
      <c r="F382" t="inlineStr">
        <is>
          <t>SUM_SAESA_A</t>
        </is>
      </c>
      <c r="G382" t="inlineStr">
        <is>
          <t>A</t>
        </is>
      </c>
      <c r="H382" t="inlineStr">
        <is>
          <t>SAESA</t>
        </is>
      </c>
      <c r="I382" t="inlineStr">
        <is>
          <t>SAESCALBBLOQA</t>
        </is>
      </c>
      <c r="J382" t="inlineStr">
        <is>
          <t>CALBUCO</t>
        </is>
      </c>
      <c r="K382" t="n">
        <v>-3023.5905473</v>
      </c>
      <c r="L382" t="inlineStr">
        <is>
          <t>CALBUCO</t>
        </is>
      </c>
      <c r="M382" t="inlineStr">
        <is>
          <t>VALDIVIA</t>
        </is>
      </c>
      <c r="N382" t="n">
        <v>7.167390938e-05</v>
      </c>
      <c r="O382" t="n">
        <v>0.216713</v>
      </c>
      <c r="P382" t="inlineStr">
        <is>
          <t>BS1A</t>
        </is>
      </c>
      <c r="Q382" t="n">
        <v>2</v>
      </c>
      <c r="V382" t="n">
        <v>1472834.063</v>
      </c>
      <c r="W382" t="n">
        <v>2</v>
      </c>
      <c r="X382" t="n">
        <v>8.487e-08</v>
      </c>
      <c r="Y382" t="n">
        <v>0.249999</v>
      </c>
      <c r="Z382" t="n">
        <v>0.054178</v>
      </c>
      <c r="AA382" t="inlineStr">
        <is>
          <t>PNP_6T_08-05-2020</t>
        </is>
      </c>
      <c r="AB382" t="inlineStr">
        <is>
          <t>PNCP_9T_12-08-2019</t>
        </is>
      </c>
      <c r="AC382" t="inlineStr">
        <is>
          <t>PNCP_4T_30-04-2013</t>
        </is>
      </c>
      <c r="AD382" t="inlineStr">
        <is>
          <t>VALDIVIA 220</t>
        </is>
      </c>
      <c r="AE382" t="n">
        <v>111.133</v>
      </c>
      <c r="AF382" t="n">
        <v>1.072776031070834</v>
      </c>
      <c r="AG382" t="n">
        <v>119.220818660995</v>
      </c>
      <c r="AH382" t="n">
        <v>694.38</v>
      </c>
      <c r="AI382" t="n">
        <v>0.875</v>
      </c>
      <c r="AJ382" t="n">
        <v>72.43648305409401</v>
      </c>
      <c r="AK382" t="n">
        <v>0.913</v>
      </c>
      <c r="AL382" t="n">
        <v>66.13500000000001</v>
      </c>
      <c r="AM382" t="n">
        <v>8.9176</v>
      </c>
      <c r="AN382" t="n">
        <v>9.566587534677272</v>
      </c>
      <c r="AO382" t="n">
        <v>0.913</v>
      </c>
      <c r="AP382" t="n">
        <v>6064.919358776563</v>
      </c>
      <c r="AQ382" t="n">
        <v>1.051287819142954</v>
      </c>
      <c r="AR382" t="n">
        <v>6375.9758</v>
      </c>
      <c r="AS382" t="n">
        <v>3.58306203</v>
      </c>
      <c r="AT382" t="inlineStr">
        <is>
          <t>PNP_16T_02-11-2020</t>
        </is>
      </c>
      <c r="AU382" t="inlineStr">
        <is>
          <t>PNCP_2T_10-02-2020</t>
        </is>
      </c>
      <c r="AV382" t="inlineStr">
        <is>
          <t>PNCP_4T_30-04-2013</t>
        </is>
      </c>
      <c r="AW382" t="inlineStr">
        <is>
          <t>VALDIVIA 220</t>
        </is>
      </c>
      <c r="AX382" t="n">
        <v>111.133</v>
      </c>
      <c r="AY382" t="n">
        <v>1.080821157758461</v>
      </c>
      <c r="AZ382" t="n">
        <v>120.1148977251711</v>
      </c>
      <c r="BA382" t="n">
        <v>779.3099999999999</v>
      </c>
      <c r="BB382" t="n">
        <v>0.879</v>
      </c>
      <c r="BC382" t="n">
        <v>82.2803252917125</v>
      </c>
      <c r="BD382" t="n">
        <v>0.9167</v>
      </c>
      <c r="BE382" t="n">
        <v>75.426</v>
      </c>
      <c r="BF382" t="n">
        <v>8.9176</v>
      </c>
      <c r="BG382" t="n">
        <v>0.804</v>
      </c>
      <c r="BH382" t="n">
        <v>6039.043023599974</v>
      </c>
      <c r="BI382" t="n">
        <v>1.096052187605444</v>
      </c>
      <c r="BJ382" t="n">
        <v>6619.1063</v>
      </c>
      <c r="BK382" t="n">
        <v>4.086429828</v>
      </c>
    </row>
    <row r="383">
      <c r="A383" t="n">
        <v>1265</v>
      </c>
      <c r="B383" t="inlineStr">
        <is>
          <t>01-11-2020</t>
        </is>
      </c>
      <c r="C383" t="n">
        <v>2020</v>
      </c>
      <c r="D383" t="n">
        <v>1</v>
      </c>
      <c r="E383" t="inlineStr">
        <is>
          <t>CAREN</t>
        </is>
      </c>
      <c r="F383" t="inlineStr">
        <is>
          <t>SUM_SAESA_A</t>
        </is>
      </c>
      <c r="G383" t="inlineStr">
        <is>
          <t>A</t>
        </is>
      </c>
      <c r="H383" t="inlineStr">
        <is>
          <t>SAESA</t>
        </is>
      </c>
      <c r="I383" t="inlineStr">
        <is>
          <t>SAESCASTBLOQA</t>
        </is>
      </c>
      <c r="J383" t="inlineStr">
        <is>
          <t>CASTRO</t>
        </is>
      </c>
      <c r="K383" t="n">
        <v>-5573.22421489</v>
      </c>
      <c r="L383" t="inlineStr">
        <is>
          <t>CASTRO</t>
        </is>
      </c>
      <c r="M383" t="inlineStr">
        <is>
          <t>CHILOE</t>
        </is>
      </c>
      <c r="N383" t="n">
        <v>0.79707666555766</v>
      </c>
      <c r="O383" t="n">
        <v>4442.286974</v>
      </c>
      <c r="P383" t="inlineStr">
        <is>
          <t>BS1A</t>
        </is>
      </c>
      <c r="Q383" t="n">
        <v>2</v>
      </c>
      <c r="V383" t="n">
        <v>1472834.063</v>
      </c>
      <c r="W383" t="n">
        <v>2</v>
      </c>
      <c r="X383" t="n">
        <v>8.487e-08</v>
      </c>
      <c r="Y383" t="n">
        <v>0.249999</v>
      </c>
      <c r="Z383" t="n">
        <v>1110.567301</v>
      </c>
      <c r="AA383" t="inlineStr">
        <is>
          <t>PNP_6T_08-05-2020</t>
        </is>
      </c>
      <c r="AB383" t="inlineStr">
        <is>
          <t>PNCP_9T_12-08-2019</t>
        </is>
      </c>
      <c r="AC383" t="inlineStr">
        <is>
          <t>PNCP_4T_30-04-2013</t>
        </is>
      </c>
      <c r="AD383" t="inlineStr">
        <is>
          <t>CHILOE 220</t>
        </is>
      </c>
      <c r="AE383" t="n">
        <v>111.133</v>
      </c>
      <c r="AF383" t="n">
        <v>1.072776031070834</v>
      </c>
      <c r="AG383" t="n">
        <v>119.220818660995</v>
      </c>
      <c r="AH383" t="n">
        <v>694.38</v>
      </c>
      <c r="AI383" t="n">
        <v>0.875</v>
      </c>
      <c r="AJ383" t="n">
        <v>72.43648305409401</v>
      </c>
      <c r="AK383" t="n">
        <v>0.8903</v>
      </c>
      <c r="AL383" t="n">
        <v>64.48999999999999</v>
      </c>
      <c r="AM383" t="n">
        <v>8.9176</v>
      </c>
      <c r="AN383" t="n">
        <v>9.566587534677272</v>
      </c>
      <c r="AO383" t="n">
        <v>0.913</v>
      </c>
      <c r="AP383" t="n">
        <v>6064.919358776563</v>
      </c>
      <c r="AQ383" t="n">
        <v>1</v>
      </c>
      <c r="AR383" t="n">
        <v>6064.9194</v>
      </c>
      <c r="AS383" t="n">
        <v>71620.48524148999</v>
      </c>
      <c r="AT383" t="inlineStr">
        <is>
          <t>PNP_16T_02-11-2020</t>
        </is>
      </c>
      <c r="AU383" t="inlineStr">
        <is>
          <t>PNCP_2T_10-02-2020</t>
        </is>
      </c>
      <c r="AV383" t="inlineStr">
        <is>
          <t>PNCP_4T_30-04-2013</t>
        </is>
      </c>
      <c r="AW383" t="inlineStr">
        <is>
          <t>CHILOE 220</t>
        </is>
      </c>
      <c r="AX383" t="n">
        <v>111.133</v>
      </c>
      <c r="AY383" t="n">
        <v>1.080821157758461</v>
      </c>
      <c r="AZ383" t="n">
        <v>120.1148977251711</v>
      </c>
      <c r="BA383" t="n">
        <v>779.3099999999999</v>
      </c>
      <c r="BB383" t="n">
        <v>0.879</v>
      </c>
      <c r="BC383" t="n">
        <v>82.2803252917125</v>
      </c>
      <c r="BD383" t="n">
        <v>0.8486</v>
      </c>
      <c r="BE383" t="n">
        <v>69.82299999999999</v>
      </c>
      <c r="BF383" t="n">
        <v>8.9176</v>
      </c>
      <c r="BG383" t="n">
        <v>0.804</v>
      </c>
      <c r="BH383" t="n">
        <v>6039.043023599974</v>
      </c>
      <c r="BI383" t="n">
        <v>1</v>
      </c>
      <c r="BJ383" t="n">
        <v>6039.043</v>
      </c>
      <c r="BK383" t="n">
        <v>77543.14065772299</v>
      </c>
    </row>
    <row r="384">
      <c r="A384" t="n">
        <v>1267</v>
      </c>
      <c r="B384" t="inlineStr">
        <is>
          <t>01-11-2020</t>
        </is>
      </c>
      <c r="C384" t="n">
        <v>2020</v>
      </c>
      <c r="D384" t="n">
        <v>1</v>
      </c>
      <c r="E384" t="inlineStr">
        <is>
          <t>CAREN</t>
        </is>
      </c>
      <c r="F384" t="inlineStr">
        <is>
          <t>SUM_SAESA_A</t>
        </is>
      </c>
      <c r="G384" t="inlineStr">
        <is>
          <t>A</t>
        </is>
      </c>
      <c r="H384" t="inlineStr">
        <is>
          <t>SAESA</t>
        </is>
      </c>
      <c r="I384" t="inlineStr">
        <is>
          <t>SAESCASTBLOQA</t>
        </is>
      </c>
      <c r="J384" t="inlineStr">
        <is>
          <t>CASTRO</t>
        </is>
      </c>
      <c r="K384" t="n">
        <v>-5573.22421489</v>
      </c>
      <c r="L384" t="inlineStr">
        <is>
          <t>CASTRO</t>
        </is>
      </c>
      <c r="M384" t="inlineStr">
        <is>
          <t>Puerto Montt</t>
        </is>
      </c>
      <c r="N384" t="n">
        <v>0.94383030910781</v>
      </c>
      <c r="O384" t="n">
        <v>5260.177933</v>
      </c>
      <c r="P384" t="inlineStr">
        <is>
          <t>BS1A</t>
        </is>
      </c>
      <c r="Q384" t="n">
        <v>2</v>
      </c>
      <c r="V384" t="n">
        <v>1472834.063</v>
      </c>
      <c r="W384" t="n">
        <v>2</v>
      </c>
      <c r="X384" t="n">
        <v>8.487e-08</v>
      </c>
      <c r="Y384" t="n">
        <v>0.249999</v>
      </c>
      <c r="Z384" t="n">
        <v>1315.039223</v>
      </c>
      <c r="AA384" t="inlineStr">
        <is>
          <t>PNP_6T_08-05-2020</t>
        </is>
      </c>
      <c r="AB384" t="inlineStr">
        <is>
          <t>PNCP_9T_12-08-2019</t>
        </is>
      </c>
      <c r="AC384" t="inlineStr">
        <is>
          <t>PNCP_4T_30-04-2013</t>
        </is>
      </c>
      <c r="AD384" t="inlineStr">
        <is>
          <t>PUERTO MONTT 220</t>
        </is>
      </c>
      <c r="AE384" t="n">
        <v>111.133</v>
      </c>
      <c r="AF384" t="n">
        <v>1.072776031070834</v>
      </c>
      <c r="AG384" t="n">
        <v>119.220818660995</v>
      </c>
      <c r="AH384" t="n">
        <v>694.38</v>
      </c>
      <c r="AI384" t="n">
        <v>0.875</v>
      </c>
      <c r="AJ384" t="n">
        <v>72.43648305409401</v>
      </c>
      <c r="AK384" t="n">
        <v>0.8826000000000001</v>
      </c>
      <c r="AL384" t="n">
        <v>63.932</v>
      </c>
      <c r="AM384" t="n">
        <v>8.9176</v>
      </c>
      <c r="AN384" t="n">
        <v>9.566587534677272</v>
      </c>
      <c r="AO384" t="n">
        <v>0.913</v>
      </c>
      <c r="AP384" t="n">
        <v>6064.919358776563</v>
      </c>
      <c r="AQ384" t="n">
        <v>1.016858412119831</v>
      </c>
      <c r="AR384" t="n">
        <v>6167.1643</v>
      </c>
      <c r="AS384" t="n">
        <v>84073.08760483601</v>
      </c>
      <c r="AT384" t="inlineStr">
        <is>
          <t>PNP_16T_02-11-2020</t>
        </is>
      </c>
      <c r="AU384" t="inlineStr">
        <is>
          <t>PNCP_2T_10-02-2020</t>
        </is>
      </c>
      <c r="AV384" t="inlineStr">
        <is>
          <t>PNCP_4T_30-04-2013</t>
        </is>
      </c>
      <c r="AW384" t="inlineStr">
        <is>
          <t>PUERTO MONTT 220</t>
        </is>
      </c>
      <c r="AX384" t="n">
        <v>111.133</v>
      </c>
      <c r="AY384" t="n">
        <v>1.080821157758461</v>
      </c>
      <c r="AZ384" t="n">
        <v>120.1148977251711</v>
      </c>
      <c r="BA384" t="n">
        <v>779.3099999999999</v>
      </c>
      <c r="BB384" t="n">
        <v>0.879</v>
      </c>
      <c r="BC384" t="n">
        <v>82.2803252917125</v>
      </c>
      <c r="BD384" t="n">
        <v>0.8421</v>
      </c>
      <c r="BE384" t="n">
        <v>69.288</v>
      </c>
      <c r="BF384" t="n">
        <v>8.9176</v>
      </c>
      <c r="BG384" t="n">
        <v>0.804</v>
      </c>
      <c r="BH384" t="n">
        <v>6039.043023599974</v>
      </c>
      <c r="BI384" t="n">
        <v>1.02699624102973</v>
      </c>
      <c r="BJ384" t="n">
        <v>6202.0745</v>
      </c>
      <c r="BK384" t="n">
        <v>91116.43768322399</v>
      </c>
    </row>
    <row r="385">
      <c r="A385" t="n">
        <v>315</v>
      </c>
      <c r="B385" t="inlineStr">
        <is>
          <t>01-11-2020</t>
        </is>
      </c>
      <c r="C385" t="n">
        <v>2020</v>
      </c>
      <c r="D385" t="n">
        <v>1</v>
      </c>
      <c r="E385" t="inlineStr">
        <is>
          <t>CAREN</t>
        </is>
      </c>
      <c r="F385" t="inlineStr">
        <is>
          <t>SUM_SAESA_A</t>
        </is>
      </c>
      <c r="G385" t="inlineStr">
        <is>
          <t>A</t>
        </is>
      </c>
      <c r="H385" t="inlineStr">
        <is>
          <t>SAESA</t>
        </is>
      </c>
      <c r="I385" t="inlineStr">
        <is>
          <t>SAESACHIRREBLOQA</t>
        </is>
      </c>
      <c r="J385" t="inlineStr">
        <is>
          <t>CHIRRE</t>
        </is>
      </c>
      <c r="K385" t="n">
        <v>-2937.8697267</v>
      </c>
      <c r="L385" t="inlineStr">
        <is>
          <t>CHIRRE 23</t>
        </is>
      </c>
      <c r="M385" t="inlineStr">
        <is>
          <t>BARRO BLANCO</t>
        </is>
      </c>
      <c r="N385" t="n">
        <v>0.90362399609009</v>
      </c>
      <c r="O385" t="n">
        <v>2654.729582</v>
      </c>
      <c r="P385" t="inlineStr">
        <is>
          <t>BS1A</t>
        </is>
      </c>
      <c r="Q385" t="n">
        <v>2</v>
      </c>
      <c r="V385" t="n">
        <v>1472834.063</v>
      </c>
      <c r="W385" t="n">
        <v>2</v>
      </c>
      <c r="X385" t="n">
        <v>8.487e-08</v>
      </c>
      <c r="Y385" t="n">
        <v>0.249999</v>
      </c>
      <c r="Z385" t="n">
        <v>663.679741</v>
      </c>
      <c r="AA385" t="inlineStr">
        <is>
          <t>PNP_6T_08-05-2020</t>
        </is>
      </c>
      <c r="AB385" t="inlineStr">
        <is>
          <t>PNCP_9T_12-08-2019</t>
        </is>
      </c>
      <c r="AC385" t="inlineStr">
        <is>
          <t>PNCP_4T_30-04-2013</t>
        </is>
      </c>
      <c r="AD385" t="inlineStr">
        <is>
          <t>Barro Blanco 220</t>
        </is>
      </c>
      <c r="AE385" t="n">
        <v>111.133</v>
      </c>
      <c r="AF385" t="n">
        <v>1.072776031070834</v>
      </c>
      <c r="AG385" t="n">
        <v>119.220818660995</v>
      </c>
      <c r="AH385" t="n">
        <v>694.38</v>
      </c>
      <c r="AI385" t="n">
        <v>0.875</v>
      </c>
      <c r="AJ385" t="n">
        <v>72.43648305409401</v>
      </c>
      <c r="AK385" t="n">
        <v>0.8631</v>
      </c>
      <c r="AL385" t="n">
        <v>62.52</v>
      </c>
      <c r="AM385" t="n">
        <v>8.9176</v>
      </c>
      <c r="AN385" t="n">
        <v>9.566587534677272</v>
      </c>
      <c r="AO385" t="n">
        <v>0.913</v>
      </c>
      <c r="AP385" t="n">
        <v>6064.919358776563</v>
      </c>
      <c r="AQ385" t="n">
        <v>1.004432825642191</v>
      </c>
      <c r="AR385" t="n">
        <v>6091.8041</v>
      </c>
      <c r="AS385" t="n">
        <v>41493.25740732</v>
      </c>
      <c r="AT385" t="inlineStr">
        <is>
          <t>PNP_16T_02-11-2020</t>
        </is>
      </c>
      <c r="AU385" t="inlineStr">
        <is>
          <t>PNCP_2T_10-02-2020</t>
        </is>
      </c>
      <c r="AV385" t="inlineStr">
        <is>
          <t>PNCP_4T_30-04-2013</t>
        </is>
      </c>
      <c r="AW385" t="inlineStr">
        <is>
          <t>Barro Blanco 220</t>
        </is>
      </c>
      <c r="AX385" t="n">
        <v>111.133</v>
      </c>
      <c r="AY385" t="n">
        <v>1.080821157758461</v>
      </c>
      <c r="AZ385" t="n">
        <v>120.1148977251711</v>
      </c>
      <c r="BA385" t="n">
        <v>779.3099999999999</v>
      </c>
      <c r="BB385" t="n">
        <v>0.879</v>
      </c>
      <c r="BC385" t="n">
        <v>82.2803252917125</v>
      </c>
      <c r="BD385" t="n">
        <v>0.846</v>
      </c>
      <c r="BE385" t="n">
        <v>69.60899999999999</v>
      </c>
      <c r="BF385" t="n">
        <v>8.9176</v>
      </c>
      <c r="BG385" t="n">
        <v>0.804</v>
      </c>
      <c r="BH385" t="n">
        <v>6039.043023599974</v>
      </c>
      <c r="BI385" t="n">
        <v>1.011820868379177</v>
      </c>
      <c r="BJ385" t="n">
        <v>6110.4298</v>
      </c>
      <c r="BK385" t="n">
        <v>46198.083091269</v>
      </c>
    </row>
    <row r="386">
      <c r="A386" t="n">
        <v>1265</v>
      </c>
      <c r="B386" t="inlineStr">
        <is>
          <t>01-11-2020</t>
        </is>
      </c>
      <c r="C386" t="n">
        <v>2020</v>
      </c>
      <c r="D386" t="n">
        <v>1</v>
      </c>
      <c r="E386" t="inlineStr">
        <is>
          <t>CAREN</t>
        </is>
      </c>
      <c r="F386" t="inlineStr">
        <is>
          <t>SUM_SAESA_A</t>
        </is>
      </c>
      <c r="G386" t="inlineStr">
        <is>
          <t>A</t>
        </is>
      </c>
      <c r="H386" t="inlineStr">
        <is>
          <t>SAESA</t>
        </is>
      </c>
      <c r="I386" t="inlineStr">
        <is>
          <t>SAESCHONBLOQA</t>
        </is>
      </c>
      <c r="J386" t="inlineStr">
        <is>
          <t>CHONCHI</t>
        </is>
      </c>
      <c r="K386" t="n">
        <v>-3677.00778128</v>
      </c>
      <c r="L386" t="inlineStr">
        <is>
          <t>CHONCHI</t>
        </is>
      </c>
      <c r="M386" t="inlineStr">
        <is>
          <t>CHILOE</t>
        </is>
      </c>
      <c r="N386" t="n">
        <v>0.79707666555781</v>
      </c>
      <c r="O386" t="n">
        <v>2930.857102</v>
      </c>
      <c r="P386" t="inlineStr">
        <is>
          <t>BS1A</t>
        </is>
      </c>
      <c r="Q386" t="n">
        <v>2</v>
      </c>
      <c r="V386" t="n">
        <v>1472834.063</v>
      </c>
      <c r="W386" t="n">
        <v>2</v>
      </c>
      <c r="X386" t="n">
        <v>8.487e-08</v>
      </c>
      <c r="Y386" t="n">
        <v>0.249999</v>
      </c>
      <c r="Z386" t="n">
        <v>732.7113450000001</v>
      </c>
      <c r="AA386" t="inlineStr">
        <is>
          <t>PNP_6T_08-05-2020</t>
        </is>
      </c>
      <c r="AB386" t="inlineStr">
        <is>
          <t>PNCP_9T_12-08-2019</t>
        </is>
      </c>
      <c r="AC386" t="inlineStr">
        <is>
          <t>PNCP_4T_30-04-2013</t>
        </is>
      </c>
      <c r="AD386" t="inlineStr">
        <is>
          <t>CHILOE 220</t>
        </is>
      </c>
      <c r="AE386" t="n">
        <v>111.133</v>
      </c>
      <c r="AF386" t="n">
        <v>1.072776031070834</v>
      </c>
      <c r="AG386" t="n">
        <v>119.220818660995</v>
      </c>
      <c r="AH386" t="n">
        <v>694.38</v>
      </c>
      <c r="AI386" t="n">
        <v>0.875</v>
      </c>
      <c r="AJ386" t="n">
        <v>72.43648305409401</v>
      </c>
      <c r="AK386" t="n">
        <v>0.8903</v>
      </c>
      <c r="AL386" t="n">
        <v>64.48999999999999</v>
      </c>
      <c r="AM386" t="n">
        <v>8.9176</v>
      </c>
      <c r="AN386" t="n">
        <v>9.566587534677272</v>
      </c>
      <c r="AO386" t="n">
        <v>0.913</v>
      </c>
      <c r="AP386" t="n">
        <v>6064.919358776563</v>
      </c>
      <c r="AQ386" t="n">
        <v>1</v>
      </c>
      <c r="AR386" t="n">
        <v>6064.9194</v>
      </c>
      <c r="AS386" t="n">
        <v>47252.55463905</v>
      </c>
      <c r="AT386" t="inlineStr">
        <is>
          <t>PNP_16T_02-11-2020</t>
        </is>
      </c>
      <c r="AU386" t="inlineStr">
        <is>
          <t>PNCP_2T_10-02-2020</t>
        </is>
      </c>
      <c r="AV386" t="inlineStr">
        <is>
          <t>PNCP_4T_30-04-2013</t>
        </is>
      </c>
      <c r="AW386" t="inlineStr">
        <is>
          <t>CHILOE 220</t>
        </is>
      </c>
      <c r="AX386" t="n">
        <v>111.133</v>
      </c>
      <c r="AY386" t="n">
        <v>1.080821157758461</v>
      </c>
      <c r="AZ386" t="n">
        <v>120.1148977251711</v>
      </c>
      <c r="BA386" t="n">
        <v>779.3099999999999</v>
      </c>
      <c r="BB386" t="n">
        <v>0.879</v>
      </c>
      <c r="BC386" t="n">
        <v>82.2803252917125</v>
      </c>
      <c r="BD386" t="n">
        <v>0.8486</v>
      </c>
      <c r="BE386" t="n">
        <v>69.82299999999999</v>
      </c>
      <c r="BF386" t="n">
        <v>8.9176</v>
      </c>
      <c r="BG386" t="n">
        <v>0.804</v>
      </c>
      <c r="BH386" t="n">
        <v>6039.043023599974</v>
      </c>
      <c r="BI386" t="n">
        <v>1</v>
      </c>
      <c r="BJ386" t="n">
        <v>6039.043</v>
      </c>
      <c r="BK386" t="n">
        <v>51160.104241935</v>
      </c>
    </row>
    <row r="387">
      <c r="A387" t="n">
        <v>1267</v>
      </c>
      <c r="B387" t="inlineStr">
        <is>
          <t>01-11-2020</t>
        </is>
      </c>
      <c r="C387" t="n">
        <v>2020</v>
      </c>
      <c r="D387" t="n">
        <v>1</v>
      </c>
      <c r="E387" t="inlineStr">
        <is>
          <t>CAREN</t>
        </is>
      </c>
      <c r="F387" t="inlineStr">
        <is>
          <t>SUM_SAESA_A</t>
        </is>
      </c>
      <c r="G387" t="inlineStr">
        <is>
          <t>A</t>
        </is>
      </c>
      <c r="H387" t="inlineStr">
        <is>
          <t>SAESA</t>
        </is>
      </c>
      <c r="I387" t="inlineStr">
        <is>
          <t>SAESCHONBLOQA</t>
        </is>
      </c>
      <c r="J387" t="inlineStr">
        <is>
          <t>CHONCHI</t>
        </is>
      </c>
      <c r="K387" t="n">
        <v>-3677.00778128</v>
      </c>
      <c r="L387" t="inlineStr">
        <is>
          <t>CHONCHI</t>
        </is>
      </c>
      <c r="M387" t="inlineStr">
        <is>
          <t>Puerto Montt</t>
        </is>
      </c>
      <c r="N387" t="n">
        <v>0.94243617275754</v>
      </c>
      <c r="O387" t="n">
        <v>3465.345141</v>
      </c>
      <c r="P387" t="inlineStr">
        <is>
          <t>BS1A</t>
        </is>
      </c>
      <c r="Q387" t="n">
        <v>2</v>
      </c>
      <c r="V387" t="n">
        <v>1472834.063</v>
      </c>
      <c r="W387" t="n">
        <v>2</v>
      </c>
      <c r="X387" t="n">
        <v>8.487e-08</v>
      </c>
      <c r="Y387" t="n">
        <v>0.249999</v>
      </c>
      <c r="Z387" t="n">
        <v>866.33282</v>
      </c>
      <c r="AA387" t="inlineStr">
        <is>
          <t>PNP_6T_08-05-2020</t>
        </is>
      </c>
      <c r="AB387" t="inlineStr">
        <is>
          <t>PNCP_9T_12-08-2019</t>
        </is>
      </c>
      <c r="AC387" t="inlineStr">
        <is>
          <t>PNCP_4T_30-04-2013</t>
        </is>
      </c>
      <c r="AD387" t="inlineStr">
        <is>
          <t>PUERTO MONTT 220</t>
        </is>
      </c>
      <c r="AE387" t="n">
        <v>111.133</v>
      </c>
      <c r="AF387" t="n">
        <v>1.072776031070834</v>
      </c>
      <c r="AG387" t="n">
        <v>119.220818660995</v>
      </c>
      <c r="AH387" t="n">
        <v>694.38</v>
      </c>
      <c r="AI387" t="n">
        <v>0.875</v>
      </c>
      <c r="AJ387" t="n">
        <v>72.43648305409401</v>
      </c>
      <c r="AK387" t="n">
        <v>0.8826000000000001</v>
      </c>
      <c r="AL387" t="n">
        <v>63.932</v>
      </c>
      <c r="AM387" t="n">
        <v>8.9176</v>
      </c>
      <c r="AN387" t="n">
        <v>9.566587534677272</v>
      </c>
      <c r="AO387" t="n">
        <v>0.913</v>
      </c>
      <c r="AP387" t="n">
        <v>6064.919358776563</v>
      </c>
      <c r="AQ387" t="n">
        <v>1.016858412119831</v>
      </c>
      <c r="AR387" t="n">
        <v>6167.1643</v>
      </c>
      <c r="AS387" t="n">
        <v>55386.38984824</v>
      </c>
      <c r="AT387" t="inlineStr">
        <is>
          <t>PNP_16T_02-11-2020</t>
        </is>
      </c>
      <c r="AU387" t="inlineStr">
        <is>
          <t>PNCP_2T_10-02-2020</t>
        </is>
      </c>
      <c r="AV387" t="inlineStr">
        <is>
          <t>PNCP_4T_30-04-2013</t>
        </is>
      </c>
      <c r="AW387" t="inlineStr">
        <is>
          <t>PUERTO MONTT 220</t>
        </is>
      </c>
      <c r="AX387" t="n">
        <v>111.133</v>
      </c>
      <c r="AY387" t="n">
        <v>1.080821157758461</v>
      </c>
      <c r="AZ387" t="n">
        <v>120.1148977251711</v>
      </c>
      <c r="BA387" t="n">
        <v>779.3099999999999</v>
      </c>
      <c r="BB387" t="n">
        <v>0.879</v>
      </c>
      <c r="BC387" t="n">
        <v>82.2803252917125</v>
      </c>
      <c r="BD387" t="n">
        <v>0.8421</v>
      </c>
      <c r="BE387" t="n">
        <v>69.288</v>
      </c>
      <c r="BF387" t="n">
        <v>8.9176</v>
      </c>
      <c r="BG387" t="n">
        <v>0.804</v>
      </c>
      <c r="BH387" t="n">
        <v>6039.043023599974</v>
      </c>
      <c r="BI387" t="n">
        <v>1.02699624102973</v>
      </c>
      <c r="BJ387" t="n">
        <v>6202.0745</v>
      </c>
      <c r="BK387" t="n">
        <v>60026.46843215999</v>
      </c>
    </row>
    <row r="388">
      <c r="A388" t="n">
        <v>1897</v>
      </c>
      <c r="B388" t="inlineStr">
        <is>
          <t>01-11-2020</t>
        </is>
      </c>
      <c r="C388" t="n">
        <v>2020</v>
      </c>
      <c r="D388" t="n">
        <v>1</v>
      </c>
      <c r="E388" t="inlineStr">
        <is>
          <t>CAREN</t>
        </is>
      </c>
      <c r="F388" t="inlineStr">
        <is>
          <t>SUM_SAESA_A</t>
        </is>
      </c>
      <c r="G388" t="inlineStr">
        <is>
          <t>A</t>
        </is>
      </c>
      <c r="H388" t="inlineStr">
        <is>
          <t>SAESA</t>
        </is>
      </c>
      <c r="I388" t="inlineStr">
        <is>
          <t>SAESCOLABLOQA</t>
        </is>
      </c>
      <c r="J388" t="inlineStr">
        <is>
          <t>COLACO</t>
        </is>
      </c>
      <c r="K388" t="n">
        <v>-3132.56652195</v>
      </c>
      <c r="L388" t="inlineStr">
        <is>
          <t>COLACO</t>
        </is>
      </c>
      <c r="M388" t="inlineStr">
        <is>
          <t>MELIPULLI</t>
        </is>
      </c>
      <c r="N388" t="n">
        <v>0.79699296539246</v>
      </c>
      <c r="O388" t="n">
        <v>2496.633482</v>
      </c>
      <c r="P388" t="inlineStr">
        <is>
          <t>BS1A</t>
        </is>
      </c>
      <c r="Q388" t="n">
        <v>2</v>
      </c>
      <c r="V388" t="n">
        <v>1472834.063</v>
      </c>
      <c r="W388" t="n">
        <v>2</v>
      </c>
      <c r="X388" t="n">
        <v>8.487e-08</v>
      </c>
      <c r="Y388" t="n">
        <v>0.249999</v>
      </c>
      <c r="Z388" t="n">
        <v>624.155874</v>
      </c>
      <c r="AA388" t="inlineStr">
        <is>
          <t>PNP_6T_08-05-2020</t>
        </is>
      </c>
      <c r="AB388" t="inlineStr">
        <is>
          <t>PNCP_9T_12-08-2019</t>
        </is>
      </c>
      <c r="AC388" t="inlineStr">
        <is>
          <t>PNCP_4T_30-04-2013</t>
        </is>
      </c>
      <c r="AD388" t="inlineStr">
        <is>
          <t>MELIPULLI 220</t>
        </is>
      </c>
      <c r="AE388" t="n">
        <v>111.133</v>
      </c>
      <c r="AF388" t="n">
        <v>1.072776031070834</v>
      </c>
      <c r="AG388" t="n">
        <v>119.220818660995</v>
      </c>
      <c r="AH388" t="n">
        <v>694.38</v>
      </c>
      <c r="AI388" t="n">
        <v>0.875</v>
      </c>
      <c r="AJ388" t="n">
        <v>72.43648305409401</v>
      </c>
      <c r="AK388" t="n">
        <v>0.8826000000000001</v>
      </c>
      <c r="AL388" t="n">
        <v>63.932</v>
      </c>
      <c r="AM388" t="n">
        <v>8.9176</v>
      </c>
      <c r="AN388" t="n">
        <v>9.566587534677272</v>
      </c>
      <c r="AO388" t="n">
        <v>0.913</v>
      </c>
      <c r="AP388" t="n">
        <v>6064.919358776563</v>
      </c>
      <c r="AQ388" t="n">
        <v>1</v>
      </c>
      <c r="AR388" t="n">
        <v>6064.9194</v>
      </c>
      <c r="AS388" t="n">
        <v>39903.53333656801</v>
      </c>
      <c r="AT388" t="inlineStr">
        <is>
          <t>PNP_16T_02-11-2020</t>
        </is>
      </c>
      <c r="AU388" t="inlineStr">
        <is>
          <t>PNCP_2T_10-02-2020</t>
        </is>
      </c>
      <c r="AV388" t="inlineStr">
        <is>
          <t>PNCP_4T_30-04-2013</t>
        </is>
      </c>
      <c r="AW388" t="inlineStr">
        <is>
          <t>MELIPULLI 220</t>
        </is>
      </c>
      <c r="AX388" t="n">
        <v>111.133</v>
      </c>
      <c r="AY388" t="n">
        <v>1.080821157758461</v>
      </c>
      <c r="AZ388" t="n">
        <v>120.1148977251711</v>
      </c>
      <c r="BA388" t="n">
        <v>779.3099999999999</v>
      </c>
      <c r="BB388" t="n">
        <v>0.879</v>
      </c>
      <c r="BC388" t="n">
        <v>82.2803252917125</v>
      </c>
      <c r="BD388" t="n">
        <v>0.8421</v>
      </c>
      <c r="BE388" t="n">
        <v>69.288</v>
      </c>
      <c r="BF388" t="n">
        <v>8.9176</v>
      </c>
      <c r="BG388" t="n">
        <v>0.804</v>
      </c>
      <c r="BH388" t="n">
        <v>6039.043023599974</v>
      </c>
      <c r="BI388" t="n">
        <v>1</v>
      </c>
      <c r="BJ388" t="n">
        <v>6039.043</v>
      </c>
      <c r="BK388" t="n">
        <v>43246.512197712</v>
      </c>
    </row>
    <row r="389">
      <c r="A389" t="n">
        <v>1899</v>
      </c>
      <c r="B389" t="inlineStr">
        <is>
          <t>01-11-2020</t>
        </is>
      </c>
      <c r="C389" t="n">
        <v>2020</v>
      </c>
      <c r="D389" t="n">
        <v>1</v>
      </c>
      <c r="E389" t="inlineStr">
        <is>
          <t>CAREN</t>
        </is>
      </c>
      <c r="F389" t="inlineStr">
        <is>
          <t>SUM_SAESA_A</t>
        </is>
      </c>
      <c r="G389" t="inlineStr">
        <is>
          <t>A</t>
        </is>
      </c>
      <c r="H389" t="inlineStr">
        <is>
          <t>SAESA</t>
        </is>
      </c>
      <c r="I389" t="inlineStr">
        <is>
          <t>SAESCOLABLOQA</t>
        </is>
      </c>
      <c r="J389" t="inlineStr">
        <is>
          <t>COLACO</t>
        </is>
      </c>
      <c r="K389" t="n">
        <v>-3132.56652195</v>
      </c>
      <c r="L389" t="inlineStr">
        <is>
          <t>COLACO</t>
        </is>
      </c>
      <c r="M389" t="inlineStr">
        <is>
          <t>Puerto Montt</t>
        </is>
      </c>
      <c r="N389" t="n">
        <v>0.94243617275741</v>
      </c>
      <c r="O389" t="n">
        <v>2952.244004</v>
      </c>
      <c r="P389" t="inlineStr">
        <is>
          <t>BS1A</t>
        </is>
      </c>
      <c r="Q389" t="n">
        <v>2</v>
      </c>
      <c r="V389" t="n">
        <v>1472834.063</v>
      </c>
      <c r="W389" t="n">
        <v>2</v>
      </c>
      <c r="X389" t="n">
        <v>8.487e-08</v>
      </c>
      <c r="Y389" t="n">
        <v>0.249999</v>
      </c>
      <c r="Z389" t="n">
        <v>738.058049</v>
      </c>
      <c r="AA389" t="inlineStr">
        <is>
          <t>PNP_6T_08-05-2020</t>
        </is>
      </c>
      <c r="AB389" t="inlineStr">
        <is>
          <t>PNCP_9T_12-08-2019</t>
        </is>
      </c>
      <c r="AC389" t="inlineStr">
        <is>
          <t>PNCP_4T_30-04-2013</t>
        </is>
      </c>
      <c r="AD389" t="inlineStr">
        <is>
          <t>PUERTO MONTT 220</t>
        </is>
      </c>
      <c r="AE389" t="n">
        <v>111.133</v>
      </c>
      <c r="AF389" t="n">
        <v>1.072776031070834</v>
      </c>
      <c r="AG389" t="n">
        <v>119.220818660995</v>
      </c>
      <c r="AH389" t="n">
        <v>694.38</v>
      </c>
      <c r="AI389" t="n">
        <v>0.875</v>
      </c>
      <c r="AJ389" t="n">
        <v>72.43648305409401</v>
      </c>
      <c r="AK389" t="n">
        <v>0.8826000000000001</v>
      </c>
      <c r="AL389" t="n">
        <v>63.932</v>
      </c>
      <c r="AM389" t="n">
        <v>8.9176</v>
      </c>
      <c r="AN389" t="n">
        <v>9.566587534677272</v>
      </c>
      <c r="AO389" t="n">
        <v>0.913</v>
      </c>
      <c r="AP389" t="n">
        <v>6064.919358776563</v>
      </c>
      <c r="AQ389" t="n">
        <v>1.016858412119831</v>
      </c>
      <c r="AR389" t="n">
        <v>6167.1643</v>
      </c>
      <c r="AS389" t="n">
        <v>47185.527188668</v>
      </c>
      <c r="AT389" t="inlineStr">
        <is>
          <t>PNP_16T_02-11-2020</t>
        </is>
      </c>
      <c r="AU389" t="inlineStr">
        <is>
          <t>PNCP_2T_10-02-2020</t>
        </is>
      </c>
      <c r="AV389" t="inlineStr">
        <is>
          <t>PNCP_4T_30-04-2013</t>
        </is>
      </c>
      <c r="AW389" t="inlineStr">
        <is>
          <t>PUERTO MONTT 220</t>
        </is>
      </c>
      <c r="AX389" t="n">
        <v>111.133</v>
      </c>
      <c r="AY389" t="n">
        <v>1.080821157758461</v>
      </c>
      <c r="AZ389" t="n">
        <v>120.1148977251711</v>
      </c>
      <c r="BA389" t="n">
        <v>779.3099999999999</v>
      </c>
      <c r="BB389" t="n">
        <v>0.879</v>
      </c>
      <c r="BC389" t="n">
        <v>82.2803252917125</v>
      </c>
      <c r="BD389" t="n">
        <v>0.8421</v>
      </c>
      <c r="BE389" t="n">
        <v>69.288</v>
      </c>
      <c r="BF389" t="n">
        <v>8.9176</v>
      </c>
      <c r="BG389" t="n">
        <v>0.804</v>
      </c>
      <c r="BH389" t="n">
        <v>6039.043023599974</v>
      </c>
      <c r="BI389" t="n">
        <v>1.02699624102973</v>
      </c>
      <c r="BJ389" t="n">
        <v>6202.0745</v>
      </c>
      <c r="BK389" t="n">
        <v>51138.56609911199</v>
      </c>
    </row>
    <row r="390">
      <c r="A390" t="n">
        <v>1901</v>
      </c>
      <c r="B390" t="inlineStr">
        <is>
          <t>01-11-2020</t>
        </is>
      </c>
      <c r="C390" t="n">
        <v>2020</v>
      </c>
      <c r="D390" t="n">
        <v>1</v>
      </c>
      <c r="E390" t="inlineStr">
        <is>
          <t>CAREN</t>
        </is>
      </c>
      <c r="F390" t="inlineStr">
        <is>
          <t>SUM_SAESA_A</t>
        </is>
      </c>
      <c r="G390" t="inlineStr">
        <is>
          <t>A</t>
        </is>
      </c>
      <c r="H390" t="inlineStr">
        <is>
          <t>SAESA</t>
        </is>
      </c>
      <c r="I390" t="inlineStr">
        <is>
          <t>SAESCOLABLOQA</t>
        </is>
      </c>
      <c r="J390" t="inlineStr">
        <is>
          <t>COLACO</t>
        </is>
      </c>
      <c r="K390" t="n">
        <v>-3132.56652195</v>
      </c>
      <c r="L390" t="inlineStr">
        <is>
          <t>COLACO</t>
        </is>
      </c>
      <c r="M390" t="inlineStr">
        <is>
          <t>VALDIVIA</t>
        </is>
      </c>
      <c r="N390" t="n">
        <v>4.787859128e-05</v>
      </c>
      <c r="O390" t="n">
        <v>0.149983</v>
      </c>
      <c r="P390" t="inlineStr">
        <is>
          <t>BS1A</t>
        </is>
      </c>
      <c r="Q390" t="n">
        <v>2</v>
      </c>
      <c r="V390" t="n">
        <v>1472834.063</v>
      </c>
      <c r="W390" t="n">
        <v>2</v>
      </c>
      <c r="X390" t="n">
        <v>8.487e-08</v>
      </c>
      <c r="Y390" t="n">
        <v>0.249999</v>
      </c>
      <c r="Z390" t="n">
        <v>0.037496</v>
      </c>
      <c r="AA390" t="inlineStr">
        <is>
          <t>PNP_6T_08-05-2020</t>
        </is>
      </c>
      <c r="AB390" t="inlineStr">
        <is>
          <t>PNCP_9T_12-08-2019</t>
        </is>
      </c>
      <c r="AC390" t="inlineStr">
        <is>
          <t>PNCP_4T_30-04-2013</t>
        </is>
      </c>
      <c r="AD390" t="inlineStr">
        <is>
          <t>VALDIVIA 220</t>
        </is>
      </c>
      <c r="AE390" t="n">
        <v>111.133</v>
      </c>
      <c r="AF390" t="n">
        <v>1.072776031070834</v>
      </c>
      <c r="AG390" t="n">
        <v>119.220818660995</v>
      </c>
      <c r="AH390" t="n">
        <v>694.38</v>
      </c>
      <c r="AI390" t="n">
        <v>0.875</v>
      </c>
      <c r="AJ390" t="n">
        <v>72.43648305409401</v>
      </c>
      <c r="AK390" t="n">
        <v>0.913</v>
      </c>
      <c r="AL390" t="n">
        <v>66.13500000000001</v>
      </c>
      <c r="AM390" t="n">
        <v>8.9176</v>
      </c>
      <c r="AN390" t="n">
        <v>9.566587534677272</v>
      </c>
      <c r="AO390" t="n">
        <v>0.913</v>
      </c>
      <c r="AP390" t="n">
        <v>6064.919358776563</v>
      </c>
      <c r="AQ390" t="n">
        <v>1.051287819142954</v>
      </c>
      <c r="AR390" t="n">
        <v>6375.9758</v>
      </c>
      <c r="AS390" t="n">
        <v>2.47979796</v>
      </c>
      <c r="AT390" t="inlineStr">
        <is>
          <t>PNP_16T_02-11-2020</t>
        </is>
      </c>
      <c r="AU390" t="inlineStr">
        <is>
          <t>PNCP_2T_10-02-2020</t>
        </is>
      </c>
      <c r="AV390" t="inlineStr">
        <is>
          <t>PNCP_4T_30-04-2013</t>
        </is>
      </c>
      <c r="AW390" t="inlineStr">
        <is>
          <t>VALDIVIA 220</t>
        </is>
      </c>
      <c r="AX390" t="n">
        <v>111.133</v>
      </c>
      <c r="AY390" t="n">
        <v>1.080821157758461</v>
      </c>
      <c r="AZ390" t="n">
        <v>120.1148977251711</v>
      </c>
      <c r="BA390" t="n">
        <v>779.3099999999999</v>
      </c>
      <c r="BB390" t="n">
        <v>0.879</v>
      </c>
      <c r="BC390" t="n">
        <v>82.2803252917125</v>
      </c>
      <c r="BD390" t="n">
        <v>0.9167</v>
      </c>
      <c r="BE390" t="n">
        <v>75.426</v>
      </c>
      <c r="BF390" t="n">
        <v>8.9176</v>
      </c>
      <c r="BG390" t="n">
        <v>0.804</v>
      </c>
      <c r="BH390" t="n">
        <v>6039.043023599974</v>
      </c>
      <c r="BI390" t="n">
        <v>1.096052187605444</v>
      </c>
      <c r="BJ390" t="n">
        <v>6619.1063</v>
      </c>
      <c r="BK390" t="n">
        <v>2.828173296</v>
      </c>
    </row>
    <row r="391">
      <c r="A391" t="n">
        <v>1897</v>
      </c>
      <c r="B391" t="inlineStr">
        <is>
          <t>01-11-2020</t>
        </is>
      </c>
      <c r="C391" t="n">
        <v>2020</v>
      </c>
      <c r="D391" t="n">
        <v>1</v>
      </c>
      <c r="E391" t="inlineStr">
        <is>
          <t>CAREN</t>
        </is>
      </c>
      <c r="F391" t="inlineStr">
        <is>
          <t>SUM_SAESA_A</t>
        </is>
      </c>
      <c r="G391" t="inlineStr">
        <is>
          <t>A</t>
        </is>
      </c>
      <c r="H391" t="inlineStr">
        <is>
          <t>SAESA</t>
        </is>
      </c>
      <c r="I391" t="inlineStr">
        <is>
          <t>SAESCORRBLOQA</t>
        </is>
      </c>
      <c r="J391" t="inlineStr">
        <is>
          <t>CORRAL</t>
        </is>
      </c>
      <c r="K391" t="n">
        <v>-961.10778898</v>
      </c>
      <c r="L391" t="inlineStr">
        <is>
          <t>CORRAL</t>
        </is>
      </c>
      <c r="M391" t="inlineStr">
        <is>
          <t>BARRO BLANCO</t>
        </is>
      </c>
      <c r="N391" t="n">
        <v>0.04422460710479</v>
      </c>
      <c r="O391" t="n">
        <v>42.504614</v>
      </c>
      <c r="P391" t="inlineStr">
        <is>
          <t>BS1A</t>
        </is>
      </c>
      <c r="Q391" t="n">
        <v>2</v>
      </c>
      <c r="V391" t="n">
        <v>1472834.063</v>
      </c>
      <c r="W391" t="n">
        <v>2</v>
      </c>
      <c r="X391" t="n">
        <v>8.487e-08</v>
      </c>
      <c r="Y391" t="n">
        <v>0.249999</v>
      </c>
      <c r="Z391" t="n">
        <v>10.626111</v>
      </c>
      <c r="AA391" t="inlineStr">
        <is>
          <t>PNP_6T_08-05-2020</t>
        </is>
      </c>
      <c r="AB391" t="inlineStr">
        <is>
          <t>PNCP_9T_12-08-2019</t>
        </is>
      </c>
      <c r="AC391" t="inlineStr">
        <is>
          <t>PNCP_4T_30-04-2013</t>
        </is>
      </c>
      <c r="AD391" t="inlineStr">
        <is>
          <t>Barro Blanco 220</t>
        </is>
      </c>
      <c r="AE391" t="n">
        <v>111.133</v>
      </c>
      <c r="AF391" t="n">
        <v>1.072776031070834</v>
      </c>
      <c r="AG391" t="n">
        <v>119.220818660995</v>
      </c>
      <c r="AH391" t="n">
        <v>694.38</v>
      </c>
      <c r="AI391" t="n">
        <v>0.875</v>
      </c>
      <c r="AJ391" t="n">
        <v>72.43648305409401</v>
      </c>
      <c r="AK391" t="n">
        <v>0.8631</v>
      </c>
      <c r="AL391" t="n">
        <v>62.52</v>
      </c>
      <c r="AM391" t="n">
        <v>8.9176</v>
      </c>
      <c r="AN391" t="n">
        <v>9.566587534677272</v>
      </c>
      <c r="AO391" t="n">
        <v>0.913</v>
      </c>
      <c r="AP391" t="n">
        <v>6064.919358776563</v>
      </c>
      <c r="AQ391" t="n">
        <v>1.004432825642191</v>
      </c>
      <c r="AR391" t="n">
        <v>6091.8041</v>
      </c>
      <c r="AS391" t="n">
        <v>664.34445972</v>
      </c>
      <c r="AT391" t="inlineStr">
        <is>
          <t>PNP_16T_02-11-2020</t>
        </is>
      </c>
      <c r="AU391" t="inlineStr">
        <is>
          <t>PNCP_2T_10-02-2020</t>
        </is>
      </c>
      <c r="AV391" t="inlineStr">
        <is>
          <t>PNCP_4T_30-04-2013</t>
        </is>
      </c>
      <c r="AW391" t="inlineStr">
        <is>
          <t>Barro Blanco 220</t>
        </is>
      </c>
      <c r="AX391" t="n">
        <v>111.133</v>
      </c>
      <c r="AY391" t="n">
        <v>1.080821157758461</v>
      </c>
      <c r="AZ391" t="n">
        <v>120.1148977251711</v>
      </c>
      <c r="BA391" t="n">
        <v>779.3099999999999</v>
      </c>
      <c r="BB391" t="n">
        <v>0.879</v>
      </c>
      <c r="BC391" t="n">
        <v>82.2803252917125</v>
      </c>
      <c r="BD391" t="n">
        <v>0.846</v>
      </c>
      <c r="BE391" t="n">
        <v>69.60899999999999</v>
      </c>
      <c r="BF391" t="n">
        <v>8.9176</v>
      </c>
      <c r="BG391" t="n">
        <v>0.804</v>
      </c>
      <c r="BH391" t="n">
        <v>6039.043023599974</v>
      </c>
      <c r="BI391" t="n">
        <v>1.011820868379177</v>
      </c>
      <c r="BJ391" t="n">
        <v>6110.4298</v>
      </c>
      <c r="BK391" t="n">
        <v>739.6729605989999</v>
      </c>
    </row>
    <row r="392">
      <c r="A392" t="n">
        <v>1899</v>
      </c>
      <c r="B392" t="inlineStr">
        <is>
          <t>01-11-2020</t>
        </is>
      </c>
      <c r="C392" t="n">
        <v>2020</v>
      </c>
      <c r="D392" t="n">
        <v>1</v>
      </c>
      <c r="E392" t="inlineStr">
        <is>
          <t>CAREN</t>
        </is>
      </c>
      <c r="F392" t="inlineStr">
        <is>
          <t>SUM_SAESA_A</t>
        </is>
      </c>
      <c r="G392" t="inlineStr">
        <is>
          <t>A</t>
        </is>
      </c>
      <c r="H392" t="inlineStr">
        <is>
          <t>SAESA</t>
        </is>
      </c>
      <c r="I392" t="inlineStr">
        <is>
          <t>SAESCORRBLOQA</t>
        </is>
      </c>
      <c r="J392" t="inlineStr">
        <is>
          <t>CORRAL</t>
        </is>
      </c>
      <c r="K392" t="n">
        <v>-961.10778898</v>
      </c>
      <c r="L392" t="inlineStr">
        <is>
          <t>CORRAL</t>
        </is>
      </c>
      <c r="M392" t="inlineStr">
        <is>
          <t>MELIPULLI</t>
        </is>
      </c>
      <c r="N392" t="n">
        <v>0.00149371242326</v>
      </c>
      <c r="O392" t="n">
        <v>1.435619</v>
      </c>
      <c r="P392" t="inlineStr">
        <is>
          <t>BS1A</t>
        </is>
      </c>
      <c r="Q392" t="n">
        <v>2</v>
      </c>
      <c r="V392" t="n">
        <v>1472834.063</v>
      </c>
      <c r="W392" t="n">
        <v>2</v>
      </c>
      <c r="X392" t="n">
        <v>8.487e-08</v>
      </c>
      <c r="Y392" t="n">
        <v>0.249999</v>
      </c>
      <c r="Z392" t="n">
        <v>0.358903</v>
      </c>
      <c r="AA392" t="inlineStr">
        <is>
          <t>PNP_6T_08-05-2020</t>
        </is>
      </c>
      <c r="AB392" t="inlineStr">
        <is>
          <t>PNCP_9T_12-08-2019</t>
        </is>
      </c>
      <c r="AC392" t="inlineStr">
        <is>
          <t>PNCP_4T_30-04-2013</t>
        </is>
      </c>
      <c r="AD392" t="inlineStr">
        <is>
          <t>MELIPULLI 220</t>
        </is>
      </c>
      <c r="AE392" t="n">
        <v>111.133</v>
      </c>
      <c r="AF392" t="n">
        <v>1.072776031070834</v>
      </c>
      <c r="AG392" t="n">
        <v>119.220818660995</v>
      </c>
      <c r="AH392" t="n">
        <v>694.38</v>
      </c>
      <c r="AI392" t="n">
        <v>0.875</v>
      </c>
      <c r="AJ392" t="n">
        <v>72.43648305409401</v>
      </c>
      <c r="AK392" t="n">
        <v>0.8826000000000001</v>
      </c>
      <c r="AL392" t="n">
        <v>63.932</v>
      </c>
      <c r="AM392" t="n">
        <v>8.9176</v>
      </c>
      <c r="AN392" t="n">
        <v>9.566587534677272</v>
      </c>
      <c r="AO392" t="n">
        <v>0.913</v>
      </c>
      <c r="AP392" t="n">
        <v>6064.919358776563</v>
      </c>
      <c r="AQ392" t="n">
        <v>1</v>
      </c>
      <c r="AR392" t="n">
        <v>6064.9194</v>
      </c>
      <c r="AS392" t="n">
        <v>22.945386596</v>
      </c>
      <c r="AT392" t="inlineStr">
        <is>
          <t>PNP_16T_02-11-2020</t>
        </is>
      </c>
      <c r="AU392" t="inlineStr">
        <is>
          <t>PNCP_2T_10-02-2020</t>
        </is>
      </c>
      <c r="AV392" t="inlineStr">
        <is>
          <t>PNCP_4T_30-04-2013</t>
        </is>
      </c>
      <c r="AW392" t="inlineStr">
        <is>
          <t>MELIPULLI 220</t>
        </is>
      </c>
      <c r="AX392" t="n">
        <v>111.133</v>
      </c>
      <c r="AY392" t="n">
        <v>1.080821157758461</v>
      </c>
      <c r="AZ392" t="n">
        <v>120.1148977251711</v>
      </c>
      <c r="BA392" t="n">
        <v>779.3099999999999</v>
      </c>
      <c r="BB392" t="n">
        <v>0.879</v>
      </c>
      <c r="BC392" t="n">
        <v>82.2803252917125</v>
      </c>
      <c r="BD392" t="n">
        <v>0.8421</v>
      </c>
      <c r="BE392" t="n">
        <v>69.288</v>
      </c>
      <c r="BF392" t="n">
        <v>8.9176</v>
      </c>
      <c r="BG392" t="n">
        <v>0.804</v>
      </c>
      <c r="BH392" t="n">
        <v>6039.043023599974</v>
      </c>
      <c r="BI392" t="n">
        <v>1</v>
      </c>
      <c r="BJ392" t="n">
        <v>6039.043</v>
      </c>
      <c r="BK392" t="n">
        <v>24.867671064</v>
      </c>
    </row>
    <row r="393">
      <c r="A393" t="n">
        <v>1901</v>
      </c>
      <c r="B393" t="inlineStr">
        <is>
          <t>01-11-2020</t>
        </is>
      </c>
      <c r="C393" t="n">
        <v>2020</v>
      </c>
      <c r="D393" t="n">
        <v>1</v>
      </c>
      <c r="E393" t="inlineStr">
        <is>
          <t>CAREN</t>
        </is>
      </c>
      <c r="F393" t="inlineStr">
        <is>
          <t>SUM_SAESA_A</t>
        </is>
      </c>
      <c r="G393" t="inlineStr">
        <is>
          <t>A</t>
        </is>
      </c>
      <c r="H393" t="inlineStr">
        <is>
          <t>SAESA</t>
        </is>
      </c>
      <c r="I393" t="inlineStr">
        <is>
          <t>SAESCORRBLOQA</t>
        </is>
      </c>
      <c r="J393" t="inlineStr">
        <is>
          <t>CORRAL</t>
        </is>
      </c>
      <c r="K393" t="n">
        <v>-961.10778898</v>
      </c>
      <c r="L393" t="inlineStr">
        <is>
          <t>CORRAL</t>
        </is>
      </c>
      <c r="M393" t="inlineStr">
        <is>
          <t>VALDIVIA</t>
        </is>
      </c>
      <c r="N393" t="n">
        <v>0.81710771051722</v>
      </c>
      <c r="O393" t="n">
        <v>785.328585</v>
      </c>
      <c r="P393" t="inlineStr">
        <is>
          <t>BS1A</t>
        </is>
      </c>
      <c r="Q393" t="n">
        <v>2</v>
      </c>
      <c r="V393" t="n">
        <v>1472834.063</v>
      </c>
      <c r="W393" t="n">
        <v>2</v>
      </c>
      <c r="X393" t="n">
        <v>8.487e-08</v>
      </c>
      <c r="Y393" t="n">
        <v>0.249999</v>
      </c>
      <c r="Z393" t="n">
        <v>196.331361</v>
      </c>
      <c r="AA393" t="inlineStr">
        <is>
          <t>PNP_6T_08-05-2020</t>
        </is>
      </c>
      <c r="AB393" t="inlineStr">
        <is>
          <t>PNCP_9T_12-08-2019</t>
        </is>
      </c>
      <c r="AC393" t="inlineStr">
        <is>
          <t>PNCP_4T_30-04-2013</t>
        </is>
      </c>
      <c r="AD393" t="inlineStr">
        <is>
          <t>VALDIVIA 220</t>
        </is>
      </c>
      <c r="AE393" t="n">
        <v>111.133</v>
      </c>
      <c r="AF393" t="n">
        <v>1.072776031070834</v>
      </c>
      <c r="AG393" t="n">
        <v>119.220818660995</v>
      </c>
      <c r="AH393" t="n">
        <v>694.38</v>
      </c>
      <c r="AI393" t="n">
        <v>0.875</v>
      </c>
      <c r="AJ393" t="n">
        <v>72.43648305409401</v>
      </c>
      <c r="AK393" t="n">
        <v>0.913</v>
      </c>
      <c r="AL393" t="n">
        <v>66.13500000000001</v>
      </c>
      <c r="AM393" t="n">
        <v>8.9176</v>
      </c>
      <c r="AN393" t="n">
        <v>9.566587534677272</v>
      </c>
      <c r="AO393" t="n">
        <v>0.913</v>
      </c>
      <c r="AP393" t="n">
        <v>6064.919358776563</v>
      </c>
      <c r="AQ393" t="n">
        <v>1.051287819142954</v>
      </c>
      <c r="AR393" t="n">
        <v>6375.9758</v>
      </c>
      <c r="AS393" t="n">
        <v>12984.374559735</v>
      </c>
      <c r="AT393" t="inlineStr">
        <is>
          <t>PNP_16T_02-11-2020</t>
        </is>
      </c>
      <c r="AU393" t="inlineStr">
        <is>
          <t>PNCP_2T_10-02-2020</t>
        </is>
      </c>
      <c r="AV393" t="inlineStr">
        <is>
          <t>PNCP_4T_30-04-2013</t>
        </is>
      </c>
      <c r="AW393" t="inlineStr">
        <is>
          <t>VALDIVIA 220</t>
        </is>
      </c>
      <c r="AX393" t="n">
        <v>111.133</v>
      </c>
      <c r="AY393" t="n">
        <v>1.080821157758461</v>
      </c>
      <c r="AZ393" t="n">
        <v>120.1148977251711</v>
      </c>
      <c r="BA393" t="n">
        <v>779.3099999999999</v>
      </c>
      <c r="BB393" t="n">
        <v>0.879</v>
      </c>
      <c r="BC393" t="n">
        <v>82.2803252917125</v>
      </c>
      <c r="BD393" t="n">
        <v>0.9167</v>
      </c>
      <c r="BE393" t="n">
        <v>75.426</v>
      </c>
      <c r="BF393" t="n">
        <v>8.9176</v>
      </c>
      <c r="BG393" t="n">
        <v>0.804</v>
      </c>
      <c r="BH393" t="n">
        <v>6039.043023599974</v>
      </c>
      <c r="BI393" t="n">
        <v>1.096052187605444</v>
      </c>
      <c r="BJ393" t="n">
        <v>6619.1063</v>
      </c>
      <c r="BK393" t="n">
        <v>14808.489234786</v>
      </c>
    </row>
    <row r="394">
      <c r="A394" t="n">
        <v>633</v>
      </c>
      <c r="B394" t="inlineStr">
        <is>
          <t>01-11-2020</t>
        </is>
      </c>
      <c r="C394" t="n">
        <v>2020</v>
      </c>
      <c r="D394" t="n">
        <v>1</v>
      </c>
      <c r="E394" t="inlineStr">
        <is>
          <t>CAREN</t>
        </is>
      </c>
      <c r="F394" t="inlineStr">
        <is>
          <t>SUM_SAESA_A</t>
        </is>
      </c>
      <c r="G394" t="inlineStr">
        <is>
          <t>A</t>
        </is>
      </c>
      <c r="H394" t="inlineStr">
        <is>
          <t>SAESA</t>
        </is>
      </c>
      <c r="I394" t="inlineStr">
        <is>
          <t>SAESDALCBLOQA</t>
        </is>
      </c>
      <c r="J394" t="inlineStr">
        <is>
          <t>DALCAHUE</t>
        </is>
      </c>
      <c r="K394" t="n">
        <v>-4405.90283089</v>
      </c>
      <c r="L394" t="inlineStr">
        <is>
          <t>DALCAHUE</t>
        </is>
      </c>
      <c r="M394" t="inlineStr">
        <is>
          <t>CHILOE</t>
        </is>
      </c>
      <c r="N394" t="n">
        <v>0.80502839238442</v>
      </c>
      <c r="O394" t="n">
        <v>3546.876873</v>
      </c>
      <c r="P394" t="inlineStr">
        <is>
          <t>BS1A</t>
        </is>
      </c>
      <c r="Q394" t="n">
        <v>2</v>
      </c>
      <c r="V394" t="n">
        <v>1472834.063</v>
      </c>
      <c r="W394" t="n">
        <v>2</v>
      </c>
      <c r="X394" t="n">
        <v>8.487e-08</v>
      </c>
      <c r="Y394" t="n">
        <v>0.249999</v>
      </c>
      <c r="Z394" t="n">
        <v>886.715671</v>
      </c>
      <c r="AA394" t="inlineStr">
        <is>
          <t>PNP_6T_08-05-2020</t>
        </is>
      </c>
      <c r="AB394" t="inlineStr">
        <is>
          <t>PNCP_9T_12-08-2019</t>
        </is>
      </c>
      <c r="AC394" t="inlineStr">
        <is>
          <t>PNCP_4T_30-04-2013</t>
        </is>
      </c>
      <c r="AD394" t="inlineStr">
        <is>
          <t>CHILOE 220</t>
        </is>
      </c>
      <c r="AE394" t="n">
        <v>111.133</v>
      </c>
      <c r="AF394" t="n">
        <v>1.072776031070834</v>
      </c>
      <c r="AG394" t="n">
        <v>119.220818660995</v>
      </c>
      <c r="AH394" t="n">
        <v>694.38</v>
      </c>
      <c r="AI394" t="n">
        <v>0.875</v>
      </c>
      <c r="AJ394" t="n">
        <v>72.43648305409401</v>
      </c>
      <c r="AK394" t="n">
        <v>0.8903</v>
      </c>
      <c r="AL394" t="n">
        <v>64.48999999999999</v>
      </c>
      <c r="AM394" t="n">
        <v>8.9176</v>
      </c>
      <c r="AN394" t="n">
        <v>9.566587534677272</v>
      </c>
      <c r="AO394" t="n">
        <v>0.913</v>
      </c>
      <c r="AP394" t="n">
        <v>6064.919358776563</v>
      </c>
      <c r="AQ394" t="n">
        <v>1</v>
      </c>
      <c r="AR394" t="n">
        <v>6064.9194</v>
      </c>
      <c r="AS394" t="n">
        <v>57184.29362279</v>
      </c>
      <c r="AT394" t="inlineStr">
        <is>
          <t>PNP_16T_02-11-2020</t>
        </is>
      </c>
      <c r="AU394" t="inlineStr">
        <is>
          <t>PNCP_2T_10-02-2020</t>
        </is>
      </c>
      <c r="AV394" t="inlineStr">
        <is>
          <t>PNCP_4T_30-04-2013</t>
        </is>
      </c>
      <c r="AW394" t="inlineStr">
        <is>
          <t>CHILOE 220</t>
        </is>
      </c>
      <c r="AX394" t="n">
        <v>111.133</v>
      </c>
      <c r="AY394" t="n">
        <v>1.080821157758461</v>
      </c>
      <c r="AZ394" t="n">
        <v>120.1148977251711</v>
      </c>
      <c r="BA394" t="n">
        <v>779.3099999999999</v>
      </c>
      <c r="BB394" t="n">
        <v>0.879</v>
      </c>
      <c r="BC394" t="n">
        <v>82.2803252917125</v>
      </c>
      <c r="BD394" t="n">
        <v>0.8486</v>
      </c>
      <c r="BE394" t="n">
        <v>69.82299999999999</v>
      </c>
      <c r="BF394" t="n">
        <v>8.9176</v>
      </c>
      <c r="BG394" t="n">
        <v>0.804</v>
      </c>
      <c r="BH394" t="n">
        <v>6039.043023599974</v>
      </c>
      <c r="BI394" t="n">
        <v>1</v>
      </c>
      <c r="BJ394" t="n">
        <v>6039.043</v>
      </c>
      <c r="BK394" t="n">
        <v>61913.148296233</v>
      </c>
    </row>
    <row r="395">
      <c r="A395" t="n">
        <v>1265</v>
      </c>
      <c r="B395" t="inlineStr">
        <is>
          <t>01-11-2020</t>
        </is>
      </c>
      <c r="C395" t="n">
        <v>2020</v>
      </c>
      <c r="D395" t="n">
        <v>1</v>
      </c>
      <c r="E395" t="inlineStr">
        <is>
          <t>CAREN</t>
        </is>
      </c>
      <c r="F395" t="inlineStr">
        <is>
          <t>SUM_SAESA_A</t>
        </is>
      </c>
      <c r="G395" t="inlineStr">
        <is>
          <t>A</t>
        </is>
      </c>
      <c r="H395" t="inlineStr">
        <is>
          <t>SAESA</t>
        </is>
      </c>
      <c r="I395" t="inlineStr">
        <is>
          <t>SAESDEGABLOQA</t>
        </is>
      </c>
      <c r="J395" t="inlineStr">
        <is>
          <t>DEGAÑ</t>
        </is>
      </c>
      <c r="K395" t="n">
        <v>-1385.19943134</v>
      </c>
      <c r="L395" t="inlineStr">
        <is>
          <t>DEGAÑ</t>
        </is>
      </c>
      <c r="M395" t="inlineStr">
        <is>
          <t>CHILOE</t>
        </is>
      </c>
      <c r="N395" t="n">
        <v>0.79707666555721</v>
      </c>
      <c r="O395" t="n">
        <v>1104.110144</v>
      </c>
      <c r="P395" t="inlineStr">
        <is>
          <t>BS1A</t>
        </is>
      </c>
      <c r="Q395" t="n">
        <v>2</v>
      </c>
      <c r="V395" t="n">
        <v>1472834.063</v>
      </c>
      <c r="W395" t="n">
        <v>2</v>
      </c>
      <c r="X395" t="n">
        <v>8.487e-08</v>
      </c>
      <c r="Y395" t="n">
        <v>0.249999</v>
      </c>
      <c r="Z395" t="n">
        <v>276.026432</v>
      </c>
      <c r="AA395" t="inlineStr">
        <is>
          <t>PNP_6T_08-05-2020</t>
        </is>
      </c>
      <c r="AB395" t="inlineStr">
        <is>
          <t>PNCP_9T_12-08-2019</t>
        </is>
      </c>
      <c r="AC395" t="inlineStr">
        <is>
          <t>PNCP_4T_30-04-2013</t>
        </is>
      </c>
      <c r="AD395" t="inlineStr">
        <is>
          <t>CHILOE 220</t>
        </is>
      </c>
      <c r="AE395" t="n">
        <v>111.133</v>
      </c>
      <c r="AF395" t="n">
        <v>1.072776031070834</v>
      </c>
      <c r="AG395" t="n">
        <v>119.220818660995</v>
      </c>
      <c r="AH395" t="n">
        <v>694.38</v>
      </c>
      <c r="AI395" t="n">
        <v>0.875</v>
      </c>
      <c r="AJ395" t="n">
        <v>72.43648305409401</v>
      </c>
      <c r="AK395" t="n">
        <v>0.8903</v>
      </c>
      <c r="AL395" t="n">
        <v>64.48999999999999</v>
      </c>
      <c r="AM395" t="n">
        <v>8.9176</v>
      </c>
      <c r="AN395" t="n">
        <v>9.566587534677272</v>
      </c>
      <c r="AO395" t="n">
        <v>0.913</v>
      </c>
      <c r="AP395" t="n">
        <v>6064.919358776563</v>
      </c>
      <c r="AQ395" t="n">
        <v>1</v>
      </c>
      <c r="AR395" t="n">
        <v>6064.9194</v>
      </c>
      <c r="AS395" t="n">
        <v>17800.94459968</v>
      </c>
      <c r="AT395" t="inlineStr">
        <is>
          <t>PNP_16T_02-11-2020</t>
        </is>
      </c>
      <c r="AU395" t="inlineStr">
        <is>
          <t>PNCP_2T_10-02-2020</t>
        </is>
      </c>
      <c r="AV395" t="inlineStr">
        <is>
          <t>PNCP_4T_30-04-2013</t>
        </is>
      </c>
      <c r="AW395" t="inlineStr">
        <is>
          <t>CHILOE 220</t>
        </is>
      </c>
      <c r="AX395" t="n">
        <v>111.133</v>
      </c>
      <c r="AY395" t="n">
        <v>1.080821157758461</v>
      </c>
      <c r="AZ395" t="n">
        <v>120.1148977251711</v>
      </c>
      <c r="BA395" t="n">
        <v>779.3099999999999</v>
      </c>
      <c r="BB395" t="n">
        <v>0.879</v>
      </c>
      <c r="BC395" t="n">
        <v>82.2803252917125</v>
      </c>
      <c r="BD395" t="n">
        <v>0.8486</v>
      </c>
      <c r="BE395" t="n">
        <v>69.82299999999999</v>
      </c>
      <c r="BF395" t="n">
        <v>8.9176</v>
      </c>
      <c r="BG395" t="n">
        <v>0.804</v>
      </c>
      <c r="BH395" t="n">
        <v>6039.043023599974</v>
      </c>
      <c r="BI395" t="n">
        <v>1</v>
      </c>
      <c r="BJ395" t="n">
        <v>6039.043</v>
      </c>
      <c r="BK395" t="n">
        <v>19272.993561536</v>
      </c>
    </row>
    <row r="396">
      <c r="A396" t="n">
        <v>1267</v>
      </c>
      <c r="B396" t="inlineStr">
        <is>
          <t>01-11-2020</t>
        </is>
      </c>
      <c r="C396" t="n">
        <v>2020</v>
      </c>
      <c r="D396" t="n">
        <v>1</v>
      </c>
      <c r="E396" t="inlineStr">
        <is>
          <t>CAREN</t>
        </is>
      </c>
      <c r="F396" t="inlineStr">
        <is>
          <t>SUM_SAESA_A</t>
        </is>
      </c>
      <c r="G396" t="inlineStr">
        <is>
          <t>A</t>
        </is>
      </c>
      <c r="H396" t="inlineStr">
        <is>
          <t>SAESA</t>
        </is>
      </c>
      <c r="I396" t="inlineStr">
        <is>
          <t>SAESDEGABLOQA</t>
        </is>
      </c>
      <c r="J396" t="inlineStr">
        <is>
          <t>DEGAÑ</t>
        </is>
      </c>
      <c r="K396" t="n">
        <v>-1385.19943134</v>
      </c>
      <c r="L396" t="inlineStr">
        <is>
          <t>DEGAÑ</t>
        </is>
      </c>
      <c r="M396" t="inlineStr">
        <is>
          <t>Puerto Montt</t>
        </is>
      </c>
      <c r="N396" t="n">
        <v>0.94243617275767</v>
      </c>
      <c r="O396" t="n">
        <v>1305.462051</v>
      </c>
      <c r="P396" t="inlineStr">
        <is>
          <t>BS1A</t>
        </is>
      </c>
      <c r="Q396" t="n">
        <v>2</v>
      </c>
      <c r="V396" t="n">
        <v>1472834.063</v>
      </c>
      <c r="W396" t="n">
        <v>2</v>
      </c>
      <c r="X396" t="n">
        <v>8.487e-08</v>
      </c>
      <c r="Y396" t="n">
        <v>0.249999</v>
      </c>
      <c r="Z396" t="n">
        <v>326.364207</v>
      </c>
      <c r="AA396" t="inlineStr">
        <is>
          <t>PNP_6T_08-05-2020</t>
        </is>
      </c>
      <c r="AB396" t="inlineStr">
        <is>
          <t>PNCP_9T_12-08-2019</t>
        </is>
      </c>
      <c r="AC396" t="inlineStr">
        <is>
          <t>PNCP_4T_30-04-2013</t>
        </is>
      </c>
      <c r="AD396" t="inlineStr">
        <is>
          <t>PUERTO MONTT 220</t>
        </is>
      </c>
      <c r="AE396" t="n">
        <v>111.133</v>
      </c>
      <c r="AF396" t="n">
        <v>1.072776031070834</v>
      </c>
      <c r="AG396" t="n">
        <v>119.220818660995</v>
      </c>
      <c r="AH396" t="n">
        <v>694.38</v>
      </c>
      <c r="AI396" t="n">
        <v>0.875</v>
      </c>
      <c r="AJ396" t="n">
        <v>72.43648305409401</v>
      </c>
      <c r="AK396" t="n">
        <v>0.8826000000000001</v>
      </c>
      <c r="AL396" t="n">
        <v>63.932</v>
      </c>
      <c r="AM396" t="n">
        <v>8.9176</v>
      </c>
      <c r="AN396" t="n">
        <v>9.566587534677272</v>
      </c>
      <c r="AO396" t="n">
        <v>0.913</v>
      </c>
      <c r="AP396" t="n">
        <v>6064.919358776563</v>
      </c>
      <c r="AQ396" t="n">
        <v>1.016858412119831</v>
      </c>
      <c r="AR396" t="n">
        <v>6167.1643</v>
      </c>
      <c r="AS396" t="n">
        <v>20865.116481924</v>
      </c>
      <c r="AT396" t="inlineStr">
        <is>
          <t>PNP_16T_02-11-2020</t>
        </is>
      </c>
      <c r="AU396" t="inlineStr">
        <is>
          <t>PNCP_2T_10-02-2020</t>
        </is>
      </c>
      <c r="AV396" t="inlineStr">
        <is>
          <t>PNCP_4T_30-04-2013</t>
        </is>
      </c>
      <c r="AW396" t="inlineStr">
        <is>
          <t>PUERTO MONTT 220</t>
        </is>
      </c>
      <c r="AX396" t="n">
        <v>111.133</v>
      </c>
      <c r="AY396" t="n">
        <v>1.080821157758461</v>
      </c>
      <c r="AZ396" t="n">
        <v>120.1148977251711</v>
      </c>
      <c r="BA396" t="n">
        <v>779.3099999999999</v>
      </c>
      <c r="BB396" t="n">
        <v>0.879</v>
      </c>
      <c r="BC396" t="n">
        <v>82.2803252917125</v>
      </c>
      <c r="BD396" t="n">
        <v>0.8421</v>
      </c>
      <c r="BE396" t="n">
        <v>69.288</v>
      </c>
      <c r="BF396" t="n">
        <v>8.9176</v>
      </c>
      <c r="BG396" t="n">
        <v>0.804</v>
      </c>
      <c r="BH396" t="n">
        <v>6039.043023599974</v>
      </c>
      <c r="BI396" t="n">
        <v>1.02699624102973</v>
      </c>
      <c r="BJ396" t="n">
        <v>6202.0745</v>
      </c>
      <c r="BK396" t="n">
        <v>22613.123174616</v>
      </c>
    </row>
    <row r="397">
      <c r="A397" t="n">
        <v>633</v>
      </c>
      <c r="B397" t="inlineStr">
        <is>
          <t>01-11-2020</t>
        </is>
      </c>
      <c r="C397" t="n">
        <v>2020</v>
      </c>
      <c r="D397" t="n">
        <v>1</v>
      </c>
      <c r="E397" t="inlineStr">
        <is>
          <t>CAREN</t>
        </is>
      </c>
      <c r="F397" t="inlineStr">
        <is>
          <t>SUM_SAESA_A</t>
        </is>
      </c>
      <c r="G397" t="inlineStr">
        <is>
          <t>A</t>
        </is>
      </c>
      <c r="H397" t="inlineStr">
        <is>
          <t>SAESA</t>
        </is>
      </c>
      <c r="I397" t="inlineStr">
        <is>
          <t>SAESELEMBLOQA</t>
        </is>
      </c>
      <c r="J397" t="inlineStr">
        <is>
          <t>EMPALME</t>
        </is>
      </c>
      <c r="K397" t="n">
        <v>-2749.42843936</v>
      </c>
      <c r="L397" t="inlineStr">
        <is>
          <t>PARGUA 23</t>
        </is>
      </c>
      <c r="M397" t="inlineStr">
        <is>
          <t>MELIPULLI</t>
        </is>
      </c>
      <c r="N397" t="n">
        <v>0.88336054288962</v>
      </c>
      <c r="O397" t="n">
        <v>2428.736599</v>
      </c>
      <c r="P397" t="inlineStr">
        <is>
          <t>BS1A</t>
        </is>
      </c>
      <c r="Q397" t="n">
        <v>2</v>
      </c>
      <c r="V397" t="n">
        <v>1472834.063</v>
      </c>
      <c r="W397" t="n">
        <v>2</v>
      </c>
      <c r="X397" t="n">
        <v>8.487e-08</v>
      </c>
      <c r="Y397" t="n">
        <v>0.249999</v>
      </c>
      <c r="Z397" t="n">
        <v>607.181721</v>
      </c>
      <c r="AA397" t="inlineStr">
        <is>
          <t>PNP_6T_08-05-2020</t>
        </is>
      </c>
      <c r="AB397" t="inlineStr">
        <is>
          <t>PNCP_9T_12-08-2019</t>
        </is>
      </c>
      <c r="AC397" t="inlineStr">
        <is>
          <t>PNCP_4T_30-04-2013</t>
        </is>
      </c>
      <c r="AD397" t="inlineStr">
        <is>
          <t>MELIPULLI 220</t>
        </is>
      </c>
      <c r="AE397" t="n">
        <v>111.133</v>
      </c>
      <c r="AF397" t="n">
        <v>1.072776031070834</v>
      </c>
      <c r="AG397" t="n">
        <v>119.220818660995</v>
      </c>
      <c r="AH397" t="n">
        <v>694.38</v>
      </c>
      <c r="AI397" t="n">
        <v>0.875</v>
      </c>
      <c r="AJ397" t="n">
        <v>72.43648305409401</v>
      </c>
      <c r="AK397" t="n">
        <v>0.8826000000000001</v>
      </c>
      <c r="AL397" t="n">
        <v>63.932</v>
      </c>
      <c r="AM397" t="n">
        <v>8.9176</v>
      </c>
      <c r="AN397" t="n">
        <v>9.566587534677272</v>
      </c>
      <c r="AO397" t="n">
        <v>0.913</v>
      </c>
      <c r="AP397" t="n">
        <v>6064.919358776563</v>
      </c>
      <c r="AQ397" t="n">
        <v>1</v>
      </c>
      <c r="AR397" t="n">
        <v>6064.9194</v>
      </c>
      <c r="AS397" t="n">
        <v>38818.34178697201</v>
      </c>
      <c r="AT397" t="inlineStr">
        <is>
          <t>PNP_16T_02-11-2020</t>
        </is>
      </c>
      <c r="AU397" t="inlineStr">
        <is>
          <t>PNCP_2T_10-02-2020</t>
        </is>
      </c>
      <c r="AV397" t="inlineStr">
        <is>
          <t>PNCP_4T_30-04-2013</t>
        </is>
      </c>
      <c r="AW397" t="inlineStr">
        <is>
          <t>MELIPULLI 220</t>
        </is>
      </c>
      <c r="AX397" t="n">
        <v>111.133</v>
      </c>
      <c r="AY397" t="n">
        <v>1.080821157758461</v>
      </c>
      <c r="AZ397" t="n">
        <v>120.1148977251711</v>
      </c>
      <c r="BA397" t="n">
        <v>779.3099999999999</v>
      </c>
      <c r="BB397" t="n">
        <v>0.879</v>
      </c>
      <c r="BC397" t="n">
        <v>82.2803252917125</v>
      </c>
      <c r="BD397" t="n">
        <v>0.8421</v>
      </c>
      <c r="BE397" t="n">
        <v>69.288</v>
      </c>
      <c r="BF397" t="n">
        <v>8.9176</v>
      </c>
      <c r="BG397" t="n">
        <v>0.804</v>
      </c>
      <c r="BH397" t="n">
        <v>6039.043023599974</v>
      </c>
      <c r="BI397" t="n">
        <v>1</v>
      </c>
      <c r="BJ397" t="n">
        <v>6039.043</v>
      </c>
      <c r="BK397" t="n">
        <v>42070.407084648</v>
      </c>
    </row>
    <row r="398">
      <c r="A398" t="n">
        <v>5081</v>
      </c>
      <c r="B398" t="inlineStr">
        <is>
          <t>01-11-2020</t>
        </is>
      </c>
      <c r="C398" t="n">
        <v>2020</v>
      </c>
      <c r="D398" t="n">
        <v>1</v>
      </c>
      <c r="E398" t="inlineStr">
        <is>
          <t>CAREN</t>
        </is>
      </c>
      <c r="F398" t="inlineStr">
        <is>
          <t>SUM_SAESA_A</t>
        </is>
      </c>
      <c r="G398" t="inlineStr">
        <is>
          <t>A</t>
        </is>
      </c>
      <c r="H398" t="inlineStr">
        <is>
          <t>SAESA</t>
        </is>
      </c>
      <c r="I398" t="inlineStr">
        <is>
          <t>SAESFRUTBLOQA</t>
        </is>
      </c>
      <c r="J398" t="inlineStr">
        <is>
          <t>FRUTILLAR</t>
        </is>
      </c>
      <c r="K398" t="n">
        <v>-5275.54617699</v>
      </c>
      <c r="L398" t="inlineStr">
        <is>
          <t>FRUTILLAR</t>
        </is>
      </c>
      <c r="M398" t="inlineStr">
        <is>
          <t>BARRO BLANCO</t>
        </is>
      </c>
      <c r="N398" t="n">
        <v>0.30829693616367</v>
      </c>
      <c r="O398" t="n">
        <v>1626.434723</v>
      </c>
      <c r="P398" t="inlineStr">
        <is>
          <t>BS1A</t>
        </is>
      </c>
      <c r="Q398" t="n">
        <v>2</v>
      </c>
      <c r="V398" t="n">
        <v>1472834.063</v>
      </c>
      <c r="W398" t="n">
        <v>2</v>
      </c>
      <c r="X398" t="n">
        <v>8.487e-08</v>
      </c>
      <c r="Y398" t="n">
        <v>0.249999</v>
      </c>
      <c r="Z398" t="n">
        <v>406.607054</v>
      </c>
      <c r="AA398" t="inlineStr">
        <is>
          <t>PNP_6T_08-05-2020</t>
        </is>
      </c>
      <c r="AB398" t="inlineStr">
        <is>
          <t>PNCP_9T_12-08-2019</t>
        </is>
      </c>
      <c r="AC398" t="inlineStr">
        <is>
          <t>PNCP_4T_30-04-2013</t>
        </is>
      </c>
      <c r="AD398" t="inlineStr">
        <is>
          <t>Barro Blanco 220</t>
        </is>
      </c>
      <c r="AE398" t="n">
        <v>111.133</v>
      </c>
      <c r="AF398" t="n">
        <v>1.072776031070834</v>
      </c>
      <c r="AG398" t="n">
        <v>119.220818660995</v>
      </c>
      <c r="AH398" t="n">
        <v>694.38</v>
      </c>
      <c r="AI398" t="n">
        <v>0.875</v>
      </c>
      <c r="AJ398" t="n">
        <v>72.43648305409401</v>
      </c>
      <c r="AK398" t="n">
        <v>0.8631</v>
      </c>
      <c r="AL398" t="n">
        <v>62.52</v>
      </c>
      <c r="AM398" t="n">
        <v>8.9176</v>
      </c>
      <c r="AN398" t="n">
        <v>9.566587534677272</v>
      </c>
      <c r="AO398" t="n">
        <v>0.913</v>
      </c>
      <c r="AP398" t="n">
        <v>6064.919358776563</v>
      </c>
      <c r="AQ398" t="n">
        <v>1.004432825642191</v>
      </c>
      <c r="AR398" t="n">
        <v>6091.8041</v>
      </c>
      <c r="AS398" t="n">
        <v>25421.07301608</v>
      </c>
      <c r="AT398" t="inlineStr">
        <is>
          <t>PNP_16T_02-11-2020</t>
        </is>
      </c>
      <c r="AU398" t="inlineStr">
        <is>
          <t>PNCP_2T_10-02-2020</t>
        </is>
      </c>
      <c r="AV398" t="inlineStr">
        <is>
          <t>PNCP_4T_30-04-2013</t>
        </is>
      </c>
      <c r="AW398" t="inlineStr">
        <is>
          <t>Barro Blanco 220</t>
        </is>
      </c>
      <c r="AX398" t="n">
        <v>111.133</v>
      </c>
      <c r="AY398" t="n">
        <v>1.080821157758461</v>
      </c>
      <c r="AZ398" t="n">
        <v>120.1148977251711</v>
      </c>
      <c r="BA398" t="n">
        <v>779.3099999999999</v>
      </c>
      <c r="BB398" t="n">
        <v>0.879</v>
      </c>
      <c r="BC398" t="n">
        <v>82.2803252917125</v>
      </c>
      <c r="BD398" t="n">
        <v>0.846</v>
      </c>
      <c r="BE398" t="n">
        <v>69.60899999999999</v>
      </c>
      <c r="BF398" t="n">
        <v>8.9176</v>
      </c>
      <c r="BG398" t="n">
        <v>0.804</v>
      </c>
      <c r="BH398" t="n">
        <v>6039.043023599974</v>
      </c>
      <c r="BI398" t="n">
        <v>1.011820868379177</v>
      </c>
      <c r="BJ398" t="n">
        <v>6110.4298</v>
      </c>
      <c r="BK398" t="n">
        <v>28303.510421886</v>
      </c>
    </row>
    <row r="399">
      <c r="A399" t="n">
        <v>5083</v>
      </c>
      <c r="B399" t="inlineStr">
        <is>
          <t>01-11-2020</t>
        </is>
      </c>
      <c r="C399" t="n">
        <v>2020</v>
      </c>
      <c r="D399" t="n">
        <v>1</v>
      </c>
      <c r="E399" t="inlineStr">
        <is>
          <t>CAREN</t>
        </is>
      </c>
      <c r="F399" t="inlineStr">
        <is>
          <t>SUM_SAESA_A</t>
        </is>
      </c>
      <c r="G399" t="inlineStr">
        <is>
          <t>A</t>
        </is>
      </c>
      <c r="H399" t="inlineStr">
        <is>
          <t>SAESA</t>
        </is>
      </c>
      <c r="I399" t="inlineStr">
        <is>
          <t>SAESFRUTBLOQA</t>
        </is>
      </c>
      <c r="J399" t="inlineStr">
        <is>
          <t>FRUTILLAR</t>
        </is>
      </c>
      <c r="K399" t="n">
        <v>-5275.54617699</v>
      </c>
      <c r="L399" t="inlineStr">
        <is>
          <t>FRUTILLAR</t>
        </is>
      </c>
      <c r="M399" t="inlineStr">
        <is>
          <t>MELIPULLI</t>
        </is>
      </c>
      <c r="N399" t="n">
        <v>0.58883123332719</v>
      </c>
      <c r="O399" t="n">
        <v>3106.406362</v>
      </c>
      <c r="P399" t="inlineStr">
        <is>
          <t>BS1A</t>
        </is>
      </c>
      <c r="Q399" t="n">
        <v>2</v>
      </c>
      <c r="V399" t="n">
        <v>1472834.063</v>
      </c>
      <c r="W399" t="n">
        <v>2</v>
      </c>
      <c r="X399" t="n">
        <v>8.487e-08</v>
      </c>
      <c r="Y399" t="n">
        <v>0.249999</v>
      </c>
      <c r="Z399" t="n">
        <v>776.598484</v>
      </c>
      <c r="AA399" t="inlineStr">
        <is>
          <t>PNP_6T_08-05-2020</t>
        </is>
      </c>
      <c r="AB399" t="inlineStr">
        <is>
          <t>PNCP_9T_12-08-2019</t>
        </is>
      </c>
      <c r="AC399" t="inlineStr">
        <is>
          <t>PNCP_4T_30-04-2013</t>
        </is>
      </c>
      <c r="AD399" t="inlineStr">
        <is>
          <t>MELIPULLI 220</t>
        </is>
      </c>
      <c r="AE399" t="n">
        <v>111.133</v>
      </c>
      <c r="AF399" t="n">
        <v>1.072776031070834</v>
      </c>
      <c r="AG399" t="n">
        <v>119.220818660995</v>
      </c>
      <c r="AH399" t="n">
        <v>694.38</v>
      </c>
      <c r="AI399" t="n">
        <v>0.875</v>
      </c>
      <c r="AJ399" t="n">
        <v>72.43648305409401</v>
      </c>
      <c r="AK399" t="n">
        <v>0.8826000000000001</v>
      </c>
      <c r="AL399" t="n">
        <v>63.932</v>
      </c>
      <c r="AM399" t="n">
        <v>8.9176</v>
      </c>
      <c r="AN399" t="n">
        <v>9.566587534677272</v>
      </c>
      <c r="AO399" t="n">
        <v>0.913</v>
      </c>
      <c r="AP399" t="n">
        <v>6064.919358776563</v>
      </c>
      <c r="AQ399" t="n">
        <v>1</v>
      </c>
      <c r="AR399" t="n">
        <v>6064.9194</v>
      </c>
      <c r="AS399" t="n">
        <v>49649.494279088</v>
      </c>
      <c r="AT399" t="inlineStr">
        <is>
          <t>PNP_16T_02-11-2020</t>
        </is>
      </c>
      <c r="AU399" t="inlineStr">
        <is>
          <t>PNCP_2T_10-02-2020</t>
        </is>
      </c>
      <c r="AV399" t="inlineStr">
        <is>
          <t>PNCP_4T_30-04-2013</t>
        </is>
      </c>
      <c r="AW399" t="inlineStr">
        <is>
          <t>MELIPULLI 220</t>
        </is>
      </c>
      <c r="AX399" t="n">
        <v>111.133</v>
      </c>
      <c r="AY399" t="n">
        <v>1.080821157758461</v>
      </c>
      <c r="AZ399" t="n">
        <v>120.1148977251711</v>
      </c>
      <c r="BA399" t="n">
        <v>779.3099999999999</v>
      </c>
      <c r="BB399" t="n">
        <v>0.879</v>
      </c>
      <c r="BC399" t="n">
        <v>82.2803252917125</v>
      </c>
      <c r="BD399" t="n">
        <v>0.8421</v>
      </c>
      <c r="BE399" t="n">
        <v>69.288</v>
      </c>
      <c r="BF399" t="n">
        <v>8.9176</v>
      </c>
      <c r="BG399" t="n">
        <v>0.804</v>
      </c>
      <c r="BH399" t="n">
        <v>6039.043023599974</v>
      </c>
      <c r="BI399" t="n">
        <v>1</v>
      </c>
      <c r="BJ399" t="n">
        <v>6039.043</v>
      </c>
      <c r="BK399" t="n">
        <v>53808.955759392</v>
      </c>
    </row>
    <row r="400">
      <c r="A400" t="n">
        <v>5085</v>
      </c>
      <c r="B400" t="inlineStr">
        <is>
          <t>01-11-2020</t>
        </is>
      </c>
      <c r="C400" t="n">
        <v>2020</v>
      </c>
      <c r="D400" t="n">
        <v>1</v>
      </c>
      <c r="E400" t="inlineStr">
        <is>
          <t>CAREN</t>
        </is>
      </c>
      <c r="F400" t="inlineStr">
        <is>
          <t>SUM_SAESA_A</t>
        </is>
      </c>
      <c r="G400" t="inlineStr">
        <is>
          <t>A</t>
        </is>
      </c>
      <c r="H400" t="inlineStr">
        <is>
          <t>SAESA</t>
        </is>
      </c>
      <c r="I400" t="inlineStr">
        <is>
          <t>SAESFRUTBLOQA</t>
        </is>
      </c>
      <c r="J400" t="inlineStr">
        <is>
          <t>FRUTILLAR</t>
        </is>
      </c>
      <c r="K400" t="n">
        <v>-5275.54617699</v>
      </c>
      <c r="L400" t="inlineStr">
        <is>
          <t>FRUTILLAR</t>
        </is>
      </c>
      <c r="M400" t="inlineStr">
        <is>
          <t>Puerto Montt</t>
        </is>
      </c>
      <c r="N400" t="n">
        <v>0.66678954217717</v>
      </c>
      <c r="O400" t="n">
        <v>3517.67902</v>
      </c>
      <c r="P400" t="inlineStr">
        <is>
          <t>BS1A</t>
        </is>
      </c>
      <c r="Q400" t="n">
        <v>2</v>
      </c>
      <c r="V400" t="n">
        <v>1472834.063</v>
      </c>
      <c r="W400" t="n">
        <v>2</v>
      </c>
      <c r="X400" t="n">
        <v>8.487e-08</v>
      </c>
      <c r="Y400" t="n">
        <v>0.249999</v>
      </c>
      <c r="Z400" t="n">
        <v>879.416237</v>
      </c>
      <c r="AA400" t="inlineStr">
        <is>
          <t>PNP_6T_08-05-2020</t>
        </is>
      </c>
      <c r="AB400" t="inlineStr">
        <is>
          <t>PNCP_9T_12-08-2019</t>
        </is>
      </c>
      <c r="AC400" t="inlineStr">
        <is>
          <t>PNCP_4T_30-04-2013</t>
        </is>
      </c>
      <c r="AD400" t="inlineStr">
        <is>
          <t>PUERTO MONTT 220</t>
        </is>
      </c>
      <c r="AE400" t="n">
        <v>111.133</v>
      </c>
      <c r="AF400" t="n">
        <v>1.072776031070834</v>
      </c>
      <c r="AG400" t="n">
        <v>119.220818660995</v>
      </c>
      <c r="AH400" t="n">
        <v>694.38</v>
      </c>
      <c r="AI400" t="n">
        <v>0.875</v>
      </c>
      <c r="AJ400" t="n">
        <v>72.43648305409401</v>
      </c>
      <c r="AK400" t="n">
        <v>0.8826000000000001</v>
      </c>
      <c r="AL400" t="n">
        <v>63.932</v>
      </c>
      <c r="AM400" t="n">
        <v>8.9176</v>
      </c>
      <c r="AN400" t="n">
        <v>9.566587534677272</v>
      </c>
      <c r="AO400" t="n">
        <v>0.913</v>
      </c>
      <c r="AP400" t="n">
        <v>6064.919358776563</v>
      </c>
      <c r="AQ400" t="n">
        <v>1.016858412119831</v>
      </c>
      <c r="AR400" t="n">
        <v>6167.1643</v>
      </c>
      <c r="AS400" t="n">
        <v>56222.838863884</v>
      </c>
      <c r="AT400" t="inlineStr">
        <is>
          <t>PNP_16T_02-11-2020</t>
        </is>
      </c>
      <c r="AU400" t="inlineStr">
        <is>
          <t>PNCP_2T_10-02-2020</t>
        </is>
      </c>
      <c r="AV400" t="inlineStr">
        <is>
          <t>PNCP_4T_30-04-2013</t>
        </is>
      </c>
      <c r="AW400" t="inlineStr">
        <is>
          <t>PUERTO MONTT 220</t>
        </is>
      </c>
      <c r="AX400" t="n">
        <v>111.133</v>
      </c>
      <c r="AY400" t="n">
        <v>1.080821157758461</v>
      </c>
      <c r="AZ400" t="n">
        <v>120.1148977251711</v>
      </c>
      <c r="BA400" t="n">
        <v>779.3099999999999</v>
      </c>
      <c r="BB400" t="n">
        <v>0.879</v>
      </c>
      <c r="BC400" t="n">
        <v>82.2803252917125</v>
      </c>
      <c r="BD400" t="n">
        <v>0.8421</v>
      </c>
      <c r="BE400" t="n">
        <v>69.288</v>
      </c>
      <c r="BF400" t="n">
        <v>8.9176</v>
      </c>
      <c r="BG400" t="n">
        <v>0.804</v>
      </c>
      <c r="BH400" t="n">
        <v>6039.043023599974</v>
      </c>
      <c r="BI400" t="n">
        <v>1.02699624102973</v>
      </c>
      <c r="BJ400" t="n">
        <v>6202.0745</v>
      </c>
      <c r="BK400" t="n">
        <v>60932.992229256</v>
      </c>
    </row>
    <row r="401">
      <c r="A401" t="n">
        <v>5087</v>
      </c>
      <c r="B401" t="inlineStr">
        <is>
          <t>01-11-2020</t>
        </is>
      </c>
      <c r="C401" t="n">
        <v>2020</v>
      </c>
      <c r="D401" t="n">
        <v>1</v>
      </c>
      <c r="E401" t="inlineStr">
        <is>
          <t>CAREN</t>
        </is>
      </c>
      <c r="F401" t="inlineStr">
        <is>
          <t>SUM_SAESA_A</t>
        </is>
      </c>
      <c r="G401" t="inlineStr">
        <is>
          <t>A</t>
        </is>
      </c>
      <c r="H401" t="inlineStr">
        <is>
          <t>SAESA</t>
        </is>
      </c>
      <c r="I401" t="inlineStr">
        <is>
          <t>SAESFRUTBLOQA</t>
        </is>
      </c>
      <c r="J401" t="inlineStr">
        <is>
          <t>FRUTILLAR</t>
        </is>
      </c>
      <c r="K401" t="n">
        <v>-5275.54617699</v>
      </c>
      <c r="L401" t="inlineStr">
        <is>
          <t>FRUTILLAR</t>
        </is>
      </c>
      <c r="M401" t="inlineStr">
        <is>
          <t>VALDIVIA</t>
        </is>
      </c>
      <c r="N401" t="n">
        <v>0.00223534123905</v>
      </c>
      <c r="O401" t="n">
        <v>11.792646</v>
      </c>
      <c r="P401" t="inlineStr">
        <is>
          <t>BS1A</t>
        </is>
      </c>
      <c r="Q401" t="n">
        <v>2</v>
      </c>
      <c r="V401" t="n">
        <v>1472834.063</v>
      </c>
      <c r="W401" t="n">
        <v>2</v>
      </c>
      <c r="X401" t="n">
        <v>8.487e-08</v>
      </c>
      <c r="Y401" t="n">
        <v>0.249999</v>
      </c>
      <c r="Z401" t="n">
        <v>2.94815</v>
      </c>
      <c r="AA401" t="inlineStr">
        <is>
          <t>PNP_6T_08-05-2020</t>
        </is>
      </c>
      <c r="AB401" t="inlineStr">
        <is>
          <t>PNCP_9T_12-08-2019</t>
        </is>
      </c>
      <c r="AC401" t="inlineStr">
        <is>
          <t>PNCP_4T_30-04-2013</t>
        </is>
      </c>
      <c r="AD401" t="inlineStr">
        <is>
          <t>VALDIVIA 220</t>
        </is>
      </c>
      <c r="AE401" t="n">
        <v>111.133</v>
      </c>
      <c r="AF401" t="n">
        <v>1.072776031070834</v>
      </c>
      <c r="AG401" t="n">
        <v>119.220818660995</v>
      </c>
      <c r="AH401" t="n">
        <v>694.38</v>
      </c>
      <c r="AI401" t="n">
        <v>0.875</v>
      </c>
      <c r="AJ401" t="n">
        <v>72.43648305409401</v>
      </c>
      <c r="AK401" t="n">
        <v>0.913</v>
      </c>
      <c r="AL401" t="n">
        <v>66.13500000000001</v>
      </c>
      <c r="AM401" t="n">
        <v>8.9176</v>
      </c>
      <c r="AN401" t="n">
        <v>9.566587534677272</v>
      </c>
      <c r="AO401" t="n">
        <v>0.913</v>
      </c>
      <c r="AP401" t="n">
        <v>6064.919358776563</v>
      </c>
      <c r="AQ401" t="n">
        <v>1.051287819142954</v>
      </c>
      <c r="AR401" t="n">
        <v>6375.9758</v>
      </c>
      <c r="AS401" t="n">
        <v>194.97590025</v>
      </c>
      <c r="AT401" t="inlineStr">
        <is>
          <t>PNP_16T_02-11-2020</t>
        </is>
      </c>
      <c r="AU401" t="inlineStr">
        <is>
          <t>PNCP_2T_10-02-2020</t>
        </is>
      </c>
      <c r="AV401" t="inlineStr">
        <is>
          <t>PNCP_4T_30-04-2013</t>
        </is>
      </c>
      <c r="AW401" t="inlineStr">
        <is>
          <t>VALDIVIA 220</t>
        </is>
      </c>
      <c r="AX401" t="n">
        <v>111.133</v>
      </c>
      <c r="AY401" t="n">
        <v>1.080821157758461</v>
      </c>
      <c r="AZ401" t="n">
        <v>120.1148977251711</v>
      </c>
      <c r="BA401" t="n">
        <v>779.3099999999999</v>
      </c>
      <c r="BB401" t="n">
        <v>0.879</v>
      </c>
      <c r="BC401" t="n">
        <v>82.2803252917125</v>
      </c>
      <c r="BD401" t="n">
        <v>0.9167</v>
      </c>
      <c r="BE401" t="n">
        <v>75.426</v>
      </c>
      <c r="BF401" t="n">
        <v>8.9176</v>
      </c>
      <c r="BG401" t="n">
        <v>0.804</v>
      </c>
      <c r="BH401" t="n">
        <v>6039.043023599974</v>
      </c>
      <c r="BI401" t="n">
        <v>1.096052187605444</v>
      </c>
      <c r="BJ401" t="n">
        <v>6619.1063</v>
      </c>
      <c r="BK401" t="n">
        <v>222.3671619</v>
      </c>
    </row>
    <row r="402">
      <c r="A402" t="n">
        <v>3721</v>
      </c>
      <c r="B402" t="inlineStr">
        <is>
          <t>01-11-2020</t>
        </is>
      </c>
      <c r="C402" t="n">
        <v>2020</v>
      </c>
      <c r="D402" t="n">
        <v>1</v>
      </c>
      <c r="E402" t="inlineStr">
        <is>
          <t>CAREN</t>
        </is>
      </c>
      <c r="F402" t="inlineStr">
        <is>
          <t>SUM_SAESA_A</t>
        </is>
      </c>
      <c r="G402" t="inlineStr">
        <is>
          <t>A</t>
        </is>
      </c>
      <c r="H402" t="inlineStr">
        <is>
          <t>SAESA</t>
        </is>
      </c>
      <c r="I402" t="inlineStr">
        <is>
          <t>SAESLOSLBLOQA</t>
        </is>
      </c>
      <c r="J402" t="inlineStr">
        <is>
          <t>L.LAGOS</t>
        </is>
      </c>
      <c r="K402" t="n">
        <v>-1888.97870581</v>
      </c>
      <c r="L402" t="inlineStr">
        <is>
          <t>LOS LAGOS</t>
        </is>
      </c>
      <c r="M402" t="inlineStr">
        <is>
          <t>Barro Blanco</t>
        </is>
      </c>
      <c r="N402" t="n">
        <v>0.18733247460026</v>
      </c>
      <c r="O402" t="n">
        <v>353.867055</v>
      </c>
      <c r="P402" t="inlineStr">
        <is>
          <t>BS1A</t>
        </is>
      </c>
      <c r="Q402" t="n">
        <v>2</v>
      </c>
      <c r="V402" t="n">
        <v>1472834.063</v>
      </c>
      <c r="W402" t="n">
        <v>2</v>
      </c>
      <c r="X402" t="n">
        <v>8.487e-08</v>
      </c>
      <c r="Y402" t="n">
        <v>0.249999</v>
      </c>
      <c r="Z402" t="n">
        <v>88.46641</v>
      </c>
      <c r="AA402" t="inlineStr">
        <is>
          <t>PNP_6T_08-05-2020</t>
        </is>
      </c>
      <c r="AB402" t="inlineStr">
        <is>
          <t>PNCP_9T_12-08-2019</t>
        </is>
      </c>
      <c r="AC402" t="inlineStr">
        <is>
          <t>PNCP_4T_30-04-2013</t>
        </is>
      </c>
      <c r="AD402" t="inlineStr">
        <is>
          <t>Barro Blanco 220</t>
        </is>
      </c>
      <c r="AE402" t="n">
        <v>111.133</v>
      </c>
      <c r="AF402" t="n">
        <v>1.072776031070834</v>
      </c>
      <c r="AG402" t="n">
        <v>119.220818660995</v>
      </c>
      <c r="AH402" t="n">
        <v>694.38</v>
      </c>
      <c r="AI402" t="n">
        <v>0.875</v>
      </c>
      <c r="AJ402" t="n">
        <v>72.43648305409401</v>
      </c>
      <c r="AK402" t="n">
        <v>0.8631</v>
      </c>
      <c r="AL402" t="n">
        <v>62.52</v>
      </c>
      <c r="AM402" t="n">
        <v>8.9176</v>
      </c>
      <c r="AN402" t="n">
        <v>9.566587534677272</v>
      </c>
      <c r="AO402" t="n">
        <v>0.913</v>
      </c>
      <c r="AP402" t="n">
        <v>6064.919358776563</v>
      </c>
      <c r="AQ402" t="n">
        <v>1.004432825642191</v>
      </c>
      <c r="AR402" t="n">
        <v>6091.8041</v>
      </c>
      <c r="AS402" t="n">
        <v>5530.9199532</v>
      </c>
      <c r="AT402" t="inlineStr">
        <is>
          <t>PNP_16T_02-11-2020</t>
        </is>
      </c>
      <c r="AU402" t="inlineStr">
        <is>
          <t>PNCP_2T_10-02-2020</t>
        </is>
      </c>
      <c r="AV402" t="inlineStr">
        <is>
          <t>PNCP_4T_30-04-2013</t>
        </is>
      </c>
      <c r="AW402" t="inlineStr">
        <is>
          <t>Barro Blanco 220</t>
        </is>
      </c>
      <c r="AX402" t="n">
        <v>111.133</v>
      </c>
      <c r="AY402" t="n">
        <v>1.080821157758461</v>
      </c>
      <c r="AZ402" t="n">
        <v>120.1148977251711</v>
      </c>
      <c r="BA402" t="n">
        <v>779.3099999999999</v>
      </c>
      <c r="BB402" t="n">
        <v>0.879</v>
      </c>
      <c r="BC402" t="n">
        <v>82.2803252917125</v>
      </c>
      <c r="BD402" t="n">
        <v>0.846</v>
      </c>
      <c r="BE402" t="n">
        <v>69.60899999999999</v>
      </c>
      <c r="BF402" t="n">
        <v>8.9176</v>
      </c>
      <c r="BG402" t="n">
        <v>0.804</v>
      </c>
      <c r="BH402" t="n">
        <v>6039.043023599974</v>
      </c>
      <c r="BI402" t="n">
        <v>1.011820868379177</v>
      </c>
      <c r="BJ402" t="n">
        <v>6110.4298</v>
      </c>
      <c r="BK402" t="n">
        <v>6158.058333689999</v>
      </c>
    </row>
    <row r="403">
      <c r="A403" t="n">
        <v>3723</v>
      </c>
      <c r="B403" t="inlineStr">
        <is>
          <t>01-11-2020</t>
        </is>
      </c>
      <c r="C403" t="n">
        <v>2020</v>
      </c>
      <c r="D403" t="n">
        <v>1</v>
      </c>
      <c r="E403" t="inlineStr">
        <is>
          <t>CAREN</t>
        </is>
      </c>
      <c r="F403" t="inlineStr">
        <is>
          <t>SUM_SAESA_A</t>
        </is>
      </c>
      <c r="G403" t="inlineStr">
        <is>
          <t>A</t>
        </is>
      </c>
      <c r="H403" t="inlineStr">
        <is>
          <t>SAESA</t>
        </is>
      </c>
      <c r="I403" t="inlineStr">
        <is>
          <t>SAESLOSLBLOQA</t>
        </is>
      </c>
      <c r="J403" t="inlineStr">
        <is>
          <t>L.LAGOS</t>
        </is>
      </c>
      <c r="K403" t="n">
        <v>-1888.97870581</v>
      </c>
      <c r="L403" t="inlineStr">
        <is>
          <t>LOS LAGOS</t>
        </is>
      </c>
      <c r="M403" t="inlineStr">
        <is>
          <t>MELIPULLI</t>
        </is>
      </c>
      <c r="N403" t="n">
        <v>0.0106384804266</v>
      </c>
      <c r="O403" t="n">
        <v>20.095863</v>
      </c>
      <c r="P403" t="inlineStr">
        <is>
          <t>BS1A</t>
        </is>
      </c>
      <c r="Q403" t="n">
        <v>2</v>
      </c>
      <c r="V403" t="n">
        <v>1472834.063</v>
      </c>
      <c r="W403" t="n">
        <v>2</v>
      </c>
      <c r="X403" t="n">
        <v>8.487e-08</v>
      </c>
      <c r="Y403" t="n">
        <v>0.249999</v>
      </c>
      <c r="Z403" t="n">
        <v>5.023946</v>
      </c>
      <c r="AA403" t="inlineStr">
        <is>
          <t>PNP_6T_08-05-2020</t>
        </is>
      </c>
      <c r="AB403" t="inlineStr">
        <is>
          <t>PNCP_9T_12-08-2019</t>
        </is>
      </c>
      <c r="AC403" t="inlineStr">
        <is>
          <t>PNCP_4T_30-04-2013</t>
        </is>
      </c>
      <c r="AD403" t="inlineStr">
        <is>
          <t>MELIPULLI 220</t>
        </is>
      </c>
      <c r="AE403" t="n">
        <v>111.133</v>
      </c>
      <c r="AF403" t="n">
        <v>1.072776031070834</v>
      </c>
      <c r="AG403" t="n">
        <v>119.220818660995</v>
      </c>
      <c r="AH403" t="n">
        <v>694.38</v>
      </c>
      <c r="AI403" t="n">
        <v>0.875</v>
      </c>
      <c r="AJ403" t="n">
        <v>72.43648305409401</v>
      </c>
      <c r="AK403" t="n">
        <v>0.8826000000000001</v>
      </c>
      <c r="AL403" t="n">
        <v>63.932</v>
      </c>
      <c r="AM403" t="n">
        <v>8.9176</v>
      </c>
      <c r="AN403" t="n">
        <v>9.566587534677272</v>
      </c>
      <c r="AO403" t="n">
        <v>0.913</v>
      </c>
      <c r="AP403" t="n">
        <v>6064.919358776563</v>
      </c>
      <c r="AQ403" t="n">
        <v>1</v>
      </c>
      <c r="AR403" t="n">
        <v>6064.9194</v>
      </c>
      <c r="AS403" t="n">
        <v>321.190915672</v>
      </c>
      <c r="AT403" t="inlineStr">
        <is>
          <t>PNP_16T_02-11-2020</t>
        </is>
      </c>
      <c r="AU403" t="inlineStr">
        <is>
          <t>PNCP_2T_10-02-2020</t>
        </is>
      </c>
      <c r="AV403" t="inlineStr">
        <is>
          <t>PNCP_4T_30-04-2013</t>
        </is>
      </c>
      <c r="AW403" t="inlineStr">
        <is>
          <t>MELIPULLI 220</t>
        </is>
      </c>
      <c r="AX403" t="n">
        <v>111.133</v>
      </c>
      <c r="AY403" t="n">
        <v>1.080821157758461</v>
      </c>
      <c r="AZ403" t="n">
        <v>120.1148977251711</v>
      </c>
      <c r="BA403" t="n">
        <v>779.3099999999999</v>
      </c>
      <c r="BB403" t="n">
        <v>0.879</v>
      </c>
      <c r="BC403" t="n">
        <v>82.2803252917125</v>
      </c>
      <c r="BD403" t="n">
        <v>0.8421</v>
      </c>
      <c r="BE403" t="n">
        <v>69.288</v>
      </c>
      <c r="BF403" t="n">
        <v>8.9176</v>
      </c>
      <c r="BG403" t="n">
        <v>0.804</v>
      </c>
      <c r="BH403" t="n">
        <v>6039.043023599974</v>
      </c>
      <c r="BI403" t="n">
        <v>1</v>
      </c>
      <c r="BJ403" t="n">
        <v>6039.043</v>
      </c>
      <c r="BK403" t="n">
        <v>348.0991704479999</v>
      </c>
    </row>
    <row r="404">
      <c r="A404" t="n">
        <v>3725</v>
      </c>
      <c r="B404" t="inlineStr">
        <is>
          <t>01-11-2020</t>
        </is>
      </c>
      <c r="C404" t="n">
        <v>2020</v>
      </c>
      <c r="D404" t="n">
        <v>1</v>
      </c>
      <c r="E404" t="inlineStr">
        <is>
          <t>CAREN</t>
        </is>
      </c>
      <c r="F404" t="inlineStr">
        <is>
          <t>SUM_SAESA_A</t>
        </is>
      </c>
      <c r="G404" t="inlineStr">
        <is>
          <t>A</t>
        </is>
      </c>
      <c r="H404" t="inlineStr">
        <is>
          <t>SAESA</t>
        </is>
      </c>
      <c r="I404" t="inlineStr">
        <is>
          <t>SAESLOSLBLOQA</t>
        </is>
      </c>
      <c r="J404" t="inlineStr">
        <is>
          <t>L.LAGOS</t>
        </is>
      </c>
      <c r="K404" t="n">
        <v>-1888.97870581</v>
      </c>
      <c r="L404" t="inlineStr">
        <is>
          <t>LOS LAGOS</t>
        </is>
      </c>
      <c r="M404" t="inlineStr">
        <is>
          <t>VALDIVIA</t>
        </is>
      </c>
      <c r="N404" t="n">
        <v>0.74179711805072</v>
      </c>
      <c r="O404" t="n">
        <v>1401.23896</v>
      </c>
      <c r="P404" t="inlineStr">
        <is>
          <t>BS1A</t>
        </is>
      </c>
      <c r="Q404" t="n">
        <v>2</v>
      </c>
      <c r="V404" t="n">
        <v>1472834.063</v>
      </c>
      <c r="W404" t="n">
        <v>2</v>
      </c>
      <c r="X404" t="n">
        <v>8.487e-08</v>
      </c>
      <c r="Y404" t="n">
        <v>0.249999</v>
      </c>
      <c r="Z404" t="n">
        <v>350.308339</v>
      </c>
      <c r="AA404" t="inlineStr">
        <is>
          <t>PNP_6T_08-05-2020</t>
        </is>
      </c>
      <c r="AB404" t="inlineStr">
        <is>
          <t>PNCP_9T_12-08-2019</t>
        </is>
      </c>
      <c r="AC404" t="inlineStr">
        <is>
          <t>PNCP_4T_30-04-2013</t>
        </is>
      </c>
      <c r="AD404" t="inlineStr">
        <is>
          <t>VALDIVIA 220</t>
        </is>
      </c>
      <c r="AE404" t="n">
        <v>111.133</v>
      </c>
      <c r="AF404" t="n">
        <v>1.072776031070834</v>
      </c>
      <c r="AG404" t="n">
        <v>119.220818660995</v>
      </c>
      <c r="AH404" t="n">
        <v>694.38</v>
      </c>
      <c r="AI404" t="n">
        <v>0.875</v>
      </c>
      <c r="AJ404" t="n">
        <v>72.43648305409401</v>
      </c>
      <c r="AK404" t="n">
        <v>0.913</v>
      </c>
      <c r="AL404" t="n">
        <v>66.13500000000001</v>
      </c>
      <c r="AM404" t="n">
        <v>8.9176</v>
      </c>
      <c r="AN404" t="n">
        <v>9.566587534677272</v>
      </c>
      <c r="AO404" t="n">
        <v>0.913</v>
      </c>
      <c r="AP404" t="n">
        <v>6064.919358776563</v>
      </c>
      <c r="AQ404" t="n">
        <v>1.051287819142954</v>
      </c>
      <c r="AR404" t="n">
        <v>6375.9758</v>
      </c>
      <c r="AS404" t="n">
        <v>23167.641999765</v>
      </c>
      <c r="AT404" t="inlineStr">
        <is>
          <t>PNP_16T_02-11-2020</t>
        </is>
      </c>
      <c r="AU404" t="inlineStr">
        <is>
          <t>PNCP_2T_10-02-2020</t>
        </is>
      </c>
      <c r="AV404" t="inlineStr">
        <is>
          <t>PNCP_4T_30-04-2013</t>
        </is>
      </c>
      <c r="AW404" t="inlineStr">
        <is>
          <t>VALDIVIA 220</t>
        </is>
      </c>
      <c r="AX404" t="n">
        <v>111.133</v>
      </c>
      <c r="AY404" t="n">
        <v>1.080821157758461</v>
      </c>
      <c r="AZ404" t="n">
        <v>120.1148977251711</v>
      </c>
      <c r="BA404" t="n">
        <v>779.3099999999999</v>
      </c>
      <c r="BB404" t="n">
        <v>0.879</v>
      </c>
      <c r="BC404" t="n">
        <v>82.2803252917125</v>
      </c>
      <c r="BD404" t="n">
        <v>0.9167</v>
      </c>
      <c r="BE404" t="n">
        <v>75.426</v>
      </c>
      <c r="BF404" t="n">
        <v>8.9176</v>
      </c>
      <c r="BG404" t="n">
        <v>0.804</v>
      </c>
      <c r="BH404" t="n">
        <v>6039.043023599974</v>
      </c>
      <c r="BI404" t="n">
        <v>1.096052187605444</v>
      </c>
      <c r="BJ404" t="n">
        <v>6619.1063</v>
      </c>
      <c r="BK404" t="n">
        <v>26422.356777414</v>
      </c>
    </row>
    <row r="405">
      <c r="A405" t="n">
        <v>5650</v>
      </c>
      <c r="B405" t="inlineStr">
        <is>
          <t>01-11-2020</t>
        </is>
      </c>
      <c r="C405" t="n">
        <v>2020</v>
      </c>
      <c r="D405" t="n">
        <v>1</v>
      </c>
      <c r="E405" t="inlineStr">
        <is>
          <t>CAREN</t>
        </is>
      </c>
      <c r="F405" t="inlineStr">
        <is>
          <t>SUM_SAESA_A</t>
        </is>
      </c>
      <c r="G405" t="inlineStr">
        <is>
          <t>A</t>
        </is>
      </c>
      <c r="H405" t="inlineStr">
        <is>
          <t>SAESA</t>
        </is>
      </c>
      <c r="I405" t="inlineStr">
        <is>
          <t>SAESLAUNBLOQA</t>
        </is>
      </c>
      <c r="J405" t="inlineStr">
        <is>
          <t>L.UNION</t>
        </is>
      </c>
      <c r="K405" t="n">
        <v>-4526.17652924</v>
      </c>
      <c r="L405" t="inlineStr">
        <is>
          <t>LA UNION</t>
        </is>
      </c>
      <c r="M405" t="inlineStr">
        <is>
          <t>BARRO BLANCO</t>
        </is>
      </c>
      <c r="N405" t="n">
        <v>0.69784426704688</v>
      </c>
      <c r="O405" t="n">
        <v>3158.566343</v>
      </c>
      <c r="P405" t="inlineStr">
        <is>
          <t>BS1A</t>
        </is>
      </c>
      <c r="Q405" t="n">
        <v>2</v>
      </c>
      <c r="V405" t="n">
        <v>1472834.063</v>
      </c>
      <c r="W405" t="n">
        <v>2</v>
      </c>
      <c r="X405" t="n">
        <v>8.487e-08</v>
      </c>
      <c r="Y405" t="n">
        <v>0.249999</v>
      </c>
      <c r="Z405" t="n">
        <v>789.638427</v>
      </c>
      <c r="AA405" t="inlineStr">
        <is>
          <t>PNP_6T_08-05-2020</t>
        </is>
      </c>
      <c r="AB405" t="inlineStr">
        <is>
          <t>PNCP_9T_12-08-2019</t>
        </is>
      </c>
      <c r="AC405" t="inlineStr">
        <is>
          <t>PNCP_4T_30-04-2013</t>
        </is>
      </c>
      <c r="AD405" t="inlineStr">
        <is>
          <t>Barro Blanco 220</t>
        </is>
      </c>
      <c r="AE405" t="n">
        <v>111.133</v>
      </c>
      <c r="AF405" t="n">
        <v>1.072776031070834</v>
      </c>
      <c r="AG405" t="n">
        <v>119.220818660995</v>
      </c>
      <c r="AH405" t="n">
        <v>694.38</v>
      </c>
      <c r="AI405" t="n">
        <v>0.875</v>
      </c>
      <c r="AJ405" t="n">
        <v>72.43648305409401</v>
      </c>
      <c r="AK405" t="n">
        <v>0.8631</v>
      </c>
      <c r="AL405" t="n">
        <v>62.52</v>
      </c>
      <c r="AM405" t="n">
        <v>8.9176</v>
      </c>
      <c r="AN405" t="n">
        <v>9.566587534677272</v>
      </c>
      <c r="AO405" t="n">
        <v>0.913</v>
      </c>
      <c r="AP405" t="n">
        <v>6064.919358776563</v>
      </c>
      <c r="AQ405" t="n">
        <v>1.004432825642191</v>
      </c>
      <c r="AR405" t="n">
        <v>6091.8041</v>
      </c>
      <c r="AS405" t="n">
        <v>49368.19445604</v>
      </c>
      <c r="AT405" t="inlineStr">
        <is>
          <t>PNP_16T_02-11-2020</t>
        </is>
      </c>
      <c r="AU405" t="inlineStr">
        <is>
          <t>PNCP_2T_10-02-2020</t>
        </is>
      </c>
      <c r="AV405" t="inlineStr">
        <is>
          <t>PNCP_4T_30-04-2013</t>
        </is>
      </c>
      <c r="AW405" t="inlineStr">
        <is>
          <t>Barro Blanco 220</t>
        </is>
      </c>
      <c r="AX405" t="n">
        <v>111.133</v>
      </c>
      <c r="AY405" t="n">
        <v>1.080821157758461</v>
      </c>
      <c r="AZ405" t="n">
        <v>120.1148977251711</v>
      </c>
      <c r="BA405" t="n">
        <v>779.3099999999999</v>
      </c>
      <c r="BB405" t="n">
        <v>0.879</v>
      </c>
      <c r="BC405" t="n">
        <v>82.2803252917125</v>
      </c>
      <c r="BD405" t="n">
        <v>0.846</v>
      </c>
      <c r="BE405" t="n">
        <v>69.60899999999999</v>
      </c>
      <c r="BF405" t="n">
        <v>8.9176</v>
      </c>
      <c r="BG405" t="n">
        <v>0.804</v>
      </c>
      <c r="BH405" t="n">
        <v>6039.043023599974</v>
      </c>
      <c r="BI405" t="n">
        <v>1.011820868379177</v>
      </c>
      <c r="BJ405" t="n">
        <v>6110.4298</v>
      </c>
      <c r="BK405" t="n">
        <v>54965.94126504299</v>
      </c>
    </row>
    <row r="406">
      <c r="A406" t="n">
        <v>5652</v>
      </c>
      <c r="B406" t="inlineStr">
        <is>
          <t>01-11-2020</t>
        </is>
      </c>
      <c r="C406" t="n">
        <v>2020</v>
      </c>
      <c r="D406" t="n">
        <v>1</v>
      </c>
      <c r="E406" t="inlineStr">
        <is>
          <t>CAREN</t>
        </is>
      </c>
      <c r="F406" t="inlineStr">
        <is>
          <t>SUM_SAESA_A</t>
        </is>
      </c>
      <c r="G406" t="inlineStr">
        <is>
          <t>A</t>
        </is>
      </c>
      <c r="H406" t="inlineStr">
        <is>
          <t>SAESA</t>
        </is>
      </c>
      <c r="I406" t="inlineStr">
        <is>
          <t>SAESLAUNBLOQA</t>
        </is>
      </c>
      <c r="J406" t="inlineStr">
        <is>
          <t>L.UNION</t>
        </is>
      </c>
      <c r="K406" t="n">
        <v>-4526.17652924</v>
      </c>
      <c r="L406" t="inlineStr">
        <is>
          <t>LA UNION</t>
        </is>
      </c>
      <c r="M406" t="inlineStr">
        <is>
          <t>MELIPULLI</t>
        </is>
      </c>
      <c r="N406" t="n">
        <v>0.05477087158033</v>
      </c>
      <c r="O406" t="n">
        <v>247.902633</v>
      </c>
      <c r="P406" t="inlineStr">
        <is>
          <t>BS1A</t>
        </is>
      </c>
      <c r="Q406" t="n">
        <v>2</v>
      </c>
      <c r="V406" t="n">
        <v>1472834.063</v>
      </c>
      <c r="W406" t="n">
        <v>2</v>
      </c>
      <c r="X406" t="n">
        <v>8.487e-08</v>
      </c>
      <c r="Y406" t="n">
        <v>0.249999</v>
      </c>
      <c r="Z406" t="n">
        <v>61.97541</v>
      </c>
      <c r="AA406" t="inlineStr">
        <is>
          <t>PNP_6T_08-05-2020</t>
        </is>
      </c>
      <c r="AB406" t="inlineStr">
        <is>
          <t>PNCP_9T_12-08-2019</t>
        </is>
      </c>
      <c r="AC406" t="inlineStr">
        <is>
          <t>PNCP_4T_30-04-2013</t>
        </is>
      </c>
      <c r="AD406" t="inlineStr">
        <is>
          <t>MELIPULLI 220</t>
        </is>
      </c>
      <c r="AE406" t="n">
        <v>111.133</v>
      </c>
      <c r="AF406" t="n">
        <v>1.072776031070834</v>
      </c>
      <c r="AG406" t="n">
        <v>119.220818660995</v>
      </c>
      <c r="AH406" t="n">
        <v>694.38</v>
      </c>
      <c r="AI406" t="n">
        <v>0.875</v>
      </c>
      <c r="AJ406" t="n">
        <v>72.43648305409401</v>
      </c>
      <c r="AK406" t="n">
        <v>0.8826000000000001</v>
      </c>
      <c r="AL406" t="n">
        <v>63.932</v>
      </c>
      <c r="AM406" t="n">
        <v>8.9176</v>
      </c>
      <c r="AN406" t="n">
        <v>9.566587534677272</v>
      </c>
      <c r="AO406" t="n">
        <v>0.913</v>
      </c>
      <c r="AP406" t="n">
        <v>6064.919358776563</v>
      </c>
      <c r="AQ406" t="n">
        <v>1</v>
      </c>
      <c r="AR406" t="n">
        <v>6064.9194</v>
      </c>
      <c r="AS406" t="n">
        <v>3962.21191212</v>
      </c>
      <c r="AT406" t="inlineStr">
        <is>
          <t>PNP_16T_02-11-2020</t>
        </is>
      </c>
      <c r="AU406" t="inlineStr">
        <is>
          <t>PNCP_2T_10-02-2020</t>
        </is>
      </c>
      <c r="AV406" t="inlineStr">
        <is>
          <t>PNCP_4T_30-04-2013</t>
        </is>
      </c>
      <c r="AW406" t="inlineStr">
        <is>
          <t>MELIPULLI 220</t>
        </is>
      </c>
      <c r="AX406" t="n">
        <v>111.133</v>
      </c>
      <c r="AY406" t="n">
        <v>1.080821157758461</v>
      </c>
      <c r="AZ406" t="n">
        <v>120.1148977251711</v>
      </c>
      <c r="BA406" t="n">
        <v>779.3099999999999</v>
      </c>
      <c r="BB406" t="n">
        <v>0.879</v>
      </c>
      <c r="BC406" t="n">
        <v>82.2803252917125</v>
      </c>
      <c r="BD406" t="n">
        <v>0.8421</v>
      </c>
      <c r="BE406" t="n">
        <v>69.288</v>
      </c>
      <c r="BF406" t="n">
        <v>8.9176</v>
      </c>
      <c r="BG406" t="n">
        <v>0.804</v>
      </c>
      <c r="BH406" t="n">
        <v>6039.043023599974</v>
      </c>
      <c r="BI406" t="n">
        <v>1</v>
      </c>
      <c r="BJ406" t="n">
        <v>6039.043</v>
      </c>
      <c r="BK406" t="n">
        <v>4294.15220808</v>
      </c>
    </row>
    <row r="407">
      <c r="A407" t="n">
        <v>5654</v>
      </c>
      <c r="B407" t="inlineStr">
        <is>
          <t>01-11-2020</t>
        </is>
      </c>
      <c r="C407" t="n">
        <v>2020</v>
      </c>
      <c r="D407" t="n">
        <v>1</v>
      </c>
      <c r="E407" t="inlineStr">
        <is>
          <t>CAREN</t>
        </is>
      </c>
      <c r="F407" t="inlineStr">
        <is>
          <t>SUM_SAESA_A</t>
        </is>
      </c>
      <c r="G407" t="inlineStr">
        <is>
          <t>A</t>
        </is>
      </c>
      <c r="H407" t="inlineStr">
        <is>
          <t>SAESA</t>
        </is>
      </c>
      <c r="I407" t="inlineStr">
        <is>
          <t>SAESLAUNBLOQA</t>
        </is>
      </c>
      <c r="J407" t="inlineStr">
        <is>
          <t>L.UNION</t>
        </is>
      </c>
      <c r="K407" t="n">
        <v>-4526.17652924</v>
      </c>
      <c r="L407" t="inlineStr">
        <is>
          <t>LA UNION</t>
        </is>
      </c>
      <c r="M407" t="inlineStr">
        <is>
          <t>VALDIVIA</t>
        </is>
      </c>
      <c r="N407" t="n">
        <v>0.26660855469556</v>
      </c>
      <c r="O407" t="n">
        <v>1206.717383</v>
      </c>
      <c r="P407" t="inlineStr">
        <is>
          <t>BS1A</t>
        </is>
      </c>
      <c r="Q407" t="n">
        <v>2</v>
      </c>
      <c r="V407" t="n">
        <v>1472834.063</v>
      </c>
      <c r="W407" t="n">
        <v>2</v>
      </c>
      <c r="X407" t="n">
        <v>8.487e-08</v>
      </c>
      <c r="Y407" t="n">
        <v>0.249999</v>
      </c>
      <c r="Z407" t="n">
        <v>301.678139</v>
      </c>
      <c r="AA407" t="inlineStr">
        <is>
          <t>PNP_6T_08-05-2020</t>
        </is>
      </c>
      <c r="AB407" t="inlineStr">
        <is>
          <t>PNCP_9T_12-08-2019</t>
        </is>
      </c>
      <c r="AC407" t="inlineStr">
        <is>
          <t>PNCP_4T_30-04-2013</t>
        </is>
      </c>
      <c r="AD407" t="inlineStr">
        <is>
          <t>VALDIVIA 220</t>
        </is>
      </c>
      <c r="AE407" t="n">
        <v>111.133</v>
      </c>
      <c r="AF407" t="n">
        <v>1.072776031070834</v>
      </c>
      <c r="AG407" t="n">
        <v>119.220818660995</v>
      </c>
      <c r="AH407" t="n">
        <v>694.38</v>
      </c>
      <c r="AI407" t="n">
        <v>0.875</v>
      </c>
      <c r="AJ407" t="n">
        <v>72.43648305409401</v>
      </c>
      <c r="AK407" t="n">
        <v>0.913</v>
      </c>
      <c r="AL407" t="n">
        <v>66.13500000000001</v>
      </c>
      <c r="AM407" t="n">
        <v>8.9176</v>
      </c>
      <c r="AN407" t="n">
        <v>9.566587534677272</v>
      </c>
      <c r="AO407" t="n">
        <v>0.913</v>
      </c>
      <c r="AP407" t="n">
        <v>6064.919358776563</v>
      </c>
      <c r="AQ407" t="n">
        <v>1.051287819142954</v>
      </c>
      <c r="AR407" t="n">
        <v>6375.9758</v>
      </c>
      <c r="AS407" t="n">
        <v>19951.483722765</v>
      </c>
      <c r="AT407" t="inlineStr">
        <is>
          <t>PNP_16T_02-11-2020</t>
        </is>
      </c>
      <c r="AU407" t="inlineStr">
        <is>
          <t>PNCP_2T_10-02-2020</t>
        </is>
      </c>
      <c r="AV407" t="inlineStr">
        <is>
          <t>PNCP_4T_30-04-2013</t>
        </is>
      </c>
      <c r="AW407" t="inlineStr">
        <is>
          <t>VALDIVIA 220</t>
        </is>
      </c>
      <c r="AX407" t="n">
        <v>111.133</v>
      </c>
      <c r="AY407" t="n">
        <v>1.080821157758461</v>
      </c>
      <c r="AZ407" t="n">
        <v>120.1148977251711</v>
      </c>
      <c r="BA407" t="n">
        <v>779.3099999999999</v>
      </c>
      <c r="BB407" t="n">
        <v>0.879</v>
      </c>
      <c r="BC407" t="n">
        <v>82.2803252917125</v>
      </c>
      <c r="BD407" t="n">
        <v>0.9167</v>
      </c>
      <c r="BE407" t="n">
        <v>75.426</v>
      </c>
      <c r="BF407" t="n">
        <v>8.9176</v>
      </c>
      <c r="BG407" t="n">
        <v>0.804</v>
      </c>
      <c r="BH407" t="n">
        <v>6039.043023599974</v>
      </c>
      <c r="BI407" t="n">
        <v>1.096052187605444</v>
      </c>
      <c r="BJ407" t="n">
        <v>6619.1063</v>
      </c>
      <c r="BK407" t="n">
        <v>22754.375312214</v>
      </c>
    </row>
    <row r="408">
      <c r="A408" t="n">
        <v>1897</v>
      </c>
      <c r="B408" t="inlineStr">
        <is>
          <t>01-11-2020</t>
        </is>
      </c>
      <c r="C408" t="n">
        <v>2020</v>
      </c>
      <c r="D408" t="n">
        <v>1</v>
      </c>
      <c r="E408" t="inlineStr">
        <is>
          <t>CAREN</t>
        </is>
      </c>
      <c r="F408" t="inlineStr">
        <is>
          <t>SUM_SAESA_A</t>
        </is>
      </c>
      <c r="G408" t="inlineStr">
        <is>
          <t>A</t>
        </is>
      </c>
      <c r="H408" t="inlineStr">
        <is>
          <t>SAESA</t>
        </is>
      </c>
      <c r="I408" t="inlineStr">
        <is>
          <t>SAESLONCBLOQA</t>
        </is>
      </c>
      <c r="J408" t="inlineStr">
        <is>
          <t>LONCOCHE2</t>
        </is>
      </c>
      <c r="K408" t="n">
        <v>-5020.65493423</v>
      </c>
      <c r="L408" t="inlineStr">
        <is>
          <t>LONCOCHE</t>
        </is>
      </c>
      <c r="M408" t="inlineStr">
        <is>
          <t>CAUTÍN</t>
        </is>
      </c>
      <c r="N408" t="n">
        <v>0.14466350564106</v>
      </c>
      <c r="O408" t="n">
        <v>726.3055429999999</v>
      </c>
      <c r="P408" t="inlineStr">
        <is>
          <t>BS1A</t>
        </is>
      </c>
      <c r="Q408" t="n">
        <v>2</v>
      </c>
      <c r="V408" t="n">
        <v>1472834.063</v>
      </c>
      <c r="W408" t="n">
        <v>2</v>
      </c>
      <c r="X408" t="n">
        <v>8.487e-08</v>
      </c>
      <c r="Y408" t="n">
        <v>0.249999</v>
      </c>
      <c r="Z408" t="n">
        <v>181.575659</v>
      </c>
      <c r="AA408" t="inlineStr">
        <is>
          <t>PNP_6T_08-05-2020</t>
        </is>
      </c>
      <c r="AB408" t="inlineStr">
        <is>
          <t>PNCP_9T_12-08-2019</t>
        </is>
      </c>
      <c r="AC408" t="inlineStr">
        <is>
          <t>PNCP_4T_30-04-2013</t>
        </is>
      </c>
      <c r="AD408" t="inlineStr">
        <is>
          <t>CAUTÍN 220</t>
        </is>
      </c>
      <c r="AE408" t="n">
        <v>111.133</v>
      </c>
      <c r="AF408" t="n">
        <v>1.072776031070834</v>
      </c>
      <c r="AG408" t="n">
        <v>119.220818660995</v>
      </c>
      <c r="AH408" t="n">
        <v>694.38</v>
      </c>
      <c r="AI408" t="n">
        <v>0.875</v>
      </c>
      <c r="AJ408" t="n">
        <v>72.43648305409401</v>
      </c>
      <c r="AK408" t="n">
        <v>0.9214</v>
      </c>
      <c r="AL408" t="n">
        <v>66.74299999999999</v>
      </c>
      <c r="AM408" t="n">
        <v>8.9176</v>
      </c>
      <c r="AN408" t="n">
        <v>9.566587534677272</v>
      </c>
      <c r="AO408" t="n">
        <v>0.913</v>
      </c>
      <c r="AP408" t="n">
        <v>6064.919358776563</v>
      </c>
      <c r="AQ408" t="n">
        <v>1.04671516253694</v>
      </c>
      <c r="AR408" t="n">
        <v>6348.2431</v>
      </c>
      <c r="AS408" t="n">
        <v>12118.904208637</v>
      </c>
      <c r="AT408" t="inlineStr">
        <is>
          <t>PNP_16T_02-11-2020</t>
        </is>
      </c>
      <c r="AU408" t="inlineStr">
        <is>
          <t>PNCP_2T_10-02-2020</t>
        </is>
      </c>
      <c r="AV408" t="inlineStr">
        <is>
          <t>PNCP_4T_30-04-2013</t>
        </is>
      </c>
      <c r="AW408" t="inlineStr">
        <is>
          <t>CAUTÍN 220</t>
        </is>
      </c>
      <c r="AX408" t="n">
        <v>111.133</v>
      </c>
      <c r="AY408" t="n">
        <v>1.080821157758461</v>
      </c>
      <c r="AZ408" t="n">
        <v>120.1148977251711</v>
      </c>
      <c r="BA408" t="n">
        <v>779.3099999999999</v>
      </c>
      <c r="BB408" t="n">
        <v>0.879</v>
      </c>
      <c r="BC408" t="n">
        <v>82.2803252917125</v>
      </c>
      <c r="BD408" t="n">
        <v>0.9324</v>
      </c>
      <c r="BE408" t="n">
        <v>76.718</v>
      </c>
      <c r="BF408" t="n">
        <v>8.9176</v>
      </c>
      <c r="BG408" t="n">
        <v>0.804</v>
      </c>
      <c r="BH408" t="n">
        <v>6039.043023599974</v>
      </c>
      <c r="BI408" t="n">
        <v>1.08558763355308</v>
      </c>
      <c r="BJ408" t="n">
        <v>6555.9104</v>
      </c>
      <c r="BK408" t="n">
        <v>13930.121407162</v>
      </c>
    </row>
    <row r="409">
      <c r="A409" t="n">
        <v>1899</v>
      </c>
      <c r="B409" t="inlineStr">
        <is>
          <t>01-11-2020</t>
        </is>
      </c>
      <c r="C409" t="n">
        <v>2020</v>
      </c>
      <c r="D409" t="n">
        <v>1</v>
      </c>
      <c r="E409" t="inlineStr">
        <is>
          <t>CAREN</t>
        </is>
      </c>
      <c r="F409" t="inlineStr">
        <is>
          <t>SUM_SAESA_A</t>
        </is>
      </c>
      <c r="G409" t="inlineStr">
        <is>
          <t>A</t>
        </is>
      </c>
      <c r="H409" t="inlineStr">
        <is>
          <t>SAESA</t>
        </is>
      </c>
      <c r="I409" t="inlineStr">
        <is>
          <t>SAESLONCBLOQA</t>
        </is>
      </c>
      <c r="J409" t="inlineStr">
        <is>
          <t>LONCOCHE2</t>
        </is>
      </c>
      <c r="K409" t="n">
        <v>-5020.65493423</v>
      </c>
      <c r="L409" t="inlineStr">
        <is>
          <t>LONCOCHE</t>
        </is>
      </c>
      <c r="M409" t="inlineStr">
        <is>
          <t>CHARRUA</t>
        </is>
      </c>
      <c r="N409" t="n">
        <v>0.04479645833059</v>
      </c>
      <c r="O409" t="n">
        <v>224.90756</v>
      </c>
      <c r="P409" t="inlineStr">
        <is>
          <t>BS1A</t>
        </is>
      </c>
      <c r="Q409" t="n">
        <v>2</v>
      </c>
      <c r="V409" t="n">
        <v>1472834.063</v>
      </c>
      <c r="W409" t="n">
        <v>2</v>
      </c>
      <c r="X409" t="n">
        <v>8.487e-08</v>
      </c>
      <c r="Y409" t="n">
        <v>0.249999</v>
      </c>
      <c r="Z409" t="n">
        <v>56.226665</v>
      </c>
      <c r="AA409" t="inlineStr">
        <is>
          <t>PNP_6T_08-05-2020</t>
        </is>
      </c>
      <c r="AB409" t="inlineStr">
        <is>
          <t>PNCP_9T_12-08-2019</t>
        </is>
      </c>
      <c r="AC409" t="inlineStr">
        <is>
          <t>PNCP_4T_30-04-2013</t>
        </is>
      </c>
      <c r="AD409" t="inlineStr">
        <is>
          <t>CHARRUA 220</t>
        </is>
      </c>
      <c r="AE409" t="n">
        <v>111.133</v>
      </c>
      <c r="AF409" t="n">
        <v>1.072776031070834</v>
      </c>
      <c r="AG409" t="n">
        <v>119.220818660995</v>
      </c>
      <c r="AH409" t="n">
        <v>694.38</v>
      </c>
      <c r="AI409" t="n">
        <v>0.875</v>
      </c>
      <c r="AJ409" t="n">
        <v>72.43648305409401</v>
      </c>
      <c r="AK409" t="n">
        <v>0.9350000000000001</v>
      </c>
      <c r="AL409" t="n">
        <v>67.72799999999999</v>
      </c>
      <c r="AM409" t="n">
        <v>8.9176</v>
      </c>
      <c r="AN409" t="n">
        <v>9.566587534677272</v>
      </c>
      <c r="AO409" t="n">
        <v>0.913</v>
      </c>
      <c r="AP409" t="n">
        <v>6064.919358776563</v>
      </c>
      <c r="AQ409" t="n">
        <v>1.096171586715867</v>
      </c>
      <c r="AR409" t="n">
        <v>6648.1923</v>
      </c>
      <c r="AS409" t="n">
        <v>3808.119567119999</v>
      </c>
      <c r="AT409" t="inlineStr">
        <is>
          <t>PNP_16T_02-11-2020</t>
        </is>
      </c>
      <c r="AU409" t="inlineStr">
        <is>
          <t>PNCP_2T_10-02-2020</t>
        </is>
      </c>
      <c r="AV409" t="inlineStr">
        <is>
          <t>PNCP_4T_30-04-2013</t>
        </is>
      </c>
      <c r="AW409" t="inlineStr">
        <is>
          <t>CHARRUA 220</t>
        </is>
      </c>
      <c r="AX409" t="n">
        <v>111.133</v>
      </c>
      <c r="AY409" t="n">
        <v>1.080821157758461</v>
      </c>
      <c r="AZ409" t="n">
        <v>120.1148977251711</v>
      </c>
      <c r="BA409" t="n">
        <v>779.3099999999999</v>
      </c>
      <c r="BB409" t="n">
        <v>0.879</v>
      </c>
      <c r="BC409" t="n">
        <v>82.2803252917125</v>
      </c>
      <c r="BD409" t="n">
        <v>0.9312</v>
      </c>
      <c r="BE409" t="n">
        <v>76.619</v>
      </c>
      <c r="BF409" t="n">
        <v>8.9176</v>
      </c>
      <c r="BG409" t="n">
        <v>0.804</v>
      </c>
      <c r="BH409" t="n">
        <v>6039.043023599974</v>
      </c>
      <c r="BI409" t="n">
        <v>1.118773062730627</v>
      </c>
      <c r="BJ409" t="n">
        <v>6756.3187</v>
      </c>
      <c r="BK409" t="n">
        <v>4308.030845634999</v>
      </c>
    </row>
    <row r="410">
      <c r="A410" t="n">
        <v>1901</v>
      </c>
      <c r="B410" t="inlineStr">
        <is>
          <t>01-11-2020</t>
        </is>
      </c>
      <c r="C410" t="n">
        <v>2020</v>
      </c>
      <c r="D410" t="n">
        <v>1</v>
      </c>
      <c r="E410" t="inlineStr">
        <is>
          <t>CAREN</t>
        </is>
      </c>
      <c r="F410" t="inlineStr">
        <is>
          <t>SUM_SAESA_A</t>
        </is>
      </c>
      <c r="G410" t="inlineStr">
        <is>
          <t>A</t>
        </is>
      </c>
      <c r="H410" t="inlineStr">
        <is>
          <t>SAESA</t>
        </is>
      </c>
      <c r="I410" t="inlineStr">
        <is>
          <t>SAESLONCBLOQA</t>
        </is>
      </c>
      <c r="J410" t="inlineStr">
        <is>
          <t>LONCOCHE2</t>
        </is>
      </c>
      <c r="K410" t="n">
        <v>-5020.65493423</v>
      </c>
      <c r="L410" t="inlineStr">
        <is>
          <t>LONCOCHE</t>
        </is>
      </c>
      <c r="M410" t="inlineStr">
        <is>
          <t>TEMUCO</t>
        </is>
      </c>
      <c r="N410" t="n">
        <v>0.81998113373673</v>
      </c>
      <c r="O410" t="n">
        <v>4116.842325</v>
      </c>
      <c r="P410" t="inlineStr">
        <is>
          <t>BS1A</t>
        </is>
      </c>
      <c r="Q410" t="n">
        <v>2</v>
      </c>
      <c r="V410" t="n">
        <v>1472834.063</v>
      </c>
      <c r="W410" t="n">
        <v>2</v>
      </c>
      <c r="X410" t="n">
        <v>8.487e-08</v>
      </c>
      <c r="Y410" t="n">
        <v>0.249999</v>
      </c>
      <c r="Z410" t="n">
        <v>1029.206464</v>
      </c>
      <c r="AA410" t="inlineStr">
        <is>
          <t>PNP_6T_08-05-2020</t>
        </is>
      </c>
      <c r="AB410" t="inlineStr">
        <is>
          <t>PNCP_9T_12-08-2019</t>
        </is>
      </c>
      <c r="AC410" t="inlineStr">
        <is>
          <t>PNCP_4T_30-04-2013</t>
        </is>
      </c>
      <c r="AD410" t="inlineStr">
        <is>
          <t>TEMUCO 220</t>
        </is>
      </c>
      <c r="AE410" t="n">
        <v>111.133</v>
      </c>
      <c r="AF410" t="n">
        <v>1.072776031070834</v>
      </c>
      <c r="AG410" t="n">
        <v>119.220818660995</v>
      </c>
      <c r="AH410" t="n">
        <v>694.38</v>
      </c>
      <c r="AI410" t="n">
        <v>0.875</v>
      </c>
      <c r="AJ410" t="n">
        <v>72.43648305409401</v>
      </c>
      <c r="AK410" t="n">
        <v>0.9159</v>
      </c>
      <c r="AL410" t="n">
        <v>66.345</v>
      </c>
      <c r="AM410" t="n">
        <v>8.9176</v>
      </c>
      <c r="AN410" t="n">
        <v>9.566587534677272</v>
      </c>
      <c r="AO410" t="n">
        <v>0.913</v>
      </c>
      <c r="AP410" t="n">
        <v>6064.919358776563</v>
      </c>
      <c r="AQ410" t="n">
        <v>1.043187485830877</v>
      </c>
      <c r="AR410" t="n">
        <v>6326.848</v>
      </c>
      <c r="AS410" t="n">
        <v>68282.70285408001</v>
      </c>
      <c r="AT410" t="inlineStr">
        <is>
          <t>PNP_16T_02-11-2020</t>
        </is>
      </c>
      <c r="AU410" t="inlineStr">
        <is>
          <t>PNCP_2T_10-02-2020</t>
        </is>
      </c>
      <c r="AV410" t="inlineStr">
        <is>
          <t>PNCP_4T_30-04-2013</t>
        </is>
      </c>
      <c r="AW410" t="inlineStr">
        <is>
          <t>TEMUCO 220</t>
        </is>
      </c>
      <c r="AX410" t="n">
        <v>111.133</v>
      </c>
      <c r="AY410" t="n">
        <v>1.080821157758461</v>
      </c>
      <c r="AZ410" t="n">
        <v>120.1148977251711</v>
      </c>
      <c r="BA410" t="n">
        <v>779.3099999999999</v>
      </c>
      <c r="BB410" t="n">
        <v>0.879</v>
      </c>
      <c r="BC410" t="n">
        <v>82.2803252917125</v>
      </c>
      <c r="BD410" t="n">
        <v>0.9286</v>
      </c>
      <c r="BE410" t="n">
        <v>76.40600000000001</v>
      </c>
      <c r="BF410" t="n">
        <v>8.9176</v>
      </c>
      <c r="BG410" t="n">
        <v>0.804</v>
      </c>
      <c r="BH410" t="n">
        <v>6039.043023599974</v>
      </c>
      <c r="BI410" t="n">
        <v>1.081160734527318</v>
      </c>
      <c r="BJ410" t="n">
        <v>6529.1762</v>
      </c>
      <c r="BK410" t="n">
        <v>78637.54908838401</v>
      </c>
    </row>
    <row r="411">
      <c r="A411" t="n">
        <v>3811</v>
      </c>
      <c r="B411" t="inlineStr">
        <is>
          <t>01-11-2020</t>
        </is>
      </c>
      <c r="C411" t="n">
        <v>2020</v>
      </c>
      <c r="D411" t="n">
        <v>1</v>
      </c>
      <c r="E411" t="inlineStr">
        <is>
          <t>CAREN</t>
        </is>
      </c>
      <c r="F411" t="inlineStr">
        <is>
          <t>SUM_SAESA_A</t>
        </is>
      </c>
      <c r="G411" t="inlineStr">
        <is>
          <t>A</t>
        </is>
      </c>
      <c r="H411" t="inlineStr">
        <is>
          <t>SAESA</t>
        </is>
      </c>
      <c r="I411" t="inlineStr">
        <is>
          <t>SAESLTAMBLOQA</t>
        </is>
      </c>
      <c r="J411" t="inlineStr">
        <is>
          <t>LOS_TAMBORES</t>
        </is>
      </c>
      <c r="K411" t="n">
        <v>-3662.90236157</v>
      </c>
      <c r="L411" t="inlineStr">
        <is>
          <t>LOS TAMBORES</t>
        </is>
      </c>
      <c r="M411" t="inlineStr">
        <is>
          <t>BARRO BLANCO</t>
        </is>
      </c>
      <c r="N411" t="n">
        <v>0.75545534124308</v>
      </c>
      <c r="O411" t="n">
        <v>2767.159153</v>
      </c>
      <c r="P411" t="inlineStr">
        <is>
          <t>BS1A</t>
        </is>
      </c>
      <c r="Q411" t="n">
        <v>2</v>
      </c>
      <c r="V411" t="n">
        <v>1472834.063</v>
      </c>
      <c r="W411" t="n">
        <v>2</v>
      </c>
      <c r="X411" t="n">
        <v>8.487e-08</v>
      </c>
      <c r="Y411" t="n">
        <v>0.249999</v>
      </c>
      <c r="Z411" t="n">
        <v>691.787021</v>
      </c>
      <c r="AA411" t="inlineStr">
        <is>
          <t>PNP_6T_08-05-2020</t>
        </is>
      </c>
      <c r="AB411" t="inlineStr">
        <is>
          <t>PNCP_9T_12-08-2019</t>
        </is>
      </c>
      <c r="AC411" t="inlineStr">
        <is>
          <t>PNCP_4T_30-04-2013</t>
        </is>
      </c>
      <c r="AD411" t="inlineStr">
        <is>
          <t>Barro Blanco 220</t>
        </is>
      </c>
      <c r="AE411" t="n">
        <v>111.133</v>
      </c>
      <c r="AF411" t="n">
        <v>1.072776031070834</v>
      </c>
      <c r="AG411" t="n">
        <v>119.220818660995</v>
      </c>
      <c r="AH411" t="n">
        <v>694.38</v>
      </c>
      <c r="AI411" t="n">
        <v>0.875</v>
      </c>
      <c r="AJ411" t="n">
        <v>72.43648305409401</v>
      </c>
      <c r="AK411" t="n">
        <v>0.8631</v>
      </c>
      <c r="AL411" t="n">
        <v>62.52</v>
      </c>
      <c r="AM411" t="n">
        <v>8.9176</v>
      </c>
      <c r="AN411" t="n">
        <v>9.566587534677272</v>
      </c>
      <c r="AO411" t="n">
        <v>0.913</v>
      </c>
      <c r="AP411" t="n">
        <v>6064.919358776563</v>
      </c>
      <c r="AQ411" t="n">
        <v>1.004432825642191</v>
      </c>
      <c r="AR411" t="n">
        <v>6091.8041</v>
      </c>
      <c r="AS411" t="n">
        <v>43250.52455292</v>
      </c>
      <c r="AT411" t="inlineStr">
        <is>
          <t>PNP_16T_02-11-2020</t>
        </is>
      </c>
      <c r="AU411" t="inlineStr">
        <is>
          <t>PNCP_2T_10-02-2020</t>
        </is>
      </c>
      <c r="AV411" t="inlineStr">
        <is>
          <t>PNCP_4T_30-04-2013</t>
        </is>
      </c>
      <c r="AW411" t="inlineStr">
        <is>
          <t>Barro Blanco 220</t>
        </is>
      </c>
      <c r="AX411" t="n">
        <v>111.133</v>
      </c>
      <c r="AY411" t="n">
        <v>1.080821157758461</v>
      </c>
      <c r="AZ411" t="n">
        <v>120.1148977251711</v>
      </c>
      <c r="BA411" t="n">
        <v>779.3099999999999</v>
      </c>
      <c r="BB411" t="n">
        <v>0.879</v>
      </c>
      <c r="BC411" t="n">
        <v>82.2803252917125</v>
      </c>
      <c r="BD411" t="n">
        <v>0.846</v>
      </c>
      <c r="BE411" t="n">
        <v>69.60899999999999</v>
      </c>
      <c r="BF411" t="n">
        <v>8.9176</v>
      </c>
      <c r="BG411" t="n">
        <v>0.804</v>
      </c>
      <c r="BH411" t="n">
        <v>6039.043023599974</v>
      </c>
      <c r="BI411" t="n">
        <v>1.011820868379177</v>
      </c>
      <c r="BJ411" t="n">
        <v>6110.4298</v>
      </c>
      <c r="BK411" t="n">
        <v>48154.60274478899</v>
      </c>
    </row>
    <row r="412">
      <c r="A412" t="n">
        <v>3813</v>
      </c>
      <c r="B412" t="inlineStr">
        <is>
          <t>01-11-2020</t>
        </is>
      </c>
      <c r="C412" t="n">
        <v>2020</v>
      </c>
      <c r="D412" t="n">
        <v>1</v>
      </c>
      <c r="E412" t="inlineStr">
        <is>
          <t>CAREN</t>
        </is>
      </c>
      <c r="F412" t="inlineStr">
        <is>
          <t>SUM_SAESA_A</t>
        </is>
      </c>
      <c r="G412" t="inlineStr">
        <is>
          <t>A</t>
        </is>
      </c>
      <c r="H412" t="inlineStr">
        <is>
          <t>SAESA</t>
        </is>
      </c>
      <c r="I412" t="inlineStr">
        <is>
          <t>SAESLTAMBLOQA</t>
        </is>
      </c>
      <c r="J412" t="inlineStr">
        <is>
          <t>LOS_TAMBORES</t>
        </is>
      </c>
      <c r="K412" t="n">
        <v>-3662.90236157</v>
      </c>
      <c r="L412" t="inlineStr">
        <is>
          <t>LOS TAMBORES</t>
        </is>
      </c>
      <c r="M412" t="inlineStr">
        <is>
          <t>MELIPULLI</t>
        </is>
      </c>
      <c r="N412" t="n">
        <v>0.04254585600052</v>
      </c>
      <c r="O412" t="n">
        <v>155.841316</v>
      </c>
      <c r="P412" t="inlineStr">
        <is>
          <t>BS1A</t>
        </is>
      </c>
      <c r="Q412" t="n">
        <v>2</v>
      </c>
      <c r="V412" t="n">
        <v>1472834.063</v>
      </c>
      <c r="W412" t="n">
        <v>2</v>
      </c>
      <c r="X412" t="n">
        <v>8.487e-08</v>
      </c>
      <c r="Y412" t="n">
        <v>0.249999</v>
      </c>
      <c r="Z412" t="n">
        <v>38.960173</v>
      </c>
      <c r="AA412" t="inlineStr">
        <is>
          <t>PNP_6T_08-05-2020</t>
        </is>
      </c>
      <c r="AB412" t="inlineStr">
        <is>
          <t>PNCP_9T_12-08-2019</t>
        </is>
      </c>
      <c r="AC412" t="inlineStr">
        <is>
          <t>PNCP_4T_30-04-2013</t>
        </is>
      </c>
      <c r="AD412" t="inlineStr">
        <is>
          <t>MELIPULLI 220</t>
        </is>
      </c>
      <c r="AE412" t="n">
        <v>111.133</v>
      </c>
      <c r="AF412" t="n">
        <v>1.072776031070834</v>
      </c>
      <c r="AG412" t="n">
        <v>119.220818660995</v>
      </c>
      <c r="AH412" t="n">
        <v>694.38</v>
      </c>
      <c r="AI412" t="n">
        <v>0.875</v>
      </c>
      <c r="AJ412" t="n">
        <v>72.43648305409401</v>
      </c>
      <c r="AK412" t="n">
        <v>0.8826000000000001</v>
      </c>
      <c r="AL412" t="n">
        <v>63.932</v>
      </c>
      <c r="AM412" t="n">
        <v>8.9176</v>
      </c>
      <c r="AN412" t="n">
        <v>9.566587534677272</v>
      </c>
      <c r="AO412" t="n">
        <v>0.913</v>
      </c>
      <c r="AP412" t="n">
        <v>6064.919358776563</v>
      </c>
      <c r="AQ412" t="n">
        <v>1</v>
      </c>
      <c r="AR412" t="n">
        <v>6064.9194</v>
      </c>
      <c r="AS412" t="n">
        <v>2490.801780236</v>
      </c>
      <c r="AT412" t="inlineStr">
        <is>
          <t>PNP_16T_02-11-2020</t>
        </is>
      </c>
      <c r="AU412" t="inlineStr">
        <is>
          <t>PNCP_2T_10-02-2020</t>
        </is>
      </c>
      <c r="AV412" t="inlineStr">
        <is>
          <t>PNCP_4T_30-04-2013</t>
        </is>
      </c>
      <c r="AW412" t="inlineStr">
        <is>
          <t>MELIPULLI 220</t>
        </is>
      </c>
      <c r="AX412" t="n">
        <v>111.133</v>
      </c>
      <c r="AY412" t="n">
        <v>1.080821157758461</v>
      </c>
      <c r="AZ412" t="n">
        <v>120.1148977251711</v>
      </c>
      <c r="BA412" t="n">
        <v>779.3099999999999</v>
      </c>
      <c r="BB412" t="n">
        <v>0.879</v>
      </c>
      <c r="BC412" t="n">
        <v>82.2803252917125</v>
      </c>
      <c r="BD412" t="n">
        <v>0.8421</v>
      </c>
      <c r="BE412" t="n">
        <v>69.288</v>
      </c>
      <c r="BF412" t="n">
        <v>8.9176</v>
      </c>
      <c r="BG412" t="n">
        <v>0.804</v>
      </c>
      <c r="BH412" t="n">
        <v>6039.043023599974</v>
      </c>
      <c r="BI412" t="n">
        <v>1</v>
      </c>
      <c r="BJ412" t="n">
        <v>6039.043</v>
      </c>
      <c r="BK412" t="n">
        <v>2699.472466824</v>
      </c>
    </row>
    <row r="413">
      <c r="A413" t="n">
        <v>3815</v>
      </c>
      <c r="B413" t="inlineStr">
        <is>
          <t>01-11-2020</t>
        </is>
      </c>
      <c r="C413" t="n">
        <v>2020</v>
      </c>
      <c r="D413" t="n">
        <v>1</v>
      </c>
      <c r="E413" t="inlineStr">
        <is>
          <t>CAREN</t>
        </is>
      </c>
      <c r="F413" t="inlineStr">
        <is>
          <t>SUM_SAESA_A</t>
        </is>
      </c>
      <c r="G413" t="inlineStr">
        <is>
          <t>A</t>
        </is>
      </c>
      <c r="H413" t="inlineStr">
        <is>
          <t>SAESA</t>
        </is>
      </c>
      <c r="I413" t="inlineStr">
        <is>
          <t>SAESLTAMBLOQA</t>
        </is>
      </c>
      <c r="J413" t="inlineStr">
        <is>
          <t>LOS_TAMBORES</t>
        </is>
      </c>
      <c r="K413" t="n">
        <v>-3662.90236157</v>
      </c>
      <c r="L413" t="inlineStr">
        <is>
          <t>LOS TAMBORES</t>
        </is>
      </c>
      <c r="M413" t="inlineStr">
        <is>
          <t>VALDIVIA</t>
        </is>
      </c>
      <c r="N413" t="n">
        <v>0.15079558340347</v>
      </c>
      <c r="O413" t="n">
        <v>552.349499</v>
      </c>
      <c r="P413" t="inlineStr">
        <is>
          <t>BS1A</t>
        </is>
      </c>
      <c r="Q413" t="n">
        <v>2</v>
      </c>
      <c r="V413" t="n">
        <v>1472834.063</v>
      </c>
      <c r="W413" t="n">
        <v>2</v>
      </c>
      <c r="X413" t="n">
        <v>8.487e-08</v>
      </c>
      <c r="Y413" t="n">
        <v>0.249999</v>
      </c>
      <c r="Z413" t="n">
        <v>138.086822</v>
      </c>
      <c r="AA413" t="inlineStr">
        <is>
          <t>PNP_6T_08-05-2020</t>
        </is>
      </c>
      <c r="AB413" t="inlineStr">
        <is>
          <t>PNCP_9T_12-08-2019</t>
        </is>
      </c>
      <c r="AC413" t="inlineStr">
        <is>
          <t>PNCP_4T_30-04-2013</t>
        </is>
      </c>
      <c r="AD413" t="inlineStr">
        <is>
          <t>VALDIVIA 220</t>
        </is>
      </c>
      <c r="AE413" t="n">
        <v>111.133</v>
      </c>
      <c r="AF413" t="n">
        <v>1.072776031070834</v>
      </c>
      <c r="AG413" t="n">
        <v>119.220818660995</v>
      </c>
      <c r="AH413" t="n">
        <v>694.38</v>
      </c>
      <c r="AI413" t="n">
        <v>0.875</v>
      </c>
      <c r="AJ413" t="n">
        <v>72.43648305409401</v>
      </c>
      <c r="AK413" t="n">
        <v>0.913</v>
      </c>
      <c r="AL413" t="n">
        <v>66.13500000000001</v>
      </c>
      <c r="AM413" t="n">
        <v>8.9176</v>
      </c>
      <c r="AN413" t="n">
        <v>9.566587534677272</v>
      </c>
      <c r="AO413" t="n">
        <v>0.913</v>
      </c>
      <c r="AP413" t="n">
        <v>6064.919358776563</v>
      </c>
      <c r="AQ413" t="n">
        <v>1.051287819142954</v>
      </c>
      <c r="AR413" t="n">
        <v>6375.9758</v>
      </c>
      <c r="AS413" t="n">
        <v>9132.371972970002</v>
      </c>
      <c r="AT413" t="inlineStr">
        <is>
          <t>PNP_16T_02-11-2020</t>
        </is>
      </c>
      <c r="AU413" t="inlineStr">
        <is>
          <t>PNCP_2T_10-02-2020</t>
        </is>
      </c>
      <c r="AV413" t="inlineStr">
        <is>
          <t>PNCP_4T_30-04-2013</t>
        </is>
      </c>
      <c r="AW413" t="inlineStr">
        <is>
          <t>VALDIVIA 220</t>
        </is>
      </c>
      <c r="AX413" t="n">
        <v>111.133</v>
      </c>
      <c r="AY413" t="n">
        <v>1.080821157758461</v>
      </c>
      <c r="AZ413" t="n">
        <v>120.1148977251711</v>
      </c>
      <c r="BA413" t="n">
        <v>779.3099999999999</v>
      </c>
      <c r="BB413" t="n">
        <v>0.879</v>
      </c>
      <c r="BC413" t="n">
        <v>82.2803252917125</v>
      </c>
      <c r="BD413" t="n">
        <v>0.9167</v>
      </c>
      <c r="BE413" t="n">
        <v>75.426</v>
      </c>
      <c r="BF413" t="n">
        <v>8.9176</v>
      </c>
      <c r="BG413" t="n">
        <v>0.804</v>
      </c>
      <c r="BH413" t="n">
        <v>6039.043023599974</v>
      </c>
      <c r="BI413" t="n">
        <v>1.096052187605444</v>
      </c>
      <c r="BJ413" t="n">
        <v>6619.1063</v>
      </c>
      <c r="BK413" t="n">
        <v>10415.336636172</v>
      </c>
    </row>
    <row r="414">
      <c r="A414" t="n">
        <v>633</v>
      </c>
      <c r="B414" t="inlineStr">
        <is>
          <t>01-11-2020</t>
        </is>
      </c>
      <c r="C414" t="n">
        <v>2020</v>
      </c>
      <c r="D414" t="n">
        <v>1</v>
      </c>
      <c r="E414" t="inlineStr">
        <is>
          <t>CAREN</t>
        </is>
      </c>
      <c r="F414" t="inlineStr">
        <is>
          <t>SUM_SAESA_A</t>
        </is>
      </c>
      <c r="G414" t="inlineStr">
        <is>
          <t>A</t>
        </is>
      </c>
      <c r="H414" t="inlineStr">
        <is>
          <t>SAESA</t>
        </is>
      </c>
      <c r="I414" t="inlineStr">
        <is>
          <t>SAESMARIBLOQA</t>
        </is>
      </c>
      <c r="J414" t="inlineStr">
        <is>
          <t>MARIQUINA</t>
        </is>
      </c>
      <c r="K414" t="n">
        <v>-3180.05624514</v>
      </c>
      <c r="L414" t="inlineStr">
        <is>
          <t>MARIQUINA</t>
        </is>
      </c>
      <c r="M414" t="inlineStr">
        <is>
          <t>LOS CIRUELOS</t>
        </is>
      </c>
      <c r="N414" t="n">
        <v>0.8657261296708</v>
      </c>
      <c r="O414" t="n">
        <v>2753.057785</v>
      </c>
      <c r="P414" t="inlineStr">
        <is>
          <t>BS1A</t>
        </is>
      </c>
      <c r="Q414" t="n">
        <v>2</v>
      </c>
      <c r="V414" t="n">
        <v>1472834.063</v>
      </c>
      <c r="W414" t="n">
        <v>2</v>
      </c>
      <c r="X414" t="n">
        <v>8.487e-08</v>
      </c>
      <c r="Y414" t="n">
        <v>0.249999</v>
      </c>
      <c r="Z414" t="n">
        <v>688.261693</v>
      </c>
    </row>
    <row r="415">
      <c r="A415" t="n">
        <v>4985</v>
      </c>
      <c r="B415" t="inlineStr">
        <is>
          <t>01-11-2020</t>
        </is>
      </c>
      <c r="C415" t="n">
        <v>2020</v>
      </c>
      <c r="D415" t="n">
        <v>1</v>
      </c>
      <c r="E415" t="inlineStr">
        <is>
          <t>CAREN</t>
        </is>
      </c>
      <c r="F415" t="inlineStr">
        <is>
          <t>SUM_SAESA_A</t>
        </is>
      </c>
      <c r="G415" t="inlineStr">
        <is>
          <t>A</t>
        </is>
      </c>
      <c r="H415" t="inlineStr">
        <is>
          <t>SAESA</t>
        </is>
      </c>
      <c r="I415" t="inlineStr">
        <is>
          <t>SAESMELIBLOQA</t>
        </is>
      </c>
      <c r="J415" t="inlineStr">
        <is>
          <t>MELIPULLI</t>
        </is>
      </c>
      <c r="K415" t="n">
        <v>-41931.98666949</v>
      </c>
      <c r="L415" t="inlineStr">
        <is>
          <t>MELIPULLI</t>
        </is>
      </c>
      <c r="M415" t="inlineStr">
        <is>
          <t>Barro Blanco</t>
        </is>
      </c>
      <c r="N415" t="n">
        <v>0.01002306488906</v>
      </c>
      <c r="O415" t="n">
        <v>420.287023</v>
      </c>
      <c r="P415" t="inlineStr">
        <is>
          <t>BS1A</t>
        </is>
      </c>
      <c r="Q415" t="n">
        <v>2</v>
      </c>
      <c r="V415" t="n">
        <v>1472834.063</v>
      </c>
      <c r="W415" t="n">
        <v>2</v>
      </c>
      <c r="X415" t="n">
        <v>8.487e-08</v>
      </c>
      <c r="Y415" t="n">
        <v>0.249999</v>
      </c>
      <c r="Z415" t="n">
        <v>105.071335</v>
      </c>
      <c r="AA415" t="inlineStr">
        <is>
          <t>PNP_6T_08-05-2020</t>
        </is>
      </c>
      <c r="AB415" t="inlineStr">
        <is>
          <t>PNCP_9T_12-08-2019</t>
        </is>
      </c>
      <c r="AC415" t="inlineStr">
        <is>
          <t>PNCP_4T_30-04-2013</t>
        </is>
      </c>
      <c r="AD415" t="inlineStr">
        <is>
          <t>Barro Blanco 220</t>
        </is>
      </c>
      <c r="AE415" t="n">
        <v>111.133</v>
      </c>
      <c r="AF415" t="n">
        <v>1.072776031070834</v>
      </c>
      <c r="AG415" t="n">
        <v>119.220818660995</v>
      </c>
      <c r="AH415" t="n">
        <v>694.38</v>
      </c>
      <c r="AI415" t="n">
        <v>0.875</v>
      </c>
      <c r="AJ415" t="n">
        <v>72.43648305409401</v>
      </c>
      <c r="AK415" t="n">
        <v>0.8631</v>
      </c>
      <c r="AL415" t="n">
        <v>62.52</v>
      </c>
      <c r="AM415" t="n">
        <v>8.9176</v>
      </c>
      <c r="AN415" t="n">
        <v>9.566587534677272</v>
      </c>
      <c r="AO415" t="n">
        <v>0.913</v>
      </c>
      <c r="AP415" t="n">
        <v>6064.919358776563</v>
      </c>
      <c r="AQ415" t="n">
        <v>1.004432825642191</v>
      </c>
      <c r="AR415" t="n">
        <v>6091.8041</v>
      </c>
      <c r="AS415" t="n">
        <v>6569.0598642</v>
      </c>
      <c r="AT415" t="inlineStr">
        <is>
          <t>PNP_16T_02-11-2020</t>
        </is>
      </c>
      <c r="AU415" t="inlineStr">
        <is>
          <t>PNCP_2T_10-02-2020</t>
        </is>
      </c>
      <c r="AV415" t="inlineStr">
        <is>
          <t>PNCP_4T_30-04-2013</t>
        </is>
      </c>
      <c r="AW415" t="inlineStr">
        <is>
          <t>Barro Blanco 220</t>
        </is>
      </c>
      <c r="AX415" t="n">
        <v>111.133</v>
      </c>
      <c r="AY415" t="n">
        <v>1.080821157758461</v>
      </c>
      <c r="AZ415" t="n">
        <v>120.1148977251711</v>
      </c>
      <c r="BA415" t="n">
        <v>779.3099999999999</v>
      </c>
      <c r="BB415" t="n">
        <v>0.879</v>
      </c>
      <c r="BC415" t="n">
        <v>82.2803252917125</v>
      </c>
      <c r="BD415" t="n">
        <v>0.846</v>
      </c>
      <c r="BE415" t="n">
        <v>69.60899999999999</v>
      </c>
      <c r="BF415" t="n">
        <v>8.9176</v>
      </c>
      <c r="BG415" t="n">
        <v>0.804</v>
      </c>
      <c r="BH415" t="n">
        <v>6039.043023599974</v>
      </c>
      <c r="BI415" t="n">
        <v>1.011820868379177</v>
      </c>
      <c r="BJ415" t="n">
        <v>6110.4298</v>
      </c>
      <c r="BK415" t="n">
        <v>7313.910558015</v>
      </c>
    </row>
    <row r="416">
      <c r="A416" t="n">
        <v>4987</v>
      </c>
      <c r="B416" t="inlineStr">
        <is>
          <t>01-11-2020</t>
        </is>
      </c>
      <c r="C416" t="n">
        <v>2020</v>
      </c>
      <c r="D416" t="n">
        <v>1</v>
      </c>
      <c r="E416" t="inlineStr">
        <is>
          <t>CAREN</t>
        </is>
      </c>
      <c r="F416" t="inlineStr">
        <is>
          <t>SUM_SAESA_A</t>
        </is>
      </c>
      <c r="G416" t="inlineStr">
        <is>
          <t>A</t>
        </is>
      </c>
      <c r="H416" t="inlineStr">
        <is>
          <t>SAESA</t>
        </is>
      </c>
      <c r="I416" t="inlineStr">
        <is>
          <t>SAESMELIBLOQA</t>
        </is>
      </c>
      <c r="J416" t="inlineStr">
        <is>
          <t>MELIPULLI</t>
        </is>
      </c>
      <c r="K416" t="n">
        <v>-41931.98666949</v>
      </c>
      <c r="L416" t="inlineStr">
        <is>
          <t>MELIPULLI</t>
        </is>
      </c>
      <c r="M416" t="inlineStr">
        <is>
          <t>MELIPULLI</t>
        </is>
      </c>
      <c r="N416" t="n">
        <v>0.76027818246183</v>
      </c>
      <c r="O416" t="n">
        <v>31879.974612</v>
      </c>
      <c r="P416" t="inlineStr">
        <is>
          <t>BS1A</t>
        </is>
      </c>
      <c r="Q416" t="n">
        <v>2</v>
      </c>
      <c r="V416" t="n">
        <v>1472834.063</v>
      </c>
      <c r="W416" t="n">
        <v>2</v>
      </c>
      <c r="X416" t="n">
        <v>8.487e-08</v>
      </c>
      <c r="Y416" t="n">
        <v>0.249999</v>
      </c>
      <c r="Z416" t="n">
        <v>7969.961773</v>
      </c>
      <c r="AA416" t="inlineStr">
        <is>
          <t>PNP_6T_08-05-2020</t>
        </is>
      </c>
      <c r="AB416" t="inlineStr">
        <is>
          <t>PNCP_9T_12-08-2019</t>
        </is>
      </c>
      <c r="AC416" t="inlineStr">
        <is>
          <t>PNCP_4T_30-04-2013</t>
        </is>
      </c>
      <c r="AD416" t="inlineStr">
        <is>
          <t>MELIPULLI 220</t>
        </is>
      </c>
      <c r="AE416" t="n">
        <v>111.133</v>
      </c>
      <c r="AF416" t="n">
        <v>1.072776031070834</v>
      </c>
      <c r="AG416" t="n">
        <v>119.220818660995</v>
      </c>
      <c r="AH416" t="n">
        <v>694.38</v>
      </c>
      <c r="AI416" t="n">
        <v>0.875</v>
      </c>
      <c r="AJ416" t="n">
        <v>72.43648305409401</v>
      </c>
      <c r="AK416" t="n">
        <v>0.8826000000000001</v>
      </c>
      <c r="AL416" t="n">
        <v>63.932</v>
      </c>
      <c r="AM416" t="n">
        <v>8.9176</v>
      </c>
      <c r="AN416" t="n">
        <v>9.566587534677272</v>
      </c>
      <c r="AO416" t="n">
        <v>0.913</v>
      </c>
      <c r="AP416" t="n">
        <v>6064.919358776563</v>
      </c>
      <c r="AQ416" t="n">
        <v>1</v>
      </c>
      <c r="AR416" t="n">
        <v>6064.9194</v>
      </c>
      <c r="AS416" t="n">
        <v>509535.596071436</v>
      </c>
      <c r="AT416" t="inlineStr">
        <is>
          <t>PNP_16T_02-11-2020</t>
        </is>
      </c>
      <c r="AU416" t="inlineStr">
        <is>
          <t>PNCP_2T_10-02-2020</t>
        </is>
      </c>
      <c r="AV416" t="inlineStr">
        <is>
          <t>PNCP_4T_30-04-2013</t>
        </is>
      </c>
      <c r="AW416" t="inlineStr">
        <is>
          <t>MELIPULLI 220</t>
        </is>
      </c>
      <c r="AX416" t="n">
        <v>111.133</v>
      </c>
      <c r="AY416" t="n">
        <v>1.080821157758461</v>
      </c>
      <c r="AZ416" t="n">
        <v>120.1148977251711</v>
      </c>
      <c r="BA416" t="n">
        <v>779.3099999999999</v>
      </c>
      <c r="BB416" t="n">
        <v>0.879</v>
      </c>
      <c r="BC416" t="n">
        <v>82.2803252917125</v>
      </c>
      <c r="BD416" t="n">
        <v>0.8421</v>
      </c>
      <c r="BE416" t="n">
        <v>69.288</v>
      </c>
      <c r="BF416" t="n">
        <v>8.9176</v>
      </c>
      <c r="BG416" t="n">
        <v>0.804</v>
      </c>
      <c r="BH416" t="n">
        <v>6039.043023599974</v>
      </c>
      <c r="BI416" t="n">
        <v>1</v>
      </c>
      <c r="BJ416" t="n">
        <v>6039.043</v>
      </c>
      <c r="BK416" t="n">
        <v>552222.7113276239</v>
      </c>
    </row>
    <row r="417">
      <c r="A417" t="n">
        <v>4989</v>
      </c>
      <c r="B417" t="inlineStr">
        <is>
          <t>01-11-2020</t>
        </is>
      </c>
      <c r="C417" t="n">
        <v>2020</v>
      </c>
      <c r="D417" t="n">
        <v>1</v>
      </c>
      <c r="E417" t="inlineStr">
        <is>
          <t>CAREN</t>
        </is>
      </c>
      <c r="F417" t="inlineStr">
        <is>
          <t>SUM_SAESA_A</t>
        </is>
      </c>
      <c r="G417" t="inlineStr">
        <is>
          <t>A</t>
        </is>
      </c>
      <c r="H417" t="inlineStr">
        <is>
          <t>SAESA</t>
        </is>
      </c>
      <c r="I417" t="inlineStr">
        <is>
          <t>SAESMELIBLOQA</t>
        </is>
      </c>
      <c r="J417" t="inlineStr">
        <is>
          <t>MELIPULLI</t>
        </is>
      </c>
      <c r="K417" t="n">
        <v>-41931.98666949</v>
      </c>
      <c r="L417" t="inlineStr">
        <is>
          <t>MELIPULLI</t>
        </is>
      </c>
      <c r="M417" t="inlineStr">
        <is>
          <t>Puerto Montt</t>
        </is>
      </c>
      <c r="N417" t="n">
        <v>0.93811278134191</v>
      </c>
      <c r="O417" t="n">
        <v>39336.932642</v>
      </c>
      <c r="P417" t="inlineStr">
        <is>
          <t>BS1A</t>
        </is>
      </c>
      <c r="Q417" t="n">
        <v>2</v>
      </c>
      <c r="V417" t="n">
        <v>1472834.063</v>
      </c>
      <c r="W417" t="n">
        <v>2</v>
      </c>
      <c r="X417" t="n">
        <v>8.487e-08</v>
      </c>
      <c r="Y417" t="n">
        <v>0.249999</v>
      </c>
      <c r="Z417" t="n">
        <v>9834.193824</v>
      </c>
      <c r="AA417" t="inlineStr">
        <is>
          <t>PNP_6T_08-05-2020</t>
        </is>
      </c>
      <c r="AB417" t="inlineStr">
        <is>
          <t>PNCP_9T_12-08-2019</t>
        </is>
      </c>
      <c r="AC417" t="inlineStr">
        <is>
          <t>PNCP_4T_30-04-2013</t>
        </is>
      </c>
      <c r="AD417" t="inlineStr">
        <is>
          <t>PUERTO MONTT 220</t>
        </is>
      </c>
      <c r="AE417" t="n">
        <v>111.133</v>
      </c>
      <c r="AF417" t="n">
        <v>1.072776031070834</v>
      </c>
      <c r="AG417" t="n">
        <v>119.220818660995</v>
      </c>
      <c r="AH417" t="n">
        <v>694.38</v>
      </c>
      <c r="AI417" t="n">
        <v>0.875</v>
      </c>
      <c r="AJ417" t="n">
        <v>72.43648305409401</v>
      </c>
      <c r="AK417" t="n">
        <v>0.8826000000000001</v>
      </c>
      <c r="AL417" t="n">
        <v>63.932</v>
      </c>
      <c r="AM417" t="n">
        <v>8.9176</v>
      </c>
      <c r="AN417" t="n">
        <v>9.566587534677272</v>
      </c>
      <c r="AO417" t="n">
        <v>0.913</v>
      </c>
      <c r="AP417" t="n">
        <v>6064.919358776563</v>
      </c>
      <c r="AQ417" t="n">
        <v>1.016858412119831</v>
      </c>
      <c r="AR417" t="n">
        <v>6167.1643</v>
      </c>
      <c r="AS417" t="n">
        <v>628719.679555968</v>
      </c>
      <c r="AT417" t="inlineStr">
        <is>
          <t>PNP_16T_02-11-2020</t>
        </is>
      </c>
      <c r="AU417" t="inlineStr">
        <is>
          <t>PNCP_2T_10-02-2020</t>
        </is>
      </c>
      <c r="AV417" t="inlineStr">
        <is>
          <t>PNCP_4T_30-04-2013</t>
        </is>
      </c>
      <c r="AW417" t="inlineStr">
        <is>
          <t>PUERTO MONTT 220</t>
        </is>
      </c>
      <c r="AX417" t="n">
        <v>111.133</v>
      </c>
      <c r="AY417" t="n">
        <v>1.080821157758461</v>
      </c>
      <c r="AZ417" t="n">
        <v>120.1148977251711</v>
      </c>
      <c r="BA417" t="n">
        <v>779.3099999999999</v>
      </c>
      <c r="BB417" t="n">
        <v>0.879</v>
      </c>
      <c r="BC417" t="n">
        <v>82.2803252917125</v>
      </c>
      <c r="BD417" t="n">
        <v>0.8421</v>
      </c>
      <c r="BE417" t="n">
        <v>69.288</v>
      </c>
      <c r="BF417" t="n">
        <v>8.9176</v>
      </c>
      <c r="BG417" t="n">
        <v>0.804</v>
      </c>
      <c r="BH417" t="n">
        <v>6039.043023599974</v>
      </c>
      <c r="BI417" t="n">
        <v>1.02699624102973</v>
      </c>
      <c r="BJ417" t="n">
        <v>6202.0745</v>
      </c>
      <c r="BK417" t="n">
        <v>681391.621677312</v>
      </c>
    </row>
    <row r="418">
      <c r="A418" t="n">
        <v>4991</v>
      </c>
      <c r="B418" t="inlineStr">
        <is>
          <t>01-11-2020</t>
        </is>
      </c>
      <c r="C418" t="n">
        <v>2020</v>
      </c>
      <c r="D418" t="n">
        <v>1</v>
      </c>
      <c r="E418" t="inlineStr">
        <is>
          <t>CAREN</t>
        </is>
      </c>
      <c r="F418" t="inlineStr">
        <is>
          <t>SUM_SAESA_A</t>
        </is>
      </c>
      <c r="G418" t="inlineStr">
        <is>
          <t>A</t>
        </is>
      </c>
      <c r="H418" t="inlineStr">
        <is>
          <t>SAESA</t>
        </is>
      </c>
      <c r="I418" t="inlineStr">
        <is>
          <t>SAESMELIBLOQA</t>
        </is>
      </c>
      <c r="J418" t="inlineStr">
        <is>
          <t>MELIPULLI</t>
        </is>
      </c>
      <c r="K418" t="n">
        <v>-41931.98666949</v>
      </c>
      <c r="L418" t="inlineStr">
        <is>
          <t>MELIPULLI</t>
        </is>
      </c>
      <c r="M418" t="inlineStr">
        <is>
          <t>VALDIVIA</t>
        </is>
      </c>
      <c r="N418" t="n">
        <v>0.0001899181297</v>
      </c>
      <c r="O418" t="n">
        <v>7.963644</v>
      </c>
      <c r="P418" t="inlineStr">
        <is>
          <t>BS1A</t>
        </is>
      </c>
      <c r="Q418" t="n">
        <v>2</v>
      </c>
      <c r="V418" t="n">
        <v>1472834.063</v>
      </c>
      <c r="W418" t="n">
        <v>2</v>
      </c>
      <c r="X418" t="n">
        <v>8.487e-08</v>
      </c>
      <c r="Y418" t="n">
        <v>0.249999</v>
      </c>
      <c r="Z418" t="n">
        <v>1.990903</v>
      </c>
      <c r="AA418" t="inlineStr">
        <is>
          <t>PNP_6T_08-05-2020</t>
        </is>
      </c>
      <c r="AB418" t="inlineStr">
        <is>
          <t>PNCP_9T_12-08-2019</t>
        </is>
      </c>
      <c r="AC418" t="inlineStr">
        <is>
          <t>PNCP_4T_30-04-2013</t>
        </is>
      </c>
      <c r="AD418" t="inlineStr">
        <is>
          <t>VALDIVIA 220</t>
        </is>
      </c>
      <c r="AE418" t="n">
        <v>111.133</v>
      </c>
      <c r="AF418" t="n">
        <v>1.072776031070834</v>
      </c>
      <c r="AG418" t="n">
        <v>119.220818660995</v>
      </c>
      <c r="AH418" t="n">
        <v>694.38</v>
      </c>
      <c r="AI418" t="n">
        <v>0.875</v>
      </c>
      <c r="AJ418" t="n">
        <v>72.43648305409401</v>
      </c>
      <c r="AK418" t="n">
        <v>0.913</v>
      </c>
      <c r="AL418" t="n">
        <v>66.13500000000001</v>
      </c>
      <c r="AM418" t="n">
        <v>8.9176</v>
      </c>
      <c r="AN418" t="n">
        <v>9.566587534677272</v>
      </c>
      <c r="AO418" t="n">
        <v>0.913</v>
      </c>
      <c r="AP418" t="n">
        <v>6064.919358776563</v>
      </c>
      <c r="AQ418" t="n">
        <v>1.051287819142954</v>
      </c>
      <c r="AR418" t="n">
        <v>6375.9758</v>
      </c>
      <c r="AS418" t="n">
        <v>131.668369905</v>
      </c>
      <c r="AT418" t="inlineStr">
        <is>
          <t>PNP_16T_02-11-2020</t>
        </is>
      </c>
      <c r="AU418" t="inlineStr">
        <is>
          <t>PNCP_2T_10-02-2020</t>
        </is>
      </c>
      <c r="AV418" t="inlineStr">
        <is>
          <t>PNCP_4T_30-04-2013</t>
        </is>
      </c>
      <c r="AW418" t="inlineStr">
        <is>
          <t>VALDIVIA 220</t>
        </is>
      </c>
      <c r="AX418" t="n">
        <v>111.133</v>
      </c>
      <c r="AY418" t="n">
        <v>1.080821157758461</v>
      </c>
      <c r="AZ418" t="n">
        <v>120.1148977251711</v>
      </c>
      <c r="BA418" t="n">
        <v>779.3099999999999</v>
      </c>
      <c r="BB418" t="n">
        <v>0.879</v>
      </c>
      <c r="BC418" t="n">
        <v>82.2803252917125</v>
      </c>
      <c r="BD418" t="n">
        <v>0.9167</v>
      </c>
      <c r="BE418" t="n">
        <v>75.426</v>
      </c>
      <c r="BF418" t="n">
        <v>8.9176</v>
      </c>
      <c r="BG418" t="n">
        <v>0.804</v>
      </c>
      <c r="BH418" t="n">
        <v>6039.043023599974</v>
      </c>
      <c r="BI418" t="n">
        <v>1.096052187605444</v>
      </c>
      <c r="BJ418" t="n">
        <v>6619.1063</v>
      </c>
      <c r="BK418" t="n">
        <v>150.165849678</v>
      </c>
    </row>
    <row r="419">
      <c r="A419" t="n">
        <v>3811</v>
      </c>
      <c r="B419" t="inlineStr">
        <is>
          <t>01-11-2020</t>
        </is>
      </c>
      <c r="C419" t="n">
        <v>2020</v>
      </c>
      <c r="D419" t="n">
        <v>1</v>
      </c>
      <c r="E419" t="inlineStr">
        <is>
          <t>CAREN</t>
        </is>
      </c>
      <c r="F419" t="inlineStr">
        <is>
          <t>SUM_SAESA_A</t>
        </is>
      </c>
      <c r="G419" t="inlineStr">
        <is>
          <t>A</t>
        </is>
      </c>
      <c r="H419" t="inlineStr">
        <is>
          <t>SAESA</t>
        </is>
      </c>
      <c r="I419" t="inlineStr">
        <is>
          <t>SAESOSORBLOQA</t>
        </is>
      </c>
      <c r="J419" t="inlineStr">
        <is>
          <t>OSORNO</t>
        </is>
      </c>
      <c r="K419" t="n">
        <v>-22428.08276267</v>
      </c>
      <c r="L419" t="inlineStr">
        <is>
          <t>OSORNO</t>
        </is>
      </c>
      <c r="M419" t="inlineStr">
        <is>
          <t>BARRO BLANCO</t>
        </is>
      </c>
      <c r="N419" t="n">
        <v>0.78616844112992</v>
      </c>
      <c r="O419" t="n">
        <v>17632.250863</v>
      </c>
      <c r="P419" t="inlineStr">
        <is>
          <t>BS1A</t>
        </is>
      </c>
      <c r="Q419" t="n">
        <v>2</v>
      </c>
      <c r="V419" t="n">
        <v>1472834.063</v>
      </c>
      <c r="W419" t="n">
        <v>2</v>
      </c>
      <c r="X419" t="n">
        <v>8.487e-08</v>
      </c>
      <c r="Y419" t="n">
        <v>0.249999</v>
      </c>
      <c r="Z419" t="n">
        <v>4408.045083</v>
      </c>
      <c r="AA419" t="inlineStr">
        <is>
          <t>PNP_6T_08-05-2020</t>
        </is>
      </c>
      <c r="AB419" t="inlineStr">
        <is>
          <t>PNCP_9T_12-08-2019</t>
        </is>
      </c>
      <c r="AC419" t="inlineStr">
        <is>
          <t>PNCP_4T_30-04-2013</t>
        </is>
      </c>
      <c r="AD419" t="inlineStr">
        <is>
          <t>Barro Blanco 220</t>
        </is>
      </c>
      <c r="AE419" t="n">
        <v>111.133</v>
      </c>
      <c r="AF419" t="n">
        <v>1.072776031070834</v>
      </c>
      <c r="AG419" t="n">
        <v>119.220818660995</v>
      </c>
      <c r="AH419" t="n">
        <v>694.38</v>
      </c>
      <c r="AI419" t="n">
        <v>0.875</v>
      </c>
      <c r="AJ419" t="n">
        <v>72.43648305409401</v>
      </c>
      <c r="AK419" t="n">
        <v>0.8631</v>
      </c>
      <c r="AL419" t="n">
        <v>62.52</v>
      </c>
      <c r="AM419" t="n">
        <v>8.9176</v>
      </c>
      <c r="AN419" t="n">
        <v>9.566587534677272</v>
      </c>
      <c r="AO419" t="n">
        <v>0.913</v>
      </c>
      <c r="AP419" t="n">
        <v>6064.919358776563</v>
      </c>
      <c r="AQ419" t="n">
        <v>1.004432825642191</v>
      </c>
      <c r="AR419" t="n">
        <v>6091.8041</v>
      </c>
      <c r="AS419" t="n">
        <v>275590.97858916</v>
      </c>
      <c r="AT419" t="inlineStr">
        <is>
          <t>PNP_16T_02-11-2020</t>
        </is>
      </c>
      <c r="AU419" t="inlineStr">
        <is>
          <t>PNCP_2T_10-02-2020</t>
        </is>
      </c>
      <c r="AV419" t="inlineStr">
        <is>
          <t>PNCP_4T_30-04-2013</t>
        </is>
      </c>
      <c r="AW419" t="inlineStr">
        <is>
          <t>Barro Blanco 220</t>
        </is>
      </c>
      <c r="AX419" t="n">
        <v>111.133</v>
      </c>
      <c r="AY419" t="n">
        <v>1.080821157758461</v>
      </c>
      <c r="AZ419" t="n">
        <v>120.1148977251711</v>
      </c>
      <c r="BA419" t="n">
        <v>779.3099999999999</v>
      </c>
      <c r="BB419" t="n">
        <v>0.879</v>
      </c>
      <c r="BC419" t="n">
        <v>82.2803252917125</v>
      </c>
      <c r="BD419" t="n">
        <v>0.846</v>
      </c>
      <c r="BE419" t="n">
        <v>69.60899999999999</v>
      </c>
      <c r="BF419" t="n">
        <v>8.9176</v>
      </c>
      <c r="BG419" t="n">
        <v>0.804</v>
      </c>
      <c r="BH419" t="n">
        <v>6039.043023599974</v>
      </c>
      <c r="BI419" t="n">
        <v>1.011820868379177</v>
      </c>
      <c r="BJ419" t="n">
        <v>6110.4298</v>
      </c>
      <c r="BK419" t="n">
        <v>306839.610182547</v>
      </c>
    </row>
    <row r="420">
      <c r="A420" t="n">
        <v>3813</v>
      </c>
      <c r="B420" t="inlineStr">
        <is>
          <t>01-11-2020</t>
        </is>
      </c>
      <c r="C420" t="n">
        <v>2020</v>
      </c>
      <c r="D420" t="n">
        <v>1</v>
      </c>
      <c r="E420" t="inlineStr">
        <is>
          <t>CAREN</t>
        </is>
      </c>
      <c r="F420" t="inlineStr">
        <is>
          <t>SUM_SAESA_A</t>
        </is>
      </c>
      <c r="G420" t="inlineStr">
        <is>
          <t>A</t>
        </is>
      </c>
      <c r="H420" t="inlineStr">
        <is>
          <t>SAESA</t>
        </is>
      </c>
      <c r="I420" t="inlineStr">
        <is>
          <t>SAESOSORBLOQA</t>
        </is>
      </c>
      <c r="J420" t="inlineStr">
        <is>
          <t>OSORNO</t>
        </is>
      </c>
      <c r="K420" t="n">
        <v>-22428.08276267</v>
      </c>
      <c r="L420" t="inlineStr">
        <is>
          <t>OSORNO</t>
        </is>
      </c>
      <c r="M420" t="inlineStr">
        <is>
          <t>MELIPULLI</t>
        </is>
      </c>
      <c r="N420" t="n">
        <v>0.04443303733604</v>
      </c>
      <c r="O420" t="n">
        <v>996.547839</v>
      </c>
      <c r="P420" t="inlineStr">
        <is>
          <t>BS1A</t>
        </is>
      </c>
      <c r="Q420" t="n">
        <v>2</v>
      </c>
      <c r="V420" t="n">
        <v>1472834.063</v>
      </c>
      <c r="W420" t="n">
        <v>2</v>
      </c>
      <c r="X420" t="n">
        <v>8.487e-08</v>
      </c>
      <c r="Y420" t="n">
        <v>0.249999</v>
      </c>
      <c r="Z420" t="n">
        <v>249.135963</v>
      </c>
      <c r="AA420" t="inlineStr">
        <is>
          <t>PNP_6T_08-05-2020</t>
        </is>
      </c>
      <c r="AB420" t="inlineStr">
        <is>
          <t>PNCP_9T_12-08-2019</t>
        </is>
      </c>
      <c r="AC420" t="inlineStr">
        <is>
          <t>PNCP_4T_30-04-2013</t>
        </is>
      </c>
      <c r="AD420" t="inlineStr">
        <is>
          <t>MELIPULLI 220</t>
        </is>
      </c>
      <c r="AE420" t="n">
        <v>111.133</v>
      </c>
      <c r="AF420" t="n">
        <v>1.072776031070834</v>
      </c>
      <c r="AG420" t="n">
        <v>119.220818660995</v>
      </c>
      <c r="AH420" t="n">
        <v>694.38</v>
      </c>
      <c r="AI420" t="n">
        <v>0.875</v>
      </c>
      <c r="AJ420" t="n">
        <v>72.43648305409401</v>
      </c>
      <c r="AK420" t="n">
        <v>0.8826000000000001</v>
      </c>
      <c r="AL420" t="n">
        <v>63.932</v>
      </c>
      <c r="AM420" t="n">
        <v>8.9176</v>
      </c>
      <c r="AN420" t="n">
        <v>9.566587534677272</v>
      </c>
      <c r="AO420" t="n">
        <v>0.913</v>
      </c>
      <c r="AP420" t="n">
        <v>6064.919358776563</v>
      </c>
      <c r="AQ420" t="n">
        <v>1</v>
      </c>
      <c r="AR420" t="n">
        <v>6064.9194</v>
      </c>
      <c r="AS420" t="n">
        <v>15927.760386516</v>
      </c>
      <c r="AT420" t="inlineStr">
        <is>
          <t>PNP_16T_02-11-2020</t>
        </is>
      </c>
      <c r="AU420" t="inlineStr">
        <is>
          <t>PNCP_2T_10-02-2020</t>
        </is>
      </c>
      <c r="AV420" t="inlineStr">
        <is>
          <t>PNCP_4T_30-04-2013</t>
        </is>
      </c>
      <c r="AW420" t="inlineStr">
        <is>
          <t>MELIPULLI 220</t>
        </is>
      </c>
      <c r="AX420" t="n">
        <v>111.133</v>
      </c>
      <c r="AY420" t="n">
        <v>1.080821157758461</v>
      </c>
      <c r="AZ420" t="n">
        <v>120.1148977251711</v>
      </c>
      <c r="BA420" t="n">
        <v>779.3099999999999</v>
      </c>
      <c r="BB420" t="n">
        <v>0.879</v>
      </c>
      <c r="BC420" t="n">
        <v>82.2803252917125</v>
      </c>
      <c r="BD420" t="n">
        <v>0.8421</v>
      </c>
      <c r="BE420" t="n">
        <v>69.288</v>
      </c>
      <c r="BF420" t="n">
        <v>8.9176</v>
      </c>
      <c r="BG420" t="n">
        <v>0.804</v>
      </c>
      <c r="BH420" t="n">
        <v>6039.043023599974</v>
      </c>
      <c r="BI420" t="n">
        <v>1</v>
      </c>
      <c r="BJ420" t="n">
        <v>6039.043</v>
      </c>
      <c r="BK420" t="n">
        <v>17262.132604344</v>
      </c>
    </row>
    <row r="421">
      <c r="A421" t="n">
        <v>3815</v>
      </c>
      <c r="B421" t="inlineStr">
        <is>
          <t>01-11-2020</t>
        </is>
      </c>
      <c r="C421" t="n">
        <v>2020</v>
      </c>
      <c r="D421" t="n">
        <v>1</v>
      </c>
      <c r="E421" t="inlineStr">
        <is>
          <t>CAREN</t>
        </is>
      </c>
      <c r="F421" t="inlineStr">
        <is>
          <t>SUM_SAESA_A</t>
        </is>
      </c>
      <c r="G421" t="inlineStr">
        <is>
          <t>A</t>
        </is>
      </c>
      <c r="H421" t="inlineStr">
        <is>
          <t>SAESA</t>
        </is>
      </c>
      <c r="I421" t="inlineStr">
        <is>
          <t>SAESOSORBLOQA</t>
        </is>
      </c>
      <c r="J421" t="inlineStr">
        <is>
          <t>OSORNO</t>
        </is>
      </c>
      <c r="K421" t="n">
        <v>-22428.08276267</v>
      </c>
      <c r="L421" t="inlineStr">
        <is>
          <t>OSORNO</t>
        </is>
      </c>
      <c r="M421" t="inlineStr">
        <is>
          <t>VALDIVIA</t>
        </is>
      </c>
      <c r="N421" t="n">
        <v>0.12401606703963</v>
      </c>
      <c r="O421" t="n">
        <v>2781.442615</v>
      </c>
      <c r="P421" t="inlineStr">
        <is>
          <t>BS1A</t>
        </is>
      </c>
      <c r="Q421" t="n">
        <v>2</v>
      </c>
      <c r="V421" t="n">
        <v>1472834.063</v>
      </c>
      <c r="W421" t="n">
        <v>2</v>
      </c>
      <c r="X421" t="n">
        <v>8.487e-08</v>
      </c>
      <c r="Y421" t="n">
        <v>0.249999</v>
      </c>
      <c r="Z421" t="n">
        <v>695.357872</v>
      </c>
      <c r="AA421" t="inlineStr">
        <is>
          <t>PNP_6T_08-05-2020</t>
        </is>
      </c>
      <c r="AB421" t="inlineStr">
        <is>
          <t>PNCP_9T_12-08-2019</t>
        </is>
      </c>
      <c r="AC421" t="inlineStr">
        <is>
          <t>PNCP_4T_30-04-2013</t>
        </is>
      </c>
      <c r="AD421" t="inlineStr">
        <is>
          <t>VALDIVIA 220</t>
        </is>
      </c>
      <c r="AE421" t="n">
        <v>111.133</v>
      </c>
      <c r="AF421" t="n">
        <v>1.072776031070834</v>
      </c>
      <c r="AG421" t="n">
        <v>119.220818660995</v>
      </c>
      <c r="AH421" t="n">
        <v>694.38</v>
      </c>
      <c r="AI421" t="n">
        <v>0.875</v>
      </c>
      <c r="AJ421" t="n">
        <v>72.43648305409401</v>
      </c>
      <c r="AK421" t="n">
        <v>0.913</v>
      </c>
      <c r="AL421" t="n">
        <v>66.13500000000001</v>
      </c>
      <c r="AM421" t="n">
        <v>8.9176</v>
      </c>
      <c r="AN421" t="n">
        <v>9.566587534677272</v>
      </c>
      <c r="AO421" t="n">
        <v>0.913</v>
      </c>
      <c r="AP421" t="n">
        <v>6064.919358776563</v>
      </c>
      <c r="AQ421" t="n">
        <v>1.051287819142954</v>
      </c>
      <c r="AR421" t="n">
        <v>6375.9758</v>
      </c>
      <c r="AS421" t="n">
        <v>45987.49286472001</v>
      </c>
      <c r="AT421" t="inlineStr">
        <is>
          <t>PNP_16T_02-11-2020</t>
        </is>
      </c>
      <c r="AU421" t="inlineStr">
        <is>
          <t>PNCP_2T_10-02-2020</t>
        </is>
      </c>
      <c r="AV421" t="inlineStr">
        <is>
          <t>PNCP_4T_30-04-2013</t>
        </is>
      </c>
      <c r="AW421" t="inlineStr">
        <is>
          <t>VALDIVIA 220</t>
        </is>
      </c>
      <c r="AX421" t="n">
        <v>111.133</v>
      </c>
      <c r="AY421" t="n">
        <v>1.080821157758461</v>
      </c>
      <c r="AZ421" t="n">
        <v>120.1148977251711</v>
      </c>
      <c r="BA421" t="n">
        <v>779.3099999999999</v>
      </c>
      <c r="BB421" t="n">
        <v>0.879</v>
      </c>
      <c r="BC421" t="n">
        <v>82.2803252917125</v>
      </c>
      <c r="BD421" t="n">
        <v>0.9167</v>
      </c>
      <c r="BE421" t="n">
        <v>75.426</v>
      </c>
      <c r="BF421" t="n">
        <v>8.9176</v>
      </c>
      <c r="BG421" t="n">
        <v>0.804</v>
      </c>
      <c r="BH421" t="n">
        <v>6039.043023599974</v>
      </c>
      <c r="BI421" t="n">
        <v>1.096052187605444</v>
      </c>
      <c r="BJ421" t="n">
        <v>6619.1063</v>
      </c>
      <c r="BK421" t="n">
        <v>52448.062853472</v>
      </c>
    </row>
    <row r="422">
      <c r="A422" t="n">
        <v>4985</v>
      </c>
      <c r="B422" t="inlineStr">
        <is>
          <t>01-11-2020</t>
        </is>
      </c>
      <c r="C422" t="n">
        <v>2020</v>
      </c>
      <c r="D422" t="n">
        <v>1</v>
      </c>
      <c r="E422" t="inlineStr">
        <is>
          <t>CAREN</t>
        </is>
      </c>
      <c r="F422" t="inlineStr">
        <is>
          <t>SUM_SAESA_A</t>
        </is>
      </c>
      <c r="G422" t="inlineStr">
        <is>
          <t>A</t>
        </is>
      </c>
      <c r="H422" t="inlineStr">
        <is>
          <t>SAESA</t>
        </is>
      </c>
      <c r="I422" t="inlineStr">
        <is>
          <t>SAESPVARBLOQA</t>
        </is>
      </c>
      <c r="J422" t="inlineStr">
        <is>
          <t>P.VARAS</t>
        </is>
      </c>
      <c r="K422" t="n">
        <v>-8521.004124089999</v>
      </c>
      <c r="L422" t="inlineStr">
        <is>
          <t>PUERTO VARAS</t>
        </is>
      </c>
      <c r="M422" t="inlineStr">
        <is>
          <t>BARRO BLANCO</t>
        </is>
      </c>
      <c r="N422" t="n">
        <v>0.15766115320888</v>
      </c>
      <c r="O422" t="n">
        <v>1343.431337</v>
      </c>
      <c r="P422" t="inlineStr">
        <is>
          <t>BS1A</t>
        </is>
      </c>
      <c r="Q422" t="n">
        <v>2</v>
      </c>
      <c r="V422" t="n">
        <v>1472834.063</v>
      </c>
      <c r="W422" t="n">
        <v>2</v>
      </c>
      <c r="X422" t="n">
        <v>8.487e-08</v>
      </c>
      <c r="Y422" t="n">
        <v>0.249999</v>
      </c>
      <c r="Z422" t="n">
        <v>335.856491</v>
      </c>
      <c r="AA422" t="inlineStr">
        <is>
          <t>PNP_6T_08-05-2020</t>
        </is>
      </c>
      <c r="AB422" t="inlineStr">
        <is>
          <t>PNCP_9T_12-08-2019</t>
        </is>
      </c>
      <c r="AC422" t="inlineStr">
        <is>
          <t>PNCP_4T_30-04-2013</t>
        </is>
      </c>
      <c r="AD422" t="inlineStr">
        <is>
          <t>Barro Blanco 220</t>
        </is>
      </c>
      <c r="AE422" t="n">
        <v>111.133</v>
      </c>
      <c r="AF422" t="n">
        <v>1.072776031070834</v>
      </c>
      <c r="AG422" t="n">
        <v>119.220818660995</v>
      </c>
      <c r="AH422" t="n">
        <v>694.38</v>
      </c>
      <c r="AI422" t="n">
        <v>0.875</v>
      </c>
      <c r="AJ422" t="n">
        <v>72.43648305409401</v>
      </c>
      <c r="AK422" t="n">
        <v>0.8631</v>
      </c>
      <c r="AL422" t="n">
        <v>62.52</v>
      </c>
      <c r="AM422" t="n">
        <v>8.9176</v>
      </c>
      <c r="AN422" t="n">
        <v>9.566587534677272</v>
      </c>
      <c r="AO422" t="n">
        <v>0.913</v>
      </c>
      <c r="AP422" t="n">
        <v>6064.919358776563</v>
      </c>
      <c r="AQ422" t="n">
        <v>1.004432825642191</v>
      </c>
      <c r="AR422" t="n">
        <v>6091.8041</v>
      </c>
      <c r="AS422" t="n">
        <v>20997.74781732</v>
      </c>
      <c r="AT422" t="inlineStr">
        <is>
          <t>PNP_16T_02-11-2020</t>
        </is>
      </c>
      <c r="AU422" t="inlineStr">
        <is>
          <t>PNCP_2T_10-02-2020</t>
        </is>
      </c>
      <c r="AV422" t="inlineStr">
        <is>
          <t>PNCP_4T_30-04-2013</t>
        </is>
      </c>
      <c r="AW422" t="inlineStr">
        <is>
          <t>Barro Blanco 220</t>
        </is>
      </c>
      <c r="AX422" t="n">
        <v>111.133</v>
      </c>
      <c r="AY422" t="n">
        <v>1.080821157758461</v>
      </c>
      <c r="AZ422" t="n">
        <v>120.1148977251711</v>
      </c>
      <c r="BA422" t="n">
        <v>779.3099999999999</v>
      </c>
      <c r="BB422" t="n">
        <v>0.879</v>
      </c>
      <c r="BC422" t="n">
        <v>82.2803252917125</v>
      </c>
      <c r="BD422" t="n">
        <v>0.846</v>
      </c>
      <c r="BE422" t="n">
        <v>69.60899999999999</v>
      </c>
      <c r="BF422" t="n">
        <v>8.9176</v>
      </c>
      <c r="BG422" t="n">
        <v>0.804</v>
      </c>
      <c r="BH422" t="n">
        <v>6039.043023599974</v>
      </c>
      <c r="BI422" t="n">
        <v>1.011820868379177</v>
      </c>
      <c r="BJ422" t="n">
        <v>6110.4298</v>
      </c>
      <c r="BK422" t="n">
        <v>23378.634482019</v>
      </c>
    </row>
    <row r="423">
      <c r="A423" t="n">
        <v>4987</v>
      </c>
      <c r="B423" t="inlineStr">
        <is>
          <t>01-11-2020</t>
        </is>
      </c>
      <c r="C423" t="n">
        <v>2020</v>
      </c>
      <c r="D423" t="n">
        <v>1</v>
      </c>
      <c r="E423" t="inlineStr">
        <is>
          <t>CAREN</t>
        </is>
      </c>
      <c r="F423" t="inlineStr">
        <is>
          <t>SUM_SAESA_A</t>
        </is>
      </c>
      <c r="G423" t="inlineStr">
        <is>
          <t>A</t>
        </is>
      </c>
      <c r="H423" t="inlineStr">
        <is>
          <t>SAESA</t>
        </is>
      </c>
      <c r="I423" t="inlineStr">
        <is>
          <t>SAESPVARBLOQA</t>
        </is>
      </c>
      <c r="J423" t="inlineStr">
        <is>
          <t>P.VARAS</t>
        </is>
      </c>
      <c r="K423" t="n">
        <v>-8521.004124089999</v>
      </c>
      <c r="L423" t="inlineStr">
        <is>
          <t>PUERTO VARAS</t>
        </is>
      </c>
      <c r="M423" t="inlineStr">
        <is>
          <t>MELIPULLI</t>
        </is>
      </c>
      <c r="N423" t="n">
        <v>0.61749565738</v>
      </c>
      <c r="O423" t="n">
        <v>5261.683043</v>
      </c>
      <c r="P423" t="inlineStr">
        <is>
          <t>BS1A</t>
        </is>
      </c>
      <c r="Q423" t="n">
        <v>2</v>
      </c>
      <c r="V423" t="n">
        <v>1472834.063</v>
      </c>
      <c r="W423" t="n">
        <v>2</v>
      </c>
      <c r="X423" t="n">
        <v>8.487e-08</v>
      </c>
      <c r="Y423" t="n">
        <v>0.249999</v>
      </c>
      <c r="Z423" t="n">
        <v>1315.415499</v>
      </c>
      <c r="AA423" t="inlineStr">
        <is>
          <t>PNP_6T_08-05-2020</t>
        </is>
      </c>
      <c r="AB423" t="inlineStr">
        <is>
          <t>PNCP_9T_12-08-2019</t>
        </is>
      </c>
      <c r="AC423" t="inlineStr">
        <is>
          <t>PNCP_4T_30-04-2013</t>
        </is>
      </c>
      <c r="AD423" t="inlineStr">
        <is>
          <t>MELIPULLI 220</t>
        </is>
      </c>
      <c r="AE423" t="n">
        <v>111.133</v>
      </c>
      <c r="AF423" t="n">
        <v>1.072776031070834</v>
      </c>
      <c r="AG423" t="n">
        <v>119.220818660995</v>
      </c>
      <c r="AH423" t="n">
        <v>694.38</v>
      </c>
      <c r="AI423" t="n">
        <v>0.875</v>
      </c>
      <c r="AJ423" t="n">
        <v>72.43648305409401</v>
      </c>
      <c r="AK423" t="n">
        <v>0.8826000000000001</v>
      </c>
      <c r="AL423" t="n">
        <v>63.932</v>
      </c>
      <c r="AM423" t="n">
        <v>8.9176</v>
      </c>
      <c r="AN423" t="n">
        <v>9.566587534677272</v>
      </c>
      <c r="AO423" t="n">
        <v>0.913</v>
      </c>
      <c r="AP423" t="n">
        <v>6064.919358776563</v>
      </c>
      <c r="AQ423" t="n">
        <v>1</v>
      </c>
      <c r="AR423" t="n">
        <v>6064.9194</v>
      </c>
      <c r="AS423" t="n">
        <v>84097.143682068</v>
      </c>
      <c r="AT423" t="inlineStr">
        <is>
          <t>PNP_16T_02-11-2020</t>
        </is>
      </c>
      <c r="AU423" t="inlineStr">
        <is>
          <t>PNCP_2T_10-02-2020</t>
        </is>
      </c>
      <c r="AV423" t="inlineStr">
        <is>
          <t>PNCP_4T_30-04-2013</t>
        </is>
      </c>
      <c r="AW423" t="inlineStr">
        <is>
          <t>MELIPULLI 220</t>
        </is>
      </c>
      <c r="AX423" t="n">
        <v>111.133</v>
      </c>
      <c r="AY423" t="n">
        <v>1.080821157758461</v>
      </c>
      <c r="AZ423" t="n">
        <v>120.1148977251711</v>
      </c>
      <c r="BA423" t="n">
        <v>779.3099999999999</v>
      </c>
      <c r="BB423" t="n">
        <v>0.879</v>
      </c>
      <c r="BC423" t="n">
        <v>82.2803252917125</v>
      </c>
      <c r="BD423" t="n">
        <v>0.8421</v>
      </c>
      <c r="BE423" t="n">
        <v>69.288</v>
      </c>
      <c r="BF423" t="n">
        <v>8.9176</v>
      </c>
      <c r="BG423" t="n">
        <v>0.804</v>
      </c>
      <c r="BH423" t="n">
        <v>6039.043023599974</v>
      </c>
      <c r="BI423" t="n">
        <v>1</v>
      </c>
      <c r="BJ423" t="n">
        <v>6039.043</v>
      </c>
      <c r="BK423" t="n">
        <v>91142.50909471199</v>
      </c>
    </row>
    <row r="424">
      <c r="A424" t="n">
        <v>4989</v>
      </c>
      <c r="B424" t="inlineStr">
        <is>
          <t>01-11-2020</t>
        </is>
      </c>
      <c r="C424" t="n">
        <v>2020</v>
      </c>
      <c r="D424" t="n">
        <v>1</v>
      </c>
      <c r="E424" t="inlineStr">
        <is>
          <t>CAREN</t>
        </is>
      </c>
      <c r="F424" t="inlineStr">
        <is>
          <t>SUM_SAESA_A</t>
        </is>
      </c>
      <c r="G424" t="inlineStr">
        <is>
          <t>A</t>
        </is>
      </c>
      <c r="H424" t="inlineStr">
        <is>
          <t>SAESA</t>
        </is>
      </c>
      <c r="I424" t="inlineStr">
        <is>
          <t>SAESPVARBLOQA</t>
        </is>
      </c>
      <c r="J424" t="inlineStr">
        <is>
          <t>P.VARAS</t>
        </is>
      </c>
      <c r="K424" t="n">
        <v>-8521.004124089999</v>
      </c>
      <c r="L424" t="inlineStr">
        <is>
          <t>PUERTO VARAS</t>
        </is>
      </c>
      <c r="M424" t="inlineStr">
        <is>
          <t>Puerto Montt</t>
        </is>
      </c>
      <c r="N424" t="n">
        <v>0.7715646681477401</v>
      </c>
      <c r="O424" t="n">
        <v>6574.505719</v>
      </c>
      <c r="P424" t="inlineStr">
        <is>
          <t>BS1A</t>
        </is>
      </c>
      <c r="Q424" t="n">
        <v>2</v>
      </c>
      <c r="V424" t="n">
        <v>1472834.063</v>
      </c>
      <c r="W424" t="n">
        <v>2</v>
      </c>
      <c r="X424" t="n">
        <v>8.487e-08</v>
      </c>
      <c r="Y424" t="n">
        <v>0.249999</v>
      </c>
      <c r="Z424" t="n">
        <v>1643.619855</v>
      </c>
      <c r="AA424" t="inlineStr">
        <is>
          <t>PNP_6T_08-05-2020</t>
        </is>
      </c>
      <c r="AB424" t="inlineStr">
        <is>
          <t>PNCP_9T_12-08-2019</t>
        </is>
      </c>
      <c r="AC424" t="inlineStr">
        <is>
          <t>PNCP_4T_30-04-2013</t>
        </is>
      </c>
      <c r="AD424" t="inlineStr">
        <is>
          <t>PUERTO MONTT 220</t>
        </is>
      </c>
      <c r="AE424" t="n">
        <v>111.133</v>
      </c>
      <c r="AF424" t="n">
        <v>1.072776031070834</v>
      </c>
      <c r="AG424" t="n">
        <v>119.220818660995</v>
      </c>
      <c r="AH424" t="n">
        <v>694.38</v>
      </c>
      <c r="AI424" t="n">
        <v>0.875</v>
      </c>
      <c r="AJ424" t="n">
        <v>72.43648305409401</v>
      </c>
      <c r="AK424" t="n">
        <v>0.8826000000000001</v>
      </c>
      <c r="AL424" t="n">
        <v>63.932</v>
      </c>
      <c r="AM424" t="n">
        <v>8.9176</v>
      </c>
      <c r="AN424" t="n">
        <v>9.566587534677272</v>
      </c>
      <c r="AO424" t="n">
        <v>0.913</v>
      </c>
      <c r="AP424" t="n">
        <v>6064.919358776563</v>
      </c>
      <c r="AQ424" t="n">
        <v>1.016858412119831</v>
      </c>
      <c r="AR424" t="n">
        <v>6167.1643</v>
      </c>
      <c r="AS424" t="n">
        <v>105079.90456986</v>
      </c>
      <c r="AT424" t="inlineStr">
        <is>
          <t>PNP_16T_02-11-2020</t>
        </is>
      </c>
      <c r="AU424" t="inlineStr">
        <is>
          <t>PNCP_2T_10-02-2020</t>
        </is>
      </c>
      <c r="AV424" t="inlineStr">
        <is>
          <t>PNCP_4T_30-04-2013</t>
        </is>
      </c>
      <c r="AW424" t="inlineStr">
        <is>
          <t>PUERTO MONTT 220</t>
        </is>
      </c>
      <c r="AX424" t="n">
        <v>111.133</v>
      </c>
      <c r="AY424" t="n">
        <v>1.080821157758461</v>
      </c>
      <c r="AZ424" t="n">
        <v>120.1148977251711</v>
      </c>
      <c r="BA424" t="n">
        <v>779.3099999999999</v>
      </c>
      <c r="BB424" t="n">
        <v>0.879</v>
      </c>
      <c r="BC424" t="n">
        <v>82.2803252917125</v>
      </c>
      <c r="BD424" t="n">
        <v>0.8421</v>
      </c>
      <c r="BE424" t="n">
        <v>69.288</v>
      </c>
      <c r="BF424" t="n">
        <v>8.9176</v>
      </c>
      <c r="BG424" t="n">
        <v>0.804</v>
      </c>
      <c r="BH424" t="n">
        <v>6039.043023599974</v>
      </c>
      <c r="BI424" t="n">
        <v>1.02699624102973</v>
      </c>
      <c r="BJ424" t="n">
        <v>6202.0745</v>
      </c>
      <c r="BK424" t="n">
        <v>113883.13251324</v>
      </c>
    </row>
    <row r="425">
      <c r="A425" t="n">
        <v>4991</v>
      </c>
      <c r="B425" t="inlineStr">
        <is>
          <t>01-11-2020</t>
        </is>
      </c>
      <c r="C425" t="n">
        <v>2020</v>
      </c>
      <c r="D425" t="n">
        <v>1</v>
      </c>
      <c r="E425" t="inlineStr">
        <is>
          <t>CAREN</t>
        </is>
      </c>
      <c r="F425" t="inlineStr">
        <is>
          <t>SUM_SAESA_A</t>
        </is>
      </c>
      <c r="G425" t="inlineStr">
        <is>
          <t>A</t>
        </is>
      </c>
      <c r="H425" t="inlineStr">
        <is>
          <t>SAESA</t>
        </is>
      </c>
      <c r="I425" t="inlineStr">
        <is>
          <t>SAESPVARBLOQA</t>
        </is>
      </c>
      <c r="J425" t="inlineStr">
        <is>
          <t>P.VARAS</t>
        </is>
      </c>
      <c r="K425" t="n">
        <v>-8521.004124089999</v>
      </c>
      <c r="L425" t="inlineStr">
        <is>
          <t>PUERTO VARAS</t>
        </is>
      </c>
      <c r="M425" t="inlineStr">
        <is>
          <t>VALDIVIA</t>
        </is>
      </c>
      <c r="N425" t="n">
        <v>0.00141259278969</v>
      </c>
      <c r="O425" t="n">
        <v>12.036709</v>
      </c>
      <c r="P425" t="inlineStr">
        <is>
          <t>BS1A</t>
        </is>
      </c>
      <c r="Q425" t="n">
        <v>2</v>
      </c>
      <c r="V425" t="n">
        <v>1472834.063</v>
      </c>
      <c r="W425" t="n">
        <v>2</v>
      </c>
      <c r="X425" t="n">
        <v>8.487e-08</v>
      </c>
      <c r="Y425" t="n">
        <v>0.249999</v>
      </c>
      <c r="Z425" t="n">
        <v>3.009165</v>
      </c>
      <c r="AA425" t="inlineStr">
        <is>
          <t>PNP_6T_08-05-2020</t>
        </is>
      </c>
      <c r="AB425" t="inlineStr">
        <is>
          <t>PNCP_9T_12-08-2019</t>
        </is>
      </c>
      <c r="AC425" t="inlineStr">
        <is>
          <t>PNCP_4T_30-04-2013</t>
        </is>
      </c>
      <c r="AD425" t="inlineStr">
        <is>
          <t>VALDIVIA 220</t>
        </is>
      </c>
      <c r="AE425" t="n">
        <v>111.133</v>
      </c>
      <c r="AF425" t="n">
        <v>1.072776031070834</v>
      </c>
      <c r="AG425" t="n">
        <v>119.220818660995</v>
      </c>
      <c r="AH425" t="n">
        <v>694.38</v>
      </c>
      <c r="AI425" t="n">
        <v>0.875</v>
      </c>
      <c r="AJ425" t="n">
        <v>72.43648305409401</v>
      </c>
      <c r="AK425" t="n">
        <v>0.913</v>
      </c>
      <c r="AL425" t="n">
        <v>66.13500000000001</v>
      </c>
      <c r="AM425" t="n">
        <v>8.9176</v>
      </c>
      <c r="AN425" t="n">
        <v>9.566587534677272</v>
      </c>
      <c r="AO425" t="n">
        <v>0.913</v>
      </c>
      <c r="AP425" t="n">
        <v>6064.919358776563</v>
      </c>
      <c r="AQ425" t="n">
        <v>1.051287819142954</v>
      </c>
      <c r="AR425" t="n">
        <v>6375.9758</v>
      </c>
      <c r="AS425" t="n">
        <v>199.011127275</v>
      </c>
      <c r="AT425" t="inlineStr">
        <is>
          <t>PNP_16T_02-11-2020</t>
        </is>
      </c>
      <c r="AU425" t="inlineStr">
        <is>
          <t>PNCP_2T_10-02-2020</t>
        </is>
      </c>
      <c r="AV425" t="inlineStr">
        <is>
          <t>PNCP_4T_30-04-2013</t>
        </is>
      </c>
      <c r="AW425" t="inlineStr">
        <is>
          <t>VALDIVIA 220</t>
        </is>
      </c>
      <c r="AX425" t="n">
        <v>111.133</v>
      </c>
      <c r="AY425" t="n">
        <v>1.080821157758461</v>
      </c>
      <c r="AZ425" t="n">
        <v>120.1148977251711</v>
      </c>
      <c r="BA425" t="n">
        <v>779.3099999999999</v>
      </c>
      <c r="BB425" t="n">
        <v>0.879</v>
      </c>
      <c r="BC425" t="n">
        <v>82.2803252917125</v>
      </c>
      <c r="BD425" t="n">
        <v>0.9167</v>
      </c>
      <c r="BE425" t="n">
        <v>75.426</v>
      </c>
      <c r="BF425" t="n">
        <v>8.9176</v>
      </c>
      <c r="BG425" t="n">
        <v>0.804</v>
      </c>
      <c r="BH425" t="n">
        <v>6039.043023599974</v>
      </c>
      <c r="BI425" t="n">
        <v>1.096052187605444</v>
      </c>
      <c r="BJ425" t="n">
        <v>6619.1063</v>
      </c>
      <c r="BK425" t="n">
        <v>226.96927929</v>
      </c>
    </row>
    <row r="426">
      <c r="A426" t="n">
        <v>1897</v>
      </c>
      <c r="B426" t="inlineStr">
        <is>
          <t>01-11-2020</t>
        </is>
      </c>
      <c r="C426" t="n">
        <v>2020</v>
      </c>
      <c r="D426" t="n">
        <v>1</v>
      </c>
      <c r="E426" t="inlineStr">
        <is>
          <t>CAREN</t>
        </is>
      </c>
      <c r="F426" t="inlineStr">
        <is>
          <t>SUM_SAESA_A</t>
        </is>
      </c>
      <c r="G426" t="inlineStr">
        <is>
          <t>A</t>
        </is>
      </c>
      <c r="H426" t="inlineStr">
        <is>
          <t>SAESA</t>
        </is>
      </c>
      <c r="I426" t="inlineStr">
        <is>
          <t>SAESPANGBLOQA</t>
        </is>
      </c>
      <c r="J426" t="inlineStr">
        <is>
          <t>PANGUIPULLI</t>
        </is>
      </c>
      <c r="K426" t="n">
        <v>-6947.52757675</v>
      </c>
      <c r="L426" t="inlineStr">
        <is>
          <t>PANGUIPULLI</t>
        </is>
      </c>
      <c r="M426" t="inlineStr">
        <is>
          <t>Barro Blanco</t>
        </is>
      </c>
      <c r="N426" t="n">
        <v>0.17843880751936</v>
      </c>
      <c r="O426" t="n">
        <v>1239.708536</v>
      </c>
      <c r="P426" t="inlineStr">
        <is>
          <t>BS1A</t>
        </is>
      </c>
      <c r="Q426" t="n">
        <v>2</v>
      </c>
      <c r="V426" t="n">
        <v>1472834.063</v>
      </c>
      <c r="W426" t="n">
        <v>2</v>
      </c>
      <c r="X426" t="n">
        <v>8.487e-08</v>
      </c>
      <c r="Y426" t="n">
        <v>0.249999</v>
      </c>
      <c r="Z426" t="n">
        <v>309.925894</v>
      </c>
      <c r="AA426" t="inlineStr">
        <is>
          <t>PNP_6T_08-05-2020</t>
        </is>
      </c>
      <c r="AB426" t="inlineStr">
        <is>
          <t>PNCP_9T_12-08-2019</t>
        </is>
      </c>
      <c r="AC426" t="inlineStr">
        <is>
          <t>PNCP_4T_30-04-2013</t>
        </is>
      </c>
      <c r="AD426" t="inlineStr">
        <is>
          <t>Barro Blanco 220</t>
        </is>
      </c>
      <c r="AE426" t="n">
        <v>111.133</v>
      </c>
      <c r="AF426" t="n">
        <v>1.072776031070834</v>
      </c>
      <c r="AG426" t="n">
        <v>119.220818660995</v>
      </c>
      <c r="AH426" t="n">
        <v>694.38</v>
      </c>
      <c r="AI426" t="n">
        <v>0.875</v>
      </c>
      <c r="AJ426" t="n">
        <v>72.43648305409401</v>
      </c>
      <c r="AK426" t="n">
        <v>0.8631</v>
      </c>
      <c r="AL426" t="n">
        <v>62.52</v>
      </c>
      <c r="AM426" t="n">
        <v>8.9176</v>
      </c>
      <c r="AN426" t="n">
        <v>9.566587534677272</v>
      </c>
      <c r="AO426" t="n">
        <v>0.913</v>
      </c>
      <c r="AP426" t="n">
        <v>6064.919358776563</v>
      </c>
      <c r="AQ426" t="n">
        <v>1.004432825642191</v>
      </c>
      <c r="AR426" t="n">
        <v>6091.8041</v>
      </c>
      <c r="AS426" t="n">
        <v>19376.56689288</v>
      </c>
      <c r="AT426" t="inlineStr">
        <is>
          <t>PNP_16T_02-11-2020</t>
        </is>
      </c>
      <c r="AU426" t="inlineStr">
        <is>
          <t>PNCP_2T_10-02-2020</t>
        </is>
      </c>
      <c r="AV426" t="inlineStr">
        <is>
          <t>PNCP_4T_30-04-2013</t>
        </is>
      </c>
      <c r="AW426" t="inlineStr">
        <is>
          <t>Barro Blanco 220</t>
        </is>
      </c>
      <c r="AX426" t="n">
        <v>111.133</v>
      </c>
      <c r="AY426" t="n">
        <v>1.080821157758461</v>
      </c>
      <c r="AZ426" t="n">
        <v>120.1148977251711</v>
      </c>
      <c r="BA426" t="n">
        <v>779.3099999999999</v>
      </c>
      <c r="BB426" t="n">
        <v>0.879</v>
      </c>
      <c r="BC426" t="n">
        <v>82.2803252917125</v>
      </c>
      <c r="BD426" t="n">
        <v>0.846</v>
      </c>
      <c r="BE426" t="n">
        <v>69.60899999999999</v>
      </c>
      <c r="BF426" t="n">
        <v>8.9176</v>
      </c>
      <c r="BG426" t="n">
        <v>0.804</v>
      </c>
      <c r="BH426" t="n">
        <v>6039.043023599974</v>
      </c>
      <c r="BI426" t="n">
        <v>1.011820868379177</v>
      </c>
      <c r="BJ426" t="n">
        <v>6110.4298</v>
      </c>
      <c r="BK426" t="n">
        <v>21573.631555446</v>
      </c>
    </row>
    <row r="427">
      <c r="A427" t="n">
        <v>1899</v>
      </c>
      <c r="B427" t="inlineStr">
        <is>
          <t>01-11-2020</t>
        </is>
      </c>
      <c r="C427" t="n">
        <v>2020</v>
      </c>
      <c r="D427" t="n">
        <v>1</v>
      </c>
      <c r="E427" t="inlineStr">
        <is>
          <t>CAREN</t>
        </is>
      </c>
      <c r="F427" t="inlineStr">
        <is>
          <t>SUM_SAESA_A</t>
        </is>
      </c>
      <c r="G427" t="inlineStr">
        <is>
          <t>A</t>
        </is>
      </c>
      <c r="H427" t="inlineStr">
        <is>
          <t>SAESA</t>
        </is>
      </c>
      <c r="I427" t="inlineStr">
        <is>
          <t>SAESPANGBLOQA</t>
        </is>
      </c>
      <c r="J427" t="inlineStr">
        <is>
          <t>PANGUIPULLI</t>
        </is>
      </c>
      <c r="K427" t="n">
        <v>-6947.52757675</v>
      </c>
      <c r="L427" t="inlineStr">
        <is>
          <t>PANGUIPULLI</t>
        </is>
      </c>
      <c r="M427" t="inlineStr">
        <is>
          <t>MELIPULLI</t>
        </is>
      </c>
      <c r="N427" t="n">
        <v>0.00938568728699</v>
      </c>
      <c r="O427" t="n">
        <v>65.20732099999999</v>
      </c>
      <c r="P427" t="inlineStr">
        <is>
          <t>BS1A</t>
        </is>
      </c>
      <c r="Q427" t="n">
        <v>2</v>
      </c>
      <c r="V427" t="n">
        <v>1472834.063</v>
      </c>
      <c r="W427" t="n">
        <v>2</v>
      </c>
      <c r="X427" t="n">
        <v>8.487e-08</v>
      </c>
      <c r="Y427" t="n">
        <v>0.249999</v>
      </c>
      <c r="Z427" t="n">
        <v>16.301765</v>
      </c>
      <c r="AA427" t="inlineStr">
        <is>
          <t>PNP_6T_08-05-2020</t>
        </is>
      </c>
      <c r="AB427" t="inlineStr">
        <is>
          <t>PNCP_9T_12-08-2019</t>
        </is>
      </c>
      <c r="AC427" t="inlineStr">
        <is>
          <t>PNCP_4T_30-04-2013</t>
        </is>
      </c>
      <c r="AD427" t="inlineStr">
        <is>
          <t>MELIPULLI 220</t>
        </is>
      </c>
      <c r="AE427" t="n">
        <v>111.133</v>
      </c>
      <c r="AF427" t="n">
        <v>1.072776031070834</v>
      </c>
      <c r="AG427" t="n">
        <v>119.220818660995</v>
      </c>
      <c r="AH427" t="n">
        <v>694.38</v>
      </c>
      <c r="AI427" t="n">
        <v>0.875</v>
      </c>
      <c r="AJ427" t="n">
        <v>72.43648305409401</v>
      </c>
      <c r="AK427" t="n">
        <v>0.8826000000000001</v>
      </c>
      <c r="AL427" t="n">
        <v>63.932</v>
      </c>
      <c r="AM427" t="n">
        <v>8.9176</v>
      </c>
      <c r="AN427" t="n">
        <v>9.566587534677272</v>
      </c>
      <c r="AO427" t="n">
        <v>0.913</v>
      </c>
      <c r="AP427" t="n">
        <v>6064.919358776563</v>
      </c>
      <c r="AQ427" t="n">
        <v>1</v>
      </c>
      <c r="AR427" t="n">
        <v>6064.9194</v>
      </c>
      <c r="AS427" t="n">
        <v>1042.20443998</v>
      </c>
      <c r="AT427" t="inlineStr">
        <is>
          <t>PNP_16T_02-11-2020</t>
        </is>
      </c>
      <c r="AU427" t="inlineStr">
        <is>
          <t>PNCP_2T_10-02-2020</t>
        </is>
      </c>
      <c r="AV427" t="inlineStr">
        <is>
          <t>PNCP_4T_30-04-2013</t>
        </is>
      </c>
      <c r="AW427" t="inlineStr">
        <is>
          <t>MELIPULLI 220</t>
        </is>
      </c>
      <c r="AX427" t="n">
        <v>111.133</v>
      </c>
      <c r="AY427" t="n">
        <v>1.080821157758461</v>
      </c>
      <c r="AZ427" t="n">
        <v>120.1148977251711</v>
      </c>
      <c r="BA427" t="n">
        <v>779.3099999999999</v>
      </c>
      <c r="BB427" t="n">
        <v>0.879</v>
      </c>
      <c r="BC427" t="n">
        <v>82.2803252917125</v>
      </c>
      <c r="BD427" t="n">
        <v>0.8421</v>
      </c>
      <c r="BE427" t="n">
        <v>69.288</v>
      </c>
      <c r="BF427" t="n">
        <v>8.9176</v>
      </c>
      <c r="BG427" t="n">
        <v>0.804</v>
      </c>
      <c r="BH427" t="n">
        <v>6039.043023599974</v>
      </c>
      <c r="BI427" t="n">
        <v>1</v>
      </c>
      <c r="BJ427" t="n">
        <v>6039.043</v>
      </c>
      <c r="BK427" t="n">
        <v>1129.51669332</v>
      </c>
    </row>
    <row r="428">
      <c r="A428" t="n">
        <v>1901</v>
      </c>
      <c r="B428" t="inlineStr">
        <is>
          <t>01-11-2020</t>
        </is>
      </c>
      <c r="C428" t="n">
        <v>2020</v>
      </c>
      <c r="D428" t="n">
        <v>1</v>
      </c>
      <c r="E428" t="inlineStr">
        <is>
          <t>CAREN</t>
        </is>
      </c>
      <c r="F428" t="inlineStr">
        <is>
          <t>SUM_SAESA_A</t>
        </is>
      </c>
      <c r="G428" t="inlineStr">
        <is>
          <t>A</t>
        </is>
      </c>
      <c r="H428" t="inlineStr">
        <is>
          <t>SAESA</t>
        </is>
      </c>
      <c r="I428" t="inlineStr">
        <is>
          <t>SAESPANGBLOQA</t>
        </is>
      </c>
      <c r="J428" t="inlineStr">
        <is>
          <t>PANGUIPULLI</t>
        </is>
      </c>
      <c r="K428" t="n">
        <v>-6947.52757675</v>
      </c>
      <c r="L428" t="inlineStr">
        <is>
          <t>PANGUIPULLI</t>
        </is>
      </c>
      <c r="M428" t="inlineStr">
        <is>
          <t>VALDIVIA</t>
        </is>
      </c>
      <c r="N428" t="n">
        <v>0.67856885801593</v>
      </c>
      <c r="O428" t="n">
        <v>4714.375854</v>
      </c>
      <c r="P428" t="inlineStr">
        <is>
          <t>BS1A</t>
        </is>
      </c>
      <c r="Q428" t="n">
        <v>2</v>
      </c>
      <c r="V428" t="n">
        <v>1472834.063</v>
      </c>
      <c r="W428" t="n">
        <v>2</v>
      </c>
      <c r="X428" t="n">
        <v>8.487e-08</v>
      </c>
      <c r="Y428" t="n">
        <v>0.249999</v>
      </c>
      <c r="Z428" t="n">
        <v>1178.589249</v>
      </c>
      <c r="AA428" t="inlineStr">
        <is>
          <t>PNP_6T_08-05-2020</t>
        </is>
      </c>
      <c r="AB428" t="inlineStr">
        <is>
          <t>PNCP_9T_12-08-2019</t>
        </is>
      </c>
      <c r="AC428" t="inlineStr">
        <is>
          <t>PNCP_4T_30-04-2013</t>
        </is>
      </c>
      <c r="AD428" t="inlineStr">
        <is>
          <t>VALDIVIA 220</t>
        </is>
      </c>
      <c r="AE428" t="n">
        <v>111.133</v>
      </c>
      <c r="AF428" t="n">
        <v>1.072776031070834</v>
      </c>
      <c r="AG428" t="n">
        <v>119.220818660995</v>
      </c>
      <c r="AH428" t="n">
        <v>694.38</v>
      </c>
      <c r="AI428" t="n">
        <v>0.875</v>
      </c>
      <c r="AJ428" t="n">
        <v>72.43648305409401</v>
      </c>
      <c r="AK428" t="n">
        <v>0.913</v>
      </c>
      <c r="AL428" t="n">
        <v>66.13500000000001</v>
      </c>
      <c r="AM428" t="n">
        <v>8.9176</v>
      </c>
      <c r="AN428" t="n">
        <v>9.566587534677272</v>
      </c>
      <c r="AO428" t="n">
        <v>0.913</v>
      </c>
      <c r="AP428" t="n">
        <v>6064.919358776563</v>
      </c>
      <c r="AQ428" t="n">
        <v>1.051287819142954</v>
      </c>
      <c r="AR428" t="n">
        <v>6375.9758</v>
      </c>
      <c r="AS428" t="n">
        <v>77945.99998261502</v>
      </c>
      <c r="AT428" t="inlineStr">
        <is>
          <t>PNP_16T_02-11-2020</t>
        </is>
      </c>
      <c r="AU428" t="inlineStr">
        <is>
          <t>PNCP_2T_10-02-2020</t>
        </is>
      </c>
      <c r="AV428" t="inlineStr">
        <is>
          <t>PNCP_4T_30-04-2013</t>
        </is>
      </c>
      <c r="AW428" t="inlineStr">
        <is>
          <t>VALDIVIA 220</t>
        </is>
      </c>
      <c r="AX428" t="n">
        <v>111.133</v>
      </c>
      <c r="AY428" t="n">
        <v>1.080821157758461</v>
      </c>
      <c r="AZ428" t="n">
        <v>120.1148977251711</v>
      </c>
      <c r="BA428" t="n">
        <v>779.3099999999999</v>
      </c>
      <c r="BB428" t="n">
        <v>0.879</v>
      </c>
      <c r="BC428" t="n">
        <v>82.2803252917125</v>
      </c>
      <c r="BD428" t="n">
        <v>0.9167</v>
      </c>
      <c r="BE428" t="n">
        <v>75.426</v>
      </c>
      <c r="BF428" t="n">
        <v>8.9176</v>
      </c>
      <c r="BG428" t="n">
        <v>0.804</v>
      </c>
      <c r="BH428" t="n">
        <v>6039.043023599974</v>
      </c>
      <c r="BI428" t="n">
        <v>1.096052187605444</v>
      </c>
      <c r="BJ428" t="n">
        <v>6619.1063</v>
      </c>
      <c r="BK428" t="n">
        <v>88896.272695074</v>
      </c>
    </row>
    <row r="429">
      <c r="A429" t="n">
        <v>211</v>
      </c>
      <c r="B429" t="inlineStr">
        <is>
          <t>01-11-2020</t>
        </is>
      </c>
      <c r="C429" t="n">
        <v>2020</v>
      </c>
      <c r="D429" t="n">
        <v>1</v>
      </c>
      <c r="E429" t="inlineStr">
        <is>
          <t>CAREN</t>
        </is>
      </c>
      <c r="F429" t="inlineStr">
        <is>
          <t>SUM_SAESA_A</t>
        </is>
      </c>
      <c r="G429" t="inlineStr">
        <is>
          <t>A</t>
        </is>
      </c>
      <c r="H429" t="inlineStr">
        <is>
          <t>SAESA</t>
        </is>
      </c>
      <c r="I429" t="inlineStr">
        <is>
          <t>SAESPARGBLOQA</t>
        </is>
      </c>
      <c r="J429" t="inlineStr">
        <is>
          <t>PARGUA</t>
        </is>
      </c>
      <c r="K429" t="n">
        <v>-568.92398681</v>
      </c>
      <c r="L429" t="inlineStr">
        <is>
          <t>PARGUA 23</t>
        </is>
      </c>
      <c r="M429" t="inlineStr">
        <is>
          <t>MELIPULLI</t>
        </is>
      </c>
      <c r="N429" t="n">
        <v>0.88336054288962</v>
      </c>
      <c r="O429" t="n">
        <v>502.565002</v>
      </c>
      <c r="P429" t="inlineStr">
        <is>
          <t>BS1A</t>
        </is>
      </c>
      <c r="Q429" t="n">
        <v>2</v>
      </c>
      <c r="V429" t="n">
        <v>1472834.063</v>
      </c>
      <c r="W429" t="n">
        <v>2</v>
      </c>
      <c r="X429" t="n">
        <v>8.487e-08</v>
      </c>
      <c r="Y429" t="n">
        <v>0.249999</v>
      </c>
      <c r="Z429" t="n">
        <v>125.640748</v>
      </c>
      <c r="AA429" t="inlineStr">
        <is>
          <t>PNP_6T_08-05-2020</t>
        </is>
      </c>
      <c r="AB429" t="inlineStr">
        <is>
          <t>PNCP_9T_12-08-2019</t>
        </is>
      </c>
      <c r="AC429" t="inlineStr">
        <is>
          <t>PNCP_4T_30-04-2013</t>
        </is>
      </c>
      <c r="AD429" t="inlineStr">
        <is>
          <t>MELIPULLI 220</t>
        </is>
      </c>
      <c r="AE429" t="n">
        <v>111.133</v>
      </c>
      <c r="AF429" t="n">
        <v>1.072776031070834</v>
      </c>
      <c r="AG429" t="n">
        <v>119.220818660995</v>
      </c>
      <c r="AH429" t="n">
        <v>694.38</v>
      </c>
      <c r="AI429" t="n">
        <v>0.875</v>
      </c>
      <c r="AJ429" t="n">
        <v>72.43648305409401</v>
      </c>
      <c r="AK429" t="n">
        <v>0.8826000000000001</v>
      </c>
      <c r="AL429" t="n">
        <v>63.932</v>
      </c>
      <c r="AM429" t="n">
        <v>8.9176</v>
      </c>
      <c r="AN429" t="n">
        <v>9.566587534677272</v>
      </c>
      <c r="AO429" t="n">
        <v>0.913</v>
      </c>
      <c r="AP429" t="n">
        <v>6064.919358776563</v>
      </c>
      <c r="AQ429" t="n">
        <v>1</v>
      </c>
      <c r="AR429" t="n">
        <v>6064.9194</v>
      </c>
      <c r="AS429" t="n">
        <v>8032.464301136</v>
      </c>
      <c r="AT429" t="inlineStr">
        <is>
          <t>PNP_16T_02-11-2020</t>
        </is>
      </c>
      <c r="AU429" t="inlineStr">
        <is>
          <t>PNCP_2T_10-02-2020</t>
        </is>
      </c>
      <c r="AV429" t="inlineStr">
        <is>
          <t>PNCP_4T_30-04-2013</t>
        </is>
      </c>
      <c r="AW429" t="inlineStr">
        <is>
          <t>MELIPULLI 220</t>
        </is>
      </c>
      <c r="AX429" t="n">
        <v>111.133</v>
      </c>
      <c r="AY429" t="n">
        <v>1.080821157758461</v>
      </c>
      <c r="AZ429" t="n">
        <v>120.1148977251711</v>
      </c>
      <c r="BA429" t="n">
        <v>779.3099999999999</v>
      </c>
      <c r="BB429" t="n">
        <v>0.879</v>
      </c>
      <c r="BC429" t="n">
        <v>82.2803252917125</v>
      </c>
      <c r="BD429" t="n">
        <v>0.8421</v>
      </c>
      <c r="BE429" t="n">
        <v>69.288</v>
      </c>
      <c r="BF429" t="n">
        <v>8.9176</v>
      </c>
      <c r="BG429" t="n">
        <v>0.804</v>
      </c>
      <c r="BH429" t="n">
        <v>6039.043023599974</v>
      </c>
      <c r="BI429" t="n">
        <v>1</v>
      </c>
      <c r="BJ429" t="n">
        <v>6039.043</v>
      </c>
      <c r="BK429" t="n">
        <v>8705.396147424</v>
      </c>
    </row>
    <row r="430">
      <c r="A430" t="n">
        <v>1897</v>
      </c>
      <c r="B430" t="inlineStr">
        <is>
          <t>01-11-2020</t>
        </is>
      </c>
      <c r="C430" t="n">
        <v>2020</v>
      </c>
      <c r="D430" t="n">
        <v>1</v>
      </c>
      <c r="E430" t="inlineStr">
        <is>
          <t>CAREN</t>
        </is>
      </c>
      <c r="F430" t="inlineStr">
        <is>
          <t>SUM_SAESA_A</t>
        </is>
      </c>
      <c r="G430" t="inlineStr">
        <is>
          <t>A</t>
        </is>
      </c>
      <c r="H430" t="inlineStr">
        <is>
          <t>SAESA</t>
        </is>
      </c>
      <c r="I430" t="inlineStr">
        <is>
          <t>SAESPICABLOQA</t>
        </is>
      </c>
      <c r="J430" t="inlineStr">
        <is>
          <t>PICARTE</t>
        </is>
      </c>
      <c r="K430" t="n">
        <v>-22599.17037044</v>
      </c>
      <c r="L430" t="inlineStr">
        <is>
          <t>PICARTE</t>
        </is>
      </c>
      <c r="M430" t="inlineStr">
        <is>
          <t>BARRO BLANCO</t>
        </is>
      </c>
      <c r="N430" t="n">
        <v>0.04426188381592</v>
      </c>
      <c r="O430" t="n">
        <v>1000.281853</v>
      </c>
      <c r="P430" t="inlineStr">
        <is>
          <t>BS1A</t>
        </is>
      </c>
      <c r="Q430" t="n">
        <v>2</v>
      </c>
      <c r="V430" t="n">
        <v>1472834.063</v>
      </c>
      <c r="W430" t="n">
        <v>2</v>
      </c>
      <c r="X430" t="n">
        <v>8.487e-08</v>
      </c>
      <c r="Y430" t="n">
        <v>0.249999</v>
      </c>
      <c r="Z430" t="n">
        <v>250.069463</v>
      </c>
      <c r="AA430" t="inlineStr">
        <is>
          <t>PNP_6T_08-05-2020</t>
        </is>
      </c>
      <c r="AB430" t="inlineStr">
        <is>
          <t>PNCP_9T_12-08-2019</t>
        </is>
      </c>
      <c r="AC430" t="inlineStr">
        <is>
          <t>PNCP_4T_30-04-2013</t>
        </is>
      </c>
      <c r="AD430" t="inlineStr">
        <is>
          <t>Barro Blanco 220</t>
        </is>
      </c>
      <c r="AE430" t="n">
        <v>111.133</v>
      </c>
      <c r="AF430" t="n">
        <v>1.072776031070834</v>
      </c>
      <c r="AG430" t="n">
        <v>119.220818660995</v>
      </c>
      <c r="AH430" t="n">
        <v>694.38</v>
      </c>
      <c r="AI430" t="n">
        <v>0.875</v>
      </c>
      <c r="AJ430" t="n">
        <v>72.43648305409401</v>
      </c>
      <c r="AK430" t="n">
        <v>0.8631</v>
      </c>
      <c r="AL430" t="n">
        <v>62.52</v>
      </c>
      <c r="AM430" t="n">
        <v>8.9176</v>
      </c>
      <c r="AN430" t="n">
        <v>9.566587534677272</v>
      </c>
      <c r="AO430" t="n">
        <v>0.913</v>
      </c>
      <c r="AP430" t="n">
        <v>6064.919358776563</v>
      </c>
      <c r="AQ430" t="n">
        <v>1.004432825642191</v>
      </c>
      <c r="AR430" t="n">
        <v>6091.8041</v>
      </c>
      <c r="AS430" t="n">
        <v>15634.34282676</v>
      </c>
      <c r="AT430" t="inlineStr">
        <is>
          <t>PNP_16T_02-11-2020</t>
        </is>
      </c>
      <c r="AU430" t="inlineStr">
        <is>
          <t>PNCP_2T_10-02-2020</t>
        </is>
      </c>
      <c r="AV430" t="inlineStr">
        <is>
          <t>PNCP_4T_30-04-2013</t>
        </is>
      </c>
      <c r="AW430" t="inlineStr">
        <is>
          <t>Barro Blanco 220</t>
        </is>
      </c>
      <c r="AX430" t="n">
        <v>111.133</v>
      </c>
      <c r="AY430" t="n">
        <v>1.080821157758461</v>
      </c>
      <c r="AZ430" t="n">
        <v>120.1148977251711</v>
      </c>
      <c r="BA430" t="n">
        <v>779.3099999999999</v>
      </c>
      <c r="BB430" t="n">
        <v>0.879</v>
      </c>
      <c r="BC430" t="n">
        <v>82.2803252917125</v>
      </c>
      <c r="BD430" t="n">
        <v>0.846</v>
      </c>
      <c r="BE430" t="n">
        <v>69.60899999999999</v>
      </c>
      <c r="BF430" t="n">
        <v>8.9176</v>
      </c>
      <c r="BG430" t="n">
        <v>0.804</v>
      </c>
      <c r="BH430" t="n">
        <v>6039.043023599974</v>
      </c>
      <c r="BI430" t="n">
        <v>1.011820868379177</v>
      </c>
      <c r="BJ430" t="n">
        <v>6110.4298</v>
      </c>
      <c r="BK430" t="n">
        <v>17407.085249967</v>
      </c>
    </row>
    <row r="431">
      <c r="A431" t="n">
        <v>1899</v>
      </c>
      <c r="B431" t="inlineStr">
        <is>
          <t>01-11-2020</t>
        </is>
      </c>
      <c r="C431" t="n">
        <v>2020</v>
      </c>
      <c r="D431" t="n">
        <v>1</v>
      </c>
      <c r="E431" t="inlineStr">
        <is>
          <t>CAREN</t>
        </is>
      </c>
      <c r="F431" t="inlineStr">
        <is>
          <t>SUM_SAESA_A</t>
        </is>
      </c>
      <c r="G431" t="inlineStr">
        <is>
          <t>A</t>
        </is>
      </c>
      <c r="H431" t="inlineStr">
        <is>
          <t>SAESA</t>
        </is>
      </c>
      <c r="I431" t="inlineStr">
        <is>
          <t>SAESPICABLOQA</t>
        </is>
      </c>
      <c r="J431" t="inlineStr">
        <is>
          <t>PICARTE</t>
        </is>
      </c>
      <c r="K431" t="n">
        <v>-22599.17037044</v>
      </c>
      <c r="L431" t="inlineStr">
        <is>
          <t>PICARTE</t>
        </is>
      </c>
      <c r="M431" t="inlineStr">
        <is>
          <t>MELIPULLI</t>
        </is>
      </c>
      <c r="N431" t="n">
        <v>0.00284526914055</v>
      </c>
      <c r="O431" t="n">
        <v>64.30072199999999</v>
      </c>
      <c r="P431" t="inlineStr">
        <is>
          <t>BS1A</t>
        </is>
      </c>
      <c r="Q431" t="n">
        <v>2</v>
      </c>
      <c r="V431" t="n">
        <v>1472834.063</v>
      </c>
      <c r="W431" t="n">
        <v>2</v>
      </c>
      <c r="X431" t="n">
        <v>8.487e-08</v>
      </c>
      <c r="Y431" t="n">
        <v>0.249999</v>
      </c>
      <c r="Z431" t="n">
        <v>16.075116</v>
      </c>
      <c r="AA431" t="inlineStr">
        <is>
          <t>PNP_6T_08-05-2020</t>
        </is>
      </c>
      <c r="AB431" t="inlineStr">
        <is>
          <t>PNCP_9T_12-08-2019</t>
        </is>
      </c>
      <c r="AC431" t="inlineStr">
        <is>
          <t>PNCP_4T_30-04-2013</t>
        </is>
      </c>
      <c r="AD431" t="inlineStr">
        <is>
          <t>MELIPULLI 220</t>
        </is>
      </c>
      <c r="AE431" t="n">
        <v>111.133</v>
      </c>
      <c r="AF431" t="n">
        <v>1.072776031070834</v>
      </c>
      <c r="AG431" t="n">
        <v>119.220818660995</v>
      </c>
      <c r="AH431" t="n">
        <v>694.38</v>
      </c>
      <c r="AI431" t="n">
        <v>0.875</v>
      </c>
      <c r="AJ431" t="n">
        <v>72.43648305409401</v>
      </c>
      <c r="AK431" t="n">
        <v>0.8826000000000001</v>
      </c>
      <c r="AL431" t="n">
        <v>63.932</v>
      </c>
      <c r="AM431" t="n">
        <v>8.9176</v>
      </c>
      <c r="AN431" t="n">
        <v>9.566587534677272</v>
      </c>
      <c r="AO431" t="n">
        <v>0.913</v>
      </c>
      <c r="AP431" t="n">
        <v>6064.919358776563</v>
      </c>
      <c r="AQ431" t="n">
        <v>1</v>
      </c>
      <c r="AR431" t="n">
        <v>6064.9194</v>
      </c>
      <c r="AS431" t="n">
        <v>1027.714316112</v>
      </c>
      <c r="AT431" t="inlineStr">
        <is>
          <t>PNP_16T_02-11-2020</t>
        </is>
      </c>
      <c r="AU431" t="inlineStr">
        <is>
          <t>PNCP_2T_10-02-2020</t>
        </is>
      </c>
      <c r="AV431" t="inlineStr">
        <is>
          <t>PNCP_4T_30-04-2013</t>
        </is>
      </c>
      <c r="AW431" t="inlineStr">
        <is>
          <t>MELIPULLI 220</t>
        </is>
      </c>
      <c r="AX431" t="n">
        <v>111.133</v>
      </c>
      <c r="AY431" t="n">
        <v>1.080821157758461</v>
      </c>
      <c r="AZ431" t="n">
        <v>120.1148977251711</v>
      </c>
      <c r="BA431" t="n">
        <v>779.3099999999999</v>
      </c>
      <c r="BB431" t="n">
        <v>0.879</v>
      </c>
      <c r="BC431" t="n">
        <v>82.2803252917125</v>
      </c>
      <c r="BD431" t="n">
        <v>0.8421</v>
      </c>
      <c r="BE431" t="n">
        <v>69.288</v>
      </c>
      <c r="BF431" t="n">
        <v>8.9176</v>
      </c>
      <c r="BG431" t="n">
        <v>0.804</v>
      </c>
      <c r="BH431" t="n">
        <v>6039.043023599974</v>
      </c>
      <c r="BI431" t="n">
        <v>1</v>
      </c>
      <c r="BJ431" t="n">
        <v>6039.043</v>
      </c>
      <c r="BK431" t="n">
        <v>1113.812637408</v>
      </c>
    </row>
    <row r="432">
      <c r="A432" t="n">
        <v>1901</v>
      </c>
      <c r="B432" t="inlineStr">
        <is>
          <t>01-11-2020</t>
        </is>
      </c>
      <c r="C432" t="n">
        <v>2020</v>
      </c>
      <c r="D432" t="n">
        <v>1</v>
      </c>
      <c r="E432" t="inlineStr">
        <is>
          <t>CAREN</t>
        </is>
      </c>
      <c r="F432" t="inlineStr">
        <is>
          <t>SUM_SAESA_A</t>
        </is>
      </c>
      <c r="G432" t="inlineStr">
        <is>
          <t>A</t>
        </is>
      </c>
      <c r="H432" t="inlineStr">
        <is>
          <t>SAESA</t>
        </is>
      </c>
      <c r="I432" t="inlineStr">
        <is>
          <t>SAESPICABLOQA</t>
        </is>
      </c>
      <c r="J432" t="inlineStr">
        <is>
          <t>PICARTE</t>
        </is>
      </c>
      <c r="K432" t="n">
        <v>-22599.17037044</v>
      </c>
      <c r="L432" t="inlineStr">
        <is>
          <t>PICARTE</t>
        </is>
      </c>
      <c r="M432" t="inlineStr">
        <is>
          <t>VALDIVIA</t>
        </is>
      </c>
      <c r="N432" t="n">
        <v>0.81632978072526</v>
      </c>
      <c r="O432" t="n">
        <v>18448.375793</v>
      </c>
      <c r="P432" t="inlineStr">
        <is>
          <t>BS1A</t>
        </is>
      </c>
      <c r="Q432" t="n">
        <v>2</v>
      </c>
      <c r="V432" t="n">
        <v>1472834.063</v>
      </c>
      <c r="W432" t="n">
        <v>2</v>
      </c>
      <c r="X432" t="n">
        <v>8.487e-08</v>
      </c>
      <c r="Y432" t="n">
        <v>0.249999</v>
      </c>
      <c r="Z432" t="n">
        <v>4612.0755</v>
      </c>
      <c r="AA432" t="inlineStr">
        <is>
          <t>PNP_6T_08-05-2020</t>
        </is>
      </c>
      <c r="AB432" t="inlineStr">
        <is>
          <t>PNCP_9T_12-08-2019</t>
        </is>
      </c>
      <c r="AC432" t="inlineStr">
        <is>
          <t>PNCP_4T_30-04-2013</t>
        </is>
      </c>
      <c r="AD432" t="inlineStr">
        <is>
          <t>VALDIVIA 220</t>
        </is>
      </c>
      <c r="AE432" t="n">
        <v>111.133</v>
      </c>
      <c r="AF432" t="n">
        <v>1.072776031070834</v>
      </c>
      <c r="AG432" t="n">
        <v>119.220818660995</v>
      </c>
      <c r="AH432" t="n">
        <v>694.38</v>
      </c>
      <c r="AI432" t="n">
        <v>0.875</v>
      </c>
      <c r="AJ432" t="n">
        <v>72.43648305409401</v>
      </c>
      <c r="AK432" t="n">
        <v>0.913</v>
      </c>
      <c r="AL432" t="n">
        <v>66.13500000000001</v>
      </c>
      <c r="AM432" t="n">
        <v>8.9176</v>
      </c>
      <c r="AN432" t="n">
        <v>9.566587534677272</v>
      </c>
      <c r="AO432" t="n">
        <v>0.913</v>
      </c>
      <c r="AP432" t="n">
        <v>6064.919358776563</v>
      </c>
      <c r="AQ432" t="n">
        <v>1.051287819142954</v>
      </c>
      <c r="AR432" t="n">
        <v>6375.9758</v>
      </c>
      <c r="AS432" t="n">
        <v>305019.6131925</v>
      </c>
      <c r="AT432" t="inlineStr">
        <is>
          <t>PNP_16T_02-11-2020</t>
        </is>
      </c>
      <c r="AU432" t="inlineStr">
        <is>
          <t>PNCP_2T_10-02-2020</t>
        </is>
      </c>
      <c r="AV432" t="inlineStr">
        <is>
          <t>PNCP_4T_30-04-2013</t>
        </is>
      </c>
      <c r="AW432" t="inlineStr">
        <is>
          <t>VALDIVIA 220</t>
        </is>
      </c>
      <c r="AX432" t="n">
        <v>111.133</v>
      </c>
      <c r="AY432" t="n">
        <v>1.080821157758461</v>
      </c>
      <c r="AZ432" t="n">
        <v>120.1148977251711</v>
      </c>
      <c r="BA432" t="n">
        <v>779.3099999999999</v>
      </c>
      <c r="BB432" t="n">
        <v>0.879</v>
      </c>
      <c r="BC432" t="n">
        <v>82.2803252917125</v>
      </c>
      <c r="BD432" t="n">
        <v>0.9167</v>
      </c>
      <c r="BE432" t="n">
        <v>75.426</v>
      </c>
      <c r="BF432" t="n">
        <v>8.9176</v>
      </c>
      <c r="BG432" t="n">
        <v>0.804</v>
      </c>
      <c r="BH432" t="n">
        <v>6039.043023599974</v>
      </c>
      <c r="BI432" t="n">
        <v>1.096052187605444</v>
      </c>
      <c r="BJ432" t="n">
        <v>6619.1063</v>
      </c>
      <c r="BK432" t="n">
        <v>347870.406663</v>
      </c>
    </row>
    <row r="433">
      <c r="A433" t="n">
        <v>3811</v>
      </c>
      <c r="B433" t="inlineStr">
        <is>
          <t>01-11-2020</t>
        </is>
      </c>
      <c r="C433" t="n">
        <v>2020</v>
      </c>
      <c r="D433" t="n">
        <v>1</v>
      </c>
      <c r="E433" t="inlineStr">
        <is>
          <t>CAREN</t>
        </is>
      </c>
      <c r="F433" t="inlineStr">
        <is>
          <t>SUM_SAESA_A</t>
        </is>
      </c>
      <c r="G433" t="inlineStr">
        <is>
          <t>A</t>
        </is>
      </c>
      <c r="H433" t="inlineStr">
        <is>
          <t>SAESA</t>
        </is>
      </c>
      <c r="I433" t="inlineStr">
        <is>
          <t>SAESPICHIBLOQA</t>
        </is>
      </c>
      <c r="J433" t="inlineStr">
        <is>
          <t>PICHIL</t>
        </is>
      </c>
      <c r="K433" t="n">
        <v>-662.72896234</v>
      </c>
      <c r="L433" t="inlineStr">
        <is>
          <t>PICHIL</t>
        </is>
      </c>
      <c r="M433" t="inlineStr">
        <is>
          <t>BARRO BLANCO</t>
        </is>
      </c>
      <c r="N433" t="n">
        <v>0.8920038857753</v>
      </c>
      <c r="O433" t="n">
        <v>591.15681</v>
      </c>
      <c r="P433" t="inlineStr">
        <is>
          <t>BS1A</t>
        </is>
      </c>
      <c r="Q433" t="n">
        <v>2</v>
      </c>
      <c r="V433" t="n">
        <v>1472834.063</v>
      </c>
      <c r="W433" t="n">
        <v>2</v>
      </c>
      <c r="X433" t="n">
        <v>8.487e-08</v>
      </c>
      <c r="Y433" t="n">
        <v>0.249999</v>
      </c>
      <c r="Z433" t="n">
        <v>147.788611</v>
      </c>
      <c r="AA433" t="inlineStr">
        <is>
          <t>PNP_6T_08-05-2020</t>
        </is>
      </c>
      <c r="AB433" t="inlineStr">
        <is>
          <t>PNCP_9T_12-08-2019</t>
        </is>
      </c>
      <c r="AC433" t="inlineStr">
        <is>
          <t>PNCP_4T_30-04-2013</t>
        </is>
      </c>
      <c r="AD433" t="inlineStr">
        <is>
          <t>Barro Blanco 220</t>
        </is>
      </c>
      <c r="AE433" t="n">
        <v>111.133</v>
      </c>
      <c r="AF433" t="n">
        <v>1.072776031070834</v>
      </c>
      <c r="AG433" t="n">
        <v>119.220818660995</v>
      </c>
      <c r="AH433" t="n">
        <v>694.38</v>
      </c>
      <c r="AI433" t="n">
        <v>0.875</v>
      </c>
      <c r="AJ433" t="n">
        <v>72.43648305409401</v>
      </c>
      <c r="AK433" t="n">
        <v>0.8631</v>
      </c>
      <c r="AL433" t="n">
        <v>62.52</v>
      </c>
      <c r="AM433" t="n">
        <v>8.9176</v>
      </c>
      <c r="AN433" t="n">
        <v>9.566587534677272</v>
      </c>
      <c r="AO433" t="n">
        <v>0.913</v>
      </c>
      <c r="AP433" t="n">
        <v>6064.919358776563</v>
      </c>
      <c r="AQ433" t="n">
        <v>1.004432825642191</v>
      </c>
      <c r="AR433" t="n">
        <v>6091.8041</v>
      </c>
      <c r="AS433" t="n">
        <v>9239.743959720001</v>
      </c>
      <c r="AT433" t="inlineStr">
        <is>
          <t>PNP_16T_02-11-2020</t>
        </is>
      </c>
      <c r="AU433" t="inlineStr">
        <is>
          <t>PNCP_2T_10-02-2020</t>
        </is>
      </c>
      <c r="AV433" t="inlineStr">
        <is>
          <t>PNCP_4T_30-04-2013</t>
        </is>
      </c>
      <c r="AW433" t="inlineStr">
        <is>
          <t>Barro Blanco 220</t>
        </is>
      </c>
      <c r="AX433" t="n">
        <v>111.133</v>
      </c>
      <c r="AY433" t="n">
        <v>1.080821157758461</v>
      </c>
      <c r="AZ433" t="n">
        <v>120.1148977251711</v>
      </c>
      <c r="BA433" t="n">
        <v>779.3099999999999</v>
      </c>
      <c r="BB433" t="n">
        <v>0.879</v>
      </c>
      <c r="BC433" t="n">
        <v>82.2803252917125</v>
      </c>
      <c r="BD433" t="n">
        <v>0.846</v>
      </c>
      <c r="BE433" t="n">
        <v>69.60899999999999</v>
      </c>
      <c r="BF433" t="n">
        <v>8.9176</v>
      </c>
      <c r="BG433" t="n">
        <v>0.804</v>
      </c>
      <c r="BH433" t="n">
        <v>6039.043023599974</v>
      </c>
      <c r="BI433" t="n">
        <v>1.011820868379177</v>
      </c>
      <c r="BJ433" t="n">
        <v>6110.4298</v>
      </c>
      <c r="BK433" t="n">
        <v>10287.417423099</v>
      </c>
    </row>
    <row r="434">
      <c r="A434" t="n">
        <v>3813</v>
      </c>
      <c r="B434" t="inlineStr">
        <is>
          <t>01-11-2020</t>
        </is>
      </c>
      <c r="C434" t="n">
        <v>2020</v>
      </c>
      <c r="D434" t="n">
        <v>1</v>
      </c>
      <c r="E434" t="inlineStr">
        <is>
          <t>CAREN</t>
        </is>
      </c>
      <c r="F434" t="inlineStr">
        <is>
          <t>SUM_SAESA_A</t>
        </is>
      </c>
      <c r="G434" t="inlineStr">
        <is>
          <t>A</t>
        </is>
      </c>
      <c r="H434" t="inlineStr">
        <is>
          <t>SAESA</t>
        </is>
      </c>
      <c r="I434" t="inlineStr">
        <is>
          <t>SAESPICHIBLOQA</t>
        </is>
      </c>
      <c r="J434" t="inlineStr">
        <is>
          <t>PICHIL</t>
        </is>
      </c>
      <c r="K434" t="n">
        <v>-662.72896234</v>
      </c>
      <c r="L434" t="inlineStr">
        <is>
          <t>PICHIL</t>
        </is>
      </c>
      <c r="M434" t="inlineStr">
        <is>
          <t>MELIPULLI</t>
        </is>
      </c>
      <c r="N434" t="n">
        <v>0.0602325005507</v>
      </c>
      <c r="O434" t="n">
        <v>39.917823</v>
      </c>
      <c r="P434" t="inlineStr">
        <is>
          <t>BS1A</t>
        </is>
      </c>
      <c r="Q434" t="n">
        <v>2</v>
      </c>
      <c r="V434" t="n">
        <v>1472834.063</v>
      </c>
      <c r="W434" t="n">
        <v>2</v>
      </c>
      <c r="X434" t="n">
        <v>8.487e-08</v>
      </c>
      <c r="Y434" t="n">
        <v>0.249999</v>
      </c>
      <c r="Z434" t="n">
        <v>9.979416000000001</v>
      </c>
      <c r="AA434" t="inlineStr">
        <is>
          <t>PNP_6T_08-05-2020</t>
        </is>
      </c>
      <c r="AB434" t="inlineStr">
        <is>
          <t>PNCP_9T_12-08-2019</t>
        </is>
      </c>
      <c r="AC434" t="inlineStr">
        <is>
          <t>PNCP_4T_30-04-2013</t>
        </is>
      </c>
      <c r="AD434" t="inlineStr">
        <is>
          <t>MELIPULLI 220</t>
        </is>
      </c>
      <c r="AE434" t="n">
        <v>111.133</v>
      </c>
      <c r="AF434" t="n">
        <v>1.072776031070834</v>
      </c>
      <c r="AG434" t="n">
        <v>119.220818660995</v>
      </c>
      <c r="AH434" t="n">
        <v>694.38</v>
      </c>
      <c r="AI434" t="n">
        <v>0.875</v>
      </c>
      <c r="AJ434" t="n">
        <v>72.43648305409401</v>
      </c>
      <c r="AK434" t="n">
        <v>0.8826000000000001</v>
      </c>
      <c r="AL434" t="n">
        <v>63.932</v>
      </c>
      <c r="AM434" t="n">
        <v>8.9176</v>
      </c>
      <c r="AN434" t="n">
        <v>9.566587534677272</v>
      </c>
      <c r="AO434" t="n">
        <v>0.913</v>
      </c>
      <c r="AP434" t="n">
        <v>6064.919358776563</v>
      </c>
      <c r="AQ434" t="n">
        <v>1</v>
      </c>
      <c r="AR434" t="n">
        <v>6064.9194</v>
      </c>
      <c r="AS434" t="n">
        <v>638.004023712</v>
      </c>
      <c r="AT434" t="inlineStr">
        <is>
          <t>PNP_16T_02-11-2020</t>
        </is>
      </c>
      <c r="AU434" t="inlineStr">
        <is>
          <t>PNCP_2T_10-02-2020</t>
        </is>
      </c>
      <c r="AV434" t="inlineStr">
        <is>
          <t>PNCP_4T_30-04-2013</t>
        </is>
      </c>
      <c r="AW434" t="inlineStr">
        <is>
          <t>MELIPULLI 220</t>
        </is>
      </c>
      <c r="AX434" t="n">
        <v>111.133</v>
      </c>
      <c r="AY434" t="n">
        <v>1.080821157758461</v>
      </c>
      <c r="AZ434" t="n">
        <v>120.1148977251711</v>
      </c>
      <c r="BA434" t="n">
        <v>779.3099999999999</v>
      </c>
      <c r="BB434" t="n">
        <v>0.879</v>
      </c>
      <c r="BC434" t="n">
        <v>82.2803252917125</v>
      </c>
      <c r="BD434" t="n">
        <v>0.8421</v>
      </c>
      <c r="BE434" t="n">
        <v>69.288</v>
      </c>
      <c r="BF434" t="n">
        <v>8.9176</v>
      </c>
      <c r="BG434" t="n">
        <v>0.804</v>
      </c>
      <c r="BH434" t="n">
        <v>6039.043023599974</v>
      </c>
      <c r="BI434" t="n">
        <v>1</v>
      </c>
      <c r="BJ434" t="n">
        <v>6039.043</v>
      </c>
      <c r="BK434" t="n">
        <v>691.453775808</v>
      </c>
    </row>
    <row r="435">
      <c r="A435" t="n">
        <v>3815</v>
      </c>
      <c r="B435" t="inlineStr">
        <is>
          <t>01-11-2020</t>
        </is>
      </c>
      <c r="C435" t="n">
        <v>2020</v>
      </c>
      <c r="D435" t="n">
        <v>1</v>
      </c>
      <c r="E435" t="inlineStr">
        <is>
          <t>CAREN</t>
        </is>
      </c>
      <c r="F435" t="inlineStr">
        <is>
          <t>SUM_SAESA_A</t>
        </is>
      </c>
      <c r="G435" t="inlineStr">
        <is>
          <t>A</t>
        </is>
      </c>
      <c r="H435" t="inlineStr">
        <is>
          <t>SAESA</t>
        </is>
      </c>
      <c r="I435" t="inlineStr">
        <is>
          <t>SAESPICHIBLOQA</t>
        </is>
      </c>
      <c r="J435" t="inlineStr">
        <is>
          <t>PICHIL</t>
        </is>
      </c>
      <c r="K435" t="n">
        <v>-662.72896234</v>
      </c>
      <c r="L435" t="inlineStr">
        <is>
          <t>PICHIL</t>
        </is>
      </c>
      <c r="M435" t="inlineStr">
        <is>
          <t>VALDIVIA</t>
        </is>
      </c>
      <c r="N435" t="n">
        <v>0.00992234391695</v>
      </c>
      <c r="O435" t="n">
        <v>6.575825</v>
      </c>
      <c r="P435" t="inlineStr">
        <is>
          <t>BS1A</t>
        </is>
      </c>
      <c r="Q435" t="n">
        <v>2</v>
      </c>
      <c r="V435" t="n">
        <v>1472834.063</v>
      </c>
      <c r="W435" t="n">
        <v>2</v>
      </c>
      <c r="X435" t="n">
        <v>8.487e-08</v>
      </c>
      <c r="Y435" t="n">
        <v>0.249999</v>
      </c>
      <c r="Z435" t="n">
        <v>1.64395</v>
      </c>
      <c r="AA435" t="inlineStr">
        <is>
          <t>PNP_6T_08-05-2020</t>
        </is>
      </c>
      <c r="AB435" t="inlineStr">
        <is>
          <t>PNCP_9T_12-08-2019</t>
        </is>
      </c>
      <c r="AC435" t="inlineStr">
        <is>
          <t>PNCP_4T_30-04-2013</t>
        </is>
      </c>
      <c r="AD435" t="inlineStr">
        <is>
          <t>VALDIVIA 220</t>
        </is>
      </c>
      <c r="AE435" t="n">
        <v>111.133</v>
      </c>
      <c r="AF435" t="n">
        <v>1.072776031070834</v>
      </c>
      <c r="AG435" t="n">
        <v>119.220818660995</v>
      </c>
      <c r="AH435" t="n">
        <v>694.38</v>
      </c>
      <c r="AI435" t="n">
        <v>0.875</v>
      </c>
      <c r="AJ435" t="n">
        <v>72.43648305409401</v>
      </c>
      <c r="AK435" t="n">
        <v>0.913</v>
      </c>
      <c r="AL435" t="n">
        <v>66.13500000000001</v>
      </c>
      <c r="AM435" t="n">
        <v>8.9176</v>
      </c>
      <c r="AN435" t="n">
        <v>9.566587534677272</v>
      </c>
      <c r="AO435" t="n">
        <v>0.913</v>
      </c>
      <c r="AP435" t="n">
        <v>6064.919358776563</v>
      </c>
      <c r="AQ435" t="n">
        <v>1.051287819142954</v>
      </c>
      <c r="AR435" t="n">
        <v>6375.9758</v>
      </c>
      <c r="AS435" t="n">
        <v>108.72263325</v>
      </c>
      <c r="AT435" t="inlineStr">
        <is>
          <t>PNP_16T_02-11-2020</t>
        </is>
      </c>
      <c r="AU435" t="inlineStr">
        <is>
          <t>PNCP_2T_10-02-2020</t>
        </is>
      </c>
      <c r="AV435" t="inlineStr">
        <is>
          <t>PNCP_4T_30-04-2013</t>
        </is>
      </c>
      <c r="AW435" t="inlineStr">
        <is>
          <t>VALDIVIA 220</t>
        </is>
      </c>
      <c r="AX435" t="n">
        <v>111.133</v>
      </c>
      <c r="AY435" t="n">
        <v>1.080821157758461</v>
      </c>
      <c r="AZ435" t="n">
        <v>120.1148977251711</v>
      </c>
      <c r="BA435" t="n">
        <v>779.3099999999999</v>
      </c>
      <c r="BB435" t="n">
        <v>0.879</v>
      </c>
      <c r="BC435" t="n">
        <v>82.2803252917125</v>
      </c>
      <c r="BD435" t="n">
        <v>0.9167</v>
      </c>
      <c r="BE435" t="n">
        <v>75.426</v>
      </c>
      <c r="BF435" t="n">
        <v>8.9176</v>
      </c>
      <c r="BG435" t="n">
        <v>0.804</v>
      </c>
      <c r="BH435" t="n">
        <v>6039.043023599974</v>
      </c>
      <c r="BI435" t="n">
        <v>1.096052187605444</v>
      </c>
      <c r="BJ435" t="n">
        <v>6619.1063</v>
      </c>
      <c r="BK435" t="n">
        <v>123.9965727</v>
      </c>
    </row>
    <row r="436">
      <c r="A436" t="n">
        <v>1897</v>
      </c>
      <c r="B436" t="inlineStr">
        <is>
          <t>01-11-2020</t>
        </is>
      </c>
      <c r="C436" t="n">
        <v>2020</v>
      </c>
      <c r="D436" t="n">
        <v>1</v>
      </c>
      <c r="E436" t="inlineStr">
        <is>
          <t>CAREN</t>
        </is>
      </c>
      <c r="F436" t="inlineStr">
        <is>
          <t>SUM_SAESA_A</t>
        </is>
      </c>
      <c r="G436" t="inlineStr">
        <is>
          <t>A</t>
        </is>
      </c>
      <c r="H436" t="inlineStr">
        <is>
          <t>SAESA</t>
        </is>
      </c>
      <c r="I436" t="inlineStr">
        <is>
          <t>SAESPICHBLOQA</t>
        </is>
      </c>
      <c r="J436" t="inlineStr">
        <is>
          <t>PICHIRROPULLI</t>
        </is>
      </c>
      <c r="K436" t="n">
        <v>-4218.73427619</v>
      </c>
      <c r="L436" t="inlineStr">
        <is>
          <t>PICHIRROPULLI</t>
        </is>
      </c>
      <c r="M436" t="inlineStr">
        <is>
          <t>BARRO BLANCO</t>
        </is>
      </c>
      <c r="N436" t="n">
        <v>0.44055171091363</v>
      </c>
      <c r="O436" t="n">
        <v>1858.570603</v>
      </c>
      <c r="P436" t="inlineStr">
        <is>
          <t>BS1A</t>
        </is>
      </c>
      <c r="Q436" t="n">
        <v>2</v>
      </c>
      <c r="V436" t="n">
        <v>1472834.063</v>
      </c>
      <c r="W436" t="n">
        <v>2</v>
      </c>
      <c r="X436" t="n">
        <v>8.487e-08</v>
      </c>
      <c r="Y436" t="n">
        <v>0.249999</v>
      </c>
      <c r="Z436" t="n">
        <v>464.640792</v>
      </c>
      <c r="AA436" t="inlineStr">
        <is>
          <t>PNP_6T_08-05-2020</t>
        </is>
      </c>
      <c r="AB436" t="inlineStr">
        <is>
          <t>PNCP_9T_12-08-2019</t>
        </is>
      </c>
      <c r="AC436" t="inlineStr">
        <is>
          <t>PNCP_4T_30-04-2013</t>
        </is>
      </c>
      <c r="AD436" t="inlineStr">
        <is>
          <t>Barro Blanco 220</t>
        </is>
      </c>
      <c r="AE436" t="n">
        <v>111.133</v>
      </c>
      <c r="AF436" t="n">
        <v>1.072776031070834</v>
      </c>
      <c r="AG436" t="n">
        <v>119.220818660995</v>
      </c>
      <c r="AH436" t="n">
        <v>694.38</v>
      </c>
      <c r="AI436" t="n">
        <v>0.875</v>
      </c>
      <c r="AJ436" t="n">
        <v>72.43648305409401</v>
      </c>
      <c r="AK436" t="n">
        <v>0.8631</v>
      </c>
      <c r="AL436" t="n">
        <v>62.52</v>
      </c>
      <c r="AM436" t="n">
        <v>8.9176</v>
      </c>
      <c r="AN436" t="n">
        <v>9.566587534677272</v>
      </c>
      <c r="AO436" t="n">
        <v>0.913</v>
      </c>
      <c r="AP436" t="n">
        <v>6064.919358776563</v>
      </c>
      <c r="AQ436" t="n">
        <v>1.004432825642191</v>
      </c>
      <c r="AR436" t="n">
        <v>6091.8041</v>
      </c>
      <c r="AS436" t="n">
        <v>29049.34231584</v>
      </c>
      <c r="AT436" t="inlineStr">
        <is>
          <t>PNP_16T_02-11-2020</t>
        </is>
      </c>
      <c r="AU436" t="inlineStr">
        <is>
          <t>PNCP_2T_10-02-2020</t>
        </is>
      </c>
      <c r="AV436" t="inlineStr">
        <is>
          <t>PNCP_4T_30-04-2013</t>
        </is>
      </c>
      <c r="AW436" t="inlineStr">
        <is>
          <t>Barro Blanco 220</t>
        </is>
      </c>
      <c r="AX436" t="n">
        <v>111.133</v>
      </c>
      <c r="AY436" t="n">
        <v>1.080821157758461</v>
      </c>
      <c r="AZ436" t="n">
        <v>120.1148977251711</v>
      </c>
      <c r="BA436" t="n">
        <v>779.3099999999999</v>
      </c>
      <c r="BB436" t="n">
        <v>0.879</v>
      </c>
      <c r="BC436" t="n">
        <v>82.2803252917125</v>
      </c>
      <c r="BD436" t="n">
        <v>0.846</v>
      </c>
      <c r="BE436" t="n">
        <v>69.60899999999999</v>
      </c>
      <c r="BF436" t="n">
        <v>8.9176</v>
      </c>
      <c r="BG436" t="n">
        <v>0.804</v>
      </c>
      <c r="BH436" t="n">
        <v>6039.043023599974</v>
      </c>
      <c r="BI436" t="n">
        <v>1.011820868379177</v>
      </c>
      <c r="BJ436" t="n">
        <v>6110.4298</v>
      </c>
      <c r="BK436" t="n">
        <v>32343.180890328</v>
      </c>
    </row>
    <row r="437">
      <c r="A437" t="n">
        <v>1899</v>
      </c>
      <c r="B437" t="inlineStr">
        <is>
          <t>01-11-2020</t>
        </is>
      </c>
      <c r="C437" t="n">
        <v>2020</v>
      </c>
      <c r="D437" t="n">
        <v>1</v>
      </c>
      <c r="E437" t="inlineStr">
        <is>
          <t>CAREN</t>
        </is>
      </c>
      <c r="F437" t="inlineStr">
        <is>
          <t>SUM_SAESA_A</t>
        </is>
      </c>
      <c r="G437" t="inlineStr">
        <is>
          <t>A</t>
        </is>
      </c>
      <c r="H437" t="inlineStr">
        <is>
          <t>SAESA</t>
        </is>
      </c>
      <c r="I437" t="inlineStr">
        <is>
          <t>SAESPICHBLOQA</t>
        </is>
      </c>
      <c r="J437" t="inlineStr">
        <is>
          <t>PICHIRROPULLI</t>
        </is>
      </c>
      <c r="K437" t="n">
        <v>-4218.73427619</v>
      </c>
      <c r="L437" t="inlineStr">
        <is>
          <t>PICHIRROPULLI</t>
        </is>
      </c>
      <c r="M437" t="inlineStr">
        <is>
          <t>MELIPULLI</t>
        </is>
      </c>
      <c r="N437" t="n">
        <v>0.02469277244506</v>
      </c>
      <c r="O437" t="n">
        <v>104.172245</v>
      </c>
      <c r="P437" t="inlineStr">
        <is>
          <t>BS1A</t>
        </is>
      </c>
      <c r="Q437" t="n">
        <v>2</v>
      </c>
      <c r="V437" t="n">
        <v>1472834.063</v>
      </c>
      <c r="W437" t="n">
        <v>2</v>
      </c>
      <c r="X437" t="n">
        <v>8.487e-08</v>
      </c>
      <c r="Y437" t="n">
        <v>0.249999</v>
      </c>
      <c r="Z437" t="n">
        <v>26.042957</v>
      </c>
      <c r="AA437" t="inlineStr">
        <is>
          <t>PNP_6T_08-05-2020</t>
        </is>
      </c>
      <c r="AB437" t="inlineStr">
        <is>
          <t>PNCP_9T_12-08-2019</t>
        </is>
      </c>
      <c r="AC437" t="inlineStr">
        <is>
          <t>PNCP_4T_30-04-2013</t>
        </is>
      </c>
      <c r="AD437" t="inlineStr">
        <is>
          <t>MELIPULLI 220</t>
        </is>
      </c>
      <c r="AE437" t="n">
        <v>111.133</v>
      </c>
      <c r="AF437" t="n">
        <v>1.072776031070834</v>
      </c>
      <c r="AG437" t="n">
        <v>119.220818660995</v>
      </c>
      <c r="AH437" t="n">
        <v>694.38</v>
      </c>
      <c r="AI437" t="n">
        <v>0.875</v>
      </c>
      <c r="AJ437" t="n">
        <v>72.43648305409401</v>
      </c>
      <c r="AK437" t="n">
        <v>0.8826000000000001</v>
      </c>
      <c r="AL437" t="n">
        <v>63.932</v>
      </c>
      <c r="AM437" t="n">
        <v>8.9176</v>
      </c>
      <c r="AN437" t="n">
        <v>9.566587534677272</v>
      </c>
      <c r="AO437" t="n">
        <v>0.913</v>
      </c>
      <c r="AP437" t="n">
        <v>6064.919358776563</v>
      </c>
      <c r="AQ437" t="n">
        <v>1</v>
      </c>
      <c r="AR437" t="n">
        <v>6064.9194</v>
      </c>
      <c r="AS437" t="n">
        <v>1664.978326924</v>
      </c>
      <c r="AT437" t="inlineStr">
        <is>
          <t>PNP_16T_02-11-2020</t>
        </is>
      </c>
      <c r="AU437" t="inlineStr">
        <is>
          <t>PNCP_2T_10-02-2020</t>
        </is>
      </c>
      <c r="AV437" t="inlineStr">
        <is>
          <t>PNCP_4T_30-04-2013</t>
        </is>
      </c>
      <c r="AW437" t="inlineStr">
        <is>
          <t>MELIPULLI 220</t>
        </is>
      </c>
      <c r="AX437" t="n">
        <v>111.133</v>
      </c>
      <c r="AY437" t="n">
        <v>1.080821157758461</v>
      </c>
      <c r="AZ437" t="n">
        <v>120.1148977251711</v>
      </c>
      <c r="BA437" t="n">
        <v>779.3099999999999</v>
      </c>
      <c r="BB437" t="n">
        <v>0.879</v>
      </c>
      <c r="BC437" t="n">
        <v>82.2803252917125</v>
      </c>
      <c r="BD437" t="n">
        <v>0.8421</v>
      </c>
      <c r="BE437" t="n">
        <v>69.288</v>
      </c>
      <c r="BF437" t="n">
        <v>8.9176</v>
      </c>
      <c r="BG437" t="n">
        <v>0.804</v>
      </c>
      <c r="BH437" t="n">
        <v>6039.043023599974</v>
      </c>
      <c r="BI437" t="n">
        <v>1</v>
      </c>
      <c r="BJ437" t="n">
        <v>6039.043</v>
      </c>
      <c r="BK437" t="n">
        <v>1804.464404616</v>
      </c>
    </row>
    <row r="438">
      <c r="A438" t="n">
        <v>1901</v>
      </c>
      <c r="B438" t="inlineStr">
        <is>
          <t>01-11-2020</t>
        </is>
      </c>
      <c r="C438" t="n">
        <v>2020</v>
      </c>
      <c r="D438" t="n">
        <v>1</v>
      </c>
      <c r="E438" t="inlineStr">
        <is>
          <t>CAREN</t>
        </is>
      </c>
      <c r="F438" t="inlineStr">
        <is>
          <t>SUM_SAESA_A</t>
        </is>
      </c>
      <c r="G438" t="inlineStr">
        <is>
          <t>A</t>
        </is>
      </c>
      <c r="H438" t="inlineStr">
        <is>
          <t>SAESA</t>
        </is>
      </c>
      <c r="I438" t="inlineStr">
        <is>
          <t>SAESPICHBLOQA</t>
        </is>
      </c>
      <c r="J438" t="inlineStr">
        <is>
          <t>PICHIRROPULLI</t>
        </is>
      </c>
      <c r="K438" t="n">
        <v>-4218.73427619</v>
      </c>
      <c r="L438" t="inlineStr">
        <is>
          <t>PICHIRROPULLI</t>
        </is>
      </c>
      <c r="M438" t="inlineStr">
        <is>
          <t>VALDIVIA</t>
        </is>
      </c>
      <c r="N438" t="n">
        <v>0.40806767195515</v>
      </c>
      <c r="O438" t="n">
        <v>1721.529075</v>
      </c>
      <c r="P438" t="inlineStr">
        <is>
          <t>BS1A</t>
        </is>
      </c>
      <c r="Q438" t="n">
        <v>2</v>
      </c>
      <c r="V438" t="n">
        <v>1472834.063</v>
      </c>
      <c r="W438" t="n">
        <v>2</v>
      </c>
      <c r="X438" t="n">
        <v>8.487e-08</v>
      </c>
      <c r="Y438" t="n">
        <v>0.249999</v>
      </c>
      <c r="Z438" t="n">
        <v>430.380547</v>
      </c>
      <c r="AA438" t="inlineStr">
        <is>
          <t>PNP_6T_08-05-2020</t>
        </is>
      </c>
      <c r="AB438" t="inlineStr">
        <is>
          <t>PNCP_9T_12-08-2019</t>
        </is>
      </c>
      <c r="AC438" t="inlineStr">
        <is>
          <t>PNCP_4T_30-04-2013</t>
        </is>
      </c>
      <c r="AD438" t="inlineStr">
        <is>
          <t>VALDIVIA 220</t>
        </is>
      </c>
      <c r="AE438" t="n">
        <v>111.133</v>
      </c>
      <c r="AF438" t="n">
        <v>1.072776031070834</v>
      </c>
      <c r="AG438" t="n">
        <v>119.220818660995</v>
      </c>
      <c r="AH438" t="n">
        <v>694.38</v>
      </c>
      <c r="AI438" t="n">
        <v>0.875</v>
      </c>
      <c r="AJ438" t="n">
        <v>72.43648305409401</v>
      </c>
      <c r="AK438" t="n">
        <v>0.913</v>
      </c>
      <c r="AL438" t="n">
        <v>66.13500000000001</v>
      </c>
      <c r="AM438" t="n">
        <v>8.9176</v>
      </c>
      <c r="AN438" t="n">
        <v>9.566587534677272</v>
      </c>
      <c r="AO438" t="n">
        <v>0.913</v>
      </c>
      <c r="AP438" t="n">
        <v>6064.919358776563</v>
      </c>
      <c r="AQ438" t="n">
        <v>1.051287819142954</v>
      </c>
      <c r="AR438" t="n">
        <v>6375.9758</v>
      </c>
      <c r="AS438" t="n">
        <v>28463.217475845</v>
      </c>
      <c r="AT438" t="inlineStr">
        <is>
          <t>PNP_16T_02-11-2020</t>
        </is>
      </c>
      <c r="AU438" t="inlineStr">
        <is>
          <t>PNCP_2T_10-02-2020</t>
        </is>
      </c>
      <c r="AV438" t="inlineStr">
        <is>
          <t>PNCP_4T_30-04-2013</t>
        </is>
      </c>
      <c r="AW438" t="inlineStr">
        <is>
          <t>VALDIVIA 220</t>
        </is>
      </c>
      <c r="AX438" t="n">
        <v>111.133</v>
      </c>
      <c r="AY438" t="n">
        <v>1.080821157758461</v>
      </c>
      <c r="AZ438" t="n">
        <v>120.1148977251711</v>
      </c>
      <c r="BA438" t="n">
        <v>779.3099999999999</v>
      </c>
      <c r="BB438" t="n">
        <v>0.879</v>
      </c>
      <c r="BC438" t="n">
        <v>82.2803252917125</v>
      </c>
      <c r="BD438" t="n">
        <v>0.9167</v>
      </c>
      <c r="BE438" t="n">
        <v>75.426</v>
      </c>
      <c r="BF438" t="n">
        <v>8.9176</v>
      </c>
      <c r="BG438" t="n">
        <v>0.804</v>
      </c>
      <c r="BH438" t="n">
        <v>6039.043023599974</v>
      </c>
      <c r="BI438" t="n">
        <v>1.096052187605444</v>
      </c>
      <c r="BJ438" t="n">
        <v>6619.1063</v>
      </c>
      <c r="BK438" t="n">
        <v>32461.883138022</v>
      </c>
    </row>
    <row r="439">
      <c r="A439" t="n">
        <v>1897</v>
      </c>
      <c r="B439" t="inlineStr">
        <is>
          <t>01-11-2020</t>
        </is>
      </c>
      <c r="C439" t="n">
        <v>2020</v>
      </c>
      <c r="D439" t="n">
        <v>1</v>
      </c>
      <c r="E439" t="inlineStr">
        <is>
          <t>CAREN</t>
        </is>
      </c>
      <c r="F439" t="inlineStr">
        <is>
          <t>SUM_SAESA_A</t>
        </is>
      </c>
      <c r="G439" t="inlineStr">
        <is>
          <t>A</t>
        </is>
      </c>
      <c r="H439" t="inlineStr">
        <is>
          <t>SAESA</t>
        </is>
      </c>
      <c r="I439" t="inlineStr">
        <is>
          <t>SAESPIDPBLOQA</t>
        </is>
      </c>
      <c r="J439" t="inlineStr">
        <is>
          <t>PIDPID</t>
        </is>
      </c>
      <c r="K439" t="n">
        <v>-2955.17213977</v>
      </c>
      <c r="L439" t="inlineStr">
        <is>
          <t>PID PID</t>
        </is>
      </c>
      <c r="M439" t="inlineStr">
        <is>
          <t>MELIPULLI</t>
        </is>
      </c>
      <c r="N439" t="n">
        <v>0.79666086463654</v>
      </c>
      <c r="O439" t="n">
        <v>2354.269992</v>
      </c>
      <c r="P439" t="inlineStr">
        <is>
          <t>BS1A</t>
        </is>
      </c>
      <c r="Q439" t="n">
        <v>2</v>
      </c>
      <c r="V439" t="n">
        <v>1472834.063</v>
      </c>
      <c r="W439" t="n">
        <v>2</v>
      </c>
      <c r="X439" t="n">
        <v>8.487e-08</v>
      </c>
      <c r="Y439" t="n">
        <v>0.249999</v>
      </c>
      <c r="Z439" t="n">
        <v>588.565144</v>
      </c>
      <c r="AA439" t="inlineStr">
        <is>
          <t>PNP_6T_08-05-2020</t>
        </is>
      </c>
      <c r="AB439" t="inlineStr">
        <is>
          <t>PNCP_9T_12-08-2019</t>
        </is>
      </c>
      <c r="AC439" t="inlineStr">
        <is>
          <t>PNCP_4T_30-04-2013</t>
        </is>
      </c>
      <c r="AD439" t="inlineStr">
        <is>
          <t>MELIPULLI 220</t>
        </is>
      </c>
      <c r="AE439" t="n">
        <v>111.133</v>
      </c>
      <c r="AF439" t="n">
        <v>1.072776031070834</v>
      </c>
      <c r="AG439" t="n">
        <v>119.220818660995</v>
      </c>
      <c r="AH439" t="n">
        <v>694.38</v>
      </c>
      <c r="AI439" t="n">
        <v>0.875</v>
      </c>
      <c r="AJ439" t="n">
        <v>72.43648305409401</v>
      </c>
      <c r="AK439" t="n">
        <v>0.8826000000000001</v>
      </c>
      <c r="AL439" t="n">
        <v>63.932</v>
      </c>
      <c r="AM439" t="n">
        <v>8.9176</v>
      </c>
      <c r="AN439" t="n">
        <v>9.566587534677272</v>
      </c>
      <c r="AO439" t="n">
        <v>0.913</v>
      </c>
      <c r="AP439" t="n">
        <v>6064.919358776563</v>
      </c>
      <c r="AQ439" t="n">
        <v>1</v>
      </c>
      <c r="AR439" t="n">
        <v>6064.9194</v>
      </c>
      <c r="AS439" t="n">
        <v>37628.146786208</v>
      </c>
      <c r="AT439" t="inlineStr">
        <is>
          <t>PNP_16T_02-11-2020</t>
        </is>
      </c>
      <c r="AU439" t="inlineStr">
        <is>
          <t>PNCP_2T_10-02-2020</t>
        </is>
      </c>
      <c r="AV439" t="inlineStr">
        <is>
          <t>PNCP_4T_30-04-2013</t>
        </is>
      </c>
      <c r="AW439" t="inlineStr">
        <is>
          <t>MELIPULLI 220</t>
        </is>
      </c>
      <c r="AX439" t="n">
        <v>111.133</v>
      </c>
      <c r="AY439" t="n">
        <v>1.080821157758461</v>
      </c>
      <c r="AZ439" t="n">
        <v>120.1148977251711</v>
      </c>
      <c r="BA439" t="n">
        <v>779.3099999999999</v>
      </c>
      <c r="BB439" t="n">
        <v>0.879</v>
      </c>
      <c r="BC439" t="n">
        <v>82.2803252917125</v>
      </c>
      <c r="BD439" t="n">
        <v>0.8421</v>
      </c>
      <c r="BE439" t="n">
        <v>69.288</v>
      </c>
      <c r="BF439" t="n">
        <v>8.9176</v>
      </c>
      <c r="BG439" t="n">
        <v>0.804</v>
      </c>
      <c r="BH439" t="n">
        <v>6039.043023599974</v>
      </c>
      <c r="BI439" t="n">
        <v>1</v>
      </c>
      <c r="BJ439" t="n">
        <v>6039.043</v>
      </c>
      <c r="BK439" t="n">
        <v>40780.501697472</v>
      </c>
    </row>
    <row r="440">
      <c r="A440" t="n">
        <v>1899</v>
      </c>
      <c r="B440" t="inlineStr">
        <is>
          <t>01-11-2020</t>
        </is>
      </c>
      <c r="C440" t="n">
        <v>2020</v>
      </c>
      <c r="D440" t="n">
        <v>1</v>
      </c>
      <c r="E440" t="inlineStr">
        <is>
          <t>CAREN</t>
        </is>
      </c>
      <c r="F440" t="inlineStr">
        <is>
          <t>SUM_SAESA_A</t>
        </is>
      </c>
      <c r="G440" t="inlineStr">
        <is>
          <t>A</t>
        </is>
      </c>
      <c r="H440" t="inlineStr">
        <is>
          <t>SAESA</t>
        </is>
      </c>
      <c r="I440" t="inlineStr">
        <is>
          <t>SAESPIDPBLOQA</t>
        </is>
      </c>
      <c r="J440" t="inlineStr">
        <is>
          <t>PIDPID</t>
        </is>
      </c>
      <c r="K440" t="n">
        <v>-2955.17213977</v>
      </c>
      <c r="L440" t="inlineStr">
        <is>
          <t>PID PID</t>
        </is>
      </c>
      <c r="M440" t="inlineStr">
        <is>
          <t>Puerto Montt</t>
        </is>
      </c>
      <c r="N440" t="n">
        <v>0.94104614890391</v>
      </c>
      <c r="O440" t="n">
        <v>2780.953361</v>
      </c>
      <c r="P440" t="inlineStr">
        <is>
          <t>BS1A</t>
        </is>
      </c>
      <c r="Q440" t="n">
        <v>2</v>
      </c>
      <c r="V440" t="n">
        <v>1472834.063</v>
      </c>
      <c r="W440" t="n">
        <v>2</v>
      </c>
      <c r="X440" t="n">
        <v>8.487e-08</v>
      </c>
      <c r="Y440" t="n">
        <v>0.249999</v>
      </c>
      <c r="Z440" t="n">
        <v>695.235559</v>
      </c>
      <c r="AA440" t="inlineStr">
        <is>
          <t>PNP_6T_08-05-2020</t>
        </is>
      </c>
      <c r="AB440" t="inlineStr">
        <is>
          <t>PNCP_9T_12-08-2019</t>
        </is>
      </c>
      <c r="AC440" t="inlineStr">
        <is>
          <t>PNCP_4T_30-04-2013</t>
        </is>
      </c>
      <c r="AD440" t="inlineStr">
        <is>
          <t>PUERTO MONTT 220</t>
        </is>
      </c>
      <c r="AE440" t="n">
        <v>111.133</v>
      </c>
      <c r="AF440" t="n">
        <v>1.072776031070834</v>
      </c>
      <c r="AG440" t="n">
        <v>119.220818660995</v>
      </c>
      <c r="AH440" t="n">
        <v>694.38</v>
      </c>
      <c r="AI440" t="n">
        <v>0.875</v>
      </c>
      <c r="AJ440" t="n">
        <v>72.43648305409401</v>
      </c>
      <c r="AK440" t="n">
        <v>0.8826000000000001</v>
      </c>
      <c r="AL440" t="n">
        <v>63.932</v>
      </c>
      <c r="AM440" t="n">
        <v>8.9176</v>
      </c>
      <c r="AN440" t="n">
        <v>9.566587534677272</v>
      </c>
      <c r="AO440" t="n">
        <v>0.913</v>
      </c>
      <c r="AP440" t="n">
        <v>6064.919358776563</v>
      </c>
      <c r="AQ440" t="n">
        <v>1.016858412119831</v>
      </c>
      <c r="AR440" t="n">
        <v>6167.1643</v>
      </c>
      <c r="AS440" t="n">
        <v>44447.799757988</v>
      </c>
      <c r="AT440" t="inlineStr">
        <is>
          <t>PNP_16T_02-11-2020</t>
        </is>
      </c>
      <c r="AU440" t="inlineStr">
        <is>
          <t>PNCP_2T_10-02-2020</t>
        </is>
      </c>
      <c r="AV440" t="inlineStr">
        <is>
          <t>PNCP_4T_30-04-2013</t>
        </is>
      </c>
      <c r="AW440" t="inlineStr">
        <is>
          <t>PUERTO MONTT 220</t>
        </is>
      </c>
      <c r="AX440" t="n">
        <v>111.133</v>
      </c>
      <c r="AY440" t="n">
        <v>1.080821157758461</v>
      </c>
      <c r="AZ440" t="n">
        <v>120.1148977251711</v>
      </c>
      <c r="BA440" t="n">
        <v>779.3099999999999</v>
      </c>
      <c r="BB440" t="n">
        <v>0.879</v>
      </c>
      <c r="BC440" t="n">
        <v>82.2803252917125</v>
      </c>
      <c r="BD440" t="n">
        <v>0.8421</v>
      </c>
      <c r="BE440" t="n">
        <v>69.288</v>
      </c>
      <c r="BF440" t="n">
        <v>8.9176</v>
      </c>
      <c r="BG440" t="n">
        <v>0.804</v>
      </c>
      <c r="BH440" t="n">
        <v>6039.043023599974</v>
      </c>
      <c r="BI440" t="n">
        <v>1.02699624102973</v>
      </c>
      <c r="BJ440" t="n">
        <v>6202.0745</v>
      </c>
      <c r="BK440" t="n">
        <v>48171.481411992</v>
      </c>
    </row>
    <row r="441">
      <c r="A441" t="n">
        <v>1901</v>
      </c>
      <c r="B441" t="inlineStr">
        <is>
          <t>01-11-2020</t>
        </is>
      </c>
      <c r="C441" t="n">
        <v>2020</v>
      </c>
      <c r="D441" t="n">
        <v>1</v>
      </c>
      <c r="E441" t="inlineStr">
        <is>
          <t>CAREN</t>
        </is>
      </c>
      <c r="F441" t="inlineStr">
        <is>
          <t>SUM_SAESA_A</t>
        </is>
      </c>
      <c r="G441" t="inlineStr">
        <is>
          <t>A</t>
        </is>
      </c>
      <c r="H441" t="inlineStr">
        <is>
          <t>SAESA</t>
        </is>
      </c>
      <c r="I441" t="inlineStr">
        <is>
          <t>SAESPIDPBLOQA</t>
        </is>
      </c>
      <c r="J441" t="inlineStr">
        <is>
          <t>PIDPID</t>
        </is>
      </c>
      <c r="K441" t="n">
        <v>-2955.17213977</v>
      </c>
      <c r="L441" t="inlineStr">
        <is>
          <t>PID PID</t>
        </is>
      </c>
      <c r="M441" t="inlineStr">
        <is>
          <t>VALDIVIA</t>
        </is>
      </c>
      <c r="N441" t="n">
        <v>0.00023768314126</v>
      </c>
      <c r="O441" t="n">
        <v>0.702395</v>
      </c>
      <c r="P441" t="inlineStr">
        <is>
          <t>BS1A</t>
        </is>
      </c>
      <c r="Q441" t="n">
        <v>2</v>
      </c>
      <c r="V441" t="n">
        <v>1472834.063</v>
      </c>
      <c r="W441" t="n">
        <v>2</v>
      </c>
      <c r="X441" t="n">
        <v>8.487e-08</v>
      </c>
      <c r="Y441" t="n">
        <v>0.249999</v>
      </c>
      <c r="Z441" t="n">
        <v>0.175598</v>
      </c>
      <c r="AA441" t="inlineStr">
        <is>
          <t>PNP_6T_08-05-2020</t>
        </is>
      </c>
      <c r="AB441" t="inlineStr">
        <is>
          <t>PNCP_9T_12-08-2019</t>
        </is>
      </c>
      <c r="AC441" t="inlineStr">
        <is>
          <t>PNCP_4T_30-04-2013</t>
        </is>
      </c>
      <c r="AD441" t="inlineStr">
        <is>
          <t>VALDIVIA 220</t>
        </is>
      </c>
      <c r="AE441" t="n">
        <v>111.133</v>
      </c>
      <c r="AF441" t="n">
        <v>1.072776031070834</v>
      </c>
      <c r="AG441" t="n">
        <v>119.220818660995</v>
      </c>
      <c r="AH441" t="n">
        <v>694.38</v>
      </c>
      <c r="AI441" t="n">
        <v>0.875</v>
      </c>
      <c r="AJ441" t="n">
        <v>72.43648305409401</v>
      </c>
      <c r="AK441" t="n">
        <v>0.913</v>
      </c>
      <c r="AL441" t="n">
        <v>66.13500000000001</v>
      </c>
      <c r="AM441" t="n">
        <v>8.9176</v>
      </c>
      <c r="AN441" t="n">
        <v>9.566587534677272</v>
      </c>
      <c r="AO441" t="n">
        <v>0.913</v>
      </c>
      <c r="AP441" t="n">
        <v>6064.919358776563</v>
      </c>
      <c r="AQ441" t="n">
        <v>1.051287819142954</v>
      </c>
      <c r="AR441" t="n">
        <v>6375.9758</v>
      </c>
      <c r="AS441" t="n">
        <v>11.61317373</v>
      </c>
      <c r="AT441" t="inlineStr">
        <is>
          <t>PNP_16T_02-11-2020</t>
        </is>
      </c>
      <c r="AU441" t="inlineStr">
        <is>
          <t>PNCP_2T_10-02-2020</t>
        </is>
      </c>
      <c r="AV441" t="inlineStr">
        <is>
          <t>PNCP_4T_30-04-2013</t>
        </is>
      </c>
      <c r="AW441" t="inlineStr">
        <is>
          <t>VALDIVIA 220</t>
        </is>
      </c>
      <c r="AX441" t="n">
        <v>111.133</v>
      </c>
      <c r="AY441" t="n">
        <v>1.080821157758461</v>
      </c>
      <c r="AZ441" t="n">
        <v>120.1148977251711</v>
      </c>
      <c r="BA441" t="n">
        <v>779.3099999999999</v>
      </c>
      <c r="BB441" t="n">
        <v>0.879</v>
      </c>
      <c r="BC441" t="n">
        <v>82.2803252917125</v>
      </c>
      <c r="BD441" t="n">
        <v>0.9167</v>
      </c>
      <c r="BE441" t="n">
        <v>75.426</v>
      </c>
      <c r="BF441" t="n">
        <v>8.9176</v>
      </c>
      <c r="BG441" t="n">
        <v>0.804</v>
      </c>
      <c r="BH441" t="n">
        <v>6039.043023599974</v>
      </c>
      <c r="BI441" t="n">
        <v>1.096052187605444</v>
      </c>
      <c r="BJ441" t="n">
        <v>6619.1063</v>
      </c>
      <c r="BK441" t="n">
        <v>13.244654748</v>
      </c>
    </row>
    <row r="442">
      <c r="A442" t="n">
        <v>5650</v>
      </c>
      <c r="B442" t="inlineStr">
        <is>
          <t>01-11-2020</t>
        </is>
      </c>
      <c r="C442" t="n">
        <v>2020</v>
      </c>
      <c r="D442" t="n">
        <v>1</v>
      </c>
      <c r="E442" t="inlineStr">
        <is>
          <t>CAREN</t>
        </is>
      </c>
      <c r="F442" t="inlineStr">
        <is>
          <t>SUM_SAESA_A</t>
        </is>
      </c>
      <c r="G442" t="inlineStr">
        <is>
          <t>A</t>
        </is>
      </c>
      <c r="H442" t="inlineStr">
        <is>
          <t>SAESA</t>
        </is>
      </c>
      <c r="I442" t="inlineStr">
        <is>
          <t>SAESPILMBLOQA</t>
        </is>
      </c>
      <c r="J442" t="inlineStr">
        <is>
          <t>PILMAIQUEN</t>
        </is>
      </c>
      <c r="K442" t="n">
        <v>0</v>
      </c>
      <c r="L442" t="inlineStr">
        <is>
          <t>PILMAIQUEN</t>
        </is>
      </c>
      <c r="M442" t="inlineStr">
        <is>
          <t>Barro Blanco</t>
        </is>
      </c>
      <c r="N442" t="n">
        <v>0.69399012693979</v>
      </c>
      <c r="O442" t="n">
        <v>0</v>
      </c>
      <c r="P442" t="inlineStr">
        <is>
          <t>BS1A</t>
        </is>
      </c>
      <c r="Q442" t="n">
        <v>2</v>
      </c>
      <c r="V442" t="n">
        <v>1472834.063</v>
      </c>
      <c r="W442" t="n">
        <v>2</v>
      </c>
      <c r="X442" t="n">
        <v>8.487e-08</v>
      </c>
      <c r="Y442" t="n">
        <v>0.249999</v>
      </c>
      <c r="Z442" t="n">
        <v>0</v>
      </c>
      <c r="AA442" t="inlineStr">
        <is>
          <t>PNP_6T_08-05-2020</t>
        </is>
      </c>
      <c r="AB442" t="inlineStr">
        <is>
          <t>PNCP_9T_12-08-2019</t>
        </is>
      </c>
      <c r="AC442" t="inlineStr">
        <is>
          <t>PNCP_4T_30-04-2013</t>
        </is>
      </c>
      <c r="AD442" t="inlineStr">
        <is>
          <t>Barro Blanco 220</t>
        </is>
      </c>
      <c r="AE442" t="n">
        <v>111.133</v>
      </c>
      <c r="AF442" t="n">
        <v>1.072776031070834</v>
      </c>
      <c r="AG442" t="n">
        <v>119.220818660995</v>
      </c>
      <c r="AH442" t="n">
        <v>694.38</v>
      </c>
      <c r="AI442" t="n">
        <v>0.875</v>
      </c>
      <c r="AJ442" t="n">
        <v>72.43648305409401</v>
      </c>
      <c r="AK442" t="n">
        <v>0.8631</v>
      </c>
      <c r="AL442" t="n">
        <v>62.52</v>
      </c>
      <c r="AM442" t="n">
        <v>8.9176</v>
      </c>
      <c r="AN442" t="n">
        <v>9.566587534677272</v>
      </c>
      <c r="AO442" t="n">
        <v>0.913</v>
      </c>
      <c r="AP442" t="n">
        <v>6064.919358776563</v>
      </c>
      <c r="AQ442" t="n">
        <v>1.004432825642191</v>
      </c>
      <c r="AR442" t="n">
        <v>6091.8041</v>
      </c>
      <c r="AS442" t="n">
        <v>0</v>
      </c>
      <c r="AT442" t="inlineStr">
        <is>
          <t>PNP_16T_02-11-2020</t>
        </is>
      </c>
      <c r="AU442" t="inlineStr">
        <is>
          <t>PNCP_2T_10-02-2020</t>
        </is>
      </c>
      <c r="AV442" t="inlineStr">
        <is>
          <t>PNCP_4T_30-04-2013</t>
        </is>
      </c>
      <c r="AW442" t="inlineStr">
        <is>
          <t>Barro Blanco 220</t>
        </is>
      </c>
      <c r="AX442" t="n">
        <v>111.133</v>
      </c>
      <c r="AY442" t="n">
        <v>1.080821157758461</v>
      </c>
      <c r="AZ442" t="n">
        <v>120.1148977251711</v>
      </c>
      <c r="BA442" t="n">
        <v>779.3099999999999</v>
      </c>
      <c r="BB442" t="n">
        <v>0.879</v>
      </c>
      <c r="BC442" t="n">
        <v>82.2803252917125</v>
      </c>
      <c r="BD442" t="n">
        <v>0.846</v>
      </c>
      <c r="BE442" t="n">
        <v>69.60899999999999</v>
      </c>
      <c r="BF442" t="n">
        <v>8.9176</v>
      </c>
      <c r="BG442" t="n">
        <v>0.804</v>
      </c>
      <c r="BH442" t="n">
        <v>6039.043023599974</v>
      </c>
      <c r="BI442" t="n">
        <v>1.011820868379177</v>
      </c>
      <c r="BJ442" t="n">
        <v>6110.4298</v>
      </c>
      <c r="BK442" t="n">
        <v>0</v>
      </c>
    </row>
    <row r="443">
      <c r="A443" t="n">
        <v>5652</v>
      </c>
      <c r="B443" t="inlineStr">
        <is>
          <t>01-11-2020</t>
        </is>
      </c>
      <c r="C443" t="n">
        <v>2020</v>
      </c>
      <c r="D443" t="n">
        <v>1</v>
      </c>
      <c r="E443" t="inlineStr">
        <is>
          <t>CAREN</t>
        </is>
      </c>
      <c r="F443" t="inlineStr">
        <is>
          <t>SUM_SAESA_A</t>
        </is>
      </c>
      <c r="G443" t="inlineStr">
        <is>
          <t>A</t>
        </is>
      </c>
      <c r="H443" t="inlineStr">
        <is>
          <t>SAESA</t>
        </is>
      </c>
      <c r="I443" t="inlineStr">
        <is>
          <t>SAESPILMBLOQA</t>
        </is>
      </c>
      <c r="J443" t="inlineStr">
        <is>
          <t>PILMAIQUEN</t>
        </is>
      </c>
      <c r="K443" t="n">
        <v>0</v>
      </c>
      <c r="L443" t="inlineStr">
        <is>
          <t>PILMAIQUEN</t>
        </is>
      </c>
      <c r="M443" t="inlineStr">
        <is>
          <t>MELIPULLI</t>
        </is>
      </c>
      <c r="N443" t="n">
        <v>0.04205368679911</v>
      </c>
      <c r="O443" t="n">
        <v>0</v>
      </c>
      <c r="P443" t="inlineStr">
        <is>
          <t>BS1A</t>
        </is>
      </c>
      <c r="Q443" t="n">
        <v>2</v>
      </c>
      <c r="V443" t="n">
        <v>1472834.063</v>
      </c>
      <c r="W443" t="n">
        <v>2</v>
      </c>
      <c r="X443" t="n">
        <v>8.487e-08</v>
      </c>
      <c r="Y443" t="n">
        <v>0.249999</v>
      </c>
      <c r="Z443" t="n">
        <v>0</v>
      </c>
      <c r="AA443" t="inlineStr">
        <is>
          <t>PNP_6T_08-05-2020</t>
        </is>
      </c>
      <c r="AB443" t="inlineStr">
        <is>
          <t>PNCP_9T_12-08-2019</t>
        </is>
      </c>
      <c r="AC443" t="inlineStr">
        <is>
          <t>PNCP_4T_30-04-2013</t>
        </is>
      </c>
      <c r="AD443" t="inlineStr">
        <is>
          <t>MELIPULLI 220</t>
        </is>
      </c>
      <c r="AE443" t="n">
        <v>111.133</v>
      </c>
      <c r="AF443" t="n">
        <v>1.072776031070834</v>
      </c>
      <c r="AG443" t="n">
        <v>119.220818660995</v>
      </c>
      <c r="AH443" t="n">
        <v>694.38</v>
      </c>
      <c r="AI443" t="n">
        <v>0.875</v>
      </c>
      <c r="AJ443" t="n">
        <v>72.43648305409401</v>
      </c>
      <c r="AK443" t="n">
        <v>0.8826000000000001</v>
      </c>
      <c r="AL443" t="n">
        <v>63.932</v>
      </c>
      <c r="AM443" t="n">
        <v>8.9176</v>
      </c>
      <c r="AN443" t="n">
        <v>9.566587534677272</v>
      </c>
      <c r="AO443" t="n">
        <v>0.913</v>
      </c>
      <c r="AP443" t="n">
        <v>6064.919358776563</v>
      </c>
      <c r="AQ443" t="n">
        <v>1</v>
      </c>
      <c r="AR443" t="n">
        <v>6064.9194</v>
      </c>
      <c r="AS443" t="n">
        <v>0</v>
      </c>
      <c r="AT443" t="inlineStr">
        <is>
          <t>PNP_16T_02-11-2020</t>
        </is>
      </c>
      <c r="AU443" t="inlineStr">
        <is>
          <t>PNCP_2T_10-02-2020</t>
        </is>
      </c>
      <c r="AV443" t="inlineStr">
        <is>
          <t>PNCP_4T_30-04-2013</t>
        </is>
      </c>
      <c r="AW443" t="inlineStr">
        <is>
          <t>MELIPULLI 220</t>
        </is>
      </c>
      <c r="AX443" t="n">
        <v>111.133</v>
      </c>
      <c r="AY443" t="n">
        <v>1.080821157758461</v>
      </c>
      <c r="AZ443" t="n">
        <v>120.1148977251711</v>
      </c>
      <c r="BA443" t="n">
        <v>779.3099999999999</v>
      </c>
      <c r="BB443" t="n">
        <v>0.879</v>
      </c>
      <c r="BC443" t="n">
        <v>82.2803252917125</v>
      </c>
      <c r="BD443" t="n">
        <v>0.8421</v>
      </c>
      <c r="BE443" t="n">
        <v>69.288</v>
      </c>
      <c r="BF443" t="n">
        <v>8.9176</v>
      </c>
      <c r="BG443" t="n">
        <v>0.804</v>
      </c>
      <c r="BH443" t="n">
        <v>6039.043023599974</v>
      </c>
      <c r="BI443" t="n">
        <v>1</v>
      </c>
      <c r="BJ443" t="n">
        <v>6039.043</v>
      </c>
      <c r="BK443" t="n">
        <v>0</v>
      </c>
    </row>
    <row r="444">
      <c r="A444" t="n">
        <v>5654</v>
      </c>
      <c r="B444" t="inlineStr">
        <is>
          <t>01-11-2020</t>
        </is>
      </c>
      <c r="C444" t="n">
        <v>2020</v>
      </c>
      <c r="D444" t="n">
        <v>1</v>
      </c>
      <c r="E444" t="inlineStr">
        <is>
          <t>CAREN</t>
        </is>
      </c>
      <c r="F444" t="inlineStr">
        <is>
          <t>SUM_SAESA_A</t>
        </is>
      </c>
      <c r="G444" t="inlineStr">
        <is>
          <t>A</t>
        </is>
      </c>
      <c r="H444" t="inlineStr">
        <is>
          <t>SAESA</t>
        </is>
      </c>
      <c r="I444" t="inlineStr">
        <is>
          <t>SAESPILMBLOQA</t>
        </is>
      </c>
      <c r="J444" t="inlineStr">
        <is>
          <t>PILMAIQUEN</t>
        </is>
      </c>
      <c r="K444" t="n">
        <v>0</v>
      </c>
      <c r="L444" t="inlineStr">
        <is>
          <t>PILMAIQUEN</t>
        </is>
      </c>
      <c r="M444" t="inlineStr">
        <is>
          <t>VALDIVIA</t>
        </is>
      </c>
      <c r="N444" t="n">
        <v>0.1616700997078</v>
      </c>
      <c r="O444" t="n">
        <v>0</v>
      </c>
      <c r="P444" t="inlineStr">
        <is>
          <t>BS1A</t>
        </is>
      </c>
      <c r="Q444" t="n">
        <v>2</v>
      </c>
      <c r="V444" t="n">
        <v>1472834.063</v>
      </c>
      <c r="W444" t="n">
        <v>2</v>
      </c>
      <c r="X444" t="n">
        <v>8.487e-08</v>
      </c>
      <c r="Y444" t="n">
        <v>0.249999</v>
      </c>
      <c r="Z444" t="n">
        <v>0</v>
      </c>
      <c r="AA444" t="inlineStr">
        <is>
          <t>PNP_6T_08-05-2020</t>
        </is>
      </c>
      <c r="AB444" t="inlineStr">
        <is>
          <t>PNCP_9T_12-08-2019</t>
        </is>
      </c>
      <c r="AC444" t="inlineStr">
        <is>
          <t>PNCP_4T_30-04-2013</t>
        </is>
      </c>
      <c r="AD444" t="inlineStr">
        <is>
          <t>VALDIVIA 220</t>
        </is>
      </c>
      <c r="AE444" t="n">
        <v>111.133</v>
      </c>
      <c r="AF444" t="n">
        <v>1.072776031070834</v>
      </c>
      <c r="AG444" t="n">
        <v>119.220818660995</v>
      </c>
      <c r="AH444" t="n">
        <v>694.38</v>
      </c>
      <c r="AI444" t="n">
        <v>0.875</v>
      </c>
      <c r="AJ444" t="n">
        <v>72.43648305409401</v>
      </c>
      <c r="AK444" t="n">
        <v>0.913</v>
      </c>
      <c r="AL444" t="n">
        <v>66.13500000000001</v>
      </c>
      <c r="AM444" t="n">
        <v>8.9176</v>
      </c>
      <c r="AN444" t="n">
        <v>9.566587534677272</v>
      </c>
      <c r="AO444" t="n">
        <v>0.913</v>
      </c>
      <c r="AP444" t="n">
        <v>6064.919358776563</v>
      </c>
      <c r="AQ444" t="n">
        <v>1.051287819142954</v>
      </c>
      <c r="AR444" t="n">
        <v>6375.9758</v>
      </c>
      <c r="AS444" t="n">
        <v>0</v>
      </c>
      <c r="AT444" t="inlineStr">
        <is>
          <t>PNP_16T_02-11-2020</t>
        </is>
      </c>
      <c r="AU444" t="inlineStr">
        <is>
          <t>PNCP_2T_10-02-2020</t>
        </is>
      </c>
      <c r="AV444" t="inlineStr">
        <is>
          <t>PNCP_4T_30-04-2013</t>
        </is>
      </c>
      <c r="AW444" t="inlineStr">
        <is>
          <t>VALDIVIA 220</t>
        </is>
      </c>
      <c r="AX444" t="n">
        <v>111.133</v>
      </c>
      <c r="AY444" t="n">
        <v>1.080821157758461</v>
      </c>
      <c r="AZ444" t="n">
        <v>120.1148977251711</v>
      </c>
      <c r="BA444" t="n">
        <v>779.3099999999999</v>
      </c>
      <c r="BB444" t="n">
        <v>0.879</v>
      </c>
      <c r="BC444" t="n">
        <v>82.2803252917125</v>
      </c>
      <c r="BD444" t="n">
        <v>0.9167</v>
      </c>
      <c r="BE444" t="n">
        <v>75.426</v>
      </c>
      <c r="BF444" t="n">
        <v>8.9176</v>
      </c>
      <c r="BG444" t="n">
        <v>0.804</v>
      </c>
      <c r="BH444" t="n">
        <v>6039.043023599974</v>
      </c>
      <c r="BI444" t="n">
        <v>1.096052187605444</v>
      </c>
      <c r="BJ444" t="n">
        <v>6619.1063</v>
      </c>
      <c r="BK444" t="n">
        <v>0</v>
      </c>
    </row>
    <row r="445">
      <c r="A445" t="n">
        <v>1897</v>
      </c>
      <c r="B445" t="inlineStr">
        <is>
          <t>01-11-2020</t>
        </is>
      </c>
      <c r="C445" t="n">
        <v>2020</v>
      </c>
      <c r="D445" t="n">
        <v>1</v>
      </c>
      <c r="E445" t="inlineStr">
        <is>
          <t>CAREN</t>
        </is>
      </c>
      <c r="F445" t="inlineStr">
        <is>
          <t>SUM_SAESA_A</t>
        </is>
      </c>
      <c r="G445" t="inlineStr">
        <is>
          <t>A</t>
        </is>
      </c>
      <c r="H445" t="inlineStr">
        <is>
          <t>SAESA</t>
        </is>
      </c>
      <c r="I445" t="inlineStr">
        <is>
          <t>SAESPULLBLOQA</t>
        </is>
      </c>
      <c r="J445" t="inlineStr">
        <is>
          <t>PULLINQUE</t>
        </is>
      </c>
      <c r="K445" t="n">
        <v>-1796.1157646</v>
      </c>
      <c r="L445" t="inlineStr">
        <is>
          <t>PULLINQUE</t>
        </is>
      </c>
      <c r="M445" t="inlineStr">
        <is>
          <t>BARRO BLANCO</t>
        </is>
      </c>
      <c r="N445" t="n">
        <v>0.23546265219545</v>
      </c>
      <c r="O445" t="n">
        <v>422.918182</v>
      </c>
      <c r="P445" t="inlineStr">
        <is>
          <t>BS1A</t>
        </is>
      </c>
      <c r="Q445" t="n">
        <v>2</v>
      </c>
      <c r="V445" t="n">
        <v>1472834.063</v>
      </c>
      <c r="W445" t="n">
        <v>2</v>
      </c>
      <c r="X445" t="n">
        <v>8.487e-08</v>
      </c>
      <c r="Y445" t="n">
        <v>0.249999</v>
      </c>
      <c r="Z445" t="n">
        <v>105.729123</v>
      </c>
      <c r="AA445" t="inlineStr">
        <is>
          <t>PNP_6T_08-05-2020</t>
        </is>
      </c>
      <c r="AB445" t="inlineStr">
        <is>
          <t>PNCP_9T_12-08-2019</t>
        </is>
      </c>
      <c r="AC445" t="inlineStr">
        <is>
          <t>PNCP_4T_30-04-2013</t>
        </is>
      </c>
      <c r="AD445" t="inlineStr">
        <is>
          <t>Barro Blanco 220</t>
        </is>
      </c>
      <c r="AE445" t="n">
        <v>111.133</v>
      </c>
      <c r="AF445" t="n">
        <v>1.072776031070834</v>
      </c>
      <c r="AG445" t="n">
        <v>119.220818660995</v>
      </c>
      <c r="AH445" t="n">
        <v>694.38</v>
      </c>
      <c r="AI445" t="n">
        <v>0.875</v>
      </c>
      <c r="AJ445" t="n">
        <v>72.43648305409401</v>
      </c>
      <c r="AK445" t="n">
        <v>0.8631</v>
      </c>
      <c r="AL445" t="n">
        <v>62.52</v>
      </c>
      <c r="AM445" t="n">
        <v>8.9176</v>
      </c>
      <c r="AN445" t="n">
        <v>9.566587534677272</v>
      </c>
      <c r="AO445" t="n">
        <v>0.913</v>
      </c>
      <c r="AP445" t="n">
        <v>6064.919358776563</v>
      </c>
      <c r="AQ445" t="n">
        <v>1.004432825642191</v>
      </c>
      <c r="AR445" t="n">
        <v>6091.8041</v>
      </c>
      <c r="AS445" t="n">
        <v>6610.18476996</v>
      </c>
      <c r="AT445" t="inlineStr">
        <is>
          <t>PNP_16T_02-11-2020</t>
        </is>
      </c>
      <c r="AU445" t="inlineStr">
        <is>
          <t>PNCP_2T_10-02-2020</t>
        </is>
      </c>
      <c r="AV445" t="inlineStr">
        <is>
          <t>PNCP_4T_30-04-2013</t>
        </is>
      </c>
      <c r="AW445" t="inlineStr">
        <is>
          <t>Barro Blanco 220</t>
        </is>
      </c>
      <c r="AX445" t="n">
        <v>111.133</v>
      </c>
      <c r="AY445" t="n">
        <v>1.080821157758461</v>
      </c>
      <c r="AZ445" t="n">
        <v>120.1148977251711</v>
      </c>
      <c r="BA445" t="n">
        <v>779.3099999999999</v>
      </c>
      <c r="BB445" t="n">
        <v>0.879</v>
      </c>
      <c r="BC445" t="n">
        <v>82.2803252917125</v>
      </c>
      <c r="BD445" t="n">
        <v>0.846</v>
      </c>
      <c r="BE445" t="n">
        <v>69.60899999999999</v>
      </c>
      <c r="BF445" t="n">
        <v>8.9176</v>
      </c>
      <c r="BG445" t="n">
        <v>0.804</v>
      </c>
      <c r="BH445" t="n">
        <v>6039.043023599974</v>
      </c>
      <c r="BI445" t="n">
        <v>1.011820868379177</v>
      </c>
      <c r="BJ445" t="n">
        <v>6110.4298</v>
      </c>
      <c r="BK445" t="n">
        <v>7359.698522907</v>
      </c>
    </row>
    <row r="446">
      <c r="A446" t="n">
        <v>1899</v>
      </c>
      <c r="B446" t="inlineStr">
        <is>
          <t>01-11-2020</t>
        </is>
      </c>
      <c r="C446" t="n">
        <v>2020</v>
      </c>
      <c r="D446" t="n">
        <v>1</v>
      </c>
      <c r="E446" t="inlineStr">
        <is>
          <t>CAREN</t>
        </is>
      </c>
      <c r="F446" t="inlineStr">
        <is>
          <t>SUM_SAESA_A</t>
        </is>
      </c>
      <c r="G446" t="inlineStr">
        <is>
          <t>A</t>
        </is>
      </c>
      <c r="H446" t="inlineStr">
        <is>
          <t>SAESA</t>
        </is>
      </c>
      <c r="I446" t="inlineStr">
        <is>
          <t>SAESPULLBLOQA</t>
        </is>
      </c>
      <c r="J446" t="inlineStr">
        <is>
          <t>PULLINQUE</t>
        </is>
      </c>
      <c r="K446" t="n">
        <v>-1796.1157646</v>
      </c>
      <c r="L446" t="inlineStr">
        <is>
          <t>PULLINQUE</t>
        </is>
      </c>
      <c r="M446" t="inlineStr">
        <is>
          <t>MELIPULLI</t>
        </is>
      </c>
      <c r="N446" t="n">
        <v>0.00896854569047</v>
      </c>
      <c r="O446" t="n">
        <v>16.108546</v>
      </c>
      <c r="P446" t="inlineStr">
        <is>
          <t>BS1A</t>
        </is>
      </c>
      <c r="Q446" t="n">
        <v>2</v>
      </c>
      <c r="V446" t="n">
        <v>1472834.063</v>
      </c>
      <c r="W446" t="n">
        <v>2</v>
      </c>
      <c r="X446" t="n">
        <v>8.487e-08</v>
      </c>
      <c r="Y446" t="n">
        <v>0.249999</v>
      </c>
      <c r="Z446" t="n">
        <v>4.02712</v>
      </c>
      <c r="AA446" t="inlineStr">
        <is>
          <t>PNP_6T_08-05-2020</t>
        </is>
      </c>
      <c r="AB446" t="inlineStr">
        <is>
          <t>PNCP_9T_12-08-2019</t>
        </is>
      </c>
      <c r="AC446" t="inlineStr">
        <is>
          <t>PNCP_4T_30-04-2013</t>
        </is>
      </c>
      <c r="AD446" t="inlineStr">
        <is>
          <t>MELIPULLI 220</t>
        </is>
      </c>
      <c r="AE446" t="n">
        <v>111.133</v>
      </c>
      <c r="AF446" t="n">
        <v>1.072776031070834</v>
      </c>
      <c r="AG446" t="n">
        <v>119.220818660995</v>
      </c>
      <c r="AH446" t="n">
        <v>694.38</v>
      </c>
      <c r="AI446" t="n">
        <v>0.875</v>
      </c>
      <c r="AJ446" t="n">
        <v>72.43648305409401</v>
      </c>
      <c r="AK446" t="n">
        <v>0.8826000000000001</v>
      </c>
      <c r="AL446" t="n">
        <v>63.932</v>
      </c>
      <c r="AM446" t="n">
        <v>8.9176</v>
      </c>
      <c r="AN446" t="n">
        <v>9.566587534677272</v>
      </c>
      <c r="AO446" t="n">
        <v>0.913</v>
      </c>
      <c r="AP446" t="n">
        <v>6064.919358776563</v>
      </c>
      <c r="AQ446" t="n">
        <v>1</v>
      </c>
      <c r="AR446" t="n">
        <v>6064.9194</v>
      </c>
      <c r="AS446" t="n">
        <v>257.46183584</v>
      </c>
      <c r="AT446" t="inlineStr">
        <is>
          <t>PNP_16T_02-11-2020</t>
        </is>
      </c>
      <c r="AU446" t="inlineStr">
        <is>
          <t>PNCP_2T_10-02-2020</t>
        </is>
      </c>
      <c r="AV446" t="inlineStr">
        <is>
          <t>PNCP_4T_30-04-2013</t>
        </is>
      </c>
      <c r="AW446" t="inlineStr">
        <is>
          <t>MELIPULLI 220</t>
        </is>
      </c>
      <c r="AX446" t="n">
        <v>111.133</v>
      </c>
      <c r="AY446" t="n">
        <v>1.080821157758461</v>
      </c>
      <c r="AZ446" t="n">
        <v>120.1148977251711</v>
      </c>
      <c r="BA446" t="n">
        <v>779.3099999999999</v>
      </c>
      <c r="BB446" t="n">
        <v>0.879</v>
      </c>
      <c r="BC446" t="n">
        <v>82.2803252917125</v>
      </c>
      <c r="BD446" t="n">
        <v>0.8421</v>
      </c>
      <c r="BE446" t="n">
        <v>69.288</v>
      </c>
      <c r="BF446" t="n">
        <v>8.9176</v>
      </c>
      <c r="BG446" t="n">
        <v>0.804</v>
      </c>
      <c r="BH446" t="n">
        <v>6039.043023599974</v>
      </c>
      <c r="BI446" t="n">
        <v>1</v>
      </c>
      <c r="BJ446" t="n">
        <v>6039.043</v>
      </c>
      <c r="BK446" t="n">
        <v>279.03109056</v>
      </c>
    </row>
    <row r="447">
      <c r="A447" t="n">
        <v>1901</v>
      </c>
      <c r="B447" t="inlineStr">
        <is>
          <t>01-11-2020</t>
        </is>
      </c>
      <c r="C447" t="n">
        <v>2020</v>
      </c>
      <c r="D447" t="n">
        <v>1</v>
      </c>
      <c r="E447" t="inlineStr">
        <is>
          <t>CAREN</t>
        </is>
      </c>
      <c r="F447" t="inlineStr">
        <is>
          <t>SUM_SAESA_A</t>
        </is>
      </c>
      <c r="G447" t="inlineStr">
        <is>
          <t>A</t>
        </is>
      </c>
      <c r="H447" t="inlineStr">
        <is>
          <t>SAESA</t>
        </is>
      </c>
      <c r="I447" t="inlineStr">
        <is>
          <t>SAESPULLBLOQA</t>
        </is>
      </c>
      <c r="J447" t="inlineStr">
        <is>
          <t>PULLINQUE</t>
        </is>
      </c>
      <c r="K447" t="n">
        <v>-1796.1157646</v>
      </c>
      <c r="L447" t="inlineStr">
        <is>
          <t>PULLINQUE</t>
        </is>
      </c>
      <c r="M447" t="inlineStr">
        <is>
          <t>VALDIVIA</t>
        </is>
      </c>
      <c r="N447" t="n">
        <v>0.62227344127398</v>
      </c>
      <c r="O447" t="n">
        <v>1117.675138</v>
      </c>
      <c r="P447" t="inlineStr">
        <is>
          <t>BS1A</t>
        </is>
      </c>
      <c r="Q447" t="n">
        <v>2</v>
      </c>
      <c r="V447" t="n">
        <v>1472834.063</v>
      </c>
      <c r="W447" t="n">
        <v>2</v>
      </c>
      <c r="X447" t="n">
        <v>8.487e-08</v>
      </c>
      <c r="Y447" t="n">
        <v>0.249999</v>
      </c>
      <c r="Z447" t="n">
        <v>279.417667</v>
      </c>
      <c r="AA447" t="inlineStr">
        <is>
          <t>PNP_6T_08-05-2020</t>
        </is>
      </c>
      <c r="AB447" t="inlineStr">
        <is>
          <t>PNCP_9T_12-08-2019</t>
        </is>
      </c>
      <c r="AC447" t="inlineStr">
        <is>
          <t>PNCP_4T_30-04-2013</t>
        </is>
      </c>
      <c r="AD447" t="inlineStr">
        <is>
          <t>VALDIVIA 220</t>
        </is>
      </c>
      <c r="AE447" t="n">
        <v>111.133</v>
      </c>
      <c r="AF447" t="n">
        <v>1.072776031070834</v>
      </c>
      <c r="AG447" t="n">
        <v>119.220818660995</v>
      </c>
      <c r="AH447" t="n">
        <v>694.38</v>
      </c>
      <c r="AI447" t="n">
        <v>0.875</v>
      </c>
      <c r="AJ447" t="n">
        <v>72.43648305409401</v>
      </c>
      <c r="AK447" t="n">
        <v>0.913</v>
      </c>
      <c r="AL447" t="n">
        <v>66.13500000000001</v>
      </c>
      <c r="AM447" t="n">
        <v>8.9176</v>
      </c>
      <c r="AN447" t="n">
        <v>9.566587534677272</v>
      </c>
      <c r="AO447" t="n">
        <v>0.913</v>
      </c>
      <c r="AP447" t="n">
        <v>6064.919358776563</v>
      </c>
      <c r="AQ447" t="n">
        <v>1.051287819142954</v>
      </c>
      <c r="AR447" t="n">
        <v>6375.9758</v>
      </c>
      <c r="AS447" t="n">
        <v>18479.287407045</v>
      </c>
      <c r="AT447" t="inlineStr">
        <is>
          <t>PNP_16T_02-11-2020</t>
        </is>
      </c>
      <c r="AU447" t="inlineStr">
        <is>
          <t>PNCP_2T_10-02-2020</t>
        </is>
      </c>
      <c r="AV447" t="inlineStr">
        <is>
          <t>PNCP_4T_30-04-2013</t>
        </is>
      </c>
      <c r="AW447" t="inlineStr">
        <is>
          <t>VALDIVIA 220</t>
        </is>
      </c>
      <c r="AX447" t="n">
        <v>111.133</v>
      </c>
      <c r="AY447" t="n">
        <v>1.080821157758461</v>
      </c>
      <c r="AZ447" t="n">
        <v>120.1148977251711</v>
      </c>
      <c r="BA447" t="n">
        <v>779.3099999999999</v>
      </c>
      <c r="BB447" t="n">
        <v>0.879</v>
      </c>
      <c r="BC447" t="n">
        <v>82.2803252917125</v>
      </c>
      <c r="BD447" t="n">
        <v>0.9167</v>
      </c>
      <c r="BE447" t="n">
        <v>75.426</v>
      </c>
      <c r="BF447" t="n">
        <v>8.9176</v>
      </c>
      <c r="BG447" t="n">
        <v>0.804</v>
      </c>
      <c r="BH447" t="n">
        <v>6039.043023599974</v>
      </c>
      <c r="BI447" t="n">
        <v>1.096052187605444</v>
      </c>
      <c r="BJ447" t="n">
        <v>6619.1063</v>
      </c>
      <c r="BK447" t="n">
        <v>21075.356951142</v>
      </c>
    </row>
    <row r="448">
      <c r="A448" t="n">
        <v>5081</v>
      </c>
      <c r="B448" t="inlineStr">
        <is>
          <t>01-11-2020</t>
        </is>
      </c>
      <c r="C448" t="n">
        <v>2020</v>
      </c>
      <c r="D448" t="n">
        <v>1</v>
      </c>
      <c r="E448" t="inlineStr">
        <is>
          <t>CAREN</t>
        </is>
      </c>
      <c r="F448" t="inlineStr">
        <is>
          <t>SUM_SAESA_A</t>
        </is>
      </c>
      <c r="G448" t="inlineStr">
        <is>
          <t>A</t>
        </is>
      </c>
      <c r="H448" t="inlineStr">
        <is>
          <t>SAESA</t>
        </is>
      </c>
      <c r="I448" t="inlineStr">
        <is>
          <t>SAESPURRBLOQA</t>
        </is>
      </c>
      <c r="J448" t="inlineStr">
        <is>
          <t>PURRANQUE</t>
        </is>
      </c>
      <c r="K448" t="n">
        <v>-3532.79108314</v>
      </c>
      <c r="L448" t="inlineStr">
        <is>
          <t>PURRANQUE</t>
        </is>
      </c>
      <c r="M448" t="inlineStr">
        <is>
          <t>BARRO BLANCO</t>
        </is>
      </c>
      <c r="N448" t="n">
        <v>0.47210809734302</v>
      </c>
      <c r="O448" t="n">
        <v>1667.859277</v>
      </c>
      <c r="P448" t="inlineStr">
        <is>
          <t>BS1A</t>
        </is>
      </c>
      <c r="Q448" t="n">
        <v>2</v>
      </c>
      <c r="V448" t="n">
        <v>1472834.063</v>
      </c>
      <c r="W448" t="n">
        <v>2</v>
      </c>
      <c r="X448" t="n">
        <v>8.487e-08</v>
      </c>
      <c r="Y448" t="n">
        <v>0.249999</v>
      </c>
      <c r="Z448" t="n">
        <v>416.963151</v>
      </c>
      <c r="AA448" t="inlineStr">
        <is>
          <t>PNP_6T_08-05-2020</t>
        </is>
      </c>
      <c r="AB448" t="inlineStr">
        <is>
          <t>PNCP_9T_12-08-2019</t>
        </is>
      </c>
      <c r="AC448" t="inlineStr">
        <is>
          <t>PNCP_4T_30-04-2013</t>
        </is>
      </c>
      <c r="AD448" t="inlineStr">
        <is>
          <t>Barro Blanco 220</t>
        </is>
      </c>
      <c r="AE448" t="n">
        <v>111.133</v>
      </c>
      <c r="AF448" t="n">
        <v>1.072776031070834</v>
      </c>
      <c r="AG448" t="n">
        <v>119.220818660995</v>
      </c>
      <c r="AH448" t="n">
        <v>694.38</v>
      </c>
      <c r="AI448" t="n">
        <v>0.875</v>
      </c>
      <c r="AJ448" t="n">
        <v>72.43648305409401</v>
      </c>
      <c r="AK448" t="n">
        <v>0.8631</v>
      </c>
      <c r="AL448" t="n">
        <v>62.52</v>
      </c>
      <c r="AM448" t="n">
        <v>8.9176</v>
      </c>
      <c r="AN448" t="n">
        <v>9.566587534677272</v>
      </c>
      <c r="AO448" t="n">
        <v>0.913</v>
      </c>
      <c r="AP448" t="n">
        <v>6064.919358776563</v>
      </c>
      <c r="AQ448" t="n">
        <v>1.004432825642191</v>
      </c>
      <c r="AR448" t="n">
        <v>6091.8041</v>
      </c>
      <c r="AS448" t="n">
        <v>26068.53620052</v>
      </c>
      <c r="AT448" t="inlineStr">
        <is>
          <t>PNP_16T_02-11-2020</t>
        </is>
      </c>
      <c r="AU448" t="inlineStr">
        <is>
          <t>PNCP_2T_10-02-2020</t>
        </is>
      </c>
      <c r="AV448" t="inlineStr">
        <is>
          <t>PNCP_4T_30-04-2013</t>
        </is>
      </c>
      <c r="AW448" t="inlineStr">
        <is>
          <t>Barro Blanco 220</t>
        </is>
      </c>
      <c r="AX448" t="n">
        <v>111.133</v>
      </c>
      <c r="AY448" t="n">
        <v>1.080821157758461</v>
      </c>
      <c r="AZ448" t="n">
        <v>120.1148977251711</v>
      </c>
      <c r="BA448" t="n">
        <v>779.3099999999999</v>
      </c>
      <c r="BB448" t="n">
        <v>0.879</v>
      </c>
      <c r="BC448" t="n">
        <v>82.2803252917125</v>
      </c>
      <c r="BD448" t="n">
        <v>0.846</v>
      </c>
      <c r="BE448" t="n">
        <v>69.60899999999999</v>
      </c>
      <c r="BF448" t="n">
        <v>8.9176</v>
      </c>
      <c r="BG448" t="n">
        <v>0.804</v>
      </c>
      <c r="BH448" t="n">
        <v>6039.043023599974</v>
      </c>
      <c r="BI448" t="n">
        <v>1.011820868379177</v>
      </c>
      <c r="BJ448" t="n">
        <v>6110.4298</v>
      </c>
      <c r="BK448" t="n">
        <v>29024.387977959</v>
      </c>
    </row>
    <row r="449">
      <c r="A449" t="n">
        <v>5083</v>
      </c>
      <c r="B449" t="inlineStr">
        <is>
          <t>01-11-2020</t>
        </is>
      </c>
      <c r="C449" t="n">
        <v>2020</v>
      </c>
      <c r="D449" t="n">
        <v>1</v>
      </c>
      <c r="E449" t="inlineStr">
        <is>
          <t>CAREN</t>
        </is>
      </c>
      <c r="F449" t="inlineStr">
        <is>
          <t>SUM_SAESA_A</t>
        </is>
      </c>
      <c r="G449" t="inlineStr">
        <is>
          <t>A</t>
        </is>
      </c>
      <c r="H449" t="inlineStr">
        <is>
          <t>SAESA</t>
        </is>
      </c>
      <c r="I449" t="inlineStr">
        <is>
          <t>SAESPURRBLOQA</t>
        </is>
      </c>
      <c r="J449" t="inlineStr">
        <is>
          <t>PURRANQUE</t>
        </is>
      </c>
      <c r="K449" t="n">
        <v>-3532.79108314</v>
      </c>
      <c r="L449" t="inlineStr">
        <is>
          <t>PURRANQUE</t>
        </is>
      </c>
      <c r="M449" t="inlineStr">
        <is>
          <t>MELIPULLI</t>
        </is>
      </c>
      <c r="N449" t="n">
        <v>0.4174959870602</v>
      </c>
      <c r="O449" t="n">
        <v>1474.9261</v>
      </c>
      <c r="P449" t="inlineStr">
        <is>
          <t>BS1A</t>
        </is>
      </c>
      <c r="Q449" t="n">
        <v>2</v>
      </c>
      <c r="V449" t="n">
        <v>1472834.063</v>
      </c>
      <c r="W449" t="n">
        <v>2</v>
      </c>
      <c r="X449" t="n">
        <v>8.487e-08</v>
      </c>
      <c r="Y449" t="n">
        <v>0.249999</v>
      </c>
      <c r="Z449" t="n">
        <v>368.73005</v>
      </c>
      <c r="AA449" t="inlineStr">
        <is>
          <t>PNP_6T_08-05-2020</t>
        </is>
      </c>
      <c r="AB449" t="inlineStr">
        <is>
          <t>PNCP_9T_12-08-2019</t>
        </is>
      </c>
      <c r="AC449" t="inlineStr">
        <is>
          <t>PNCP_4T_30-04-2013</t>
        </is>
      </c>
      <c r="AD449" t="inlineStr">
        <is>
          <t>MELIPULLI 220</t>
        </is>
      </c>
      <c r="AE449" t="n">
        <v>111.133</v>
      </c>
      <c r="AF449" t="n">
        <v>1.072776031070834</v>
      </c>
      <c r="AG449" t="n">
        <v>119.220818660995</v>
      </c>
      <c r="AH449" t="n">
        <v>694.38</v>
      </c>
      <c r="AI449" t="n">
        <v>0.875</v>
      </c>
      <c r="AJ449" t="n">
        <v>72.43648305409401</v>
      </c>
      <c r="AK449" t="n">
        <v>0.8826000000000001</v>
      </c>
      <c r="AL449" t="n">
        <v>63.932</v>
      </c>
      <c r="AM449" t="n">
        <v>8.9176</v>
      </c>
      <c r="AN449" t="n">
        <v>9.566587534677272</v>
      </c>
      <c r="AO449" t="n">
        <v>0.913</v>
      </c>
      <c r="AP449" t="n">
        <v>6064.919358776563</v>
      </c>
      <c r="AQ449" t="n">
        <v>1</v>
      </c>
      <c r="AR449" t="n">
        <v>6064.9194</v>
      </c>
      <c r="AS449" t="n">
        <v>23573.6495566</v>
      </c>
      <c r="AT449" t="inlineStr">
        <is>
          <t>PNP_16T_02-11-2020</t>
        </is>
      </c>
      <c r="AU449" t="inlineStr">
        <is>
          <t>PNCP_2T_10-02-2020</t>
        </is>
      </c>
      <c r="AV449" t="inlineStr">
        <is>
          <t>PNCP_4T_30-04-2013</t>
        </is>
      </c>
      <c r="AW449" t="inlineStr">
        <is>
          <t>MELIPULLI 220</t>
        </is>
      </c>
      <c r="AX449" t="n">
        <v>111.133</v>
      </c>
      <c r="AY449" t="n">
        <v>1.080821157758461</v>
      </c>
      <c r="AZ449" t="n">
        <v>120.1148977251711</v>
      </c>
      <c r="BA449" t="n">
        <v>779.3099999999999</v>
      </c>
      <c r="BB449" t="n">
        <v>0.879</v>
      </c>
      <c r="BC449" t="n">
        <v>82.2803252917125</v>
      </c>
      <c r="BD449" t="n">
        <v>0.8421</v>
      </c>
      <c r="BE449" t="n">
        <v>69.288</v>
      </c>
      <c r="BF449" t="n">
        <v>8.9176</v>
      </c>
      <c r="BG449" t="n">
        <v>0.804</v>
      </c>
      <c r="BH449" t="n">
        <v>6039.043023599974</v>
      </c>
      <c r="BI449" t="n">
        <v>1</v>
      </c>
      <c r="BJ449" t="n">
        <v>6039.043</v>
      </c>
      <c r="BK449" t="n">
        <v>25548.5677044</v>
      </c>
    </row>
    <row r="450">
      <c r="A450" t="n">
        <v>5085</v>
      </c>
      <c r="B450" t="inlineStr">
        <is>
          <t>01-11-2020</t>
        </is>
      </c>
      <c r="C450" t="n">
        <v>2020</v>
      </c>
      <c r="D450" t="n">
        <v>1</v>
      </c>
      <c r="E450" t="inlineStr">
        <is>
          <t>CAREN</t>
        </is>
      </c>
      <c r="F450" t="inlineStr">
        <is>
          <t>SUM_SAESA_A</t>
        </is>
      </c>
      <c r="G450" t="inlineStr">
        <is>
          <t>A</t>
        </is>
      </c>
      <c r="H450" t="inlineStr">
        <is>
          <t>SAESA</t>
        </is>
      </c>
      <c r="I450" t="inlineStr">
        <is>
          <t>SAESPURRBLOQA</t>
        </is>
      </c>
      <c r="J450" t="inlineStr">
        <is>
          <t>PURRANQUE</t>
        </is>
      </c>
      <c r="K450" t="n">
        <v>-3532.79108314</v>
      </c>
      <c r="L450" t="inlineStr">
        <is>
          <t>PURRANQUE</t>
        </is>
      </c>
      <c r="M450" t="inlineStr">
        <is>
          <t>Puerto Montt</t>
        </is>
      </c>
      <c r="N450" t="n">
        <v>0.50813692662399</v>
      </c>
      <c r="O450" t="n">
        <v>1795.141603</v>
      </c>
      <c r="P450" t="inlineStr">
        <is>
          <t>BS1A</t>
        </is>
      </c>
      <c r="Q450" t="n">
        <v>2</v>
      </c>
      <c r="V450" t="n">
        <v>1472834.063</v>
      </c>
      <c r="W450" t="n">
        <v>2</v>
      </c>
      <c r="X450" t="n">
        <v>8.487e-08</v>
      </c>
      <c r="Y450" t="n">
        <v>0.249999</v>
      </c>
      <c r="Z450" t="n">
        <v>448.783606</v>
      </c>
      <c r="AA450" t="inlineStr">
        <is>
          <t>PNP_6T_08-05-2020</t>
        </is>
      </c>
      <c r="AB450" t="inlineStr">
        <is>
          <t>PNCP_9T_12-08-2019</t>
        </is>
      </c>
      <c r="AC450" t="inlineStr">
        <is>
          <t>PNCP_4T_30-04-2013</t>
        </is>
      </c>
      <c r="AD450" t="inlineStr">
        <is>
          <t>PUERTO MONTT 220</t>
        </is>
      </c>
      <c r="AE450" t="n">
        <v>111.133</v>
      </c>
      <c r="AF450" t="n">
        <v>1.072776031070834</v>
      </c>
      <c r="AG450" t="n">
        <v>119.220818660995</v>
      </c>
      <c r="AH450" t="n">
        <v>694.38</v>
      </c>
      <c r="AI450" t="n">
        <v>0.875</v>
      </c>
      <c r="AJ450" t="n">
        <v>72.43648305409401</v>
      </c>
      <c r="AK450" t="n">
        <v>0.8826000000000001</v>
      </c>
      <c r="AL450" t="n">
        <v>63.932</v>
      </c>
      <c r="AM450" t="n">
        <v>8.9176</v>
      </c>
      <c r="AN450" t="n">
        <v>9.566587534677272</v>
      </c>
      <c r="AO450" t="n">
        <v>0.913</v>
      </c>
      <c r="AP450" t="n">
        <v>6064.919358776563</v>
      </c>
      <c r="AQ450" t="n">
        <v>1.016858412119831</v>
      </c>
      <c r="AR450" t="n">
        <v>6167.1643</v>
      </c>
      <c r="AS450" t="n">
        <v>28691.633498792</v>
      </c>
      <c r="AT450" t="inlineStr">
        <is>
          <t>PNP_16T_02-11-2020</t>
        </is>
      </c>
      <c r="AU450" t="inlineStr">
        <is>
          <t>PNCP_2T_10-02-2020</t>
        </is>
      </c>
      <c r="AV450" t="inlineStr">
        <is>
          <t>PNCP_4T_30-04-2013</t>
        </is>
      </c>
      <c r="AW450" t="inlineStr">
        <is>
          <t>PUERTO MONTT 220</t>
        </is>
      </c>
      <c r="AX450" t="n">
        <v>111.133</v>
      </c>
      <c r="AY450" t="n">
        <v>1.080821157758461</v>
      </c>
      <c r="AZ450" t="n">
        <v>120.1148977251711</v>
      </c>
      <c r="BA450" t="n">
        <v>779.3099999999999</v>
      </c>
      <c r="BB450" t="n">
        <v>0.879</v>
      </c>
      <c r="BC450" t="n">
        <v>82.2803252917125</v>
      </c>
      <c r="BD450" t="n">
        <v>0.8421</v>
      </c>
      <c r="BE450" t="n">
        <v>69.288</v>
      </c>
      <c r="BF450" t="n">
        <v>8.9176</v>
      </c>
      <c r="BG450" t="n">
        <v>0.804</v>
      </c>
      <c r="BH450" t="n">
        <v>6039.043023599974</v>
      </c>
      <c r="BI450" t="n">
        <v>1.02699624102973</v>
      </c>
      <c r="BJ450" t="n">
        <v>6202.0745</v>
      </c>
      <c r="BK450" t="n">
        <v>31095.318492528</v>
      </c>
    </row>
    <row r="451">
      <c r="A451" t="n">
        <v>5087</v>
      </c>
      <c r="B451" t="inlineStr">
        <is>
          <t>01-11-2020</t>
        </is>
      </c>
      <c r="C451" t="n">
        <v>2020</v>
      </c>
      <c r="D451" t="n">
        <v>1</v>
      </c>
      <c r="E451" t="inlineStr">
        <is>
          <t>CAREN</t>
        </is>
      </c>
      <c r="F451" t="inlineStr">
        <is>
          <t>SUM_SAESA_A</t>
        </is>
      </c>
      <c r="G451" t="inlineStr">
        <is>
          <t>A</t>
        </is>
      </c>
      <c r="H451" t="inlineStr">
        <is>
          <t>SAESA</t>
        </is>
      </c>
      <c r="I451" t="inlineStr">
        <is>
          <t>SAESPURRBLOQA</t>
        </is>
      </c>
      <c r="J451" t="inlineStr">
        <is>
          <t>PURRANQUE</t>
        </is>
      </c>
      <c r="K451" t="n">
        <v>-3532.79108314</v>
      </c>
      <c r="L451" t="inlineStr">
        <is>
          <t>PURRANQUE</t>
        </is>
      </c>
      <c r="M451" t="inlineStr">
        <is>
          <t>VALDIVIA</t>
        </is>
      </c>
      <c r="N451" t="n">
        <v>0.00409927459727</v>
      </c>
      <c r="O451" t="n">
        <v>14.481881</v>
      </c>
      <c r="P451" t="inlineStr">
        <is>
          <t>BS1A</t>
        </is>
      </c>
      <c r="Q451" t="n">
        <v>2</v>
      </c>
      <c r="V451" t="n">
        <v>1472834.063</v>
      </c>
      <c r="W451" t="n">
        <v>2</v>
      </c>
      <c r="X451" t="n">
        <v>8.487e-08</v>
      </c>
      <c r="Y451" t="n">
        <v>0.249999</v>
      </c>
      <c r="Z451" t="n">
        <v>3.620456</v>
      </c>
      <c r="AA451" t="inlineStr">
        <is>
          <t>PNP_6T_08-05-2020</t>
        </is>
      </c>
      <c r="AB451" t="inlineStr">
        <is>
          <t>PNCP_9T_12-08-2019</t>
        </is>
      </c>
      <c r="AC451" t="inlineStr">
        <is>
          <t>PNCP_4T_30-04-2013</t>
        </is>
      </c>
      <c r="AD451" t="inlineStr">
        <is>
          <t>VALDIVIA 220</t>
        </is>
      </c>
      <c r="AE451" t="n">
        <v>111.133</v>
      </c>
      <c r="AF451" t="n">
        <v>1.072776031070834</v>
      </c>
      <c r="AG451" t="n">
        <v>119.220818660995</v>
      </c>
      <c r="AH451" t="n">
        <v>694.38</v>
      </c>
      <c r="AI451" t="n">
        <v>0.875</v>
      </c>
      <c r="AJ451" t="n">
        <v>72.43648305409401</v>
      </c>
      <c r="AK451" t="n">
        <v>0.913</v>
      </c>
      <c r="AL451" t="n">
        <v>66.13500000000001</v>
      </c>
      <c r="AM451" t="n">
        <v>8.9176</v>
      </c>
      <c r="AN451" t="n">
        <v>9.566587534677272</v>
      </c>
      <c r="AO451" t="n">
        <v>0.913</v>
      </c>
      <c r="AP451" t="n">
        <v>6064.919358776563</v>
      </c>
      <c r="AQ451" t="n">
        <v>1.051287819142954</v>
      </c>
      <c r="AR451" t="n">
        <v>6375.9758</v>
      </c>
      <c r="AS451" t="n">
        <v>239.43885756</v>
      </c>
      <c r="AT451" t="inlineStr">
        <is>
          <t>PNP_16T_02-11-2020</t>
        </is>
      </c>
      <c r="AU451" t="inlineStr">
        <is>
          <t>PNCP_2T_10-02-2020</t>
        </is>
      </c>
      <c r="AV451" t="inlineStr">
        <is>
          <t>PNCP_4T_30-04-2013</t>
        </is>
      </c>
      <c r="AW451" t="inlineStr">
        <is>
          <t>VALDIVIA 220</t>
        </is>
      </c>
      <c r="AX451" t="n">
        <v>111.133</v>
      </c>
      <c r="AY451" t="n">
        <v>1.080821157758461</v>
      </c>
      <c r="AZ451" t="n">
        <v>120.1148977251711</v>
      </c>
      <c r="BA451" t="n">
        <v>779.3099999999999</v>
      </c>
      <c r="BB451" t="n">
        <v>0.879</v>
      </c>
      <c r="BC451" t="n">
        <v>82.2803252917125</v>
      </c>
      <c r="BD451" t="n">
        <v>0.9167</v>
      </c>
      <c r="BE451" t="n">
        <v>75.426</v>
      </c>
      <c r="BF451" t="n">
        <v>8.9176</v>
      </c>
      <c r="BG451" t="n">
        <v>0.804</v>
      </c>
      <c r="BH451" t="n">
        <v>6039.043023599974</v>
      </c>
      <c r="BI451" t="n">
        <v>1.096052187605444</v>
      </c>
      <c r="BJ451" t="n">
        <v>6619.1063</v>
      </c>
      <c r="BK451" t="n">
        <v>273.076514256</v>
      </c>
    </row>
    <row r="452">
      <c r="A452" t="n">
        <v>1265</v>
      </c>
      <c r="B452" t="inlineStr">
        <is>
          <t>01-11-2020</t>
        </is>
      </c>
      <c r="C452" t="n">
        <v>2020</v>
      </c>
      <c r="D452" t="n">
        <v>1</v>
      </c>
      <c r="E452" t="inlineStr">
        <is>
          <t>CAREN</t>
        </is>
      </c>
      <c r="F452" t="inlineStr">
        <is>
          <t>SUM_SAESA_A</t>
        </is>
      </c>
      <c r="G452" t="inlineStr">
        <is>
          <t>A</t>
        </is>
      </c>
      <c r="H452" t="inlineStr">
        <is>
          <t>SAESA</t>
        </is>
      </c>
      <c r="I452" t="inlineStr">
        <is>
          <t>SAESQUELBLOQA</t>
        </is>
      </c>
      <c r="J452" t="inlineStr">
        <is>
          <t>QUELLON</t>
        </is>
      </c>
      <c r="K452" t="n">
        <v>-4547.06532593</v>
      </c>
      <c r="L452" t="inlineStr">
        <is>
          <t>QUELLON</t>
        </is>
      </c>
      <c r="M452" t="inlineStr">
        <is>
          <t>CHILOE</t>
        </is>
      </c>
      <c r="N452" t="n">
        <v>0.79707666555743</v>
      </c>
      <c r="O452" t="n">
        <v>3624.359668</v>
      </c>
      <c r="P452" t="inlineStr">
        <is>
          <t>BS1A</t>
        </is>
      </c>
      <c r="Q452" t="n">
        <v>2</v>
      </c>
      <c r="V452" t="n">
        <v>1472834.063</v>
      </c>
      <c r="W452" t="n">
        <v>2</v>
      </c>
      <c r="X452" t="n">
        <v>8.487e-08</v>
      </c>
      <c r="Y452" t="n">
        <v>0.249999</v>
      </c>
      <c r="Z452" t="n">
        <v>906.086293</v>
      </c>
      <c r="AA452" t="inlineStr">
        <is>
          <t>PNP_6T_08-05-2020</t>
        </is>
      </c>
      <c r="AB452" t="inlineStr">
        <is>
          <t>PNCP_9T_12-08-2019</t>
        </is>
      </c>
      <c r="AC452" t="inlineStr">
        <is>
          <t>PNCP_4T_30-04-2013</t>
        </is>
      </c>
      <c r="AD452" t="inlineStr">
        <is>
          <t>CHILOE 220</t>
        </is>
      </c>
      <c r="AE452" t="n">
        <v>111.133</v>
      </c>
      <c r="AF452" t="n">
        <v>1.072776031070834</v>
      </c>
      <c r="AG452" t="n">
        <v>119.220818660995</v>
      </c>
      <c r="AH452" t="n">
        <v>694.38</v>
      </c>
      <c r="AI452" t="n">
        <v>0.875</v>
      </c>
      <c r="AJ452" t="n">
        <v>72.43648305409401</v>
      </c>
      <c r="AK452" t="n">
        <v>0.8903</v>
      </c>
      <c r="AL452" t="n">
        <v>64.48999999999999</v>
      </c>
      <c r="AM452" t="n">
        <v>8.9176</v>
      </c>
      <c r="AN452" t="n">
        <v>9.566587534677272</v>
      </c>
      <c r="AO452" t="n">
        <v>0.913</v>
      </c>
      <c r="AP452" t="n">
        <v>6064.919358776563</v>
      </c>
      <c r="AQ452" t="n">
        <v>1</v>
      </c>
      <c r="AR452" t="n">
        <v>6064.9194</v>
      </c>
      <c r="AS452" t="n">
        <v>58433.50503556999</v>
      </c>
      <c r="AT452" t="inlineStr">
        <is>
          <t>PNP_16T_02-11-2020</t>
        </is>
      </c>
      <c r="AU452" t="inlineStr">
        <is>
          <t>PNCP_2T_10-02-2020</t>
        </is>
      </c>
      <c r="AV452" t="inlineStr">
        <is>
          <t>PNCP_4T_30-04-2013</t>
        </is>
      </c>
      <c r="AW452" t="inlineStr">
        <is>
          <t>CHILOE 220</t>
        </is>
      </c>
      <c r="AX452" t="n">
        <v>111.133</v>
      </c>
      <c r="AY452" t="n">
        <v>1.080821157758461</v>
      </c>
      <c r="AZ452" t="n">
        <v>120.1148977251711</v>
      </c>
      <c r="BA452" t="n">
        <v>779.3099999999999</v>
      </c>
      <c r="BB452" t="n">
        <v>0.879</v>
      </c>
      <c r="BC452" t="n">
        <v>82.2803252917125</v>
      </c>
      <c r="BD452" t="n">
        <v>0.8486</v>
      </c>
      <c r="BE452" t="n">
        <v>69.82299999999999</v>
      </c>
      <c r="BF452" t="n">
        <v>8.9176</v>
      </c>
      <c r="BG452" t="n">
        <v>0.804</v>
      </c>
      <c r="BH452" t="n">
        <v>6039.043023599974</v>
      </c>
      <c r="BI452" t="n">
        <v>1</v>
      </c>
      <c r="BJ452" t="n">
        <v>6039.043</v>
      </c>
      <c r="BK452" t="n">
        <v>63265.66323613899</v>
      </c>
    </row>
    <row r="453">
      <c r="A453" t="n">
        <v>1267</v>
      </c>
      <c r="B453" t="inlineStr">
        <is>
          <t>01-11-2020</t>
        </is>
      </c>
      <c r="C453" t="n">
        <v>2020</v>
      </c>
      <c r="D453" t="n">
        <v>1</v>
      </c>
      <c r="E453" t="inlineStr">
        <is>
          <t>CAREN</t>
        </is>
      </c>
      <c r="F453" t="inlineStr">
        <is>
          <t>SUM_SAESA_A</t>
        </is>
      </c>
      <c r="G453" t="inlineStr">
        <is>
          <t>A</t>
        </is>
      </c>
      <c r="H453" t="inlineStr">
        <is>
          <t>SAESA</t>
        </is>
      </c>
      <c r="I453" t="inlineStr">
        <is>
          <t>SAESQUELBLOQA</t>
        </is>
      </c>
      <c r="J453" t="inlineStr">
        <is>
          <t>QUELLON</t>
        </is>
      </c>
      <c r="K453" t="n">
        <v>-4547.06532593</v>
      </c>
      <c r="L453" t="inlineStr">
        <is>
          <t>QUELLON</t>
        </is>
      </c>
      <c r="M453" t="inlineStr">
        <is>
          <t>Puerto Montt</t>
        </is>
      </c>
      <c r="N453" t="n">
        <v>0.94104614890391</v>
      </c>
      <c r="O453" t="n">
        <v>4278.998314</v>
      </c>
      <c r="P453" t="inlineStr">
        <is>
          <t>BS1A</t>
        </is>
      </c>
      <c r="Q453" t="n">
        <v>2</v>
      </c>
      <c r="V453" t="n">
        <v>1472834.063</v>
      </c>
      <c r="W453" t="n">
        <v>2</v>
      </c>
      <c r="X453" t="n">
        <v>8.487e-08</v>
      </c>
      <c r="Y453" t="n">
        <v>0.249999</v>
      </c>
      <c r="Z453" t="n">
        <v>1069.7453</v>
      </c>
      <c r="AA453" t="inlineStr">
        <is>
          <t>PNP_6T_08-05-2020</t>
        </is>
      </c>
      <c r="AB453" t="inlineStr">
        <is>
          <t>PNCP_9T_12-08-2019</t>
        </is>
      </c>
      <c r="AC453" t="inlineStr">
        <is>
          <t>PNCP_4T_30-04-2013</t>
        </is>
      </c>
      <c r="AD453" t="inlineStr">
        <is>
          <t>PUERTO MONTT 220</t>
        </is>
      </c>
      <c r="AE453" t="n">
        <v>111.133</v>
      </c>
      <c r="AF453" t="n">
        <v>1.072776031070834</v>
      </c>
      <c r="AG453" t="n">
        <v>119.220818660995</v>
      </c>
      <c r="AH453" t="n">
        <v>694.38</v>
      </c>
      <c r="AI453" t="n">
        <v>0.875</v>
      </c>
      <c r="AJ453" t="n">
        <v>72.43648305409401</v>
      </c>
      <c r="AK453" t="n">
        <v>0.8826000000000001</v>
      </c>
      <c r="AL453" t="n">
        <v>63.932</v>
      </c>
      <c r="AM453" t="n">
        <v>8.9176</v>
      </c>
      <c r="AN453" t="n">
        <v>9.566587534677272</v>
      </c>
      <c r="AO453" t="n">
        <v>0.913</v>
      </c>
      <c r="AP453" t="n">
        <v>6064.919358776563</v>
      </c>
      <c r="AQ453" t="n">
        <v>1.016858412119831</v>
      </c>
      <c r="AR453" t="n">
        <v>6167.1643</v>
      </c>
      <c r="AS453" t="n">
        <v>68390.9565196</v>
      </c>
      <c r="AT453" t="inlineStr">
        <is>
          <t>PNP_16T_02-11-2020</t>
        </is>
      </c>
      <c r="AU453" t="inlineStr">
        <is>
          <t>PNCP_2T_10-02-2020</t>
        </is>
      </c>
      <c r="AV453" t="inlineStr">
        <is>
          <t>PNCP_4T_30-04-2013</t>
        </is>
      </c>
      <c r="AW453" t="inlineStr">
        <is>
          <t>PUERTO MONTT 220</t>
        </is>
      </c>
      <c r="AX453" t="n">
        <v>111.133</v>
      </c>
      <c r="AY453" t="n">
        <v>1.080821157758461</v>
      </c>
      <c r="AZ453" t="n">
        <v>120.1148977251711</v>
      </c>
      <c r="BA453" t="n">
        <v>779.3099999999999</v>
      </c>
      <c r="BB453" t="n">
        <v>0.879</v>
      </c>
      <c r="BC453" t="n">
        <v>82.2803252917125</v>
      </c>
      <c r="BD453" t="n">
        <v>0.8421</v>
      </c>
      <c r="BE453" t="n">
        <v>69.288</v>
      </c>
      <c r="BF453" t="n">
        <v>8.9176</v>
      </c>
      <c r="BG453" t="n">
        <v>0.804</v>
      </c>
      <c r="BH453" t="n">
        <v>6039.043023599974</v>
      </c>
      <c r="BI453" t="n">
        <v>1.02699624102973</v>
      </c>
      <c r="BJ453" t="n">
        <v>6202.0745</v>
      </c>
      <c r="BK453" t="n">
        <v>74120.51234640001</v>
      </c>
    </row>
    <row r="454">
      <c r="A454" t="n">
        <v>757</v>
      </c>
      <c r="B454" t="inlineStr">
        <is>
          <t>01-11-2020</t>
        </is>
      </c>
      <c r="C454" t="n">
        <v>2020</v>
      </c>
      <c r="D454" t="n">
        <v>1</v>
      </c>
      <c r="E454" t="inlineStr">
        <is>
          <t>CAREN</t>
        </is>
      </c>
      <c r="F454" t="inlineStr">
        <is>
          <t>SUM_SAESA_A</t>
        </is>
      </c>
      <c r="G454" t="inlineStr">
        <is>
          <t>A</t>
        </is>
      </c>
      <c r="H454" t="inlineStr">
        <is>
          <t>SAESA</t>
        </is>
      </c>
      <c r="I454" t="inlineStr">
        <is>
          <t>SAESARNEGBLOQA</t>
        </is>
      </c>
      <c r="J454" t="inlineStr">
        <is>
          <t>R.NEGRO</t>
        </is>
      </c>
      <c r="K454" t="n">
        <v>-2378.2462583</v>
      </c>
      <c r="L454" t="inlineStr">
        <is>
          <t>RIO NEGRO 23</t>
        </is>
      </c>
      <c r="M454" t="inlineStr">
        <is>
          <t>BARRO BLANCO</t>
        </is>
      </c>
      <c r="N454" t="n">
        <v>0.80297227680351</v>
      </c>
      <c r="O454" t="n">
        <v>1909.665813</v>
      </c>
      <c r="P454" t="inlineStr">
        <is>
          <t>BS1A</t>
        </is>
      </c>
      <c r="Q454" t="n">
        <v>2</v>
      </c>
      <c r="V454" t="n">
        <v>1472834.063</v>
      </c>
      <c r="W454" t="n">
        <v>2</v>
      </c>
      <c r="X454" t="n">
        <v>8.487e-08</v>
      </c>
      <c r="Y454" t="n">
        <v>0.249999</v>
      </c>
      <c r="Z454" t="n">
        <v>477.414544</v>
      </c>
      <c r="AA454" t="inlineStr">
        <is>
          <t>PNP_6T_08-05-2020</t>
        </is>
      </c>
      <c r="AB454" t="inlineStr">
        <is>
          <t>PNCP_9T_12-08-2019</t>
        </is>
      </c>
      <c r="AC454" t="inlineStr">
        <is>
          <t>PNCP_4T_30-04-2013</t>
        </is>
      </c>
      <c r="AD454" t="inlineStr">
        <is>
          <t>Barro Blanco 220</t>
        </is>
      </c>
      <c r="AE454" t="n">
        <v>111.133</v>
      </c>
      <c r="AF454" t="n">
        <v>1.072776031070834</v>
      </c>
      <c r="AG454" t="n">
        <v>119.220818660995</v>
      </c>
      <c r="AH454" t="n">
        <v>694.38</v>
      </c>
      <c r="AI454" t="n">
        <v>0.875</v>
      </c>
      <c r="AJ454" t="n">
        <v>72.43648305409401</v>
      </c>
      <c r="AK454" t="n">
        <v>0.8631</v>
      </c>
      <c r="AL454" t="n">
        <v>62.52</v>
      </c>
      <c r="AM454" t="n">
        <v>8.9176</v>
      </c>
      <c r="AN454" t="n">
        <v>9.566587534677272</v>
      </c>
      <c r="AO454" t="n">
        <v>0.913</v>
      </c>
      <c r="AP454" t="n">
        <v>6064.919358776563</v>
      </c>
      <c r="AQ454" t="n">
        <v>1.004432825642191</v>
      </c>
      <c r="AR454" t="n">
        <v>6091.8041</v>
      </c>
      <c r="AS454" t="n">
        <v>29847.95729088</v>
      </c>
      <c r="AT454" t="inlineStr">
        <is>
          <t>PNP_16T_02-11-2020</t>
        </is>
      </c>
      <c r="AU454" t="inlineStr">
        <is>
          <t>PNCP_2T_10-02-2020</t>
        </is>
      </c>
      <c r="AV454" t="inlineStr">
        <is>
          <t>PNCP_4T_30-04-2013</t>
        </is>
      </c>
      <c r="AW454" t="inlineStr">
        <is>
          <t>Barro Blanco 220</t>
        </is>
      </c>
      <c r="AX454" t="n">
        <v>111.133</v>
      </c>
      <c r="AY454" t="n">
        <v>1.080821157758461</v>
      </c>
      <c r="AZ454" t="n">
        <v>120.1148977251711</v>
      </c>
      <c r="BA454" t="n">
        <v>779.3099999999999</v>
      </c>
      <c r="BB454" t="n">
        <v>0.879</v>
      </c>
      <c r="BC454" t="n">
        <v>82.2803252917125</v>
      </c>
      <c r="BD454" t="n">
        <v>0.846</v>
      </c>
      <c r="BE454" t="n">
        <v>69.60899999999999</v>
      </c>
      <c r="BF454" t="n">
        <v>8.9176</v>
      </c>
      <c r="BG454" t="n">
        <v>0.804</v>
      </c>
      <c r="BH454" t="n">
        <v>6039.043023599974</v>
      </c>
      <c r="BI454" t="n">
        <v>1.011820868379177</v>
      </c>
      <c r="BJ454" t="n">
        <v>6110.4298</v>
      </c>
      <c r="BK454" t="n">
        <v>33232.34899329599</v>
      </c>
    </row>
    <row r="455">
      <c r="A455" t="n">
        <v>759</v>
      </c>
      <c r="B455" t="inlineStr">
        <is>
          <t>01-11-2020</t>
        </is>
      </c>
      <c r="C455" t="n">
        <v>2020</v>
      </c>
      <c r="D455" t="n">
        <v>1</v>
      </c>
      <c r="E455" t="inlineStr">
        <is>
          <t>CAREN</t>
        </is>
      </c>
      <c r="F455" t="inlineStr">
        <is>
          <t>SUM_SAESA_A</t>
        </is>
      </c>
      <c r="G455" t="inlineStr">
        <is>
          <t>A</t>
        </is>
      </c>
      <c r="H455" t="inlineStr">
        <is>
          <t>SAESA</t>
        </is>
      </c>
      <c r="I455" t="inlineStr">
        <is>
          <t>SAESARNEGBLOQA</t>
        </is>
      </c>
      <c r="J455" t="inlineStr">
        <is>
          <t>R.NEGRO</t>
        </is>
      </c>
      <c r="K455" t="n">
        <v>-2378.2462583</v>
      </c>
      <c r="L455" t="inlineStr">
        <is>
          <t>RIO NEGRO 23</t>
        </is>
      </c>
      <c r="M455" t="inlineStr">
        <is>
          <t>MELIPULLI</t>
        </is>
      </c>
      <c r="N455" t="n">
        <v>0.046511074421</v>
      </c>
      <c r="O455" t="n">
        <v>110.614789</v>
      </c>
      <c r="P455" t="inlineStr">
        <is>
          <t>BS1A</t>
        </is>
      </c>
      <c r="Q455" t="n">
        <v>2</v>
      </c>
      <c r="V455" t="n">
        <v>1472834.063</v>
      </c>
      <c r="W455" t="n">
        <v>2</v>
      </c>
      <c r="X455" t="n">
        <v>8.487e-08</v>
      </c>
      <c r="Y455" t="n">
        <v>0.249999</v>
      </c>
      <c r="Z455" t="n">
        <v>27.653587</v>
      </c>
      <c r="AA455" t="inlineStr">
        <is>
          <t>PNP_6T_08-05-2020</t>
        </is>
      </c>
      <c r="AB455" t="inlineStr">
        <is>
          <t>PNCP_9T_12-08-2019</t>
        </is>
      </c>
      <c r="AC455" t="inlineStr">
        <is>
          <t>PNCP_4T_30-04-2013</t>
        </is>
      </c>
      <c r="AD455" t="inlineStr">
        <is>
          <t>MELIPULLI 220</t>
        </is>
      </c>
      <c r="AE455" t="n">
        <v>111.133</v>
      </c>
      <c r="AF455" t="n">
        <v>1.072776031070834</v>
      </c>
      <c r="AG455" t="n">
        <v>119.220818660995</v>
      </c>
      <c r="AH455" t="n">
        <v>694.38</v>
      </c>
      <c r="AI455" t="n">
        <v>0.875</v>
      </c>
      <c r="AJ455" t="n">
        <v>72.43648305409401</v>
      </c>
      <c r="AK455" t="n">
        <v>0.8826000000000001</v>
      </c>
      <c r="AL455" t="n">
        <v>63.932</v>
      </c>
      <c r="AM455" t="n">
        <v>8.9176</v>
      </c>
      <c r="AN455" t="n">
        <v>9.566587534677272</v>
      </c>
      <c r="AO455" t="n">
        <v>0.913</v>
      </c>
      <c r="AP455" t="n">
        <v>6064.919358776563</v>
      </c>
      <c r="AQ455" t="n">
        <v>1</v>
      </c>
      <c r="AR455" t="n">
        <v>6064.9194</v>
      </c>
      <c r="AS455" t="n">
        <v>1767.949124084</v>
      </c>
      <c r="AT455" t="inlineStr">
        <is>
          <t>PNP_16T_02-11-2020</t>
        </is>
      </c>
      <c r="AU455" t="inlineStr">
        <is>
          <t>PNCP_2T_10-02-2020</t>
        </is>
      </c>
      <c r="AV455" t="inlineStr">
        <is>
          <t>PNCP_4T_30-04-2013</t>
        </is>
      </c>
      <c r="AW455" t="inlineStr">
        <is>
          <t>MELIPULLI 220</t>
        </is>
      </c>
      <c r="AX455" t="n">
        <v>111.133</v>
      </c>
      <c r="AY455" t="n">
        <v>1.080821157758461</v>
      </c>
      <c r="AZ455" t="n">
        <v>120.1148977251711</v>
      </c>
      <c r="BA455" t="n">
        <v>779.3099999999999</v>
      </c>
      <c r="BB455" t="n">
        <v>0.879</v>
      </c>
      <c r="BC455" t="n">
        <v>82.2803252917125</v>
      </c>
      <c r="BD455" t="n">
        <v>0.8421</v>
      </c>
      <c r="BE455" t="n">
        <v>69.288</v>
      </c>
      <c r="BF455" t="n">
        <v>8.9176</v>
      </c>
      <c r="BG455" t="n">
        <v>0.804</v>
      </c>
      <c r="BH455" t="n">
        <v>6039.043023599974</v>
      </c>
      <c r="BI455" t="n">
        <v>1</v>
      </c>
      <c r="BJ455" t="n">
        <v>6039.043</v>
      </c>
      <c r="BK455" t="n">
        <v>1916.061736056</v>
      </c>
    </row>
    <row r="456">
      <c r="A456" t="n">
        <v>761</v>
      </c>
      <c r="B456" t="inlineStr">
        <is>
          <t>01-11-2020</t>
        </is>
      </c>
      <c r="C456" t="n">
        <v>2020</v>
      </c>
      <c r="D456" t="n">
        <v>1</v>
      </c>
      <c r="E456" t="inlineStr">
        <is>
          <t>CAREN</t>
        </is>
      </c>
      <c r="F456" t="inlineStr">
        <is>
          <t>SUM_SAESA_A</t>
        </is>
      </c>
      <c r="G456" t="inlineStr">
        <is>
          <t>A</t>
        </is>
      </c>
      <c r="H456" t="inlineStr">
        <is>
          <t>SAESA</t>
        </is>
      </c>
      <c r="I456" t="inlineStr">
        <is>
          <t>SAESARNEGBLOQA</t>
        </is>
      </c>
      <c r="J456" t="inlineStr">
        <is>
          <t>R.NEGRO</t>
        </is>
      </c>
      <c r="K456" t="n">
        <v>-2378.2462583</v>
      </c>
      <c r="L456" t="inlineStr">
        <is>
          <t>RIO NEGRO 23</t>
        </is>
      </c>
      <c r="M456" t="inlineStr">
        <is>
          <t>VALDIVIA</t>
        </is>
      </c>
      <c r="N456" t="n">
        <v>0.00178849626167</v>
      </c>
      <c r="O456" t="n">
        <v>4.253485</v>
      </c>
      <c r="P456" t="inlineStr">
        <is>
          <t>BS1A</t>
        </is>
      </c>
      <c r="Q456" t="n">
        <v>2</v>
      </c>
      <c r="V456" t="n">
        <v>1472834.063</v>
      </c>
      <c r="W456" t="n">
        <v>2</v>
      </c>
      <c r="X456" t="n">
        <v>8.487e-08</v>
      </c>
      <c r="Y456" t="n">
        <v>0.249999</v>
      </c>
      <c r="Z456" t="n">
        <v>1.063367</v>
      </c>
      <c r="AA456" t="inlineStr">
        <is>
          <t>PNP_6T_08-05-2020</t>
        </is>
      </c>
      <c r="AB456" t="inlineStr">
        <is>
          <t>PNCP_9T_12-08-2019</t>
        </is>
      </c>
      <c r="AC456" t="inlineStr">
        <is>
          <t>PNCP_4T_30-04-2013</t>
        </is>
      </c>
      <c r="AD456" t="inlineStr">
        <is>
          <t>VALDIVIA 220</t>
        </is>
      </c>
      <c r="AE456" t="n">
        <v>111.133</v>
      </c>
      <c r="AF456" t="n">
        <v>1.072776031070834</v>
      </c>
      <c r="AG456" t="n">
        <v>119.220818660995</v>
      </c>
      <c r="AH456" t="n">
        <v>694.38</v>
      </c>
      <c r="AI456" t="n">
        <v>0.875</v>
      </c>
      <c r="AJ456" t="n">
        <v>72.43648305409401</v>
      </c>
      <c r="AK456" t="n">
        <v>0.913</v>
      </c>
      <c r="AL456" t="n">
        <v>66.13500000000001</v>
      </c>
      <c r="AM456" t="n">
        <v>8.9176</v>
      </c>
      <c r="AN456" t="n">
        <v>9.566587534677272</v>
      </c>
      <c r="AO456" t="n">
        <v>0.913</v>
      </c>
      <c r="AP456" t="n">
        <v>6064.919358776563</v>
      </c>
      <c r="AQ456" t="n">
        <v>1.051287819142954</v>
      </c>
      <c r="AR456" t="n">
        <v>6375.9758</v>
      </c>
      <c r="AS456" t="n">
        <v>70.325776545</v>
      </c>
      <c r="AT456" t="inlineStr">
        <is>
          <t>PNP_16T_02-11-2020</t>
        </is>
      </c>
      <c r="AU456" t="inlineStr">
        <is>
          <t>PNCP_2T_10-02-2020</t>
        </is>
      </c>
      <c r="AV456" t="inlineStr">
        <is>
          <t>PNCP_4T_30-04-2013</t>
        </is>
      </c>
      <c r="AW456" t="inlineStr">
        <is>
          <t>VALDIVIA 220</t>
        </is>
      </c>
      <c r="AX456" t="n">
        <v>111.133</v>
      </c>
      <c r="AY456" t="n">
        <v>1.080821157758461</v>
      </c>
      <c r="AZ456" t="n">
        <v>120.1148977251711</v>
      </c>
      <c r="BA456" t="n">
        <v>779.3099999999999</v>
      </c>
      <c r="BB456" t="n">
        <v>0.879</v>
      </c>
      <c r="BC456" t="n">
        <v>82.2803252917125</v>
      </c>
      <c r="BD456" t="n">
        <v>0.9167</v>
      </c>
      <c r="BE456" t="n">
        <v>75.426</v>
      </c>
      <c r="BF456" t="n">
        <v>8.9176</v>
      </c>
      <c r="BG456" t="n">
        <v>0.804</v>
      </c>
      <c r="BH456" t="n">
        <v>6039.043023599974</v>
      </c>
      <c r="BI456" t="n">
        <v>1.096052187605444</v>
      </c>
      <c r="BJ456" t="n">
        <v>6619.1063</v>
      </c>
      <c r="BK456" t="n">
        <v>80.205519342</v>
      </c>
    </row>
    <row r="457">
      <c r="A457" t="n">
        <v>337</v>
      </c>
      <c r="B457" t="inlineStr">
        <is>
          <t>01-11-2020</t>
        </is>
      </c>
      <c r="C457" t="n">
        <v>2020</v>
      </c>
      <c r="D457" t="n">
        <v>1</v>
      </c>
      <c r="E457" t="inlineStr">
        <is>
          <t>CAREN</t>
        </is>
      </c>
      <c r="F457" t="inlineStr">
        <is>
          <t>SUM_SAESA_A</t>
        </is>
      </c>
      <c r="G457" t="inlineStr">
        <is>
          <t>A</t>
        </is>
      </c>
      <c r="H457" t="inlineStr">
        <is>
          <t>SAESA</t>
        </is>
      </c>
      <c r="I457" t="inlineStr">
        <is>
          <t>SAESSANGBLOQA</t>
        </is>
      </c>
      <c r="J457" t="inlineStr">
        <is>
          <t>SANGRA</t>
        </is>
      </c>
      <c r="K457" t="n">
        <v>-3673.73528131</v>
      </c>
      <c r="L457" t="inlineStr">
        <is>
          <t>SANGRA 23</t>
        </is>
      </c>
      <c r="M457" t="inlineStr">
        <is>
          <t>BARRO BLANCO</t>
        </is>
      </c>
      <c r="N457" t="n">
        <v>0.1396556304984</v>
      </c>
      <c r="O457" t="n">
        <v>513.057817</v>
      </c>
      <c r="P457" t="inlineStr">
        <is>
          <t>BS1A</t>
        </is>
      </c>
      <c r="Q457" t="n">
        <v>2</v>
      </c>
      <c r="V457" t="n">
        <v>1472834.063</v>
      </c>
      <c r="W457" t="n">
        <v>2</v>
      </c>
      <c r="X457" t="n">
        <v>8.487e-08</v>
      </c>
      <c r="Y457" t="n">
        <v>0.249999</v>
      </c>
      <c r="Z457" t="n">
        <v>128.263941</v>
      </c>
      <c r="AA457" t="inlineStr">
        <is>
          <t>PNP_6T_08-05-2020</t>
        </is>
      </c>
      <c r="AB457" t="inlineStr">
        <is>
          <t>PNCP_9T_12-08-2019</t>
        </is>
      </c>
      <c r="AC457" t="inlineStr">
        <is>
          <t>PNCP_4T_30-04-2013</t>
        </is>
      </c>
      <c r="AD457" t="inlineStr">
        <is>
          <t>Barro Blanco 220</t>
        </is>
      </c>
      <c r="AE457" t="n">
        <v>111.133</v>
      </c>
      <c r="AF457" t="n">
        <v>1.072776031070834</v>
      </c>
      <c r="AG457" t="n">
        <v>119.220818660995</v>
      </c>
      <c r="AH457" t="n">
        <v>694.38</v>
      </c>
      <c r="AI457" t="n">
        <v>0.875</v>
      </c>
      <c r="AJ457" t="n">
        <v>72.43648305409401</v>
      </c>
      <c r="AK457" t="n">
        <v>0.8631</v>
      </c>
      <c r="AL457" t="n">
        <v>62.52</v>
      </c>
      <c r="AM457" t="n">
        <v>8.9176</v>
      </c>
      <c r="AN457" t="n">
        <v>9.566587534677272</v>
      </c>
      <c r="AO457" t="n">
        <v>0.913</v>
      </c>
      <c r="AP457" t="n">
        <v>6064.919358776563</v>
      </c>
      <c r="AQ457" t="n">
        <v>1.004432825642191</v>
      </c>
      <c r="AR457" t="n">
        <v>6091.8041</v>
      </c>
      <c r="AS457" t="n">
        <v>8019.06159132</v>
      </c>
      <c r="AT457" t="inlineStr">
        <is>
          <t>PNP_16T_02-11-2020</t>
        </is>
      </c>
      <c r="AU457" t="inlineStr">
        <is>
          <t>PNCP_2T_10-02-2020</t>
        </is>
      </c>
      <c r="AV457" t="inlineStr">
        <is>
          <t>PNCP_4T_30-04-2013</t>
        </is>
      </c>
      <c r="AW457" t="inlineStr">
        <is>
          <t>Barro Blanco 220</t>
        </is>
      </c>
      <c r="AX457" t="n">
        <v>111.133</v>
      </c>
      <c r="AY457" t="n">
        <v>1.080821157758461</v>
      </c>
      <c r="AZ457" t="n">
        <v>120.1148977251711</v>
      </c>
      <c r="BA457" t="n">
        <v>779.3099999999999</v>
      </c>
      <c r="BB457" t="n">
        <v>0.879</v>
      </c>
      <c r="BC457" t="n">
        <v>82.2803252917125</v>
      </c>
      <c r="BD457" t="n">
        <v>0.846</v>
      </c>
      <c r="BE457" t="n">
        <v>69.60899999999999</v>
      </c>
      <c r="BF457" t="n">
        <v>8.9176</v>
      </c>
      <c r="BG457" t="n">
        <v>0.804</v>
      </c>
      <c r="BH457" t="n">
        <v>6039.043023599974</v>
      </c>
      <c r="BI457" t="n">
        <v>1.011820868379177</v>
      </c>
      <c r="BJ457" t="n">
        <v>6110.4298</v>
      </c>
      <c r="BK457" t="n">
        <v>8928.324669068999</v>
      </c>
    </row>
    <row r="458">
      <c r="A458" t="n">
        <v>339</v>
      </c>
      <c r="B458" t="inlineStr">
        <is>
          <t>01-11-2020</t>
        </is>
      </c>
      <c r="C458" t="n">
        <v>2020</v>
      </c>
      <c r="D458" t="n">
        <v>1</v>
      </c>
      <c r="E458" t="inlineStr">
        <is>
          <t>CAREN</t>
        </is>
      </c>
      <c r="F458" t="inlineStr">
        <is>
          <t>SUM_SAESA_A</t>
        </is>
      </c>
      <c r="G458" t="inlineStr">
        <is>
          <t>A</t>
        </is>
      </c>
      <c r="H458" t="inlineStr">
        <is>
          <t>SAESA</t>
        </is>
      </c>
      <c r="I458" t="inlineStr">
        <is>
          <t>SAESSANGBLOQA</t>
        </is>
      </c>
      <c r="J458" t="inlineStr">
        <is>
          <t>SANGRA</t>
        </is>
      </c>
      <c r="K458" t="n">
        <v>-3673.73528131</v>
      </c>
      <c r="L458" t="inlineStr">
        <is>
          <t>SANGRA 23</t>
        </is>
      </c>
      <c r="M458" t="inlineStr">
        <is>
          <t>MELIPULLI</t>
        </is>
      </c>
      <c r="N458" t="n">
        <v>0.80146456415263</v>
      </c>
      <c r="O458" t="n">
        <v>2944.368646</v>
      </c>
      <c r="P458" t="inlineStr">
        <is>
          <t>BS1A</t>
        </is>
      </c>
      <c r="Q458" t="n">
        <v>2</v>
      </c>
      <c r="V458" t="n">
        <v>1472834.063</v>
      </c>
      <c r="W458" t="n">
        <v>2</v>
      </c>
      <c r="X458" t="n">
        <v>8.487e-08</v>
      </c>
      <c r="Y458" t="n">
        <v>0.249999</v>
      </c>
      <c r="Z458" t="n">
        <v>736.089217</v>
      </c>
      <c r="AA458" t="inlineStr">
        <is>
          <t>PNP_6T_08-05-2020</t>
        </is>
      </c>
      <c r="AB458" t="inlineStr">
        <is>
          <t>PNCP_9T_12-08-2019</t>
        </is>
      </c>
      <c r="AC458" t="inlineStr">
        <is>
          <t>PNCP_4T_30-04-2013</t>
        </is>
      </c>
      <c r="AD458" t="inlineStr">
        <is>
          <t>MELIPULLI 220</t>
        </is>
      </c>
      <c r="AE458" t="n">
        <v>111.133</v>
      </c>
      <c r="AF458" t="n">
        <v>1.072776031070834</v>
      </c>
      <c r="AG458" t="n">
        <v>119.220818660995</v>
      </c>
      <c r="AH458" t="n">
        <v>694.38</v>
      </c>
      <c r="AI458" t="n">
        <v>0.875</v>
      </c>
      <c r="AJ458" t="n">
        <v>72.43648305409401</v>
      </c>
      <c r="AK458" t="n">
        <v>0.8826000000000001</v>
      </c>
      <c r="AL458" t="n">
        <v>63.932</v>
      </c>
      <c r="AM458" t="n">
        <v>8.9176</v>
      </c>
      <c r="AN458" t="n">
        <v>9.566587534677272</v>
      </c>
      <c r="AO458" t="n">
        <v>0.913</v>
      </c>
      <c r="AP458" t="n">
        <v>6064.919358776563</v>
      </c>
      <c r="AQ458" t="n">
        <v>1</v>
      </c>
      <c r="AR458" t="n">
        <v>6064.9194</v>
      </c>
      <c r="AS458" t="n">
        <v>47059.655821244</v>
      </c>
      <c r="AT458" t="inlineStr">
        <is>
          <t>PNP_16T_02-11-2020</t>
        </is>
      </c>
      <c r="AU458" t="inlineStr">
        <is>
          <t>PNCP_2T_10-02-2020</t>
        </is>
      </c>
      <c r="AV458" t="inlineStr">
        <is>
          <t>PNCP_4T_30-04-2013</t>
        </is>
      </c>
      <c r="AW458" t="inlineStr">
        <is>
          <t>MELIPULLI 220</t>
        </is>
      </c>
      <c r="AX458" t="n">
        <v>111.133</v>
      </c>
      <c r="AY458" t="n">
        <v>1.080821157758461</v>
      </c>
      <c r="AZ458" t="n">
        <v>120.1148977251711</v>
      </c>
      <c r="BA458" t="n">
        <v>779.3099999999999</v>
      </c>
      <c r="BB458" t="n">
        <v>0.879</v>
      </c>
      <c r="BC458" t="n">
        <v>82.2803252917125</v>
      </c>
      <c r="BD458" t="n">
        <v>0.8421</v>
      </c>
      <c r="BE458" t="n">
        <v>69.288</v>
      </c>
      <c r="BF458" t="n">
        <v>8.9176</v>
      </c>
      <c r="BG458" t="n">
        <v>0.804</v>
      </c>
      <c r="BH458" t="n">
        <v>6039.043023599974</v>
      </c>
      <c r="BI458" t="n">
        <v>1</v>
      </c>
      <c r="BJ458" t="n">
        <v>6039.043</v>
      </c>
      <c r="BK458" t="n">
        <v>51002.14966749599</v>
      </c>
    </row>
    <row r="459">
      <c r="A459" t="n">
        <v>1897</v>
      </c>
      <c r="B459" t="inlineStr">
        <is>
          <t>01-11-2020</t>
        </is>
      </c>
      <c r="C459" t="n">
        <v>2020</v>
      </c>
      <c r="D459" t="n">
        <v>1</v>
      </c>
      <c r="E459" t="inlineStr">
        <is>
          <t>CAREN</t>
        </is>
      </c>
      <c r="F459" t="inlineStr">
        <is>
          <t>SUM_SAESA_A</t>
        </is>
      </c>
      <c r="G459" t="inlineStr">
        <is>
          <t>A</t>
        </is>
      </c>
      <c r="H459" t="inlineStr">
        <is>
          <t>SAESA</t>
        </is>
      </c>
      <c r="I459" t="inlineStr">
        <is>
          <t>SAESVALDENBLOQA</t>
        </is>
      </c>
      <c r="J459" t="inlineStr">
        <is>
          <t>VALDIVIA</t>
        </is>
      </c>
      <c r="K459" t="n">
        <v>-7744.4561284</v>
      </c>
      <c r="L459" t="inlineStr">
        <is>
          <t>VALDIVIA</t>
        </is>
      </c>
      <c r="M459" t="inlineStr">
        <is>
          <t>Barro Blanco</t>
        </is>
      </c>
      <c r="N459" t="n">
        <v>0.02993690585192</v>
      </c>
      <c r="O459" t="n">
        <v>231.845054</v>
      </c>
      <c r="P459" t="inlineStr">
        <is>
          <t>BS1A</t>
        </is>
      </c>
      <c r="Q459" t="n">
        <v>2</v>
      </c>
      <c r="V459" t="n">
        <v>1472834.063</v>
      </c>
      <c r="W459" t="n">
        <v>2</v>
      </c>
      <c r="X459" t="n">
        <v>8.487e-08</v>
      </c>
      <c r="Y459" t="n">
        <v>0.249999</v>
      </c>
      <c r="Z459" t="n">
        <v>57.961032</v>
      </c>
      <c r="AA459" t="inlineStr">
        <is>
          <t>PNP_6T_08-05-2020</t>
        </is>
      </c>
      <c r="AB459" t="inlineStr">
        <is>
          <t>PNCP_9T_12-08-2019</t>
        </is>
      </c>
      <c r="AC459" t="inlineStr">
        <is>
          <t>PNCP_4T_30-04-2013</t>
        </is>
      </c>
      <c r="AD459" t="inlineStr">
        <is>
          <t>Barro Blanco 220</t>
        </is>
      </c>
      <c r="AE459" t="n">
        <v>111.133</v>
      </c>
      <c r="AF459" t="n">
        <v>1.072776031070834</v>
      </c>
      <c r="AG459" t="n">
        <v>119.220818660995</v>
      </c>
      <c r="AH459" t="n">
        <v>694.38</v>
      </c>
      <c r="AI459" t="n">
        <v>0.875</v>
      </c>
      <c r="AJ459" t="n">
        <v>72.43648305409401</v>
      </c>
      <c r="AK459" t="n">
        <v>0.8631</v>
      </c>
      <c r="AL459" t="n">
        <v>62.52</v>
      </c>
      <c r="AM459" t="n">
        <v>8.9176</v>
      </c>
      <c r="AN459" t="n">
        <v>9.566587534677272</v>
      </c>
      <c r="AO459" t="n">
        <v>0.913</v>
      </c>
      <c r="AP459" t="n">
        <v>6064.919358776563</v>
      </c>
      <c r="AQ459" t="n">
        <v>1.004432825642191</v>
      </c>
      <c r="AR459" t="n">
        <v>6091.8041</v>
      </c>
      <c r="AS459" t="n">
        <v>3623.72372064</v>
      </c>
      <c r="AT459" t="inlineStr">
        <is>
          <t>PNP_16T_02-11-2020</t>
        </is>
      </c>
      <c r="AU459" t="inlineStr">
        <is>
          <t>PNCP_2T_10-02-2020</t>
        </is>
      </c>
      <c r="AV459" t="inlineStr">
        <is>
          <t>PNCP_4T_30-04-2013</t>
        </is>
      </c>
      <c r="AW459" t="inlineStr">
        <is>
          <t>Barro Blanco 220</t>
        </is>
      </c>
      <c r="AX459" t="n">
        <v>111.133</v>
      </c>
      <c r="AY459" t="n">
        <v>1.080821157758461</v>
      </c>
      <c r="AZ459" t="n">
        <v>120.1148977251711</v>
      </c>
      <c r="BA459" t="n">
        <v>779.3099999999999</v>
      </c>
      <c r="BB459" t="n">
        <v>0.879</v>
      </c>
      <c r="BC459" t="n">
        <v>82.2803252917125</v>
      </c>
      <c r="BD459" t="n">
        <v>0.846</v>
      </c>
      <c r="BE459" t="n">
        <v>69.60899999999999</v>
      </c>
      <c r="BF459" t="n">
        <v>8.9176</v>
      </c>
      <c r="BG459" t="n">
        <v>0.804</v>
      </c>
      <c r="BH459" t="n">
        <v>6039.043023599974</v>
      </c>
      <c r="BI459" t="n">
        <v>1.011820868379177</v>
      </c>
      <c r="BJ459" t="n">
        <v>6110.4298</v>
      </c>
      <c r="BK459" t="n">
        <v>4034.609476488</v>
      </c>
    </row>
    <row r="460">
      <c r="A460" t="n">
        <v>1899</v>
      </c>
      <c r="B460" t="inlineStr">
        <is>
          <t>01-11-2020</t>
        </is>
      </c>
      <c r="C460" t="n">
        <v>2020</v>
      </c>
      <c r="D460" t="n">
        <v>1</v>
      </c>
      <c r="E460" t="inlineStr">
        <is>
          <t>CAREN</t>
        </is>
      </c>
      <c r="F460" t="inlineStr">
        <is>
          <t>SUM_SAESA_A</t>
        </is>
      </c>
      <c r="G460" t="inlineStr">
        <is>
          <t>A</t>
        </is>
      </c>
      <c r="H460" t="inlineStr">
        <is>
          <t>SAESA</t>
        </is>
      </c>
      <c r="I460" t="inlineStr">
        <is>
          <t>SAESVALDENBLOQA</t>
        </is>
      </c>
      <c r="J460" t="inlineStr">
        <is>
          <t>VALDIVIA</t>
        </is>
      </c>
      <c r="K460" t="n">
        <v>-7744.4561284</v>
      </c>
      <c r="L460" t="inlineStr">
        <is>
          <t>VALDIVIA</t>
        </is>
      </c>
      <c r="M460" t="inlineStr">
        <is>
          <t>MELIPULLI</t>
        </is>
      </c>
      <c r="N460" t="n">
        <v>0.00292386082351</v>
      </c>
      <c r="O460" t="n">
        <v>22.643712</v>
      </c>
      <c r="P460" t="inlineStr">
        <is>
          <t>BS1A</t>
        </is>
      </c>
      <c r="Q460" t="n">
        <v>2</v>
      </c>
      <c r="V460" t="n">
        <v>1472834.063</v>
      </c>
      <c r="W460" t="n">
        <v>2</v>
      </c>
      <c r="X460" t="n">
        <v>8.487e-08</v>
      </c>
      <c r="Y460" t="n">
        <v>0.249999</v>
      </c>
      <c r="Z460" t="n">
        <v>5.660905</v>
      </c>
      <c r="AA460" t="inlineStr">
        <is>
          <t>PNP_6T_08-05-2020</t>
        </is>
      </c>
      <c r="AB460" t="inlineStr">
        <is>
          <t>PNCP_9T_12-08-2019</t>
        </is>
      </c>
      <c r="AC460" t="inlineStr">
        <is>
          <t>PNCP_4T_30-04-2013</t>
        </is>
      </c>
      <c r="AD460" t="inlineStr">
        <is>
          <t>MELIPULLI 220</t>
        </is>
      </c>
      <c r="AE460" t="n">
        <v>111.133</v>
      </c>
      <c r="AF460" t="n">
        <v>1.072776031070834</v>
      </c>
      <c r="AG460" t="n">
        <v>119.220818660995</v>
      </c>
      <c r="AH460" t="n">
        <v>694.38</v>
      </c>
      <c r="AI460" t="n">
        <v>0.875</v>
      </c>
      <c r="AJ460" t="n">
        <v>72.43648305409401</v>
      </c>
      <c r="AK460" t="n">
        <v>0.8826000000000001</v>
      </c>
      <c r="AL460" t="n">
        <v>63.932</v>
      </c>
      <c r="AM460" t="n">
        <v>8.9176</v>
      </c>
      <c r="AN460" t="n">
        <v>9.566587534677272</v>
      </c>
      <c r="AO460" t="n">
        <v>0.913</v>
      </c>
      <c r="AP460" t="n">
        <v>6064.919358776563</v>
      </c>
      <c r="AQ460" t="n">
        <v>1</v>
      </c>
      <c r="AR460" t="n">
        <v>6064.9194</v>
      </c>
      <c r="AS460" t="n">
        <v>361.91297846</v>
      </c>
      <c r="AT460" t="inlineStr">
        <is>
          <t>PNP_16T_02-11-2020</t>
        </is>
      </c>
      <c r="AU460" t="inlineStr">
        <is>
          <t>PNCP_2T_10-02-2020</t>
        </is>
      </c>
      <c r="AV460" t="inlineStr">
        <is>
          <t>PNCP_4T_30-04-2013</t>
        </is>
      </c>
      <c r="AW460" t="inlineStr">
        <is>
          <t>MELIPULLI 220</t>
        </is>
      </c>
      <c r="AX460" t="n">
        <v>111.133</v>
      </c>
      <c r="AY460" t="n">
        <v>1.080821157758461</v>
      </c>
      <c r="AZ460" t="n">
        <v>120.1148977251711</v>
      </c>
      <c r="BA460" t="n">
        <v>779.3099999999999</v>
      </c>
      <c r="BB460" t="n">
        <v>0.879</v>
      </c>
      <c r="BC460" t="n">
        <v>82.2803252917125</v>
      </c>
      <c r="BD460" t="n">
        <v>0.8421</v>
      </c>
      <c r="BE460" t="n">
        <v>69.288</v>
      </c>
      <c r="BF460" t="n">
        <v>8.9176</v>
      </c>
      <c r="BG460" t="n">
        <v>0.804</v>
      </c>
      <c r="BH460" t="n">
        <v>6039.043023599974</v>
      </c>
      <c r="BI460" t="n">
        <v>1</v>
      </c>
      <c r="BJ460" t="n">
        <v>6039.043</v>
      </c>
      <c r="BK460" t="n">
        <v>392.23278564</v>
      </c>
    </row>
    <row r="461">
      <c r="A461" t="n">
        <v>1901</v>
      </c>
      <c r="B461" t="inlineStr">
        <is>
          <t>01-11-2020</t>
        </is>
      </c>
      <c r="C461" t="n">
        <v>2020</v>
      </c>
      <c r="D461" t="n">
        <v>1</v>
      </c>
      <c r="E461" t="inlineStr">
        <is>
          <t>CAREN</t>
        </is>
      </c>
      <c r="F461" t="inlineStr">
        <is>
          <t>SUM_SAESA_A</t>
        </is>
      </c>
      <c r="G461" t="inlineStr">
        <is>
          <t>A</t>
        </is>
      </c>
      <c r="H461" t="inlineStr">
        <is>
          <t>SAESA</t>
        </is>
      </c>
      <c r="I461" t="inlineStr">
        <is>
          <t>SAESVALDENBLOQA</t>
        </is>
      </c>
      <c r="J461" t="inlineStr">
        <is>
          <t>VALDIVIA</t>
        </is>
      </c>
      <c r="K461" t="n">
        <v>-7744.4561284</v>
      </c>
      <c r="L461" t="inlineStr">
        <is>
          <t>VALDIVIA</t>
        </is>
      </c>
      <c r="M461" t="inlineStr">
        <is>
          <t>VALDIVIA</t>
        </is>
      </c>
      <c r="N461" t="n">
        <v>0.83180916668115</v>
      </c>
      <c r="O461" t="n">
        <v>6441.909599</v>
      </c>
      <c r="P461" t="inlineStr">
        <is>
          <t>BS1A</t>
        </is>
      </c>
      <c r="Q461" t="n">
        <v>2</v>
      </c>
      <c r="V461" t="n">
        <v>1472834.063</v>
      </c>
      <c r="W461" t="n">
        <v>2</v>
      </c>
      <c r="X461" t="n">
        <v>8.487e-08</v>
      </c>
      <c r="Y461" t="n">
        <v>0.249999</v>
      </c>
      <c r="Z461" t="n">
        <v>1610.470958</v>
      </c>
      <c r="AA461" t="inlineStr">
        <is>
          <t>PNP_6T_08-05-2020</t>
        </is>
      </c>
      <c r="AB461" t="inlineStr">
        <is>
          <t>PNCP_9T_12-08-2019</t>
        </is>
      </c>
      <c r="AC461" t="inlineStr">
        <is>
          <t>PNCP_4T_30-04-2013</t>
        </is>
      </c>
      <c r="AD461" t="inlineStr">
        <is>
          <t>VALDIVIA 220</t>
        </is>
      </c>
      <c r="AE461" t="n">
        <v>111.133</v>
      </c>
      <c r="AF461" t="n">
        <v>1.072776031070834</v>
      </c>
      <c r="AG461" t="n">
        <v>119.220818660995</v>
      </c>
      <c r="AH461" t="n">
        <v>694.38</v>
      </c>
      <c r="AI461" t="n">
        <v>0.875</v>
      </c>
      <c r="AJ461" t="n">
        <v>72.43648305409401</v>
      </c>
      <c r="AK461" t="n">
        <v>0.913</v>
      </c>
      <c r="AL461" t="n">
        <v>66.13500000000001</v>
      </c>
      <c r="AM461" t="n">
        <v>8.9176</v>
      </c>
      <c r="AN461" t="n">
        <v>9.566587534677272</v>
      </c>
      <c r="AO461" t="n">
        <v>0.913</v>
      </c>
      <c r="AP461" t="n">
        <v>6064.919358776563</v>
      </c>
      <c r="AQ461" t="n">
        <v>1.051287819142954</v>
      </c>
      <c r="AR461" t="n">
        <v>6375.9758</v>
      </c>
      <c r="AS461" t="n">
        <v>106508.49680733</v>
      </c>
      <c r="AT461" t="inlineStr">
        <is>
          <t>PNP_16T_02-11-2020</t>
        </is>
      </c>
      <c r="AU461" t="inlineStr">
        <is>
          <t>PNCP_2T_10-02-2020</t>
        </is>
      </c>
      <c r="AV461" t="inlineStr">
        <is>
          <t>PNCP_4T_30-04-2013</t>
        </is>
      </c>
      <c r="AW461" t="inlineStr">
        <is>
          <t>VALDIVIA 220</t>
        </is>
      </c>
      <c r="AX461" t="n">
        <v>111.133</v>
      </c>
      <c r="AY461" t="n">
        <v>1.080821157758461</v>
      </c>
      <c r="AZ461" t="n">
        <v>120.1148977251711</v>
      </c>
      <c r="BA461" t="n">
        <v>779.3099999999999</v>
      </c>
      <c r="BB461" t="n">
        <v>0.879</v>
      </c>
      <c r="BC461" t="n">
        <v>82.2803252917125</v>
      </c>
      <c r="BD461" t="n">
        <v>0.9167</v>
      </c>
      <c r="BE461" t="n">
        <v>75.426</v>
      </c>
      <c r="BF461" t="n">
        <v>8.9176</v>
      </c>
      <c r="BG461" t="n">
        <v>0.804</v>
      </c>
      <c r="BH461" t="n">
        <v>6039.043023599974</v>
      </c>
      <c r="BI461" t="n">
        <v>1.096052187605444</v>
      </c>
      <c r="BJ461" t="n">
        <v>6619.1063</v>
      </c>
      <c r="BK461" t="n">
        <v>121471.382478108</v>
      </c>
    </row>
    <row r="462">
      <c r="A462" t="n">
        <v>1299</v>
      </c>
      <c r="B462" t="inlineStr">
        <is>
          <t>01-12-2020</t>
        </is>
      </c>
      <c r="C462" t="n">
        <v>2020</v>
      </c>
      <c r="D462" t="n">
        <v>1</v>
      </c>
      <c r="E462" t="inlineStr">
        <is>
          <t>CAREN</t>
        </is>
      </c>
      <c r="F462" t="inlineStr">
        <is>
          <t>SUM_SAESA_A</t>
        </is>
      </c>
      <c r="G462" t="inlineStr">
        <is>
          <t>A</t>
        </is>
      </c>
      <c r="H462" t="inlineStr">
        <is>
          <t>SAESA</t>
        </is>
      </c>
      <c r="I462" t="inlineStr">
        <is>
          <t>SAESAIHUBLOQA</t>
        </is>
      </c>
      <c r="J462" t="inlineStr">
        <is>
          <t>AIHUAPI</t>
        </is>
      </c>
      <c r="K462" t="n">
        <v>-294.19273324</v>
      </c>
      <c r="L462" t="inlineStr">
        <is>
          <t>AIHUAPI</t>
        </is>
      </c>
      <c r="M462" t="inlineStr">
        <is>
          <t>BARRO BLANCO</t>
        </is>
      </c>
      <c r="N462" t="n">
        <v>0.9345256988989999</v>
      </c>
      <c r="O462" t="n">
        <v>274.93067</v>
      </c>
      <c r="P462" t="inlineStr">
        <is>
          <t>BS1A</t>
        </is>
      </c>
      <c r="Q462" t="n">
        <v>2</v>
      </c>
      <c r="V462" t="n">
        <v>1472834.063</v>
      </c>
      <c r="W462" t="n">
        <v>2</v>
      </c>
      <c r="X462" t="n">
        <v>8.487e-08</v>
      </c>
      <c r="Y462" t="n">
        <v>0.249999</v>
      </c>
      <c r="Z462" t="n">
        <v>68.732393</v>
      </c>
      <c r="AA462" t="inlineStr">
        <is>
          <t>PNP_6T_08-05-2020</t>
        </is>
      </c>
      <c r="AB462" t="inlineStr">
        <is>
          <t>PNCP_9T_12-08-2019</t>
        </is>
      </c>
      <c r="AC462" t="inlineStr">
        <is>
          <t>PNCP_4T_30-04-2013</t>
        </is>
      </c>
      <c r="AD462" t="inlineStr">
        <is>
          <t>Barro Blanco 220</t>
        </is>
      </c>
      <c r="AE462" t="n">
        <v>111.133</v>
      </c>
      <c r="AF462" t="n">
        <v>1.072776031070834</v>
      </c>
      <c r="AG462" t="n">
        <v>119.220818660995</v>
      </c>
      <c r="AH462" t="n">
        <v>694.38</v>
      </c>
      <c r="AI462" t="n">
        <v>0.875</v>
      </c>
      <c r="AJ462" t="n">
        <v>72.43648305409401</v>
      </c>
      <c r="AK462" t="n">
        <v>0.8631</v>
      </c>
      <c r="AL462" t="n">
        <v>62.52</v>
      </c>
      <c r="AM462" t="n">
        <v>8.9176</v>
      </c>
      <c r="AN462" t="n">
        <v>9.566587534677272</v>
      </c>
      <c r="AO462" t="n">
        <v>0.913</v>
      </c>
      <c r="AP462" t="n">
        <v>6064.919358776563</v>
      </c>
      <c r="AQ462" t="n">
        <v>1.004432825642191</v>
      </c>
      <c r="AR462" t="n">
        <v>6091.8041</v>
      </c>
      <c r="AS462" t="n">
        <v>4297.14921036</v>
      </c>
      <c r="AT462" t="inlineStr">
        <is>
          <t>PNP_16T_02-11-2020</t>
        </is>
      </c>
      <c r="AU462" t="inlineStr">
        <is>
          <t>PNCP_2T_10-02-2020</t>
        </is>
      </c>
      <c r="AV462" t="inlineStr">
        <is>
          <t>PNCP_4T_30-04-2013</t>
        </is>
      </c>
      <c r="AW462" t="inlineStr">
        <is>
          <t>Barro Blanco 220</t>
        </is>
      </c>
      <c r="AX462" t="n">
        <v>111.133</v>
      </c>
      <c r="AY462" t="n">
        <v>1.080821157758461</v>
      </c>
      <c r="AZ462" t="n">
        <v>120.1148977251711</v>
      </c>
      <c r="BA462" t="n">
        <v>779.3099999999999</v>
      </c>
      <c r="BB462" t="n">
        <v>0.879</v>
      </c>
      <c r="BC462" t="n">
        <v>82.2803252917125</v>
      </c>
      <c r="BD462" t="n">
        <v>0.846</v>
      </c>
      <c r="BE462" t="n">
        <v>69.60899999999999</v>
      </c>
      <c r="BF462" t="n">
        <v>8.9176</v>
      </c>
      <c r="BG462" t="n">
        <v>0.804</v>
      </c>
      <c r="BH462" t="n">
        <v>6039.043023599974</v>
      </c>
      <c r="BI462" t="n">
        <v>1.011820868379177</v>
      </c>
      <c r="BJ462" t="n">
        <v>6110.4298</v>
      </c>
      <c r="BK462" t="n">
        <v>4784.393144337</v>
      </c>
    </row>
    <row r="463">
      <c r="A463" t="n">
        <v>1939</v>
      </c>
      <c r="B463" t="inlineStr">
        <is>
          <t>01-12-2020</t>
        </is>
      </c>
      <c r="C463" t="n">
        <v>2020</v>
      </c>
      <c r="D463" t="n">
        <v>1</v>
      </c>
      <c r="E463" t="inlineStr">
        <is>
          <t>CAREN</t>
        </is>
      </c>
      <c r="F463" t="inlineStr">
        <is>
          <t>SUM_SAESA_A</t>
        </is>
      </c>
      <c r="G463" t="inlineStr">
        <is>
          <t>A</t>
        </is>
      </c>
      <c r="H463" t="inlineStr">
        <is>
          <t>SAESA</t>
        </is>
      </c>
      <c r="I463" t="inlineStr">
        <is>
          <t>SAESABONBLOQA</t>
        </is>
      </c>
      <c r="J463" t="inlineStr">
        <is>
          <t>ALTO_BONITO</t>
        </is>
      </c>
      <c r="K463" t="n">
        <v>-7972.9988779</v>
      </c>
      <c r="L463" t="inlineStr">
        <is>
          <t>ALTO BONITO</t>
        </is>
      </c>
      <c r="M463" t="inlineStr">
        <is>
          <t>MELIPULLI</t>
        </is>
      </c>
      <c r="N463" t="n">
        <v>0.79697191581102</v>
      </c>
      <c r="O463" t="n">
        <v>6354.25619</v>
      </c>
      <c r="P463" t="inlineStr">
        <is>
          <t>BS1A</t>
        </is>
      </c>
      <c r="Q463" t="n">
        <v>2</v>
      </c>
      <c r="V463" t="n">
        <v>1472834.063</v>
      </c>
      <c r="W463" t="n">
        <v>2</v>
      </c>
      <c r="X463" t="n">
        <v>8.487e-08</v>
      </c>
      <c r="Y463" t="n">
        <v>0.249999</v>
      </c>
      <c r="Z463" t="n">
        <v>1588.557693</v>
      </c>
      <c r="AA463" t="inlineStr">
        <is>
          <t>PNP_6T_08-05-2020</t>
        </is>
      </c>
      <c r="AB463" t="inlineStr">
        <is>
          <t>PNCP_9T_12-08-2019</t>
        </is>
      </c>
      <c r="AC463" t="inlineStr">
        <is>
          <t>PNCP_4T_30-04-2013</t>
        </is>
      </c>
      <c r="AD463" t="inlineStr">
        <is>
          <t>MELIPULLI 220</t>
        </is>
      </c>
      <c r="AE463" t="n">
        <v>111.133</v>
      </c>
      <c r="AF463" t="n">
        <v>1.072776031070834</v>
      </c>
      <c r="AG463" t="n">
        <v>119.220818660995</v>
      </c>
      <c r="AH463" t="n">
        <v>694.38</v>
      </c>
      <c r="AI463" t="n">
        <v>0.875</v>
      </c>
      <c r="AJ463" t="n">
        <v>72.43648305409401</v>
      </c>
      <c r="AK463" t="n">
        <v>0.8826000000000001</v>
      </c>
      <c r="AL463" t="n">
        <v>63.932</v>
      </c>
      <c r="AM463" t="n">
        <v>8.9176</v>
      </c>
      <c r="AN463" t="n">
        <v>9.566587534677272</v>
      </c>
      <c r="AO463" t="n">
        <v>0.913</v>
      </c>
      <c r="AP463" t="n">
        <v>6064.919358776563</v>
      </c>
      <c r="AQ463" t="n">
        <v>1</v>
      </c>
      <c r="AR463" t="n">
        <v>6064.9194</v>
      </c>
      <c r="AS463" t="n">
        <v>101559.670428876</v>
      </c>
      <c r="AT463" t="inlineStr">
        <is>
          <t>PNP_16T_02-11-2020</t>
        </is>
      </c>
      <c r="AU463" t="inlineStr">
        <is>
          <t>PNCP_2T_10-02-2020</t>
        </is>
      </c>
      <c r="AV463" t="inlineStr">
        <is>
          <t>PNCP_4T_30-04-2013</t>
        </is>
      </c>
      <c r="AW463" t="inlineStr">
        <is>
          <t>MELIPULLI 220</t>
        </is>
      </c>
      <c r="AX463" t="n">
        <v>111.133</v>
      </c>
      <c r="AY463" t="n">
        <v>1.080821157758461</v>
      </c>
      <c r="AZ463" t="n">
        <v>120.1148977251711</v>
      </c>
      <c r="BA463" t="n">
        <v>779.3099999999999</v>
      </c>
      <c r="BB463" t="n">
        <v>0.879</v>
      </c>
      <c r="BC463" t="n">
        <v>82.2803252917125</v>
      </c>
      <c r="BD463" t="n">
        <v>0.8421</v>
      </c>
      <c r="BE463" t="n">
        <v>69.288</v>
      </c>
      <c r="BF463" t="n">
        <v>8.9176</v>
      </c>
      <c r="BG463" t="n">
        <v>0.804</v>
      </c>
      <c r="BH463" t="n">
        <v>6039.043023599974</v>
      </c>
      <c r="BI463" t="n">
        <v>1</v>
      </c>
      <c r="BJ463" t="n">
        <v>6039.043</v>
      </c>
      <c r="BK463" t="n">
        <v>110067.985432584</v>
      </c>
    </row>
    <row r="464">
      <c r="A464" t="n">
        <v>1941</v>
      </c>
      <c r="B464" t="inlineStr">
        <is>
          <t>01-12-2020</t>
        </is>
      </c>
      <c r="C464" t="n">
        <v>2020</v>
      </c>
      <c r="D464" t="n">
        <v>1</v>
      </c>
      <c r="E464" t="inlineStr">
        <is>
          <t>CAREN</t>
        </is>
      </c>
      <c r="F464" t="inlineStr">
        <is>
          <t>SUM_SAESA_A</t>
        </is>
      </c>
      <c r="G464" t="inlineStr">
        <is>
          <t>A</t>
        </is>
      </c>
      <c r="H464" t="inlineStr">
        <is>
          <t>SAESA</t>
        </is>
      </c>
      <c r="I464" t="inlineStr">
        <is>
          <t>SAESABONBLOQA</t>
        </is>
      </c>
      <c r="J464" t="inlineStr">
        <is>
          <t>ALTO_BONITO</t>
        </is>
      </c>
      <c r="K464" t="n">
        <v>-7972.9988779</v>
      </c>
      <c r="L464" t="inlineStr">
        <is>
          <t>ALTO BONITO</t>
        </is>
      </c>
      <c r="M464" t="inlineStr">
        <is>
          <t>Puerto Montt</t>
        </is>
      </c>
      <c r="N464" t="n">
        <v>0.94104614890384</v>
      </c>
      <c r="O464" t="n">
        <v>7502.959889</v>
      </c>
      <c r="P464" t="inlineStr">
        <is>
          <t>BS1A</t>
        </is>
      </c>
      <c r="Q464" t="n">
        <v>2</v>
      </c>
      <c r="V464" t="n">
        <v>1472834.063</v>
      </c>
      <c r="W464" t="n">
        <v>2</v>
      </c>
      <c r="X464" t="n">
        <v>8.487e-08</v>
      </c>
      <c r="Y464" t="n">
        <v>0.249999</v>
      </c>
      <c r="Z464" t="n">
        <v>1875.732469</v>
      </c>
      <c r="AA464" t="inlineStr">
        <is>
          <t>PNP_6T_08-05-2020</t>
        </is>
      </c>
      <c r="AB464" t="inlineStr">
        <is>
          <t>PNCP_9T_12-08-2019</t>
        </is>
      </c>
      <c r="AC464" t="inlineStr">
        <is>
          <t>PNCP_4T_30-04-2013</t>
        </is>
      </c>
      <c r="AD464" t="inlineStr">
        <is>
          <t>PUERTO MONTT 220</t>
        </is>
      </c>
      <c r="AE464" t="n">
        <v>111.133</v>
      </c>
      <c r="AF464" t="n">
        <v>1.072776031070834</v>
      </c>
      <c r="AG464" t="n">
        <v>119.220818660995</v>
      </c>
      <c r="AH464" t="n">
        <v>694.38</v>
      </c>
      <c r="AI464" t="n">
        <v>0.875</v>
      </c>
      <c r="AJ464" t="n">
        <v>72.43648305409401</v>
      </c>
      <c r="AK464" t="n">
        <v>0.8826000000000001</v>
      </c>
      <c r="AL464" t="n">
        <v>63.932</v>
      </c>
      <c r="AM464" t="n">
        <v>8.9176</v>
      </c>
      <c r="AN464" t="n">
        <v>9.566587534677272</v>
      </c>
      <c r="AO464" t="n">
        <v>0.913</v>
      </c>
      <c r="AP464" t="n">
        <v>6064.919358776563</v>
      </c>
      <c r="AQ464" t="n">
        <v>1.016858412119831</v>
      </c>
      <c r="AR464" t="n">
        <v>6167.1643</v>
      </c>
      <c r="AS464" t="n">
        <v>119919.328208108</v>
      </c>
      <c r="AT464" t="inlineStr">
        <is>
          <t>PNP_16T_02-11-2020</t>
        </is>
      </c>
      <c r="AU464" t="inlineStr">
        <is>
          <t>PNCP_2T_10-02-2020</t>
        </is>
      </c>
      <c r="AV464" t="inlineStr">
        <is>
          <t>PNCP_4T_30-04-2013</t>
        </is>
      </c>
      <c r="AW464" t="inlineStr">
        <is>
          <t>PUERTO MONTT 220</t>
        </is>
      </c>
      <c r="AX464" t="n">
        <v>111.133</v>
      </c>
      <c r="AY464" t="n">
        <v>1.080821157758461</v>
      </c>
      <c r="AZ464" t="n">
        <v>120.1148977251711</v>
      </c>
      <c r="BA464" t="n">
        <v>779.3099999999999</v>
      </c>
      <c r="BB464" t="n">
        <v>0.879</v>
      </c>
      <c r="BC464" t="n">
        <v>82.2803252917125</v>
      </c>
      <c r="BD464" t="n">
        <v>0.8421</v>
      </c>
      <c r="BE464" t="n">
        <v>69.288</v>
      </c>
      <c r="BF464" t="n">
        <v>8.9176</v>
      </c>
      <c r="BG464" t="n">
        <v>0.804</v>
      </c>
      <c r="BH464" t="n">
        <v>6039.043023599974</v>
      </c>
      <c r="BI464" t="n">
        <v>1.02699624102973</v>
      </c>
      <c r="BJ464" t="n">
        <v>6202.0745</v>
      </c>
      <c r="BK464" t="n">
        <v>129965.751312072</v>
      </c>
    </row>
    <row r="465">
      <c r="A465" t="n">
        <v>1943</v>
      </c>
      <c r="B465" t="inlineStr">
        <is>
          <t>01-12-2020</t>
        </is>
      </c>
      <c r="C465" t="n">
        <v>2020</v>
      </c>
      <c r="D465" t="n">
        <v>1</v>
      </c>
      <c r="E465" t="inlineStr">
        <is>
          <t>CAREN</t>
        </is>
      </c>
      <c r="F465" t="inlineStr">
        <is>
          <t>SUM_SAESA_A</t>
        </is>
      </c>
      <c r="G465" t="inlineStr">
        <is>
          <t>A</t>
        </is>
      </c>
      <c r="H465" t="inlineStr">
        <is>
          <t>SAESA</t>
        </is>
      </c>
      <c r="I465" t="inlineStr">
        <is>
          <t>SAESABONBLOQA</t>
        </is>
      </c>
      <c r="J465" t="inlineStr">
        <is>
          <t>ALTO_BONITO</t>
        </is>
      </c>
      <c r="K465" t="n">
        <v>-7972.9988779</v>
      </c>
      <c r="L465" t="inlineStr">
        <is>
          <t>ALTO BONITO</t>
        </is>
      </c>
      <c r="M465" t="inlineStr">
        <is>
          <t>VALDIVIA</t>
        </is>
      </c>
      <c r="N465" t="n">
        <v>5.983619997e-05</v>
      </c>
      <c r="O465" t="n">
        <v>0.477074</v>
      </c>
      <c r="P465" t="inlineStr">
        <is>
          <t>BS1A</t>
        </is>
      </c>
      <c r="Q465" t="n">
        <v>2</v>
      </c>
      <c r="V465" t="n">
        <v>1472834.063</v>
      </c>
      <c r="W465" t="n">
        <v>2</v>
      </c>
      <c r="X465" t="n">
        <v>8.487e-08</v>
      </c>
      <c r="Y465" t="n">
        <v>0.249999</v>
      </c>
      <c r="Z465" t="n">
        <v>0.119268</v>
      </c>
      <c r="AA465" t="inlineStr">
        <is>
          <t>PNP_6T_08-05-2020</t>
        </is>
      </c>
      <c r="AB465" t="inlineStr">
        <is>
          <t>PNCP_9T_12-08-2019</t>
        </is>
      </c>
      <c r="AC465" t="inlineStr">
        <is>
          <t>PNCP_4T_30-04-2013</t>
        </is>
      </c>
      <c r="AD465" t="inlineStr">
        <is>
          <t>VALDIVIA 220</t>
        </is>
      </c>
      <c r="AE465" t="n">
        <v>111.133</v>
      </c>
      <c r="AF465" t="n">
        <v>1.072776031070834</v>
      </c>
      <c r="AG465" t="n">
        <v>119.220818660995</v>
      </c>
      <c r="AH465" t="n">
        <v>694.38</v>
      </c>
      <c r="AI465" t="n">
        <v>0.875</v>
      </c>
      <c r="AJ465" t="n">
        <v>72.43648305409401</v>
      </c>
      <c r="AK465" t="n">
        <v>0.913</v>
      </c>
      <c r="AL465" t="n">
        <v>66.13500000000001</v>
      </c>
      <c r="AM465" t="n">
        <v>8.9176</v>
      </c>
      <c r="AN465" t="n">
        <v>9.566587534677272</v>
      </c>
      <c r="AO465" t="n">
        <v>0.913</v>
      </c>
      <c r="AP465" t="n">
        <v>6064.919358776563</v>
      </c>
      <c r="AQ465" t="n">
        <v>1.051287819142954</v>
      </c>
      <c r="AR465" t="n">
        <v>6375.9758</v>
      </c>
      <c r="AS465" t="n">
        <v>7.88778918</v>
      </c>
      <c r="AT465" t="inlineStr">
        <is>
          <t>PNP_16T_02-11-2020</t>
        </is>
      </c>
      <c r="AU465" t="inlineStr">
        <is>
          <t>PNCP_2T_10-02-2020</t>
        </is>
      </c>
      <c r="AV465" t="inlineStr">
        <is>
          <t>PNCP_4T_30-04-2013</t>
        </is>
      </c>
      <c r="AW465" t="inlineStr">
        <is>
          <t>VALDIVIA 220</t>
        </is>
      </c>
      <c r="AX465" t="n">
        <v>111.133</v>
      </c>
      <c r="AY465" t="n">
        <v>1.080821157758461</v>
      </c>
      <c r="AZ465" t="n">
        <v>120.1148977251711</v>
      </c>
      <c r="BA465" t="n">
        <v>779.3099999999999</v>
      </c>
      <c r="BB465" t="n">
        <v>0.879</v>
      </c>
      <c r="BC465" t="n">
        <v>82.2803252917125</v>
      </c>
      <c r="BD465" t="n">
        <v>0.9167</v>
      </c>
      <c r="BE465" t="n">
        <v>75.426</v>
      </c>
      <c r="BF465" t="n">
        <v>8.9176</v>
      </c>
      <c r="BG465" t="n">
        <v>0.804</v>
      </c>
      <c r="BH465" t="n">
        <v>6039.043023599974</v>
      </c>
      <c r="BI465" t="n">
        <v>1.096052187605444</v>
      </c>
      <c r="BJ465" t="n">
        <v>6619.1063</v>
      </c>
      <c r="BK465" t="n">
        <v>8.995908168</v>
      </c>
    </row>
    <row r="466">
      <c r="A466" t="n">
        <v>1293</v>
      </c>
      <c r="B466" t="inlineStr">
        <is>
          <t>01-12-2020</t>
        </is>
      </c>
      <c r="C466" t="n">
        <v>2020</v>
      </c>
      <c r="D466" t="n">
        <v>1</v>
      </c>
      <c r="E466" t="inlineStr">
        <is>
          <t>CAREN</t>
        </is>
      </c>
      <c r="F466" t="inlineStr">
        <is>
          <t>SUM_SAESA_A</t>
        </is>
      </c>
      <c r="G466" t="inlineStr">
        <is>
          <t>A</t>
        </is>
      </c>
      <c r="H466" t="inlineStr">
        <is>
          <t>SAESA</t>
        </is>
      </c>
      <c r="I466" t="inlineStr">
        <is>
          <t>SAESANCUBLOQA</t>
        </is>
      </c>
      <c r="J466" t="inlineStr">
        <is>
          <t>ANCUD</t>
        </is>
      </c>
      <c r="K466" t="n">
        <v>-6580.32413064</v>
      </c>
      <c r="L466" t="inlineStr">
        <is>
          <t>ANCUD</t>
        </is>
      </c>
      <c r="M466" t="inlineStr">
        <is>
          <t>CHILOE</t>
        </is>
      </c>
      <c r="N466" t="n">
        <v>0.79707666555769</v>
      </c>
      <c r="O466" t="n">
        <v>5245.022816</v>
      </c>
      <c r="P466" t="inlineStr">
        <is>
          <t>BS1A</t>
        </is>
      </c>
      <c r="Q466" t="n">
        <v>2</v>
      </c>
      <c r="V466" t="n">
        <v>1472834.063</v>
      </c>
      <c r="W466" t="n">
        <v>2</v>
      </c>
      <c r="X466" t="n">
        <v>8.487e-08</v>
      </c>
      <c r="Y466" t="n">
        <v>0.249999</v>
      </c>
      <c r="Z466" t="n">
        <v>1311.250459</v>
      </c>
      <c r="AA466" t="inlineStr">
        <is>
          <t>PNP_6T_08-05-2020</t>
        </is>
      </c>
      <c r="AB466" t="inlineStr">
        <is>
          <t>PNCP_9T_12-08-2019</t>
        </is>
      </c>
      <c r="AC466" t="inlineStr">
        <is>
          <t>PNCP_4T_30-04-2013</t>
        </is>
      </c>
      <c r="AD466" t="inlineStr">
        <is>
          <t>CHILOE 220</t>
        </is>
      </c>
      <c r="AE466" t="n">
        <v>111.133</v>
      </c>
      <c r="AF466" t="n">
        <v>1.072776031070834</v>
      </c>
      <c r="AG466" t="n">
        <v>119.220818660995</v>
      </c>
      <c r="AH466" t="n">
        <v>694.38</v>
      </c>
      <c r="AI466" t="n">
        <v>0.875</v>
      </c>
      <c r="AJ466" t="n">
        <v>72.43648305409401</v>
      </c>
      <c r="AK466" t="n">
        <v>0.8903</v>
      </c>
      <c r="AL466" t="n">
        <v>64.48999999999999</v>
      </c>
      <c r="AM466" t="n">
        <v>8.9176</v>
      </c>
      <c r="AN466" t="n">
        <v>9.566587534677272</v>
      </c>
      <c r="AO466" t="n">
        <v>0.913</v>
      </c>
      <c r="AP466" t="n">
        <v>6064.919358776563</v>
      </c>
      <c r="AQ466" t="n">
        <v>1</v>
      </c>
      <c r="AR466" t="n">
        <v>6064.9194</v>
      </c>
      <c r="AS466" t="n">
        <v>84562.54210091</v>
      </c>
      <c r="AT466" t="inlineStr">
        <is>
          <t>PNP_16T_02-11-2020</t>
        </is>
      </c>
      <c r="AU466" t="inlineStr">
        <is>
          <t>PNCP_2T_10-02-2020</t>
        </is>
      </c>
      <c r="AV466" t="inlineStr">
        <is>
          <t>PNCP_4T_30-04-2013</t>
        </is>
      </c>
      <c r="AW466" t="inlineStr">
        <is>
          <t>CHILOE 220</t>
        </is>
      </c>
      <c r="AX466" t="n">
        <v>111.133</v>
      </c>
      <c r="AY466" t="n">
        <v>1.080821157758461</v>
      </c>
      <c r="AZ466" t="n">
        <v>120.1148977251711</v>
      </c>
      <c r="BA466" t="n">
        <v>779.3099999999999</v>
      </c>
      <c r="BB466" t="n">
        <v>0.879</v>
      </c>
      <c r="BC466" t="n">
        <v>82.2803252917125</v>
      </c>
      <c r="BD466" t="n">
        <v>0.8486</v>
      </c>
      <c r="BE466" t="n">
        <v>69.82299999999999</v>
      </c>
      <c r="BF466" t="n">
        <v>8.9176</v>
      </c>
      <c r="BG466" t="n">
        <v>0.804</v>
      </c>
      <c r="BH466" t="n">
        <v>6039.043023599974</v>
      </c>
      <c r="BI466" t="n">
        <v>1</v>
      </c>
      <c r="BJ466" t="n">
        <v>6039.043</v>
      </c>
      <c r="BK466" t="n">
        <v>91555.440798757</v>
      </c>
    </row>
    <row r="467">
      <c r="A467" t="n">
        <v>1295</v>
      </c>
      <c r="B467" t="inlineStr">
        <is>
          <t>01-12-2020</t>
        </is>
      </c>
      <c r="C467" t="n">
        <v>2020</v>
      </c>
      <c r="D467" t="n">
        <v>1</v>
      </c>
      <c r="E467" t="inlineStr">
        <is>
          <t>CAREN</t>
        </is>
      </c>
      <c r="F467" t="inlineStr">
        <is>
          <t>SUM_SAESA_A</t>
        </is>
      </c>
      <c r="G467" t="inlineStr">
        <is>
          <t>A</t>
        </is>
      </c>
      <c r="H467" t="inlineStr">
        <is>
          <t>SAESA</t>
        </is>
      </c>
      <c r="I467" t="inlineStr">
        <is>
          <t>SAESANCUBLOQA</t>
        </is>
      </c>
      <c r="J467" t="inlineStr">
        <is>
          <t>ANCUD</t>
        </is>
      </c>
      <c r="K467" t="n">
        <v>-6580.32413064</v>
      </c>
      <c r="L467" t="inlineStr">
        <is>
          <t>ANCUD</t>
        </is>
      </c>
      <c r="M467" t="inlineStr">
        <is>
          <t>Puerto Montt</t>
        </is>
      </c>
      <c r="N467" t="n">
        <v>0.9410461489039</v>
      </c>
      <c r="O467" t="n">
        <v>6192.388682</v>
      </c>
      <c r="P467" t="inlineStr">
        <is>
          <t>BS1A</t>
        </is>
      </c>
      <c r="Q467" t="n">
        <v>2</v>
      </c>
      <c r="V467" t="n">
        <v>1472834.063</v>
      </c>
      <c r="W467" t="n">
        <v>2</v>
      </c>
      <c r="X467" t="n">
        <v>8.487e-08</v>
      </c>
      <c r="Y467" t="n">
        <v>0.249999</v>
      </c>
      <c r="Z467" t="n">
        <v>1548.090978</v>
      </c>
      <c r="AA467" t="inlineStr">
        <is>
          <t>PNP_6T_08-05-2020</t>
        </is>
      </c>
      <c r="AB467" t="inlineStr">
        <is>
          <t>PNCP_9T_12-08-2019</t>
        </is>
      </c>
      <c r="AC467" t="inlineStr">
        <is>
          <t>PNCP_4T_30-04-2013</t>
        </is>
      </c>
      <c r="AD467" t="inlineStr">
        <is>
          <t>PUERTO MONTT 220</t>
        </is>
      </c>
      <c r="AE467" t="n">
        <v>111.133</v>
      </c>
      <c r="AF467" t="n">
        <v>1.072776031070834</v>
      </c>
      <c r="AG467" t="n">
        <v>119.220818660995</v>
      </c>
      <c r="AH467" t="n">
        <v>694.38</v>
      </c>
      <c r="AI467" t="n">
        <v>0.875</v>
      </c>
      <c r="AJ467" t="n">
        <v>72.43648305409401</v>
      </c>
      <c r="AK467" t="n">
        <v>0.8826000000000001</v>
      </c>
      <c r="AL467" t="n">
        <v>63.932</v>
      </c>
      <c r="AM467" t="n">
        <v>8.9176</v>
      </c>
      <c r="AN467" t="n">
        <v>9.566587534677272</v>
      </c>
      <c r="AO467" t="n">
        <v>0.913</v>
      </c>
      <c r="AP467" t="n">
        <v>6064.919358776563</v>
      </c>
      <c r="AQ467" t="n">
        <v>1.016858412119831</v>
      </c>
      <c r="AR467" t="n">
        <v>6167.1643</v>
      </c>
      <c r="AS467" t="n">
        <v>98972.552405496</v>
      </c>
      <c r="AT467" t="inlineStr">
        <is>
          <t>PNP_16T_02-11-2020</t>
        </is>
      </c>
      <c r="AU467" t="inlineStr">
        <is>
          <t>PNCP_2T_10-02-2020</t>
        </is>
      </c>
      <c r="AV467" t="inlineStr">
        <is>
          <t>PNCP_4T_30-04-2013</t>
        </is>
      </c>
      <c r="AW467" t="inlineStr">
        <is>
          <t>PUERTO MONTT 220</t>
        </is>
      </c>
      <c r="AX467" t="n">
        <v>111.133</v>
      </c>
      <c r="AY467" t="n">
        <v>1.080821157758461</v>
      </c>
      <c r="AZ467" t="n">
        <v>120.1148977251711</v>
      </c>
      <c r="BA467" t="n">
        <v>779.3099999999999</v>
      </c>
      <c r="BB467" t="n">
        <v>0.879</v>
      </c>
      <c r="BC467" t="n">
        <v>82.2803252917125</v>
      </c>
      <c r="BD467" t="n">
        <v>0.8421</v>
      </c>
      <c r="BE467" t="n">
        <v>69.288</v>
      </c>
      <c r="BF467" t="n">
        <v>8.9176</v>
      </c>
      <c r="BG467" t="n">
        <v>0.804</v>
      </c>
      <c r="BH467" t="n">
        <v>6039.043023599974</v>
      </c>
      <c r="BI467" t="n">
        <v>1.02699624102973</v>
      </c>
      <c r="BJ467" t="n">
        <v>6202.0745</v>
      </c>
      <c r="BK467" t="n">
        <v>107264.127683664</v>
      </c>
    </row>
    <row r="468">
      <c r="A468" t="n">
        <v>367</v>
      </c>
      <c r="B468" t="inlineStr">
        <is>
          <t>01-12-2020</t>
        </is>
      </c>
      <c r="C468" t="n">
        <v>2020</v>
      </c>
      <c r="D468" t="n">
        <v>1</v>
      </c>
      <c r="E468" t="inlineStr">
        <is>
          <t>CAREN</t>
        </is>
      </c>
      <c r="F468" t="inlineStr">
        <is>
          <t>SUM_SAESA_A</t>
        </is>
      </c>
      <c r="G468" t="inlineStr">
        <is>
          <t>A</t>
        </is>
      </c>
      <c r="H468" t="inlineStr">
        <is>
          <t>SAESA</t>
        </is>
      </c>
      <c r="I468" t="inlineStr">
        <is>
          <t>SAESARMBLOQA</t>
        </is>
      </c>
      <c r="J468" t="inlineStr">
        <is>
          <t>ARMAZONES</t>
        </is>
      </c>
      <c r="K468" t="n">
        <v>-1596.02366695</v>
      </c>
      <c r="L468" t="inlineStr">
        <is>
          <t>ARMAZONES</t>
        </is>
      </c>
      <c r="M468" t="inlineStr">
        <is>
          <t>DIEGO DE ALMAGRO</t>
        </is>
      </c>
      <c r="N468" t="n">
        <v>0.81055053060743</v>
      </c>
      <c r="O468" t="n">
        <v>1293.65783</v>
      </c>
      <c r="P468" t="inlineStr">
        <is>
          <t>BS1A</t>
        </is>
      </c>
      <c r="Q468" t="n">
        <v>2</v>
      </c>
      <c r="V468" t="n">
        <v>1472834.063</v>
      </c>
      <c r="W468" t="n">
        <v>2</v>
      </c>
      <c r="X468" t="n">
        <v>8.487e-08</v>
      </c>
      <c r="Y468" t="n">
        <v>0.249999</v>
      </c>
      <c r="Z468" t="n">
        <v>323.413164</v>
      </c>
      <c r="AA468" t="inlineStr">
        <is>
          <t>PNP_6T_08-05-2020</t>
        </is>
      </c>
      <c r="AB468" t="inlineStr">
        <is>
          <t>PNCP_9T_12-08-2019</t>
        </is>
      </c>
      <c r="AC468" t="inlineStr">
        <is>
          <t>PNCP_4T_30-04-2013</t>
        </is>
      </c>
      <c r="AD468" t="inlineStr">
        <is>
          <t>DIEGO DE ALMAGRO 220</t>
        </is>
      </c>
      <c r="AE468" t="n">
        <v>111.133</v>
      </c>
      <c r="AF468" t="n">
        <v>1.072776031070834</v>
      </c>
      <c r="AG468" t="n">
        <v>119.220818660995</v>
      </c>
      <c r="AH468" t="n">
        <v>694.38</v>
      </c>
      <c r="AI468" t="n">
        <v>0.875</v>
      </c>
      <c r="AJ468" t="n">
        <v>72.43648305409401</v>
      </c>
      <c r="AK468" t="n">
        <v>0.981</v>
      </c>
      <c r="AL468" t="n">
        <v>71.06</v>
      </c>
      <c r="AM468" t="n">
        <v>8.9176</v>
      </c>
      <c r="AN468" t="n">
        <v>9.566587534677272</v>
      </c>
      <c r="AO468" t="n">
        <v>0.913</v>
      </c>
      <c r="AP468" t="n">
        <v>6064.919358776563</v>
      </c>
      <c r="AQ468" t="n">
        <v>1.00689729496713</v>
      </c>
      <c r="AR468" t="n">
        <v>6106.7509</v>
      </c>
      <c r="AS468" t="n">
        <v>22981.73943384</v>
      </c>
      <c r="AT468" t="inlineStr">
        <is>
          <t>PNP_16T_02-11-2020</t>
        </is>
      </c>
      <c r="AU468" t="inlineStr">
        <is>
          <t>PNCP_2T_10-02-2020</t>
        </is>
      </c>
      <c r="AV468" t="inlineStr">
        <is>
          <t>PNCP_4T_30-04-2013</t>
        </is>
      </c>
      <c r="AW468" t="inlineStr">
        <is>
          <t>DIEGO DE ALMAGRO 220</t>
        </is>
      </c>
      <c r="AX468" t="n">
        <v>111.133</v>
      </c>
      <c r="AY468" t="n">
        <v>1.080821157758461</v>
      </c>
      <c r="AZ468" t="n">
        <v>120.1148977251711</v>
      </c>
      <c r="BA468" t="n">
        <v>779.3099999999999</v>
      </c>
      <c r="BB468" t="n">
        <v>0.879</v>
      </c>
      <c r="BC468" t="n">
        <v>82.2803252917125</v>
      </c>
      <c r="BD468" t="n">
        <v>0.9133</v>
      </c>
      <c r="BE468" t="n">
        <v>75.14700000000001</v>
      </c>
      <c r="BF468" t="n">
        <v>8.9176</v>
      </c>
      <c r="BG468" t="n">
        <v>0.804</v>
      </c>
      <c r="BH468" t="n">
        <v>6039.043023599974</v>
      </c>
      <c r="BI468" t="n">
        <v>0.9584006897294968</v>
      </c>
      <c r="BJ468" t="n">
        <v>5787.823</v>
      </c>
      <c r="BK468" t="n">
        <v>24303.529035108</v>
      </c>
    </row>
    <row r="469">
      <c r="A469" t="n">
        <v>3913</v>
      </c>
      <c r="B469" t="inlineStr">
        <is>
          <t>01-12-2020</t>
        </is>
      </c>
      <c r="C469" t="n">
        <v>2020</v>
      </c>
      <c r="D469" t="n">
        <v>1</v>
      </c>
      <c r="E469" t="inlineStr">
        <is>
          <t>CAREN</t>
        </is>
      </c>
      <c r="F469" t="inlineStr">
        <is>
          <t>SUM_SAESA_A</t>
        </is>
      </c>
      <c r="G469" t="inlineStr">
        <is>
          <t>A</t>
        </is>
      </c>
      <c r="H469" t="inlineStr">
        <is>
          <t>SAESA</t>
        </is>
      </c>
      <c r="I469" t="inlineStr">
        <is>
          <t>SAESBBLABLOQA</t>
        </is>
      </c>
      <c r="J469" t="inlineStr">
        <is>
          <t>B.BLANCO</t>
        </is>
      </c>
      <c r="K469" t="n">
        <v>-4736.64053606</v>
      </c>
      <c r="L469" t="inlineStr">
        <is>
          <t>BARRO BLANCO</t>
        </is>
      </c>
      <c r="M469" t="inlineStr">
        <is>
          <t>BARRO BLANCO</t>
        </is>
      </c>
      <c r="N469" t="n">
        <v>0.68542358589689</v>
      </c>
      <c r="O469" t="n">
        <v>3246.605141</v>
      </c>
      <c r="P469" t="inlineStr">
        <is>
          <t>BS1A</t>
        </is>
      </c>
      <c r="Q469" t="n">
        <v>2</v>
      </c>
      <c r="V469" t="n">
        <v>1472834.063</v>
      </c>
      <c r="W469" t="n">
        <v>2</v>
      </c>
      <c r="X469" t="n">
        <v>8.487e-08</v>
      </c>
      <c r="Y469" t="n">
        <v>0.249999</v>
      </c>
      <c r="Z469" t="n">
        <v>811.648039</v>
      </c>
      <c r="AA469" t="inlineStr">
        <is>
          <t>PNP_6T_08-05-2020</t>
        </is>
      </c>
      <c r="AB469" t="inlineStr">
        <is>
          <t>PNCP_9T_12-08-2019</t>
        </is>
      </c>
      <c r="AC469" t="inlineStr">
        <is>
          <t>PNCP_4T_30-04-2013</t>
        </is>
      </c>
      <c r="AD469" t="inlineStr">
        <is>
          <t>Barro Blanco 220</t>
        </is>
      </c>
      <c r="AE469" t="n">
        <v>111.133</v>
      </c>
      <c r="AF469" t="n">
        <v>1.072776031070834</v>
      </c>
      <c r="AG469" t="n">
        <v>119.220818660995</v>
      </c>
      <c r="AH469" t="n">
        <v>694.38</v>
      </c>
      <c r="AI469" t="n">
        <v>0.875</v>
      </c>
      <c r="AJ469" t="n">
        <v>72.43648305409401</v>
      </c>
      <c r="AK469" t="n">
        <v>0.8631</v>
      </c>
      <c r="AL469" t="n">
        <v>62.52</v>
      </c>
      <c r="AM469" t="n">
        <v>8.9176</v>
      </c>
      <c r="AN469" t="n">
        <v>9.566587534677272</v>
      </c>
      <c r="AO469" t="n">
        <v>0.913</v>
      </c>
      <c r="AP469" t="n">
        <v>6064.919358776563</v>
      </c>
      <c r="AQ469" t="n">
        <v>1.004432825642191</v>
      </c>
      <c r="AR469" t="n">
        <v>6091.8041</v>
      </c>
      <c r="AS469" t="n">
        <v>50744.23539828001</v>
      </c>
      <c r="AT469" t="inlineStr">
        <is>
          <t>PNP_16T_02-11-2020</t>
        </is>
      </c>
      <c r="AU469" t="inlineStr">
        <is>
          <t>PNCP_2T_10-02-2020</t>
        </is>
      </c>
      <c r="AV469" t="inlineStr">
        <is>
          <t>PNCP_4T_30-04-2013</t>
        </is>
      </c>
      <c r="AW469" t="inlineStr">
        <is>
          <t>Barro Blanco 220</t>
        </is>
      </c>
      <c r="AX469" t="n">
        <v>111.133</v>
      </c>
      <c r="AY469" t="n">
        <v>1.080821157758461</v>
      </c>
      <c r="AZ469" t="n">
        <v>120.1148977251711</v>
      </c>
      <c r="BA469" t="n">
        <v>779.3099999999999</v>
      </c>
      <c r="BB469" t="n">
        <v>0.879</v>
      </c>
      <c r="BC469" t="n">
        <v>82.2803252917125</v>
      </c>
      <c r="BD469" t="n">
        <v>0.846</v>
      </c>
      <c r="BE469" t="n">
        <v>69.60899999999999</v>
      </c>
      <c r="BF469" t="n">
        <v>8.9176</v>
      </c>
      <c r="BG469" t="n">
        <v>0.804</v>
      </c>
      <c r="BH469" t="n">
        <v>6039.043023599974</v>
      </c>
      <c r="BI469" t="n">
        <v>1.011820868379177</v>
      </c>
      <c r="BJ469" t="n">
        <v>6110.4298</v>
      </c>
      <c r="BK469" t="n">
        <v>56498.008346751</v>
      </c>
    </row>
    <row r="470">
      <c r="A470" t="n">
        <v>3915</v>
      </c>
      <c r="B470" t="inlineStr">
        <is>
          <t>01-12-2020</t>
        </is>
      </c>
      <c r="C470" t="n">
        <v>2020</v>
      </c>
      <c r="D470" t="n">
        <v>1</v>
      </c>
      <c r="E470" t="inlineStr">
        <is>
          <t>CAREN</t>
        </is>
      </c>
      <c r="F470" t="inlineStr">
        <is>
          <t>SUM_SAESA_A</t>
        </is>
      </c>
      <c r="G470" t="inlineStr">
        <is>
          <t>A</t>
        </is>
      </c>
      <c r="H470" t="inlineStr">
        <is>
          <t>SAESA</t>
        </is>
      </c>
      <c r="I470" t="inlineStr">
        <is>
          <t>SAESBBLABLOQA</t>
        </is>
      </c>
      <c r="J470" t="inlineStr">
        <is>
          <t>B.BLANCO</t>
        </is>
      </c>
      <c r="K470" t="n">
        <v>-4736.64053606</v>
      </c>
      <c r="L470" t="inlineStr">
        <is>
          <t>BARRO BLANCO</t>
        </is>
      </c>
      <c r="M470" t="inlineStr">
        <is>
          <t>MELIPULLI</t>
        </is>
      </c>
      <c r="N470" t="n">
        <v>0.0564855654883</v>
      </c>
      <c r="O470" t="n">
        <v>267.551819</v>
      </c>
      <c r="P470" t="inlineStr">
        <is>
          <t>BS1A</t>
        </is>
      </c>
      <c r="Q470" t="n">
        <v>2</v>
      </c>
      <c r="V470" t="n">
        <v>1472834.063</v>
      </c>
      <c r="W470" t="n">
        <v>2</v>
      </c>
      <c r="X470" t="n">
        <v>8.487e-08</v>
      </c>
      <c r="Y470" t="n">
        <v>0.249999</v>
      </c>
      <c r="Z470" t="n">
        <v>66.887687</v>
      </c>
      <c r="AA470" t="inlineStr">
        <is>
          <t>PNP_6T_08-05-2020</t>
        </is>
      </c>
      <c r="AB470" t="inlineStr">
        <is>
          <t>PNCP_9T_12-08-2019</t>
        </is>
      </c>
      <c r="AC470" t="inlineStr">
        <is>
          <t>PNCP_4T_30-04-2013</t>
        </is>
      </c>
      <c r="AD470" t="inlineStr">
        <is>
          <t>MELIPULLI 220</t>
        </is>
      </c>
      <c r="AE470" t="n">
        <v>111.133</v>
      </c>
      <c r="AF470" t="n">
        <v>1.072776031070834</v>
      </c>
      <c r="AG470" t="n">
        <v>119.220818660995</v>
      </c>
      <c r="AH470" t="n">
        <v>694.38</v>
      </c>
      <c r="AI470" t="n">
        <v>0.875</v>
      </c>
      <c r="AJ470" t="n">
        <v>72.43648305409401</v>
      </c>
      <c r="AK470" t="n">
        <v>0.8826000000000001</v>
      </c>
      <c r="AL470" t="n">
        <v>63.932</v>
      </c>
      <c r="AM470" t="n">
        <v>8.9176</v>
      </c>
      <c r="AN470" t="n">
        <v>9.566587534677272</v>
      </c>
      <c r="AO470" t="n">
        <v>0.913</v>
      </c>
      <c r="AP470" t="n">
        <v>6064.919358776563</v>
      </c>
      <c r="AQ470" t="n">
        <v>1</v>
      </c>
      <c r="AR470" t="n">
        <v>6064.9194</v>
      </c>
      <c r="AS470" t="n">
        <v>4276.263605284</v>
      </c>
      <c r="AT470" t="inlineStr">
        <is>
          <t>PNP_16T_02-11-2020</t>
        </is>
      </c>
      <c r="AU470" t="inlineStr">
        <is>
          <t>PNCP_2T_10-02-2020</t>
        </is>
      </c>
      <c r="AV470" t="inlineStr">
        <is>
          <t>PNCP_4T_30-04-2013</t>
        </is>
      </c>
      <c r="AW470" t="inlineStr">
        <is>
          <t>MELIPULLI 220</t>
        </is>
      </c>
      <c r="AX470" t="n">
        <v>111.133</v>
      </c>
      <c r="AY470" t="n">
        <v>1.080821157758461</v>
      </c>
      <c r="AZ470" t="n">
        <v>120.1148977251711</v>
      </c>
      <c r="BA470" t="n">
        <v>779.3099999999999</v>
      </c>
      <c r="BB470" t="n">
        <v>0.879</v>
      </c>
      <c r="BC470" t="n">
        <v>82.2803252917125</v>
      </c>
      <c r="BD470" t="n">
        <v>0.8421</v>
      </c>
      <c r="BE470" t="n">
        <v>69.288</v>
      </c>
      <c r="BF470" t="n">
        <v>8.9176</v>
      </c>
      <c r="BG470" t="n">
        <v>0.804</v>
      </c>
      <c r="BH470" t="n">
        <v>6039.043023599974</v>
      </c>
      <c r="BI470" t="n">
        <v>1</v>
      </c>
      <c r="BJ470" t="n">
        <v>6039.043</v>
      </c>
      <c r="BK470" t="n">
        <v>4634.514056856</v>
      </c>
    </row>
    <row r="471">
      <c r="A471" t="n">
        <v>3917</v>
      </c>
      <c r="B471" t="inlineStr">
        <is>
          <t>01-12-2020</t>
        </is>
      </c>
      <c r="C471" t="n">
        <v>2020</v>
      </c>
      <c r="D471" t="n">
        <v>1</v>
      </c>
      <c r="E471" t="inlineStr">
        <is>
          <t>CAREN</t>
        </is>
      </c>
      <c r="F471" t="inlineStr">
        <is>
          <t>SUM_SAESA_A</t>
        </is>
      </c>
      <c r="G471" t="inlineStr">
        <is>
          <t>A</t>
        </is>
      </c>
      <c r="H471" t="inlineStr">
        <is>
          <t>SAESA</t>
        </is>
      </c>
      <c r="I471" t="inlineStr">
        <is>
          <t>SAESBBLABLOQA</t>
        </is>
      </c>
      <c r="J471" t="inlineStr">
        <is>
          <t>B.BLANCO</t>
        </is>
      </c>
      <c r="K471" t="n">
        <v>-4736.64053606</v>
      </c>
      <c r="L471" t="inlineStr">
        <is>
          <t>BARRO BLANCO</t>
        </is>
      </c>
      <c r="M471" t="inlineStr">
        <is>
          <t>VALDIVIA</t>
        </is>
      </c>
      <c r="N471" t="n">
        <v>0.21815833770618</v>
      </c>
      <c r="O471" t="n">
        <v>1033.337626</v>
      </c>
      <c r="P471" t="inlineStr">
        <is>
          <t>BS1A</t>
        </is>
      </c>
      <c r="Q471" t="n">
        <v>2</v>
      </c>
      <c r="V471" t="n">
        <v>1472834.063</v>
      </c>
      <c r="W471" t="n">
        <v>2</v>
      </c>
      <c r="X471" t="n">
        <v>8.487e-08</v>
      </c>
      <c r="Y471" t="n">
        <v>0.249999</v>
      </c>
      <c r="Z471" t="n">
        <v>258.333373</v>
      </c>
      <c r="AA471" t="inlineStr">
        <is>
          <t>PNP_6T_08-05-2020</t>
        </is>
      </c>
      <c r="AB471" t="inlineStr">
        <is>
          <t>PNCP_9T_12-08-2019</t>
        </is>
      </c>
      <c r="AC471" t="inlineStr">
        <is>
          <t>PNCP_4T_30-04-2013</t>
        </is>
      </c>
      <c r="AD471" t="inlineStr">
        <is>
          <t>VALDIVIA 220</t>
        </is>
      </c>
      <c r="AE471" t="n">
        <v>111.133</v>
      </c>
      <c r="AF471" t="n">
        <v>1.072776031070834</v>
      </c>
      <c r="AG471" t="n">
        <v>119.220818660995</v>
      </c>
      <c r="AH471" t="n">
        <v>694.38</v>
      </c>
      <c r="AI471" t="n">
        <v>0.875</v>
      </c>
      <c r="AJ471" t="n">
        <v>72.43648305409401</v>
      </c>
      <c r="AK471" t="n">
        <v>0.913</v>
      </c>
      <c r="AL471" t="n">
        <v>66.13500000000001</v>
      </c>
      <c r="AM471" t="n">
        <v>8.9176</v>
      </c>
      <c r="AN471" t="n">
        <v>9.566587534677272</v>
      </c>
      <c r="AO471" t="n">
        <v>0.913</v>
      </c>
      <c r="AP471" t="n">
        <v>6064.919358776563</v>
      </c>
      <c r="AQ471" t="n">
        <v>1.051287819142954</v>
      </c>
      <c r="AR471" t="n">
        <v>6375.9758</v>
      </c>
      <c r="AS471" t="n">
        <v>17084.877623355</v>
      </c>
      <c r="AT471" t="inlineStr">
        <is>
          <t>PNP_16T_02-11-2020</t>
        </is>
      </c>
      <c r="AU471" t="inlineStr">
        <is>
          <t>PNCP_2T_10-02-2020</t>
        </is>
      </c>
      <c r="AV471" t="inlineStr">
        <is>
          <t>PNCP_4T_30-04-2013</t>
        </is>
      </c>
      <c r="AW471" t="inlineStr">
        <is>
          <t>VALDIVIA 220</t>
        </is>
      </c>
      <c r="AX471" t="n">
        <v>111.133</v>
      </c>
      <c r="AY471" t="n">
        <v>1.080821157758461</v>
      </c>
      <c r="AZ471" t="n">
        <v>120.1148977251711</v>
      </c>
      <c r="BA471" t="n">
        <v>779.3099999999999</v>
      </c>
      <c r="BB471" t="n">
        <v>0.879</v>
      </c>
      <c r="BC471" t="n">
        <v>82.2803252917125</v>
      </c>
      <c r="BD471" t="n">
        <v>0.9167</v>
      </c>
      <c r="BE471" t="n">
        <v>75.426</v>
      </c>
      <c r="BF471" t="n">
        <v>8.9176</v>
      </c>
      <c r="BG471" t="n">
        <v>0.804</v>
      </c>
      <c r="BH471" t="n">
        <v>6039.043023599974</v>
      </c>
      <c r="BI471" t="n">
        <v>1.096052187605444</v>
      </c>
      <c r="BJ471" t="n">
        <v>6619.1063</v>
      </c>
      <c r="BK471" t="n">
        <v>19485.052991898</v>
      </c>
    </row>
    <row r="472">
      <c r="A472" t="n">
        <v>1939</v>
      </c>
      <c r="B472" t="inlineStr">
        <is>
          <t>01-12-2020</t>
        </is>
      </c>
      <c r="C472" t="n">
        <v>2020</v>
      </c>
      <c r="D472" t="n">
        <v>1</v>
      </c>
      <c r="E472" t="inlineStr">
        <is>
          <t>CAREN</t>
        </is>
      </c>
      <c r="F472" t="inlineStr">
        <is>
          <t>SUM_SAESA_A</t>
        </is>
      </c>
      <c r="G472" t="inlineStr">
        <is>
          <t>A</t>
        </is>
      </c>
      <c r="H472" t="inlineStr">
        <is>
          <t>SAESA</t>
        </is>
      </c>
      <c r="I472" t="inlineStr">
        <is>
          <t>SAESCALBBLOQA</t>
        </is>
      </c>
      <c r="J472" t="inlineStr">
        <is>
          <t>CALBUCO</t>
        </is>
      </c>
      <c r="K472" t="n">
        <v>-3165.95509745</v>
      </c>
      <c r="L472" t="inlineStr">
        <is>
          <t>CALBUCO</t>
        </is>
      </c>
      <c r="M472" t="inlineStr">
        <is>
          <t>MELIPULLI</t>
        </is>
      </c>
      <c r="N472" t="n">
        <v>0.79695127981308</v>
      </c>
      <c r="O472" t="n">
        <v>2523.111967</v>
      </c>
      <c r="P472" t="inlineStr">
        <is>
          <t>BS1A</t>
        </is>
      </c>
      <c r="Q472" t="n">
        <v>2</v>
      </c>
      <c r="V472" t="n">
        <v>1472834.063</v>
      </c>
      <c r="W472" t="n">
        <v>2</v>
      </c>
      <c r="X472" t="n">
        <v>8.487e-08</v>
      </c>
      <c r="Y472" t="n">
        <v>0.249999</v>
      </c>
      <c r="Z472" t="n">
        <v>630.775469</v>
      </c>
      <c r="AA472" t="inlineStr">
        <is>
          <t>PNP_6T_08-05-2020</t>
        </is>
      </c>
      <c r="AB472" t="inlineStr">
        <is>
          <t>PNCP_9T_12-08-2019</t>
        </is>
      </c>
      <c r="AC472" t="inlineStr">
        <is>
          <t>PNCP_4T_30-04-2013</t>
        </is>
      </c>
      <c r="AD472" t="inlineStr">
        <is>
          <t>MELIPULLI 220</t>
        </is>
      </c>
      <c r="AE472" t="n">
        <v>111.133</v>
      </c>
      <c r="AF472" t="n">
        <v>1.072776031070834</v>
      </c>
      <c r="AG472" t="n">
        <v>119.220818660995</v>
      </c>
      <c r="AH472" t="n">
        <v>694.38</v>
      </c>
      <c r="AI472" t="n">
        <v>0.875</v>
      </c>
      <c r="AJ472" t="n">
        <v>72.43648305409401</v>
      </c>
      <c r="AK472" t="n">
        <v>0.8826000000000001</v>
      </c>
      <c r="AL472" t="n">
        <v>63.932</v>
      </c>
      <c r="AM472" t="n">
        <v>8.9176</v>
      </c>
      <c r="AN472" t="n">
        <v>9.566587534677272</v>
      </c>
      <c r="AO472" t="n">
        <v>0.913</v>
      </c>
      <c r="AP472" t="n">
        <v>6064.919358776563</v>
      </c>
      <c r="AQ472" t="n">
        <v>1</v>
      </c>
      <c r="AR472" t="n">
        <v>6064.9194</v>
      </c>
      <c r="AS472" t="n">
        <v>40326.73728410801</v>
      </c>
      <c r="AT472" t="inlineStr">
        <is>
          <t>PNP_16T_02-11-2020</t>
        </is>
      </c>
      <c r="AU472" t="inlineStr">
        <is>
          <t>PNCP_2T_10-02-2020</t>
        </is>
      </c>
      <c r="AV472" t="inlineStr">
        <is>
          <t>PNCP_4T_30-04-2013</t>
        </is>
      </c>
      <c r="AW472" t="inlineStr">
        <is>
          <t>MELIPULLI 220</t>
        </is>
      </c>
      <c r="AX472" t="n">
        <v>111.133</v>
      </c>
      <c r="AY472" t="n">
        <v>1.080821157758461</v>
      </c>
      <c r="AZ472" t="n">
        <v>120.1148977251711</v>
      </c>
      <c r="BA472" t="n">
        <v>779.3099999999999</v>
      </c>
      <c r="BB472" t="n">
        <v>0.879</v>
      </c>
      <c r="BC472" t="n">
        <v>82.2803252917125</v>
      </c>
      <c r="BD472" t="n">
        <v>0.8421</v>
      </c>
      <c r="BE472" t="n">
        <v>69.288</v>
      </c>
      <c r="BF472" t="n">
        <v>8.9176</v>
      </c>
      <c r="BG472" t="n">
        <v>0.804</v>
      </c>
      <c r="BH472" t="n">
        <v>6039.043023599974</v>
      </c>
      <c r="BI472" t="n">
        <v>1</v>
      </c>
      <c r="BJ472" t="n">
        <v>6039.043</v>
      </c>
      <c r="BK472" t="n">
        <v>43705.170696072</v>
      </c>
    </row>
    <row r="473">
      <c r="A473" t="n">
        <v>1941</v>
      </c>
      <c r="B473" t="inlineStr">
        <is>
          <t>01-12-2020</t>
        </is>
      </c>
      <c r="C473" t="n">
        <v>2020</v>
      </c>
      <c r="D473" t="n">
        <v>1</v>
      </c>
      <c r="E473" t="inlineStr">
        <is>
          <t>CAREN</t>
        </is>
      </c>
      <c r="F473" t="inlineStr">
        <is>
          <t>SUM_SAESA_A</t>
        </is>
      </c>
      <c r="G473" t="inlineStr">
        <is>
          <t>A</t>
        </is>
      </c>
      <c r="H473" t="inlineStr">
        <is>
          <t>SAESA</t>
        </is>
      </c>
      <c r="I473" t="inlineStr">
        <is>
          <t>SAESCALBBLOQA</t>
        </is>
      </c>
      <c r="J473" t="inlineStr">
        <is>
          <t>CALBUCO</t>
        </is>
      </c>
      <c r="K473" t="n">
        <v>-3165.95509745</v>
      </c>
      <c r="L473" t="inlineStr">
        <is>
          <t>CALBUCO</t>
        </is>
      </c>
      <c r="M473" t="inlineStr">
        <is>
          <t>Puerto Montt</t>
        </is>
      </c>
      <c r="N473" t="n">
        <v>0.94243617275731</v>
      </c>
      <c r="O473" t="n">
        <v>2983.710605</v>
      </c>
      <c r="P473" t="inlineStr">
        <is>
          <t>BS1A</t>
        </is>
      </c>
      <c r="Q473" t="n">
        <v>2</v>
      </c>
      <c r="V473" t="n">
        <v>1472834.063</v>
      </c>
      <c r="W473" t="n">
        <v>2</v>
      </c>
      <c r="X473" t="n">
        <v>8.487e-08</v>
      </c>
      <c r="Y473" t="n">
        <v>0.249999</v>
      </c>
      <c r="Z473" t="n">
        <v>745.924668</v>
      </c>
      <c r="AA473" t="inlineStr">
        <is>
          <t>PNP_6T_08-05-2020</t>
        </is>
      </c>
      <c r="AB473" t="inlineStr">
        <is>
          <t>PNCP_9T_12-08-2019</t>
        </is>
      </c>
      <c r="AC473" t="inlineStr">
        <is>
          <t>PNCP_4T_30-04-2013</t>
        </is>
      </c>
      <c r="AD473" t="inlineStr">
        <is>
          <t>PUERTO MONTT 220</t>
        </is>
      </c>
      <c r="AE473" t="n">
        <v>111.133</v>
      </c>
      <c r="AF473" t="n">
        <v>1.072776031070834</v>
      </c>
      <c r="AG473" t="n">
        <v>119.220818660995</v>
      </c>
      <c r="AH473" t="n">
        <v>694.38</v>
      </c>
      <c r="AI473" t="n">
        <v>0.875</v>
      </c>
      <c r="AJ473" t="n">
        <v>72.43648305409401</v>
      </c>
      <c r="AK473" t="n">
        <v>0.8826000000000001</v>
      </c>
      <c r="AL473" t="n">
        <v>63.932</v>
      </c>
      <c r="AM473" t="n">
        <v>8.9176</v>
      </c>
      <c r="AN473" t="n">
        <v>9.566587534677272</v>
      </c>
      <c r="AO473" t="n">
        <v>0.913</v>
      </c>
      <c r="AP473" t="n">
        <v>6064.919358776563</v>
      </c>
      <c r="AQ473" t="n">
        <v>1.016858412119831</v>
      </c>
      <c r="AR473" t="n">
        <v>6167.1643</v>
      </c>
      <c r="AS473" t="n">
        <v>47688.455874576</v>
      </c>
      <c r="AT473" t="inlineStr">
        <is>
          <t>PNP_16T_02-11-2020</t>
        </is>
      </c>
      <c r="AU473" t="inlineStr">
        <is>
          <t>PNCP_2T_10-02-2020</t>
        </is>
      </c>
      <c r="AV473" t="inlineStr">
        <is>
          <t>PNCP_4T_30-04-2013</t>
        </is>
      </c>
      <c r="AW473" t="inlineStr">
        <is>
          <t>PUERTO MONTT 220</t>
        </is>
      </c>
      <c r="AX473" t="n">
        <v>111.133</v>
      </c>
      <c r="AY473" t="n">
        <v>1.080821157758461</v>
      </c>
      <c r="AZ473" t="n">
        <v>120.1148977251711</v>
      </c>
      <c r="BA473" t="n">
        <v>779.3099999999999</v>
      </c>
      <c r="BB473" t="n">
        <v>0.879</v>
      </c>
      <c r="BC473" t="n">
        <v>82.2803252917125</v>
      </c>
      <c r="BD473" t="n">
        <v>0.8421</v>
      </c>
      <c r="BE473" t="n">
        <v>69.288</v>
      </c>
      <c r="BF473" t="n">
        <v>8.9176</v>
      </c>
      <c r="BG473" t="n">
        <v>0.804</v>
      </c>
      <c r="BH473" t="n">
        <v>6039.043023599974</v>
      </c>
      <c r="BI473" t="n">
        <v>1.02699624102973</v>
      </c>
      <c r="BJ473" t="n">
        <v>6202.0745</v>
      </c>
      <c r="BK473" t="n">
        <v>51683.628396384</v>
      </c>
    </row>
    <row r="474">
      <c r="A474" t="n">
        <v>1943</v>
      </c>
      <c r="B474" t="inlineStr">
        <is>
          <t>01-12-2020</t>
        </is>
      </c>
      <c r="C474" t="n">
        <v>2020</v>
      </c>
      <c r="D474" t="n">
        <v>1</v>
      </c>
      <c r="E474" t="inlineStr">
        <is>
          <t>CAREN</t>
        </is>
      </c>
      <c r="F474" t="inlineStr">
        <is>
          <t>SUM_SAESA_A</t>
        </is>
      </c>
      <c r="G474" t="inlineStr">
        <is>
          <t>A</t>
        </is>
      </c>
      <c r="H474" t="inlineStr">
        <is>
          <t>SAESA</t>
        </is>
      </c>
      <c r="I474" t="inlineStr">
        <is>
          <t>SAESCALBBLOQA</t>
        </is>
      </c>
      <c r="J474" t="inlineStr">
        <is>
          <t>CALBUCO</t>
        </is>
      </c>
      <c r="K474" t="n">
        <v>-3165.95509745</v>
      </c>
      <c r="L474" t="inlineStr">
        <is>
          <t>CALBUCO</t>
        </is>
      </c>
      <c r="M474" t="inlineStr">
        <is>
          <t>VALDIVIA</t>
        </is>
      </c>
      <c r="N474" t="n">
        <v>7.167390938e-05</v>
      </c>
      <c r="O474" t="n">
        <v>0.226916</v>
      </c>
      <c r="P474" t="inlineStr">
        <is>
          <t>BS1A</t>
        </is>
      </c>
      <c r="Q474" t="n">
        <v>2</v>
      </c>
      <c r="V474" t="n">
        <v>1472834.063</v>
      </c>
      <c r="W474" t="n">
        <v>2</v>
      </c>
      <c r="X474" t="n">
        <v>8.487e-08</v>
      </c>
      <c r="Y474" t="n">
        <v>0.249999</v>
      </c>
      <c r="Z474" t="n">
        <v>0.056729</v>
      </c>
      <c r="AA474" t="inlineStr">
        <is>
          <t>PNP_6T_08-05-2020</t>
        </is>
      </c>
      <c r="AB474" t="inlineStr">
        <is>
          <t>PNCP_9T_12-08-2019</t>
        </is>
      </c>
      <c r="AC474" t="inlineStr">
        <is>
          <t>PNCP_4T_30-04-2013</t>
        </is>
      </c>
      <c r="AD474" t="inlineStr">
        <is>
          <t>VALDIVIA 220</t>
        </is>
      </c>
      <c r="AE474" t="n">
        <v>111.133</v>
      </c>
      <c r="AF474" t="n">
        <v>1.072776031070834</v>
      </c>
      <c r="AG474" t="n">
        <v>119.220818660995</v>
      </c>
      <c r="AH474" t="n">
        <v>694.38</v>
      </c>
      <c r="AI474" t="n">
        <v>0.875</v>
      </c>
      <c r="AJ474" t="n">
        <v>72.43648305409401</v>
      </c>
      <c r="AK474" t="n">
        <v>0.913</v>
      </c>
      <c r="AL474" t="n">
        <v>66.13500000000001</v>
      </c>
      <c r="AM474" t="n">
        <v>8.9176</v>
      </c>
      <c r="AN474" t="n">
        <v>9.566587534677272</v>
      </c>
      <c r="AO474" t="n">
        <v>0.913</v>
      </c>
      <c r="AP474" t="n">
        <v>6064.919358776563</v>
      </c>
      <c r="AQ474" t="n">
        <v>1.051287819142954</v>
      </c>
      <c r="AR474" t="n">
        <v>6375.9758</v>
      </c>
      <c r="AS474" t="n">
        <v>3.751772415</v>
      </c>
      <c r="AT474" t="inlineStr">
        <is>
          <t>PNP_16T_02-11-2020</t>
        </is>
      </c>
      <c r="AU474" t="inlineStr">
        <is>
          <t>PNCP_2T_10-02-2020</t>
        </is>
      </c>
      <c r="AV474" t="inlineStr">
        <is>
          <t>PNCP_4T_30-04-2013</t>
        </is>
      </c>
      <c r="AW474" t="inlineStr">
        <is>
          <t>VALDIVIA 220</t>
        </is>
      </c>
      <c r="AX474" t="n">
        <v>111.133</v>
      </c>
      <c r="AY474" t="n">
        <v>1.080821157758461</v>
      </c>
      <c r="AZ474" t="n">
        <v>120.1148977251711</v>
      </c>
      <c r="BA474" t="n">
        <v>779.3099999999999</v>
      </c>
      <c r="BB474" t="n">
        <v>0.879</v>
      </c>
      <c r="BC474" t="n">
        <v>82.2803252917125</v>
      </c>
      <c r="BD474" t="n">
        <v>0.9167</v>
      </c>
      <c r="BE474" t="n">
        <v>75.426</v>
      </c>
      <c r="BF474" t="n">
        <v>8.9176</v>
      </c>
      <c r="BG474" t="n">
        <v>0.804</v>
      </c>
      <c r="BH474" t="n">
        <v>6039.043023599974</v>
      </c>
      <c r="BI474" t="n">
        <v>1.096052187605444</v>
      </c>
      <c r="BJ474" t="n">
        <v>6619.1063</v>
      </c>
      <c r="BK474" t="n">
        <v>4.278841554</v>
      </c>
    </row>
    <row r="475">
      <c r="A475" t="n">
        <v>1293</v>
      </c>
      <c r="B475" t="inlineStr">
        <is>
          <t>01-12-2020</t>
        </is>
      </c>
      <c r="C475" t="n">
        <v>2020</v>
      </c>
      <c r="D475" t="n">
        <v>1</v>
      </c>
      <c r="E475" t="inlineStr">
        <is>
          <t>CAREN</t>
        </is>
      </c>
      <c r="F475" t="inlineStr">
        <is>
          <t>SUM_SAESA_A</t>
        </is>
      </c>
      <c r="G475" t="inlineStr">
        <is>
          <t>A</t>
        </is>
      </c>
      <c r="H475" t="inlineStr">
        <is>
          <t>SAESA</t>
        </is>
      </c>
      <c r="I475" t="inlineStr">
        <is>
          <t>SAESCASTBLOQA</t>
        </is>
      </c>
      <c r="J475" t="inlineStr">
        <is>
          <t>CASTRO</t>
        </is>
      </c>
      <c r="K475" t="n">
        <v>-5853.60116026</v>
      </c>
      <c r="L475" t="inlineStr">
        <is>
          <t>CASTRO</t>
        </is>
      </c>
      <c r="M475" t="inlineStr">
        <is>
          <t>CHILOE</t>
        </is>
      </c>
      <c r="N475" t="n">
        <v>0.79707666555766</v>
      </c>
      <c r="O475" t="n">
        <v>4665.768894</v>
      </c>
      <c r="P475" t="inlineStr">
        <is>
          <t>BS1A</t>
        </is>
      </c>
      <c r="Q475" t="n">
        <v>2</v>
      </c>
      <c r="V475" t="n">
        <v>1472834.063</v>
      </c>
      <c r="W475" t="n">
        <v>2</v>
      </c>
      <c r="X475" t="n">
        <v>8.487e-08</v>
      </c>
      <c r="Y475" t="n">
        <v>0.249999</v>
      </c>
      <c r="Z475" t="n">
        <v>1166.437558</v>
      </c>
      <c r="AA475" t="inlineStr">
        <is>
          <t>PNP_6T_08-05-2020</t>
        </is>
      </c>
      <c r="AB475" t="inlineStr">
        <is>
          <t>PNCP_9T_12-08-2019</t>
        </is>
      </c>
      <c r="AC475" t="inlineStr">
        <is>
          <t>PNCP_4T_30-04-2013</t>
        </is>
      </c>
      <c r="AD475" t="inlineStr">
        <is>
          <t>CHILOE 220</t>
        </is>
      </c>
      <c r="AE475" t="n">
        <v>111.133</v>
      </c>
      <c r="AF475" t="n">
        <v>1.072776031070834</v>
      </c>
      <c r="AG475" t="n">
        <v>119.220818660995</v>
      </c>
      <c r="AH475" t="n">
        <v>694.38</v>
      </c>
      <c r="AI475" t="n">
        <v>0.875</v>
      </c>
      <c r="AJ475" t="n">
        <v>72.43648305409401</v>
      </c>
      <c r="AK475" t="n">
        <v>0.8903</v>
      </c>
      <c r="AL475" t="n">
        <v>64.48999999999999</v>
      </c>
      <c r="AM475" t="n">
        <v>8.9176</v>
      </c>
      <c r="AN475" t="n">
        <v>9.566587534677272</v>
      </c>
      <c r="AO475" t="n">
        <v>0.913</v>
      </c>
      <c r="AP475" t="n">
        <v>6064.919358776563</v>
      </c>
      <c r="AQ475" t="n">
        <v>1</v>
      </c>
      <c r="AR475" t="n">
        <v>6064.9194</v>
      </c>
      <c r="AS475" t="n">
        <v>75223.55811542</v>
      </c>
      <c r="AT475" t="inlineStr">
        <is>
          <t>PNP_16T_02-11-2020</t>
        </is>
      </c>
      <c r="AU475" t="inlineStr">
        <is>
          <t>PNCP_2T_10-02-2020</t>
        </is>
      </c>
      <c r="AV475" t="inlineStr">
        <is>
          <t>PNCP_4T_30-04-2013</t>
        </is>
      </c>
      <c r="AW475" t="inlineStr">
        <is>
          <t>CHILOE 220</t>
        </is>
      </c>
      <c r="AX475" t="n">
        <v>111.133</v>
      </c>
      <c r="AY475" t="n">
        <v>1.080821157758461</v>
      </c>
      <c r="AZ475" t="n">
        <v>120.1148977251711</v>
      </c>
      <c r="BA475" t="n">
        <v>779.3099999999999</v>
      </c>
      <c r="BB475" t="n">
        <v>0.879</v>
      </c>
      <c r="BC475" t="n">
        <v>82.2803252917125</v>
      </c>
      <c r="BD475" t="n">
        <v>0.8486</v>
      </c>
      <c r="BE475" t="n">
        <v>69.82299999999999</v>
      </c>
      <c r="BF475" t="n">
        <v>8.9176</v>
      </c>
      <c r="BG475" t="n">
        <v>0.804</v>
      </c>
      <c r="BH475" t="n">
        <v>6039.043023599974</v>
      </c>
      <c r="BI475" t="n">
        <v>1</v>
      </c>
      <c r="BJ475" t="n">
        <v>6039.043</v>
      </c>
      <c r="BK475" t="n">
        <v>81444.16961223399</v>
      </c>
    </row>
    <row r="476">
      <c r="A476" t="n">
        <v>1295</v>
      </c>
      <c r="B476" t="inlineStr">
        <is>
          <t>01-12-2020</t>
        </is>
      </c>
      <c r="C476" t="n">
        <v>2020</v>
      </c>
      <c r="D476" t="n">
        <v>1</v>
      </c>
      <c r="E476" t="inlineStr">
        <is>
          <t>CAREN</t>
        </is>
      </c>
      <c r="F476" t="inlineStr">
        <is>
          <t>SUM_SAESA_A</t>
        </is>
      </c>
      <c r="G476" t="inlineStr">
        <is>
          <t>A</t>
        </is>
      </c>
      <c r="H476" t="inlineStr">
        <is>
          <t>SAESA</t>
        </is>
      </c>
      <c r="I476" t="inlineStr">
        <is>
          <t>SAESCASTBLOQA</t>
        </is>
      </c>
      <c r="J476" t="inlineStr">
        <is>
          <t>CASTRO</t>
        </is>
      </c>
      <c r="K476" t="n">
        <v>-5853.60116026</v>
      </c>
      <c r="L476" t="inlineStr">
        <is>
          <t>CASTRO</t>
        </is>
      </c>
      <c r="M476" t="inlineStr">
        <is>
          <t>Puerto Montt</t>
        </is>
      </c>
      <c r="N476" t="n">
        <v>0.94383030910781</v>
      </c>
      <c r="O476" t="n">
        <v>5524.806192</v>
      </c>
      <c r="P476" t="inlineStr">
        <is>
          <t>BS1A</t>
        </is>
      </c>
      <c r="Q476" t="n">
        <v>2</v>
      </c>
      <c r="V476" t="n">
        <v>1472834.063</v>
      </c>
      <c r="W476" t="n">
        <v>2</v>
      </c>
      <c r="X476" t="n">
        <v>8.487e-08</v>
      </c>
      <c r="Y476" t="n">
        <v>0.249999</v>
      </c>
      <c r="Z476" t="n">
        <v>1381.196023</v>
      </c>
      <c r="AA476" t="inlineStr">
        <is>
          <t>PNP_6T_08-05-2020</t>
        </is>
      </c>
      <c r="AB476" t="inlineStr">
        <is>
          <t>PNCP_9T_12-08-2019</t>
        </is>
      </c>
      <c r="AC476" t="inlineStr">
        <is>
          <t>PNCP_4T_30-04-2013</t>
        </is>
      </c>
      <c r="AD476" t="inlineStr">
        <is>
          <t>PUERTO MONTT 220</t>
        </is>
      </c>
      <c r="AE476" t="n">
        <v>111.133</v>
      </c>
      <c r="AF476" t="n">
        <v>1.072776031070834</v>
      </c>
      <c r="AG476" t="n">
        <v>119.220818660995</v>
      </c>
      <c r="AH476" t="n">
        <v>694.38</v>
      </c>
      <c r="AI476" t="n">
        <v>0.875</v>
      </c>
      <c r="AJ476" t="n">
        <v>72.43648305409401</v>
      </c>
      <c r="AK476" t="n">
        <v>0.8826000000000001</v>
      </c>
      <c r="AL476" t="n">
        <v>63.932</v>
      </c>
      <c r="AM476" t="n">
        <v>8.9176</v>
      </c>
      <c r="AN476" t="n">
        <v>9.566587534677272</v>
      </c>
      <c r="AO476" t="n">
        <v>0.913</v>
      </c>
      <c r="AP476" t="n">
        <v>6064.919358776563</v>
      </c>
      <c r="AQ476" t="n">
        <v>1.016858412119831</v>
      </c>
      <c r="AR476" t="n">
        <v>6167.1643</v>
      </c>
      <c r="AS476" t="n">
        <v>88302.62414243601</v>
      </c>
      <c r="AT476" t="inlineStr">
        <is>
          <t>PNP_16T_02-11-2020</t>
        </is>
      </c>
      <c r="AU476" t="inlineStr">
        <is>
          <t>PNCP_2T_10-02-2020</t>
        </is>
      </c>
      <c r="AV476" t="inlineStr">
        <is>
          <t>PNCP_4T_30-04-2013</t>
        </is>
      </c>
      <c r="AW476" t="inlineStr">
        <is>
          <t>PUERTO MONTT 220</t>
        </is>
      </c>
      <c r="AX476" t="n">
        <v>111.133</v>
      </c>
      <c r="AY476" t="n">
        <v>1.080821157758461</v>
      </c>
      <c r="AZ476" t="n">
        <v>120.1148977251711</v>
      </c>
      <c r="BA476" t="n">
        <v>779.3099999999999</v>
      </c>
      <c r="BB476" t="n">
        <v>0.879</v>
      </c>
      <c r="BC476" t="n">
        <v>82.2803252917125</v>
      </c>
      <c r="BD476" t="n">
        <v>0.8421</v>
      </c>
      <c r="BE476" t="n">
        <v>69.288</v>
      </c>
      <c r="BF476" t="n">
        <v>8.9176</v>
      </c>
      <c r="BG476" t="n">
        <v>0.804</v>
      </c>
      <c r="BH476" t="n">
        <v>6039.043023599974</v>
      </c>
      <c r="BI476" t="n">
        <v>1.02699624102973</v>
      </c>
      <c r="BJ476" t="n">
        <v>6202.0745</v>
      </c>
      <c r="BK476" t="n">
        <v>95700.31004162399</v>
      </c>
    </row>
    <row r="477">
      <c r="A477" t="n">
        <v>343</v>
      </c>
      <c r="B477" t="inlineStr">
        <is>
          <t>01-12-2020</t>
        </is>
      </c>
      <c r="C477" t="n">
        <v>2020</v>
      </c>
      <c r="D477" t="n">
        <v>1</v>
      </c>
      <c r="E477" t="inlineStr">
        <is>
          <t>CAREN</t>
        </is>
      </c>
      <c r="F477" t="inlineStr">
        <is>
          <t>SUM_SAESA_A</t>
        </is>
      </c>
      <c r="G477" t="inlineStr">
        <is>
          <t>A</t>
        </is>
      </c>
      <c r="H477" t="inlineStr">
        <is>
          <t>SAESA</t>
        </is>
      </c>
      <c r="I477" t="inlineStr">
        <is>
          <t>SAESACHIRREBLOQA</t>
        </is>
      </c>
      <c r="J477" t="inlineStr">
        <is>
          <t>CHIRRE</t>
        </is>
      </c>
      <c r="K477" t="n">
        <v>-2916.88246758</v>
      </c>
      <c r="L477" t="inlineStr">
        <is>
          <t>CHIRRE 23</t>
        </is>
      </c>
      <c r="M477" t="inlineStr">
        <is>
          <t>BARRO BLANCO</t>
        </is>
      </c>
      <c r="N477" t="n">
        <v>0.90362399609009</v>
      </c>
      <c r="O477" t="n">
        <v>2635.764991</v>
      </c>
      <c r="P477" t="inlineStr">
        <is>
          <t>BS1A</t>
        </is>
      </c>
      <c r="Q477" t="n">
        <v>2</v>
      </c>
      <c r="V477" t="n">
        <v>1472834.063</v>
      </c>
      <c r="W477" t="n">
        <v>2</v>
      </c>
      <c r="X477" t="n">
        <v>8.487e-08</v>
      </c>
      <c r="Y477" t="n">
        <v>0.249999</v>
      </c>
      <c r="Z477" t="n">
        <v>658.938612</v>
      </c>
      <c r="AA477" t="inlineStr">
        <is>
          <t>PNP_6T_08-05-2020</t>
        </is>
      </c>
      <c r="AB477" t="inlineStr">
        <is>
          <t>PNCP_9T_12-08-2019</t>
        </is>
      </c>
      <c r="AC477" t="inlineStr">
        <is>
          <t>PNCP_4T_30-04-2013</t>
        </is>
      </c>
      <c r="AD477" t="inlineStr">
        <is>
          <t>Barro Blanco 220</t>
        </is>
      </c>
      <c r="AE477" t="n">
        <v>111.133</v>
      </c>
      <c r="AF477" t="n">
        <v>1.072776031070834</v>
      </c>
      <c r="AG477" t="n">
        <v>119.220818660995</v>
      </c>
      <c r="AH477" t="n">
        <v>694.38</v>
      </c>
      <c r="AI477" t="n">
        <v>0.875</v>
      </c>
      <c r="AJ477" t="n">
        <v>72.43648305409401</v>
      </c>
      <c r="AK477" t="n">
        <v>0.8631</v>
      </c>
      <c r="AL477" t="n">
        <v>62.52</v>
      </c>
      <c r="AM477" t="n">
        <v>8.9176</v>
      </c>
      <c r="AN477" t="n">
        <v>9.566587534677272</v>
      </c>
      <c r="AO477" t="n">
        <v>0.913</v>
      </c>
      <c r="AP477" t="n">
        <v>6064.919358776563</v>
      </c>
      <c r="AQ477" t="n">
        <v>1.004432825642191</v>
      </c>
      <c r="AR477" t="n">
        <v>6091.8041</v>
      </c>
      <c r="AS477" t="n">
        <v>41196.84202224</v>
      </c>
      <c r="AT477" t="inlineStr">
        <is>
          <t>PNP_16T_02-11-2020</t>
        </is>
      </c>
      <c r="AU477" t="inlineStr">
        <is>
          <t>PNCP_2T_10-02-2020</t>
        </is>
      </c>
      <c r="AV477" t="inlineStr">
        <is>
          <t>PNCP_4T_30-04-2013</t>
        </is>
      </c>
      <c r="AW477" t="inlineStr">
        <is>
          <t>Barro Blanco 220</t>
        </is>
      </c>
      <c r="AX477" t="n">
        <v>111.133</v>
      </c>
      <c r="AY477" t="n">
        <v>1.080821157758461</v>
      </c>
      <c r="AZ477" t="n">
        <v>120.1148977251711</v>
      </c>
      <c r="BA477" t="n">
        <v>779.3099999999999</v>
      </c>
      <c r="BB477" t="n">
        <v>0.879</v>
      </c>
      <c r="BC477" t="n">
        <v>82.2803252917125</v>
      </c>
      <c r="BD477" t="n">
        <v>0.846</v>
      </c>
      <c r="BE477" t="n">
        <v>69.60899999999999</v>
      </c>
      <c r="BF477" t="n">
        <v>8.9176</v>
      </c>
      <c r="BG477" t="n">
        <v>0.804</v>
      </c>
      <c r="BH477" t="n">
        <v>6039.043023599974</v>
      </c>
      <c r="BI477" t="n">
        <v>1.011820868379177</v>
      </c>
      <c r="BJ477" t="n">
        <v>6110.4298</v>
      </c>
      <c r="BK477" t="n">
        <v>45868.057842708</v>
      </c>
    </row>
    <row r="478">
      <c r="A478" t="n">
        <v>1293</v>
      </c>
      <c r="B478" t="inlineStr">
        <is>
          <t>01-12-2020</t>
        </is>
      </c>
      <c r="C478" t="n">
        <v>2020</v>
      </c>
      <c r="D478" t="n">
        <v>1</v>
      </c>
      <c r="E478" t="inlineStr">
        <is>
          <t>CAREN</t>
        </is>
      </c>
      <c r="F478" t="inlineStr">
        <is>
          <t>SUM_SAESA_A</t>
        </is>
      </c>
      <c r="G478" t="inlineStr">
        <is>
          <t>A</t>
        </is>
      </c>
      <c r="H478" t="inlineStr">
        <is>
          <t>SAESA</t>
        </is>
      </c>
      <c r="I478" t="inlineStr">
        <is>
          <t>SAESCHONBLOQA</t>
        </is>
      </c>
      <c r="J478" t="inlineStr">
        <is>
          <t>CHONCHI</t>
        </is>
      </c>
      <c r="K478" t="n">
        <v>-3851.72628789</v>
      </c>
      <c r="L478" t="inlineStr">
        <is>
          <t>CHONCHI</t>
        </is>
      </c>
      <c r="M478" t="inlineStr">
        <is>
          <t>CHILOE</t>
        </is>
      </c>
      <c r="N478" t="n">
        <v>0.79707666555781</v>
      </c>
      <c r="O478" t="n">
        <v>3070.121146</v>
      </c>
      <c r="P478" t="inlineStr">
        <is>
          <t>BS1A</t>
        </is>
      </c>
      <c r="Q478" t="n">
        <v>2</v>
      </c>
      <c r="V478" t="n">
        <v>1472834.063</v>
      </c>
      <c r="W478" t="n">
        <v>2</v>
      </c>
      <c r="X478" t="n">
        <v>8.487e-08</v>
      </c>
      <c r="Y478" t="n">
        <v>0.249999</v>
      </c>
      <c r="Z478" t="n">
        <v>767.527216</v>
      </c>
      <c r="AA478" t="inlineStr">
        <is>
          <t>PNP_6T_08-05-2020</t>
        </is>
      </c>
      <c r="AB478" t="inlineStr">
        <is>
          <t>PNCP_9T_12-08-2019</t>
        </is>
      </c>
      <c r="AC478" t="inlineStr">
        <is>
          <t>PNCP_4T_30-04-2013</t>
        </is>
      </c>
      <c r="AD478" t="inlineStr">
        <is>
          <t>CHILOE 220</t>
        </is>
      </c>
      <c r="AE478" t="n">
        <v>111.133</v>
      </c>
      <c r="AF478" t="n">
        <v>1.072776031070834</v>
      </c>
      <c r="AG478" t="n">
        <v>119.220818660995</v>
      </c>
      <c r="AH478" t="n">
        <v>694.38</v>
      </c>
      <c r="AI478" t="n">
        <v>0.875</v>
      </c>
      <c r="AJ478" t="n">
        <v>72.43648305409401</v>
      </c>
      <c r="AK478" t="n">
        <v>0.8903</v>
      </c>
      <c r="AL478" t="n">
        <v>64.48999999999999</v>
      </c>
      <c r="AM478" t="n">
        <v>8.9176</v>
      </c>
      <c r="AN478" t="n">
        <v>9.566587534677272</v>
      </c>
      <c r="AO478" t="n">
        <v>0.913</v>
      </c>
      <c r="AP478" t="n">
        <v>6064.919358776563</v>
      </c>
      <c r="AQ478" t="n">
        <v>1</v>
      </c>
      <c r="AR478" t="n">
        <v>6064.9194</v>
      </c>
      <c r="AS478" t="n">
        <v>49497.83015983999</v>
      </c>
      <c r="AT478" t="inlineStr">
        <is>
          <t>PNP_16T_02-11-2020</t>
        </is>
      </c>
      <c r="AU478" t="inlineStr">
        <is>
          <t>PNCP_2T_10-02-2020</t>
        </is>
      </c>
      <c r="AV478" t="inlineStr">
        <is>
          <t>PNCP_4T_30-04-2013</t>
        </is>
      </c>
      <c r="AW478" t="inlineStr">
        <is>
          <t>CHILOE 220</t>
        </is>
      </c>
      <c r="AX478" t="n">
        <v>111.133</v>
      </c>
      <c r="AY478" t="n">
        <v>1.080821157758461</v>
      </c>
      <c r="AZ478" t="n">
        <v>120.1148977251711</v>
      </c>
      <c r="BA478" t="n">
        <v>779.3099999999999</v>
      </c>
      <c r="BB478" t="n">
        <v>0.879</v>
      </c>
      <c r="BC478" t="n">
        <v>82.2803252917125</v>
      </c>
      <c r="BD478" t="n">
        <v>0.8486</v>
      </c>
      <c r="BE478" t="n">
        <v>69.82299999999999</v>
      </c>
      <c r="BF478" t="n">
        <v>8.9176</v>
      </c>
      <c r="BG478" t="n">
        <v>0.804</v>
      </c>
      <c r="BH478" t="n">
        <v>6039.043023599974</v>
      </c>
      <c r="BI478" t="n">
        <v>1</v>
      </c>
      <c r="BJ478" t="n">
        <v>6039.043</v>
      </c>
      <c r="BK478" t="n">
        <v>53591.05280276799</v>
      </c>
    </row>
    <row r="479">
      <c r="A479" t="n">
        <v>1295</v>
      </c>
      <c r="B479" t="inlineStr">
        <is>
          <t>01-12-2020</t>
        </is>
      </c>
      <c r="C479" t="n">
        <v>2020</v>
      </c>
      <c r="D479" t="n">
        <v>1</v>
      </c>
      <c r="E479" t="inlineStr">
        <is>
          <t>CAREN</t>
        </is>
      </c>
      <c r="F479" t="inlineStr">
        <is>
          <t>SUM_SAESA_A</t>
        </is>
      </c>
      <c r="G479" t="inlineStr">
        <is>
          <t>A</t>
        </is>
      </c>
      <c r="H479" t="inlineStr">
        <is>
          <t>SAESA</t>
        </is>
      </c>
      <c r="I479" t="inlineStr">
        <is>
          <t>SAESCHONBLOQA</t>
        </is>
      </c>
      <c r="J479" t="inlineStr">
        <is>
          <t>CHONCHI</t>
        </is>
      </c>
      <c r="K479" t="n">
        <v>-3851.72628789</v>
      </c>
      <c r="L479" t="inlineStr">
        <is>
          <t>CHONCHI</t>
        </is>
      </c>
      <c r="M479" t="inlineStr">
        <is>
          <t>Puerto Montt</t>
        </is>
      </c>
      <c r="N479" t="n">
        <v>0.94243617275754</v>
      </c>
      <c r="O479" t="n">
        <v>3630.006181</v>
      </c>
      <c r="P479" t="inlineStr">
        <is>
          <t>BS1A</t>
        </is>
      </c>
      <c r="Q479" t="n">
        <v>2</v>
      </c>
      <c r="V479" t="n">
        <v>1472834.063</v>
      </c>
      <c r="W479" t="n">
        <v>2</v>
      </c>
      <c r="X479" t="n">
        <v>8.487e-08</v>
      </c>
      <c r="Y479" t="n">
        <v>0.249999</v>
      </c>
      <c r="Z479" t="n">
        <v>907.497915</v>
      </c>
      <c r="AA479" t="inlineStr">
        <is>
          <t>PNP_6T_08-05-2020</t>
        </is>
      </c>
      <c r="AB479" t="inlineStr">
        <is>
          <t>PNCP_9T_12-08-2019</t>
        </is>
      </c>
      <c r="AC479" t="inlineStr">
        <is>
          <t>PNCP_4T_30-04-2013</t>
        </is>
      </c>
      <c r="AD479" t="inlineStr">
        <is>
          <t>PUERTO MONTT 220</t>
        </is>
      </c>
      <c r="AE479" t="n">
        <v>111.133</v>
      </c>
      <c r="AF479" t="n">
        <v>1.072776031070834</v>
      </c>
      <c r="AG479" t="n">
        <v>119.220818660995</v>
      </c>
      <c r="AH479" t="n">
        <v>694.38</v>
      </c>
      <c r="AI479" t="n">
        <v>0.875</v>
      </c>
      <c r="AJ479" t="n">
        <v>72.43648305409401</v>
      </c>
      <c r="AK479" t="n">
        <v>0.8826000000000001</v>
      </c>
      <c r="AL479" t="n">
        <v>63.932</v>
      </c>
      <c r="AM479" t="n">
        <v>8.9176</v>
      </c>
      <c r="AN479" t="n">
        <v>9.566587534677272</v>
      </c>
      <c r="AO479" t="n">
        <v>0.913</v>
      </c>
      <c r="AP479" t="n">
        <v>6064.919358776563</v>
      </c>
      <c r="AQ479" t="n">
        <v>1.016858412119831</v>
      </c>
      <c r="AR479" t="n">
        <v>6167.1643</v>
      </c>
      <c r="AS479" t="n">
        <v>58018.15670178</v>
      </c>
      <c r="AT479" t="inlineStr">
        <is>
          <t>PNP_16T_02-11-2020</t>
        </is>
      </c>
      <c r="AU479" t="inlineStr">
        <is>
          <t>PNCP_2T_10-02-2020</t>
        </is>
      </c>
      <c r="AV479" t="inlineStr">
        <is>
          <t>PNCP_4T_30-04-2013</t>
        </is>
      </c>
      <c r="AW479" t="inlineStr">
        <is>
          <t>PUERTO MONTT 220</t>
        </is>
      </c>
      <c r="AX479" t="n">
        <v>111.133</v>
      </c>
      <c r="AY479" t="n">
        <v>1.080821157758461</v>
      </c>
      <c r="AZ479" t="n">
        <v>120.1148977251711</v>
      </c>
      <c r="BA479" t="n">
        <v>779.3099999999999</v>
      </c>
      <c r="BB479" t="n">
        <v>0.879</v>
      </c>
      <c r="BC479" t="n">
        <v>82.2803252917125</v>
      </c>
      <c r="BD479" t="n">
        <v>0.8421</v>
      </c>
      <c r="BE479" t="n">
        <v>69.288</v>
      </c>
      <c r="BF479" t="n">
        <v>8.9176</v>
      </c>
      <c r="BG479" t="n">
        <v>0.804</v>
      </c>
      <c r="BH479" t="n">
        <v>6039.043023599974</v>
      </c>
      <c r="BI479" t="n">
        <v>1.02699624102973</v>
      </c>
      <c r="BJ479" t="n">
        <v>6202.0745</v>
      </c>
      <c r="BK479" t="n">
        <v>62878.71553452</v>
      </c>
    </row>
    <row r="480">
      <c r="A480" t="n">
        <v>1939</v>
      </c>
      <c r="B480" t="inlineStr">
        <is>
          <t>01-12-2020</t>
        </is>
      </c>
      <c r="C480" t="n">
        <v>2020</v>
      </c>
      <c r="D480" t="n">
        <v>1</v>
      </c>
      <c r="E480" t="inlineStr">
        <is>
          <t>CAREN</t>
        </is>
      </c>
      <c r="F480" t="inlineStr">
        <is>
          <t>SUM_SAESA_A</t>
        </is>
      </c>
      <c r="G480" t="inlineStr">
        <is>
          <t>A</t>
        </is>
      </c>
      <c r="H480" t="inlineStr">
        <is>
          <t>SAESA</t>
        </is>
      </c>
      <c r="I480" t="inlineStr">
        <is>
          <t>SAESCOLABLOQA</t>
        </is>
      </c>
      <c r="J480" t="inlineStr">
        <is>
          <t>COLACO</t>
        </is>
      </c>
      <c r="K480" t="n">
        <v>-3322.5012971</v>
      </c>
      <c r="L480" t="inlineStr">
        <is>
          <t>COLACO</t>
        </is>
      </c>
      <c r="M480" t="inlineStr">
        <is>
          <t>MELIPULLI</t>
        </is>
      </c>
      <c r="N480" t="n">
        <v>0.79699296539246</v>
      </c>
      <c r="O480" t="n">
        <v>2648.010161</v>
      </c>
      <c r="P480" t="inlineStr">
        <is>
          <t>BS1A</t>
        </is>
      </c>
      <c r="Q480" t="n">
        <v>2</v>
      </c>
      <c r="V480" t="n">
        <v>1472834.063</v>
      </c>
      <c r="W480" t="n">
        <v>2</v>
      </c>
      <c r="X480" t="n">
        <v>8.487e-08</v>
      </c>
      <c r="Y480" t="n">
        <v>0.249999</v>
      </c>
      <c r="Z480" t="n">
        <v>661.999892</v>
      </c>
      <c r="AA480" t="inlineStr">
        <is>
          <t>PNP_6T_08-05-2020</t>
        </is>
      </c>
      <c r="AB480" t="inlineStr">
        <is>
          <t>PNCP_9T_12-08-2019</t>
        </is>
      </c>
      <c r="AC480" t="inlineStr">
        <is>
          <t>PNCP_4T_30-04-2013</t>
        </is>
      </c>
      <c r="AD480" t="inlineStr">
        <is>
          <t>MELIPULLI 220</t>
        </is>
      </c>
      <c r="AE480" t="n">
        <v>111.133</v>
      </c>
      <c r="AF480" t="n">
        <v>1.072776031070834</v>
      </c>
      <c r="AG480" t="n">
        <v>119.220818660995</v>
      </c>
      <c r="AH480" t="n">
        <v>694.38</v>
      </c>
      <c r="AI480" t="n">
        <v>0.875</v>
      </c>
      <c r="AJ480" t="n">
        <v>72.43648305409401</v>
      </c>
      <c r="AK480" t="n">
        <v>0.8826000000000001</v>
      </c>
      <c r="AL480" t="n">
        <v>63.932</v>
      </c>
      <c r="AM480" t="n">
        <v>8.9176</v>
      </c>
      <c r="AN480" t="n">
        <v>9.566587534677272</v>
      </c>
      <c r="AO480" t="n">
        <v>0.913</v>
      </c>
      <c r="AP480" t="n">
        <v>6064.919358776563</v>
      </c>
      <c r="AQ480" t="n">
        <v>1</v>
      </c>
      <c r="AR480" t="n">
        <v>6064.9194</v>
      </c>
      <c r="AS480" t="n">
        <v>42322.977095344</v>
      </c>
      <c r="AT480" t="inlineStr">
        <is>
          <t>PNP_16T_02-11-2020</t>
        </is>
      </c>
      <c r="AU480" t="inlineStr">
        <is>
          <t>PNCP_2T_10-02-2020</t>
        </is>
      </c>
      <c r="AV480" t="inlineStr">
        <is>
          <t>PNCP_4T_30-04-2013</t>
        </is>
      </c>
      <c r="AW480" t="inlineStr">
        <is>
          <t>MELIPULLI 220</t>
        </is>
      </c>
      <c r="AX480" t="n">
        <v>111.133</v>
      </c>
      <c r="AY480" t="n">
        <v>1.080821157758461</v>
      </c>
      <c r="AZ480" t="n">
        <v>120.1148977251711</v>
      </c>
      <c r="BA480" t="n">
        <v>779.3099999999999</v>
      </c>
      <c r="BB480" t="n">
        <v>0.879</v>
      </c>
      <c r="BC480" t="n">
        <v>82.2803252917125</v>
      </c>
      <c r="BD480" t="n">
        <v>0.8421</v>
      </c>
      <c r="BE480" t="n">
        <v>69.288</v>
      </c>
      <c r="BF480" t="n">
        <v>8.9176</v>
      </c>
      <c r="BG480" t="n">
        <v>0.804</v>
      </c>
      <c r="BH480" t="n">
        <v>6039.043023599974</v>
      </c>
      <c r="BI480" t="n">
        <v>1</v>
      </c>
      <c r="BJ480" t="n">
        <v>6039.043</v>
      </c>
      <c r="BK480" t="n">
        <v>45868.648516896</v>
      </c>
    </row>
    <row r="481">
      <c r="A481" t="n">
        <v>1941</v>
      </c>
      <c r="B481" t="inlineStr">
        <is>
          <t>01-12-2020</t>
        </is>
      </c>
      <c r="C481" t="n">
        <v>2020</v>
      </c>
      <c r="D481" t="n">
        <v>1</v>
      </c>
      <c r="E481" t="inlineStr">
        <is>
          <t>CAREN</t>
        </is>
      </c>
      <c r="F481" t="inlineStr">
        <is>
          <t>SUM_SAESA_A</t>
        </is>
      </c>
      <c r="G481" t="inlineStr">
        <is>
          <t>A</t>
        </is>
      </c>
      <c r="H481" t="inlineStr">
        <is>
          <t>SAESA</t>
        </is>
      </c>
      <c r="I481" t="inlineStr">
        <is>
          <t>SAESCOLABLOQA</t>
        </is>
      </c>
      <c r="J481" t="inlineStr">
        <is>
          <t>COLACO</t>
        </is>
      </c>
      <c r="K481" t="n">
        <v>-3322.5012971</v>
      </c>
      <c r="L481" t="inlineStr">
        <is>
          <t>COLACO</t>
        </is>
      </c>
      <c r="M481" t="inlineStr">
        <is>
          <t>Puerto Montt</t>
        </is>
      </c>
      <c r="N481" t="n">
        <v>0.94243617275741</v>
      </c>
      <c r="O481" t="n">
        <v>3131.245406</v>
      </c>
      <c r="P481" t="inlineStr">
        <is>
          <t>BS1A</t>
        </is>
      </c>
      <c r="Q481" t="n">
        <v>2</v>
      </c>
      <c r="V481" t="n">
        <v>1472834.063</v>
      </c>
      <c r="W481" t="n">
        <v>2</v>
      </c>
      <c r="X481" t="n">
        <v>8.487e-08</v>
      </c>
      <c r="Y481" t="n">
        <v>0.249999</v>
      </c>
      <c r="Z481" t="n">
        <v>782.80822</v>
      </c>
      <c r="AA481" t="inlineStr">
        <is>
          <t>PNP_6T_08-05-2020</t>
        </is>
      </c>
      <c r="AB481" t="inlineStr">
        <is>
          <t>PNCP_9T_12-08-2019</t>
        </is>
      </c>
      <c r="AC481" t="inlineStr">
        <is>
          <t>PNCP_4T_30-04-2013</t>
        </is>
      </c>
      <c r="AD481" t="inlineStr">
        <is>
          <t>PUERTO MONTT 220</t>
        </is>
      </c>
      <c r="AE481" t="n">
        <v>111.133</v>
      </c>
      <c r="AF481" t="n">
        <v>1.072776031070834</v>
      </c>
      <c r="AG481" t="n">
        <v>119.220818660995</v>
      </c>
      <c r="AH481" t="n">
        <v>694.38</v>
      </c>
      <c r="AI481" t="n">
        <v>0.875</v>
      </c>
      <c r="AJ481" t="n">
        <v>72.43648305409401</v>
      </c>
      <c r="AK481" t="n">
        <v>0.8826000000000001</v>
      </c>
      <c r="AL481" t="n">
        <v>63.932</v>
      </c>
      <c r="AM481" t="n">
        <v>8.9176</v>
      </c>
      <c r="AN481" t="n">
        <v>9.566587534677272</v>
      </c>
      <c r="AO481" t="n">
        <v>0.913</v>
      </c>
      <c r="AP481" t="n">
        <v>6064.919358776563</v>
      </c>
      <c r="AQ481" t="n">
        <v>1.016858412119831</v>
      </c>
      <c r="AR481" t="n">
        <v>6167.1643</v>
      </c>
      <c r="AS481" t="n">
        <v>50046.49512104</v>
      </c>
      <c r="AT481" t="inlineStr">
        <is>
          <t>PNP_16T_02-11-2020</t>
        </is>
      </c>
      <c r="AU481" t="inlineStr">
        <is>
          <t>PNCP_2T_10-02-2020</t>
        </is>
      </c>
      <c r="AV481" t="inlineStr">
        <is>
          <t>PNCP_4T_30-04-2013</t>
        </is>
      </c>
      <c r="AW481" t="inlineStr">
        <is>
          <t>PUERTO MONTT 220</t>
        </is>
      </c>
      <c r="AX481" t="n">
        <v>111.133</v>
      </c>
      <c r="AY481" t="n">
        <v>1.080821157758461</v>
      </c>
      <c r="AZ481" t="n">
        <v>120.1148977251711</v>
      </c>
      <c r="BA481" t="n">
        <v>779.3099999999999</v>
      </c>
      <c r="BB481" t="n">
        <v>0.879</v>
      </c>
      <c r="BC481" t="n">
        <v>82.2803252917125</v>
      </c>
      <c r="BD481" t="n">
        <v>0.8421</v>
      </c>
      <c r="BE481" t="n">
        <v>69.288</v>
      </c>
      <c r="BF481" t="n">
        <v>8.9176</v>
      </c>
      <c r="BG481" t="n">
        <v>0.804</v>
      </c>
      <c r="BH481" t="n">
        <v>6039.043023599974</v>
      </c>
      <c r="BI481" t="n">
        <v>1.02699624102973</v>
      </c>
      <c r="BJ481" t="n">
        <v>6202.0745</v>
      </c>
      <c r="BK481" t="n">
        <v>54239.21594736</v>
      </c>
    </row>
    <row r="482">
      <c r="A482" t="n">
        <v>1943</v>
      </c>
      <c r="B482" t="inlineStr">
        <is>
          <t>01-12-2020</t>
        </is>
      </c>
      <c r="C482" t="n">
        <v>2020</v>
      </c>
      <c r="D482" t="n">
        <v>1</v>
      </c>
      <c r="E482" t="inlineStr">
        <is>
          <t>CAREN</t>
        </is>
      </c>
      <c r="F482" t="inlineStr">
        <is>
          <t>SUM_SAESA_A</t>
        </is>
      </c>
      <c r="G482" t="inlineStr">
        <is>
          <t>A</t>
        </is>
      </c>
      <c r="H482" t="inlineStr">
        <is>
          <t>SAESA</t>
        </is>
      </c>
      <c r="I482" t="inlineStr">
        <is>
          <t>SAESCOLABLOQA</t>
        </is>
      </c>
      <c r="J482" t="inlineStr">
        <is>
          <t>COLACO</t>
        </is>
      </c>
      <c r="K482" t="n">
        <v>-3322.5012971</v>
      </c>
      <c r="L482" t="inlineStr">
        <is>
          <t>COLACO</t>
        </is>
      </c>
      <c r="M482" t="inlineStr">
        <is>
          <t>VALDIVIA</t>
        </is>
      </c>
      <c r="N482" t="n">
        <v>4.787859128e-05</v>
      </c>
      <c r="O482" t="n">
        <v>0.159077</v>
      </c>
      <c r="P482" t="inlineStr">
        <is>
          <t>BS1A</t>
        </is>
      </c>
      <c r="Q482" t="n">
        <v>2</v>
      </c>
      <c r="V482" t="n">
        <v>1472834.063</v>
      </c>
      <c r="W482" t="n">
        <v>2</v>
      </c>
      <c r="X482" t="n">
        <v>8.487e-08</v>
      </c>
      <c r="Y482" t="n">
        <v>0.249999</v>
      </c>
      <c r="Z482" t="n">
        <v>0.039769</v>
      </c>
      <c r="AA482" t="inlineStr">
        <is>
          <t>PNP_6T_08-05-2020</t>
        </is>
      </c>
      <c r="AB482" t="inlineStr">
        <is>
          <t>PNCP_9T_12-08-2019</t>
        </is>
      </c>
      <c r="AC482" t="inlineStr">
        <is>
          <t>PNCP_4T_30-04-2013</t>
        </is>
      </c>
      <c r="AD482" t="inlineStr">
        <is>
          <t>VALDIVIA 220</t>
        </is>
      </c>
      <c r="AE482" t="n">
        <v>111.133</v>
      </c>
      <c r="AF482" t="n">
        <v>1.072776031070834</v>
      </c>
      <c r="AG482" t="n">
        <v>119.220818660995</v>
      </c>
      <c r="AH482" t="n">
        <v>694.38</v>
      </c>
      <c r="AI482" t="n">
        <v>0.875</v>
      </c>
      <c r="AJ482" t="n">
        <v>72.43648305409401</v>
      </c>
      <c r="AK482" t="n">
        <v>0.913</v>
      </c>
      <c r="AL482" t="n">
        <v>66.13500000000001</v>
      </c>
      <c r="AM482" t="n">
        <v>8.9176</v>
      </c>
      <c r="AN482" t="n">
        <v>9.566587534677272</v>
      </c>
      <c r="AO482" t="n">
        <v>0.913</v>
      </c>
      <c r="AP482" t="n">
        <v>6064.919358776563</v>
      </c>
      <c r="AQ482" t="n">
        <v>1.051287819142954</v>
      </c>
      <c r="AR482" t="n">
        <v>6375.9758</v>
      </c>
      <c r="AS482" t="n">
        <v>2.630122815</v>
      </c>
      <c r="AT482" t="inlineStr">
        <is>
          <t>PNP_16T_02-11-2020</t>
        </is>
      </c>
      <c r="AU482" t="inlineStr">
        <is>
          <t>PNCP_2T_10-02-2020</t>
        </is>
      </c>
      <c r="AV482" t="inlineStr">
        <is>
          <t>PNCP_4T_30-04-2013</t>
        </is>
      </c>
      <c r="AW482" t="inlineStr">
        <is>
          <t>VALDIVIA 220</t>
        </is>
      </c>
      <c r="AX482" t="n">
        <v>111.133</v>
      </c>
      <c r="AY482" t="n">
        <v>1.080821157758461</v>
      </c>
      <c r="AZ482" t="n">
        <v>120.1148977251711</v>
      </c>
      <c r="BA482" t="n">
        <v>779.3099999999999</v>
      </c>
      <c r="BB482" t="n">
        <v>0.879</v>
      </c>
      <c r="BC482" t="n">
        <v>82.2803252917125</v>
      </c>
      <c r="BD482" t="n">
        <v>0.9167</v>
      </c>
      <c r="BE482" t="n">
        <v>75.426</v>
      </c>
      <c r="BF482" t="n">
        <v>8.9176</v>
      </c>
      <c r="BG482" t="n">
        <v>0.804</v>
      </c>
      <c r="BH482" t="n">
        <v>6039.043023599974</v>
      </c>
      <c r="BI482" t="n">
        <v>1.096052187605444</v>
      </c>
      <c r="BJ482" t="n">
        <v>6619.1063</v>
      </c>
      <c r="BK482" t="n">
        <v>2.999616594</v>
      </c>
    </row>
    <row r="483">
      <c r="A483" t="n">
        <v>1939</v>
      </c>
      <c r="B483" t="inlineStr">
        <is>
          <t>01-12-2020</t>
        </is>
      </c>
      <c r="C483" t="n">
        <v>2020</v>
      </c>
      <c r="D483" t="n">
        <v>1</v>
      </c>
      <c r="E483" t="inlineStr">
        <is>
          <t>CAREN</t>
        </is>
      </c>
      <c r="F483" t="inlineStr">
        <is>
          <t>SUM_SAESA_A</t>
        </is>
      </c>
      <c r="G483" t="inlineStr">
        <is>
          <t>A</t>
        </is>
      </c>
      <c r="H483" t="inlineStr">
        <is>
          <t>SAESA</t>
        </is>
      </c>
      <c r="I483" t="inlineStr">
        <is>
          <t>SAESCORRBLOQA</t>
        </is>
      </c>
      <c r="J483" t="inlineStr">
        <is>
          <t>CORRAL</t>
        </is>
      </c>
      <c r="K483" t="n">
        <v>-985.0401703</v>
      </c>
      <c r="L483" t="inlineStr">
        <is>
          <t>CORRAL</t>
        </is>
      </c>
      <c r="M483" t="inlineStr">
        <is>
          <t>BARRO BLANCO</t>
        </is>
      </c>
      <c r="N483" t="n">
        <v>0.04422460710479</v>
      </c>
      <c r="O483" t="n">
        <v>43.563015</v>
      </c>
      <c r="P483" t="inlineStr">
        <is>
          <t>BS1A</t>
        </is>
      </c>
      <c r="Q483" t="n">
        <v>2</v>
      </c>
      <c r="V483" t="n">
        <v>1472834.063</v>
      </c>
      <c r="W483" t="n">
        <v>2</v>
      </c>
      <c r="X483" t="n">
        <v>8.487e-08</v>
      </c>
      <c r="Y483" t="n">
        <v>0.249999</v>
      </c>
      <c r="Z483" t="n">
        <v>10.89071</v>
      </c>
      <c r="AA483" t="inlineStr">
        <is>
          <t>PNP_6T_08-05-2020</t>
        </is>
      </c>
      <c r="AB483" t="inlineStr">
        <is>
          <t>PNCP_9T_12-08-2019</t>
        </is>
      </c>
      <c r="AC483" t="inlineStr">
        <is>
          <t>PNCP_4T_30-04-2013</t>
        </is>
      </c>
      <c r="AD483" t="inlineStr">
        <is>
          <t>Barro Blanco 220</t>
        </is>
      </c>
      <c r="AE483" t="n">
        <v>111.133</v>
      </c>
      <c r="AF483" t="n">
        <v>1.072776031070834</v>
      </c>
      <c r="AG483" t="n">
        <v>119.220818660995</v>
      </c>
      <c r="AH483" t="n">
        <v>694.38</v>
      </c>
      <c r="AI483" t="n">
        <v>0.875</v>
      </c>
      <c r="AJ483" t="n">
        <v>72.43648305409401</v>
      </c>
      <c r="AK483" t="n">
        <v>0.8631</v>
      </c>
      <c r="AL483" t="n">
        <v>62.52</v>
      </c>
      <c r="AM483" t="n">
        <v>8.9176</v>
      </c>
      <c r="AN483" t="n">
        <v>9.566587534677272</v>
      </c>
      <c r="AO483" t="n">
        <v>0.913</v>
      </c>
      <c r="AP483" t="n">
        <v>6064.919358776563</v>
      </c>
      <c r="AQ483" t="n">
        <v>1.004432825642191</v>
      </c>
      <c r="AR483" t="n">
        <v>6091.8041</v>
      </c>
      <c r="AS483" t="n">
        <v>680.8871892000001</v>
      </c>
      <c r="AT483" t="inlineStr">
        <is>
          <t>PNP_16T_02-11-2020</t>
        </is>
      </c>
      <c r="AU483" t="inlineStr">
        <is>
          <t>PNCP_2T_10-02-2020</t>
        </is>
      </c>
      <c r="AV483" t="inlineStr">
        <is>
          <t>PNCP_4T_30-04-2013</t>
        </is>
      </c>
      <c r="AW483" t="inlineStr">
        <is>
          <t>Barro Blanco 220</t>
        </is>
      </c>
      <c r="AX483" t="n">
        <v>111.133</v>
      </c>
      <c r="AY483" t="n">
        <v>1.080821157758461</v>
      </c>
      <c r="AZ483" t="n">
        <v>120.1148977251711</v>
      </c>
      <c r="BA483" t="n">
        <v>779.3099999999999</v>
      </c>
      <c r="BB483" t="n">
        <v>0.879</v>
      </c>
      <c r="BC483" t="n">
        <v>82.2803252917125</v>
      </c>
      <c r="BD483" t="n">
        <v>0.846</v>
      </c>
      <c r="BE483" t="n">
        <v>69.60899999999999</v>
      </c>
      <c r="BF483" t="n">
        <v>8.9176</v>
      </c>
      <c r="BG483" t="n">
        <v>0.804</v>
      </c>
      <c r="BH483" t="n">
        <v>6039.043023599974</v>
      </c>
      <c r="BI483" t="n">
        <v>1.011820868379177</v>
      </c>
      <c r="BJ483" t="n">
        <v>6110.4298</v>
      </c>
      <c r="BK483" t="n">
        <v>758.0914323899999</v>
      </c>
    </row>
    <row r="484">
      <c r="A484" t="n">
        <v>1941</v>
      </c>
      <c r="B484" t="inlineStr">
        <is>
          <t>01-12-2020</t>
        </is>
      </c>
      <c r="C484" t="n">
        <v>2020</v>
      </c>
      <c r="D484" t="n">
        <v>1</v>
      </c>
      <c r="E484" t="inlineStr">
        <is>
          <t>CAREN</t>
        </is>
      </c>
      <c r="F484" t="inlineStr">
        <is>
          <t>SUM_SAESA_A</t>
        </is>
      </c>
      <c r="G484" t="inlineStr">
        <is>
          <t>A</t>
        </is>
      </c>
      <c r="H484" t="inlineStr">
        <is>
          <t>SAESA</t>
        </is>
      </c>
      <c r="I484" t="inlineStr">
        <is>
          <t>SAESCORRBLOQA</t>
        </is>
      </c>
      <c r="J484" t="inlineStr">
        <is>
          <t>CORRAL</t>
        </is>
      </c>
      <c r="K484" t="n">
        <v>-985.0401703</v>
      </c>
      <c r="L484" t="inlineStr">
        <is>
          <t>CORRAL</t>
        </is>
      </c>
      <c r="M484" t="inlineStr">
        <is>
          <t>MELIPULLI</t>
        </is>
      </c>
      <c r="N484" t="n">
        <v>0.00149371242326</v>
      </c>
      <c r="O484" t="n">
        <v>1.471367</v>
      </c>
      <c r="P484" t="inlineStr">
        <is>
          <t>BS1A</t>
        </is>
      </c>
      <c r="Q484" t="n">
        <v>2</v>
      </c>
      <c r="V484" t="n">
        <v>1472834.063</v>
      </c>
      <c r="W484" t="n">
        <v>2</v>
      </c>
      <c r="X484" t="n">
        <v>8.487e-08</v>
      </c>
      <c r="Y484" t="n">
        <v>0.249999</v>
      </c>
      <c r="Z484" t="n">
        <v>0.36784</v>
      </c>
      <c r="AA484" t="inlineStr">
        <is>
          <t>PNP_6T_08-05-2020</t>
        </is>
      </c>
      <c r="AB484" t="inlineStr">
        <is>
          <t>PNCP_9T_12-08-2019</t>
        </is>
      </c>
      <c r="AC484" t="inlineStr">
        <is>
          <t>PNCP_4T_30-04-2013</t>
        </is>
      </c>
      <c r="AD484" t="inlineStr">
        <is>
          <t>MELIPULLI 220</t>
        </is>
      </c>
      <c r="AE484" t="n">
        <v>111.133</v>
      </c>
      <c r="AF484" t="n">
        <v>1.072776031070834</v>
      </c>
      <c r="AG484" t="n">
        <v>119.220818660995</v>
      </c>
      <c r="AH484" t="n">
        <v>694.38</v>
      </c>
      <c r="AI484" t="n">
        <v>0.875</v>
      </c>
      <c r="AJ484" t="n">
        <v>72.43648305409401</v>
      </c>
      <c r="AK484" t="n">
        <v>0.8826000000000001</v>
      </c>
      <c r="AL484" t="n">
        <v>63.932</v>
      </c>
      <c r="AM484" t="n">
        <v>8.9176</v>
      </c>
      <c r="AN484" t="n">
        <v>9.566587534677272</v>
      </c>
      <c r="AO484" t="n">
        <v>0.913</v>
      </c>
      <c r="AP484" t="n">
        <v>6064.919358776563</v>
      </c>
      <c r="AQ484" t="n">
        <v>1</v>
      </c>
      <c r="AR484" t="n">
        <v>6064.9194</v>
      </c>
      <c r="AS484" t="n">
        <v>23.51674688</v>
      </c>
      <c r="AT484" t="inlineStr">
        <is>
          <t>PNP_16T_02-11-2020</t>
        </is>
      </c>
      <c r="AU484" t="inlineStr">
        <is>
          <t>PNCP_2T_10-02-2020</t>
        </is>
      </c>
      <c r="AV484" t="inlineStr">
        <is>
          <t>PNCP_4T_30-04-2013</t>
        </is>
      </c>
      <c r="AW484" t="inlineStr">
        <is>
          <t>MELIPULLI 220</t>
        </is>
      </c>
      <c r="AX484" t="n">
        <v>111.133</v>
      </c>
      <c r="AY484" t="n">
        <v>1.080821157758461</v>
      </c>
      <c r="AZ484" t="n">
        <v>120.1148977251711</v>
      </c>
      <c r="BA484" t="n">
        <v>779.3099999999999</v>
      </c>
      <c r="BB484" t="n">
        <v>0.879</v>
      </c>
      <c r="BC484" t="n">
        <v>82.2803252917125</v>
      </c>
      <c r="BD484" t="n">
        <v>0.8421</v>
      </c>
      <c r="BE484" t="n">
        <v>69.288</v>
      </c>
      <c r="BF484" t="n">
        <v>8.9176</v>
      </c>
      <c r="BG484" t="n">
        <v>0.804</v>
      </c>
      <c r="BH484" t="n">
        <v>6039.043023599974</v>
      </c>
      <c r="BI484" t="n">
        <v>1</v>
      </c>
      <c r="BJ484" t="n">
        <v>6039.043</v>
      </c>
      <c r="BK484" t="n">
        <v>25.48689792</v>
      </c>
    </row>
    <row r="485">
      <c r="A485" t="n">
        <v>1943</v>
      </c>
      <c r="B485" t="inlineStr">
        <is>
          <t>01-12-2020</t>
        </is>
      </c>
      <c r="C485" t="n">
        <v>2020</v>
      </c>
      <c r="D485" t="n">
        <v>1</v>
      </c>
      <c r="E485" t="inlineStr">
        <is>
          <t>CAREN</t>
        </is>
      </c>
      <c r="F485" t="inlineStr">
        <is>
          <t>SUM_SAESA_A</t>
        </is>
      </c>
      <c r="G485" t="inlineStr">
        <is>
          <t>A</t>
        </is>
      </c>
      <c r="H485" t="inlineStr">
        <is>
          <t>SAESA</t>
        </is>
      </c>
      <c r="I485" t="inlineStr">
        <is>
          <t>SAESCORRBLOQA</t>
        </is>
      </c>
      <c r="J485" t="inlineStr">
        <is>
          <t>CORRAL</t>
        </is>
      </c>
      <c r="K485" t="n">
        <v>-985.0401703</v>
      </c>
      <c r="L485" t="inlineStr">
        <is>
          <t>CORRAL</t>
        </is>
      </c>
      <c r="M485" t="inlineStr">
        <is>
          <t>VALDIVIA</t>
        </is>
      </c>
      <c r="N485" t="n">
        <v>0.81710771051722</v>
      </c>
      <c r="O485" t="n">
        <v>804.883918</v>
      </c>
      <c r="P485" t="inlineStr">
        <is>
          <t>BS1A</t>
        </is>
      </c>
      <c r="Q485" t="n">
        <v>2</v>
      </c>
      <c r="V485" t="n">
        <v>1472834.063</v>
      </c>
      <c r="W485" t="n">
        <v>2</v>
      </c>
      <c r="X485" t="n">
        <v>8.487e-08</v>
      </c>
      <c r="Y485" t="n">
        <v>0.249999</v>
      </c>
      <c r="Z485" t="n">
        <v>201.220175</v>
      </c>
      <c r="AA485" t="inlineStr">
        <is>
          <t>PNP_6T_08-05-2020</t>
        </is>
      </c>
      <c r="AB485" t="inlineStr">
        <is>
          <t>PNCP_9T_12-08-2019</t>
        </is>
      </c>
      <c r="AC485" t="inlineStr">
        <is>
          <t>PNCP_4T_30-04-2013</t>
        </is>
      </c>
      <c r="AD485" t="inlineStr">
        <is>
          <t>VALDIVIA 220</t>
        </is>
      </c>
      <c r="AE485" t="n">
        <v>111.133</v>
      </c>
      <c r="AF485" t="n">
        <v>1.072776031070834</v>
      </c>
      <c r="AG485" t="n">
        <v>119.220818660995</v>
      </c>
      <c r="AH485" t="n">
        <v>694.38</v>
      </c>
      <c r="AI485" t="n">
        <v>0.875</v>
      </c>
      <c r="AJ485" t="n">
        <v>72.43648305409401</v>
      </c>
      <c r="AK485" t="n">
        <v>0.913</v>
      </c>
      <c r="AL485" t="n">
        <v>66.13500000000001</v>
      </c>
      <c r="AM485" t="n">
        <v>8.9176</v>
      </c>
      <c r="AN485" t="n">
        <v>9.566587534677272</v>
      </c>
      <c r="AO485" t="n">
        <v>0.913</v>
      </c>
      <c r="AP485" t="n">
        <v>6064.919358776563</v>
      </c>
      <c r="AQ485" t="n">
        <v>1.051287819142954</v>
      </c>
      <c r="AR485" t="n">
        <v>6375.9758</v>
      </c>
      <c r="AS485" t="n">
        <v>13307.696273625</v>
      </c>
      <c r="AT485" t="inlineStr">
        <is>
          <t>PNP_16T_02-11-2020</t>
        </is>
      </c>
      <c r="AU485" t="inlineStr">
        <is>
          <t>PNCP_2T_10-02-2020</t>
        </is>
      </c>
      <c r="AV485" t="inlineStr">
        <is>
          <t>PNCP_4T_30-04-2013</t>
        </is>
      </c>
      <c r="AW485" t="inlineStr">
        <is>
          <t>VALDIVIA 220</t>
        </is>
      </c>
      <c r="AX485" t="n">
        <v>111.133</v>
      </c>
      <c r="AY485" t="n">
        <v>1.080821157758461</v>
      </c>
      <c r="AZ485" t="n">
        <v>120.1148977251711</v>
      </c>
      <c r="BA485" t="n">
        <v>779.3099999999999</v>
      </c>
      <c r="BB485" t="n">
        <v>0.879</v>
      </c>
      <c r="BC485" t="n">
        <v>82.2803252917125</v>
      </c>
      <c r="BD485" t="n">
        <v>0.9167</v>
      </c>
      <c r="BE485" t="n">
        <v>75.426</v>
      </c>
      <c r="BF485" t="n">
        <v>8.9176</v>
      </c>
      <c r="BG485" t="n">
        <v>0.804</v>
      </c>
      <c r="BH485" t="n">
        <v>6039.043023599974</v>
      </c>
      <c r="BI485" t="n">
        <v>1.096052187605444</v>
      </c>
      <c r="BJ485" t="n">
        <v>6619.1063</v>
      </c>
      <c r="BK485" t="n">
        <v>15177.23291955</v>
      </c>
    </row>
    <row r="486">
      <c r="A486" t="n">
        <v>647</v>
      </c>
      <c r="B486" t="inlineStr">
        <is>
          <t>01-12-2020</t>
        </is>
      </c>
      <c r="C486" t="n">
        <v>2020</v>
      </c>
      <c r="D486" t="n">
        <v>1</v>
      </c>
      <c r="E486" t="inlineStr">
        <is>
          <t>CAREN</t>
        </is>
      </c>
      <c r="F486" t="inlineStr">
        <is>
          <t>SUM_SAESA_A</t>
        </is>
      </c>
      <c r="G486" t="inlineStr">
        <is>
          <t>A</t>
        </is>
      </c>
      <c r="H486" t="inlineStr">
        <is>
          <t>SAESA</t>
        </is>
      </c>
      <c r="I486" t="inlineStr">
        <is>
          <t>SAESDALCBLOQA</t>
        </is>
      </c>
      <c r="J486" t="inlineStr">
        <is>
          <t>DALCAHUE</t>
        </is>
      </c>
      <c r="K486" t="n">
        <v>-5421.38519183</v>
      </c>
      <c r="L486" t="inlineStr">
        <is>
          <t>DALCAHUE</t>
        </is>
      </c>
      <c r="M486" t="inlineStr">
        <is>
          <t>CHILOE</t>
        </is>
      </c>
      <c r="N486" t="n">
        <v>0.80502839238442</v>
      </c>
      <c r="O486" t="n">
        <v>4364.369005</v>
      </c>
      <c r="P486" t="inlineStr">
        <is>
          <t>BS1A</t>
        </is>
      </c>
      <c r="Q486" t="n">
        <v>2</v>
      </c>
      <c r="V486" t="n">
        <v>1472834.063</v>
      </c>
      <c r="W486" t="n">
        <v>2</v>
      </c>
      <c r="X486" t="n">
        <v>8.487e-08</v>
      </c>
      <c r="Y486" t="n">
        <v>0.249999</v>
      </c>
      <c r="Z486" t="n">
        <v>1091.087887</v>
      </c>
      <c r="AA486" t="inlineStr">
        <is>
          <t>PNP_6T_08-05-2020</t>
        </is>
      </c>
      <c r="AB486" t="inlineStr">
        <is>
          <t>PNCP_9T_12-08-2019</t>
        </is>
      </c>
      <c r="AC486" t="inlineStr">
        <is>
          <t>PNCP_4T_30-04-2013</t>
        </is>
      </c>
      <c r="AD486" t="inlineStr">
        <is>
          <t>CHILOE 220</t>
        </is>
      </c>
      <c r="AE486" t="n">
        <v>111.133</v>
      </c>
      <c r="AF486" t="n">
        <v>1.072776031070834</v>
      </c>
      <c r="AG486" t="n">
        <v>119.220818660995</v>
      </c>
      <c r="AH486" t="n">
        <v>694.38</v>
      </c>
      <c r="AI486" t="n">
        <v>0.875</v>
      </c>
      <c r="AJ486" t="n">
        <v>72.43648305409401</v>
      </c>
      <c r="AK486" t="n">
        <v>0.8903</v>
      </c>
      <c r="AL486" t="n">
        <v>64.48999999999999</v>
      </c>
      <c r="AM486" t="n">
        <v>8.9176</v>
      </c>
      <c r="AN486" t="n">
        <v>9.566587534677272</v>
      </c>
      <c r="AO486" t="n">
        <v>0.913</v>
      </c>
      <c r="AP486" t="n">
        <v>6064.919358776563</v>
      </c>
      <c r="AQ486" t="n">
        <v>1</v>
      </c>
      <c r="AR486" t="n">
        <v>6064.9194</v>
      </c>
      <c r="AS486" t="n">
        <v>70364.25783262998</v>
      </c>
      <c r="AT486" t="inlineStr">
        <is>
          <t>PNP_16T_02-11-2020</t>
        </is>
      </c>
      <c r="AU486" t="inlineStr">
        <is>
          <t>PNCP_2T_10-02-2020</t>
        </is>
      </c>
      <c r="AV486" t="inlineStr">
        <is>
          <t>PNCP_4T_30-04-2013</t>
        </is>
      </c>
      <c r="AW486" t="inlineStr">
        <is>
          <t>CHILOE 220</t>
        </is>
      </c>
      <c r="AX486" t="n">
        <v>111.133</v>
      </c>
      <c r="AY486" t="n">
        <v>1.080821157758461</v>
      </c>
      <c r="AZ486" t="n">
        <v>120.1148977251711</v>
      </c>
      <c r="BA486" t="n">
        <v>779.3099999999999</v>
      </c>
      <c r="BB486" t="n">
        <v>0.879</v>
      </c>
      <c r="BC486" t="n">
        <v>82.2803252917125</v>
      </c>
      <c r="BD486" t="n">
        <v>0.8486</v>
      </c>
      <c r="BE486" t="n">
        <v>69.82299999999999</v>
      </c>
      <c r="BF486" t="n">
        <v>8.9176</v>
      </c>
      <c r="BG486" t="n">
        <v>0.804</v>
      </c>
      <c r="BH486" t="n">
        <v>6039.043023599974</v>
      </c>
      <c r="BI486" t="n">
        <v>1</v>
      </c>
      <c r="BJ486" t="n">
        <v>6039.043</v>
      </c>
      <c r="BK486" t="n">
        <v>76183.02953400099</v>
      </c>
    </row>
    <row r="487">
      <c r="A487" t="n">
        <v>1293</v>
      </c>
      <c r="B487" t="inlineStr">
        <is>
          <t>01-12-2020</t>
        </is>
      </c>
      <c r="C487" t="n">
        <v>2020</v>
      </c>
      <c r="D487" t="n">
        <v>1</v>
      </c>
      <c r="E487" t="inlineStr">
        <is>
          <t>CAREN</t>
        </is>
      </c>
      <c r="F487" t="inlineStr">
        <is>
          <t>SUM_SAESA_A</t>
        </is>
      </c>
      <c r="G487" t="inlineStr">
        <is>
          <t>A</t>
        </is>
      </c>
      <c r="H487" t="inlineStr">
        <is>
          <t>SAESA</t>
        </is>
      </c>
      <c r="I487" t="inlineStr">
        <is>
          <t>SAESDEGABLOQA</t>
        </is>
      </c>
      <c r="J487" t="inlineStr">
        <is>
          <t>DEGAÑ</t>
        </is>
      </c>
      <c r="K487" t="n">
        <v>-1380.66764045</v>
      </c>
      <c r="L487" t="inlineStr">
        <is>
          <t>DEGAÑ</t>
        </is>
      </c>
      <c r="M487" t="inlineStr">
        <is>
          <t>CHILOE</t>
        </is>
      </c>
      <c r="N487" t="n">
        <v>0.79707666555721</v>
      </c>
      <c r="O487" t="n">
        <v>1100.497959</v>
      </c>
      <c r="P487" t="inlineStr">
        <is>
          <t>BS1A</t>
        </is>
      </c>
      <c r="Q487" t="n">
        <v>2</v>
      </c>
      <c r="V487" t="n">
        <v>1472834.063</v>
      </c>
      <c r="W487" t="n">
        <v>2</v>
      </c>
      <c r="X487" t="n">
        <v>8.487e-08</v>
      </c>
      <c r="Y487" t="n">
        <v>0.249999</v>
      </c>
      <c r="Z487" t="n">
        <v>275.123389</v>
      </c>
      <c r="AA487" t="inlineStr">
        <is>
          <t>PNP_6T_08-05-2020</t>
        </is>
      </c>
      <c r="AB487" t="inlineStr">
        <is>
          <t>PNCP_9T_12-08-2019</t>
        </is>
      </c>
      <c r="AC487" t="inlineStr">
        <is>
          <t>PNCP_4T_30-04-2013</t>
        </is>
      </c>
      <c r="AD487" t="inlineStr">
        <is>
          <t>CHILOE 220</t>
        </is>
      </c>
      <c r="AE487" t="n">
        <v>111.133</v>
      </c>
      <c r="AF487" t="n">
        <v>1.072776031070834</v>
      </c>
      <c r="AG487" t="n">
        <v>119.220818660995</v>
      </c>
      <c r="AH487" t="n">
        <v>694.38</v>
      </c>
      <c r="AI487" t="n">
        <v>0.875</v>
      </c>
      <c r="AJ487" t="n">
        <v>72.43648305409401</v>
      </c>
      <c r="AK487" t="n">
        <v>0.8903</v>
      </c>
      <c r="AL487" t="n">
        <v>64.48999999999999</v>
      </c>
      <c r="AM487" t="n">
        <v>8.9176</v>
      </c>
      <c r="AN487" t="n">
        <v>9.566587534677272</v>
      </c>
      <c r="AO487" t="n">
        <v>0.913</v>
      </c>
      <c r="AP487" t="n">
        <v>6064.919358776563</v>
      </c>
      <c r="AQ487" t="n">
        <v>1</v>
      </c>
      <c r="AR487" t="n">
        <v>6064.9194</v>
      </c>
      <c r="AS487" t="n">
        <v>17742.70735661</v>
      </c>
      <c r="AT487" t="inlineStr">
        <is>
          <t>PNP_16T_02-11-2020</t>
        </is>
      </c>
      <c r="AU487" t="inlineStr">
        <is>
          <t>PNCP_2T_10-02-2020</t>
        </is>
      </c>
      <c r="AV487" t="inlineStr">
        <is>
          <t>PNCP_4T_30-04-2013</t>
        </is>
      </c>
      <c r="AW487" t="inlineStr">
        <is>
          <t>CHILOE 220</t>
        </is>
      </c>
      <c r="AX487" t="n">
        <v>111.133</v>
      </c>
      <c r="AY487" t="n">
        <v>1.080821157758461</v>
      </c>
      <c r="AZ487" t="n">
        <v>120.1148977251711</v>
      </c>
      <c r="BA487" t="n">
        <v>779.3099999999999</v>
      </c>
      <c r="BB487" t="n">
        <v>0.879</v>
      </c>
      <c r="BC487" t="n">
        <v>82.2803252917125</v>
      </c>
      <c r="BD487" t="n">
        <v>0.8486</v>
      </c>
      <c r="BE487" t="n">
        <v>69.82299999999999</v>
      </c>
      <c r="BF487" t="n">
        <v>8.9176</v>
      </c>
      <c r="BG487" t="n">
        <v>0.804</v>
      </c>
      <c r="BH487" t="n">
        <v>6039.043023599974</v>
      </c>
      <c r="BI487" t="n">
        <v>1</v>
      </c>
      <c r="BJ487" t="n">
        <v>6039.043</v>
      </c>
      <c r="BK487" t="n">
        <v>19209.940390147</v>
      </c>
    </row>
    <row r="488">
      <c r="A488" t="n">
        <v>1295</v>
      </c>
      <c r="B488" t="inlineStr">
        <is>
          <t>01-12-2020</t>
        </is>
      </c>
      <c r="C488" t="n">
        <v>2020</v>
      </c>
      <c r="D488" t="n">
        <v>1</v>
      </c>
      <c r="E488" t="inlineStr">
        <is>
          <t>CAREN</t>
        </is>
      </c>
      <c r="F488" t="inlineStr">
        <is>
          <t>SUM_SAESA_A</t>
        </is>
      </c>
      <c r="G488" t="inlineStr">
        <is>
          <t>A</t>
        </is>
      </c>
      <c r="H488" t="inlineStr">
        <is>
          <t>SAESA</t>
        </is>
      </c>
      <c r="I488" t="inlineStr">
        <is>
          <t>SAESDEGABLOQA</t>
        </is>
      </c>
      <c r="J488" t="inlineStr">
        <is>
          <t>DEGAÑ</t>
        </is>
      </c>
      <c r="K488" t="n">
        <v>-1380.66764045</v>
      </c>
      <c r="L488" t="inlineStr">
        <is>
          <t>DEGAÑ</t>
        </is>
      </c>
      <c r="M488" t="inlineStr">
        <is>
          <t>Puerto Montt</t>
        </is>
      </c>
      <c r="N488" t="n">
        <v>0.94243617275767</v>
      </c>
      <c r="O488" t="n">
        <v>1301.191127</v>
      </c>
      <c r="P488" t="inlineStr">
        <is>
          <t>BS1A</t>
        </is>
      </c>
      <c r="Q488" t="n">
        <v>2</v>
      </c>
      <c r="V488" t="n">
        <v>1472834.063</v>
      </c>
      <c r="W488" t="n">
        <v>2</v>
      </c>
      <c r="X488" t="n">
        <v>8.487e-08</v>
      </c>
      <c r="Y488" t="n">
        <v>0.249999</v>
      </c>
      <c r="Z488" t="n">
        <v>325.296481</v>
      </c>
      <c r="AA488" t="inlineStr">
        <is>
          <t>PNP_6T_08-05-2020</t>
        </is>
      </c>
      <c r="AB488" t="inlineStr">
        <is>
          <t>PNCP_9T_12-08-2019</t>
        </is>
      </c>
      <c r="AC488" t="inlineStr">
        <is>
          <t>PNCP_4T_30-04-2013</t>
        </is>
      </c>
      <c r="AD488" t="inlineStr">
        <is>
          <t>PUERTO MONTT 220</t>
        </is>
      </c>
      <c r="AE488" t="n">
        <v>111.133</v>
      </c>
      <c r="AF488" t="n">
        <v>1.072776031070834</v>
      </c>
      <c r="AG488" t="n">
        <v>119.220818660995</v>
      </c>
      <c r="AH488" t="n">
        <v>694.38</v>
      </c>
      <c r="AI488" t="n">
        <v>0.875</v>
      </c>
      <c r="AJ488" t="n">
        <v>72.43648305409401</v>
      </c>
      <c r="AK488" t="n">
        <v>0.8826000000000001</v>
      </c>
      <c r="AL488" t="n">
        <v>63.932</v>
      </c>
      <c r="AM488" t="n">
        <v>8.9176</v>
      </c>
      <c r="AN488" t="n">
        <v>9.566587534677272</v>
      </c>
      <c r="AO488" t="n">
        <v>0.913</v>
      </c>
      <c r="AP488" t="n">
        <v>6064.919358776563</v>
      </c>
      <c r="AQ488" t="n">
        <v>1.016858412119831</v>
      </c>
      <c r="AR488" t="n">
        <v>6167.1643</v>
      </c>
      <c r="AS488" t="n">
        <v>20796.854623292</v>
      </c>
      <c r="AT488" t="inlineStr">
        <is>
          <t>PNP_16T_02-11-2020</t>
        </is>
      </c>
      <c r="AU488" t="inlineStr">
        <is>
          <t>PNCP_2T_10-02-2020</t>
        </is>
      </c>
      <c r="AV488" t="inlineStr">
        <is>
          <t>PNCP_4T_30-04-2013</t>
        </is>
      </c>
      <c r="AW488" t="inlineStr">
        <is>
          <t>PUERTO MONTT 220</t>
        </is>
      </c>
      <c r="AX488" t="n">
        <v>111.133</v>
      </c>
      <c r="AY488" t="n">
        <v>1.080821157758461</v>
      </c>
      <c r="AZ488" t="n">
        <v>120.1148977251711</v>
      </c>
      <c r="BA488" t="n">
        <v>779.3099999999999</v>
      </c>
      <c r="BB488" t="n">
        <v>0.879</v>
      </c>
      <c r="BC488" t="n">
        <v>82.2803252917125</v>
      </c>
      <c r="BD488" t="n">
        <v>0.8421</v>
      </c>
      <c r="BE488" t="n">
        <v>69.288</v>
      </c>
      <c r="BF488" t="n">
        <v>8.9176</v>
      </c>
      <c r="BG488" t="n">
        <v>0.804</v>
      </c>
      <c r="BH488" t="n">
        <v>6039.043023599974</v>
      </c>
      <c r="BI488" t="n">
        <v>1.02699624102973</v>
      </c>
      <c r="BJ488" t="n">
        <v>6202.0745</v>
      </c>
      <c r="BK488" t="n">
        <v>22539.142575528</v>
      </c>
    </row>
    <row r="489">
      <c r="A489" t="n">
        <v>647</v>
      </c>
      <c r="B489" t="inlineStr">
        <is>
          <t>01-12-2020</t>
        </is>
      </c>
      <c r="C489" t="n">
        <v>2020</v>
      </c>
      <c r="D489" t="n">
        <v>1</v>
      </c>
      <c r="E489" t="inlineStr">
        <is>
          <t>CAREN</t>
        </is>
      </c>
      <c r="F489" t="inlineStr">
        <is>
          <t>SUM_SAESA_A</t>
        </is>
      </c>
      <c r="G489" t="inlineStr">
        <is>
          <t>A</t>
        </is>
      </c>
      <c r="H489" t="inlineStr">
        <is>
          <t>SAESA</t>
        </is>
      </c>
      <c r="I489" t="inlineStr">
        <is>
          <t>SAESELEMBLOQA</t>
        </is>
      </c>
      <c r="J489" t="inlineStr">
        <is>
          <t>EMPALME</t>
        </is>
      </c>
      <c r="K489" t="n">
        <v>-2810.71534957</v>
      </c>
      <c r="L489" t="inlineStr">
        <is>
          <t>PARGUA 23</t>
        </is>
      </c>
      <c r="M489" t="inlineStr">
        <is>
          <t>MELIPULLI</t>
        </is>
      </c>
      <c r="N489" t="n">
        <v>0.88336054288962</v>
      </c>
      <c r="O489" t="n">
        <v>2482.875037</v>
      </c>
      <c r="P489" t="inlineStr">
        <is>
          <t>BS1A</t>
        </is>
      </c>
      <c r="Q489" t="n">
        <v>2</v>
      </c>
      <c r="V489" t="n">
        <v>1472834.063</v>
      </c>
      <c r="W489" t="n">
        <v>2</v>
      </c>
      <c r="X489" t="n">
        <v>8.487e-08</v>
      </c>
      <c r="Y489" t="n">
        <v>0.249999</v>
      </c>
      <c r="Z489" t="n">
        <v>620.716276</v>
      </c>
      <c r="AA489" t="inlineStr">
        <is>
          <t>PNP_6T_08-05-2020</t>
        </is>
      </c>
      <c r="AB489" t="inlineStr">
        <is>
          <t>PNCP_9T_12-08-2019</t>
        </is>
      </c>
      <c r="AC489" t="inlineStr">
        <is>
          <t>PNCP_4T_30-04-2013</t>
        </is>
      </c>
      <c r="AD489" t="inlineStr">
        <is>
          <t>MELIPULLI 220</t>
        </is>
      </c>
      <c r="AE489" t="n">
        <v>111.133</v>
      </c>
      <c r="AF489" t="n">
        <v>1.072776031070834</v>
      </c>
      <c r="AG489" t="n">
        <v>119.220818660995</v>
      </c>
      <c r="AH489" t="n">
        <v>694.38</v>
      </c>
      <c r="AI489" t="n">
        <v>0.875</v>
      </c>
      <c r="AJ489" t="n">
        <v>72.43648305409401</v>
      </c>
      <c r="AK489" t="n">
        <v>0.8826000000000001</v>
      </c>
      <c r="AL489" t="n">
        <v>63.932</v>
      </c>
      <c r="AM489" t="n">
        <v>8.9176</v>
      </c>
      <c r="AN489" t="n">
        <v>9.566587534677272</v>
      </c>
      <c r="AO489" t="n">
        <v>0.913</v>
      </c>
      <c r="AP489" t="n">
        <v>6064.919358776563</v>
      </c>
      <c r="AQ489" t="n">
        <v>1</v>
      </c>
      <c r="AR489" t="n">
        <v>6064.9194</v>
      </c>
      <c r="AS489" t="n">
        <v>39683.632957232</v>
      </c>
      <c r="AT489" t="inlineStr">
        <is>
          <t>PNP_16T_02-11-2020</t>
        </is>
      </c>
      <c r="AU489" t="inlineStr">
        <is>
          <t>PNCP_2T_10-02-2020</t>
        </is>
      </c>
      <c r="AV489" t="inlineStr">
        <is>
          <t>PNCP_4T_30-04-2013</t>
        </is>
      </c>
      <c r="AW489" t="inlineStr">
        <is>
          <t>MELIPULLI 220</t>
        </is>
      </c>
      <c r="AX489" t="n">
        <v>111.133</v>
      </c>
      <c r="AY489" t="n">
        <v>1.080821157758461</v>
      </c>
      <c r="AZ489" t="n">
        <v>120.1148977251711</v>
      </c>
      <c r="BA489" t="n">
        <v>779.3099999999999</v>
      </c>
      <c r="BB489" t="n">
        <v>0.879</v>
      </c>
      <c r="BC489" t="n">
        <v>82.2803252917125</v>
      </c>
      <c r="BD489" t="n">
        <v>0.8421</v>
      </c>
      <c r="BE489" t="n">
        <v>69.288</v>
      </c>
      <c r="BF489" t="n">
        <v>8.9176</v>
      </c>
      <c r="BG489" t="n">
        <v>0.804</v>
      </c>
      <c r="BH489" t="n">
        <v>6039.043023599974</v>
      </c>
      <c r="BI489" t="n">
        <v>1</v>
      </c>
      <c r="BJ489" t="n">
        <v>6039.043</v>
      </c>
      <c r="BK489" t="n">
        <v>43008.189331488</v>
      </c>
    </row>
    <row r="490">
      <c r="A490" t="n">
        <v>5193</v>
      </c>
      <c r="B490" t="inlineStr">
        <is>
          <t>01-12-2020</t>
        </is>
      </c>
      <c r="C490" t="n">
        <v>2020</v>
      </c>
      <c r="D490" t="n">
        <v>1</v>
      </c>
      <c r="E490" t="inlineStr">
        <is>
          <t>CAREN</t>
        </is>
      </c>
      <c r="F490" t="inlineStr">
        <is>
          <t>SUM_SAESA_A</t>
        </is>
      </c>
      <c r="G490" t="inlineStr">
        <is>
          <t>A</t>
        </is>
      </c>
      <c r="H490" t="inlineStr">
        <is>
          <t>SAESA</t>
        </is>
      </c>
      <c r="I490" t="inlineStr">
        <is>
          <t>SAESFRUTBLOQA</t>
        </is>
      </c>
      <c r="J490" t="inlineStr">
        <is>
          <t>FRUTILLAR</t>
        </is>
      </c>
      <c r="K490" t="n">
        <v>-5748.70672354</v>
      </c>
      <c r="L490" t="inlineStr">
        <is>
          <t>FRUTILLAR</t>
        </is>
      </c>
      <c r="M490" t="inlineStr">
        <is>
          <t>BARRO BLANCO</t>
        </is>
      </c>
      <c r="N490" t="n">
        <v>0.30829693616367</v>
      </c>
      <c r="O490" t="n">
        <v>1772.30867</v>
      </c>
      <c r="P490" t="inlineStr">
        <is>
          <t>BS1A</t>
        </is>
      </c>
      <c r="Q490" t="n">
        <v>2</v>
      </c>
      <c r="V490" t="n">
        <v>1472834.063</v>
      </c>
      <c r="W490" t="n">
        <v>2</v>
      </c>
      <c r="X490" t="n">
        <v>8.487e-08</v>
      </c>
      <c r="Y490" t="n">
        <v>0.249999</v>
      </c>
      <c r="Z490" t="n">
        <v>443.075395</v>
      </c>
      <c r="AA490" t="inlineStr">
        <is>
          <t>PNP_6T_08-05-2020</t>
        </is>
      </c>
      <c r="AB490" t="inlineStr">
        <is>
          <t>PNCP_9T_12-08-2019</t>
        </is>
      </c>
      <c r="AC490" t="inlineStr">
        <is>
          <t>PNCP_4T_30-04-2013</t>
        </is>
      </c>
      <c r="AD490" t="inlineStr">
        <is>
          <t>Barro Blanco 220</t>
        </is>
      </c>
      <c r="AE490" t="n">
        <v>111.133</v>
      </c>
      <c r="AF490" t="n">
        <v>1.072776031070834</v>
      </c>
      <c r="AG490" t="n">
        <v>119.220818660995</v>
      </c>
      <c r="AH490" t="n">
        <v>694.38</v>
      </c>
      <c r="AI490" t="n">
        <v>0.875</v>
      </c>
      <c r="AJ490" t="n">
        <v>72.43648305409401</v>
      </c>
      <c r="AK490" t="n">
        <v>0.8631</v>
      </c>
      <c r="AL490" t="n">
        <v>62.52</v>
      </c>
      <c r="AM490" t="n">
        <v>8.9176</v>
      </c>
      <c r="AN490" t="n">
        <v>9.566587534677272</v>
      </c>
      <c r="AO490" t="n">
        <v>0.913</v>
      </c>
      <c r="AP490" t="n">
        <v>6064.919358776563</v>
      </c>
      <c r="AQ490" t="n">
        <v>1.004432825642191</v>
      </c>
      <c r="AR490" t="n">
        <v>6091.8041</v>
      </c>
      <c r="AS490" t="n">
        <v>27701.0736954</v>
      </c>
      <c r="AT490" t="inlineStr">
        <is>
          <t>PNP_16T_02-11-2020</t>
        </is>
      </c>
      <c r="AU490" t="inlineStr">
        <is>
          <t>PNCP_2T_10-02-2020</t>
        </is>
      </c>
      <c r="AV490" t="inlineStr">
        <is>
          <t>PNCP_4T_30-04-2013</t>
        </is>
      </c>
      <c r="AW490" t="inlineStr">
        <is>
          <t>Barro Blanco 220</t>
        </is>
      </c>
      <c r="AX490" t="n">
        <v>111.133</v>
      </c>
      <c r="AY490" t="n">
        <v>1.080821157758461</v>
      </c>
      <c r="AZ490" t="n">
        <v>120.1148977251711</v>
      </c>
      <c r="BA490" t="n">
        <v>779.3099999999999</v>
      </c>
      <c r="BB490" t="n">
        <v>0.879</v>
      </c>
      <c r="BC490" t="n">
        <v>82.2803252917125</v>
      </c>
      <c r="BD490" t="n">
        <v>0.846</v>
      </c>
      <c r="BE490" t="n">
        <v>69.60899999999999</v>
      </c>
      <c r="BF490" t="n">
        <v>8.9176</v>
      </c>
      <c r="BG490" t="n">
        <v>0.804</v>
      </c>
      <c r="BH490" t="n">
        <v>6039.043023599974</v>
      </c>
      <c r="BI490" t="n">
        <v>1.011820868379177</v>
      </c>
      <c r="BJ490" t="n">
        <v>6110.4298</v>
      </c>
      <c r="BK490" t="n">
        <v>30842.035170555</v>
      </c>
    </row>
    <row r="491">
      <c r="A491" t="n">
        <v>5195</v>
      </c>
      <c r="B491" t="inlineStr">
        <is>
          <t>01-12-2020</t>
        </is>
      </c>
      <c r="C491" t="n">
        <v>2020</v>
      </c>
      <c r="D491" t="n">
        <v>1</v>
      </c>
      <c r="E491" t="inlineStr">
        <is>
          <t>CAREN</t>
        </is>
      </c>
      <c r="F491" t="inlineStr">
        <is>
          <t>SUM_SAESA_A</t>
        </is>
      </c>
      <c r="G491" t="inlineStr">
        <is>
          <t>A</t>
        </is>
      </c>
      <c r="H491" t="inlineStr">
        <is>
          <t>SAESA</t>
        </is>
      </c>
      <c r="I491" t="inlineStr">
        <is>
          <t>SAESFRUTBLOQA</t>
        </is>
      </c>
      <c r="J491" t="inlineStr">
        <is>
          <t>FRUTILLAR</t>
        </is>
      </c>
      <c r="K491" t="n">
        <v>-5748.70672354</v>
      </c>
      <c r="L491" t="inlineStr">
        <is>
          <t>FRUTILLAR</t>
        </is>
      </c>
      <c r="M491" t="inlineStr">
        <is>
          <t>MELIPULLI</t>
        </is>
      </c>
      <c r="N491" t="n">
        <v>0.58883123332719</v>
      </c>
      <c r="O491" t="n">
        <v>3385.01807</v>
      </c>
      <c r="P491" t="inlineStr">
        <is>
          <t>BS1A</t>
        </is>
      </c>
      <c r="Q491" t="n">
        <v>2</v>
      </c>
      <c r="V491" t="n">
        <v>1472834.063</v>
      </c>
      <c r="W491" t="n">
        <v>2</v>
      </c>
      <c r="X491" t="n">
        <v>8.487e-08</v>
      </c>
      <c r="Y491" t="n">
        <v>0.249999</v>
      </c>
      <c r="Z491" t="n">
        <v>846.251132</v>
      </c>
      <c r="AA491" t="inlineStr">
        <is>
          <t>PNP_6T_08-05-2020</t>
        </is>
      </c>
      <c r="AB491" t="inlineStr">
        <is>
          <t>PNCP_9T_12-08-2019</t>
        </is>
      </c>
      <c r="AC491" t="inlineStr">
        <is>
          <t>PNCP_4T_30-04-2013</t>
        </is>
      </c>
      <c r="AD491" t="inlineStr">
        <is>
          <t>MELIPULLI 220</t>
        </is>
      </c>
      <c r="AE491" t="n">
        <v>111.133</v>
      </c>
      <c r="AF491" t="n">
        <v>1.072776031070834</v>
      </c>
      <c r="AG491" t="n">
        <v>119.220818660995</v>
      </c>
      <c r="AH491" t="n">
        <v>694.38</v>
      </c>
      <c r="AI491" t="n">
        <v>0.875</v>
      </c>
      <c r="AJ491" t="n">
        <v>72.43648305409401</v>
      </c>
      <c r="AK491" t="n">
        <v>0.8826000000000001</v>
      </c>
      <c r="AL491" t="n">
        <v>63.932</v>
      </c>
      <c r="AM491" t="n">
        <v>8.9176</v>
      </c>
      <c r="AN491" t="n">
        <v>9.566587534677272</v>
      </c>
      <c r="AO491" t="n">
        <v>0.913</v>
      </c>
      <c r="AP491" t="n">
        <v>6064.919358776563</v>
      </c>
      <c r="AQ491" t="n">
        <v>1</v>
      </c>
      <c r="AR491" t="n">
        <v>6064.9194</v>
      </c>
      <c r="AS491" t="n">
        <v>54102.527371024</v>
      </c>
      <c r="AT491" t="inlineStr">
        <is>
          <t>PNP_16T_02-11-2020</t>
        </is>
      </c>
      <c r="AU491" t="inlineStr">
        <is>
          <t>PNCP_2T_10-02-2020</t>
        </is>
      </c>
      <c r="AV491" t="inlineStr">
        <is>
          <t>PNCP_4T_30-04-2013</t>
        </is>
      </c>
      <c r="AW491" t="inlineStr">
        <is>
          <t>MELIPULLI 220</t>
        </is>
      </c>
      <c r="AX491" t="n">
        <v>111.133</v>
      </c>
      <c r="AY491" t="n">
        <v>1.080821157758461</v>
      </c>
      <c r="AZ491" t="n">
        <v>120.1148977251711</v>
      </c>
      <c r="BA491" t="n">
        <v>779.3099999999999</v>
      </c>
      <c r="BB491" t="n">
        <v>0.879</v>
      </c>
      <c r="BC491" t="n">
        <v>82.2803252917125</v>
      </c>
      <c r="BD491" t="n">
        <v>0.8421</v>
      </c>
      <c r="BE491" t="n">
        <v>69.288</v>
      </c>
      <c r="BF491" t="n">
        <v>8.9176</v>
      </c>
      <c r="BG491" t="n">
        <v>0.804</v>
      </c>
      <c r="BH491" t="n">
        <v>6039.043023599974</v>
      </c>
      <c r="BI491" t="n">
        <v>1</v>
      </c>
      <c r="BJ491" t="n">
        <v>6039.043</v>
      </c>
      <c r="BK491" t="n">
        <v>58635.048434016</v>
      </c>
    </row>
    <row r="492">
      <c r="A492" t="n">
        <v>5197</v>
      </c>
      <c r="B492" t="inlineStr">
        <is>
          <t>01-12-2020</t>
        </is>
      </c>
      <c r="C492" t="n">
        <v>2020</v>
      </c>
      <c r="D492" t="n">
        <v>1</v>
      </c>
      <c r="E492" t="inlineStr">
        <is>
          <t>CAREN</t>
        </is>
      </c>
      <c r="F492" t="inlineStr">
        <is>
          <t>SUM_SAESA_A</t>
        </is>
      </c>
      <c r="G492" t="inlineStr">
        <is>
          <t>A</t>
        </is>
      </c>
      <c r="H492" t="inlineStr">
        <is>
          <t>SAESA</t>
        </is>
      </c>
      <c r="I492" t="inlineStr">
        <is>
          <t>SAESFRUTBLOQA</t>
        </is>
      </c>
      <c r="J492" t="inlineStr">
        <is>
          <t>FRUTILLAR</t>
        </is>
      </c>
      <c r="K492" t="n">
        <v>-5748.70672354</v>
      </c>
      <c r="L492" t="inlineStr">
        <is>
          <t>FRUTILLAR</t>
        </is>
      </c>
      <c r="M492" t="inlineStr">
        <is>
          <t>Puerto Montt</t>
        </is>
      </c>
      <c r="N492" t="n">
        <v>0.66678954217717</v>
      </c>
      <c r="O492" t="n">
        <v>3833.177524</v>
      </c>
      <c r="P492" t="inlineStr">
        <is>
          <t>BS1A</t>
        </is>
      </c>
      <c r="Q492" t="n">
        <v>2</v>
      </c>
      <c r="V492" t="n">
        <v>1472834.063</v>
      </c>
      <c r="W492" t="n">
        <v>2</v>
      </c>
      <c r="X492" t="n">
        <v>8.487e-08</v>
      </c>
      <c r="Y492" t="n">
        <v>0.249999</v>
      </c>
      <c r="Z492" t="n">
        <v>958.2905479999999</v>
      </c>
      <c r="AA492" t="inlineStr">
        <is>
          <t>PNP_6T_08-05-2020</t>
        </is>
      </c>
      <c r="AB492" t="inlineStr">
        <is>
          <t>PNCP_9T_12-08-2019</t>
        </is>
      </c>
      <c r="AC492" t="inlineStr">
        <is>
          <t>PNCP_4T_30-04-2013</t>
        </is>
      </c>
      <c r="AD492" t="inlineStr">
        <is>
          <t>PUERTO MONTT 220</t>
        </is>
      </c>
      <c r="AE492" t="n">
        <v>111.133</v>
      </c>
      <c r="AF492" t="n">
        <v>1.072776031070834</v>
      </c>
      <c r="AG492" t="n">
        <v>119.220818660995</v>
      </c>
      <c r="AH492" t="n">
        <v>694.38</v>
      </c>
      <c r="AI492" t="n">
        <v>0.875</v>
      </c>
      <c r="AJ492" t="n">
        <v>72.43648305409401</v>
      </c>
      <c r="AK492" t="n">
        <v>0.8826000000000001</v>
      </c>
      <c r="AL492" t="n">
        <v>63.932</v>
      </c>
      <c r="AM492" t="n">
        <v>8.9176</v>
      </c>
      <c r="AN492" t="n">
        <v>9.566587534677272</v>
      </c>
      <c r="AO492" t="n">
        <v>0.913</v>
      </c>
      <c r="AP492" t="n">
        <v>6064.919358776563</v>
      </c>
      <c r="AQ492" t="n">
        <v>1.016858412119831</v>
      </c>
      <c r="AR492" t="n">
        <v>6167.1643</v>
      </c>
      <c r="AS492" t="n">
        <v>61265.431314736</v>
      </c>
      <c r="AT492" t="inlineStr">
        <is>
          <t>PNP_16T_02-11-2020</t>
        </is>
      </c>
      <c r="AU492" t="inlineStr">
        <is>
          <t>PNCP_2T_10-02-2020</t>
        </is>
      </c>
      <c r="AV492" t="inlineStr">
        <is>
          <t>PNCP_4T_30-04-2013</t>
        </is>
      </c>
      <c r="AW492" t="inlineStr">
        <is>
          <t>PUERTO MONTT 220</t>
        </is>
      </c>
      <c r="AX492" t="n">
        <v>111.133</v>
      </c>
      <c r="AY492" t="n">
        <v>1.080821157758461</v>
      </c>
      <c r="AZ492" t="n">
        <v>120.1148977251711</v>
      </c>
      <c r="BA492" t="n">
        <v>779.3099999999999</v>
      </c>
      <c r="BB492" t="n">
        <v>0.879</v>
      </c>
      <c r="BC492" t="n">
        <v>82.2803252917125</v>
      </c>
      <c r="BD492" t="n">
        <v>0.8421</v>
      </c>
      <c r="BE492" t="n">
        <v>69.288</v>
      </c>
      <c r="BF492" t="n">
        <v>8.9176</v>
      </c>
      <c r="BG492" t="n">
        <v>0.804</v>
      </c>
      <c r="BH492" t="n">
        <v>6039.043023599974</v>
      </c>
      <c r="BI492" t="n">
        <v>1.02699624102973</v>
      </c>
      <c r="BJ492" t="n">
        <v>6202.0745</v>
      </c>
      <c r="BK492" t="n">
        <v>66398.03548982399</v>
      </c>
    </row>
    <row r="493">
      <c r="A493" t="n">
        <v>5199</v>
      </c>
      <c r="B493" t="inlineStr">
        <is>
          <t>01-12-2020</t>
        </is>
      </c>
      <c r="C493" t="n">
        <v>2020</v>
      </c>
      <c r="D493" t="n">
        <v>1</v>
      </c>
      <c r="E493" t="inlineStr">
        <is>
          <t>CAREN</t>
        </is>
      </c>
      <c r="F493" t="inlineStr">
        <is>
          <t>SUM_SAESA_A</t>
        </is>
      </c>
      <c r="G493" t="inlineStr">
        <is>
          <t>A</t>
        </is>
      </c>
      <c r="H493" t="inlineStr">
        <is>
          <t>SAESA</t>
        </is>
      </c>
      <c r="I493" t="inlineStr">
        <is>
          <t>SAESFRUTBLOQA</t>
        </is>
      </c>
      <c r="J493" t="inlineStr">
        <is>
          <t>FRUTILLAR</t>
        </is>
      </c>
      <c r="K493" t="n">
        <v>-5748.70672354</v>
      </c>
      <c r="L493" t="inlineStr">
        <is>
          <t>FRUTILLAR</t>
        </is>
      </c>
      <c r="M493" t="inlineStr">
        <is>
          <t>VALDIVIA</t>
        </is>
      </c>
      <c r="N493" t="n">
        <v>0.00223534123905</v>
      </c>
      <c r="O493" t="n">
        <v>12.850321</v>
      </c>
      <c r="P493" t="inlineStr">
        <is>
          <t>BS1A</t>
        </is>
      </c>
      <c r="Q493" t="n">
        <v>2</v>
      </c>
      <c r="V493" t="n">
        <v>1472834.063</v>
      </c>
      <c r="W493" t="n">
        <v>2</v>
      </c>
      <c r="X493" t="n">
        <v>8.487e-08</v>
      </c>
      <c r="Y493" t="n">
        <v>0.249999</v>
      </c>
      <c r="Z493" t="n">
        <v>3.212567</v>
      </c>
      <c r="AA493" t="inlineStr">
        <is>
          <t>PNP_6T_08-05-2020</t>
        </is>
      </c>
      <c r="AB493" t="inlineStr">
        <is>
          <t>PNCP_9T_12-08-2019</t>
        </is>
      </c>
      <c r="AC493" t="inlineStr">
        <is>
          <t>PNCP_4T_30-04-2013</t>
        </is>
      </c>
      <c r="AD493" t="inlineStr">
        <is>
          <t>VALDIVIA 220</t>
        </is>
      </c>
      <c r="AE493" t="n">
        <v>111.133</v>
      </c>
      <c r="AF493" t="n">
        <v>1.072776031070834</v>
      </c>
      <c r="AG493" t="n">
        <v>119.220818660995</v>
      </c>
      <c r="AH493" t="n">
        <v>694.38</v>
      </c>
      <c r="AI493" t="n">
        <v>0.875</v>
      </c>
      <c r="AJ493" t="n">
        <v>72.43648305409401</v>
      </c>
      <c r="AK493" t="n">
        <v>0.913</v>
      </c>
      <c r="AL493" t="n">
        <v>66.13500000000001</v>
      </c>
      <c r="AM493" t="n">
        <v>8.9176</v>
      </c>
      <c r="AN493" t="n">
        <v>9.566587534677272</v>
      </c>
      <c r="AO493" t="n">
        <v>0.913</v>
      </c>
      <c r="AP493" t="n">
        <v>6064.919358776563</v>
      </c>
      <c r="AQ493" t="n">
        <v>1.051287819142954</v>
      </c>
      <c r="AR493" t="n">
        <v>6375.9758</v>
      </c>
      <c r="AS493" t="n">
        <v>212.463118545</v>
      </c>
      <c r="AT493" t="inlineStr">
        <is>
          <t>PNP_16T_02-11-2020</t>
        </is>
      </c>
      <c r="AU493" t="inlineStr">
        <is>
          <t>PNCP_2T_10-02-2020</t>
        </is>
      </c>
      <c r="AV493" t="inlineStr">
        <is>
          <t>PNCP_4T_30-04-2013</t>
        </is>
      </c>
      <c r="AW493" t="inlineStr">
        <is>
          <t>VALDIVIA 220</t>
        </is>
      </c>
      <c r="AX493" t="n">
        <v>111.133</v>
      </c>
      <c r="AY493" t="n">
        <v>1.080821157758461</v>
      </c>
      <c r="AZ493" t="n">
        <v>120.1148977251711</v>
      </c>
      <c r="BA493" t="n">
        <v>779.3099999999999</v>
      </c>
      <c r="BB493" t="n">
        <v>0.879</v>
      </c>
      <c r="BC493" t="n">
        <v>82.2803252917125</v>
      </c>
      <c r="BD493" t="n">
        <v>0.9167</v>
      </c>
      <c r="BE493" t="n">
        <v>75.426</v>
      </c>
      <c r="BF493" t="n">
        <v>8.9176</v>
      </c>
      <c r="BG493" t="n">
        <v>0.804</v>
      </c>
      <c r="BH493" t="n">
        <v>6039.043023599974</v>
      </c>
      <c r="BI493" t="n">
        <v>1.096052187605444</v>
      </c>
      <c r="BJ493" t="n">
        <v>6619.1063</v>
      </c>
      <c r="BK493" t="n">
        <v>242.311078542</v>
      </c>
    </row>
    <row r="494">
      <c r="A494" t="n">
        <v>3805</v>
      </c>
      <c r="B494" t="inlineStr">
        <is>
          <t>01-12-2020</t>
        </is>
      </c>
      <c r="C494" t="n">
        <v>2020</v>
      </c>
      <c r="D494" t="n">
        <v>1</v>
      </c>
      <c r="E494" t="inlineStr">
        <is>
          <t>CAREN</t>
        </is>
      </c>
      <c r="F494" t="inlineStr">
        <is>
          <t>SUM_SAESA_A</t>
        </is>
      </c>
      <c r="G494" t="inlineStr">
        <is>
          <t>A</t>
        </is>
      </c>
      <c r="H494" t="inlineStr">
        <is>
          <t>SAESA</t>
        </is>
      </c>
      <c r="I494" t="inlineStr">
        <is>
          <t>SAESLOSLBLOQA</t>
        </is>
      </c>
      <c r="J494" t="inlineStr">
        <is>
          <t>L.LAGOS</t>
        </is>
      </c>
      <c r="K494" t="n">
        <v>-1961.59471658</v>
      </c>
      <c r="L494" t="inlineStr">
        <is>
          <t>LOS LAGOS</t>
        </is>
      </c>
      <c r="M494" t="inlineStr">
        <is>
          <t>Barro Blanco</t>
        </is>
      </c>
      <c r="N494" t="n">
        <v>0.18733247460026</v>
      </c>
      <c r="O494" t="n">
        <v>367.470392</v>
      </c>
      <c r="P494" t="inlineStr">
        <is>
          <t>BS1A</t>
        </is>
      </c>
      <c r="Q494" t="n">
        <v>2</v>
      </c>
      <c r="V494" t="n">
        <v>1472834.063</v>
      </c>
      <c r="W494" t="n">
        <v>2</v>
      </c>
      <c r="X494" t="n">
        <v>8.487e-08</v>
      </c>
      <c r="Y494" t="n">
        <v>0.249999</v>
      </c>
      <c r="Z494" t="n">
        <v>91.867231</v>
      </c>
      <c r="AA494" t="inlineStr">
        <is>
          <t>PNP_6T_08-05-2020</t>
        </is>
      </c>
      <c r="AB494" t="inlineStr">
        <is>
          <t>PNCP_9T_12-08-2019</t>
        </is>
      </c>
      <c r="AC494" t="inlineStr">
        <is>
          <t>PNCP_4T_30-04-2013</t>
        </is>
      </c>
      <c r="AD494" t="inlineStr">
        <is>
          <t>Barro Blanco 220</t>
        </is>
      </c>
      <c r="AE494" t="n">
        <v>111.133</v>
      </c>
      <c r="AF494" t="n">
        <v>1.072776031070834</v>
      </c>
      <c r="AG494" t="n">
        <v>119.220818660995</v>
      </c>
      <c r="AH494" t="n">
        <v>694.38</v>
      </c>
      <c r="AI494" t="n">
        <v>0.875</v>
      </c>
      <c r="AJ494" t="n">
        <v>72.43648305409401</v>
      </c>
      <c r="AK494" t="n">
        <v>0.8631</v>
      </c>
      <c r="AL494" t="n">
        <v>62.52</v>
      </c>
      <c r="AM494" t="n">
        <v>8.9176</v>
      </c>
      <c r="AN494" t="n">
        <v>9.566587534677272</v>
      </c>
      <c r="AO494" t="n">
        <v>0.913</v>
      </c>
      <c r="AP494" t="n">
        <v>6064.919358776563</v>
      </c>
      <c r="AQ494" t="n">
        <v>1.004432825642191</v>
      </c>
      <c r="AR494" t="n">
        <v>6091.8041</v>
      </c>
      <c r="AS494" t="n">
        <v>5743.53928212</v>
      </c>
      <c r="AT494" t="inlineStr">
        <is>
          <t>PNP_16T_02-11-2020</t>
        </is>
      </c>
      <c r="AU494" t="inlineStr">
        <is>
          <t>PNCP_2T_10-02-2020</t>
        </is>
      </c>
      <c r="AV494" t="inlineStr">
        <is>
          <t>PNCP_4T_30-04-2013</t>
        </is>
      </c>
      <c r="AW494" t="inlineStr">
        <is>
          <t>Barro Blanco 220</t>
        </is>
      </c>
      <c r="AX494" t="n">
        <v>111.133</v>
      </c>
      <c r="AY494" t="n">
        <v>1.080821157758461</v>
      </c>
      <c r="AZ494" t="n">
        <v>120.1148977251711</v>
      </c>
      <c r="BA494" t="n">
        <v>779.3099999999999</v>
      </c>
      <c r="BB494" t="n">
        <v>0.879</v>
      </c>
      <c r="BC494" t="n">
        <v>82.2803252917125</v>
      </c>
      <c r="BD494" t="n">
        <v>0.846</v>
      </c>
      <c r="BE494" t="n">
        <v>69.60899999999999</v>
      </c>
      <c r="BF494" t="n">
        <v>8.9176</v>
      </c>
      <c r="BG494" t="n">
        <v>0.804</v>
      </c>
      <c r="BH494" t="n">
        <v>6039.043023599974</v>
      </c>
      <c r="BI494" t="n">
        <v>1.011820868379177</v>
      </c>
      <c r="BJ494" t="n">
        <v>6110.4298</v>
      </c>
      <c r="BK494" t="n">
        <v>6394.786082679</v>
      </c>
    </row>
    <row r="495">
      <c r="A495" t="n">
        <v>3807</v>
      </c>
      <c r="B495" t="inlineStr">
        <is>
          <t>01-12-2020</t>
        </is>
      </c>
      <c r="C495" t="n">
        <v>2020</v>
      </c>
      <c r="D495" t="n">
        <v>1</v>
      </c>
      <c r="E495" t="inlineStr">
        <is>
          <t>CAREN</t>
        </is>
      </c>
      <c r="F495" t="inlineStr">
        <is>
          <t>SUM_SAESA_A</t>
        </is>
      </c>
      <c r="G495" t="inlineStr">
        <is>
          <t>A</t>
        </is>
      </c>
      <c r="H495" t="inlineStr">
        <is>
          <t>SAESA</t>
        </is>
      </c>
      <c r="I495" t="inlineStr">
        <is>
          <t>SAESLOSLBLOQA</t>
        </is>
      </c>
      <c r="J495" t="inlineStr">
        <is>
          <t>L.LAGOS</t>
        </is>
      </c>
      <c r="K495" t="n">
        <v>-1961.59471658</v>
      </c>
      <c r="L495" t="inlineStr">
        <is>
          <t>LOS LAGOS</t>
        </is>
      </c>
      <c r="M495" t="inlineStr">
        <is>
          <t>MELIPULLI</t>
        </is>
      </c>
      <c r="N495" t="n">
        <v>0.0106384804266</v>
      </c>
      <c r="O495" t="n">
        <v>20.868387</v>
      </c>
      <c r="P495" t="inlineStr">
        <is>
          <t>BS1A</t>
        </is>
      </c>
      <c r="Q495" t="n">
        <v>2</v>
      </c>
      <c r="V495" t="n">
        <v>1472834.063</v>
      </c>
      <c r="W495" t="n">
        <v>2</v>
      </c>
      <c r="X495" t="n">
        <v>8.487e-08</v>
      </c>
      <c r="Y495" t="n">
        <v>0.249999</v>
      </c>
      <c r="Z495" t="n">
        <v>5.217076</v>
      </c>
      <c r="AA495" t="inlineStr">
        <is>
          <t>PNP_6T_08-05-2020</t>
        </is>
      </c>
      <c r="AB495" t="inlineStr">
        <is>
          <t>PNCP_9T_12-08-2019</t>
        </is>
      </c>
      <c r="AC495" t="inlineStr">
        <is>
          <t>PNCP_4T_30-04-2013</t>
        </is>
      </c>
      <c r="AD495" t="inlineStr">
        <is>
          <t>MELIPULLI 220</t>
        </is>
      </c>
      <c r="AE495" t="n">
        <v>111.133</v>
      </c>
      <c r="AF495" t="n">
        <v>1.072776031070834</v>
      </c>
      <c r="AG495" t="n">
        <v>119.220818660995</v>
      </c>
      <c r="AH495" t="n">
        <v>694.38</v>
      </c>
      <c r="AI495" t="n">
        <v>0.875</v>
      </c>
      <c r="AJ495" t="n">
        <v>72.43648305409401</v>
      </c>
      <c r="AK495" t="n">
        <v>0.8826000000000001</v>
      </c>
      <c r="AL495" t="n">
        <v>63.932</v>
      </c>
      <c r="AM495" t="n">
        <v>8.9176</v>
      </c>
      <c r="AN495" t="n">
        <v>9.566587534677272</v>
      </c>
      <c r="AO495" t="n">
        <v>0.913</v>
      </c>
      <c r="AP495" t="n">
        <v>6064.919358776563</v>
      </c>
      <c r="AQ495" t="n">
        <v>1</v>
      </c>
      <c r="AR495" t="n">
        <v>6064.9194</v>
      </c>
      <c r="AS495" t="n">
        <v>333.538102832</v>
      </c>
      <c r="AT495" t="inlineStr">
        <is>
          <t>PNP_16T_02-11-2020</t>
        </is>
      </c>
      <c r="AU495" t="inlineStr">
        <is>
          <t>PNCP_2T_10-02-2020</t>
        </is>
      </c>
      <c r="AV495" t="inlineStr">
        <is>
          <t>PNCP_4T_30-04-2013</t>
        </is>
      </c>
      <c r="AW495" t="inlineStr">
        <is>
          <t>MELIPULLI 220</t>
        </is>
      </c>
      <c r="AX495" t="n">
        <v>111.133</v>
      </c>
      <c r="AY495" t="n">
        <v>1.080821157758461</v>
      </c>
      <c r="AZ495" t="n">
        <v>120.1148977251711</v>
      </c>
      <c r="BA495" t="n">
        <v>779.3099999999999</v>
      </c>
      <c r="BB495" t="n">
        <v>0.879</v>
      </c>
      <c r="BC495" t="n">
        <v>82.2803252917125</v>
      </c>
      <c r="BD495" t="n">
        <v>0.8421</v>
      </c>
      <c r="BE495" t="n">
        <v>69.288</v>
      </c>
      <c r="BF495" t="n">
        <v>8.9176</v>
      </c>
      <c r="BG495" t="n">
        <v>0.804</v>
      </c>
      <c r="BH495" t="n">
        <v>6039.043023599974</v>
      </c>
      <c r="BI495" t="n">
        <v>1</v>
      </c>
      <c r="BJ495" t="n">
        <v>6039.043</v>
      </c>
      <c r="BK495" t="n">
        <v>361.480761888</v>
      </c>
    </row>
    <row r="496">
      <c r="A496" t="n">
        <v>3809</v>
      </c>
      <c r="B496" t="inlineStr">
        <is>
          <t>01-12-2020</t>
        </is>
      </c>
      <c r="C496" t="n">
        <v>2020</v>
      </c>
      <c r="D496" t="n">
        <v>1</v>
      </c>
      <c r="E496" t="inlineStr">
        <is>
          <t>CAREN</t>
        </is>
      </c>
      <c r="F496" t="inlineStr">
        <is>
          <t>SUM_SAESA_A</t>
        </is>
      </c>
      <c r="G496" t="inlineStr">
        <is>
          <t>A</t>
        </is>
      </c>
      <c r="H496" t="inlineStr">
        <is>
          <t>SAESA</t>
        </is>
      </c>
      <c r="I496" t="inlineStr">
        <is>
          <t>SAESLOSLBLOQA</t>
        </is>
      </c>
      <c r="J496" t="inlineStr">
        <is>
          <t>L.LAGOS</t>
        </is>
      </c>
      <c r="K496" t="n">
        <v>-1961.59471658</v>
      </c>
      <c r="L496" t="inlineStr">
        <is>
          <t>LOS LAGOS</t>
        </is>
      </c>
      <c r="M496" t="inlineStr">
        <is>
          <t>VALDIVIA</t>
        </is>
      </c>
      <c r="N496" t="n">
        <v>0.74179711805072</v>
      </c>
      <c r="O496" t="n">
        <v>1455.105308</v>
      </c>
      <c r="P496" t="inlineStr">
        <is>
          <t>BS1A</t>
        </is>
      </c>
      <c r="Q496" t="n">
        <v>2</v>
      </c>
      <c r="V496" t="n">
        <v>1472834.063</v>
      </c>
      <c r="W496" t="n">
        <v>2</v>
      </c>
      <c r="X496" t="n">
        <v>8.487e-08</v>
      </c>
      <c r="Y496" t="n">
        <v>0.249999</v>
      </c>
      <c r="Z496" t="n">
        <v>363.774872</v>
      </c>
      <c r="AA496" t="inlineStr">
        <is>
          <t>PNP_6T_08-05-2020</t>
        </is>
      </c>
      <c r="AB496" t="inlineStr">
        <is>
          <t>PNCP_9T_12-08-2019</t>
        </is>
      </c>
      <c r="AC496" t="inlineStr">
        <is>
          <t>PNCP_4T_30-04-2013</t>
        </is>
      </c>
      <c r="AD496" t="inlineStr">
        <is>
          <t>VALDIVIA 220</t>
        </is>
      </c>
      <c r="AE496" t="n">
        <v>111.133</v>
      </c>
      <c r="AF496" t="n">
        <v>1.072776031070834</v>
      </c>
      <c r="AG496" t="n">
        <v>119.220818660995</v>
      </c>
      <c r="AH496" t="n">
        <v>694.38</v>
      </c>
      <c r="AI496" t="n">
        <v>0.875</v>
      </c>
      <c r="AJ496" t="n">
        <v>72.43648305409401</v>
      </c>
      <c r="AK496" t="n">
        <v>0.913</v>
      </c>
      <c r="AL496" t="n">
        <v>66.13500000000001</v>
      </c>
      <c r="AM496" t="n">
        <v>8.9176</v>
      </c>
      <c r="AN496" t="n">
        <v>9.566587534677272</v>
      </c>
      <c r="AO496" t="n">
        <v>0.913</v>
      </c>
      <c r="AP496" t="n">
        <v>6064.919358776563</v>
      </c>
      <c r="AQ496" t="n">
        <v>1.051287819142954</v>
      </c>
      <c r="AR496" t="n">
        <v>6375.9758</v>
      </c>
      <c r="AS496" t="n">
        <v>24058.25115972</v>
      </c>
      <c r="AT496" t="inlineStr">
        <is>
          <t>PNP_16T_02-11-2020</t>
        </is>
      </c>
      <c r="AU496" t="inlineStr">
        <is>
          <t>PNCP_2T_10-02-2020</t>
        </is>
      </c>
      <c r="AV496" t="inlineStr">
        <is>
          <t>PNCP_4T_30-04-2013</t>
        </is>
      </c>
      <c r="AW496" t="inlineStr">
        <is>
          <t>VALDIVIA 220</t>
        </is>
      </c>
      <c r="AX496" t="n">
        <v>111.133</v>
      </c>
      <c r="AY496" t="n">
        <v>1.080821157758461</v>
      </c>
      <c r="AZ496" t="n">
        <v>120.1148977251711</v>
      </c>
      <c r="BA496" t="n">
        <v>779.3099999999999</v>
      </c>
      <c r="BB496" t="n">
        <v>0.879</v>
      </c>
      <c r="BC496" t="n">
        <v>82.2803252917125</v>
      </c>
      <c r="BD496" t="n">
        <v>0.9167</v>
      </c>
      <c r="BE496" t="n">
        <v>75.426</v>
      </c>
      <c r="BF496" t="n">
        <v>8.9176</v>
      </c>
      <c r="BG496" t="n">
        <v>0.804</v>
      </c>
      <c r="BH496" t="n">
        <v>6039.043023599974</v>
      </c>
      <c r="BI496" t="n">
        <v>1.096052187605444</v>
      </c>
      <c r="BJ496" t="n">
        <v>6619.1063</v>
      </c>
      <c r="BK496" t="n">
        <v>27438.083495472</v>
      </c>
    </row>
    <row r="497">
      <c r="A497" t="n">
        <v>5776</v>
      </c>
      <c r="B497" t="inlineStr">
        <is>
          <t>01-12-2020</t>
        </is>
      </c>
      <c r="C497" t="n">
        <v>2020</v>
      </c>
      <c r="D497" t="n">
        <v>1</v>
      </c>
      <c r="E497" t="inlineStr">
        <is>
          <t>CAREN</t>
        </is>
      </c>
      <c r="F497" t="inlineStr">
        <is>
          <t>SUM_SAESA_A</t>
        </is>
      </c>
      <c r="G497" t="inlineStr">
        <is>
          <t>A</t>
        </is>
      </c>
      <c r="H497" t="inlineStr">
        <is>
          <t>SAESA</t>
        </is>
      </c>
      <c r="I497" t="inlineStr">
        <is>
          <t>SAESLAUNBLOQA</t>
        </is>
      </c>
      <c r="J497" t="inlineStr">
        <is>
          <t>L.UNION</t>
        </is>
      </c>
      <c r="K497" t="n">
        <v>-4866.62233078</v>
      </c>
      <c r="L497" t="inlineStr">
        <is>
          <t>LA UNION</t>
        </is>
      </c>
      <c r="M497" t="inlineStr">
        <is>
          <t>BARRO BLANCO</t>
        </is>
      </c>
      <c r="N497" t="n">
        <v>0.69784426704688</v>
      </c>
      <c r="O497" t="n">
        <v>3396.144493</v>
      </c>
      <c r="P497" t="inlineStr">
        <is>
          <t>BS1A</t>
        </is>
      </c>
      <c r="Q497" t="n">
        <v>2</v>
      </c>
      <c r="V497" t="n">
        <v>1472834.063</v>
      </c>
      <c r="W497" t="n">
        <v>2</v>
      </c>
      <c r="X497" t="n">
        <v>8.487e-08</v>
      </c>
      <c r="Y497" t="n">
        <v>0.249999</v>
      </c>
      <c r="Z497" t="n">
        <v>849.032727</v>
      </c>
      <c r="AA497" t="inlineStr">
        <is>
          <t>PNP_6T_08-05-2020</t>
        </is>
      </c>
      <c r="AB497" t="inlineStr">
        <is>
          <t>PNCP_9T_12-08-2019</t>
        </is>
      </c>
      <c r="AC497" t="inlineStr">
        <is>
          <t>PNCP_4T_30-04-2013</t>
        </is>
      </c>
      <c r="AD497" t="inlineStr">
        <is>
          <t>Barro Blanco 220</t>
        </is>
      </c>
      <c r="AE497" t="n">
        <v>111.133</v>
      </c>
      <c r="AF497" t="n">
        <v>1.072776031070834</v>
      </c>
      <c r="AG497" t="n">
        <v>119.220818660995</v>
      </c>
      <c r="AH497" t="n">
        <v>694.38</v>
      </c>
      <c r="AI497" t="n">
        <v>0.875</v>
      </c>
      <c r="AJ497" t="n">
        <v>72.43648305409401</v>
      </c>
      <c r="AK497" t="n">
        <v>0.8631</v>
      </c>
      <c r="AL497" t="n">
        <v>62.52</v>
      </c>
      <c r="AM497" t="n">
        <v>8.9176</v>
      </c>
      <c r="AN497" t="n">
        <v>9.566587534677272</v>
      </c>
      <c r="AO497" t="n">
        <v>0.913</v>
      </c>
      <c r="AP497" t="n">
        <v>6064.919358776563</v>
      </c>
      <c r="AQ497" t="n">
        <v>1.004432825642191</v>
      </c>
      <c r="AR497" t="n">
        <v>6091.8041</v>
      </c>
      <c r="AS497" t="n">
        <v>53081.52609204</v>
      </c>
      <c r="AT497" t="inlineStr">
        <is>
          <t>PNP_16T_02-11-2020</t>
        </is>
      </c>
      <c r="AU497" t="inlineStr">
        <is>
          <t>PNCP_2T_10-02-2020</t>
        </is>
      </c>
      <c r="AV497" t="inlineStr">
        <is>
          <t>PNCP_4T_30-04-2013</t>
        </is>
      </c>
      <c r="AW497" t="inlineStr">
        <is>
          <t>Barro Blanco 220</t>
        </is>
      </c>
      <c r="AX497" t="n">
        <v>111.133</v>
      </c>
      <c r="AY497" t="n">
        <v>1.080821157758461</v>
      </c>
      <c r="AZ497" t="n">
        <v>120.1148977251711</v>
      </c>
      <c r="BA497" t="n">
        <v>779.3099999999999</v>
      </c>
      <c r="BB497" t="n">
        <v>0.879</v>
      </c>
      <c r="BC497" t="n">
        <v>82.2803252917125</v>
      </c>
      <c r="BD497" t="n">
        <v>0.846</v>
      </c>
      <c r="BE497" t="n">
        <v>69.60899999999999</v>
      </c>
      <c r="BF497" t="n">
        <v>8.9176</v>
      </c>
      <c r="BG497" t="n">
        <v>0.804</v>
      </c>
      <c r="BH497" t="n">
        <v>6039.043023599974</v>
      </c>
      <c r="BI497" t="n">
        <v>1.011820868379177</v>
      </c>
      <c r="BJ497" t="n">
        <v>6110.4298</v>
      </c>
      <c r="BK497" t="n">
        <v>59100.319093743</v>
      </c>
    </row>
    <row r="498">
      <c r="A498" t="n">
        <v>5778</v>
      </c>
      <c r="B498" t="inlineStr">
        <is>
          <t>01-12-2020</t>
        </is>
      </c>
      <c r="C498" t="n">
        <v>2020</v>
      </c>
      <c r="D498" t="n">
        <v>1</v>
      </c>
      <c r="E498" t="inlineStr">
        <is>
          <t>CAREN</t>
        </is>
      </c>
      <c r="F498" t="inlineStr">
        <is>
          <t>SUM_SAESA_A</t>
        </is>
      </c>
      <c r="G498" t="inlineStr">
        <is>
          <t>A</t>
        </is>
      </c>
      <c r="H498" t="inlineStr">
        <is>
          <t>SAESA</t>
        </is>
      </c>
      <c r="I498" t="inlineStr">
        <is>
          <t>SAESLAUNBLOQA</t>
        </is>
      </c>
      <c r="J498" t="inlineStr">
        <is>
          <t>L.UNION</t>
        </is>
      </c>
      <c r="K498" t="n">
        <v>-4866.62233078</v>
      </c>
      <c r="L498" t="inlineStr">
        <is>
          <t>LA UNION</t>
        </is>
      </c>
      <c r="M498" t="inlineStr">
        <is>
          <t>MELIPULLI</t>
        </is>
      </c>
      <c r="N498" t="n">
        <v>0.05477087158033</v>
      </c>
      <c r="O498" t="n">
        <v>266.549147</v>
      </c>
      <c r="P498" t="inlineStr">
        <is>
          <t>BS1A</t>
        </is>
      </c>
      <c r="Q498" t="n">
        <v>2</v>
      </c>
      <c r="V498" t="n">
        <v>1472834.063</v>
      </c>
      <c r="W498" t="n">
        <v>2</v>
      </c>
      <c r="X498" t="n">
        <v>8.487e-08</v>
      </c>
      <c r="Y498" t="n">
        <v>0.249999</v>
      </c>
      <c r="Z498" t="n">
        <v>66.63702000000001</v>
      </c>
      <c r="AA498" t="inlineStr">
        <is>
          <t>PNP_6T_08-05-2020</t>
        </is>
      </c>
      <c r="AB498" t="inlineStr">
        <is>
          <t>PNCP_9T_12-08-2019</t>
        </is>
      </c>
      <c r="AC498" t="inlineStr">
        <is>
          <t>PNCP_4T_30-04-2013</t>
        </is>
      </c>
      <c r="AD498" t="inlineStr">
        <is>
          <t>MELIPULLI 220</t>
        </is>
      </c>
      <c r="AE498" t="n">
        <v>111.133</v>
      </c>
      <c r="AF498" t="n">
        <v>1.072776031070834</v>
      </c>
      <c r="AG498" t="n">
        <v>119.220818660995</v>
      </c>
      <c r="AH498" t="n">
        <v>694.38</v>
      </c>
      <c r="AI498" t="n">
        <v>0.875</v>
      </c>
      <c r="AJ498" t="n">
        <v>72.43648305409401</v>
      </c>
      <c r="AK498" t="n">
        <v>0.8826000000000001</v>
      </c>
      <c r="AL498" t="n">
        <v>63.932</v>
      </c>
      <c r="AM498" t="n">
        <v>8.9176</v>
      </c>
      <c r="AN498" t="n">
        <v>9.566587534677272</v>
      </c>
      <c r="AO498" t="n">
        <v>0.913</v>
      </c>
      <c r="AP498" t="n">
        <v>6064.919358776563</v>
      </c>
      <c r="AQ498" t="n">
        <v>1</v>
      </c>
      <c r="AR498" t="n">
        <v>6064.9194</v>
      </c>
      <c r="AS498" t="n">
        <v>4260.237962640001</v>
      </c>
      <c r="AT498" t="inlineStr">
        <is>
          <t>PNP_16T_02-11-2020</t>
        </is>
      </c>
      <c r="AU498" t="inlineStr">
        <is>
          <t>PNCP_2T_10-02-2020</t>
        </is>
      </c>
      <c r="AV498" t="inlineStr">
        <is>
          <t>PNCP_4T_30-04-2013</t>
        </is>
      </c>
      <c r="AW498" t="inlineStr">
        <is>
          <t>MELIPULLI 220</t>
        </is>
      </c>
      <c r="AX498" t="n">
        <v>111.133</v>
      </c>
      <c r="AY498" t="n">
        <v>1.080821157758461</v>
      </c>
      <c r="AZ498" t="n">
        <v>120.1148977251711</v>
      </c>
      <c r="BA498" t="n">
        <v>779.3099999999999</v>
      </c>
      <c r="BB498" t="n">
        <v>0.879</v>
      </c>
      <c r="BC498" t="n">
        <v>82.2803252917125</v>
      </c>
      <c r="BD498" t="n">
        <v>0.8421</v>
      </c>
      <c r="BE498" t="n">
        <v>69.288</v>
      </c>
      <c r="BF498" t="n">
        <v>8.9176</v>
      </c>
      <c r="BG498" t="n">
        <v>0.804</v>
      </c>
      <c r="BH498" t="n">
        <v>6039.043023599974</v>
      </c>
      <c r="BI498" t="n">
        <v>1</v>
      </c>
      <c r="BJ498" t="n">
        <v>6039.043</v>
      </c>
      <c r="BK498" t="n">
        <v>4617.145841760001</v>
      </c>
    </row>
    <row r="499">
      <c r="A499" t="n">
        <v>5780</v>
      </c>
      <c r="B499" t="inlineStr">
        <is>
          <t>01-12-2020</t>
        </is>
      </c>
      <c r="C499" t="n">
        <v>2020</v>
      </c>
      <c r="D499" t="n">
        <v>1</v>
      </c>
      <c r="E499" t="inlineStr">
        <is>
          <t>CAREN</t>
        </is>
      </c>
      <c r="F499" t="inlineStr">
        <is>
          <t>SUM_SAESA_A</t>
        </is>
      </c>
      <c r="G499" t="inlineStr">
        <is>
          <t>A</t>
        </is>
      </c>
      <c r="H499" t="inlineStr">
        <is>
          <t>SAESA</t>
        </is>
      </c>
      <c r="I499" t="inlineStr">
        <is>
          <t>SAESLAUNBLOQA</t>
        </is>
      </c>
      <c r="J499" t="inlineStr">
        <is>
          <t>L.UNION</t>
        </is>
      </c>
      <c r="K499" t="n">
        <v>-4866.62233078</v>
      </c>
      <c r="L499" t="inlineStr">
        <is>
          <t>LA UNION</t>
        </is>
      </c>
      <c r="M499" t="inlineStr">
        <is>
          <t>VALDIVIA</t>
        </is>
      </c>
      <c r="N499" t="n">
        <v>0.26660855469556</v>
      </c>
      <c r="O499" t="n">
        <v>1297.483146</v>
      </c>
      <c r="P499" t="inlineStr">
        <is>
          <t>BS1A</t>
        </is>
      </c>
      <c r="Q499" t="n">
        <v>2</v>
      </c>
      <c r="V499" t="n">
        <v>1472834.063</v>
      </c>
      <c r="W499" t="n">
        <v>2</v>
      </c>
      <c r="X499" t="n">
        <v>8.487e-08</v>
      </c>
      <c r="Y499" t="n">
        <v>0.249999</v>
      </c>
      <c r="Z499" t="n">
        <v>324.369489</v>
      </c>
      <c r="AA499" t="inlineStr">
        <is>
          <t>PNP_6T_08-05-2020</t>
        </is>
      </c>
      <c r="AB499" t="inlineStr">
        <is>
          <t>PNCP_9T_12-08-2019</t>
        </is>
      </c>
      <c r="AC499" t="inlineStr">
        <is>
          <t>PNCP_4T_30-04-2013</t>
        </is>
      </c>
      <c r="AD499" t="inlineStr">
        <is>
          <t>VALDIVIA 220</t>
        </is>
      </c>
      <c r="AE499" t="n">
        <v>111.133</v>
      </c>
      <c r="AF499" t="n">
        <v>1.072776031070834</v>
      </c>
      <c r="AG499" t="n">
        <v>119.220818660995</v>
      </c>
      <c r="AH499" t="n">
        <v>694.38</v>
      </c>
      <c r="AI499" t="n">
        <v>0.875</v>
      </c>
      <c r="AJ499" t="n">
        <v>72.43648305409401</v>
      </c>
      <c r="AK499" t="n">
        <v>0.913</v>
      </c>
      <c r="AL499" t="n">
        <v>66.13500000000001</v>
      </c>
      <c r="AM499" t="n">
        <v>8.9176</v>
      </c>
      <c r="AN499" t="n">
        <v>9.566587534677272</v>
      </c>
      <c r="AO499" t="n">
        <v>0.913</v>
      </c>
      <c r="AP499" t="n">
        <v>6064.919358776563</v>
      </c>
      <c r="AQ499" t="n">
        <v>1.051287819142954</v>
      </c>
      <c r="AR499" t="n">
        <v>6375.9758</v>
      </c>
      <c r="AS499" t="n">
        <v>21452.176155015</v>
      </c>
      <c r="AT499" t="inlineStr">
        <is>
          <t>PNP_16T_02-11-2020</t>
        </is>
      </c>
      <c r="AU499" t="inlineStr">
        <is>
          <t>PNCP_2T_10-02-2020</t>
        </is>
      </c>
      <c r="AV499" t="inlineStr">
        <is>
          <t>PNCP_4T_30-04-2013</t>
        </is>
      </c>
      <c r="AW499" t="inlineStr">
        <is>
          <t>VALDIVIA 220</t>
        </is>
      </c>
      <c r="AX499" t="n">
        <v>111.133</v>
      </c>
      <c r="AY499" t="n">
        <v>1.080821157758461</v>
      </c>
      <c r="AZ499" t="n">
        <v>120.1148977251711</v>
      </c>
      <c r="BA499" t="n">
        <v>779.3099999999999</v>
      </c>
      <c r="BB499" t="n">
        <v>0.879</v>
      </c>
      <c r="BC499" t="n">
        <v>82.2803252917125</v>
      </c>
      <c r="BD499" t="n">
        <v>0.9167</v>
      </c>
      <c r="BE499" t="n">
        <v>75.426</v>
      </c>
      <c r="BF499" t="n">
        <v>8.9176</v>
      </c>
      <c r="BG499" t="n">
        <v>0.804</v>
      </c>
      <c r="BH499" t="n">
        <v>6039.043023599974</v>
      </c>
      <c r="BI499" t="n">
        <v>1.096052187605444</v>
      </c>
      <c r="BJ499" t="n">
        <v>6619.1063</v>
      </c>
      <c r="BK499" t="n">
        <v>24465.893077314</v>
      </c>
    </row>
    <row r="500">
      <c r="A500" t="n">
        <v>1939</v>
      </c>
      <c r="B500" t="inlineStr">
        <is>
          <t>01-12-2020</t>
        </is>
      </c>
      <c r="C500" t="n">
        <v>2020</v>
      </c>
      <c r="D500" t="n">
        <v>1</v>
      </c>
      <c r="E500" t="inlineStr">
        <is>
          <t>CAREN</t>
        </is>
      </c>
      <c r="F500" t="inlineStr">
        <is>
          <t>SUM_SAESA_A</t>
        </is>
      </c>
      <c r="G500" t="inlineStr">
        <is>
          <t>A</t>
        </is>
      </c>
      <c r="H500" t="inlineStr">
        <is>
          <t>SAESA</t>
        </is>
      </c>
      <c r="I500" t="inlineStr">
        <is>
          <t>SAESLONCBLOQA</t>
        </is>
      </c>
      <c r="J500" t="inlineStr">
        <is>
          <t>LONCOCHE2</t>
        </is>
      </c>
      <c r="K500" t="n">
        <v>-4952.08041968</v>
      </c>
      <c r="L500" t="inlineStr">
        <is>
          <t>LONCOCHE</t>
        </is>
      </c>
      <c r="M500" t="inlineStr">
        <is>
          <t>CAUTÍN</t>
        </is>
      </c>
      <c r="N500" t="n">
        <v>0.14466350564106</v>
      </c>
      <c r="O500" t="n">
        <v>716.385314</v>
      </c>
      <c r="P500" t="inlineStr">
        <is>
          <t>BS1A</t>
        </is>
      </c>
      <c r="Q500" t="n">
        <v>2</v>
      </c>
      <c r="V500" t="n">
        <v>1472834.063</v>
      </c>
      <c r="W500" t="n">
        <v>2</v>
      </c>
      <c r="X500" t="n">
        <v>8.487e-08</v>
      </c>
      <c r="Y500" t="n">
        <v>0.249999</v>
      </c>
      <c r="Z500" t="n">
        <v>179.095612</v>
      </c>
      <c r="AA500" t="inlineStr">
        <is>
          <t>PNP_6T_08-05-2020</t>
        </is>
      </c>
      <c r="AB500" t="inlineStr">
        <is>
          <t>PNCP_9T_12-08-2019</t>
        </is>
      </c>
      <c r="AC500" t="inlineStr">
        <is>
          <t>PNCP_4T_30-04-2013</t>
        </is>
      </c>
      <c r="AD500" t="inlineStr">
        <is>
          <t>CAUTÍN 220</t>
        </is>
      </c>
      <c r="AE500" t="n">
        <v>111.133</v>
      </c>
      <c r="AF500" t="n">
        <v>1.072776031070834</v>
      </c>
      <c r="AG500" t="n">
        <v>119.220818660995</v>
      </c>
      <c r="AH500" t="n">
        <v>694.38</v>
      </c>
      <c r="AI500" t="n">
        <v>0.875</v>
      </c>
      <c r="AJ500" t="n">
        <v>72.43648305409401</v>
      </c>
      <c r="AK500" t="n">
        <v>0.9214</v>
      </c>
      <c r="AL500" t="n">
        <v>66.74299999999999</v>
      </c>
      <c r="AM500" t="n">
        <v>8.9176</v>
      </c>
      <c r="AN500" t="n">
        <v>9.566587534677272</v>
      </c>
      <c r="AO500" t="n">
        <v>0.913</v>
      </c>
      <c r="AP500" t="n">
        <v>6064.919358776563</v>
      </c>
      <c r="AQ500" t="n">
        <v>1.04671516253694</v>
      </c>
      <c r="AR500" t="n">
        <v>6348.2431</v>
      </c>
      <c r="AS500" t="n">
        <v>11953.378431716</v>
      </c>
      <c r="AT500" t="inlineStr">
        <is>
          <t>PNP_16T_02-11-2020</t>
        </is>
      </c>
      <c r="AU500" t="inlineStr">
        <is>
          <t>PNCP_2T_10-02-2020</t>
        </is>
      </c>
      <c r="AV500" t="inlineStr">
        <is>
          <t>PNCP_4T_30-04-2013</t>
        </is>
      </c>
      <c r="AW500" t="inlineStr">
        <is>
          <t>CAUTÍN 220</t>
        </is>
      </c>
      <c r="AX500" t="n">
        <v>111.133</v>
      </c>
      <c r="AY500" t="n">
        <v>1.080821157758461</v>
      </c>
      <c r="AZ500" t="n">
        <v>120.1148977251711</v>
      </c>
      <c r="BA500" t="n">
        <v>779.3099999999999</v>
      </c>
      <c r="BB500" t="n">
        <v>0.879</v>
      </c>
      <c r="BC500" t="n">
        <v>82.2803252917125</v>
      </c>
      <c r="BD500" t="n">
        <v>0.9324</v>
      </c>
      <c r="BE500" t="n">
        <v>76.718</v>
      </c>
      <c r="BF500" t="n">
        <v>8.9176</v>
      </c>
      <c r="BG500" t="n">
        <v>0.804</v>
      </c>
      <c r="BH500" t="n">
        <v>6039.043023599974</v>
      </c>
      <c r="BI500" t="n">
        <v>1.08558763355308</v>
      </c>
      <c r="BJ500" t="n">
        <v>6555.9104</v>
      </c>
      <c r="BK500" t="n">
        <v>13739.857161416</v>
      </c>
    </row>
    <row r="501">
      <c r="A501" t="n">
        <v>1941</v>
      </c>
      <c r="B501" t="inlineStr">
        <is>
          <t>01-12-2020</t>
        </is>
      </c>
      <c r="C501" t="n">
        <v>2020</v>
      </c>
      <c r="D501" t="n">
        <v>1</v>
      </c>
      <c r="E501" t="inlineStr">
        <is>
          <t>CAREN</t>
        </is>
      </c>
      <c r="F501" t="inlineStr">
        <is>
          <t>SUM_SAESA_A</t>
        </is>
      </c>
      <c r="G501" t="inlineStr">
        <is>
          <t>A</t>
        </is>
      </c>
      <c r="H501" t="inlineStr">
        <is>
          <t>SAESA</t>
        </is>
      </c>
      <c r="I501" t="inlineStr">
        <is>
          <t>SAESLONCBLOQA</t>
        </is>
      </c>
      <c r="J501" t="inlineStr">
        <is>
          <t>LONCOCHE2</t>
        </is>
      </c>
      <c r="K501" t="n">
        <v>-4952.08041968</v>
      </c>
      <c r="L501" t="inlineStr">
        <is>
          <t>LONCOCHE</t>
        </is>
      </c>
      <c r="M501" t="inlineStr">
        <is>
          <t>CHARRUA</t>
        </is>
      </c>
      <c r="N501" t="n">
        <v>0.04479645833059</v>
      </c>
      <c r="O501" t="n">
        <v>221.835664</v>
      </c>
      <c r="P501" t="inlineStr">
        <is>
          <t>BS1A</t>
        </is>
      </c>
      <c r="Q501" t="n">
        <v>2</v>
      </c>
      <c r="V501" t="n">
        <v>1472834.063</v>
      </c>
      <c r="W501" t="n">
        <v>2</v>
      </c>
      <c r="X501" t="n">
        <v>8.487e-08</v>
      </c>
      <c r="Y501" t="n">
        <v>0.249999</v>
      </c>
      <c r="Z501" t="n">
        <v>55.458694</v>
      </c>
      <c r="AA501" t="inlineStr">
        <is>
          <t>PNP_6T_08-05-2020</t>
        </is>
      </c>
      <c r="AB501" t="inlineStr">
        <is>
          <t>PNCP_9T_12-08-2019</t>
        </is>
      </c>
      <c r="AC501" t="inlineStr">
        <is>
          <t>PNCP_4T_30-04-2013</t>
        </is>
      </c>
      <c r="AD501" t="inlineStr">
        <is>
          <t>CHARRUA 220</t>
        </is>
      </c>
      <c r="AE501" t="n">
        <v>111.133</v>
      </c>
      <c r="AF501" t="n">
        <v>1.072776031070834</v>
      </c>
      <c r="AG501" t="n">
        <v>119.220818660995</v>
      </c>
      <c r="AH501" t="n">
        <v>694.38</v>
      </c>
      <c r="AI501" t="n">
        <v>0.875</v>
      </c>
      <c r="AJ501" t="n">
        <v>72.43648305409401</v>
      </c>
      <c r="AK501" t="n">
        <v>0.9350000000000001</v>
      </c>
      <c r="AL501" t="n">
        <v>67.72799999999999</v>
      </c>
      <c r="AM501" t="n">
        <v>8.9176</v>
      </c>
      <c r="AN501" t="n">
        <v>9.566587534677272</v>
      </c>
      <c r="AO501" t="n">
        <v>0.913</v>
      </c>
      <c r="AP501" t="n">
        <v>6064.919358776563</v>
      </c>
      <c r="AQ501" t="n">
        <v>1.096171586715867</v>
      </c>
      <c r="AR501" t="n">
        <v>6648.1923</v>
      </c>
      <c r="AS501" t="n">
        <v>3756.106427232</v>
      </c>
      <c r="AT501" t="inlineStr">
        <is>
          <t>PNP_16T_02-11-2020</t>
        </is>
      </c>
      <c r="AU501" t="inlineStr">
        <is>
          <t>PNCP_2T_10-02-2020</t>
        </is>
      </c>
      <c r="AV501" t="inlineStr">
        <is>
          <t>PNCP_4T_30-04-2013</t>
        </is>
      </c>
      <c r="AW501" t="inlineStr">
        <is>
          <t>CHARRUA 220</t>
        </is>
      </c>
      <c r="AX501" t="n">
        <v>111.133</v>
      </c>
      <c r="AY501" t="n">
        <v>1.080821157758461</v>
      </c>
      <c r="AZ501" t="n">
        <v>120.1148977251711</v>
      </c>
      <c r="BA501" t="n">
        <v>779.3099999999999</v>
      </c>
      <c r="BB501" t="n">
        <v>0.879</v>
      </c>
      <c r="BC501" t="n">
        <v>82.2803252917125</v>
      </c>
      <c r="BD501" t="n">
        <v>0.9312</v>
      </c>
      <c r="BE501" t="n">
        <v>76.619</v>
      </c>
      <c r="BF501" t="n">
        <v>8.9176</v>
      </c>
      <c r="BG501" t="n">
        <v>0.804</v>
      </c>
      <c r="BH501" t="n">
        <v>6039.043023599974</v>
      </c>
      <c r="BI501" t="n">
        <v>1.118773062730627</v>
      </c>
      <c r="BJ501" t="n">
        <v>6756.3187</v>
      </c>
      <c r="BK501" t="n">
        <v>4249.189675586</v>
      </c>
    </row>
    <row r="502">
      <c r="A502" t="n">
        <v>1943</v>
      </c>
      <c r="B502" t="inlineStr">
        <is>
          <t>01-12-2020</t>
        </is>
      </c>
      <c r="C502" t="n">
        <v>2020</v>
      </c>
      <c r="D502" t="n">
        <v>1</v>
      </c>
      <c r="E502" t="inlineStr">
        <is>
          <t>CAREN</t>
        </is>
      </c>
      <c r="F502" t="inlineStr">
        <is>
          <t>SUM_SAESA_A</t>
        </is>
      </c>
      <c r="G502" t="inlineStr">
        <is>
          <t>A</t>
        </is>
      </c>
      <c r="H502" t="inlineStr">
        <is>
          <t>SAESA</t>
        </is>
      </c>
      <c r="I502" t="inlineStr">
        <is>
          <t>SAESLONCBLOQA</t>
        </is>
      </c>
      <c r="J502" t="inlineStr">
        <is>
          <t>LONCOCHE2</t>
        </is>
      </c>
      <c r="K502" t="n">
        <v>-4952.08041968</v>
      </c>
      <c r="L502" t="inlineStr">
        <is>
          <t>LONCOCHE</t>
        </is>
      </c>
      <c r="M502" t="inlineStr">
        <is>
          <t>TEMUCO</t>
        </is>
      </c>
      <c r="N502" t="n">
        <v>0.81998113373673</v>
      </c>
      <c r="O502" t="n">
        <v>4060.612517</v>
      </c>
      <c r="P502" t="inlineStr">
        <is>
          <t>BS1A</t>
        </is>
      </c>
      <c r="Q502" t="n">
        <v>2</v>
      </c>
      <c r="V502" t="n">
        <v>1472834.063</v>
      </c>
      <c r="W502" t="n">
        <v>2</v>
      </c>
      <c r="X502" t="n">
        <v>8.487e-08</v>
      </c>
      <c r="Y502" t="n">
        <v>0.249999</v>
      </c>
      <c r="Z502" t="n">
        <v>1015.149069</v>
      </c>
      <c r="AA502" t="inlineStr">
        <is>
          <t>PNP_6T_08-05-2020</t>
        </is>
      </c>
      <c r="AB502" t="inlineStr">
        <is>
          <t>PNCP_9T_12-08-2019</t>
        </is>
      </c>
      <c r="AC502" t="inlineStr">
        <is>
          <t>PNCP_4T_30-04-2013</t>
        </is>
      </c>
      <c r="AD502" t="inlineStr">
        <is>
          <t>TEMUCO 220</t>
        </is>
      </c>
      <c r="AE502" t="n">
        <v>111.133</v>
      </c>
      <c r="AF502" t="n">
        <v>1.072776031070834</v>
      </c>
      <c r="AG502" t="n">
        <v>119.220818660995</v>
      </c>
      <c r="AH502" t="n">
        <v>694.38</v>
      </c>
      <c r="AI502" t="n">
        <v>0.875</v>
      </c>
      <c r="AJ502" t="n">
        <v>72.43648305409401</v>
      </c>
      <c r="AK502" t="n">
        <v>0.9159</v>
      </c>
      <c r="AL502" t="n">
        <v>66.345</v>
      </c>
      <c r="AM502" t="n">
        <v>8.9176</v>
      </c>
      <c r="AN502" t="n">
        <v>9.566587534677272</v>
      </c>
      <c r="AO502" t="n">
        <v>0.913</v>
      </c>
      <c r="AP502" t="n">
        <v>6064.919358776563</v>
      </c>
      <c r="AQ502" t="n">
        <v>1.043187485830877</v>
      </c>
      <c r="AR502" t="n">
        <v>6326.848</v>
      </c>
      <c r="AS502" t="n">
        <v>67350.06498280501</v>
      </c>
      <c r="AT502" t="inlineStr">
        <is>
          <t>PNP_16T_02-11-2020</t>
        </is>
      </c>
      <c r="AU502" t="inlineStr">
        <is>
          <t>PNCP_2T_10-02-2020</t>
        </is>
      </c>
      <c r="AV502" t="inlineStr">
        <is>
          <t>PNCP_4T_30-04-2013</t>
        </is>
      </c>
      <c r="AW502" t="inlineStr">
        <is>
          <t>TEMUCO 220</t>
        </is>
      </c>
      <c r="AX502" t="n">
        <v>111.133</v>
      </c>
      <c r="AY502" t="n">
        <v>1.080821157758461</v>
      </c>
      <c r="AZ502" t="n">
        <v>120.1148977251711</v>
      </c>
      <c r="BA502" t="n">
        <v>779.3099999999999</v>
      </c>
      <c r="BB502" t="n">
        <v>0.879</v>
      </c>
      <c r="BC502" t="n">
        <v>82.2803252917125</v>
      </c>
      <c r="BD502" t="n">
        <v>0.9286</v>
      </c>
      <c r="BE502" t="n">
        <v>76.40600000000001</v>
      </c>
      <c r="BF502" t="n">
        <v>8.9176</v>
      </c>
      <c r="BG502" t="n">
        <v>0.804</v>
      </c>
      <c r="BH502" t="n">
        <v>6039.043023599974</v>
      </c>
      <c r="BI502" t="n">
        <v>1.081160734527318</v>
      </c>
      <c r="BJ502" t="n">
        <v>6529.1762</v>
      </c>
      <c r="BK502" t="n">
        <v>77563.479766014</v>
      </c>
    </row>
    <row r="503">
      <c r="A503" t="n">
        <v>3913</v>
      </c>
      <c r="B503" t="inlineStr">
        <is>
          <t>01-12-2020</t>
        </is>
      </c>
      <c r="C503" t="n">
        <v>2020</v>
      </c>
      <c r="D503" t="n">
        <v>1</v>
      </c>
      <c r="E503" t="inlineStr">
        <is>
          <t>CAREN</t>
        </is>
      </c>
      <c r="F503" t="inlineStr">
        <is>
          <t>SUM_SAESA_A</t>
        </is>
      </c>
      <c r="G503" t="inlineStr">
        <is>
          <t>A</t>
        </is>
      </c>
      <c r="H503" t="inlineStr">
        <is>
          <t>SAESA</t>
        </is>
      </c>
      <c r="I503" t="inlineStr">
        <is>
          <t>SAESLTAMBLOQA</t>
        </is>
      </c>
      <c r="J503" t="inlineStr">
        <is>
          <t>LOS_TAMBORES</t>
        </is>
      </c>
      <c r="K503" t="n">
        <v>-3930.99760349</v>
      </c>
      <c r="L503" t="inlineStr">
        <is>
          <t>LOS TAMBORES</t>
        </is>
      </c>
      <c r="M503" t="inlineStr">
        <is>
          <t>BARRO BLANCO</t>
        </is>
      </c>
      <c r="N503" t="n">
        <v>0.75545534124308</v>
      </c>
      <c r="O503" t="n">
        <v>2969.693136</v>
      </c>
      <c r="P503" t="inlineStr">
        <is>
          <t>BS1A</t>
        </is>
      </c>
      <c r="Q503" t="n">
        <v>2</v>
      </c>
      <c r="V503" t="n">
        <v>1472834.063</v>
      </c>
      <c r="W503" t="n">
        <v>2</v>
      </c>
      <c r="X503" t="n">
        <v>8.487e-08</v>
      </c>
      <c r="Y503" t="n">
        <v>0.249999</v>
      </c>
      <c r="Z503" t="n">
        <v>742.420314</v>
      </c>
      <c r="AA503" t="inlineStr">
        <is>
          <t>PNP_6T_08-05-2020</t>
        </is>
      </c>
      <c r="AB503" t="inlineStr">
        <is>
          <t>PNCP_9T_12-08-2019</t>
        </is>
      </c>
      <c r="AC503" t="inlineStr">
        <is>
          <t>PNCP_4T_30-04-2013</t>
        </is>
      </c>
      <c r="AD503" t="inlineStr">
        <is>
          <t>Barro Blanco 220</t>
        </is>
      </c>
      <c r="AE503" t="n">
        <v>111.133</v>
      </c>
      <c r="AF503" t="n">
        <v>1.072776031070834</v>
      </c>
      <c r="AG503" t="n">
        <v>119.220818660995</v>
      </c>
      <c r="AH503" t="n">
        <v>694.38</v>
      </c>
      <c r="AI503" t="n">
        <v>0.875</v>
      </c>
      <c r="AJ503" t="n">
        <v>72.43648305409401</v>
      </c>
      <c r="AK503" t="n">
        <v>0.8631</v>
      </c>
      <c r="AL503" t="n">
        <v>62.52</v>
      </c>
      <c r="AM503" t="n">
        <v>8.9176</v>
      </c>
      <c r="AN503" t="n">
        <v>9.566587534677272</v>
      </c>
      <c r="AO503" t="n">
        <v>0.913</v>
      </c>
      <c r="AP503" t="n">
        <v>6064.919358776563</v>
      </c>
      <c r="AQ503" t="n">
        <v>1.004432825642191</v>
      </c>
      <c r="AR503" t="n">
        <v>6091.8041</v>
      </c>
      <c r="AS503" t="n">
        <v>46416.11803128</v>
      </c>
      <c r="AT503" t="inlineStr">
        <is>
          <t>PNP_16T_02-11-2020</t>
        </is>
      </c>
      <c r="AU503" t="inlineStr">
        <is>
          <t>PNCP_2T_10-02-2020</t>
        </is>
      </c>
      <c r="AV503" t="inlineStr">
        <is>
          <t>PNCP_4T_30-04-2013</t>
        </is>
      </c>
      <c r="AW503" t="inlineStr">
        <is>
          <t>Barro Blanco 220</t>
        </is>
      </c>
      <c r="AX503" t="n">
        <v>111.133</v>
      </c>
      <c r="AY503" t="n">
        <v>1.080821157758461</v>
      </c>
      <c r="AZ503" t="n">
        <v>120.1148977251711</v>
      </c>
      <c r="BA503" t="n">
        <v>779.3099999999999</v>
      </c>
      <c r="BB503" t="n">
        <v>0.879</v>
      </c>
      <c r="BC503" t="n">
        <v>82.2803252917125</v>
      </c>
      <c r="BD503" t="n">
        <v>0.846</v>
      </c>
      <c r="BE503" t="n">
        <v>69.60899999999999</v>
      </c>
      <c r="BF503" t="n">
        <v>8.9176</v>
      </c>
      <c r="BG503" t="n">
        <v>0.804</v>
      </c>
      <c r="BH503" t="n">
        <v>6039.043023599974</v>
      </c>
      <c r="BI503" t="n">
        <v>1.011820868379177</v>
      </c>
      <c r="BJ503" t="n">
        <v>6110.4298</v>
      </c>
      <c r="BK503" t="n">
        <v>51679.13563722599</v>
      </c>
    </row>
    <row r="504">
      <c r="A504" t="n">
        <v>3915</v>
      </c>
      <c r="B504" t="inlineStr">
        <is>
          <t>01-12-2020</t>
        </is>
      </c>
      <c r="C504" t="n">
        <v>2020</v>
      </c>
      <c r="D504" t="n">
        <v>1</v>
      </c>
      <c r="E504" t="inlineStr">
        <is>
          <t>CAREN</t>
        </is>
      </c>
      <c r="F504" t="inlineStr">
        <is>
          <t>SUM_SAESA_A</t>
        </is>
      </c>
      <c r="G504" t="inlineStr">
        <is>
          <t>A</t>
        </is>
      </c>
      <c r="H504" t="inlineStr">
        <is>
          <t>SAESA</t>
        </is>
      </c>
      <c r="I504" t="inlineStr">
        <is>
          <t>SAESLTAMBLOQA</t>
        </is>
      </c>
      <c r="J504" t="inlineStr">
        <is>
          <t>LOS_TAMBORES</t>
        </is>
      </c>
      <c r="K504" t="n">
        <v>-3930.99760349</v>
      </c>
      <c r="L504" t="inlineStr">
        <is>
          <t>LOS TAMBORES</t>
        </is>
      </c>
      <c r="M504" t="inlineStr">
        <is>
          <t>MELIPULLI</t>
        </is>
      </c>
      <c r="N504" t="n">
        <v>0.04254585600052</v>
      </c>
      <c r="O504" t="n">
        <v>167.247658</v>
      </c>
      <c r="P504" t="inlineStr">
        <is>
          <t>BS1A</t>
        </is>
      </c>
      <c r="Q504" t="n">
        <v>2</v>
      </c>
      <c r="V504" t="n">
        <v>1472834.063</v>
      </c>
      <c r="W504" t="n">
        <v>2</v>
      </c>
      <c r="X504" t="n">
        <v>8.487e-08</v>
      </c>
      <c r="Y504" t="n">
        <v>0.249999</v>
      </c>
      <c r="Z504" t="n">
        <v>41.811747</v>
      </c>
      <c r="AA504" t="inlineStr">
        <is>
          <t>PNP_6T_08-05-2020</t>
        </is>
      </c>
      <c r="AB504" t="inlineStr">
        <is>
          <t>PNCP_9T_12-08-2019</t>
        </is>
      </c>
      <c r="AC504" t="inlineStr">
        <is>
          <t>PNCP_4T_30-04-2013</t>
        </is>
      </c>
      <c r="AD504" t="inlineStr">
        <is>
          <t>MELIPULLI 220</t>
        </is>
      </c>
      <c r="AE504" t="n">
        <v>111.133</v>
      </c>
      <c r="AF504" t="n">
        <v>1.072776031070834</v>
      </c>
      <c r="AG504" t="n">
        <v>119.220818660995</v>
      </c>
      <c r="AH504" t="n">
        <v>694.38</v>
      </c>
      <c r="AI504" t="n">
        <v>0.875</v>
      </c>
      <c r="AJ504" t="n">
        <v>72.43648305409401</v>
      </c>
      <c r="AK504" t="n">
        <v>0.8826000000000001</v>
      </c>
      <c r="AL504" t="n">
        <v>63.932</v>
      </c>
      <c r="AM504" t="n">
        <v>8.9176</v>
      </c>
      <c r="AN504" t="n">
        <v>9.566587534677272</v>
      </c>
      <c r="AO504" t="n">
        <v>0.913</v>
      </c>
      <c r="AP504" t="n">
        <v>6064.919358776563</v>
      </c>
      <c r="AQ504" t="n">
        <v>1</v>
      </c>
      <c r="AR504" t="n">
        <v>6064.9194</v>
      </c>
      <c r="AS504" t="n">
        <v>2673.108609204</v>
      </c>
      <c r="AT504" t="inlineStr">
        <is>
          <t>PNP_16T_02-11-2020</t>
        </is>
      </c>
      <c r="AU504" t="inlineStr">
        <is>
          <t>PNCP_2T_10-02-2020</t>
        </is>
      </c>
      <c r="AV504" t="inlineStr">
        <is>
          <t>PNCP_4T_30-04-2013</t>
        </is>
      </c>
      <c r="AW504" t="inlineStr">
        <is>
          <t>MELIPULLI 220</t>
        </is>
      </c>
      <c r="AX504" t="n">
        <v>111.133</v>
      </c>
      <c r="AY504" t="n">
        <v>1.080821157758461</v>
      </c>
      <c r="AZ504" t="n">
        <v>120.1148977251711</v>
      </c>
      <c r="BA504" t="n">
        <v>779.3099999999999</v>
      </c>
      <c r="BB504" t="n">
        <v>0.879</v>
      </c>
      <c r="BC504" t="n">
        <v>82.2803252917125</v>
      </c>
      <c r="BD504" t="n">
        <v>0.8421</v>
      </c>
      <c r="BE504" t="n">
        <v>69.288</v>
      </c>
      <c r="BF504" t="n">
        <v>8.9176</v>
      </c>
      <c r="BG504" t="n">
        <v>0.804</v>
      </c>
      <c r="BH504" t="n">
        <v>6039.043023599974</v>
      </c>
      <c r="BI504" t="n">
        <v>1</v>
      </c>
      <c r="BJ504" t="n">
        <v>6039.043</v>
      </c>
      <c r="BK504" t="n">
        <v>2897.052326135999</v>
      </c>
    </row>
    <row r="505">
      <c r="A505" t="n">
        <v>3917</v>
      </c>
      <c r="B505" t="inlineStr">
        <is>
          <t>01-12-2020</t>
        </is>
      </c>
      <c r="C505" t="n">
        <v>2020</v>
      </c>
      <c r="D505" t="n">
        <v>1</v>
      </c>
      <c r="E505" t="inlineStr">
        <is>
          <t>CAREN</t>
        </is>
      </c>
      <c r="F505" t="inlineStr">
        <is>
          <t>SUM_SAESA_A</t>
        </is>
      </c>
      <c r="G505" t="inlineStr">
        <is>
          <t>A</t>
        </is>
      </c>
      <c r="H505" t="inlineStr">
        <is>
          <t>SAESA</t>
        </is>
      </c>
      <c r="I505" t="inlineStr">
        <is>
          <t>SAESLTAMBLOQA</t>
        </is>
      </c>
      <c r="J505" t="inlineStr">
        <is>
          <t>LOS_TAMBORES</t>
        </is>
      </c>
      <c r="K505" t="n">
        <v>-3930.99760349</v>
      </c>
      <c r="L505" t="inlineStr">
        <is>
          <t>LOS TAMBORES</t>
        </is>
      </c>
      <c r="M505" t="inlineStr">
        <is>
          <t>VALDIVIA</t>
        </is>
      </c>
      <c r="N505" t="n">
        <v>0.15079558340347</v>
      </c>
      <c r="O505" t="n">
        <v>592.777077</v>
      </c>
      <c r="P505" t="inlineStr">
        <is>
          <t>BS1A</t>
        </is>
      </c>
      <c r="Q505" t="n">
        <v>2</v>
      </c>
      <c r="V505" t="n">
        <v>1472834.063</v>
      </c>
      <c r="W505" t="n">
        <v>2</v>
      </c>
      <c r="X505" t="n">
        <v>8.487e-08</v>
      </c>
      <c r="Y505" t="n">
        <v>0.249999</v>
      </c>
      <c r="Z505" t="n">
        <v>148.193676</v>
      </c>
      <c r="AA505" t="inlineStr">
        <is>
          <t>PNP_6T_08-05-2020</t>
        </is>
      </c>
      <c r="AB505" t="inlineStr">
        <is>
          <t>PNCP_9T_12-08-2019</t>
        </is>
      </c>
      <c r="AC505" t="inlineStr">
        <is>
          <t>PNCP_4T_30-04-2013</t>
        </is>
      </c>
      <c r="AD505" t="inlineStr">
        <is>
          <t>VALDIVIA 220</t>
        </is>
      </c>
      <c r="AE505" t="n">
        <v>111.133</v>
      </c>
      <c r="AF505" t="n">
        <v>1.072776031070834</v>
      </c>
      <c r="AG505" t="n">
        <v>119.220818660995</v>
      </c>
      <c r="AH505" t="n">
        <v>694.38</v>
      </c>
      <c r="AI505" t="n">
        <v>0.875</v>
      </c>
      <c r="AJ505" t="n">
        <v>72.43648305409401</v>
      </c>
      <c r="AK505" t="n">
        <v>0.913</v>
      </c>
      <c r="AL505" t="n">
        <v>66.13500000000001</v>
      </c>
      <c r="AM505" t="n">
        <v>8.9176</v>
      </c>
      <c r="AN505" t="n">
        <v>9.566587534677272</v>
      </c>
      <c r="AO505" t="n">
        <v>0.913</v>
      </c>
      <c r="AP505" t="n">
        <v>6064.919358776563</v>
      </c>
      <c r="AQ505" t="n">
        <v>1.051287819142954</v>
      </c>
      <c r="AR505" t="n">
        <v>6375.9758</v>
      </c>
      <c r="AS505" t="n">
        <v>9800.788762260001</v>
      </c>
      <c r="AT505" t="inlineStr">
        <is>
          <t>PNP_16T_02-11-2020</t>
        </is>
      </c>
      <c r="AU505" t="inlineStr">
        <is>
          <t>PNCP_2T_10-02-2020</t>
        </is>
      </c>
      <c r="AV505" t="inlineStr">
        <is>
          <t>PNCP_4T_30-04-2013</t>
        </is>
      </c>
      <c r="AW505" t="inlineStr">
        <is>
          <t>VALDIVIA 220</t>
        </is>
      </c>
      <c r="AX505" t="n">
        <v>111.133</v>
      </c>
      <c r="AY505" t="n">
        <v>1.080821157758461</v>
      </c>
      <c r="AZ505" t="n">
        <v>120.1148977251711</v>
      </c>
      <c r="BA505" t="n">
        <v>779.3099999999999</v>
      </c>
      <c r="BB505" t="n">
        <v>0.879</v>
      </c>
      <c r="BC505" t="n">
        <v>82.2803252917125</v>
      </c>
      <c r="BD505" t="n">
        <v>0.9167</v>
      </c>
      <c r="BE505" t="n">
        <v>75.426</v>
      </c>
      <c r="BF505" t="n">
        <v>8.9176</v>
      </c>
      <c r="BG505" t="n">
        <v>0.804</v>
      </c>
      <c r="BH505" t="n">
        <v>6039.043023599974</v>
      </c>
      <c r="BI505" t="n">
        <v>1.096052187605444</v>
      </c>
      <c r="BJ505" t="n">
        <v>6619.1063</v>
      </c>
      <c r="BK505" t="n">
        <v>11177.656205976</v>
      </c>
    </row>
    <row r="506">
      <c r="A506" t="n">
        <v>647</v>
      </c>
      <c r="B506" t="inlineStr">
        <is>
          <t>01-12-2020</t>
        </is>
      </c>
      <c r="C506" t="n">
        <v>2020</v>
      </c>
      <c r="D506" t="n">
        <v>1</v>
      </c>
      <c r="E506" t="inlineStr">
        <is>
          <t>CAREN</t>
        </is>
      </c>
      <c r="F506" t="inlineStr">
        <is>
          <t>SUM_SAESA_A</t>
        </is>
      </c>
      <c r="G506" t="inlineStr">
        <is>
          <t>A</t>
        </is>
      </c>
      <c r="H506" t="inlineStr">
        <is>
          <t>SAESA</t>
        </is>
      </c>
      <c r="I506" t="inlineStr">
        <is>
          <t>SAESMARIBLOQA</t>
        </is>
      </c>
      <c r="J506" t="inlineStr">
        <is>
          <t>MARIQUINA</t>
        </is>
      </c>
      <c r="K506" t="n">
        <v>-3845.57639948</v>
      </c>
      <c r="L506" t="inlineStr">
        <is>
          <t>MARIQUINA</t>
        </is>
      </c>
      <c r="M506" t="inlineStr">
        <is>
          <t>LOS CIRUELOS</t>
        </is>
      </c>
      <c r="N506" t="n">
        <v>0.8657261296708</v>
      </c>
      <c r="O506" t="n">
        <v>3329.215973</v>
      </c>
      <c r="P506" t="inlineStr">
        <is>
          <t>BS1A</t>
        </is>
      </c>
      <c r="Q506" t="n">
        <v>2</v>
      </c>
      <c r="V506" t="n">
        <v>1472834.063</v>
      </c>
      <c r="W506" t="n">
        <v>2</v>
      </c>
      <c r="X506" t="n">
        <v>8.487e-08</v>
      </c>
      <c r="Y506" t="n">
        <v>0.249999</v>
      </c>
      <c r="Z506" t="n">
        <v>832.300664</v>
      </c>
    </row>
    <row r="507">
      <c r="A507" t="n">
        <v>5097</v>
      </c>
      <c r="B507" t="inlineStr">
        <is>
          <t>01-12-2020</t>
        </is>
      </c>
      <c r="C507" t="n">
        <v>2020</v>
      </c>
      <c r="D507" t="n">
        <v>1</v>
      </c>
      <c r="E507" t="inlineStr">
        <is>
          <t>CAREN</t>
        </is>
      </c>
      <c r="F507" t="inlineStr">
        <is>
          <t>SUM_SAESA_A</t>
        </is>
      </c>
      <c r="G507" t="inlineStr">
        <is>
          <t>A</t>
        </is>
      </c>
      <c r="H507" t="inlineStr">
        <is>
          <t>SAESA</t>
        </is>
      </c>
      <c r="I507" t="inlineStr">
        <is>
          <t>SAESMELIBLOQA</t>
        </is>
      </c>
      <c r="J507" t="inlineStr">
        <is>
          <t>MELIPULLI</t>
        </is>
      </c>
      <c r="K507" t="n">
        <v>-43980.76589448</v>
      </c>
      <c r="L507" t="inlineStr">
        <is>
          <t>MELIPULLI</t>
        </is>
      </c>
      <c r="M507" t="inlineStr">
        <is>
          <t>Barro Blanco</t>
        </is>
      </c>
      <c r="N507" t="n">
        <v>0.01002306488906</v>
      </c>
      <c r="O507" t="n">
        <v>440.82207</v>
      </c>
      <c r="P507" t="inlineStr">
        <is>
          <t>BS1A</t>
        </is>
      </c>
      <c r="Q507" t="n">
        <v>2</v>
      </c>
      <c r="V507" t="n">
        <v>1472834.063</v>
      </c>
      <c r="W507" t="n">
        <v>2</v>
      </c>
      <c r="X507" t="n">
        <v>8.487e-08</v>
      </c>
      <c r="Y507" t="n">
        <v>0.249999</v>
      </c>
      <c r="Z507" t="n">
        <v>110.205077</v>
      </c>
      <c r="AA507" t="inlineStr">
        <is>
          <t>PNP_6T_08-05-2020</t>
        </is>
      </c>
      <c r="AB507" t="inlineStr">
        <is>
          <t>PNCP_9T_12-08-2019</t>
        </is>
      </c>
      <c r="AC507" t="inlineStr">
        <is>
          <t>PNCP_4T_30-04-2013</t>
        </is>
      </c>
      <c r="AD507" t="inlineStr">
        <is>
          <t>Barro Blanco 220</t>
        </is>
      </c>
      <c r="AE507" t="n">
        <v>111.133</v>
      </c>
      <c r="AF507" t="n">
        <v>1.072776031070834</v>
      </c>
      <c r="AG507" t="n">
        <v>119.220818660995</v>
      </c>
      <c r="AH507" t="n">
        <v>694.38</v>
      </c>
      <c r="AI507" t="n">
        <v>0.875</v>
      </c>
      <c r="AJ507" t="n">
        <v>72.43648305409401</v>
      </c>
      <c r="AK507" t="n">
        <v>0.8631</v>
      </c>
      <c r="AL507" t="n">
        <v>62.52</v>
      </c>
      <c r="AM507" t="n">
        <v>8.9176</v>
      </c>
      <c r="AN507" t="n">
        <v>9.566587534677272</v>
      </c>
      <c r="AO507" t="n">
        <v>0.913</v>
      </c>
      <c r="AP507" t="n">
        <v>6064.919358776563</v>
      </c>
      <c r="AQ507" t="n">
        <v>1.004432825642191</v>
      </c>
      <c r="AR507" t="n">
        <v>6091.8041</v>
      </c>
      <c r="AS507" t="n">
        <v>6890.02141404</v>
      </c>
      <c r="AT507" t="inlineStr">
        <is>
          <t>PNP_16T_02-11-2020</t>
        </is>
      </c>
      <c r="AU507" t="inlineStr">
        <is>
          <t>PNCP_2T_10-02-2020</t>
        </is>
      </c>
      <c r="AV507" t="inlineStr">
        <is>
          <t>PNCP_4T_30-04-2013</t>
        </is>
      </c>
      <c r="AW507" t="inlineStr">
        <is>
          <t>Barro Blanco 220</t>
        </is>
      </c>
      <c r="AX507" t="n">
        <v>111.133</v>
      </c>
      <c r="AY507" t="n">
        <v>1.080821157758461</v>
      </c>
      <c r="AZ507" t="n">
        <v>120.1148977251711</v>
      </c>
      <c r="BA507" t="n">
        <v>779.3099999999999</v>
      </c>
      <c r="BB507" t="n">
        <v>0.879</v>
      </c>
      <c r="BC507" t="n">
        <v>82.2803252917125</v>
      </c>
      <c r="BD507" t="n">
        <v>0.846</v>
      </c>
      <c r="BE507" t="n">
        <v>69.60899999999999</v>
      </c>
      <c r="BF507" t="n">
        <v>8.9176</v>
      </c>
      <c r="BG507" t="n">
        <v>0.804</v>
      </c>
      <c r="BH507" t="n">
        <v>6039.043023599974</v>
      </c>
      <c r="BI507" t="n">
        <v>1.011820868379177</v>
      </c>
      <c r="BJ507" t="n">
        <v>6110.4298</v>
      </c>
      <c r="BK507" t="n">
        <v>7671.265204892999</v>
      </c>
    </row>
    <row r="508">
      <c r="A508" t="n">
        <v>5099</v>
      </c>
      <c r="B508" t="inlineStr">
        <is>
          <t>01-12-2020</t>
        </is>
      </c>
      <c r="C508" t="n">
        <v>2020</v>
      </c>
      <c r="D508" t="n">
        <v>1</v>
      </c>
      <c r="E508" t="inlineStr">
        <is>
          <t>CAREN</t>
        </is>
      </c>
      <c r="F508" t="inlineStr">
        <is>
          <t>SUM_SAESA_A</t>
        </is>
      </c>
      <c r="G508" t="inlineStr">
        <is>
          <t>A</t>
        </is>
      </c>
      <c r="H508" t="inlineStr">
        <is>
          <t>SAESA</t>
        </is>
      </c>
      <c r="I508" t="inlineStr">
        <is>
          <t>SAESMELIBLOQA</t>
        </is>
      </c>
      <c r="J508" t="inlineStr">
        <is>
          <t>MELIPULLI</t>
        </is>
      </c>
      <c r="K508" t="n">
        <v>-43980.76589448</v>
      </c>
      <c r="L508" t="inlineStr">
        <is>
          <t>MELIPULLI</t>
        </is>
      </c>
      <c r="M508" t="inlineStr">
        <is>
          <t>MELIPULLI</t>
        </is>
      </c>
      <c r="N508" t="n">
        <v>0.76027818246183</v>
      </c>
      <c r="O508" t="n">
        <v>33437.616758</v>
      </c>
      <c r="P508" t="inlineStr">
        <is>
          <t>BS1A</t>
        </is>
      </c>
      <c r="Q508" t="n">
        <v>2</v>
      </c>
      <c r="V508" t="n">
        <v>1472834.063</v>
      </c>
      <c r="W508" t="n">
        <v>2</v>
      </c>
      <c r="X508" t="n">
        <v>8.487e-08</v>
      </c>
      <c r="Y508" t="n">
        <v>0.249999</v>
      </c>
      <c r="Z508" t="n">
        <v>8359.370752000001</v>
      </c>
      <c r="AA508" t="inlineStr">
        <is>
          <t>PNP_6T_08-05-2020</t>
        </is>
      </c>
      <c r="AB508" t="inlineStr">
        <is>
          <t>PNCP_9T_12-08-2019</t>
        </is>
      </c>
      <c r="AC508" t="inlineStr">
        <is>
          <t>PNCP_4T_30-04-2013</t>
        </is>
      </c>
      <c r="AD508" t="inlineStr">
        <is>
          <t>MELIPULLI 220</t>
        </is>
      </c>
      <c r="AE508" t="n">
        <v>111.133</v>
      </c>
      <c r="AF508" t="n">
        <v>1.072776031070834</v>
      </c>
      <c r="AG508" t="n">
        <v>119.220818660995</v>
      </c>
      <c r="AH508" t="n">
        <v>694.38</v>
      </c>
      <c r="AI508" t="n">
        <v>0.875</v>
      </c>
      <c r="AJ508" t="n">
        <v>72.43648305409401</v>
      </c>
      <c r="AK508" t="n">
        <v>0.8826000000000001</v>
      </c>
      <c r="AL508" t="n">
        <v>63.932</v>
      </c>
      <c r="AM508" t="n">
        <v>8.9176</v>
      </c>
      <c r="AN508" t="n">
        <v>9.566587534677272</v>
      </c>
      <c r="AO508" t="n">
        <v>0.913</v>
      </c>
      <c r="AP508" t="n">
        <v>6064.919358776563</v>
      </c>
      <c r="AQ508" t="n">
        <v>1</v>
      </c>
      <c r="AR508" t="n">
        <v>6064.9194</v>
      </c>
      <c r="AS508" t="n">
        <v>534431.2909168641</v>
      </c>
      <c r="AT508" t="inlineStr">
        <is>
          <t>PNP_16T_02-11-2020</t>
        </is>
      </c>
      <c r="AU508" t="inlineStr">
        <is>
          <t>PNCP_2T_10-02-2020</t>
        </is>
      </c>
      <c r="AV508" t="inlineStr">
        <is>
          <t>PNCP_4T_30-04-2013</t>
        </is>
      </c>
      <c r="AW508" t="inlineStr">
        <is>
          <t>MELIPULLI 220</t>
        </is>
      </c>
      <c r="AX508" t="n">
        <v>111.133</v>
      </c>
      <c r="AY508" t="n">
        <v>1.080821157758461</v>
      </c>
      <c r="AZ508" t="n">
        <v>120.1148977251711</v>
      </c>
      <c r="BA508" t="n">
        <v>779.3099999999999</v>
      </c>
      <c r="BB508" t="n">
        <v>0.879</v>
      </c>
      <c r="BC508" t="n">
        <v>82.2803252917125</v>
      </c>
      <c r="BD508" t="n">
        <v>0.8421</v>
      </c>
      <c r="BE508" t="n">
        <v>69.288</v>
      </c>
      <c r="BF508" t="n">
        <v>8.9176</v>
      </c>
      <c r="BG508" t="n">
        <v>0.804</v>
      </c>
      <c r="BH508" t="n">
        <v>6039.043023599974</v>
      </c>
      <c r="BI508" t="n">
        <v>1</v>
      </c>
      <c r="BJ508" t="n">
        <v>6039.043</v>
      </c>
      <c r="BK508" t="n">
        <v>579204.080664576</v>
      </c>
    </row>
    <row r="509">
      <c r="A509" t="n">
        <v>5101</v>
      </c>
      <c r="B509" t="inlineStr">
        <is>
          <t>01-12-2020</t>
        </is>
      </c>
      <c r="C509" t="n">
        <v>2020</v>
      </c>
      <c r="D509" t="n">
        <v>1</v>
      </c>
      <c r="E509" t="inlineStr">
        <is>
          <t>CAREN</t>
        </is>
      </c>
      <c r="F509" t="inlineStr">
        <is>
          <t>SUM_SAESA_A</t>
        </is>
      </c>
      <c r="G509" t="inlineStr">
        <is>
          <t>A</t>
        </is>
      </c>
      <c r="H509" t="inlineStr">
        <is>
          <t>SAESA</t>
        </is>
      </c>
      <c r="I509" t="inlineStr">
        <is>
          <t>SAESMELIBLOQA</t>
        </is>
      </c>
      <c r="J509" t="inlineStr">
        <is>
          <t>MELIPULLI</t>
        </is>
      </c>
      <c r="K509" t="n">
        <v>-43980.76589448</v>
      </c>
      <c r="L509" t="inlineStr">
        <is>
          <t>MELIPULLI</t>
        </is>
      </c>
      <c r="M509" t="inlineStr">
        <is>
          <t>Puerto Montt</t>
        </is>
      </c>
      <c r="N509" t="n">
        <v>0.93811278134191</v>
      </c>
      <c r="O509" t="n">
        <v>41258.918619</v>
      </c>
      <c r="P509" t="inlineStr">
        <is>
          <t>BS1A</t>
        </is>
      </c>
      <c r="Q509" t="n">
        <v>2</v>
      </c>
      <c r="V509" t="n">
        <v>1472834.063</v>
      </c>
      <c r="W509" t="n">
        <v>2</v>
      </c>
      <c r="X509" t="n">
        <v>8.487e-08</v>
      </c>
      <c r="Y509" t="n">
        <v>0.249999</v>
      </c>
      <c r="Z509" t="n">
        <v>10314.688396</v>
      </c>
      <c r="AA509" t="inlineStr">
        <is>
          <t>PNP_6T_08-05-2020</t>
        </is>
      </c>
      <c r="AB509" t="inlineStr">
        <is>
          <t>PNCP_9T_12-08-2019</t>
        </is>
      </c>
      <c r="AC509" t="inlineStr">
        <is>
          <t>PNCP_4T_30-04-2013</t>
        </is>
      </c>
      <c r="AD509" t="inlineStr">
        <is>
          <t>PUERTO MONTT 220</t>
        </is>
      </c>
      <c r="AE509" t="n">
        <v>111.133</v>
      </c>
      <c r="AF509" t="n">
        <v>1.072776031070834</v>
      </c>
      <c r="AG509" t="n">
        <v>119.220818660995</v>
      </c>
      <c r="AH509" t="n">
        <v>694.38</v>
      </c>
      <c r="AI509" t="n">
        <v>0.875</v>
      </c>
      <c r="AJ509" t="n">
        <v>72.43648305409401</v>
      </c>
      <c r="AK509" t="n">
        <v>0.8826000000000001</v>
      </c>
      <c r="AL509" t="n">
        <v>63.932</v>
      </c>
      <c r="AM509" t="n">
        <v>8.9176</v>
      </c>
      <c r="AN509" t="n">
        <v>9.566587534677272</v>
      </c>
      <c r="AO509" t="n">
        <v>0.913</v>
      </c>
      <c r="AP509" t="n">
        <v>6064.919358776563</v>
      </c>
      <c r="AQ509" t="n">
        <v>1.016858412119831</v>
      </c>
      <c r="AR509" t="n">
        <v>6167.1643</v>
      </c>
      <c r="AS509" t="n">
        <v>659438.658533072</v>
      </c>
      <c r="AT509" t="inlineStr">
        <is>
          <t>PNP_16T_02-11-2020</t>
        </is>
      </c>
      <c r="AU509" t="inlineStr">
        <is>
          <t>PNCP_2T_10-02-2020</t>
        </is>
      </c>
      <c r="AV509" t="inlineStr">
        <is>
          <t>PNCP_4T_30-04-2013</t>
        </is>
      </c>
      <c r="AW509" t="inlineStr">
        <is>
          <t>PUERTO MONTT 220</t>
        </is>
      </c>
      <c r="AX509" t="n">
        <v>111.133</v>
      </c>
      <c r="AY509" t="n">
        <v>1.080821157758461</v>
      </c>
      <c r="AZ509" t="n">
        <v>120.1148977251711</v>
      </c>
      <c r="BA509" t="n">
        <v>779.3099999999999</v>
      </c>
      <c r="BB509" t="n">
        <v>0.879</v>
      </c>
      <c r="BC509" t="n">
        <v>82.2803252917125</v>
      </c>
      <c r="BD509" t="n">
        <v>0.8421</v>
      </c>
      <c r="BE509" t="n">
        <v>69.288</v>
      </c>
      <c r="BF509" t="n">
        <v>8.9176</v>
      </c>
      <c r="BG509" t="n">
        <v>0.804</v>
      </c>
      <c r="BH509" t="n">
        <v>6039.043023599974</v>
      </c>
      <c r="BI509" t="n">
        <v>1.02699624102973</v>
      </c>
      <c r="BJ509" t="n">
        <v>6202.0745</v>
      </c>
      <c r="BK509" t="n">
        <v>714684.1295820479</v>
      </c>
    </row>
    <row r="510">
      <c r="A510" t="n">
        <v>5103</v>
      </c>
      <c r="B510" t="inlineStr">
        <is>
          <t>01-12-2020</t>
        </is>
      </c>
      <c r="C510" t="n">
        <v>2020</v>
      </c>
      <c r="D510" t="n">
        <v>1</v>
      </c>
      <c r="E510" t="inlineStr">
        <is>
          <t>CAREN</t>
        </is>
      </c>
      <c r="F510" t="inlineStr">
        <is>
          <t>SUM_SAESA_A</t>
        </is>
      </c>
      <c r="G510" t="inlineStr">
        <is>
          <t>A</t>
        </is>
      </c>
      <c r="H510" t="inlineStr">
        <is>
          <t>SAESA</t>
        </is>
      </c>
      <c r="I510" t="inlineStr">
        <is>
          <t>SAESMELIBLOQA</t>
        </is>
      </c>
      <c r="J510" t="inlineStr">
        <is>
          <t>MELIPULLI</t>
        </is>
      </c>
      <c r="K510" t="n">
        <v>-43980.76589448</v>
      </c>
      <c r="L510" t="inlineStr">
        <is>
          <t>MELIPULLI</t>
        </is>
      </c>
      <c r="M510" t="inlineStr">
        <is>
          <t>VALDIVIA</t>
        </is>
      </c>
      <c r="N510" t="n">
        <v>0.0001899181297</v>
      </c>
      <c r="O510" t="n">
        <v>8.352745000000001</v>
      </c>
      <c r="P510" t="inlineStr">
        <is>
          <t>BS1A</t>
        </is>
      </c>
      <c r="Q510" t="n">
        <v>2</v>
      </c>
      <c r="V510" t="n">
        <v>1472834.063</v>
      </c>
      <c r="W510" t="n">
        <v>2</v>
      </c>
      <c r="X510" t="n">
        <v>8.487e-08</v>
      </c>
      <c r="Y510" t="n">
        <v>0.249999</v>
      </c>
      <c r="Z510" t="n">
        <v>2.088178</v>
      </c>
      <c r="AA510" t="inlineStr">
        <is>
          <t>PNP_6T_08-05-2020</t>
        </is>
      </c>
      <c r="AB510" t="inlineStr">
        <is>
          <t>PNCP_9T_12-08-2019</t>
        </is>
      </c>
      <c r="AC510" t="inlineStr">
        <is>
          <t>PNCP_4T_30-04-2013</t>
        </is>
      </c>
      <c r="AD510" t="inlineStr">
        <is>
          <t>VALDIVIA 220</t>
        </is>
      </c>
      <c r="AE510" t="n">
        <v>111.133</v>
      </c>
      <c r="AF510" t="n">
        <v>1.072776031070834</v>
      </c>
      <c r="AG510" t="n">
        <v>119.220818660995</v>
      </c>
      <c r="AH510" t="n">
        <v>694.38</v>
      </c>
      <c r="AI510" t="n">
        <v>0.875</v>
      </c>
      <c r="AJ510" t="n">
        <v>72.43648305409401</v>
      </c>
      <c r="AK510" t="n">
        <v>0.913</v>
      </c>
      <c r="AL510" t="n">
        <v>66.13500000000001</v>
      </c>
      <c r="AM510" t="n">
        <v>8.9176</v>
      </c>
      <c r="AN510" t="n">
        <v>9.566587534677272</v>
      </c>
      <c r="AO510" t="n">
        <v>0.913</v>
      </c>
      <c r="AP510" t="n">
        <v>6064.919358776563</v>
      </c>
      <c r="AQ510" t="n">
        <v>1.051287819142954</v>
      </c>
      <c r="AR510" t="n">
        <v>6375.9758</v>
      </c>
      <c r="AS510" t="n">
        <v>138.10165203</v>
      </c>
      <c r="AT510" t="inlineStr">
        <is>
          <t>PNP_16T_02-11-2020</t>
        </is>
      </c>
      <c r="AU510" t="inlineStr">
        <is>
          <t>PNCP_2T_10-02-2020</t>
        </is>
      </c>
      <c r="AV510" t="inlineStr">
        <is>
          <t>PNCP_4T_30-04-2013</t>
        </is>
      </c>
      <c r="AW510" t="inlineStr">
        <is>
          <t>VALDIVIA 220</t>
        </is>
      </c>
      <c r="AX510" t="n">
        <v>111.133</v>
      </c>
      <c r="AY510" t="n">
        <v>1.080821157758461</v>
      </c>
      <c r="AZ510" t="n">
        <v>120.1148977251711</v>
      </c>
      <c r="BA510" t="n">
        <v>779.3099999999999</v>
      </c>
      <c r="BB510" t="n">
        <v>0.879</v>
      </c>
      <c r="BC510" t="n">
        <v>82.2803252917125</v>
      </c>
      <c r="BD510" t="n">
        <v>0.9167</v>
      </c>
      <c r="BE510" t="n">
        <v>75.426</v>
      </c>
      <c r="BF510" t="n">
        <v>8.9176</v>
      </c>
      <c r="BG510" t="n">
        <v>0.804</v>
      </c>
      <c r="BH510" t="n">
        <v>6039.043023599974</v>
      </c>
      <c r="BI510" t="n">
        <v>1.096052187605444</v>
      </c>
      <c r="BJ510" t="n">
        <v>6619.1063</v>
      </c>
      <c r="BK510" t="n">
        <v>157.502913828</v>
      </c>
    </row>
    <row r="511">
      <c r="A511" t="n">
        <v>3895</v>
      </c>
      <c r="B511" t="inlineStr">
        <is>
          <t>01-12-2020</t>
        </is>
      </c>
      <c r="C511" t="n">
        <v>2020</v>
      </c>
      <c r="D511" t="n">
        <v>1</v>
      </c>
      <c r="E511" t="inlineStr">
        <is>
          <t>CAREN</t>
        </is>
      </c>
      <c r="F511" t="inlineStr">
        <is>
          <t>SUM_SAESA_A</t>
        </is>
      </c>
      <c r="G511" t="inlineStr">
        <is>
          <t>A</t>
        </is>
      </c>
      <c r="H511" t="inlineStr">
        <is>
          <t>SAESA</t>
        </is>
      </c>
      <c r="I511" t="inlineStr">
        <is>
          <t>SAESOSORBLOQA</t>
        </is>
      </c>
      <c r="J511" t="inlineStr">
        <is>
          <t>OSORNO</t>
        </is>
      </c>
      <c r="K511" t="n">
        <v>-23325.82975988</v>
      </c>
      <c r="L511" t="inlineStr">
        <is>
          <t>OSORNO</t>
        </is>
      </c>
      <c r="M511" t="inlineStr">
        <is>
          <t>BARRO BLANCO</t>
        </is>
      </c>
      <c r="N511" t="n">
        <v>0.78616844112992</v>
      </c>
      <c r="O511" t="n">
        <v>18338.03122</v>
      </c>
      <c r="P511" t="inlineStr">
        <is>
          <t>BS1A</t>
        </is>
      </c>
      <c r="Q511" t="n">
        <v>2</v>
      </c>
      <c r="V511" t="n">
        <v>1472834.063</v>
      </c>
      <c r="W511" t="n">
        <v>2</v>
      </c>
      <c r="X511" t="n">
        <v>8.487e-08</v>
      </c>
      <c r="Y511" t="n">
        <v>0.249999</v>
      </c>
      <c r="Z511" t="n">
        <v>4584.489467</v>
      </c>
      <c r="AA511" t="inlineStr">
        <is>
          <t>PNP_6T_08-05-2020</t>
        </is>
      </c>
      <c r="AB511" t="inlineStr">
        <is>
          <t>PNCP_9T_12-08-2019</t>
        </is>
      </c>
      <c r="AC511" t="inlineStr">
        <is>
          <t>PNCP_4T_30-04-2013</t>
        </is>
      </c>
      <c r="AD511" t="inlineStr">
        <is>
          <t>Barro Blanco 220</t>
        </is>
      </c>
      <c r="AE511" t="n">
        <v>111.133</v>
      </c>
      <c r="AF511" t="n">
        <v>1.072776031070834</v>
      </c>
      <c r="AG511" t="n">
        <v>119.220818660995</v>
      </c>
      <c r="AH511" t="n">
        <v>694.38</v>
      </c>
      <c r="AI511" t="n">
        <v>0.875</v>
      </c>
      <c r="AJ511" t="n">
        <v>72.43648305409401</v>
      </c>
      <c r="AK511" t="n">
        <v>0.8631</v>
      </c>
      <c r="AL511" t="n">
        <v>62.52</v>
      </c>
      <c r="AM511" t="n">
        <v>8.9176</v>
      </c>
      <c r="AN511" t="n">
        <v>9.566587534677272</v>
      </c>
      <c r="AO511" t="n">
        <v>0.913</v>
      </c>
      <c r="AP511" t="n">
        <v>6064.919358776563</v>
      </c>
      <c r="AQ511" t="n">
        <v>1.004432825642191</v>
      </c>
      <c r="AR511" t="n">
        <v>6091.8041</v>
      </c>
      <c r="AS511" t="n">
        <v>286622.28147684</v>
      </c>
      <c r="AT511" t="inlineStr">
        <is>
          <t>PNP_16T_02-11-2020</t>
        </is>
      </c>
      <c r="AU511" t="inlineStr">
        <is>
          <t>PNCP_2T_10-02-2020</t>
        </is>
      </c>
      <c r="AV511" t="inlineStr">
        <is>
          <t>PNCP_4T_30-04-2013</t>
        </is>
      </c>
      <c r="AW511" t="inlineStr">
        <is>
          <t>Barro Blanco 220</t>
        </is>
      </c>
      <c r="AX511" t="n">
        <v>111.133</v>
      </c>
      <c r="AY511" t="n">
        <v>1.080821157758461</v>
      </c>
      <c r="AZ511" t="n">
        <v>120.1148977251711</v>
      </c>
      <c r="BA511" t="n">
        <v>779.3099999999999</v>
      </c>
      <c r="BB511" t="n">
        <v>0.879</v>
      </c>
      <c r="BC511" t="n">
        <v>82.2803252917125</v>
      </c>
      <c r="BD511" t="n">
        <v>0.846</v>
      </c>
      <c r="BE511" t="n">
        <v>69.60899999999999</v>
      </c>
      <c r="BF511" t="n">
        <v>8.9176</v>
      </c>
      <c r="BG511" t="n">
        <v>0.804</v>
      </c>
      <c r="BH511" t="n">
        <v>6039.043023599974</v>
      </c>
      <c r="BI511" t="n">
        <v>1.011820868379177</v>
      </c>
      <c r="BJ511" t="n">
        <v>6110.4298</v>
      </c>
      <c r="BK511" t="n">
        <v>319121.727308403</v>
      </c>
    </row>
    <row r="512">
      <c r="A512" t="n">
        <v>3897</v>
      </c>
      <c r="B512" t="inlineStr">
        <is>
          <t>01-12-2020</t>
        </is>
      </c>
      <c r="C512" t="n">
        <v>2020</v>
      </c>
      <c r="D512" t="n">
        <v>1</v>
      </c>
      <c r="E512" t="inlineStr">
        <is>
          <t>CAREN</t>
        </is>
      </c>
      <c r="F512" t="inlineStr">
        <is>
          <t>SUM_SAESA_A</t>
        </is>
      </c>
      <c r="G512" t="inlineStr">
        <is>
          <t>A</t>
        </is>
      </c>
      <c r="H512" t="inlineStr">
        <is>
          <t>SAESA</t>
        </is>
      </c>
      <c r="I512" t="inlineStr">
        <is>
          <t>SAESOSORBLOQA</t>
        </is>
      </c>
      <c r="J512" t="inlineStr">
        <is>
          <t>OSORNO</t>
        </is>
      </c>
      <c r="K512" t="n">
        <v>-23325.82975988</v>
      </c>
      <c r="L512" t="inlineStr">
        <is>
          <t>OSORNO</t>
        </is>
      </c>
      <c r="M512" t="inlineStr">
        <is>
          <t>MELIPULLI</t>
        </is>
      </c>
      <c r="N512" t="n">
        <v>0.04443303733604</v>
      </c>
      <c r="O512" t="n">
        <v>1036.437465</v>
      </c>
      <c r="P512" t="inlineStr">
        <is>
          <t>BS1A</t>
        </is>
      </c>
      <c r="Q512" t="n">
        <v>2</v>
      </c>
      <c r="V512" t="n">
        <v>1472834.063</v>
      </c>
      <c r="W512" t="n">
        <v>2</v>
      </c>
      <c r="X512" t="n">
        <v>8.487e-08</v>
      </c>
      <c r="Y512" t="n">
        <v>0.249999</v>
      </c>
      <c r="Z512" t="n">
        <v>259.10833</v>
      </c>
      <c r="AA512" t="inlineStr">
        <is>
          <t>PNP_6T_08-05-2020</t>
        </is>
      </c>
      <c r="AB512" t="inlineStr">
        <is>
          <t>PNCP_9T_12-08-2019</t>
        </is>
      </c>
      <c r="AC512" t="inlineStr">
        <is>
          <t>PNCP_4T_30-04-2013</t>
        </is>
      </c>
      <c r="AD512" t="inlineStr">
        <is>
          <t>MELIPULLI 220</t>
        </is>
      </c>
      <c r="AE512" t="n">
        <v>111.133</v>
      </c>
      <c r="AF512" t="n">
        <v>1.072776031070834</v>
      </c>
      <c r="AG512" t="n">
        <v>119.220818660995</v>
      </c>
      <c r="AH512" t="n">
        <v>694.38</v>
      </c>
      <c r="AI512" t="n">
        <v>0.875</v>
      </c>
      <c r="AJ512" t="n">
        <v>72.43648305409401</v>
      </c>
      <c r="AK512" t="n">
        <v>0.8826000000000001</v>
      </c>
      <c r="AL512" t="n">
        <v>63.932</v>
      </c>
      <c r="AM512" t="n">
        <v>8.9176</v>
      </c>
      <c r="AN512" t="n">
        <v>9.566587534677272</v>
      </c>
      <c r="AO512" t="n">
        <v>0.913</v>
      </c>
      <c r="AP512" t="n">
        <v>6064.919358776563</v>
      </c>
      <c r="AQ512" t="n">
        <v>1</v>
      </c>
      <c r="AR512" t="n">
        <v>6064.9194</v>
      </c>
      <c r="AS512" t="n">
        <v>16565.31375356</v>
      </c>
      <c r="AT512" t="inlineStr">
        <is>
          <t>PNP_16T_02-11-2020</t>
        </is>
      </c>
      <c r="AU512" t="inlineStr">
        <is>
          <t>PNCP_2T_10-02-2020</t>
        </is>
      </c>
      <c r="AV512" t="inlineStr">
        <is>
          <t>PNCP_4T_30-04-2013</t>
        </is>
      </c>
      <c r="AW512" t="inlineStr">
        <is>
          <t>MELIPULLI 220</t>
        </is>
      </c>
      <c r="AX512" t="n">
        <v>111.133</v>
      </c>
      <c r="AY512" t="n">
        <v>1.080821157758461</v>
      </c>
      <c r="AZ512" t="n">
        <v>120.1148977251711</v>
      </c>
      <c r="BA512" t="n">
        <v>779.3099999999999</v>
      </c>
      <c r="BB512" t="n">
        <v>0.879</v>
      </c>
      <c r="BC512" t="n">
        <v>82.2803252917125</v>
      </c>
      <c r="BD512" t="n">
        <v>0.8421</v>
      </c>
      <c r="BE512" t="n">
        <v>69.288</v>
      </c>
      <c r="BF512" t="n">
        <v>8.9176</v>
      </c>
      <c r="BG512" t="n">
        <v>0.804</v>
      </c>
      <c r="BH512" t="n">
        <v>6039.043023599974</v>
      </c>
      <c r="BI512" t="n">
        <v>1</v>
      </c>
      <c r="BJ512" t="n">
        <v>6039.043</v>
      </c>
      <c r="BK512" t="n">
        <v>17953.09796904</v>
      </c>
    </row>
    <row r="513">
      <c r="A513" t="n">
        <v>3899</v>
      </c>
      <c r="B513" t="inlineStr">
        <is>
          <t>01-12-2020</t>
        </is>
      </c>
      <c r="C513" t="n">
        <v>2020</v>
      </c>
      <c r="D513" t="n">
        <v>1</v>
      </c>
      <c r="E513" t="inlineStr">
        <is>
          <t>CAREN</t>
        </is>
      </c>
      <c r="F513" t="inlineStr">
        <is>
          <t>SUM_SAESA_A</t>
        </is>
      </c>
      <c r="G513" t="inlineStr">
        <is>
          <t>A</t>
        </is>
      </c>
      <c r="H513" t="inlineStr">
        <is>
          <t>SAESA</t>
        </is>
      </c>
      <c r="I513" t="inlineStr">
        <is>
          <t>SAESOSORBLOQA</t>
        </is>
      </c>
      <c r="J513" t="inlineStr">
        <is>
          <t>OSORNO</t>
        </is>
      </c>
      <c r="K513" t="n">
        <v>-23325.82975988</v>
      </c>
      <c r="L513" t="inlineStr">
        <is>
          <t>OSORNO</t>
        </is>
      </c>
      <c r="M513" t="inlineStr">
        <is>
          <t>VALDIVIA</t>
        </is>
      </c>
      <c r="N513" t="n">
        <v>0.12401606703963</v>
      </c>
      <c r="O513" t="n">
        <v>2892.777667</v>
      </c>
      <c r="P513" t="inlineStr">
        <is>
          <t>BS1A</t>
        </is>
      </c>
      <c r="Q513" t="n">
        <v>2</v>
      </c>
      <c r="V513" t="n">
        <v>1472834.063</v>
      </c>
      <c r="W513" t="n">
        <v>2</v>
      </c>
      <c r="X513" t="n">
        <v>8.487e-08</v>
      </c>
      <c r="Y513" t="n">
        <v>0.249999</v>
      </c>
      <c r="Z513" t="n">
        <v>723.191524</v>
      </c>
      <c r="AA513" t="inlineStr">
        <is>
          <t>PNP_6T_08-05-2020</t>
        </is>
      </c>
      <c r="AB513" t="inlineStr">
        <is>
          <t>PNCP_9T_12-08-2019</t>
        </is>
      </c>
      <c r="AC513" t="inlineStr">
        <is>
          <t>PNCP_4T_30-04-2013</t>
        </is>
      </c>
      <c r="AD513" t="inlineStr">
        <is>
          <t>VALDIVIA 220</t>
        </is>
      </c>
      <c r="AE513" t="n">
        <v>111.133</v>
      </c>
      <c r="AF513" t="n">
        <v>1.072776031070834</v>
      </c>
      <c r="AG513" t="n">
        <v>119.220818660995</v>
      </c>
      <c r="AH513" t="n">
        <v>694.38</v>
      </c>
      <c r="AI513" t="n">
        <v>0.875</v>
      </c>
      <c r="AJ513" t="n">
        <v>72.43648305409401</v>
      </c>
      <c r="AK513" t="n">
        <v>0.913</v>
      </c>
      <c r="AL513" t="n">
        <v>66.13500000000001</v>
      </c>
      <c r="AM513" t="n">
        <v>8.9176</v>
      </c>
      <c r="AN513" t="n">
        <v>9.566587534677272</v>
      </c>
      <c r="AO513" t="n">
        <v>0.913</v>
      </c>
      <c r="AP513" t="n">
        <v>6064.919358776563</v>
      </c>
      <c r="AQ513" t="n">
        <v>1.051287819142954</v>
      </c>
      <c r="AR513" t="n">
        <v>6375.9758</v>
      </c>
      <c r="AS513" t="n">
        <v>47828.27143974</v>
      </c>
      <c r="AT513" t="inlineStr">
        <is>
          <t>PNP_16T_02-11-2020</t>
        </is>
      </c>
      <c r="AU513" t="inlineStr">
        <is>
          <t>PNCP_2T_10-02-2020</t>
        </is>
      </c>
      <c r="AV513" t="inlineStr">
        <is>
          <t>PNCP_4T_30-04-2013</t>
        </is>
      </c>
      <c r="AW513" t="inlineStr">
        <is>
          <t>VALDIVIA 220</t>
        </is>
      </c>
      <c r="AX513" t="n">
        <v>111.133</v>
      </c>
      <c r="AY513" t="n">
        <v>1.080821157758461</v>
      </c>
      <c r="AZ513" t="n">
        <v>120.1148977251711</v>
      </c>
      <c r="BA513" t="n">
        <v>779.3099999999999</v>
      </c>
      <c r="BB513" t="n">
        <v>0.879</v>
      </c>
      <c r="BC513" t="n">
        <v>82.2803252917125</v>
      </c>
      <c r="BD513" t="n">
        <v>0.9167</v>
      </c>
      <c r="BE513" t="n">
        <v>75.426</v>
      </c>
      <c r="BF513" t="n">
        <v>8.9176</v>
      </c>
      <c r="BG513" t="n">
        <v>0.804</v>
      </c>
      <c r="BH513" t="n">
        <v>6039.043023599974</v>
      </c>
      <c r="BI513" t="n">
        <v>1.096052187605444</v>
      </c>
      <c r="BJ513" t="n">
        <v>6619.1063</v>
      </c>
      <c r="BK513" t="n">
        <v>54547.443889224</v>
      </c>
    </row>
    <row r="514">
      <c r="A514" t="n">
        <v>5097</v>
      </c>
      <c r="B514" t="inlineStr">
        <is>
          <t>01-12-2020</t>
        </is>
      </c>
      <c r="C514" t="n">
        <v>2020</v>
      </c>
      <c r="D514" t="n">
        <v>1</v>
      </c>
      <c r="E514" t="inlineStr">
        <is>
          <t>CAREN</t>
        </is>
      </c>
      <c r="F514" t="inlineStr">
        <is>
          <t>SUM_SAESA_A</t>
        </is>
      </c>
      <c r="G514" t="inlineStr">
        <is>
          <t>A</t>
        </is>
      </c>
      <c r="H514" t="inlineStr">
        <is>
          <t>SAESA</t>
        </is>
      </c>
      <c r="I514" t="inlineStr">
        <is>
          <t>SAESPVARBLOQA</t>
        </is>
      </c>
      <c r="J514" t="inlineStr">
        <is>
          <t>P.VARAS</t>
        </is>
      </c>
      <c r="K514" t="n">
        <v>-8749.837507640001</v>
      </c>
      <c r="L514" t="inlineStr">
        <is>
          <t>PUERTO VARAS</t>
        </is>
      </c>
      <c r="M514" t="inlineStr">
        <is>
          <t>BARRO BLANCO</t>
        </is>
      </c>
      <c r="N514" t="n">
        <v>0.15766115320888</v>
      </c>
      <c r="O514" t="n">
        <v>1379.509472</v>
      </c>
      <c r="P514" t="inlineStr">
        <is>
          <t>BS1A</t>
        </is>
      </c>
      <c r="Q514" t="n">
        <v>2</v>
      </c>
      <c r="V514" t="n">
        <v>1472834.063</v>
      </c>
      <c r="W514" t="n">
        <v>2</v>
      </c>
      <c r="X514" t="n">
        <v>8.487e-08</v>
      </c>
      <c r="Y514" t="n">
        <v>0.249999</v>
      </c>
      <c r="Z514" t="n">
        <v>344.875988</v>
      </c>
      <c r="AA514" t="inlineStr">
        <is>
          <t>PNP_6T_08-05-2020</t>
        </is>
      </c>
      <c r="AB514" t="inlineStr">
        <is>
          <t>PNCP_9T_12-08-2019</t>
        </is>
      </c>
      <c r="AC514" t="inlineStr">
        <is>
          <t>PNCP_4T_30-04-2013</t>
        </is>
      </c>
      <c r="AD514" t="inlineStr">
        <is>
          <t>Barro Blanco 220</t>
        </is>
      </c>
      <c r="AE514" t="n">
        <v>111.133</v>
      </c>
      <c r="AF514" t="n">
        <v>1.072776031070834</v>
      </c>
      <c r="AG514" t="n">
        <v>119.220818660995</v>
      </c>
      <c r="AH514" t="n">
        <v>694.38</v>
      </c>
      <c r="AI514" t="n">
        <v>0.875</v>
      </c>
      <c r="AJ514" t="n">
        <v>72.43648305409401</v>
      </c>
      <c r="AK514" t="n">
        <v>0.8631</v>
      </c>
      <c r="AL514" t="n">
        <v>62.52</v>
      </c>
      <c r="AM514" t="n">
        <v>8.9176</v>
      </c>
      <c r="AN514" t="n">
        <v>9.566587534677272</v>
      </c>
      <c r="AO514" t="n">
        <v>0.913</v>
      </c>
      <c r="AP514" t="n">
        <v>6064.919358776563</v>
      </c>
      <c r="AQ514" t="n">
        <v>1.004432825642191</v>
      </c>
      <c r="AR514" t="n">
        <v>6091.8041</v>
      </c>
      <c r="AS514" t="n">
        <v>21561.64676976</v>
      </c>
      <c r="AT514" t="inlineStr">
        <is>
          <t>PNP_16T_02-11-2020</t>
        </is>
      </c>
      <c r="AU514" t="inlineStr">
        <is>
          <t>PNCP_2T_10-02-2020</t>
        </is>
      </c>
      <c r="AV514" t="inlineStr">
        <is>
          <t>PNCP_4T_30-04-2013</t>
        </is>
      </c>
      <c r="AW514" t="inlineStr">
        <is>
          <t>Barro Blanco 220</t>
        </is>
      </c>
      <c r="AX514" t="n">
        <v>111.133</v>
      </c>
      <c r="AY514" t="n">
        <v>1.080821157758461</v>
      </c>
      <c r="AZ514" t="n">
        <v>120.1148977251711</v>
      </c>
      <c r="BA514" t="n">
        <v>779.3099999999999</v>
      </c>
      <c r="BB514" t="n">
        <v>0.879</v>
      </c>
      <c r="BC514" t="n">
        <v>82.2803252917125</v>
      </c>
      <c r="BD514" t="n">
        <v>0.846</v>
      </c>
      <c r="BE514" t="n">
        <v>69.60899999999999</v>
      </c>
      <c r="BF514" t="n">
        <v>8.9176</v>
      </c>
      <c r="BG514" t="n">
        <v>0.804</v>
      </c>
      <c r="BH514" t="n">
        <v>6039.043023599974</v>
      </c>
      <c r="BI514" t="n">
        <v>1.011820868379177</v>
      </c>
      <c r="BJ514" t="n">
        <v>6110.4298</v>
      </c>
      <c r="BK514" t="n">
        <v>24006.472648692</v>
      </c>
    </row>
    <row r="515">
      <c r="A515" t="n">
        <v>5099</v>
      </c>
      <c r="B515" t="inlineStr">
        <is>
          <t>01-12-2020</t>
        </is>
      </c>
      <c r="C515" t="n">
        <v>2020</v>
      </c>
      <c r="D515" t="n">
        <v>1</v>
      </c>
      <c r="E515" t="inlineStr">
        <is>
          <t>CAREN</t>
        </is>
      </c>
      <c r="F515" t="inlineStr">
        <is>
          <t>SUM_SAESA_A</t>
        </is>
      </c>
      <c r="G515" t="inlineStr">
        <is>
          <t>A</t>
        </is>
      </c>
      <c r="H515" t="inlineStr">
        <is>
          <t>SAESA</t>
        </is>
      </c>
      <c r="I515" t="inlineStr">
        <is>
          <t>SAESPVARBLOQA</t>
        </is>
      </c>
      <c r="J515" t="inlineStr">
        <is>
          <t>P.VARAS</t>
        </is>
      </c>
      <c r="K515" t="n">
        <v>-8749.837507640001</v>
      </c>
      <c r="L515" t="inlineStr">
        <is>
          <t>PUERTO VARAS</t>
        </is>
      </c>
      <c r="M515" t="inlineStr">
        <is>
          <t>MELIPULLI</t>
        </is>
      </c>
      <c r="N515" t="n">
        <v>0.61749565738</v>
      </c>
      <c r="O515" t="n">
        <v>5402.986664</v>
      </c>
      <c r="P515" t="inlineStr">
        <is>
          <t>BS1A</t>
        </is>
      </c>
      <c r="Q515" t="n">
        <v>2</v>
      </c>
      <c r="V515" t="n">
        <v>1472834.063</v>
      </c>
      <c r="W515" t="n">
        <v>2</v>
      </c>
      <c r="X515" t="n">
        <v>8.487e-08</v>
      </c>
      <c r="Y515" t="n">
        <v>0.249999</v>
      </c>
      <c r="Z515" t="n">
        <v>1350.741263</v>
      </c>
      <c r="AA515" t="inlineStr">
        <is>
          <t>PNP_6T_08-05-2020</t>
        </is>
      </c>
      <c r="AB515" t="inlineStr">
        <is>
          <t>PNCP_9T_12-08-2019</t>
        </is>
      </c>
      <c r="AC515" t="inlineStr">
        <is>
          <t>PNCP_4T_30-04-2013</t>
        </is>
      </c>
      <c r="AD515" t="inlineStr">
        <is>
          <t>MELIPULLI 220</t>
        </is>
      </c>
      <c r="AE515" t="n">
        <v>111.133</v>
      </c>
      <c r="AF515" t="n">
        <v>1.072776031070834</v>
      </c>
      <c r="AG515" t="n">
        <v>119.220818660995</v>
      </c>
      <c r="AH515" t="n">
        <v>694.38</v>
      </c>
      <c r="AI515" t="n">
        <v>0.875</v>
      </c>
      <c r="AJ515" t="n">
        <v>72.43648305409401</v>
      </c>
      <c r="AK515" t="n">
        <v>0.8826000000000001</v>
      </c>
      <c r="AL515" t="n">
        <v>63.932</v>
      </c>
      <c r="AM515" t="n">
        <v>8.9176</v>
      </c>
      <c r="AN515" t="n">
        <v>9.566587534677272</v>
      </c>
      <c r="AO515" t="n">
        <v>0.913</v>
      </c>
      <c r="AP515" t="n">
        <v>6064.919358776563</v>
      </c>
      <c r="AQ515" t="n">
        <v>1</v>
      </c>
      <c r="AR515" t="n">
        <v>6064.9194</v>
      </c>
      <c r="AS515" t="n">
        <v>86355.590426116</v>
      </c>
      <c r="AT515" t="inlineStr">
        <is>
          <t>PNP_16T_02-11-2020</t>
        </is>
      </c>
      <c r="AU515" t="inlineStr">
        <is>
          <t>PNCP_2T_10-02-2020</t>
        </is>
      </c>
      <c r="AV515" t="inlineStr">
        <is>
          <t>PNCP_4T_30-04-2013</t>
        </is>
      </c>
      <c r="AW515" t="inlineStr">
        <is>
          <t>MELIPULLI 220</t>
        </is>
      </c>
      <c r="AX515" t="n">
        <v>111.133</v>
      </c>
      <c r="AY515" t="n">
        <v>1.080821157758461</v>
      </c>
      <c r="AZ515" t="n">
        <v>120.1148977251711</v>
      </c>
      <c r="BA515" t="n">
        <v>779.3099999999999</v>
      </c>
      <c r="BB515" t="n">
        <v>0.879</v>
      </c>
      <c r="BC515" t="n">
        <v>82.2803252917125</v>
      </c>
      <c r="BD515" t="n">
        <v>0.8421</v>
      </c>
      <c r="BE515" t="n">
        <v>69.288</v>
      </c>
      <c r="BF515" t="n">
        <v>8.9176</v>
      </c>
      <c r="BG515" t="n">
        <v>0.804</v>
      </c>
      <c r="BH515" t="n">
        <v>6039.043023599974</v>
      </c>
      <c r="BI515" t="n">
        <v>1</v>
      </c>
      <c r="BJ515" t="n">
        <v>6039.043</v>
      </c>
      <c r="BK515" t="n">
        <v>93590.16063074399</v>
      </c>
    </row>
    <row r="516">
      <c r="A516" t="n">
        <v>5101</v>
      </c>
      <c r="B516" t="inlineStr">
        <is>
          <t>01-12-2020</t>
        </is>
      </c>
      <c r="C516" t="n">
        <v>2020</v>
      </c>
      <c r="D516" t="n">
        <v>1</v>
      </c>
      <c r="E516" t="inlineStr">
        <is>
          <t>CAREN</t>
        </is>
      </c>
      <c r="F516" t="inlineStr">
        <is>
          <t>SUM_SAESA_A</t>
        </is>
      </c>
      <c r="G516" t="inlineStr">
        <is>
          <t>A</t>
        </is>
      </c>
      <c r="H516" t="inlineStr">
        <is>
          <t>SAESA</t>
        </is>
      </c>
      <c r="I516" t="inlineStr">
        <is>
          <t>SAESPVARBLOQA</t>
        </is>
      </c>
      <c r="J516" t="inlineStr">
        <is>
          <t>P.VARAS</t>
        </is>
      </c>
      <c r="K516" t="n">
        <v>-8749.837507640001</v>
      </c>
      <c r="L516" t="inlineStr">
        <is>
          <t>PUERTO VARAS</t>
        </is>
      </c>
      <c r="M516" t="inlineStr">
        <is>
          <t>Puerto Montt</t>
        </is>
      </c>
      <c r="N516" t="n">
        <v>0.7715646681477401</v>
      </c>
      <c r="O516" t="n">
        <v>6751.065473</v>
      </c>
      <c r="P516" t="inlineStr">
        <is>
          <t>BS1A</t>
        </is>
      </c>
      <c r="Q516" t="n">
        <v>2</v>
      </c>
      <c r="V516" t="n">
        <v>1472834.063</v>
      </c>
      <c r="W516" t="n">
        <v>2</v>
      </c>
      <c r="X516" t="n">
        <v>8.487e-08</v>
      </c>
      <c r="Y516" t="n">
        <v>0.249999</v>
      </c>
      <c r="Z516" t="n">
        <v>1687.759617</v>
      </c>
      <c r="AA516" t="inlineStr">
        <is>
          <t>PNP_6T_08-05-2020</t>
        </is>
      </c>
      <c r="AB516" t="inlineStr">
        <is>
          <t>PNCP_9T_12-08-2019</t>
        </is>
      </c>
      <c r="AC516" t="inlineStr">
        <is>
          <t>PNCP_4T_30-04-2013</t>
        </is>
      </c>
      <c r="AD516" t="inlineStr">
        <is>
          <t>PUERTO MONTT 220</t>
        </is>
      </c>
      <c r="AE516" t="n">
        <v>111.133</v>
      </c>
      <c r="AF516" t="n">
        <v>1.072776031070834</v>
      </c>
      <c r="AG516" t="n">
        <v>119.220818660995</v>
      </c>
      <c r="AH516" t="n">
        <v>694.38</v>
      </c>
      <c r="AI516" t="n">
        <v>0.875</v>
      </c>
      <c r="AJ516" t="n">
        <v>72.43648305409401</v>
      </c>
      <c r="AK516" t="n">
        <v>0.8826000000000001</v>
      </c>
      <c r="AL516" t="n">
        <v>63.932</v>
      </c>
      <c r="AM516" t="n">
        <v>8.9176</v>
      </c>
      <c r="AN516" t="n">
        <v>9.566587534677272</v>
      </c>
      <c r="AO516" t="n">
        <v>0.913</v>
      </c>
      <c r="AP516" t="n">
        <v>6064.919358776563</v>
      </c>
      <c r="AQ516" t="n">
        <v>1.016858412119831</v>
      </c>
      <c r="AR516" t="n">
        <v>6167.1643</v>
      </c>
      <c r="AS516" t="n">
        <v>107901.847834044</v>
      </c>
      <c r="AT516" t="inlineStr">
        <is>
          <t>PNP_16T_02-11-2020</t>
        </is>
      </c>
      <c r="AU516" t="inlineStr">
        <is>
          <t>PNCP_2T_10-02-2020</t>
        </is>
      </c>
      <c r="AV516" t="inlineStr">
        <is>
          <t>PNCP_4T_30-04-2013</t>
        </is>
      </c>
      <c r="AW516" t="inlineStr">
        <is>
          <t>PUERTO MONTT 220</t>
        </is>
      </c>
      <c r="AX516" t="n">
        <v>111.133</v>
      </c>
      <c r="AY516" t="n">
        <v>1.080821157758461</v>
      </c>
      <c r="AZ516" t="n">
        <v>120.1148977251711</v>
      </c>
      <c r="BA516" t="n">
        <v>779.3099999999999</v>
      </c>
      <c r="BB516" t="n">
        <v>0.879</v>
      </c>
      <c r="BC516" t="n">
        <v>82.2803252917125</v>
      </c>
      <c r="BD516" t="n">
        <v>0.8421</v>
      </c>
      <c r="BE516" t="n">
        <v>69.288</v>
      </c>
      <c r="BF516" t="n">
        <v>8.9176</v>
      </c>
      <c r="BG516" t="n">
        <v>0.804</v>
      </c>
      <c r="BH516" t="n">
        <v>6039.043023599974</v>
      </c>
      <c r="BI516" t="n">
        <v>1.02699624102973</v>
      </c>
      <c r="BJ516" t="n">
        <v>6202.0745</v>
      </c>
      <c r="BK516" t="n">
        <v>116941.488342696</v>
      </c>
    </row>
    <row r="517">
      <c r="A517" t="n">
        <v>5103</v>
      </c>
      <c r="B517" t="inlineStr">
        <is>
          <t>01-12-2020</t>
        </is>
      </c>
      <c r="C517" t="n">
        <v>2020</v>
      </c>
      <c r="D517" t="n">
        <v>1</v>
      </c>
      <c r="E517" t="inlineStr">
        <is>
          <t>CAREN</t>
        </is>
      </c>
      <c r="F517" t="inlineStr">
        <is>
          <t>SUM_SAESA_A</t>
        </is>
      </c>
      <c r="G517" t="inlineStr">
        <is>
          <t>A</t>
        </is>
      </c>
      <c r="H517" t="inlineStr">
        <is>
          <t>SAESA</t>
        </is>
      </c>
      <c r="I517" t="inlineStr">
        <is>
          <t>SAESPVARBLOQA</t>
        </is>
      </c>
      <c r="J517" t="inlineStr">
        <is>
          <t>P.VARAS</t>
        </is>
      </c>
      <c r="K517" t="n">
        <v>-8749.837507640001</v>
      </c>
      <c r="L517" t="inlineStr">
        <is>
          <t>PUERTO VARAS</t>
        </is>
      </c>
      <c r="M517" t="inlineStr">
        <is>
          <t>VALDIVIA</t>
        </is>
      </c>
      <c r="N517" t="n">
        <v>0.00141259278969</v>
      </c>
      <c r="O517" t="n">
        <v>12.359957</v>
      </c>
      <c r="P517" t="inlineStr">
        <is>
          <t>BS1A</t>
        </is>
      </c>
      <c r="Q517" t="n">
        <v>2</v>
      </c>
      <c r="V517" t="n">
        <v>1472834.063</v>
      </c>
      <c r="W517" t="n">
        <v>2</v>
      </c>
      <c r="X517" t="n">
        <v>8.487e-08</v>
      </c>
      <c r="Y517" t="n">
        <v>0.249999</v>
      </c>
      <c r="Z517" t="n">
        <v>3.089977</v>
      </c>
      <c r="AA517" t="inlineStr">
        <is>
          <t>PNP_6T_08-05-2020</t>
        </is>
      </c>
      <c r="AB517" t="inlineStr">
        <is>
          <t>PNCP_9T_12-08-2019</t>
        </is>
      </c>
      <c r="AC517" t="inlineStr">
        <is>
          <t>PNCP_4T_30-04-2013</t>
        </is>
      </c>
      <c r="AD517" t="inlineStr">
        <is>
          <t>VALDIVIA 220</t>
        </is>
      </c>
      <c r="AE517" t="n">
        <v>111.133</v>
      </c>
      <c r="AF517" t="n">
        <v>1.072776031070834</v>
      </c>
      <c r="AG517" t="n">
        <v>119.220818660995</v>
      </c>
      <c r="AH517" t="n">
        <v>694.38</v>
      </c>
      <c r="AI517" t="n">
        <v>0.875</v>
      </c>
      <c r="AJ517" t="n">
        <v>72.43648305409401</v>
      </c>
      <c r="AK517" t="n">
        <v>0.913</v>
      </c>
      <c r="AL517" t="n">
        <v>66.13500000000001</v>
      </c>
      <c r="AM517" t="n">
        <v>8.9176</v>
      </c>
      <c r="AN517" t="n">
        <v>9.566587534677272</v>
      </c>
      <c r="AO517" t="n">
        <v>0.913</v>
      </c>
      <c r="AP517" t="n">
        <v>6064.919358776563</v>
      </c>
      <c r="AQ517" t="n">
        <v>1.051287819142954</v>
      </c>
      <c r="AR517" t="n">
        <v>6375.9758</v>
      </c>
      <c r="AS517" t="n">
        <v>204.355628895</v>
      </c>
      <c r="AT517" t="inlineStr">
        <is>
          <t>PNP_16T_02-11-2020</t>
        </is>
      </c>
      <c r="AU517" t="inlineStr">
        <is>
          <t>PNCP_2T_10-02-2020</t>
        </is>
      </c>
      <c r="AV517" t="inlineStr">
        <is>
          <t>PNCP_4T_30-04-2013</t>
        </is>
      </c>
      <c r="AW517" t="inlineStr">
        <is>
          <t>VALDIVIA 220</t>
        </is>
      </c>
      <c r="AX517" t="n">
        <v>111.133</v>
      </c>
      <c r="AY517" t="n">
        <v>1.080821157758461</v>
      </c>
      <c r="AZ517" t="n">
        <v>120.1148977251711</v>
      </c>
      <c r="BA517" t="n">
        <v>779.3099999999999</v>
      </c>
      <c r="BB517" t="n">
        <v>0.879</v>
      </c>
      <c r="BC517" t="n">
        <v>82.2803252917125</v>
      </c>
      <c r="BD517" t="n">
        <v>0.9167</v>
      </c>
      <c r="BE517" t="n">
        <v>75.426</v>
      </c>
      <c r="BF517" t="n">
        <v>8.9176</v>
      </c>
      <c r="BG517" t="n">
        <v>0.804</v>
      </c>
      <c r="BH517" t="n">
        <v>6039.043023599974</v>
      </c>
      <c r="BI517" t="n">
        <v>1.096052187605444</v>
      </c>
      <c r="BJ517" t="n">
        <v>6619.1063</v>
      </c>
      <c r="BK517" t="n">
        <v>233.064605202</v>
      </c>
    </row>
    <row r="518">
      <c r="A518" t="n">
        <v>1939</v>
      </c>
      <c r="B518" t="inlineStr">
        <is>
          <t>01-12-2020</t>
        </is>
      </c>
      <c r="C518" t="n">
        <v>2020</v>
      </c>
      <c r="D518" t="n">
        <v>1</v>
      </c>
      <c r="E518" t="inlineStr">
        <is>
          <t>CAREN</t>
        </is>
      </c>
      <c r="F518" t="inlineStr">
        <is>
          <t>SUM_SAESA_A</t>
        </is>
      </c>
      <c r="G518" t="inlineStr">
        <is>
          <t>A</t>
        </is>
      </c>
      <c r="H518" t="inlineStr">
        <is>
          <t>SAESA</t>
        </is>
      </c>
      <c r="I518" t="inlineStr">
        <is>
          <t>SAESPANGBLOQA</t>
        </is>
      </c>
      <c r="J518" t="inlineStr">
        <is>
          <t>PANGUIPULLI</t>
        </is>
      </c>
      <c r="K518" t="n">
        <v>-8149.71793038</v>
      </c>
      <c r="L518" t="inlineStr">
        <is>
          <t>PANGUIPULLI</t>
        </is>
      </c>
      <c r="M518" t="inlineStr">
        <is>
          <t>Barro Blanco</t>
        </is>
      </c>
      <c r="N518" t="n">
        <v>0.17843880751936</v>
      </c>
      <c r="O518" t="n">
        <v>1454.225949</v>
      </c>
      <c r="P518" t="inlineStr">
        <is>
          <t>BS1A</t>
        </is>
      </c>
      <c r="Q518" t="n">
        <v>2</v>
      </c>
      <c r="V518" t="n">
        <v>1472834.063</v>
      </c>
      <c r="W518" t="n">
        <v>2</v>
      </c>
      <c r="X518" t="n">
        <v>8.487e-08</v>
      </c>
      <c r="Y518" t="n">
        <v>0.249999</v>
      </c>
      <c r="Z518" t="n">
        <v>363.555033</v>
      </c>
      <c r="AA518" t="inlineStr">
        <is>
          <t>PNP_6T_08-05-2020</t>
        </is>
      </c>
      <c r="AB518" t="inlineStr">
        <is>
          <t>PNCP_9T_12-08-2019</t>
        </is>
      </c>
      <c r="AC518" t="inlineStr">
        <is>
          <t>PNCP_4T_30-04-2013</t>
        </is>
      </c>
      <c r="AD518" t="inlineStr">
        <is>
          <t>Barro Blanco 220</t>
        </is>
      </c>
      <c r="AE518" t="n">
        <v>111.133</v>
      </c>
      <c r="AF518" t="n">
        <v>1.072776031070834</v>
      </c>
      <c r="AG518" t="n">
        <v>119.220818660995</v>
      </c>
      <c r="AH518" t="n">
        <v>694.38</v>
      </c>
      <c r="AI518" t="n">
        <v>0.875</v>
      </c>
      <c r="AJ518" t="n">
        <v>72.43648305409401</v>
      </c>
      <c r="AK518" t="n">
        <v>0.8631</v>
      </c>
      <c r="AL518" t="n">
        <v>62.52</v>
      </c>
      <c r="AM518" t="n">
        <v>8.9176</v>
      </c>
      <c r="AN518" t="n">
        <v>9.566587534677272</v>
      </c>
      <c r="AO518" t="n">
        <v>0.913</v>
      </c>
      <c r="AP518" t="n">
        <v>6064.919358776563</v>
      </c>
      <c r="AQ518" t="n">
        <v>1.004432825642191</v>
      </c>
      <c r="AR518" t="n">
        <v>6091.8041</v>
      </c>
      <c r="AS518" t="n">
        <v>22729.46066316</v>
      </c>
      <c r="AT518" t="inlineStr">
        <is>
          <t>PNP_16T_02-11-2020</t>
        </is>
      </c>
      <c r="AU518" t="inlineStr">
        <is>
          <t>PNCP_2T_10-02-2020</t>
        </is>
      </c>
      <c r="AV518" t="inlineStr">
        <is>
          <t>PNCP_4T_30-04-2013</t>
        </is>
      </c>
      <c r="AW518" t="inlineStr">
        <is>
          <t>Barro Blanco 220</t>
        </is>
      </c>
      <c r="AX518" t="n">
        <v>111.133</v>
      </c>
      <c r="AY518" t="n">
        <v>1.080821157758461</v>
      </c>
      <c r="AZ518" t="n">
        <v>120.1148977251711</v>
      </c>
      <c r="BA518" t="n">
        <v>779.3099999999999</v>
      </c>
      <c r="BB518" t="n">
        <v>0.879</v>
      </c>
      <c r="BC518" t="n">
        <v>82.2803252917125</v>
      </c>
      <c r="BD518" t="n">
        <v>0.846</v>
      </c>
      <c r="BE518" t="n">
        <v>69.60899999999999</v>
      </c>
      <c r="BF518" t="n">
        <v>8.9176</v>
      </c>
      <c r="BG518" t="n">
        <v>0.804</v>
      </c>
      <c r="BH518" t="n">
        <v>6039.043023599974</v>
      </c>
      <c r="BI518" t="n">
        <v>1.011820868379177</v>
      </c>
      <c r="BJ518" t="n">
        <v>6110.4298</v>
      </c>
      <c r="BK518" t="n">
        <v>25306.702292097</v>
      </c>
    </row>
    <row r="519">
      <c r="A519" t="n">
        <v>1941</v>
      </c>
      <c r="B519" t="inlineStr">
        <is>
          <t>01-12-2020</t>
        </is>
      </c>
      <c r="C519" t="n">
        <v>2020</v>
      </c>
      <c r="D519" t="n">
        <v>1</v>
      </c>
      <c r="E519" t="inlineStr">
        <is>
          <t>CAREN</t>
        </is>
      </c>
      <c r="F519" t="inlineStr">
        <is>
          <t>SUM_SAESA_A</t>
        </is>
      </c>
      <c r="G519" t="inlineStr">
        <is>
          <t>A</t>
        </is>
      </c>
      <c r="H519" t="inlineStr">
        <is>
          <t>SAESA</t>
        </is>
      </c>
      <c r="I519" t="inlineStr">
        <is>
          <t>SAESPANGBLOQA</t>
        </is>
      </c>
      <c r="J519" t="inlineStr">
        <is>
          <t>PANGUIPULLI</t>
        </is>
      </c>
      <c r="K519" t="n">
        <v>-8149.71793038</v>
      </c>
      <c r="L519" t="inlineStr">
        <is>
          <t>PANGUIPULLI</t>
        </is>
      </c>
      <c r="M519" t="inlineStr">
        <is>
          <t>MELIPULLI</t>
        </is>
      </c>
      <c r="N519" t="n">
        <v>0.00938568728699</v>
      </c>
      <c r="O519" t="n">
        <v>76.49070399999999</v>
      </c>
      <c r="P519" t="inlineStr">
        <is>
          <t>BS1A</t>
        </is>
      </c>
      <c r="Q519" t="n">
        <v>2</v>
      </c>
      <c r="V519" t="n">
        <v>1472834.063</v>
      </c>
      <c r="W519" t="n">
        <v>2</v>
      </c>
      <c r="X519" t="n">
        <v>8.487e-08</v>
      </c>
      <c r="Y519" t="n">
        <v>0.249999</v>
      </c>
      <c r="Z519" t="n">
        <v>19.1226</v>
      </c>
      <c r="AA519" t="inlineStr">
        <is>
          <t>PNP_6T_08-05-2020</t>
        </is>
      </c>
      <c r="AB519" t="inlineStr">
        <is>
          <t>PNCP_9T_12-08-2019</t>
        </is>
      </c>
      <c r="AC519" t="inlineStr">
        <is>
          <t>PNCP_4T_30-04-2013</t>
        </is>
      </c>
      <c r="AD519" t="inlineStr">
        <is>
          <t>MELIPULLI 220</t>
        </is>
      </c>
      <c r="AE519" t="n">
        <v>111.133</v>
      </c>
      <c r="AF519" t="n">
        <v>1.072776031070834</v>
      </c>
      <c r="AG519" t="n">
        <v>119.220818660995</v>
      </c>
      <c r="AH519" t="n">
        <v>694.38</v>
      </c>
      <c r="AI519" t="n">
        <v>0.875</v>
      </c>
      <c r="AJ519" t="n">
        <v>72.43648305409401</v>
      </c>
      <c r="AK519" t="n">
        <v>0.8826000000000001</v>
      </c>
      <c r="AL519" t="n">
        <v>63.932</v>
      </c>
      <c r="AM519" t="n">
        <v>8.9176</v>
      </c>
      <c r="AN519" t="n">
        <v>9.566587534677272</v>
      </c>
      <c r="AO519" t="n">
        <v>0.913</v>
      </c>
      <c r="AP519" t="n">
        <v>6064.919358776563</v>
      </c>
      <c r="AQ519" t="n">
        <v>1</v>
      </c>
      <c r="AR519" t="n">
        <v>6064.9194</v>
      </c>
      <c r="AS519" t="n">
        <v>1222.5460632</v>
      </c>
      <c r="AT519" t="inlineStr">
        <is>
          <t>PNP_16T_02-11-2020</t>
        </is>
      </c>
      <c r="AU519" t="inlineStr">
        <is>
          <t>PNCP_2T_10-02-2020</t>
        </is>
      </c>
      <c r="AV519" t="inlineStr">
        <is>
          <t>PNCP_4T_30-04-2013</t>
        </is>
      </c>
      <c r="AW519" t="inlineStr">
        <is>
          <t>MELIPULLI 220</t>
        </is>
      </c>
      <c r="AX519" t="n">
        <v>111.133</v>
      </c>
      <c r="AY519" t="n">
        <v>1.080821157758461</v>
      </c>
      <c r="AZ519" t="n">
        <v>120.1148977251711</v>
      </c>
      <c r="BA519" t="n">
        <v>779.3099999999999</v>
      </c>
      <c r="BB519" t="n">
        <v>0.879</v>
      </c>
      <c r="BC519" t="n">
        <v>82.2803252917125</v>
      </c>
      <c r="BD519" t="n">
        <v>0.8421</v>
      </c>
      <c r="BE519" t="n">
        <v>69.288</v>
      </c>
      <c r="BF519" t="n">
        <v>8.9176</v>
      </c>
      <c r="BG519" t="n">
        <v>0.804</v>
      </c>
      <c r="BH519" t="n">
        <v>6039.043023599974</v>
      </c>
      <c r="BI519" t="n">
        <v>1</v>
      </c>
      <c r="BJ519" t="n">
        <v>6039.043</v>
      </c>
      <c r="BK519" t="n">
        <v>1324.9667088</v>
      </c>
    </row>
    <row r="520">
      <c r="A520" t="n">
        <v>1943</v>
      </c>
      <c r="B520" t="inlineStr">
        <is>
          <t>01-12-2020</t>
        </is>
      </c>
      <c r="C520" t="n">
        <v>2020</v>
      </c>
      <c r="D520" t="n">
        <v>1</v>
      </c>
      <c r="E520" t="inlineStr">
        <is>
          <t>CAREN</t>
        </is>
      </c>
      <c r="F520" t="inlineStr">
        <is>
          <t>SUM_SAESA_A</t>
        </is>
      </c>
      <c r="G520" t="inlineStr">
        <is>
          <t>A</t>
        </is>
      </c>
      <c r="H520" t="inlineStr">
        <is>
          <t>SAESA</t>
        </is>
      </c>
      <c r="I520" t="inlineStr">
        <is>
          <t>SAESPANGBLOQA</t>
        </is>
      </c>
      <c r="J520" t="inlineStr">
        <is>
          <t>PANGUIPULLI</t>
        </is>
      </c>
      <c r="K520" t="n">
        <v>-8149.71793038</v>
      </c>
      <c r="L520" t="inlineStr">
        <is>
          <t>PANGUIPULLI</t>
        </is>
      </c>
      <c r="M520" t="inlineStr">
        <is>
          <t>VALDIVIA</t>
        </is>
      </c>
      <c r="N520" t="n">
        <v>0.67856885801593</v>
      </c>
      <c r="O520" t="n">
        <v>5530.144789</v>
      </c>
      <c r="P520" t="inlineStr">
        <is>
          <t>BS1A</t>
        </is>
      </c>
      <c r="Q520" t="n">
        <v>2</v>
      </c>
      <c r="V520" t="n">
        <v>1472834.063</v>
      </c>
      <c r="W520" t="n">
        <v>2</v>
      </c>
      <c r="X520" t="n">
        <v>8.487e-08</v>
      </c>
      <c r="Y520" t="n">
        <v>0.249999</v>
      </c>
      <c r="Z520" t="n">
        <v>1382.530667</v>
      </c>
      <c r="AA520" t="inlineStr">
        <is>
          <t>PNP_6T_08-05-2020</t>
        </is>
      </c>
      <c r="AB520" t="inlineStr">
        <is>
          <t>PNCP_9T_12-08-2019</t>
        </is>
      </c>
      <c r="AC520" t="inlineStr">
        <is>
          <t>PNCP_4T_30-04-2013</t>
        </is>
      </c>
      <c r="AD520" t="inlineStr">
        <is>
          <t>VALDIVIA 220</t>
        </is>
      </c>
      <c r="AE520" t="n">
        <v>111.133</v>
      </c>
      <c r="AF520" t="n">
        <v>1.072776031070834</v>
      </c>
      <c r="AG520" t="n">
        <v>119.220818660995</v>
      </c>
      <c r="AH520" t="n">
        <v>694.38</v>
      </c>
      <c r="AI520" t="n">
        <v>0.875</v>
      </c>
      <c r="AJ520" t="n">
        <v>72.43648305409401</v>
      </c>
      <c r="AK520" t="n">
        <v>0.913</v>
      </c>
      <c r="AL520" t="n">
        <v>66.13500000000001</v>
      </c>
      <c r="AM520" t="n">
        <v>8.9176</v>
      </c>
      <c r="AN520" t="n">
        <v>9.566587534677272</v>
      </c>
      <c r="AO520" t="n">
        <v>0.913</v>
      </c>
      <c r="AP520" t="n">
        <v>6064.919358776563</v>
      </c>
      <c r="AQ520" t="n">
        <v>1.051287819142954</v>
      </c>
      <c r="AR520" t="n">
        <v>6375.9758</v>
      </c>
      <c r="AS520" t="n">
        <v>91433.66566204501</v>
      </c>
      <c r="AT520" t="inlineStr">
        <is>
          <t>PNP_16T_02-11-2020</t>
        </is>
      </c>
      <c r="AU520" t="inlineStr">
        <is>
          <t>PNCP_2T_10-02-2020</t>
        </is>
      </c>
      <c r="AV520" t="inlineStr">
        <is>
          <t>PNCP_4T_30-04-2013</t>
        </is>
      </c>
      <c r="AW520" t="inlineStr">
        <is>
          <t>VALDIVIA 220</t>
        </is>
      </c>
      <c r="AX520" t="n">
        <v>111.133</v>
      </c>
      <c r="AY520" t="n">
        <v>1.080821157758461</v>
      </c>
      <c r="AZ520" t="n">
        <v>120.1148977251711</v>
      </c>
      <c r="BA520" t="n">
        <v>779.3099999999999</v>
      </c>
      <c r="BB520" t="n">
        <v>0.879</v>
      </c>
      <c r="BC520" t="n">
        <v>82.2803252917125</v>
      </c>
      <c r="BD520" t="n">
        <v>0.9167</v>
      </c>
      <c r="BE520" t="n">
        <v>75.426</v>
      </c>
      <c r="BF520" t="n">
        <v>8.9176</v>
      </c>
      <c r="BG520" t="n">
        <v>0.804</v>
      </c>
      <c r="BH520" t="n">
        <v>6039.043023599974</v>
      </c>
      <c r="BI520" t="n">
        <v>1.096052187605444</v>
      </c>
      <c r="BJ520" t="n">
        <v>6619.1063</v>
      </c>
      <c r="BK520" t="n">
        <v>104278.758089142</v>
      </c>
    </row>
    <row r="521">
      <c r="A521" t="n">
        <v>225</v>
      </c>
      <c r="B521" t="inlineStr">
        <is>
          <t>01-12-2020</t>
        </is>
      </c>
      <c r="C521" t="n">
        <v>2020</v>
      </c>
      <c r="D521" t="n">
        <v>1</v>
      </c>
      <c r="E521" t="inlineStr">
        <is>
          <t>CAREN</t>
        </is>
      </c>
      <c r="F521" t="inlineStr">
        <is>
          <t>SUM_SAESA_A</t>
        </is>
      </c>
      <c r="G521" t="inlineStr">
        <is>
          <t>A</t>
        </is>
      </c>
      <c r="H521" t="inlineStr">
        <is>
          <t>SAESA</t>
        </is>
      </c>
      <c r="I521" t="inlineStr">
        <is>
          <t>SAESPARGBLOQA</t>
        </is>
      </c>
      <c r="J521" t="inlineStr">
        <is>
          <t>PARGUA</t>
        </is>
      </c>
      <c r="K521" t="n">
        <v>-650.33966</v>
      </c>
      <c r="L521" t="inlineStr">
        <is>
          <t>PARGUA 23</t>
        </is>
      </c>
      <c r="M521" t="inlineStr">
        <is>
          <t>MELIPULLI</t>
        </is>
      </c>
      <c r="N521" t="n">
        <v>0.88336054288962</v>
      </c>
      <c r="O521" t="n">
        <v>574.4843949999999</v>
      </c>
      <c r="P521" t="inlineStr">
        <is>
          <t>BS1A</t>
        </is>
      </c>
      <c r="Q521" t="n">
        <v>2</v>
      </c>
      <c r="V521" t="n">
        <v>1472834.063</v>
      </c>
      <c r="W521" t="n">
        <v>2</v>
      </c>
      <c r="X521" t="n">
        <v>8.487e-08</v>
      </c>
      <c r="Y521" t="n">
        <v>0.249999</v>
      </c>
      <c r="Z521" t="n">
        <v>143.620524</v>
      </c>
      <c r="AA521" t="inlineStr">
        <is>
          <t>PNP_6T_08-05-2020</t>
        </is>
      </c>
      <c r="AB521" t="inlineStr">
        <is>
          <t>PNCP_9T_12-08-2019</t>
        </is>
      </c>
      <c r="AC521" t="inlineStr">
        <is>
          <t>PNCP_4T_30-04-2013</t>
        </is>
      </c>
      <c r="AD521" t="inlineStr">
        <is>
          <t>MELIPULLI 220</t>
        </is>
      </c>
      <c r="AE521" t="n">
        <v>111.133</v>
      </c>
      <c r="AF521" t="n">
        <v>1.072776031070834</v>
      </c>
      <c r="AG521" t="n">
        <v>119.220818660995</v>
      </c>
      <c r="AH521" t="n">
        <v>694.38</v>
      </c>
      <c r="AI521" t="n">
        <v>0.875</v>
      </c>
      <c r="AJ521" t="n">
        <v>72.43648305409401</v>
      </c>
      <c r="AK521" t="n">
        <v>0.8826000000000001</v>
      </c>
      <c r="AL521" t="n">
        <v>63.932</v>
      </c>
      <c r="AM521" t="n">
        <v>8.9176</v>
      </c>
      <c r="AN521" t="n">
        <v>9.566587534677272</v>
      </c>
      <c r="AO521" t="n">
        <v>0.913</v>
      </c>
      <c r="AP521" t="n">
        <v>6064.919358776563</v>
      </c>
      <c r="AQ521" t="n">
        <v>1</v>
      </c>
      <c r="AR521" t="n">
        <v>6064.9194</v>
      </c>
      <c r="AS521" t="n">
        <v>9181.947340368</v>
      </c>
      <c r="AT521" t="inlineStr">
        <is>
          <t>PNP_16T_02-11-2020</t>
        </is>
      </c>
      <c r="AU521" t="inlineStr">
        <is>
          <t>PNCP_2T_10-02-2020</t>
        </is>
      </c>
      <c r="AV521" t="inlineStr">
        <is>
          <t>PNCP_4T_30-04-2013</t>
        </is>
      </c>
      <c r="AW521" t="inlineStr">
        <is>
          <t>MELIPULLI 220</t>
        </is>
      </c>
      <c r="AX521" t="n">
        <v>111.133</v>
      </c>
      <c r="AY521" t="n">
        <v>1.080821157758461</v>
      </c>
      <c r="AZ521" t="n">
        <v>120.1148977251711</v>
      </c>
      <c r="BA521" t="n">
        <v>779.3099999999999</v>
      </c>
      <c r="BB521" t="n">
        <v>0.879</v>
      </c>
      <c r="BC521" t="n">
        <v>82.2803252917125</v>
      </c>
      <c r="BD521" t="n">
        <v>0.8421</v>
      </c>
      <c r="BE521" t="n">
        <v>69.288</v>
      </c>
      <c r="BF521" t="n">
        <v>8.9176</v>
      </c>
      <c r="BG521" t="n">
        <v>0.804</v>
      </c>
      <c r="BH521" t="n">
        <v>6039.043023599974</v>
      </c>
      <c r="BI521" t="n">
        <v>1</v>
      </c>
      <c r="BJ521" t="n">
        <v>6039.043</v>
      </c>
      <c r="BK521" t="n">
        <v>9951.178866912</v>
      </c>
    </row>
    <row r="522">
      <c r="A522" t="n">
        <v>1939</v>
      </c>
      <c r="B522" t="inlineStr">
        <is>
          <t>01-12-2020</t>
        </is>
      </c>
      <c r="C522" t="n">
        <v>2020</v>
      </c>
      <c r="D522" t="n">
        <v>1</v>
      </c>
      <c r="E522" t="inlineStr">
        <is>
          <t>CAREN</t>
        </is>
      </c>
      <c r="F522" t="inlineStr">
        <is>
          <t>SUM_SAESA_A</t>
        </is>
      </c>
      <c r="G522" t="inlineStr">
        <is>
          <t>A</t>
        </is>
      </c>
      <c r="H522" t="inlineStr">
        <is>
          <t>SAESA</t>
        </is>
      </c>
      <c r="I522" t="inlineStr">
        <is>
          <t>SAESPICABLOQA</t>
        </is>
      </c>
      <c r="J522" t="inlineStr">
        <is>
          <t>PICARTE</t>
        </is>
      </c>
      <c r="K522" t="n">
        <v>-22993.51308886</v>
      </c>
      <c r="L522" t="inlineStr">
        <is>
          <t>PICARTE</t>
        </is>
      </c>
      <c r="M522" t="inlineStr">
        <is>
          <t>BARRO BLANCO</t>
        </is>
      </c>
      <c r="N522" t="n">
        <v>0.04426188381592</v>
      </c>
      <c r="O522" t="n">
        <v>1017.736205</v>
      </c>
      <c r="P522" t="inlineStr">
        <is>
          <t>BS1A</t>
        </is>
      </c>
      <c r="Q522" t="n">
        <v>2</v>
      </c>
      <c r="V522" t="n">
        <v>1472834.063</v>
      </c>
      <c r="W522" t="n">
        <v>2</v>
      </c>
      <c r="X522" t="n">
        <v>8.487e-08</v>
      </c>
      <c r="Y522" t="n">
        <v>0.249999</v>
      </c>
      <c r="Z522" t="n">
        <v>254.433034</v>
      </c>
      <c r="AA522" t="inlineStr">
        <is>
          <t>PNP_6T_08-05-2020</t>
        </is>
      </c>
      <c r="AB522" t="inlineStr">
        <is>
          <t>PNCP_9T_12-08-2019</t>
        </is>
      </c>
      <c r="AC522" t="inlineStr">
        <is>
          <t>PNCP_4T_30-04-2013</t>
        </is>
      </c>
      <c r="AD522" t="inlineStr">
        <is>
          <t>Barro Blanco 220</t>
        </is>
      </c>
      <c r="AE522" t="n">
        <v>111.133</v>
      </c>
      <c r="AF522" t="n">
        <v>1.072776031070834</v>
      </c>
      <c r="AG522" t="n">
        <v>119.220818660995</v>
      </c>
      <c r="AH522" t="n">
        <v>694.38</v>
      </c>
      <c r="AI522" t="n">
        <v>0.875</v>
      </c>
      <c r="AJ522" t="n">
        <v>72.43648305409401</v>
      </c>
      <c r="AK522" t="n">
        <v>0.8631</v>
      </c>
      <c r="AL522" t="n">
        <v>62.52</v>
      </c>
      <c r="AM522" t="n">
        <v>8.9176</v>
      </c>
      <c r="AN522" t="n">
        <v>9.566587534677272</v>
      </c>
      <c r="AO522" t="n">
        <v>0.913</v>
      </c>
      <c r="AP522" t="n">
        <v>6064.919358776563</v>
      </c>
      <c r="AQ522" t="n">
        <v>1.004432825642191</v>
      </c>
      <c r="AR522" t="n">
        <v>6091.8041</v>
      </c>
      <c r="AS522" t="n">
        <v>15907.15328568</v>
      </c>
      <c r="AT522" t="inlineStr">
        <is>
          <t>PNP_16T_02-11-2020</t>
        </is>
      </c>
      <c r="AU522" t="inlineStr">
        <is>
          <t>PNCP_2T_10-02-2020</t>
        </is>
      </c>
      <c r="AV522" t="inlineStr">
        <is>
          <t>PNCP_4T_30-04-2013</t>
        </is>
      </c>
      <c r="AW522" t="inlineStr">
        <is>
          <t>Barro Blanco 220</t>
        </is>
      </c>
      <c r="AX522" t="n">
        <v>111.133</v>
      </c>
      <c r="AY522" t="n">
        <v>1.080821157758461</v>
      </c>
      <c r="AZ522" t="n">
        <v>120.1148977251711</v>
      </c>
      <c r="BA522" t="n">
        <v>779.3099999999999</v>
      </c>
      <c r="BB522" t="n">
        <v>0.879</v>
      </c>
      <c r="BC522" t="n">
        <v>82.2803252917125</v>
      </c>
      <c r="BD522" t="n">
        <v>0.846</v>
      </c>
      <c r="BE522" t="n">
        <v>69.60899999999999</v>
      </c>
      <c r="BF522" t="n">
        <v>8.9176</v>
      </c>
      <c r="BG522" t="n">
        <v>0.804</v>
      </c>
      <c r="BH522" t="n">
        <v>6039.043023599974</v>
      </c>
      <c r="BI522" t="n">
        <v>1.011820868379177</v>
      </c>
      <c r="BJ522" t="n">
        <v>6110.4298</v>
      </c>
      <c r="BK522" t="n">
        <v>17710.829063706</v>
      </c>
    </row>
    <row r="523">
      <c r="A523" t="n">
        <v>1941</v>
      </c>
      <c r="B523" t="inlineStr">
        <is>
          <t>01-12-2020</t>
        </is>
      </c>
      <c r="C523" t="n">
        <v>2020</v>
      </c>
      <c r="D523" t="n">
        <v>1</v>
      </c>
      <c r="E523" t="inlineStr">
        <is>
          <t>CAREN</t>
        </is>
      </c>
      <c r="F523" t="inlineStr">
        <is>
          <t>SUM_SAESA_A</t>
        </is>
      </c>
      <c r="G523" t="inlineStr">
        <is>
          <t>A</t>
        </is>
      </c>
      <c r="H523" t="inlineStr">
        <is>
          <t>SAESA</t>
        </is>
      </c>
      <c r="I523" t="inlineStr">
        <is>
          <t>SAESPICABLOQA</t>
        </is>
      </c>
      <c r="J523" t="inlineStr">
        <is>
          <t>PICARTE</t>
        </is>
      </c>
      <c r="K523" t="n">
        <v>-22993.51308886</v>
      </c>
      <c r="L523" t="inlineStr">
        <is>
          <t>PICARTE</t>
        </is>
      </c>
      <c r="M523" t="inlineStr">
        <is>
          <t>MELIPULLI</t>
        </is>
      </c>
      <c r="N523" t="n">
        <v>0.00284526914055</v>
      </c>
      <c r="O523" t="n">
        <v>65.42273299999999</v>
      </c>
      <c r="P523" t="inlineStr">
        <is>
          <t>BS1A</t>
        </is>
      </c>
      <c r="Q523" t="n">
        <v>2</v>
      </c>
      <c r="V523" t="n">
        <v>1472834.063</v>
      </c>
      <c r="W523" t="n">
        <v>2</v>
      </c>
      <c r="X523" t="n">
        <v>8.487e-08</v>
      </c>
      <c r="Y523" t="n">
        <v>0.249999</v>
      </c>
      <c r="Z523" t="n">
        <v>16.355618</v>
      </c>
      <c r="AA523" t="inlineStr">
        <is>
          <t>PNP_6T_08-05-2020</t>
        </is>
      </c>
      <c r="AB523" t="inlineStr">
        <is>
          <t>PNCP_9T_12-08-2019</t>
        </is>
      </c>
      <c r="AC523" t="inlineStr">
        <is>
          <t>PNCP_4T_30-04-2013</t>
        </is>
      </c>
      <c r="AD523" t="inlineStr">
        <is>
          <t>MELIPULLI 220</t>
        </is>
      </c>
      <c r="AE523" t="n">
        <v>111.133</v>
      </c>
      <c r="AF523" t="n">
        <v>1.072776031070834</v>
      </c>
      <c r="AG523" t="n">
        <v>119.220818660995</v>
      </c>
      <c r="AH523" t="n">
        <v>694.38</v>
      </c>
      <c r="AI523" t="n">
        <v>0.875</v>
      </c>
      <c r="AJ523" t="n">
        <v>72.43648305409401</v>
      </c>
      <c r="AK523" t="n">
        <v>0.8826000000000001</v>
      </c>
      <c r="AL523" t="n">
        <v>63.932</v>
      </c>
      <c r="AM523" t="n">
        <v>8.9176</v>
      </c>
      <c r="AN523" t="n">
        <v>9.566587534677272</v>
      </c>
      <c r="AO523" t="n">
        <v>0.913</v>
      </c>
      <c r="AP523" t="n">
        <v>6064.919358776563</v>
      </c>
      <c r="AQ523" t="n">
        <v>1</v>
      </c>
      <c r="AR523" t="n">
        <v>6064.9194</v>
      </c>
      <c r="AS523" t="n">
        <v>1045.647369976</v>
      </c>
      <c r="AT523" t="inlineStr">
        <is>
          <t>PNP_16T_02-11-2020</t>
        </is>
      </c>
      <c r="AU523" t="inlineStr">
        <is>
          <t>PNCP_2T_10-02-2020</t>
        </is>
      </c>
      <c r="AV523" t="inlineStr">
        <is>
          <t>PNCP_4T_30-04-2013</t>
        </is>
      </c>
      <c r="AW523" t="inlineStr">
        <is>
          <t>MELIPULLI 220</t>
        </is>
      </c>
      <c r="AX523" t="n">
        <v>111.133</v>
      </c>
      <c r="AY523" t="n">
        <v>1.080821157758461</v>
      </c>
      <c r="AZ523" t="n">
        <v>120.1148977251711</v>
      </c>
      <c r="BA523" t="n">
        <v>779.3099999999999</v>
      </c>
      <c r="BB523" t="n">
        <v>0.879</v>
      </c>
      <c r="BC523" t="n">
        <v>82.2803252917125</v>
      </c>
      <c r="BD523" t="n">
        <v>0.8421</v>
      </c>
      <c r="BE523" t="n">
        <v>69.288</v>
      </c>
      <c r="BF523" t="n">
        <v>8.9176</v>
      </c>
      <c r="BG523" t="n">
        <v>0.804</v>
      </c>
      <c r="BH523" t="n">
        <v>6039.043023599974</v>
      </c>
      <c r="BI523" t="n">
        <v>1</v>
      </c>
      <c r="BJ523" t="n">
        <v>6039.043</v>
      </c>
      <c r="BK523" t="n">
        <v>1133.248059984</v>
      </c>
    </row>
    <row r="524">
      <c r="A524" t="n">
        <v>1943</v>
      </c>
      <c r="B524" t="inlineStr">
        <is>
          <t>01-12-2020</t>
        </is>
      </c>
      <c r="C524" t="n">
        <v>2020</v>
      </c>
      <c r="D524" t="n">
        <v>1</v>
      </c>
      <c r="E524" t="inlineStr">
        <is>
          <t>CAREN</t>
        </is>
      </c>
      <c r="F524" t="inlineStr">
        <is>
          <t>SUM_SAESA_A</t>
        </is>
      </c>
      <c r="G524" t="inlineStr">
        <is>
          <t>A</t>
        </is>
      </c>
      <c r="H524" t="inlineStr">
        <is>
          <t>SAESA</t>
        </is>
      </c>
      <c r="I524" t="inlineStr">
        <is>
          <t>SAESPICABLOQA</t>
        </is>
      </c>
      <c r="J524" t="inlineStr">
        <is>
          <t>PICARTE</t>
        </is>
      </c>
      <c r="K524" t="n">
        <v>-22993.51308886</v>
      </c>
      <c r="L524" t="inlineStr">
        <is>
          <t>PICARTE</t>
        </is>
      </c>
      <c r="M524" t="inlineStr">
        <is>
          <t>VALDIVIA</t>
        </is>
      </c>
      <c r="N524" t="n">
        <v>0.81632978072526</v>
      </c>
      <c r="O524" t="n">
        <v>18770.289498</v>
      </c>
      <c r="P524" t="inlineStr">
        <is>
          <t>BS1A</t>
        </is>
      </c>
      <c r="Q524" t="n">
        <v>2</v>
      </c>
      <c r="V524" t="n">
        <v>1472834.063</v>
      </c>
      <c r="W524" t="n">
        <v>2</v>
      </c>
      <c r="X524" t="n">
        <v>8.487e-08</v>
      </c>
      <c r="Y524" t="n">
        <v>0.249999</v>
      </c>
      <c r="Z524" t="n">
        <v>4692.553604</v>
      </c>
      <c r="AA524" t="inlineStr">
        <is>
          <t>PNP_6T_08-05-2020</t>
        </is>
      </c>
      <c r="AB524" t="inlineStr">
        <is>
          <t>PNCP_9T_12-08-2019</t>
        </is>
      </c>
      <c r="AC524" t="inlineStr">
        <is>
          <t>PNCP_4T_30-04-2013</t>
        </is>
      </c>
      <c r="AD524" t="inlineStr">
        <is>
          <t>VALDIVIA 220</t>
        </is>
      </c>
      <c r="AE524" t="n">
        <v>111.133</v>
      </c>
      <c r="AF524" t="n">
        <v>1.072776031070834</v>
      </c>
      <c r="AG524" t="n">
        <v>119.220818660995</v>
      </c>
      <c r="AH524" t="n">
        <v>694.38</v>
      </c>
      <c r="AI524" t="n">
        <v>0.875</v>
      </c>
      <c r="AJ524" t="n">
        <v>72.43648305409401</v>
      </c>
      <c r="AK524" t="n">
        <v>0.913</v>
      </c>
      <c r="AL524" t="n">
        <v>66.13500000000001</v>
      </c>
      <c r="AM524" t="n">
        <v>8.9176</v>
      </c>
      <c r="AN524" t="n">
        <v>9.566587534677272</v>
      </c>
      <c r="AO524" t="n">
        <v>0.913</v>
      </c>
      <c r="AP524" t="n">
        <v>6064.919358776563</v>
      </c>
      <c r="AQ524" t="n">
        <v>1.051287819142954</v>
      </c>
      <c r="AR524" t="n">
        <v>6375.9758</v>
      </c>
      <c r="AS524" t="n">
        <v>310342.03260054</v>
      </c>
      <c r="AT524" t="inlineStr">
        <is>
          <t>PNP_16T_02-11-2020</t>
        </is>
      </c>
      <c r="AU524" t="inlineStr">
        <is>
          <t>PNCP_2T_10-02-2020</t>
        </is>
      </c>
      <c r="AV524" t="inlineStr">
        <is>
          <t>PNCP_4T_30-04-2013</t>
        </is>
      </c>
      <c r="AW524" t="inlineStr">
        <is>
          <t>VALDIVIA 220</t>
        </is>
      </c>
      <c r="AX524" t="n">
        <v>111.133</v>
      </c>
      <c r="AY524" t="n">
        <v>1.080821157758461</v>
      </c>
      <c r="AZ524" t="n">
        <v>120.1148977251711</v>
      </c>
      <c r="BA524" t="n">
        <v>779.3099999999999</v>
      </c>
      <c r="BB524" t="n">
        <v>0.879</v>
      </c>
      <c r="BC524" t="n">
        <v>82.2803252917125</v>
      </c>
      <c r="BD524" t="n">
        <v>0.9167</v>
      </c>
      <c r="BE524" t="n">
        <v>75.426</v>
      </c>
      <c r="BF524" t="n">
        <v>8.9176</v>
      </c>
      <c r="BG524" t="n">
        <v>0.804</v>
      </c>
      <c r="BH524" t="n">
        <v>6039.043023599974</v>
      </c>
      <c r="BI524" t="n">
        <v>1.096052187605444</v>
      </c>
      <c r="BJ524" t="n">
        <v>6619.1063</v>
      </c>
      <c r="BK524" t="n">
        <v>353940.548135304</v>
      </c>
    </row>
    <row r="525">
      <c r="A525" t="n">
        <v>3895</v>
      </c>
      <c r="B525" t="inlineStr">
        <is>
          <t>01-12-2020</t>
        </is>
      </c>
      <c r="C525" t="n">
        <v>2020</v>
      </c>
      <c r="D525" t="n">
        <v>1</v>
      </c>
      <c r="E525" t="inlineStr">
        <is>
          <t>CAREN</t>
        </is>
      </c>
      <c r="F525" t="inlineStr">
        <is>
          <t>SUM_SAESA_A</t>
        </is>
      </c>
      <c r="G525" t="inlineStr">
        <is>
          <t>A</t>
        </is>
      </c>
      <c r="H525" t="inlineStr">
        <is>
          <t>SAESA</t>
        </is>
      </c>
      <c r="I525" t="inlineStr">
        <is>
          <t>SAESPICHIBLOQA</t>
        </is>
      </c>
      <c r="J525" t="inlineStr">
        <is>
          <t>PICHIL</t>
        </is>
      </c>
      <c r="K525" t="n">
        <v>-730.03172706</v>
      </c>
      <c r="L525" t="inlineStr">
        <is>
          <t>PICHIL</t>
        </is>
      </c>
      <c r="M525" t="inlineStr">
        <is>
          <t>BARRO BLANCO</t>
        </is>
      </c>
      <c r="N525" t="n">
        <v>0.8920038857753</v>
      </c>
      <c r="O525" t="n">
        <v>651.191137</v>
      </c>
      <c r="P525" t="inlineStr">
        <is>
          <t>BS1A</t>
        </is>
      </c>
      <c r="Q525" t="n">
        <v>2</v>
      </c>
      <c r="V525" t="n">
        <v>1472834.063</v>
      </c>
      <c r="W525" t="n">
        <v>2</v>
      </c>
      <c r="X525" t="n">
        <v>8.487e-08</v>
      </c>
      <c r="Y525" t="n">
        <v>0.249999</v>
      </c>
      <c r="Z525" t="n">
        <v>162.797133</v>
      </c>
      <c r="AA525" t="inlineStr">
        <is>
          <t>PNP_6T_08-05-2020</t>
        </is>
      </c>
      <c r="AB525" t="inlineStr">
        <is>
          <t>PNCP_9T_12-08-2019</t>
        </is>
      </c>
      <c r="AC525" t="inlineStr">
        <is>
          <t>PNCP_4T_30-04-2013</t>
        </is>
      </c>
      <c r="AD525" t="inlineStr">
        <is>
          <t>Barro Blanco 220</t>
        </is>
      </c>
      <c r="AE525" t="n">
        <v>111.133</v>
      </c>
      <c r="AF525" t="n">
        <v>1.072776031070834</v>
      </c>
      <c r="AG525" t="n">
        <v>119.220818660995</v>
      </c>
      <c r="AH525" t="n">
        <v>694.38</v>
      </c>
      <c r="AI525" t="n">
        <v>0.875</v>
      </c>
      <c r="AJ525" t="n">
        <v>72.43648305409401</v>
      </c>
      <c r="AK525" t="n">
        <v>0.8631</v>
      </c>
      <c r="AL525" t="n">
        <v>62.52</v>
      </c>
      <c r="AM525" t="n">
        <v>8.9176</v>
      </c>
      <c r="AN525" t="n">
        <v>9.566587534677272</v>
      </c>
      <c r="AO525" t="n">
        <v>0.913</v>
      </c>
      <c r="AP525" t="n">
        <v>6064.919358776563</v>
      </c>
      <c r="AQ525" t="n">
        <v>1.004432825642191</v>
      </c>
      <c r="AR525" t="n">
        <v>6091.8041</v>
      </c>
      <c r="AS525" t="n">
        <v>10178.07675516</v>
      </c>
      <c r="AT525" t="inlineStr">
        <is>
          <t>PNP_16T_02-11-2020</t>
        </is>
      </c>
      <c r="AU525" t="inlineStr">
        <is>
          <t>PNCP_2T_10-02-2020</t>
        </is>
      </c>
      <c r="AV525" t="inlineStr">
        <is>
          <t>PNCP_4T_30-04-2013</t>
        </is>
      </c>
      <c r="AW525" t="inlineStr">
        <is>
          <t>Barro Blanco 220</t>
        </is>
      </c>
      <c r="AX525" t="n">
        <v>111.133</v>
      </c>
      <c r="AY525" t="n">
        <v>1.080821157758461</v>
      </c>
      <c r="AZ525" t="n">
        <v>120.1148977251711</v>
      </c>
      <c r="BA525" t="n">
        <v>779.3099999999999</v>
      </c>
      <c r="BB525" t="n">
        <v>0.879</v>
      </c>
      <c r="BC525" t="n">
        <v>82.2803252917125</v>
      </c>
      <c r="BD525" t="n">
        <v>0.846</v>
      </c>
      <c r="BE525" t="n">
        <v>69.60899999999999</v>
      </c>
      <c r="BF525" t="n">
        <v>8.9176</v>
      </c>
      <c r="BG525" t="n">
        <v>0.804</v>
      </c>
      <c r="BH525" t="n">
        <v>6039.043023599974</v>
      </c>
      <c r="BI525" t="n">
        <v>1.011820868379177</v>
      </c>
      <c r="BJ525" t="n">
        <v>6110.4298</v>
      </c>
      <c r="BK525" t="n">
        <v>11332.145630997</v>
      </c>
    </row>
    <row r="526">
      <c r="A526" t="n">
        <v>3897</v>
      </c>
      <c r="B526" t="inlineStr">
        <is>
          <t>01-12-2020</t>
        </is>
      </c>
      <c r="C526" t="n">
        <v>2020</v>
      </c>
      <c r="D526" t="n">
        <v>1</v>
      </c>
      <c r="E526" t="inlineStr">
        <is>
          <t>CAREN</t>
        </is>
      </c>
      <c r="F526" t="inlineStr">
        <is>
          <t>SUM_SAESA_A</t>
        </is>
      </c>
      <c r="G526" t="inlineStr">
        <is>
          <t>A</t>
        </is>
      </c>
      <c r="H526" t="inlineStr">
        <is>
          <t>SAESA</t>
        </is>
      </c>
      <c r="I526" t="inlineStr">
        <is>
          <t>SAESPICHIBLOQA</t>
        </is>
      </c>
      <c r="J526" t="inlineStr">
        <is>
          <t>PICHIL</t>
        </is>
      </c>
      <c r="K526" t="n">
        <v>-730.03172706</v>
      </c>
      <c r="L526" t="inlineStr">
        <is>
          <t>PICHIL</t>
        </is>
      </c>
      <c r="M526" t="inlineStr">
        <is>
          <t>MELIPULLI</t>
        </is>
      </c>
      <c r="N526" t="n">
        <v>0.0602325005507</v>
      </c>
      <c r="O526" t="n">
        <v>43.971636</v>
      </c>
      <c r="P526" t="inlineStr">
        <is>
          <t>BS1A</t>
        </is>
      </c>
      <c r="Q526" t="n">
        <v>2</v>
      </c>
      <c r="V526" t="n">
        <v>1472834.063</v>
      </c>
      <c r="W526" t="n">
        <v>2</v>
      </c>
      <c r="X526" t="n">
        <v>8.487e-08</v>
      </c>
      <c r="Y526" t="n">
        <v>0.249999</v>
      </c>
      <c r="Z526" t="n">
        <v>10.992865</v>
      </c>
      <c r="AA526" t="inlineStr">
        <is>
          <t>PNP_6T_08-05-2020</t>
        </is>
      </c>
      <c r="AB526" t="inlineStr">
        <is>
          <t>PNCP_9T_12-08-2019</t>
        </is>
      </c>
      <c r="AC526" t="inlineStr">
        <is>
          <t>PNCP_4T_30-04-2013</t>
        </is>
      </c>
      <c r="AD526" t="inlineStr">
        <is>
          <t>MELIPULLI 220</t>
        </is>
      </c>
      <c r="AE526" t="n">
        <v>111.133</v>
      </c>
      <c r="AF526" t="n">
        <v>1.072776031070834</v>
      </c>
      <c r="AG526" t="n">
        <v>119.220818660995</v>
      </c>
      <c r="AH526" t="n">
        <v>694.38</v>
      </c>
      <c r="AI526" t="n">
        <v>0.875</v>
      </c>
      <c r="AJ526" t="n">
        <v>72.43648305409401</v>
      </c>
      <c r="AK526" t="n">
        <v>0.8826000000000001</v>
      </c>
      <c r="AL526" t="n">
        <v>63.932</v>
      </c>
      <c r="AM526" t="n">
        <v>8.9176</v>
      </c>
      <c r="AN526" t="n">
        <v>9.566587534677272</v>
      </c>
      <c r="AO526" t="n">
        <v>0.913</v>
      </c>
      <c r="AP526" t="n">
        <v>6064.919358776563</v>
      </c>
      <c r="AQ526" t="n">
        <v>1</v>
      </c>
      <c r="AR526" t="n">
        <v>6064.9194</v>
      </c>
      <c r="AS526" t="n">
        <v>702.79584518</v>
      </c>
      <c r="AT526" t="inlineStr">
        <is>
          <t>PNP_16T_02-11-2020</t>
        </is>
      </c>
      <c r="AU526" t="inlineStr">
        <is>
          <t>PNCP_2T_10-02-2020</t>
        </is>
      </c>
      <c r="AV526" t="inlineStr">
        <is>
          <t>PNCP_4T_30-04-2013</t>
        </is>
      </c>
      <c r="AW526" t="inlineStr">
        <is>
          <t>MELIPULLI 220</t>
        </is>
      </c>
      <c r="AX526" t="n">
        <v>111.133</v>
      </c>
      <c r="AY526" t="n">
        <v>1.080821157758461</v>
      </c>
      <c r="AZ526" t="n">
        <v>120.1148977251711</v>
      </c>
      <c r="BA526" t="n">
        <v>779.3099999999999</v>
      </c>
      <c r="BB526" t="n">
        <v>0.879</v>
      </c>
      <c r="BC526" t="n">
        <v>82.2803252917125</v>
      </c>
      <c r="BD526" t="n">
        <v>0.8421</v>
      </c>
      <c r="BE526" t="n">
        <v>69.288</v>
      </c>
      <c r="BF526" t="n">
        <v>8.9176</v>
      </c>
      <c r="BG526" t="n">
        <v>0.804</v>
      </c>
      <c r="BH526" t="n">
        <v>6039.043023599974</v>
      </c>
      <c r="BI526" t="n">
        <v>1</v>
      </c>
      <c r="BJ526" t="n">
        <v>6039.043</v>
      </c>
      <c r="BK526" t="n">
        <v>761.67363012</v>
      </c>
    </row>
    <row r="527">
      <c r="A527" t="n">
        <v>3899</v>
      </c>
      <c r="B527" t="inlineStr">
        <is>
          <t>01-12-2020</t>
        </is>
      </c>
      <c r="C527" t="n">
        <v>2020</v>
      </c>
      <c r="D527" t="n">
        <v>1</v>
      </c>
      <c r="E527" t="inlineStr">
        <is>
          <t>CAREN</t>
        </is>
      </c>
      <c r="F527" t="inlineStr">
        <is>
          <t>SUM_SAESA_A</t>
        </is>
      </c>
      <c r="G527" t="inlineStr">
        <is>
          <t>A</t>
        </is>
      </c>
      <c r="H527" t="inlineStr">
        <is>
          <t>SAESA</t>
        </is>
      </c>
      <c r="I527" t="inlineStr">
        <is>
          <t>SAESPICHIBLOQA</t>
        </is>
      </c>
      <c r="J527" t="inlineStr">
        <is>
          <t>PICHIL</t>
        </is>
      </c>
      <c r="K527" t="n">
        <v>-730.03172706</v>
      </c>
      <c r="L527" t="inlineStr">
        <is>
          <t>PICHIL</t>
        </is>
      </c>
      <c r="M527" t="inlineStr">
        <is>
          <t>VALDIVIA</t>
        </is>
      </c>
      <c r="N527" t="n">
        <v>0.00992234391695</v>
      </c>
      <c r="O527" t="n">
        <v>7.243626</v>
      </c>
      <c r="P527" t="inlineStr">
        <is>
          <t>BS1A</t>
        </is>
      </c>
      <c r="Q527" t="n">
        <v>2</v>
      </c>
      <c r="V527" t="n">
        <v>1472834.063</v>
      </c>
      <c r="W527" t="n">
        <v>2</v>
      </c>
      <c r="X527" t="n">
        <v>8.487e-08</v>
      </c>
      <c r="Y527" t="n">
        <v>0.249999</v>
      </c>
      <c r="Z527" t="n">
        <v>1.810899</v>
      </c>
      <c r="AA527" t="inlineStr">
        <is>
          <t>PNP_6T_08-05-2020</t>
        </is>
      </c>
      <c r="AB527" t="inlineStr">
        <is>
          <t>PNCP_9T_12-08-2019</t>
        </is>
      </c>
      <c r="AC527" t="inlineStr">
        <is>
          <t>PNCP_4T_30-04-2013</t>
        </is>
      </c>
      <c r="AD527" t="inlineStr">
        <is>
          <t>VALDIVIA 220</t>
        </is>
      </c>
      <c r="AE527" t="n">
        <v>111.133</v>
      </c>
      <c r="AF527" t="n">
        <v>1.072776031070834</v>
      </c>
      <c r="AG527" t="n">
        <v>119.220818660995</v>
      </c>
      <c r="AH527" t="n">
        <v>694.38</v>
      </c>
      <c r="AI527" t="n">
        <v>0.875</v>
      </c>
      <c r="AJ527" t="n">
        <v>72.43648305409401</v>
      </c>
      <c r="AK527" t="n">
        <v>0.913</v>
      </c>
      <c r="AL527" t="n">
        <v>66.13500000000001</v>
      </c>
      <c r="AM527" t="n">
        <v>8.9176</v>
      </c>
      <c r="AN527" t="n">
        <v>9.566587534677272</v>
      </c>
      <c r="AO527" t="n">
        <v>0.913</v>
      </c>
      <c r="AP527" t="n">
        <v>6064.919358776563</v>
      </c>
      <c r="AQ527" t="n">
        <v>1.051287819142954</v>
      </c>
      <c r="AR527" t="n">
        <v>6375.9758</v>
      </c>
      <c r="AS527" t="n">
        <v>119.763805365</v>
      </c>
      <c r="AT527" t="inlineStr">
        <is>
          <t>PNP_16T_02-11-2020</t>
        </is>
      </c>
      <c r="AU527" t="inlineStr">
        <is>
          <t>PNCP_2T_10-02-2020</t>
        </is>
      </c>
      <c r="AV527" t="inlineStr">
        <is>
          <t>PNCP_4T_30-04-2013</t>
        </is>
      </c>
      <c r="AW527" t="inlineStr">
        <is>
          <t>VALDIVIA 220</t>
        </is>
      </c>
      <c r="AX527" t="n">
        <v>111.133</v>
      </c>
      <c r="AY527" t="n">
        <v>1.080821157758461</v>
      </c>
      <c r="AZ527" t="n">
        <v>120.1148977251711</v>
      </c>
      <c r="BA527" t="n">
        <v>779.3099999999999</v>
      </c>
      <c r="BB527" t="n">
        <v>0.879</v>
      </c>
      <c r="BC527" t="n">
        <v>82.2803252917125</v>
      </c>
      <c r="BD527" t="n">
        <v>0.9167</v>
      </c>
      <c r="BE527" t="n">
        <v>75.426</v>
      </c>
      <c r="BF527" t="n">
        <v>8.9176</v>
      </c>
      <c r="BG527" t="n">
        <v>0.804</v>
      </c>
      <c r="BH527" t="n">
        <v>6039.043023599974</v>
      </c>
      <c r="BI527" t="n">
        <v>1.096052187605444</v>
      </c>
      <c r="BJ527" t="n">
        <v>6619.1063</v>
      </c>
      <c r="BK527" t="n">
        <v>136.588867974</v>
      </c>
    </row>
    <row r="528">
      <c r="A528" t="n">
        <v>1939</v>
      </c>
      <c r="B528" t="inlineStr">
        <is>
          <t>01-12-2020</t>
        </is>
      </c>
      <c r="C528" t="n">
        <v>2020</v>
      </c>
      <c r="D528" t="n">
        <v>1</v>
      </c>
      <c r="E528" t="inlineStr">
        <is>
          <t>CAREN</t>
        </is>
      </c>
      <c r="F528" t="inlineStr">
        <is>
          <t>SUM_SAESA_A</t>
        </is>
      </c>
      <c r="G528" t="inlineStr">
        <is>
          <t>A</t>
        </is>
      </c>
      <c r="H528" t="inlineStr">
        <is>
          <t>SAESA</t>
        </is>
      </c>
      <c r="I528" t="inlineStr">
        <is>
          <t>SAESPICHBLOQA</t>
        </is>
      </c>
      <c r="J528" t="inlineStr">
        <is>
          <t>PICHIRROPULLI</t>
        </is>
      </c>
      <c r="K528" t="n">
        <v>-4840.65573045</v>
      </c>
      <c r="L528" t="inlineStr">
        <is>
          <t>PICHIRROPULLI</t>
        </is>
      </c>
      <c r="M528" t="inlineStr">
        <is>
          <t>BARRO BLANCO</t>
        </is>
      </c>
      <c r="N528" t="n">
        <v>0.44055171091363</v>
      </c>
      <c r="O528" t="n">
        <v>2132.559164</v>
      </c>
      <c r="P528" t="inlineStr">
        <is>
          <t>BS1A</t>
        </is>
      </c>
      <c r="Q528" t="n">
        <v>2</v>
      </c>
      <c r="V528" t="n">
        <v>1472834.063</v>
      </c>
      <c r="W528" t="n">
        <v>2</v>
      </c>
      <c r="X528" t="n">
        <v>8.487e-08</v>
      </c>
      <c r="Y528" t="n">
        <v>0.249999</v>
      </c>
      <c r="Z528" t="n">
        <v>533.137658</v>
      </c>
      <c r="AA528" t="inlineStr">
        <is>
          <t>PNP_6T_08-05-2020</t>
        </is>
      </c>
      <c r="AB528" t="inlineStr">
        <is>
          <t>PNCP_9T_12-08-2019</t>
        </is>
      </c>
      <c r="AC528" t="inlineStr">
        <is>
          <t>PNCP_4T_30-04-2013</t>
        </is>
      </c>
      <c r="AD528" t="inlineStr">
        <is>
          <t>Barro Blanco 220</t>
        </is>
      </c>
      <c r="AE528" t="n">
        <v>111.133</v>
      </c>
      <c r="AF528" t="n">
        <v>1.072776031070834</v>
      </c>
      <c r="AG528" t="n">
        <v>119.220818660995</v>
      </c>
      <c r="AH528" t="n">
        <v>694.38</v>
      </c>
      <c r="AI528" t="n">
        <v>0.875</v>
      </c>
      <c r="AJ528" t="n">
        <v>72.43648305409401</v>
      </c>
      <c r="AK528" t="n">
        <v>0.8631</v>
      </c>
      <c r="AL528" t="n">
        <v>62.52</v>
      </c>
      <c r="AM528" t="n">
        <v>8.9176</v>
      </c>
      <c r="AN528" t="n">
        <v>9.566587534677272</v>
      </c>
      <c r="AO528" t="n">
        <v>0.913</v>
      </c>
      <c r="AP528" t="n">
        <v>6064.919358776563</v>
      </c>
      <c r="AQ528" t="n">
        <v>1.004432825642191</v>
      </c>
      <c r="AR528" t="n">
        <v>6091.8041</v>
      </c>
      <c r="AS528" t="n">
        <v>33331.76637816</v>
      </c>
      <c r="AT528" t="inlineStr">
        <is>
          <t>PNP_16T_02-11-2020</t>
        </is>
      </c>
      <c r="AU528" t="inlineStr">
        <is>
          <t>PNCP_2T_10-02-2020</t>
        </is>
      </c>
      <c r="AV528" t="inlineStr">
        <is>
          <t>PNCP_4T_30-04-2013</t>
        </is>
      </c>
      <c r="AW528" t="inlineStr">
        <is>
          <t>Barro Blanco 220</t>
        </is>
      </c>
      <c r="AX528" t="n">
        <v>111.133</v>
      </c>
      <c r="AY528" t="n">
        <v>1.080821157758461</v>
      </c>
      <c r="AZ528" t="n">
        <v>120.1148977251711</v>
      </c>
      <c r="BA528" t="n">
        <v>779.3099999999999</v>
      </c>
      <c r="BB528" t="n">
        <v>0.879</v>
      </c>
      <c r="BC528" t="n">
        <v>82.2803252917125</v>
      </c>
      <c r="BD528" t="n">
        <v>0.846</v>
      </c>
      <c r="BE528" t="n">
        <v>69.60899999999999</v>
      </c>
      <c r="BF528" t="n">
        <v>8.9176</v>
      </c>
      <c r="BG528" t="n">
        <v>0.804</v>
      </c>
      <c r="BH528" t="n">
        <v>6039.043023599974</v>
      </c>
      <c r="BI528" t="n">
        <v>1.011820868379177</v>
      </c>
      <c r="BJ528" t="n">
        <v>6110.4298</v>
      </c>
      <c r="BK528" t="n">
        <v>37111.179235722</v>
      </c>
    </row>
    <row r="529">
      <c r="A529" t="n">
        <v>1941</v>
      </c>
      <c r="B529" t="inlineStr">
        <is>
          <t>01-12-2020</t>
        </is>
      </c>
      <c r="C529" t="n">
        <v>2020</v>
      </c>
      <c r="D529" t="n">
        <v>1</v>
      </c>
      <c r="E529" t="inlineStr">
        <is>
          <t>CAREN</t>
        </is>
      </c>
      <c r="F529" t="inlineStr">
        <is>
          <t>SUM_SAESA_A</t>
        </is>
      </c>
      <c r="G529" t="inlineStr">
        <is>
          <t>A</t>
        </is>
      </c>
      <c r="H529" t="inlineStr">
        <is>
          <t>SAESA</t>
        </is>
      </c>
      <c r="I529" t="inlineStr">
        <is>
          <t>SAESPICHBLOQA</t>
        </is>
      </c>
      <c r="J529" t="inlineStr">
        <is>
          <t>PICHIRROPULLI</t>
        </is>
      </c>
      <c r="K529" t="n">
        <v>-4840.65573045</v>
      </c>
      <c r="L529" t="inlineStr">
        <is>
          <t>PICHIRROPULLI</t>
        </is>
      </c>
      <c r="M529" t="inlineStr">
        <is>
          <t>MELIPULLI</t>
        </is>
      </c>
      <c r="N529" t="n">
        <v>0.02469277244506</v>
      </c>
      <c r="O529" t="n">
        <v>119.52921</v>
      </c>
      <c r="P529" t="inlineStr">
        <is>
          <t>BS1A</t>
        </is>
      </c>
      <c r="Q529" t="n">
        <v>2</v>
      </c>
      <c r="V529" t="n">
        <v>1472834.063</v>
      </c>
      <c r="W529" t="n">
        <v>2</v>
      </c>
      <c r="X529" t="n">
        <v>8.487e-08</v>
      </c>
      <c r="Y529" t="n">
        <v>0.249999</v>
      </c>
      <c r="Z529" t="n">
        <v>29.882183</v>
      </c>
      <c r="AA529" t="inlineStr">
        <is>
          <t>PNP_6T_08-05-2020</t>
        </is>
      </c>
      <c r="AB529" t="inlineStr">
        <is>
          <t>PNCP_9T_12-08-2019</t>
        </is>
      </c>
      <c r="AC529" t="inlineStr">
        <is>
          <t>PNCP_4T_30-04-2013</t>
        </is>
      </c>
      <c r="AD529" t="inlineStr">
        <is>
          <t>MELIPULLI 220</t>
        </is>
      </c>
      <c r="AE529" t="n">
        <v>111.133</v>
      </c>
      <c r="AF529" t="n">
        <v>1.072776031070834</v>
      </c>
      <c r="AG529" t="n">
        <v>119.220818660995</v>
      </c>
      <c r="AH529" t="n">
        <v>694.38</v>
      </c>
      <c r="AI529" t="n">
        <v>0.875</v>
      </c>
      <c r="AJ529" t="n">
        <v>72.43648305409401</v>
      </c>
      <c r="AK529" t="n">
        <v>0.8826000000000001</v>
      </c>
      <c r="AL529" t="n">
        <v>63.932</v>
      </c>
      <c r="AM529" t="n">
        <v>8.9176</v>
      </c>
      <c r="AN529" t="n">
        <v>9.566587534677272</v>
      </c>
      <c r="AO529" t="n">
        <v>0.913</v>
      </c>
      <c r="AP529" t="n">
        <v>6064.919358776563</v>
      </c>
      <c r="AQ529" t="n">
        <v>1</v>
      </c>
      <c r="AR529" t="n">
        <v>6064.9194</v>
      </c>
      <c r="AS529" t="n">
        <v>1910.427723556</v>
      </c>
      <c r="AT529" t="inlineStr">
        <is>
          <t>PNP_16T_02-11-2020</t>
        </is>
      </c>
      <c r="AU529" t="inlineStr">
        <is>
          <t>PNCP_2T_10-02-2020</t>
        </is>
      </c>
      <c r="AV529" t="inlineStr">
        <is>
          <t>PNCP_4T_30-04-2013</t>
        </is>
      </c>
      <c r="AW529" t="inlineStr">
        <is>
          <t>MELIPULLI 220</t>
        </is>
      </c>
      <c r="AX529" t="n">
        <v>111.133</v>
      </c>
      <c r="AY529" t="n">
        <v>1.080821157758461</v>
      </c>
      <c r="AZ529" t="n">
        <v>120.1148977251711</v>
      </c>
      <c r="BA529" t="n">
        <v>779.3099999999999</v>
      </c>
      <c r="BB529" t="n">
        <v>0.879</v>
      </c>
      <c r="BC529" t="n">
        <v>82.2803252917125</v>
      </c>
      <c r="BD529" t="n">
        <v>0.8421</v>
      </c>
      <c r="BE529" t="n">
        <v>69.288</v>
      </c>
      <c r="BF529" t="n">
        <v>8.9176</v>
      </c>
      <c r="BG529" t="n">
        <v>0.804</v>
      </c>
      <c r="BH529" t="n">
        <v>6039.043023599974</v>
      </c>
      <c r="BI529" t="n">
        <v>1</v>
      </c>
      <c r="BJ529" t="n">
        <v>6039.043</v>
      </c>
      <c r="BK529" t="n">
        <v>2070.476695704</v>
      </c>
    </row>
    <row r="530">
      <c r="A530" t="n">
        <v>1943</v>
      </c>
      <c r="B530" t="inlineStr">
        <is>
          <t>01-12-2020</t>
        </is>
      </c>
      <c r="C530" t="n">
        <v>2020</v>
      </c>
      <c r="D530" t="n">
        <v>1</v>
      </c>
      <c r="E530" t="inlineStr">
        <is>
          <t>CAREN</t>
        </is>
      </c>
      <c r="F530" t="inlineStr">
        <is>
          <t>SUM_SAESA_A</t>
        </is>
      </c>
      <c r="G530" t="inlineStr">
        <is>
          <t>A</t>
        </is>
      </c>
      <c r="H530" t="inlineStr">
        <is>
          <t>SAESA</t>
        </is>
      </c>
      <c r="I530" t="inlineStr">
        <is>
          <t>SAESPICHBLOQA</t>
        </is>
      </c>
      <c r="J530" t="inlineStr">
        <is>
          <t>PICHIRROPULLI</t>
        </is>
      </c>
      <c r="K530" t="n">
        <v>-4840.65573045</v>
      </c>
      <c r="L530" t="inlineStr">
        <is>
          <t>PICHIRROPULLI</t>
        </is>
      </c>
      <c r="M530" t="inlineStr">
        <is>
          <t>VALDIVIA</t>
        </is>
      </c>
      <c r="N530" t="n">
        <v>0.40806767195515</v>
      </c>
      <c r="O530" t="n">
        <v>1975.315115</v>
      </c>
      <c r="P530" t="inlineStr">
        <is>
          <t>BS1A</t>
        </is>
      </c>
      <c r="Q530" t="n">
        <v>2</v>
      </c>
      <c r="V530" t="n">
        <v>1472834.063</v>
      </c>
      <c r="W530" t="n">
        <v>2</v>
      </c>
      <c r="X530" t="n">
        <v>8.487e-08</v>
      </c>
      <c r="Y530" t="n">
        <v>0.249999</v>
      </c>
      <c r="Z530" t="n">
        <v>493.826803</v>
      </c>
      <c r="AA530" t="inlineStr">
        <is>
          <t>PNP_6T_08-05-2020</t>
        </is>
      </c>
      <c r="AB530" t="inlineStr">
        <is>
          <t>PNCP_9T_12-08-2019</t>
        </is>
      </c>
      <c r="AC530" t="inlineStr">
        <is>
          <t>PNCP_4T_30-04-2013</t>
        </is>
      </c>
      <c r="AD530" t="inlineStr">
        <is>
          <t>VALDIVIA 220</t>
        </is>
      </c>
      <c r="AE530" t="n">
        <v>111.133</v>
      </c>
      <c r="AF530" t="n">
        <v>1.072776031070834</v>
      </c>
      <c r="AG530" t="n">
        <v>119.220818660995</v>
      </c>
      <c r="AH530" t="n">
        <v>694.38</v>
      </c>
      <c r="AI530" t="n">
        <v>0.875</v>
      </c>
      <c r="AJ530" t="n">
        <v>72.43648305409401</v>
      </c>
      <c r="AK530" t="n">
        <v>0.913</v>
      </c>
      <c r="AL530" t="n">
        <v>66.13500000000001</v>
      </c>
      <c r="AM530" t="n">
        <v>8.9176</v>
      </c>
      <c r="AN530" t="n">
        <v>9.566587534677272</v>
      </c>
      <c r="AO530" t="n">
        <v>0.913</v>
      </c>
      <c r="AP530" t="n">
        <v>6064.919358776563</v>
      </c>
      <c r="AQ530" t="n">
        <v>1.051287819142954</v>
      </c>
      <c r="AR530" t="n">
        <v>6375.9758</v>
      </c>
      <c r="AS530" t="n">
        <v>32659.235616405</v>
      </c>
      <c r="AT530" t="inlineStr">
        <is>
          <t>PNP_16T_02-11-2020</t>
        </is>
      </c>
      <c r="AU530" t="inlineStr">
        <is>
          <t>PNCP_2T_10-02-2020</t>
        </is>
      </c>
      <c r="AV530" t="inlineStr">
        <is>
          <t>PNCP_4T_30-04-2013</t>
        </is>
      </c>
      <c r="AW530" t="inlineStr">
        <is>
          <t>VALDIVIA 220</t>
        </is>
      </c>
      <c r="AX530" t="n">
        <v>111.133</v>
      </c>
      <c r="AY530" t="n">
        <v>1.080821157758461</v>
      </c>
      <c r="AZ530" t="n">
        <v>120.1148977251711</v>
      </c>
      <c r="BA530" t="n">
        <v>779.3099999999999</v>
      </c>
      <c r="BB530" t="n">
        <v>0.879</v>
      </c>
      <c r="BC530" t="n">
        <v>82.2803252917125</v>
      </c>
      <c r="BD530" t="n">
        <v>0.9167</v>
      </c>
      <c r="BE530" t="n">
        <v>75.426</v>
      </c>
      <c r="BF530" t="n">
        <v>8.9176</v>
      </c>
      <c r="BG530" t="n">
        <v>0.804</v>
      </c>
      <c r="BH530" t="n">
        <v>6039.043023599974</v>
      </c>
      <c r="BI530" t="n">
        <v>1.096052187605444</v>
      </c>
      <c r="BJ530" t="n">
        <v>6619.1063</v>
      </c>
      <c r="BK530" t="n">
        <v>37247.380443078</v>
      </c>
    </row>
    <row r="531">
      <c r="A531" t="n">
        <v>1939</v>
      </c>
      <c r="B531" t="inlineStr">
        <is>
          <t>01-12-2020</t>
        </is>
      </c>
      <c r="C531" t="n">
        <v>2020</v>
      </c>
      <c r="D531" t="n">
        <v>1</v>
      </c>
      <c r="E531" t="inlineStr">
        <is>
          <t>CAREN</t>
        </is>
      </c>
      <c r="F531" t="inlineStr">
        <is>
          <t>SUM_SAESA_A</t>
        </is>
      </c>
      <c r="G531" t="inlineStr">
        <is>
          <t>A</t>
        </is>
      </c>
      <c r="H531" t="inlineStr">
        <is>
          <t>SAESA</t>
        </is>
      </c>
      <c r="I531" t="inlineStr">
        <is>
          <t>SAESPIDPBLOQA</t>
        </is>
      </c>
      <c r="J531" t="inlineStr">
        <is>
          <t>PIDPID</t>
        </is>
      </c>
      <c r="K531" t="n">
        <v>-2284.04637601</v>
      </c>
      <c r="L531" t="inlineStr">
        <is>
          <t>PID PID</t>
        </is>
      </c>
      <c r="M531" t="inlineStr">
        <is>
          <t>MELIPULLI</t>
        </is>
      </c>
      <c r="N531" t="n">
        <v>0.79666086463654</v>
      </c>
      <c r="O531" t="n">
        <v>1819.610361</v>
      </c>
      <c r="P531" t="inlineStr">
        <is>
          <t>BS1A</t>
        </is>
      </c>
      <c r="Q531" t="n">
        <v>2</v>
      </c>
      <c r="V531" t="n">
        <v>1472834.063</v>
      </c>
      <c r="W531" t="n">
        <v>2</v>
      </c>
      <c r="X531" t="n">
        <v>8.487e-08</v>
      </c>
      <c r="Y531" t="n">
        <v>0.249999</v>
      </c>
      <c r="Z531" t="n">
        <v>454.900771</v>
      </c>
      <c r="AA531" t="inlineStr">
        <is>
          <t>PNP_6T_08-05-2020</t>
        </is>
      </c>
      <c r="AB531" t="inlineStr">
        <is>
          <t>PNCP_9T_12-08-2019</t>
        </is>
      </c>
      <c r="AC531" t="inlineStr">
        <is>
          <t>PNCP_4T_30-04-2013</t>
        </is>
      </c>
      <c r="AD531" t="inlineStr">
        <is>
          <t>MELIPULLI 220</t>
        </is>
      </c>
      <c r="AE531" t="n">
        <v>111.133</v>
      </c>
      <c r="AF531" t="n">
        <v>1.072776031070834</v>
      </c>
      <c r="AG531" t="n">
        <v>119.220818660995</v>
      </c>
      <c r="AH531" t="n">
        <v>694.38</v>
      </c>
      <c r="AI531" t="n">
        <v>0.875</v>
      </c>
      <c r="AJ531" t="n">
        <v>72.43648305409401</v>
      </c>
      <c r="AK531" t="n">
        <v>0.8826000000000001</v>
      </c>
      <c r="AL531" t="n">
        <v>63.932</v>
      </c>
      <c r="AM531" t="n">
        <v>8.9176</v>
      </c>
      <c r="AN531" t="n">
        <v>9.566587534677272</v>
      </c>
      <c r="AO531" t="n">
        <v>0.913</v>
      </c>
      <c r="AP531" t="n">
        <v>6064.919358776563</v>
      </c>
      <c r="AQ531" t="n">
        <v>1</v>
      </c>
      <c r="AR531" t="n">
        <v>6064.9194</v>
      </c>
      <c r="AS531" t="n">
        <v>29082.716091572</v>
      </c>
      <c r="AT531" t="inlineStr">
        <is>
          <t>PNP_16T_02-11-2020</t>
        </is>
      </c>
      <c r="AU531" t="inlineStr">
        <is>
          <t>PNCP_2T_10-02-2020</t>
        </is>
      </c>
      <c r="AV531" t="inlineStr">
        <is>
          <t>PNCP_4T_30-04-2013</t>
        </is>
      </c>
      <c r="AW531" t="inlineStr">
        <is>
          <t>MELIPULLI 220</t>
        </is>
      </c>
      <c r="AX531" t="n">
        <v>111.133</v>
      </c>
      <c r="AY531" t="n">
        <v>1.080821157758461</v>
      </c>
      <c r="AZ531" t="n">
        <v>120.1148977251711</v>
      </c>
      <c r="BA531" t="n">
        <v>779.3099999999999</v>
      </c>
      <c r="BB531" t="n">
        <v>0.879</v>
      </c>
      <c r="BC531" t="n">
        <v>82.2803252917125</v>
      </c>
      <c r="BD531" t="n">
        <v>0.8421</v>
      </c>
      <c r="BE531" t="n">
        <v>69.288</v>
      </c>
      <c r="BF531" t="n">
        <v>8.9176</v>
      </c>
      <c r="BG531" t="n">
        <v>0.804</v>
      </c>
      <c r="BH531" t="n">
        <v>6039.043023599974</v>
      </c>
      <c r="BI531" t="n">
        <v>1</v>
      </c>
      <c r="BJ531" t="n">
        <v>6039.043</v>
      </c>
      <c r="BK531" t="n">
        <v>31519.164621048</v>
      </c>
    </row>
    <row r="532">
      <c r="A532" t="n">
        <v>1941</v>
      </c>
      <c r="B532" t="inlineStr">
        <is>
          <t>01-12-2020</t>
        </is>
      </c>
      <c r="C532" t="n">
        <v>2020</v>
      </c>
      <c r="D532" t="n">
        <v>1</v>
      </c>
      <c r="E532" t="inlineStr">
        <is>
          <t>CAREN</t>
        </is>
      </c>
      <c r="F532" t="inlineStr">
        <is>
          <t>SUM_SAESA_A</t>
        </is>
      </c>
      <c r="G532" t="inlineStr">
        <is>
          <t>A</t>
        </is>
      </c>
      <c r="H532" t="inlineStr">
        <is>
          <t>SAESA</t>
        </is>
      </c>
      <c r="I532" t="inlineStr">
        <is>
          <t>SAESPIDPBLOQA</t>
        </is>
      </c>
      <c r="J532" t="inlineStr">
        <is>
          <t>PIDPID</t>
        </is>
      </c>
      <c r="K532" t="n">
        <v>-2284.04637601</v>
      </c>
      <c r="L532" t="inlineStr">
        <is>
          <t>PID PID</t>
        </is>
      </c>
      <c r="M532" t="inlineStr">
        <is>
          <t>Puerto Montt</t>
        </is>
      </c>
      <c r="N532" t="n">
        <v>0.94104614890391</v>
      </c>
      <c r="O532" t="n">
        <v>2149.393046</v>
      </c>
      <c r="P532" t="inlineStr">
        <is>
          <t>BS1A</t>
        </is>
      </c>
      <c r="Q532" t="n">
        <v>2</v>
      </c>
      <c r="V532" t="n">
        <v>1472834.063</v>
      </c>
      <c r="W532" t="n">
        <v>2</v>
      </c>
      <c r="X532" t="n">
        <v>8.487e-08</v>
      </c>
      <c r="Y532" t="n">
        <v>0.249999</v>
      </c>
      <c r="Z532" t="n">
        <v>537.3461119999999</v>
      </c>
      <c r="AA532" t="inlineStr">
        <is>
          <t>PNP_6T_08-05-2020</t>
        </is>
      </c>
      <c r="AB532" t="inlineStr">
        <is>
          <t>PNCP_9T_12-08-2019</t>
        </is>
      </c>
      <c r="AC532" t="inlineStr">
        <is>
          <t>PNCP_4T_30-04-2013</t>
        </is>
      </c>
      <c r="AD532" t="inlineStr">
        <is>
          <t>PUERTO MONTT 220</t>
        </is>
      </c>
      <c r="AE532" t="n">
        <v>111.133</v>
      </c>
      <c r="AF532" t="n">
        <v>1.072776031070834</v>
      </c>
      <c r="AG532" t="n">
        <v>119.220818660995</v>
      </c>
      <c r="AH532" t="n">
        <v>694.38</v>
      </c>
      <c r="AI532" t="n">
        <v>0.875</v>
      </c>
      <c r="AJ532" t="n">
        <v>72.43648305409401</v>
      </c>
      <c r="AK532" t="n">
        <v>0.8826000000000001</v>
      </c>
      <c r="AL532" t="n">
        <v>63.932</v>
      </c>
      <c r="AM532" t="n">
        <v>8.9176</v>
      </c>
      <c r="AN532" t="n">
        <v>9.566587534677272</v>
      </c>
      <c r="AO532" t="n">
        <v>0.913</v>
      </c>
      <c r="AP532" t="n">
        <v>6064.919358776563</v>
      </c>
      <c r="AQ532" t="n">
        <v>1.016858412119831</v>
      </c>
      <c r="AR532" t="n">
        <v>6167.1643</v>
      </c>
      <c r="AS532" t="n">
        <v>34353.611632384</v>
      </c>
      <c r="AT532" t="inlineStr">
        <is>
          <t>PNP_16T_02-11-2020</t>
        </is>
      </c>
      <c r="AU532" t="inlineStr">
        <is>
          <t>PNCP_2T_10-02-2020</t>
        </is>
      </c>
      <c r="AV532" t="inlineStr">
        <is>
          <t>PNCP_4T_30-04-2013</t>
        </is>
      </c>
      <c r="AW532" t="inlineStr">
        <is>
          <t>PUERTO MONTT 220</t>
        </is>
      </c>
      <c r="AX532" t="n">
        <v>111.133</v>
      </c>
      <c r="AY532" t="n">
        <v>1.080821157758461</v>
      </c>
      <c r="AZ532" t="n">
        <v>120.1148977251711</v>
      </c>
      <c r="BA532" t="n">
        <v>779.3099999999999</v>
      </c>
      <c r="BB532" t="n">
        <v>0.879</v>
      </c>
      <c r="BC532" t="n">
        <v>82.2803252917125</v>
      </c>
      <c r="BD532" t="n">
        <v>0.8421</v>
      </c>
      <c r="BE532" t="n">
        <v>69.288</v>
      </c>
      <c r="BF532" t="n">
        <v>8.9176</v>
      </c>
      <c r="BG532" t="n">
        <v>0.804</v>
      </c>
      <c r="BH532" t="n">
        <v>6039.043023599974</v>
      </c>
      <c r="BI532" t="n">
        <v>1.02699624102973</v>
      </c>
      <c r="BJ532" t="n">
        <v>6202.0745</v>
      </c>
      <c r="BK532" t="n">
        <v>37231.63740825599</v>
      </c>
    </row>
    <row r="533">
      <c r="A533" t="n">
        <v>1943</v>
      </c>
      <c r="B533" t="inlineStr">
        <is>
          <t>01-12-2020</t>
        </is>
      </c>
      <c r="C533" t="n">
        <v>2020</v>
      </c>
      <c r="D533" t="n">
        <v>1</v>
      </c>
      <c r="E533" t="inlineStr">
        <is>
          <t>CAREN</t>
        </is>
      </c>
      <c r="F533" t="inlineStr">
        <is>
          <t>SUM_SAESA_A</t>
        </is>
      </c>
      <c r="G533" t="inlineStr">
        <is>
          <t>A</t>
        </is>
      </c>
      <c r="H533" t="inlineStr">
        <is>
          <t>SAESA</t>
        </is>
      </c>
      <c r="I533" t="inlineStr">
        <is>
          <t>SAESPIDPBLOQA</t>
        </is>
      </c>
      <c r="J533" t="inlineStr">
        <is>
          <t>PIDPID</t>
        </is>
      </c>
      <c r="K533" t="n">
        <v>-2284.04637601</v>
      </c>
      <c r="L533" t="inlineStr">
        <is>
          <t>PID PID</t>
        </is>
      </c>
      <c r="M533" t="inlineStr">
        <is>
          <t>VALDIVIA</t>
        </is>
      </c>
      <c r="N533" t="n">
        <v>0.00023768314126</v>
      </c>
      <c r="O533" t="n">
        <v>0.542879</v>
      </c>
      <c r="P533" t="inlineStr">
        <is>
          <t>BS1A</t>
        </is>
      </c>
      <c r="Q533" t="n">
        <v>2</v>
      </c>
      <c r="V533" t="n">
        <v>1472834.063</v>
      </c>
      <c r="W533" t="n">
        <v>2</v>
      </c>
      <c r="X533" t="n">
        <v>8.487e-08</v>
      </c>
      <c r="Y533" t="n">
        <v>0.249999</v>
      </c>
      <c r="Z533" t="n">
        <v>0.135719</v>
      </c>
      <c r="AA533" t="inlineStr">
        <is>
          <t>PNP_6T_08-05-2020</t>
        </is>
      </c>
      <c r="AB533" t="inlineStr">
        <is>
          <t>PNCP_9T_12-08-2019</t>
        </is>
      </c>
      <c r="AC533" t="inlineStr">
        <is>
          <t>PNCP_4T_30-04-2013</t>
        </is>
      </c>
      <c r="AD533" t="inlineStr">
        <is>
          <t>VALDIVIA 220</t>
        </is>
      </c>
      <c r="AE533" t="n">
        <v>111.133</v>
      </c>
      <c r="AF533" t="n">
        <v>1.072776031070834</v>
      </c>
      <c r="AG533" t="n">
        <v>119.220818660995</v>
      </c>
      <c r="AH533" t="n">
        <v>694.38</v>
      </c>
      <c r="AI533" t="n">
        <v>0.875</v>
      </c>
      <c r="AJ533" t="n">
        <v>72.43648305409401</v>
      </c>
      <c r="AK533" t="n">
        <v>0.913</v>
      </c>
      <c r="AL533" t="n">
        <v>66.13500000000001</v>
      </c>
      <c r="AM533" t="n">
        <v>8.9176</v>
      </c>
      <c r="AN533" t="n">
        <v>9.566587534677272</v>
      </c>
      <c r="AO533" t="n">
        <v>0.913</v>
      </c>
      <c r="AP533" t="n">
        <v>6064.919358776563</v>
      </c>
      <c r="AQ533" t="n">
        <v>1.051287819142954</v>
      </c>
      <c r="AR533" t="n">
        <v>6375.9758</v>
      </c>
      <c r="AS533" t="n">
        <v>8.975776065000002</v>
      </c>
      <c r="AT533" t="inlineStr">
        <is>
          <t>PNP_16T_02-11-2020</t>
        </is>
      </c>
      <c r="AU533" t="inlineStr">
        <is>
          <t>PNCP_2T_10-02-2020</t>
        </is>
      </c>
      <c r="AV533" t="inlineStr">
        <is>
          <t>PNCP_4T_30-04-2013</t>
        </is>
      </c>
      <c r="AW533" t="inlineStr">
        <is>
          <t>VALDIVIA 220</t>
        </is>
      </c>
      <c r="AX533" t="n">
        <v>111.133</v>
      </c>
      <c r="AY533" t="n">
        <v>1.080821157758461</v>
      </c>
      <c r="AZ533" t="n">
        <v>120.1148977251711</v>
      </c>
      <c r="BA533" t="n">
        <v>779.3099999999999</v>
      </c>
      <c r="BB533" t="n">
        <v>0.879</v>
      </c>
      <c r="BC533" t="n">
        <v>82.2803252917125</v>
      </c>
      <c r="BD533" t="n">
        <v>0.9167</v>
      </c>
      <c r="BE533" t="n">
        <v>75.426</v>
      </c>
      <c r="BF533" t="n">
        <v>8.9176</v>
      </c>
      <c r="BG533" t="n">
        <v>0.804</v>
      </c>
      <c r="BH533" t="n">
        <v>6039.043023599974</v>
      </c>
      <c r="BI533" t="n">
        <v>1.096052187605444</v>
      </c>
      <c r="BJ533" t="n">
        <v>6619.1063</v>
      </c>
      <c r="BK533" t="n">
        <v>10.236741294</v>
      </c>
    </row>
    <row r="534">
      <c r="A534" t="n">
        <v>5776</v>
      </c>
      <c r="B534" t="inlineStr">
        <is>
          <t>01-12-2020</t>
        </is>
      </c>
      <c r="C534" t="n">
        <v>2020</v>
      </c>
      <c r="D534" t="n">
        <v>1</v>
      </c>
      <c r="E534" t="inlineStr">
        <is>
          <t>CAREN</t>
        </is>
      </c>
      <c r="F534" t="inlineStr">
        <is>
          <t>SUM_SAESA_A</t>
        </is>
      </c>
      <c r="G534" t="inlineStr">
        <is>
          <t>A</t>
        </is>
      </c>
      <c r="H534" t="inlineStr">
        <is>
          <t>SAESA</t>
        </is>
      </c>
      <c r="I534" t="inlineStr">
        <is>
          <t>SAESPILMBLOQA</t>
        </is>
      </c>
      <c r="J534" t="inlineStr">
        <is>
          <t>PILMAIQUEN</t>
        </is>
      </c>
      <c r="K534" t="n">
        <v>0</v>
      </c>
      <c r="L534" t="inlineStr">
        <is>
          <t>PILMAIQUEN</t>
        </is>
      </c>
      <c r="M534" t="inlineStr">
        <is>
          <t>Barro Blanco</t>
        </is>
      </c>
      <c r="N534" t="n">
        <v>0.69399012693979</v>
      </c>
      <c r="O534" t="n">
        <v>0</v>
      </c>
      <c r="P534" t="inlineStr">
        <is>
          <t>BS1A</t>
        </is>
      </c>
      <c r="Q534" t="n">
        <v>2</v>
      </c>
      <c r="V534" t="n">
        <v>1472834.063</v>
      </c>
      <c r="W534" t="n">
        <v>2</v>
      </c>
      <c r="X534" t="n">
        <v>8.487e-08</v>
      </c>
      <c r="Y534" t="n">
        <v>0.249999</v>
      </c>
      <c r="Z534" t="n">
        <v>0</v>
      </c>
      <c r="AA534" t="inlineStr">
        <is>
          <t>PNP_6T_08-05-2020</t>
        </is>
      </c>
      <c r="AB534" t="inlineStr">
        <is>
          <t>PNCP_9T_12-08-2019</t>
        </is>
      </c>
      <c r="AC534" t="inlineStr">
        <is>
          <t>PNCP_4T_30-04-2013</t>
        </is>
      </c>
      <c r="AD534" t="inlineStr">
        <is>
          <t>Barro Blanco 220</t>
        </is>
      </c>
      <c r="AE534" t="n">
        <v>111.133</v>
      </c>
      <c r="AF534" t="n">
        <v>1.072776031070834</v>
      </c>
      <c r="AG534" t="n">
        <v>119.220818660995</v>
      </c>
      <c r="AH534" t="n">
        <v>694.38</v>
      </c>
      <c r="AI534" t="n">
        <v>0.875</v>
      </c>
      <c r="AJ534" t="n">
        <v>72.43648305409401</v>
      </c>
      <c r="AK534" t="n">
        <v>0.8631</v>
      </c>
      <c r="AL534" t="n">
        <v>62.52</v>
      </c>
      <c r="AM534" t="n">
        <v>8.9176</v>
      </c>
      <c r="AN534" t="n">
        <v>9.566587534677272</v>
      </c>
      <c r="AO534" t="n">
        <v>0.913</v>
      </c>
      <c r="AP534" t="n">
        <v>6064.919358776563</v>
      </c>
      <c r="AQ534" t="n">
        <v>1.004432825642191</v>
      </c>
      <c r="AR534" t="n">
        <v>6091.8041</v>
      </c>
      <c r="AS534" t="n">
        <v>0</v>
      </c>
      <c r="AT534" t="inlineStr">
        <is>
          <t>PNP_16T_02-11-2020</t>
        </is>
      </c>
      <c r="AU534" t="inlineStr">
        <is>
          <t>PNCP_2T_10-02-2020</t>
        </is>
      </c>
      <c r="AV534" t="inlineStr">
        <is>
          <t>PNCP_4T_30-04-2013</t>
        </is>
      </c>
      <c r="AW534" t="inlineStr">
        <is>
          <t>Barro Blanco 220</t>
        </is>
      </c>
      <c r="AX534" t="n">
        <v>111.133</v>
      </c>
      <c r="AY534" t="n">
        <v>1.080821157758461</v>
      </c>
      <c r="AZ534" t="n">
        <v>120.1148977251711</v>
      </c>
      <c r="BA534" t="n">
        <v>779.3099999999999</v>
      </c>
      <c r="BB534" t="n">
        <v>0.879</v>
      </c>
      <c r="BC534" t="n">
        <v>82.2803252917125</v>
      </c>
      <c r="BD534" t="n">
        <v>0.846</v>
      </c>
      <c r="BE534" t="n">
        <v>69.60899999999999</v>
      </c>
      <c r="BF534" t="n">
        <v>8.9176</v>
      </c>
      <c r="BG534" t="n">
        <v>0.804</v>
      </c>
      <c r="BH534" t="n">
        <v>6039.043023599974</v>
      </c>
      <c r="BI534" t="n">
        <v>1.011820868379177</v>
      </c>
      <c r="BJ534" t="n">
        <v>6110.4298</v>
      </c>
      <c r="BK534" t="n">
        <v>0</v>
      </c>
    </row>
    <row r="535">
      <c r="A535" t="n">
        <v>5778</v>
      </c>
      <c r="B535" t="inlineStr">
        <is>
          <t>01-12-2020</t>
        </is>
      </c>
      <c r="C535" t="n">
        <v>2020</v>
      </c>
      <c r="D535" t="n">
        <v>1</v>
      </c>
      <c r="E535" t="inlineStr">
        <is>
          <t>CAREN</t>
        </is>
      </c>
      <c r="F535" t="inlineStr">
        <is>
          <t>SUM_SAESA_A</t>
        </is>
      </c>
      <c r="G535" t="inlineStr">
        <is>
          <t>A</t>
        </is>
      </c>
      <c r="H535" t="inlineStr">
        <is>
          <t>SAESA</t>
        </is>
      </c>
      <c r="I535" t="inlineStr">
        <is>
          <t>SAESPILMBLOQA</t>
        </is>
      </c>
      <c r="J535" t="inlineStr">
        <is>
          <t>PILMAIQUEN</t>
        </is>
      </c>
      <c r="K535" t="n">
        <v>0</v>
      </c>
      <c r="L535" t="inlineStr">
        <is>
          <t>PILMAIQUEN</t>
        </is>
      </c>
      <c r="M535" t="inlineStr">
        <is>
          <t>MELIPULLI</t>
        </is>
      </c>
      <c r="N535" t="n">
        <v>0.04205368679911</v>
      </c>
      <c r="O535" t="n">
        <v>0</v>
      </c>
      <c r="P535" t="inlineStr">
        <is>
          <t>BS1A</t>
        </is>
      </c>
      <c r="Q535" t="n">
        <v>2</v>
      </c>
      <c r="V535" t="n">
        <v>1472834.063</v>
      </c>
      <c r="W535" t="n">
        <v>2</v>
      </c>
      <c r="X535" t="n">
        <v>8.487e-08</v>
      </c>
      <c r="Y535" t="n">
        <v>0.249999</v>
      </c>
      <c r="Z535" t="n">
        <v>0</v>
      </c>
      <c r="AA535" t="inlineStr">
        <is>
          <t>PNP_6T_08-05-2020</t>
        </is>
      </c>
      <c r="AB535" t="inlineStr">
        <is>
          <t>PNCP_9T_12-08-2019</t>
        </is>
      </c>
      <c r="AC535" t="inlineStr">
        <is>
          <t>PNCP_4T_30-04-2013</t>
        </is>
      </c>
      <c r="AD535" t="inlineStr">
        <is>
          <t>MELIPULLI 220</t>
        </is>
      </c>
      <c r="AE535" t="n">
        <v>111.133</v>
      </c>
      <c r="AF535" t="n">
        <v>1.072776031070834</v>
      </c>
      <c r="AG535" t="n">
        <v>119.220818660995</v>
      </c>
      <c r="AH535" t="n">
        <v>694.38</v>
      </c>
      <c r="AI535" t="n">
        <v>0.875</v>
      </c>
      <c r="AJ535" t="n">
        <v>72.43648305409401</v>
      </c>
      <c r="AK535" t="n">
        <v>0.8826000000000001</v>
      </c>
      <c r="AL535" t="n">
        <v>63.932</v>
      </c>
      <c r="AM535" t="n">
        <v>8.9176</v>
      </c>
      <c r="AN535" t="n">
        <v>9.566587534677272</v>
      </c>
      <c r="AO535" t="n">
        <v>0.913</v>
      </c>
      <c r="AP535" t="n">
        <v>6064.919358776563</v>
      </c>
      <c r="AQ535" t="n">
        <v>1</v>
      </c>
      <c r="AR535" t="n">
        <v>6064.9194</v>
      </c>
      <c r="AS535" t="n">
        <v>0</v>
      </c>
      <c r="AT535" t="inlineStr">
        <is>
          <t>PNP_16T_02-11-2020</t>
        </is>
      </c>
      <c r="AU535" t="inlineStr">
        <is>
          <t>PNCP_2T_10-02-2020</t>
        </is>
      </c>
      <c r="AV535" t="inlineStr">
        <is>
          <t>PNCP_4T_30-04-2013</t>
        </is>
      </c>
      <c r="AW535" t="inlineStr">
        <is>
          <t>MELIPULLI 220</t>
        </is>
      </c>
      <c r="AX535" t="n">
        <v>111.133</v>
      </c>
      <c r="AY535" t="n">
        <v>1.080821157758461</v>
      </c>
      <c r="AZ535" t="n">
        <v>120.1148977251711</v>
      </c>
      <c r="BA535" t="n">
        <v>779.3099999999999</v>
      </c>
      <c r="BB535" t="n">
        <v>0.879</v>
      </c>
      <c r="BC535" t="n">
        <v>82.2803252917125</v>
      </c>
      <c r="BD535" t="n">
        <v>0.8421</v>
      </c>
      <c r="BE535" t="n">
        <v>69.288</v>
      </c>
      <c r="BF535" t="n">
        <v>8.9176</v>
      </c>
      <c r="BG535" t="n">
        <v>0.804</v>
      </c>
      <c r="BH535" t="n">
        <v>6039.043023599974</v>
      </c>
      <c r="BI535" t="n">
        <v>1</v>
      </c>
      <c r="BJ535" t="n">
        <v>6039.043</v>
      </c>
      <c r="BK535" t="n">
        <v>0</v>
      </c>
    </row>
    <row r="536">
      <c r="A536" t="n">
        <v>5780</v>
      </c>
      <c r="B536" t="inlineStr">
        <is>
          <t>01-12-2020</t>
        </is>
      </c>
      <c r="C536" t="n">
        <v>2020</v>
      </c>
      <c r="D536" t="n">
        <v>1</v>
      </c>
      <c r="E536" t="inlineStr">
        <is>
          <t>CAREN</t>
        </is>
      </c>
      <c r="F536" t="inlineStr">
        <is>
          <t>SUM_SAESA_A</t>
        </is>
      </c>
      <c r="G536" t="inlineStr">
        <is>
          <t>A</t>
        </is>
      </c>
      <c r="H536" t="inlineStr">
        <is>
          <t>SAESA</t>
        </is>
      </c>
      <c r="I536" t="inlineStr">
        <is>
          <t>SAESPILMBLOQA</t>
        </is>
      </c>
      <c r="J536" t="inlineStr">
        <is>
          <t>PILMAIQUEN</t>
        </is>
      </c>
      <c r="K536" t="n">
        <v>0</v>
      </c>
      <c r="L536" t="inlineStr">
        <is>
          <t>PILMAIQUEN</t>
        </is>
      </c>
      <c r="M536" t="inlineStr">
        <is>
          <t>VALDIVIA</t>
        </is>
      </c>
      <c r="N536" t="n">
        <v>0.1616700997078</v>
      </c>
      <c r="O536" t="n">
        <v>0</v>
      </c>
      <c r="P536" t="inlineStr">
        <is>
          <t>BS1A</t>
        </is>
      </c>
      <c r="Q536" t="n">
        <v>2</v>
      </c>
      <c r="V536" t="n">
        <v>1472834.063</v>
      </c>
      <c r="W536" t="n">
        <v>2</v>
      </c>
      <c r="X536" t="n">
        <v>8.487e-08</v>
      </c>
      <c r="Y536" t="n">
        <v>0.249999</v>
      </c>
      <c r="Z536" t="n">
        <v>0</v>
      </c>
      <c r="AA536" t="inlineStr">
        <is>
          <t>PNP_6T_08-05-2020</t>
        </is>
      </c>
      <c r="AB536" t="inlineStr">
        <is>
          <t>PNCP_9T_12-08-2019</t>
        </is>
      </c>
      <c r="AC536" t="inlineStr">
        <is>
          <t>PNCP_4T_30-04-2013</t>
        </is>
      </c>
      <c r="AD536" t="inlineStr">
        <is>
          <t>VALDIVIA 220</t>
        </is>
      </c>
      <c r="AE536" t="n">
        <v>111.133</v>
      </c>
      <c r="AF536" t="n">
        <v>1.072776031070834</v>
      </c>
      <c r="AG536" t="n">
        <v>119.220818660995</v>
      </c>
      <c r="AH536" t="n">
        <v>694.38</v>
      </c>
      <c r="AI536" t="n">
        <v>0.875</v>
      </c>
      <c r="AJ536" t="n">
        <v>72.43648305409401</v>
      </c>
      <c r="AK536" t="n">
        <v>0.913</v>
      </c>
      <c r="AL536" t="n">
        <v>66.13500000000001</v>
      </c>
      <c r="AM536" t="n">
        <v>8.9176</v>
      </c>
      <c r="AN536" t="n">
        <v>9.566587534677272</v>
      </c>
      <c r="AO536" t="n">
        <v>0.913</v>
      </c>
      <c r="AP536" t="n">
        <v>6064.919358776563</v>
      </c>
      <c r="AQ536" t="n">
        <v>1.051287819142954</v>
      </c>
      <c r="AR536" t="n">
        <v>6375.9758</v>
      </c>
      <c r="AS536" t="n">
        <v>0</v>
      </c>
      <c r="AT536" t="inlineStr">
        <is>
          <t>PNP_16T_02-11-2020</t>
        </is>
      </c>
      <c r="AU536" t="inlineStr">
        <is>
          <t>PNCP_2T_10-02-2020</t>
        </is>
      </c>
      <c r="AV536" t="inlineStr">
        <is>
          <t>PNCP_4T_30-04-2013</t>
        </is>
      </c>
      <c r="AW536" t="inlineStr">
        <is>
          <t>VALDIVIA 220</t>
        </is>
      </c>
      <c r="AX536" t="n">
        <v>111.133</v>
      </c>
      <c r="AY536" t="n">
        <v>1.080821157758461</v>
      </c>
      <c r="AZ536" t="n">
        <v>120.1148977251711</v>
      </c>
      <c r="BA536" t="n">
        <v>779.3099999999999</v>
      </c>
      <c r="BB536" t="n">
        <v>0.879</v>
      </c>
      <c r="BC536" t="n">
        <v>82.2803252917125</v>
      </c>
      <c r="BD536" t="n">
        <v>0.9167</v>
      </c>
      <c r="BE536" t="n">
        <v>75.426</v>
      </c>
      <c r="BF536" t="n">
        <v>8.9176</v>
      </c>
      <c r="BG536" t="n">
        <v>0.804</v>
      </c>
      <c r="BH536" t="n">
        <v>6039.043023599974</v>
      </c>
      <c r="BI536" t="n">
        <v>1.096052187605444</v>
      </c>
      <c r="BJ536" t="n">
        <v>6619.1063</v>
      </c>
      <c r="BK536" t="n">
        <v>0</v>
      </c>
    </row>
    <row r="537">
      <c r="A537" t="n">
        <v>1939</v>
      </c>
      <c r="B537" t="inlineStr">
        <is>
          <t>01-12-2020</t>
        </is>
      </c>
      <c r="C537" t="n">
        <v>2020</v>
      </c>
      <c r="D537" t="n">
        <v>1</v>
      </c>
      <c r="E537" t="inlineStr">
        <is>
          <t>CAREN</t>
        </is>
      </c>
      <c r="F537" t="inlineStr">
        <is>
          <t>SUM_SAESA_A</t>
        </is>
      </c>
      <c r="G537" t="inlineStr">
        <is>
          <t>A</t>
        </is>
      </c>
      <c r="H537" t="inlineStr">
        <is>
          <t>SAESA</t>
        </is>
      </c>
      <c r="I537" t="inlineStr">
        <is>
          <t>SAESPULLBLOQA</t>
        </is>
      </c>
      <c r="J537" t="inlineStr">
        <is>
          <t>PULLINQUE</t>
        </is>
      </c>
      <c r="K537" t="n">
        <v>-1860.72383796</v>
      </c>
      <c r="L537" t="inlineStr">
        <is>
          <t>PULLINQUE</t>
        </is>
      </c>
      <c r="M537" t="inlineStr">
        <is>
          <t>BARRO BLANCO</t>
        </is>
      </c>
      <c r="N537" t="n">
        <v>0.23546265219545</v>
      </c>
      <c r="O537" t="n">
        <v>438.13097</v>
      </c>
      <c r="P537" t="inlineStr">
        <is>
          <t>BS1A</t>
        </is>
      </c>
      <c r="Q537" t="n">
        <v>2</v>
      </c>
      <c r="V537" t="n">
        <v>1472834.063</v>
      </c>
      <c r="W537" t="n">
        <v>2</v>
      </c>
      <c r="X537" t="n">
        <v>8.487e-08</v>
      </c>
      <c r="Y537" t="n">
        <v>0.249999</v>
      </c>
      <c r="Z537" t="n">
        <v>109.532304</v>
      </c>
      <c r="AA537" t="inlineStr">
        <is>
          <t>PNP_6T_08-05-2020</t>
        </is>
      </c>
      <c r="AB537" t="inlineStr">
        <is>
          <t>PNCP_9T_12-08-2019</t>
        </is>
      </c>
      <c r="AC537" t="inlineStr">
        <is>
          <t>PNCP_4T_30-04-2013</t>
        </is>
      </c>
      <c r="AD537" t="inlineStr">
        <is>
          <t>Barro Blanco 220</t>
        </is>
      </c>
      <c r="AE537" t="n">
        <v>111.133</v>
      </c>
      <c r="AF537" t="n">
        <v>1.072776031070834</v>
      </c>
      <c r="AG537" t="n">
        <v>119.220818660995</v>
      </c>
      <c r="AH537" t="n">
        <v>694.38</v>
      </c>
      <c r="AI537" t="n">
        <v>0.875</v>
      </c>
      <c r="AJ537" t="n">
        <v>72.43648305409401</v>
      </c>
      <c r="AK537" t="n">
        <v>0.8631</v>
      </c>
      <c r="AL537" t="n">
        <v>62.52</v>
      </c>
      <c r="AM537" t="n">
        <v>8.9176</v>
      </c>
      <c r="AN537" t="n">
        <v>9.566587534677272</v>
      </c>
      <c r="AO537" t="n">
        <v>0.913</v>
      </c>
      <c r="AP537" t="n">
        <v>6064.919358776563</v>
      </c>
      <c r="AQ537" t="n">
        <v>1.004432825642191</v>
      </c>
      <c r="AR537" t="n">
        <v>6091.8041</v>
      </c>
      <c r="AS537" t="n">
        <v>6847.95964608</v>
      </c>
      <c r="AT537" t="inlineStr">
        <is>
          <t>PNP_16T_02-11-2020</t>
        </is>
      </c>
      <c r="AU537" t="inlineStr">
        <is>
          <t>PNCP_2T_10-02-2020</t>
        </is>
      </c>
      <c r="AV537" t="inlineStr">
        <is>
          <t>PNCP_4T_30-04-2013</t>
        </is>
      </c>
      <c r="AW537" t="inlineStr">
        <is>
          <t>Barro Blanco 220</t>
        </is>
      </c>
      <c r="AX537" t="n">
        <v>111.133</v>
      </c>
      <c r="AY537" t="n">
        <v>1.080821157758461</v>
      </c>
      <c r="AZ537" t="n">
        <v>120.1148977251711</v>
      </c>
      <c r="BA537" t="n">
        <v>779.3099999999999</v>
      </c>
      <c r="BB537" t="n">
        <v>0.879</v>
      </c>
      <c r="BC537" t="n">
        <v>82.2803252917125</v>
      </c>
      <c r="BD537" t="n">
        <v>0.846</v>
      </c>
      <c r="BE537" t="n">
        <v>69.60899999999999</v>
      </c>
      <c r="BF537" t="n">
        <v>8.9176</v>
      </c>
      <c r="BG537" t="n">
        <v>0.804</v>
      </c>
      <c r="BH537" t="n">
        <v>6039.043023599974</v>
      </c>
      <c r="BI537" t="n">
        <v>1.011820868379177</v>
      </c>
      <c r="BJ537" t="n">
        <v>6110.4298</v>
      </c>
      <c r="BK537" t="n">
        <v>7624.434149135999</v>
      </c>
    </row>
    <row r="538">
      <c r="A538" t="n">
        <v>1941</v>
      </c>
      <c r="B538" t="inlineStr">
        <is>
          <t>01-12-2020</t>
        </is>
      </c>
      <c r="C538" t="n">
        <v>2020</v>
      </c>
      <c r="D538" t="n">
        <v>1</v>
      </c>
      <c r="E538" t="inlineStr">
        <is>
          <t>CAREN</t>
        </is>
      </c>
      <c r="F538" t="inlineStr">
        <is>
          <t>SUM_SAESA_A</t>
        </is>
      </c>
      <c r="G538" t="inlineStr">
        <is>
          <t>A</t>
        </is>
      </c>
      <c r="H538" t="inlineStr">
        <is>
          <t>SAESA</t>
        </is>
      </c>
      <c r="I538" t="inlineStr">
        <is>
          <t>SAESPULLBLOQA</t>
        </is>
      </c>
      <c r="J538" t="inlineStr">
        <is>
          <t>PULLINQUE</t>
        </is>
      </c>
      <c r="K538" t="n">
        <v>-1860.72383796</v>
      </c>
      <c r="L538" t="inlineStr">
        <is>
          <t>PULLINQUE</t>
        </is>
      </c>
      <c r="M538" t="inlineStr">
        <is>
          <t>MELIPULLI</t>
        </is>
      </c>
      <c r="N538" t="n">
        <v>0.00896854569047</v>
      </c>
      <c r="O538" t="n">
        <v>16.687987</v>
      </c>
      <c r="P538" t="inlineStr">
        <is>
          <t>BS1A</t>
        </is>
      </c>
      <c r="Q538" t="n">
        <v>2</v>
      </c>
      <c r="V538" t="n">
        <v>1472834.063</v>
      </c>
      <c r="W538" t="n">
        <v>2</v>
      </c>
      <c r="X538" t="n">
        <v>8.487e-08</v>
      </c>
      <c r="Y538" t="n">
        <v>0.249999</v>
      </c>
      <c r="Z538" t="n">
        <v>4.17198</v>
      </c>
      <c r="AA538" t="inlineStr">
        <is>
          <t>PNP_6T_08-05-2020</t>
        </is>
      </c>
      <c r="AB538" t="inlineStr">
        <is>
          <t>PNCP_9T_12-08-2019</t>
        </is>
      </c>
      <c r="AC538" t="inlineStr">
        <is>
          <t>PNCP_4T_30-04-2013</t>
        </is>
      </c>
      <c r="AD538" t="inlineStr">
        <is>
          <t>MELIPULLI 220</t>
        </is>
      </c>
      <c r="AE538" t="n">
        <v>111.133</v>
      </c>
      <c r="AF538" t="n">
        <v>1.072776031070834</v>
      </c>
      <c r="AG538" t="n">
        <v>119.220818660995</v>
      </c>
      <c r="AH538" t="n">
        <v>694.38</v>
      </c>
      <c r="AI538" t="n">
        <v>0.875</v>
      </c>
      <c r="AJ538" t="n">
        <v>72.43648305409401</v>
      </c>
      <c r="AK538" t="n">
        <v>0.8826000000000001</v>
      </c>
      <c r="AL538" t="n">
        <v>63.932</v>
      </c>
      <c r="AM538" t="n">
        <v>8.9176</v>
      </c>
      <c r="AN538" t="n">
        <v>9.566587534677272</v>
      </c>
      <c r="AO538" t="n">
        <v>0.913</v>
      </c>
      <c r="AP538" t="n">
        <v>6064.919358776563</v>
      </c>
      <c r="AQ538" t="n">
        <v>1</v>
      </c>
      <c r="AR538" t="n">
        <v>6064.9194</v>
      </c>
      <c r="AS538" t="n">
        <v>266.72302536</v>
      </c>
      <c r="AT538" t="inlineStr">
        <is>
          <t>PNP_16T_02-11-2020</t>
        </is>
      </c>
      <c r="AU538" t="inlineStr">
        <is>
          <t>PNCP_2T_10-02-2020</t>
        </is>
      </c>
      <c r="AV538" t="inlineStr">
        <is>
          <t>PNCP_4T_30-04-2013</t>
        </is>
      </c>
      <c r="AW538" t="inlineStr">
        <is>
          <t>MELIPULLI 220</t>
        </is>
      </c>
      <c r="AX538" t="n">
        <v>111.133</v>
      </c>
      <c r="AY538" t="n">
        <v>1.080821157758461</v>
      </c>
      <c r="AZ538" t="n">
        <v>120.1148977251711</v>
      </c>
      <c r="BA538" t="n">
        <v>779.3099999999999</v>
      </c>
      <c r="BB538" t="n">
        <v>0.879</v>
      </c>
      <c r="BC538" t="n">
        <v>82.2803252917125</v>
      </c>
      <c r="BD538" t="n">
        <v>0.8421</v>
      </c>
      <c r="BE538" t="n">
        <v>69.288</v>
      </c>
      <c r="BF538" t="n">
        <v>8.9176</v>
      </c>
      <c r="BG538" t="n">
        <v>0.804</v>
      </c>
      <c r="BH538" t="n">
        <v>6039.043023599974</v>
      </c>
      <c r="BI538" t="n">
        <v>1</v>
      </c>
      <c r="BJ538" t="n">
        <v>6039.043</v>
      </c>
      <c r="BK538" t="n">
        <v>289.06815024</v>
      </c>
    </row>
    <row r="539">
      <c r="A539" t="n">
        <v>1943</v>
      </c>
      <c r="B539" t="inlineStr">
        <is>
          <t>01-12-2020</t>
        </is>
      </c>
      <c r="C539" t="n">
        <v>2020</v>
      </c>
      <c r="D539" t="n">
        <v>1</v>
      </c>
      <c r="E539" t="inlineStr">
        <is>
          <t>CAREN</t>
        </is>
      </c>
      <c r="F539" t="inlineStr">
        <is>
          <t>SUM_SAESA_A</t>
        </is>
      </c>
      <c r="G539" t="inlineStr">
        <is>
          <t>A</t>
        </is>
      </c>
      <c r="H539" t="inlineStr">
        <is>
          <t>SAESA</t>
        </is>
      </c>
      <c r="I539" t="inlineStr">
        <is>
          <t>SAESPULLBLOQA</t>
        </is>
      </c>
      <c r="J539" t="inlineStr">
        <is>
          <t>PULLINQUE</t>
        </is>
      </c>
      <c r="K539" t="n">
        <v>-1860.72383796</v>
      </c>
      <c r="L539" t="inlineStr">
        <is>
          <t>PULLINQUE</t>
        </is>
      </c>
      <c r="M539" t="inlineStr">
        <is>
          <t>VALDIVIA</t>
        </is>
      </c>
      <c r="N539" t="n">
        <v>0.62227344127398</v>
      </c>
      <c r="O539" t="n">
        <v>1157.879026</v>
      </c>
      <c r="P539" t="inlineStr">
        <is>
          <t>BS1A</t>
        </is>
      </c>
      <c r="Q539" t="n">
        <v>2</v>
      </c>
      <c r="V539" t="n">
        <v>1472834.063</v>
      </c>
      <c r="W539" t="n">
        <v>2</v>
      </c>
      <c r="X539" t="n">
        <v>8.487e-08</v>
      </c>
      <c r="Y539" t="n">
        <v>0.249999</v>
      </c>
      <c r="Z539" t="n">
        <v>289.468599</v>
      </c>
      <c r="AA539" t="inlineStr">
        <is>
          <t>PNP_6T_08-05-2020</t>
        </is>
      </c>
      <c r="AB539" t="inlineStr">
        <is>
          <t>PNCP_9T_12-08-2019</t>
        </is>
      </c>
      <c r="AC539" t="inlineStr">
        <is>
          <t>PNCP_4T_30-04-2013</t>
        </is>
      </c>
      <c r="AD539" t="inlineStr">
        <is>
          <t>VALDIVIA 220</t>
        </is>
      </c>
      <c r="AE539" t="n">
        <v>111.133</v>
      </c>
      <c r="AF539" t="n">
        <v>1.072776031070834</v>
      </c>
      <c r="AG539" t="n">
        <v>119.220818660995</v>
      </c>
      <c r="AH539" t="n">
        <v>694.38</v>
      </c>
      <c r="AI539" t="n">
        <v>0.875</v>
      </c>
      <c r="AJ539" t="n">
        <v>72.43648305409401</v>
      </c>
      <c r="AK539" t="n">
        <v>0.913</v>
      </c>
      <c r="AL539" t="n">
        <v>66.13500000000001</v>
      </c>
      <c r="AM539" t="n">
        <v>8.9176</v>
      </c>
      <c r="AN539" t="n">
        <v>9.566587534677272</v>
      </c>
      <c r="AO539" t="n">
        <v>0.913</v>
      </c>
      <c r="AP539" t="n">
        <v>6064.919358776563</v>
      </c>
      <c r="AQ539" t="n">
        <v>1.051287819142954</v>
      </c>
      <c r="AR539" t="n">
        <v>6375.9758</v>
      </c>
      <c r="AS539" t="n">
        <v>19144.005794865</v>
      </c>
      <c r="AT539" t="inlineStr">
        <is>
          <t>PNP_16T_02-11-2020</t>
        </is>
      </c>
      <c r="AU539" t="inlineStr">
        <is>
          <t>PNCP_2T_10-02-2020</t>
        </is>
      </c>
      <c r="AV539" t="inlineStr">
        <is>
          <t>PNCP_4T_30-04-2013</t>
        </is>
      </c>
      <c r="AW539" t="inlineStr">
        <is>
          <t>VALDIVIA 220</t>
        </is>
      </c>
      <c r="AX539" t="n">
        <v>111.133</v>
      </c>
      <c r="AY539" t="n">
        <v>1.080821157758461</v>
      </c>
      <c r="AZ539" t="n">
        <v>120.1148977251711</v>
      </c>
      <c r="BA539" t="n">
        <v>779.3099999999999</v>
      </c>
      <c r="BB539" t="n">
        <v>0.879</v>
      </c>
      <c r="BC539" t="n">
        <v>82.2803252917125</v>
      </c>
      <c r="BD539" t="n">
        <v>0.9167</v>
      </c>
      <c r="BE539" t="n">
        <v>75.426</v>
      </c>
      <c r="BF539" t="n">
        <v>8.9176</v>
      </c>
      <c r="BG539" t="n">
        <v>0.804</v>
      </c>
      <c r="BH539" t="n">
        <v>6039.043023599974</v>
      </c>
      <c r="BI539" t="n">
        <v>1.096052187605444</v>
      </c>
      <c r="BJ539" t="n">
        <v>6619.1063</v>
      </c>
      <c r="BK539" t="n">
        <v>21833.458548174</v>
      </c>
    </row>
    <row r="540">
      <c r="A540" t="n">
        <v>5193</v>
      </c>
      <c r="B540" t="inlineStr">
        <is>
          <t>01-12-2020</t>
        </is>
      </c>
      <c r="C540" t="n">
        <v>2020</v>
      </c>
      <c r="D540" t="n">
        <v>1</v>
      </c>
      <c r="E540" t="inlineStr">
        <is>
          <t>CAREN</t>
        </is>
      </c>
      <c r="F540" t="inlineStr">
        <is>
          <t>SUM_SAESA_A</t>
        </is>
      </c>
      <c r="G540" t="inlineStr">
        <is>
          <t>A</t>
        </is>
      </c>
      <c r="H540" t="inlineStr">
        <is>
          <t>SAESA</t>
        </is>
      </c>
      <c r="I540" t="inlineStr">
        <is>
          <t>SAESPURRBLOQA</t>
        </is>
      </c>
      <c r="J540" t="inlineStr">
        <is>
          <t>PURRANQUE</t>
        </is>
      </c>
      <c r="K540" t="n">
        <v>-2835.6574782</v>
      </c>
      <c r="L540" t="inlineStr">
        <is>
          <t>PURRANQUE</t>
        </is>
      </c>
      <c r="M540" t="inlineStr">
        <is>
          <t>BARRO BLANCO</t>
        </is>
      </c>
      <c r="N540" t="n">
        <v>0.47210809734302</v>
      </c>
      <c r="O540" t="n">
        <v>1338.736857</v>
      </c>
      <c r="P540" t="inlineStr">
        <is>
          <t>BS1A</t>
        </is>
      </c>
      <c r="Q540" t="n">
        <v>2</v>
      </c>
      <c r="V540" t="n">
        <v>1472834.063</v>
      </c>
      <c r="W540" t="n">
        <v>2</v>
      </c>
      <c r="X540" t="n">
        <v>8.487e-08</v>
      </c>
      <c r="Y540" t="n">
        <v>0.249999</v>
      </c>
      <c r="Z540" t="n">
        <v>334.682876</v>
      </c>
      <c r="AA540" t="inlineStr">
        <is>
          <t>PNP_6T_08-05-2020</t>
        </is>
      </c>
      <c r="AB540" t="inlineStr">
        <is>
          <t>PNCP_9T_12-08-2019</t>
        </is>
      </c>
      <c r="AC540" t="inlineStr">
        <is>
          <t>PNCP_4T_30-04-2013</t>
        </is>
      </c>
      <c r="AD540" t="inlineStr">
        <is>
          <t>Barro Blanco 220</t>
        </is>
      </c>
      <c r="AE540" t="n">
        <v>111.133</v>
      </c>
      <c r="AF540" t="n">
        <v>1.072776031070834</v>
      </c>
      <c r="AG540" t="n">
        <v>119.220818660995</v>
      </c>
      <c r="AH540" t="n">
        <v>694.38</v>
      </c>
      <c r="AI540" t="n">
        <v>0.875</v>
      </c>
      <c r="AJ540" t="n">
        <v>72.43648305409401</v>
      </c>
      <c r="AK540" t="n">
        <v>0.8631</v>
      </c>
      <c r="AL540" t="n">
        <v>62.52</v>
      </c>
      <c r="AM540" t="n">
        <v>8.9176</v>
      </c>
      <c r="AN540" t="n">
        <v>9.566587534677272</v>
      </c>
      <c r="AO540" t="n">
        <v>0.913</v>
      </c>
      <c r="AP540" t="n">
        <v>6064.919358776563</v>
      </c>
      <c r="AQ540" t="n">
        <v>1.004432825642191</v>
      </c>
      <c r="AR540" t="n">
        <v>6091.8041</v>
      </c>
      <c r="AS540" t="n">
        <v>20924.37340752</v>
      </c>
      <c r="AT540" t="inlineStr">
        <is>
          <t>PNP_16T_02-11-2020</t>
        </is>
      </c>
      <c r="AU540" t="inlineStr">
        <is>
          <t>PNCP_2T_10-02-2020</t>
        </is>
      </c>
      <c r="AV540" t="inlineStr">
        <is>
          <t>PNCP_4T_30-04-2013</t>
        </is>
      </c>
      <c r="AW540" t="inlineStr">
        <is>
          <t>Barro Blanco 220</t>
        </is>
      </c>
      <c r="AX540" t="n">
        <v>111.133</v>
      </c>
      <c r="AY540" t="n">
        <v>1.080821157758461</v>
      </c>
      <c r="AZ540" t="n">
        <v>120.1148977251711</v>
      </c>
      <c r="BA540" t="n">
        <v>779.3099999999999</v>
      </c>
      <c r="BB540" t="n">
        <v>0.879</v>
      </c>
      <c r="BC540" t="n">
        <v>82.2803252917125</v>
      </c>
      <c r="BD540" t="n">
        <v>0.846</v>
      </c>
      <c r="BE540" t="n">
        <v>69.60899999999999</v>
      </c>
      <c r="BF540" t="n">
        <v>8.9176</v>
      </c>
      <c r="BG540" t="n">
        <v>0.804</v>
      </c>
      <c r="BH540" t="n">
        <v>6039.043023599974</v>
      </c>
      <c r="BI540" t="n">
        <v>1.011820868379177</v>
      </c>
      <c r="BJ540" t="n">
        <v>6110.4298</v>
      </c>
      <c r="BK540" t="n">
        <v>23296.940315484</v>
      </c>
    </row>
    <row r="541">
      <c r="A541" t="n">
        <v>5195</v>
      </c>
      <c r="B541" t="inlineStr">
        <is>
          <t>01-12-2020</t>
        </is>
      </c>
      <c r="C541" t="n">
        <v>2020</v>
      </c>
      <c r="D541" t="n">
        <v>1</v>
      </c>
      <c r="E541" t="inlineStr">
        <is>
          <t>CAREN</t>
        </is>
      </c>
      <c r="F541" t="inlineStr">
        <is>
          <t>SUM_SAESA_A</t>
        </is>
      </c>
      <c r="G541" t="inlineStr">
        <is>
          <t>A</t>
        </is>
      </c>
      <c r="H541" t="inlineStr">
        <is>
          <t>SAESA</t>
        </is>
      </c>
      <c r="I541" t="inlineStr">
        <is>
          <t>SAESPURRBLOQA</t>
        </is>
      </c>
      <c r="J541" t="inlineStr">
        <is>
          <t>PURRANQUE</t>
        </is>
      </c>
      <c r="K541" t="n">
        <v>-2835.6574782</v>
      </c>
      <c r="L541" t="inlineStr">
        <is>
          <t>PURRANQUE</t>
        </is>
      </c>
      <c r="M541" t="inlineStr">
        <is>
          <t>MELIPULLI</t>
        </is>
      </c>
      <c r="N541" t="n">
        <v>0.4174959870602</v>
      </c>
      <c r="O541" t="n">
        <v>1183.875618</v>
      </c>
      <c r="P541" t="inlineStr">
        <is>
          <t>BS1A</t>
        </is>
      </c>
      <c r="Q541" t="n">
        <v>2</v>
      </c>
      <c r="V541" t="n">
        <v>1472834.063</v>
      </c>
      <c r="W541" t="n">
        <v>2</v>
      </c>
      <c r="X541" t="n">
        <v>8.487e-08</v>
      </c>
      <c r="Y541" t="n">
        <v>0.249999</v>
      </c>
      <c r="Z541" t="n">
        <v>295.967721</v>
      </c>
      <c r="AA541" t="inlineStr">
        <is>
          <t>PNP_6T_08-05-2020</t>
        </is>
      </c>
      <c r="AB541" t="inlineStr">
        <is>
          <t>PNCP_9T_12-08-2019</t>
        </is>
      </c>
      <c r="AC541" t="inlineStr">
        <is>
          <t>PNCP_4T_30-04-2013</t>
        </is>
      </c>
      <c r="AD541" t="inlineStr">
        <is>
          <t>MELIPULLI 220</t>
        </is>
      </c>
      <c r="AE541" t="n">
        <v>111.133</v>
      </c>
      <c r="AF541" t="n">
        <v>1.072776031070834</v>
      </c>
      <c r="AG541" t="n">
        <v>119.220818660995</v>
      </c>
      <c r="AH541" t="n">
        <v>694.38</v>
      </c>
      <c r="AI541" t="n">
        <v>0.875</v>
      </c>
      <c r="AJ541" t="n">
        <v>72.43648305409401</v>
      </c>
      <c r="AK541" t="n">
        <v>0.8826000000000001</v>
      </c>
      <c r="AL541" t="n">
        <v>63.932</v>
      </c>
      <c r="AM541" t="n">
        <v>8.9176</v>
      </c>
      <c r="AN541" t="n">
        <v>9.566587534677272</v>
      </c>
      <c r="AO541" t="n">
        <v>0.913</v>
      </c>
      <c r="AP541" t="n">
        <v>6064.919358776563</v>
      </c>
      <c r="AQ541" t="n">
        <v>1</v>
      </c>
      <c r="AR541" t="n">
        <v>6064.9194</v>
      </c>
      <c r="AS541" t="n">
        <v>18921.808338972</v>
      </c>
      <c r="AT541" t="inlineStr">
        <is>
          <t>PNP_16T_02-11-2020</t>
        </is>
      </c>
      <c r="AU541" t="inlineStr">
        <is>
          <t>PNCP_2T_10-02-2020</t>
        </is>
      </c>
      <c r="AV541" t="inlineStr">
        <is>
          <t>PNCP_4T_30-04-2013</t>
        </is>
      </c>
      <c r="AW541" t="inlineStr">
        <is>
          <t>MELIPULLI 220</t>
        </is>
      </c>
      <c r="AX541" t="n">
        <v>111.133</v>
      </c>
      <c r="AY541" t="n">
        <v>1.080821157758461</v>
      </c>
      <c r="AZ541" t="n">
        <v>120.1148977251711</v>
      </c>
      <c r="BA541" t="n">
        <v>779.3099999999999</v>
      </c>
      <c r="BB541" t="n">
        <v>0.879</v>
      </c>
      <c r="BC541" t="n">
        <v>82.2803252917125</v>
      </c>
      <c r="BD541" t="n">
        <v>0.8421</v>
      </c>
      <c r="BE541" t="n">
        <v>69.288</v>
      </c>
      <c r="BF541" t="n">
        <v>8.9176</v>
      </c>
      <c r="BG541" t="n">
        <v>0.804</v>
      </c>
      <c r="BH541" t="n">
        <v>6039.043023599974</v>
      </c>
      <c r="BI541" t="n">
        <v>1</v>
      </c>
      <c r="BJ541" t="n">
        <v>6039.043</v>
      </c>
      <c r="BK541" t="n">
        <v>20507.011452648</v>
      </c>
    </row>
    <row r="542">
      <c r="A542" t="n">
        <v>5197</v>
      </c>
      <c r="B542" t="inlineStr">
        <is>
          <t>01-12-2020</t>
        </is>
      </c>
      <c r="C542" t="n">
        <v>2020</v>
      </c>
      <c r="D542" t="n">
        <v>1</v>
      </c>
      <c r="E542" t="inlineStr">
        <is>
          <t>CAREN</t>
        </is>
      </c>
      <c r="F542" t="inlineStr">
        <is>
          <t>SUM_SAESA_A</t>
        </is>
      </c>
      <c r="G542" t="inlineStr">
        <is>
          <t>A</t>
        </is>
      </c>
      <c r="H542" t="inlineStr">
        <is>
          <t>SAESA</t>
        </is>
      </c>
      <c r="I542" t="inlineStr">
        <is>
          <t>SAESPURRBLOQA</t>
        </is>
      </c>
      <c r="J542" t="inlineStr">
        <is>
          <t>PURRANQUE</t>
        </is>
      </c>
      <c r="K542" t="n">
        <v>-2835.6574782</v>
      </c>
      <c r="L542" t="inlineStr">
        <is>
          <t>PURRANQUE</t>
        </is>
      </c>
      <c r="M542" t="inlineStr">
        <is>
          <t>Puerto Montt</t>
        </is>
      </c>
      <c r="N542" t="n">
        <v>0.50813692662399</v>
      </c>
      <c r="O542" t="n">
        <v>1440.902276</v>
      </c>
      <c r="P542" t="inlineStr">
        <is>
          <t>BS1A</t>
        </is>
      </c>
      <c r="Q542" t="n">
        <v>2</v>
      </c>
      <c r="V542" t="n">
        <v>1472834.063</v>
      </c>
      <c r="W542" t="n">
        <v>2</v>
      </c>
      <c r="X542" t="n">
        <v>8.487e-08</v>
      </c>
      <c r="Y542" t="n">
        <v>0.249999</v>
      </c>
      <c r="Z542" t="n">
        <v>360.224128</v>
      </c>
      <c r="AA542" t="inlineStr">
        <is>
          <t>PNP_6T_08-05-2020</t>
        </is>
      </c>
      <c r="AB542" t="inlineStr">
        <is>
          <t>PNCP_9T_12-08-2019</t>
        </is>
      </c>
      <c r="AC542" t="inlineStr">
        <is>
          <t>PNCP_4T_30-04-2013</t>
        </is>
      </c>
      <c r="AD542" t="inlineStr">
        <is>
          <t>PUERTO MONTT 220</t>
        </is>
      </c>
      <c r="AE542" t="n">
        <v>111.133</v>
      </c>
      <c r="AF542" t="n">
        <v>1.072776031070834</v>
      </c>
      <c r="AG542" t="n">
        <v>119.220818660995</v>
      </c>
      <c r="AH542" t="n">
        <v>694.38</v>
      </c>
      <c r="AI542" t="n">
        <v>0.875</v>
      </c>
      <c r="AJ542" t="n">
        <v>72.43648305409401</v>
      </c>
      <c r="AK542" t="n">
        <v>0.8826000000000001</v>
      </c>
      <c r="AL542" t="n">
        <v>63.932</v>
      </c>
      <c r="AM542" t="n">
        <v>8.9176</v>
      </c>
      <c r="AN542" t="n">
        <v>9.566587534677272</v>
      </c>
      <c r="AO542" t="n">
        <v>0.913</v>
      </c>
      <c r="AP542" t="n">
        <v>6064.919358776563</v>
      </c>
      <c r="AQ542" t="n">
        <v>1.016858412119831</v>
      </c>
      <c r="AR542" t="n">
        <v>6167.1643</v>
      </c>
      <c r="AS542" t="n">
        <v>23029.848951296</v>
      </c>
      <c r="AT542" t="inlineStr">
        <is>
          <t>PNP_16T_02-11-2020</t>
        </is>
      </c>
      <c r="AU542" t="inlineStr">
        <is>
          <t>PNCP_2T_10-02-2020</t>
        </is>
      </c>
      <c r="AV542" t="inlineStr">
        <is>
          <t>PNCP_4T_30-04-2013</t>
        </is>
      </c>
      <c r="AW542" t="inlineStr">
        <is>
          <t>PUERTO MONTT 220</t>
        </is>
      </c>
      <c r="AX542" t="n">
        <v>111.133</v>
      </c>
      <c r="AY542" t="n">
        <v>1.080821157758461</v>
      </c>
      <c r="AZ542" t="n">
        <v>120.1148977251711</v>
      </c>
      <c r="BA542" t="n">
        <v>779.3099999999999</v>
      </c>
      <c r="BB542" t="n">
        <v>0.879</v>
      </c>
      <c r="BC542" t="n">
        <v>82.2803252917125</v>
      </c>
      <c r="BD542" t="n">
        <v>0.8421</v>
      </c>
      <c r="BE542" t="n">
        <v>69.288</v>
      </c>
      <c r="BF542" t="n">
        <v>8.9176</v>
      </c>
      <c r="BG542" t="n">
        <v>0.804</v>
      </c>
      <c r="BH542" t="n">
        <v>6039.043023599974</v>
      </c>
      <c r="BI542" t="n">
        <v>1.02699624102973</v>
      </c>
      <c r="BJ542" t="n">
        <v>6202.0745</v>
      </c>
      <c r="BK542" t="n">
        <v>24959.209380864</v>
      </c>
    </row>
    <row r="543">
      <c r="A543" t="n">
        <v>5199</v>
      </c>
      <c r="B543" t="inlineStr">
        <is>
          <t>01-12-2020</t>
        </is>
      </c>
      <c r="C543" t="n">
        <v>2020</v>
      </c>
      <c r="D543" t="n">
        <v>1</v>
      </c>
      <c r="E543" t="inlineStr">
        <is>
          <t>CAREN</t>
        </is>
      </c>
      <c r="F543" t="inlineStr">
        <is>
          <t>SUM_SAESA_A</t>
        </is>
      </c>
      <c r="G543" t="inlineStr">
        <is>
          <t>A</t>
        </is>
      </c>
      <c r="H543" t="inlineStr">
        <is>
          <t>SAESA</t>
        </is>
      </c>
      <c r="I543" t="inlineStr">
        <is>
          <t>SAESPURRBLOQA</t>
        </is>
      </c>
      <c r="J543" t="inlineStr">
        <is>
          <t>PURRANQUE</t>
        </is>
      </c>
      <c r="K543" t="n">
        <v>-2835.6574782</v>
      </c>
      <c r="L543" t="inlineStr">
        <is>
          <t>PURRANQUE</t>
        </is>
      </c>
      <c r="M543" t="inlineStr">
        <is>
          <t>VALDIVIA</t>
        </is>
      </c>
      <c r="N543" t="n">
        <v>0.00409927459727</v>
      </c>
      <c r="O543" t="n">
        <v>11.624139</v>
      </c>
      <c r="P543" t="inlineStr">
        <is>
          <t>BS1A</t>
        </is>
      </c>
      <c r="Q543" t="n">
        <v>2</v>
      </c>
      <c r="V543" t="n">
        <v>1472834.063</v>
      </c>
      <c r="W543" t="n">
        <v>2</v>
      </c>
      <c r="X543" t="n">
        <v>8.487e-08</v>
      </c>
      <c r="Y543" t="n">
        <v>0.249999</v>
      </c>
      <c r="Z543" t="n">
        <v>2.906023</v>
      </c>
      <c r="AA543" t="inlineStr">
        <is>
          <t>PNP_6T_08-05-2020</t>
        </is>
      </c>
      <c r="AB543" t="inlineStr">
        <is>
          <t>PNCP_9T_12-08-2019</t>
        </is>
      </c>
      <c r="AC543" t="inlineStr">
        <is>
          <t>PNCP_4T_30-04-2013</t>
        </is>
      </c>
      <c r="AD543" t="inlineStr">
        <is>
          <t>VALDIVIA 220</t>
        </is>
      </c>
      <c r="AE543" t="n">
        <v>111.133</v>
      </c>
      <c r="AF543" t="n">
        <v>1.072776031070834</v>
      </c>
      <c r="AG543" t="n">
        <v>119.220818660995</v>
      </c>
      <c r="AH543" t="n">
        <v>694.38</v>
      </c>
      <c r="AI543" t="n">
        <v>0.875</v>
      </c>
      <c r="AJ543" t="n">
        <v>72.43648305409401</v>
      </c>
      <c r="AK543" t="n">
        <v>0.913</v>
      </c>
      <c r="AL543" t="n">
        <v>66.13500000000001</v>
      </c>
      <c r="AM543" t="n">
        <v>8.9176</v>
      </c>
      <c r="AN543" t="n">
        <v>9.566587534677272</v>
      </c>
      <c r="AO543" t="n">
        <v>0.913</v>
      </c>
      <c r="AP543" t="n">
        <v>6064.919358776563</v>
      </c>
      <c r="AQ543" t="n">
        <v>1.051287819142954</v>
      </c>
      <c r="AR543" t="n">
        <v>6375.9758</v>
      </c>
      <c r="AS543" t="n">
        <v>192.189831105</v>
      </c>
      <c r="AT543" t="inlineStr">
        <is>
          <t>PNP_16T_02-11-2020</t>
        </is>
      </c>
      <c r="AU543" t="inlineStr">
        <is>
          <t>PNCP_2T_10-02-2020</t>
        </is>
      </c>
      <c r="AV543" t="inlineStr">
        <is>
          <t>PNCP_4T_30-04-2013</t>
        </is>
      </c>
      <c r="AW543" t="inlineStr">
        <is>
          <t>VALDIVIA 220</t>
        </is>
      </c>
      <c r="AX543" t="n">
        <v>111.133</v>
      </c>
      <c r="AY543" t="n">
        <v>1.080821157758461</v>
      </c>
      <c r="AZ543" t="n">
        <v>120.1148977251711</v>
      </c>
      <c r="BA543" t="n">
        <v>779.3099999999999</v>
      </c>
      <c r="BB543" t="n">
        <v>0.879</v>
      </c>
      <c r="BC543" t="n">
        <v>82.2803252917125</v>
      </c>
      <c r="BD543" t="n">
        <v>0.9167</v>
      </c>
      <c r="BE543" t="n">
        <v>75.426</v>
      </c>
      <c r="BF543" t="n">
        <v>8.9176</v>
      </c>
      <c r="BG543" t="n">
        <v>0.804</v>
      </c>
      <c r="BH543" t="n">
        <v>6039.043023599974</v>
      </c>
      <c r="BI543" t="n">
        <v>1.096052187605444</v>
      </c>
      <c r="BJ543" t="n">
        <v>6619.1063</v>
      </c>
      <c r="BK543" t="n">
        <v>219.189690798</v>
      </c>
    </row>
    <row r="544">
      <c r="A544" t="n">
        <v>1293</v>
      </c>
      <c r="B544" t="inlineStr">
        <is>
          <t>01-12-2020</t>
        </is>
      </c>
      <c r="C544" t="n">
        <v>2020</v>
      </c>
      <c r="D544" t="n">
        <v>1</v>
      </c>
      <c r="E544" t="inlineStr">
        <is>
          <t>CAREN</t>
        </is>
      </c>
      <c r="F544" t="inlineStr">
        <is>
          <t>SUM_SAESA_A</t>
        </is>
      </c>
      <c r="G544" t="inlineStr">
        <is>
          <t>A</t>
        </is>
      </c>
      <c r="H544" t="inlineStr">
        <is>
          <t>SAESA</t>
        </is>
      </c>
      <c r="I544" t="inlineStr">
        <is>
          <t>SAESQUELBLOQA</t>
        </is>
      </c>
      <c r="J544" t="inlineStr">
        <is>
          <t>QUELLON</t>
        </is>
      </c>
      <c r="K544" t="n">
        <v>-4736.56252369</v>
      </c>
      <c r="L544" t="inlineStr">
        <is>
          <t>QUELLON</t>
        </is>
      </c>
      <c r="M544" t="inlineStr">
        <is>
          <t>CHILOE</t>
        </is>
      </c>
      <c r="N544" t="n">
        <v>0.79707666555743</v>
      </c>
      <c r="O544" t="n">
        <v>3775.403463</v>
      </c>
      <c r="P544" t="inlineStr">
        <is>
          <t>BS1A</t>
        </is>
      </c>
      <c r="Q544" t="n">
        <v>2</v>
      </c>
      <c r="V544" t="n">
        <v>1472834.063</v>
      </c>
      <c r="W544" t="n">
        <v>2</v>
      </c>
      <c r="X544" t="n">
        <v>8.487e-08</v>
      </c>
      <c r="Y544" t="n">
        <v>0.249999</v>
      </c>
      <c r="Z544" t="n">
        <v>943.84709</v>
      </c>
      <c r="AA544" t="inlineStr">
        <is>
          <t>PNP_6T_08-05-2020</t>
        </is>
      </c>
      <c r="AB544" t="inlineStr">
        <is>
          <t>PNCP_9T_12-08-2019</t>
        </is>
      </c>
      <c r="AC544" t="inlineStr">
        <is>
          <t>PNCP_4T_30-04-2013</t>
        </is>
      </c>
      <c r="AD544" t="inlineStr">
        <is>
          <t>CHILOE 220</t>
        </is>
      </c>
      <c r="AE544" t="n">
        <v>111.133</v>
      </c>
      <c r="AF544" t="n">
        <v>1.072776031070834</v>
      </c>
      <c r="AG544" t="n">
        <v>119.220818660995</v>
      </c>
      <c r="AH544" t="n">
        <v>694.38</v>
      </c>
      <c r="AI544" t="n">
        <v>0.875</v>
      </c>
      <c r="AJ544" t="n">
        <v>72.43648305409401</v>
      </c>
      <c r="AK544" t="n">
        <v>0.8903</v>
      </c>
      <c r="AL544" t="n">
        <v>64.48999999999999</v>
      </c>
      <c r="AM544" t="n">
        <v>8.9176</v>
      </c>
      <c r="AN544" t="n">
        <v>9.566587534677272</v>
      </c>
      <c r="AO544" t="n">
        <v>0.913</v>
      </c>
      <c r="AP544" t="n">
        <v>6064.919358776563</v>
      </c>
      <c r="AQ544" t="n">
        <v>1</v>
      </c>
      <c r="AR544" t="n">
        <v>6064.9194</v>
      </c>
      <c r="AS544" t="n">
        <v>60868.6988341</v>
      </c>
      <c r="AT544" t="inlineStr">
        <is>
          <t>PNP_16T_02-11-2020</t>
        </is>
      </c>
      <c r="AU544" t="inlineStr">
        <is>
          <t>PNCP_2T_10-02-2020</t>
        </is>
      </c>
      <c r="AV544" t="inlineStr">
        <is>
          <t>PNCP_4T_30-04-2013</t>
        </is>
      </c>
      <c r="AW544" t="inlineStr">
        <is>
          <t>CHILOE 220</t>
        </is>
      </c>
      <c r="AX544" t="n">
        <v>111.133</v>
      </c>
      <c r="AY544" t="n">
        <v>1.080821157758461</v>
      </c>
      <c r="AZ544" t="n">
        <v>120.1148977251711</v>
      </c>
      <c r="BA544" t="n">
        <v>779.3099999999999</v>
      </c>
      <c r="BB544" t="n">
        <v>0.879</v>
      </c>
      <c r="BC544" t="n">
        <v>82.2803252917125</v>
      </c>
      <c r="BD544" t="n">
        <v>0.8486</v>
      </c>
      <c r="BE544" t="n">
        <v>69.82299999999999</v>
      </c>
      <c r="BF544" t="n">
        <v>8.9176</v>
      </c>
      <c r="BG544" t="n">
        <v>0.804</v>
      </c>
      <c r="BH544" t="n">
        <v>6039.043023599974</v>
      </c>
      <c r="BI544" t="n">
        <v>1</v>
      </c>
      <c r="BJ544" t="n">
        <v>6039.043</v>
      </c>
      <c r="BK544" t="n">
        <v>65902.23536507</v>
      </c>
    </row>
    <row r="545">
      <c r="A545" t="n">
        <v>1295</v>
      </c>
      <c r="B545" t="inlineStr">
        <is>
          <t>01-12-2020</t>
        </is>
      </c>
      <c r="C545" t="n">
        <v>2020</v>
      </c>
      <c r="D545" t="n">
        <v>1</v>
      </c>
      <c r="E545" t="inlineStr">
        <is>
          <t>CAREN</t>
        </is>
      </c>
      <c r="F545" t="inlineStr">
        <is>
          <t>SUM_SAESA_A</t>
        </is>
      </c>
      <c r="G545" t="inlineStr">
        <is>
          <t>A</t>
        </is>
      </c>
      <c r="H545" t="inlineStr">
        <is>
          <t>SAESA</t>
        </is>
      </c>
      <c r="I545" t="inlineStr">
        <is>
          <t>SAESQUELBLOQA</t>
        </is>
      </c>
      <c r="J545" t="inlineStr">
        <is>
          <t>QUELLON</t>
        </is>
      </c>
      <c r="K545" t="n">
        <v>-4736.56252369</v>
      </c>
      <c r="L545" t="inlineStr">
        <is>
          <t>QUELLON</t>
        </is>
      </c>
      <c r="M545" t="inlineStr">
        <is>
          <t>Puerto Montt</t>
        </is>
      </c>
      <c r="N545" t="n">
        <v>0.94104614890391</v>
      </c>
      <c r="O545" t="n">
        <v>4457.323922</v>
      </c>
      <c r="P545" t="inlineStr">
        <is>
          <t>BS1A</t>
        </is>
      </c>
      <c r="Q545" t="n">
        <v>2</v>
      </c>
      <c r="V545" t="n">
        <v>1472834.063</v>
      </c>
      <c r="W545" t="n">
        <v>2</v>
      </c>
      <c r="X545" t="n">
        <v>8.487e-08</v>
      </c>
      <c r="Y545" t="n">
        <v>0.249999</v>
      </c>
      <c r="Z545" t="n">
        <v>1114.326523</v>
      </c>
      <c r="AA545" t="inlineStr">
        <is>
          <t>PNP_6T_08-05-2020</t>
        </is>
      </c>
      <c r="AB545" t="inlineStr">
        <is>
          <t>PNCP_9T_12-08-2019</t>
        </is>
      </c>
      <c r="AC545" t="inlineStr">
        <is>
          <t>PNCP_4T_30-04-2013</t>
        </is>
      </c>
      <c r="AD545" t="inlineStr">
        <is>
          <t>PUERTO MONTT 220</t>
        </is>
      </c>
      <c r="AE545" t="n">
        <v>111.133</v>
      </c>
      <c r="AF545" t="n">
        <v>1.072776031070834</v>
      </c>
      <c r="AG545" t="n">
        <v>119.220818660995</v>
      </c>
      <c r="AH545" t="n">
        <v>694.38</v>
      </c>
      <c r="AI545" t="n">
        <v>0.875</v>
      </c>
      <c r="AJ545" t="n">
        <v>72.43648305409401</v>
      </c>
      <c r="AK545" t="n">
        <v>0.8826000000000001</v>
      </c>
      <c r="AL545" t="n">
        <v>63.932</v>
      </c>
      <c r="AM545" t="n">
        <v>8.9176</v>
      </c>
      <c r="AN545" t="n">
        <v>9.566587534677272</v>
      </c>
      <c r="AO545" t="n">
        <v>0.913</v>
      </c>
      <c r="AP545" t="n">
        <v>6064.919358776563</v>
      </c>
      <c r="AQ545" t="n">
        <v>1.016858412119831</v>
      </c>
      <c r="AR545" t="n">
        <v>6167.1643</v>
      </c>
      <c r="AS545" t="n">
        <v>71241.123268436</v>
      </c>
      <c r="AT545" t="inlineStr">
        <is>
          <t>PNP_16T_02-11-2020</t>
        </is>
      </c>
      <c r="AU545" t="inlineStr">
        <is>
          <t>PNCP_2T_10-02-2020</t>
        </is>
      </c>
      <c r="AV545" t="inlineStr">
        <is>
          <t>PNCP_4T_30-04-2013</t>
        </is>
      </c>
      <c r="AW545" t="inlineStr">
        <is>
          <t>PUERTO MONTT 220</t>
        </is>
      </c>
      <c r="AX545" t="n">
        <v>111.133</v>
      </c>
      <c r="AY545" t="n">
        <v>1.080821157758461</v>
      </c>
      <c r="AZ545" t="n">
        <v>120.1148977251711</v>
      </c>
      <c r="BA545" t="n">
        <v>779.3099999999999</v>
      </c>
      <c r="BB545" t="n">
        <v>0.879</v>
      </c>
      <c r="BC545" t="n">
        <v>82.2803252917125</v>
      </c>
      <c r="BD545" t="n">
        <v>0.8421</v>
      </c>
      <c r="BE545" t="n">
        <v>69.288</v>
      </c>
      <c r="BF545" t="n">
        <v>8.9176</v>
      </c>
      <c r="BG545" t="n">
        <v>0.804</v>
      </c>
      <c r="BH545" t="n">
        <v>6039.043023599974</v>
      </c>
      <c r="BI545" t="n">
        <v>1.02699624102973</v>
      </c>
      <c r="BJ545" t="n">
        <v>6202.0745</v>
      </c>
      <c r="BK545" t="n">
        <v>77209.456125624</v>
      </c>
    </row>
    <row r="546">
      <c r="A546" t="n">
        <v>799</v>
      </c>
      <c r="B546" t="inlineStr">
        <is>
          <t>01-12-2020</t>
        </is>
      </c>
      <c r="C546" t="n">
        <v>2020</v>
      </c>
      <c r="D546" t="n">
        <v>1</v>
      </c>
      <c r="E546" t="inlineStr">
        <is>
          <t>CAREN</t>
        </is>
      </c>
      <c r="F546" t="inlineStr">
        <is>
          <t>SUM_SAESA_A</t>
        </is>
      </c>
      <c r="G546" t="inlineStr">
        <is>
          <t>A</t>
        </is>
      </c>
      <c r="H546" t="inlineStr">
        <is>
          <t>SAESA</t>
        </is>
      </c>
      <c r="I546" t="inlineStr">
        <is>
          <t>SAESARNEGBLOQA</t>
        </is>
      </c>
      <c r="J546" t="inlineStr">
        <is>
          <t>R.NEGRO</t>
        </is>
      </c>
      <c r="K546" t="n">
        <v>-2911.08078105</v>
      </c>
      <c r="L546" t="inlineStr">
        <is>
          <t>RIO NEGRO 23</t>
        </is>
      </c>
      <c r="M546" t="inlineStr">
        <is>
          <t>BARRO BLANCO</t>
        </is>
      </c>
      <c r="N546" t="n">
        <v>0.80297227680351</v>
      </c>
      <c r="O546" t="n">
        <v>2337.517163</v>
      </c>
      <c r="P546" t="inlineStr">
        <is>
          <t>BS1A</t>
        </is>
      </c>
      <c r="Q546" t="n">
        <v>2</v>
      </c>
      <c r="V546" t="n">
        <v>1472834.063</v>
      </c>
      <c r="W546" t="n">
        <v>2</v>
      </c>
      <c r="X546" t="n">
        <v>8.487e-08</v>
      </c>
      <c r="Y546" t="n">
        <v>0.249999</v>
      </c>
      <c r="Z546" t="n">
        <v>584.376953</v>
      </c>
      <c r="AA546" t="inlineStr">
        <is>
          <t>PNP_6T_08-05-2020</t>
        </is>
      </c>
      <c r="AB546" t="inlineStr">
        <is>
          <t>PNCP_9T_12-08-2019</t>
        </is>
      </c>
      <c r="AC546" t="inlineStr">
        <is>
          <t>PNCP_4T_30-04-2013</t>
        </is>
      </c>
      <c r="AD546" t="inlineStr">
        <is>
          <t>Barro Blanco 220</t>
        </is>
      </c>
      <c r="AE546" t="n">
        <v>111.133</v>
      </c>
      <c r="AF546" t="n">
        <v>1.072776031070834</v>
      </c>
      <c r="AG546" t="n">
        <v>119.220818660995</v>
      </c>
      <c r="AH546" t="n">
        <v>694.38</v>
      </c>
      <c r="AI546" t="n">
        <v>0.875</v>
      </c>
      <c r="AJ546" t="n">
        <v>72.43648305409401</v>
      </c>
      <c r="AK546" t="n">
        <v>0.8631</v>
      </c>
      <c r="AL546" t="n">
        <v>62.52</v>
      </c>
      <c r="AM546" t="n">
        <v>8.9176</v>
      </c>
      <c r="AN546" t="n">
        <v>9.566587534677272</v>
      </c>
      <c r="AO546" t="n">
        <v>0.913</v>
      </c>
      <c r="AP546" t="n">
        <v>6064.919358776563</v>
      </c>
      <c r="AQ546" t="n">
        <v>1.004432825642191</v>
      </c>
      <c r="AR546" t="n">
        <v>6091.8041</v>
      </c>
      <c r="AS546" t="n">
        <v>36535.24710156</v>
      </c>
      <c r="AT546" t="inlineStr">
        <is>
          <t>PNP_16T_02-11-2020</t>
        </is>
      </c>
      <c r="AU546" t="inlineStr">
        <is>
          <t>PNCP_2T_10-02-2020</t>
        </is>
      </c>
      <c r="AV546" t="inlineStr">
        <is>
          <t>PNCP_4T_30-04-2013</t>
        </is>
      </c>
      <c r="AW546" t="inlineStr">
        <is>
          <t>Barro Blanco 220</t>
        </is>
      </c>
      <c r="AX546" t="n">
        <v>111.133</v>
      </c>
      <c r="AY546" t="n">
        <v>1.080821157758461</v>
      </c>
      <c r="AZ546" t="n">
        <v>120.1148977251711</v>
      </c>
      <c r="BA546" t="n">
        <v>779.3099999999999</v>
      </c>
      <c r="BB546" t="n">
        <v>0.879</v>
      </c>
      <c r="BC546" t="n">
        <v>82.2803252917125</v>
      </c>
      <c r="BD546" t="n">
        <v>0.846</v>
      </c>
      <c r="BE546" t="n">
        <v>69.60899999999999</v>
      </c>
      <c r="BF546" t="n">
        <v>8.9176</v>
      </c>
      <c r="BG546" t="n">
        <v>0.804</v>
      </c>
      <c r="BH546" t="n">
        <v>6039.043023599974</v>
      </c>
      <c r="BI546" t="n">
        <v>1.011820868379177</v>
      </c>
      <c r="BJ546" t="n">
        <v>6110.4298</v>
      </c>
      <c r="BK546" t="n">
        <v>40677.89532137699</v>
      </c>
    </row>
    <row r="547">
      <c r="A547" t="n">
        <v>801</v>
      </c>
      <c r="B547" t="inlineStr">
        <is>
          <t>01-12-2020</t>
        </is>
      </c>
      <c r="C547" t="n">
        <v>2020</v>
      </c>
      <c r="D547" t="n">
        <v>1</v>
      </c>
      <c r="E547" t="inlineStr">
        <is>
          <t>CAREN</t>
        </is>
      </c>
      <c r="F547" t="inlineStr">
        <is>
          <t>SUM_SAESA_A</t>
        </is>
      </c>
      <c r="G547" t="inlineStr">
        <is>
          <t>A</t>
        </is>
      </c>
      <c r="H547" t="inlineStr">
        <is>
          <t>SAESA</t>
        </is>
      </c>
      <c r="I547" t="inlineStr">
        <is>
          <t>SAESARNEGBLOQA</t>
        </is>
      </c>
      <c r="J547" t="inlineStr">
        <is>
          <t>R.NEGRO</t>
        </is>
      </c>
      <c r="K547" t="n">
        <v>-2911.08078105</v>
      </c>
      <c r="L547" t="inlineStr">
        <is>
          <t>RIO NEGRO 23</t>
        </is>
      </c>
      <c r="M547" t="inlineStr">
        <is>
          <t>MELIPULLI</t>
        </is>
      </c>
      <c r="N547" t="n">
        <v>0.046511074421</v>
      </c>
      <c r="O547" t="n">
        <v>135.397495</v>
      </c>
      <c r="P547" t="inlineStr">
        <is>
          <t>BS1A</t>
        </is>
      </c>
      <c r="Q547" t="n">
        <v>2</v>
      </c>
      <c r="V547" t="n">
        <v>1472834.063</v>
      </c>
      <c r="W547" t="n">
        <v>2</v>
      </c>
      <c r="X547" t="n">
        <v>8.487e-08</v>
      </c>
      <c r="Y547" t="n">
        <v>0.249999</v>
      </c>
      <c r="Z547" t="n">
        <v>33.849238</v>
      </c>
      <c r="AA547" t="inlineStr">
        <is>
          <t>PNP_6T_08-05-2020</t>
        </is>
      </c>
      <c r="AB547" t="inlineStr">
        <is>
          <t>PNCP_9T_12-08-2019</t>
        </is>
      </c>
      <c r="AC547" t="inlineStr">
        <is>
          <t>PNCP_4T_30-04-2013</t>
        </is>
      </c>
      <c r="AD547" t="inlineStr">
        <is>
          <t>MELIPULLI 220</t>
        </is>
      </c>
      <c r="AE547" t="n">
        <v>111.133</v>
      </c>
      <c r="AF547" t="n">
        <v>1.072776031070834</v>
      </c>
      <c r="AG547" t="n">
        <v>119.220818660995</v>
      </c>
      <c r="AH547" t="n">
        <v>694.38</v>
      </c>
      <c r="AI547" t="n">
        <v>0.875</v>
      </c>
      <c r="AJ547" t="n">
        <v>72.43648305409401</v>
      </c>
      <c r="AK547" t="n">
        <v>0.8826000000000001</v>
      </c>
      <c r="AL547" t="n">
        <v>63.932</v>
      </c>
      <c r="AM547" t="n">
        <v>8.9176</v>
      </c>
      <c r="AN547" t="n">
        <v>9.566587534677272</v>
      </c>
      <c r="AO547" t="n">
        <v>0.913</v>
      </c>
      <c r="AP547" t="n">
        <v>6064.919358776563</v>
      </c>
      <c r="AQ547" t="n">
        <v>1</v>
      </c>
      <c r="AR547" t="n">
        <v>6064.9194</v>
      </c>
      <c r="AS547" t="n">
        <v>2164.049483816</v>
      </c>
      <c r="AT547" t="inlineStr">
        <is>
          <t>PNP_16T_02-11-2020</t>
        </is>
      </c>
      <c r="AU547" t="inlineStr">
        <is>
          <t>PNCP_2T_10-02-2020</t>
        </is>
      </c>
      <c r="AV547" t="inlineStr">
        <is>
          <t>PNCP_4T_30-04-2013</t>
        </is>
      </c>
      <c r="AW547" t="inlineStr">
        <is>
          <t>MELIPULLI 220</t>
        </is>
      </c>
      <c r="AX547" t="n">
        <v>111.133</v>
      </c>
      <c r="AY547" t="n">
        <v>1.080821157758461</v>
      </c>
      <c r="AZ547" t="n">
        <v>120.1148977251711</v>
      </c>
      <c r="BA547" t="n">
        <v>779.3099999999999</v>
      </c>
      <c r="BB547" t="n">
        <v>0.879</v>
      </c>
      <c r="BC547" t="n">
        <v>82.2803252917125</v>
      </c>
      <c r="BD547" t="n">
        <v>0.8421</v>
      </c>
      <c r="BE547" t="n">
        <v>69.288</v>
      </c>
      <c r="BF547" t="n">
        <v>8.9176</v>
      </c>
      <c r="BG547" t="n">
        <v>0.804</v>
      </c>
      <c r="BH547" t="n">
        <v>6039.043023599974</v>
      </c>
      <c r="BI547" t="n">
        <v>1</v>
      </c>
      <c r="BJ547" t="n">
        <v>6039.043</v>
      </c>
      <c r="BK547" t="n">
        <v>2345.346002544</v>
      </c>
    </row>
    <row r="548">
      <c r="A548" t="n">
        <v>803</v>
      </c>
      <c r="B548" t="inlineStr">
        <is>
          <t>01-12-2020</t>
        </is>
      </c>
      <c r="C548" t="n">
        <v>2020</v>
      </c>
      <c r="D548" t="n">
        <v>1</v>
      </c>
      <c r="E548" t="inlineStr">
        <is>
          <t>CAREN</t>
        </is>
      </c>
      <c r="F548" t="inlineStr">
        <is>
          <t>SUM_SAESA_A</t>
        </is>
      </c>
      <c r="G548" t="inlineStr">
        <is>
          <t>A</t>
        </is>
      </c>
      <c r="H548" t="inlineStr">
        <is>
          <t>SAESA</t>
        </is>
      </c>
      <c r="I548" t="inlineStr">
        <is>
          <t>SAESARNEGBLOQA</t>
        </is>
      </c>
      <c r="J548" t="inlineStr">
        <is>
          <t>R.NEGRO</t>
        </is>
      </c>
      <c r="K548" t="n">
        <v>-2911.08078105</v>
      </c>
      <c r="L548" t="inlineStr">
        <is>
          <t>RIO NEGRO 23</t>
        </is>
      </c>
      <c r="M548" t="inlineStr">
        <is>
          <t>VALDIVIA</t>
        </is>
      </c>
      <c r="N548" t="n">
        <v>0.00178849626167</v>
      </c>
      <c r="O548" t="n">
        <v>5.206457</v>
      </c>
      <c r="P548" t="inlineStr">
        <is>
          <t>BS1A</t>
        </is>
      </c>
      <c r="Q548" t="n">
        <v>2</v>
      </c>
      <c r="V548" t="n">
        <v>1472834.063</v>
      </c>
      <c r="W548" t="n">
        <v>2</v>
      </c>
      <c r="X548" t="n">
        <v>8.487e-08</v>
      </c>
      <c r="Y548" t="n">
        <v>0.249999</v>
      </c>
      <c r="Z548" t="n">
        <v>1.301609</v>
      </c>
      <c r="AA548" t="inlineStr">
        <is>
          <t>PNP_6T_08-05-2020</t>
        </is>
      </c>
      <c r="AB548" t="inlineStr">
        <is>
          <t>PNCP_9T_12-08-2019</t>
        </is>
      </c>
      <c r="AC548" t="inlineStr">
        <is>
          <t>PNCP_4T_30-04-2013</t>
        </is>
      </c>
      <c r="AD548" t="inlineStr">
        <is>
          <t>VALDIVIA 220</t>
        </is>
      </c>
      <c r="AE548" t="n">
        <v>111.133</v>
      </c>
      <c r="AF548" t="n">
        <v>1.072776031070834</v>
      </c>
      <c r="AG548" t="n">
        <v>119.220818660995</v>
      </c>
      <c r="AH548" t="n">
        <v>694.38</v>
      </c>
      <c r="AI548" t="n">
        <v>0.875</v>
      </c>
      <c r="AJ548" t="n">
        <v>72.43648305409401</v>
      </c>
      <c r="AK548" t="n">
        <v>0.913</v>
      </c>
      <c r="AL548" t="n">
        <v>66.13500000000001</v>
      </c>
      <c r="AM548" t="n">
        <v>8.9176</v>
      </c>
      <c r="AN548" t="n">
        <v>9.566587534677272</v>
      </c>
      <c r="AO548" t="n">
        <v>0.913</v>
      </c>
      <c r="AP548" t="n">
        <v>6064.919358776563</v>
      </c>
      <c r="AQ548" t="n">
        <v>1.051287819142954</v>
      </c>
      <c r="AR548" t="n">
        <v>6375.9758</v>
      </c>
      <c r="AS548" t="n">
        <v>86.08191121500001</v>
      </c>
      <c r="AT548" t="inlineStr">
        <is>
          <t>PNP_16T_02-11-2020</t>
        </is>
      </c>
      <c r="AU548" t="inlineStr">
        <is>
          <t>PNCP_2T_10-02-2020</t>
        </is>
      </c>
      <c r="AV548" t="inlineStr">
        <is>
          <t>PNCP_4T_30-04-2013</t>
        </is>
      </c>
      <c r="AW548" t="inlineStr">
        <is>
          <t>VALDIVIA 220</t>
        </is>
      </c>
      <c r="AX548" t="n">
        <v>111.133</v>
      </c>
      <c r="AY548" t="n">
        <v>1.080821157758461</v>
      </c>
      <c r="AZ548" t="n">
        <v>120.1148977251711</v>
      </c>
      <c r="BA548" t="n">
        <v>779.3099999999999</v>
      </c>
      <c r="BB548" t="n">
        <v>0.879</v>
      </c>
      <c r="BC548" t="n">
        <v>82.2803252917125</v>
      </c>
      <c r="BD548" t="n">
        <v>0.9167</v>
      </c>
      <c r="BE548" t="n">
        <v>75.426</v>
      </c>
      <c r="BF548" t="n">
        <v>8.9176</v>
      </c>
      <c r="BG548" t="n">
        <v>0.804</v>
      </c>
      <c r="BH548" t="n">
        <v>6039.043023599974</v>
      </c>
      <c r="BI548" t="n">
        <v>1.096052187605444</v>
      </c>
      <c r="BJ548" t="n">
        <v>6619.1063</v>
      </c>
      <c r="BK548" t="n">
        <v>98.17516043400001</v>
      </c>
    </row>
    <row r="549">
      <c r="A549" t="n">
        <v>365</v>
      </c>
      <c r="B549" t="inlineStr">
        <is>
          <t>01-12-2020</t>
        </is>
      </c>
      <c r="C549" t="n">
        <v>2020</v>
      </c>
      <c r="D549" t="n">
        <v>1</v>
      </c>
      <c r="E549" t="inlineStr">
        <is>
          <t>CAREN</t>
        </is>
      </c>
      <c r="F549" t="inlineStr">
        <is>
          <t>SUM_SAESA_A</t>
        </is>
      </c>
      <c r="G549" t="inlineStr">
        <is>
          <t>A</t>
        </is>
      </c>
      <c r="H549" t="inlineStr">
        <is>
          <t>SAESA</t>
        </is>
      </c>
      <c r="I549" t="inlineStr">
        <is>
          <t>SAESSANGBLOQA</t>
        </is>
      </c>
      <c r="J549" t="inlineStr">
        <is>
          <t>SANGRA</t>
        </is>
      </c>
      <c r="K549" t="n">
        <v>-3652.60191797</v>
      </c>
      <c r="L549" t="inlineStr">
        <is>
          <t>SANGRA 23</t>
        </is>
      </c>
      <c r="M549" t="inlineStr">
        <is>
          <t>BARRO BLANCO</t>
        </is>
      </c>
      <c r="N549" t="n">
        <v>0.1396556304984</v>
      </c>
      <c r="O549" t="n">
        <v>510.106424</v>
      </c>
      <c r="P549" t="inlineStr">
        <is>
          <t>BS1A</t>
        </is>
      </c>
      <c r="Q549" t="n">
        <v>2</v>
      </c>
      <c r="V549" t="n">
        <v>1472834.063</v>
      </c>
      <c r="W549" t="n">
        <v>2</v>
      </c>
      <c r="X549" t="n">
        <v>8.487e-08</v>
      </c>
      <c r="Y549" t="n">
        <v>0.249999</v>
      </c>
      <c r="Z549" t="n">
        <v>127.526096</v>
      </c>
      <c r="AA549" t="inlineStr">
        <is>
          <t>PNP_6T_08-05-2020</t>
        </is>
      </c>
      <c r="AB549" t="inlineStr">
        <is>
          <t>PNCP_9T_12-08-2019</t>
        </is>
      </c>
      <c r="AC549" t="inlineStr">
        <is>
          <t>PNCP_4T_30-04-2013</t>
        </is>
      </c>
      <c r="AD549" t="inlineStr">
        <is>
          <t>Barro Blanco 220</t>
        </is>
      </c>
      <c r="AE549" t="n">
        <v>111.133</v>
      </c>
      <c r="AF549" t="n">
        <v>1.072776031070834</v>
      </c>
      <c r="AG549" t="n">
        <v>119.220818660995</v>
      </c>
      <c r="AH549" t="n">
        <v>694.38</v>
      </c>
      <c r="AI549" t="n">
        <v>0.875</v>
      </c>
      <c r="AJ549" t="n">
        <v>72.43648305409401</v>
      </c>
      <c r="AK549" t="n">
        <v>0.8631</v>
      </c>
      <c r="AL549" t="n">
        <v>62.52</v>
      </c>
      <c r="AM549" t="n">
        <v>8.9176</v>
      </c>
      <c r="AN549" t="n">
        <v>9.566587534677272</v>
      </c>
      <c r="AO549" t="n">
        <v>0.913</v>
      </c>
      <c r="AP549" t="n">
        <v>6064.919358776563</v>
      </c>
      <c r="AQ549" t="n">
        <v>1.004432825642191</v>
      </c>
      <c r="AR549" t="n">
        <v>6091.8041</v>
      </c>
      <c r="AS549" t="n">
        <v>7972.93152192</v>
      </c>
      <c r="AT549" t="inlineStr">
        <is>
          <t>PNP_16T_02-11-2020</t>
        </is>
      </c>
      <c r="AU549" t="inlineStr">
        <is>
          <t>PNCP_2T_10-02-2020</t>
        </is>
      </c>
      <c r="AV549" t="inlineStr">
        <is>
          <t>PNCP_4T_30-04-2013</t>
        </is>
      </c>
      <c r="AW549" t="inlineStr">
        <is>
          <t>Barro Blanco 220</t>
        </is>
      </c>
      <c r="AX549" t="n">
        <v>111.133</v>
      </c>
      <c r="AY549" t="n">
        <v>1.080821157758461</v>
      </c>
      <c r="AZ549" t="n">
        <v>120.1148977251711</v>
      </c>
      <c r="BA549" t="n">
        <v>779.3099999999999</v>
      </c>
      <c r="BB549" t="n">
        <v>0.879</v>
      </c>
      <c r="BC549" t="n">
        <v>82.2803252917125</v>
      </c>
      <c r="BD549" t="n">
        <v>0.846</v>
      </c>
      <c r="BE549" t="n">
        <v>69.60899999999999</v>
      </c>
      <c r="BF549" t="n">
        <v>8.9176</v>
      </c>
      <c r="BG549" t="n">
        <v>0.804</v>
      </c>
      <c r="BH549" t="n">
        <v>6039.043023599974</v>
      </c>
      <c r="BI549" t="n">
        <v>1.011820868379177</v>
      </c>
      <c r="BJ549" t="n">
        <v>6110.4298</v>
      </c>
      <c r="BK549" t="n">
        <v>8876.964016463999</v>
      </c>
    </row>
    <row r="550">
      <c r="A550" t="n">
        <v>367</v>
      </c>
      <c r="B550" t="inlineStr">
        <is>
          <t>01-12-2020</t>
        </is>
      </c>
      <c r="C550" t="n">
        <v>2020</v>
      </c>
      <c r="D550" t="n">
        <v>1</v>
      </c>
      <c r="E550" t="inlineStr">
        <is>
          <t>CAREN</t>
        </is>
      </c>
      <c r="F550" t="inlineStr">
        <is>
          <t>SUM_SAESA_A</t>
        </is>
      </c>
      <c r="G550" t="inlineStr">
        <is>
          <t>A</t>
        </is>
      </c>
      <c r="H550" t="inlineStr">
        <is>
          <t>SAESA</t>
        </is>
      </c>
      <c r="I550" t="inlineStr">
        <is>
          <t>SAESSANGBLOQA</t>
        </is>
      </c>
      <c r="J550" t="inlineStr">
        <is>
          <t>SANGRA</t>
        </is>
      </c>
      <c r="K550" t="n">
        <v>-3652.60191797</v>
      </c>
      <c r="L550" t="inlineStr">
        <is>
          <t>SANGRA 23</t>
        </is>
      </c>
      <c r="M550" t="inlineStr">
        <is>
          <t>MELIPULLI</t>
        </is>
      </c>
      <c r="N550" t="n">
        <v>0.80146456415263</v>
      </c>
      <c r="O550" t="n">
        <v>2927.431004</v>
      </c>
      <c r="P550" t="inlineStr">
        <is>
          <t>BS1A</t>
        </is>
      </c>
      <c r="Q550" t="n">
        <v>2</v>
      </c>
      <c r="V550" t="n">
        <v>1472834.063</v>
      </c>
      <c r="W550" t="n">
        <v>2</v>
      </c>
      <c r="X550" t="n">
        <v>8.487e-08</v>
      </c>
      <c r="Y550" t="n">
        <v>0.249999</v>
      </c>
      <c r="Z550" t="n">
        <v>731.854824</v>
      </c>
      <c r="AA550" t="inlineStr">
        <is>
          <t>PNP_6T_08-05-2020</t>
        </is>
      </c>
      <c r="AB550" t="inlineStr">
        <is>
          <t>PNCP_9T_12-08-2019</t>
        </is>
      </c>
      <c r="AC550" t="inlineStr">
        <is>
          <t>PNCP_4T_30-04-2013</t>
        </is>
      </c>
      <c r="AD550" t="inlineStr">
        <is>
          <t>MELIPULLI 220</t>
        </is>
      </c>
      <c r="AE550" t="n">
        <v>111.133</v>
      </c>
      <c r="AF550" t="n">
        <v>1.072776031070834</v>
      </c>
      <c r="AG550" t="n">
        <v>119.220818660995</v>
      </c>
      <c r="AH550" t="n">
        <v>694.38</v>
      </c>
      <c r="AI550" t="n">
        <v>0.875</v>
      </c>
      <c r="AJ550" t="n">
        <v>72.43648305409401</v>
      </c>
      <c r="AK550" t="n">
        <v>0.8826000000000001</v>
      </c>
      <c r="AL550" t="n">
        <v>63.932</v>
      </c>
      <c r="AM550" t="n">
        <v>8.9176</v>
      </c>
      <c r="AN550" t="n">
        <v>9.566587534677272</v>
      </c>
      <c r="AO550" t="n">
        <v>0.913</v>
      </c>
      <c r="AP550" t="n">
        <v>6064.919358776563</v>
      </c>
      <c r="AQ550" t="n">
        <v>1</v>
      </c>
      <c r="AR550" t="n">
        <v>6064.9194</v>
      </c>
      <c r="AS550" t="n">
        <v>46788.94260796801</v>
      </c>
      <c r="AT550" t="inlineStr">
        <is>
          <t>PNP_16T_02-11-2020</t>
        </is>
      </c>
      <c r="AU550" t="inlineStr">
        <is>
          <t>PNCP_2T_10-02-2020</t>
        </is>
      </c>
      <c r="AV550" t="inlineStr">
        <is>
          <t>PNCP_4T_30-04-2013</t>
        </is>
      </c>
      <c r="AW550" t="inlineStr">
        <is>
          <t>MELIPULLI 220</t>
        </is>
      </c>
      <c r="AX550" t="n">
        <v>111.133</v>
      </c>
      <c r="AY550" t="n">
        <v>1.080821157758461</v>
      </c>
      <c r="AZ550" t="n">
        <v>120.1148977251711</v>
      </c>
      <c r="BA550" t="n">
        <v>779.3099999999999</v>
      </c>
      <c r="BB550" t="n">
        <v>0.879</v>
      </c>
      <c r="BC550" t="n">
        <v>82.2803252917125</v>
      </c>
      <c r="BD550" t="n">
        <v>0.8421</v>
      </c>
      <c r="BE550" t="n">
        <v>69.288</v>
      </c>
      <c r="BF550" t="n">
        <v>8.9176</v>
      </c>
      <c r="BG550" t="n">
        <v>0.804</v>
      </c>
      <c r="BH550" t="n">
        <v>6039.043023599974</v>
      </c>
      <c r="BI550" t="n">
        <v>1</v>
      </c>
      <c r="BJ550" t="n">
        <v>6039.043</v>
      </c>
      <c r="BK550" t="n">
        <v>50708.757045312</v>
      </c>
    </row>
    <row r="551">
      <c r="A551" t="n">
        <v>1939</v>
      </c>
      <c r="B551" t="inlineStr">
        <is>
          <t>01-12-2020</t>
        </is>
      </c>
      <c r="C551" t="n">
        <v>2020</v>
      </c>
      <c r="D551" t="n">
        <v>1</v>
      </c>
      <c r="E551" t="inlineStr">
        <is>
          <t>CAREN</t>
        </is>
      </c>
      <c r="F551" t="inlineStr">
        <is>
          <t>SUM_SAESA_A</t>
        </is>
      </c>
      <c r="G551" t="inlineStr">
        <is>
          <t>A</t>
        </is>
      </c>
      <c r="H551" t="inlineStr">
        <is>
          <t>SAESA</t>
        </is>
      </c>
      <c r="I551" t="inlineStr">
        <is>
          <t>SAESVALDENBLOQA</t>
        </is>
      </c>
      <c r="J551" t="inlineStr">
        <is>
          <t>VALDIVIA</t>
        </is>
      </c>
      <c r="K551" t="n">
        <v>-8373.654503010001</v>
      </c>
      <c r="L551" t="inlineStr">
        <is>
          <t>VALDIVIA</t>
        </is>
      </c>
      <c r="M551" t="inlineStr">
        <is>
          <t>Barro Blanco</t>
        </is>
      </c>
      <c r="N551" t="n">
        <v>0.02993690585192</v>
      </c>
      <c r="O551" t="n">
        <v>250.681306</v>
      </c>
      <c r="P551" t="inlineStr">
        <is>
          <t>BS1A</t>
        </is>
      </c>
      <c r="Q551" t="n">
        <v>2</v>
      </c>
      <c r="V551" t="n">
        <v>1472834.063</v>
      </c>
      <c r="W551" t="n">
        <v>2</v>
      </c>
      <c r="X551" t="n">
        <v>8.487e-08</v>
      </c>
      <c r="Y551" t="n">
        <v>0.249999</v>
      </c>
      <c r="Z551" t="n">
        <v>62.670076</v>
      </c>
      <c r="AA551" t="inlineStr">
        <is>
          <t>PNP_6T_08-05-2020</t>
        </is>
      </c>
      <c r="AB551" t="inlineStr">
        <is>
          <t>PNCP_9T_12-08-2019</t>
        </is>
      </c>
      <c r="AC551" t="inlineStr">
        <is>
          <t>PNCP_4T_30-04-2013</t>
        </is>
      </c>
      <c r="AD551" t="inlineStr">
        <is>
          <t>Barro Blanco 220</t>
        </is>
      </c>
      <c r="AE551" t="n">
        <v>111.133</v>
      </c>
      <c r="AF551" t="n">
        <v>1.072776031070834</v>
      </c>
      <c r="AG551" t="n">
        <v>119.220818660995</v>
      </c>
      <c r="AH551" t="n">
        <v>694.38</v>
      </c>
      <c r="AI551" t="n">
        <v>0.875</v>
      </c>
      <c r="AJ551" t="n">
        <v>72.43648305409401</v>
      </c>
      <c r="AK551" t="n">
        <v>0.8631</v>
      </c>
      <c r="AL551" t="n">
        <v>62.52</v>
      </c>
      <c r="AM551" t="n">
        <v>8.9176</v>
      </c>
      <c r="AN551" t="n">
        <v>9.566587534677272</v>
      </c>
      <c r="AO551" t="n">
        <v>0.913</v>
      </c>
      <c r="AP551" t="n">
        <v>6064.919358776563</v>
      </c>
      <c r="AQ551" t="n">
        <v>1.004432825642191</v>
      </c>
      <c r="AR551" t="n">
        <v>6091.8041</v>
      </c>
      <c r="AS551" t="n">
        <v>3918.13315152</v>
      </c>
      <c r="AT551" t="inlineStr">
        <is>
          <t>PNP_16T_02-11-2020</t>
        </is>
      </c>
      <c r="AU551" t="inlineStr">
        <is>
          <t>PNCP_2T_10-02-2020</t>
        </is>
      </c>
      <c r="AV551" t="inlineStr">
        <is>
          <t>PNCP_4T_30-04-2013</t>
        </is>
      </c>
      <c r="AW551" t="inlineStr">
        <is>
          <t>Barro Blanco 220</t>
        </is>
      </c>
      <c r="AX551" t="n">
        <v>111.133</v>
      </c>
      <c r="AY551" t="n">
        <v>1.080821157758461</v>
      </c>
      <c r="AZ551" t="n">
        <v>120.1148977251711</v>
      </c>
      <c r="BA551" t="n">
        <v>779.3099999999999</v>
      </c>
      <c r="BB551" t="n">
        <v>0.879</v>
      </c>
      <c r="BC551" t="n">
        <v>82.2803252917125</v>
      </c>
      <c r="BD551" t="n">
        <v>0.846</v>
      </c>
      <c r="BE551" t="n">
        <v>69.60899999999999</v>
      </c>
      <c r="BF551" t="n">
        <v>8.9176</v>
      </c>
      <c r="BG551" t="n">
        <v>0.804</v>
      </c>
      <c r="BH551" t="n">
        <v>6039.043023599974</v>
      </c>
      <c r="BI551" t="n">
        <v>1.011820868379177</v>
      </c>
      <c r="BJ551" t="n">
        <v>6110.4298</v>
      </c>
      <c r="BK551" t="n">
        <v>4362.401320284</v>
      </c>
    </row>
    <row r="552">
      <c r="A552" t="n">
        <v>1941</v>
      </c>
      <c r="B552" t="inlineStr">
        <is>
          <t>01-12-2020</t>
        </is>
      </c>
      <c r="C552" t="n">
        <v>2020</v>
      </c>
      <c r="D552" t="n">
        <v>1</v>
      </c>
      <c r="E552" t="inlineStr">
        <is>
          <t>CAREN</t>
        </is>
      </c>
      <c r="F552" t="inlineStr">
        <is>
          <t>SUM_SAESA_A</t>
        </is>
      </c>
      <c r="G552" t="inlineStr">
        <is>
          <t>A</t>
        </is>
      </c>
      <c r="H552" t="inlineStr">
        <is>
          <t>SAESA</t>
        </is>
      </c>
      <c r="I552" t="inlineStr">
        <is>
          <t>SAESVALDENBLOQA</t>
        </is>
      </c>
      <c r="J552" t="inlineStr">
        <is>
          <t>VALDIVIA</t>
        </is>
      </c>
      <c r="K552" t="n">
        <v>-8373.654503010001</v>
      </c>
      <c r="L552" t="inlineStr">
        <is>
          <t>VALDIVIA</t>
        </is>
      </c>
      <c r="M552" t="inlineStr">
        <is>
          <t>MELIPULLI</t>
        </is>
      </c>
      <c r="N552" t="n">
        <v>0.00292386082351</v>
      </c>
      <c r="O552" t="n">
        <v>24.4834</v>
      </c>
      <c r="P552" t="inlineStr">
        <is>
          <t>BS1A</t>
        </is>
      </c>
      <c r="Q552" t="n">
        <v>2</v>
      </c>
      <c r="V552" t="n">
        <v>1472834.063</v>
      </c>
      <c r="W552" t="n">
        <v>2</v>
      </c>
      <c r="X552" t="n">
        <v>8.487e-08</v>
      </c>
      <c r="Y552" t="n">
        <v>0.249999</v>
      </c>
      <c r="Z552" t="n">
        <v>6.120826</v>
      </c>
      <c r="AA552" t="inlineStr">
        <is>
          <t>PNP_6T_08-05-2020</t>
        </is>
      </c>
      <c r="AB552" t="inlineStr">
        <is>
          <t>PNCP_9T_12-08-2019</t>
        </is>
      </c>
      <c r="AC552" t="inlineStr">
        <is>
          <t>PNCP_4T_30-04-2013</t>
        </is>
      </c>
      <c r="AD552" t="inlineStr">
        <is>
          <t>MELIPULLI 220</t>
        </is>
      </c>
      <c r="AE552" t="n">
        <v>111.133</v>
      </c>
      <c r="AF552" t="n">
        <v>1.072776031070834</v>
      </c>
      <c r="AG552" t="n">
        <v>119.220818660995</v>
      </c>
      <c r="AH552" t="n">
        <v>694.38</v>
      </c>
      <c r="AI552" t="n">
        <v>0.875</v>
      </c>
      <c r="AJ552" t="n">
        <v>72.43648305409401</v>
      </c>
      <c r="AK552" t="n">
        <v>0.8826000000000001</v>
      </c>
      <c r="AL552" t="n">
        <v>63.932</v>
      </c>
      <c r="AM552" t="n">
        <v>8.9176</v>
      </c>
      <c r="AN552" t="n">
        <v>9.566587534677272</v>
      </c>
      <c r="AO552" t="n">
        <v>0.913</v>
      </c>
      <c r="AP552" t="n">
        <v>6064.919358776563</v>
      </c>
      <c r="AQ552" t="n">
        <v>1</v>
      </c>
      <c r="AR552" t="n">
        <v>6064.9194</v>
      </c>
      <c r="AS552" t="n">
        <v>391.316647832</v>
      </c>
      <c r="AT552" t="inlineStr">
        <is>
          <t>PNP_16T_02-11-2020</t>
        </is>
      </c>
      <c r="AU552" t="inlineStr">
        <is>
          <t>PNCP_2T_10-02-2020</t>
        </is>
      </c>
      <c r="AV552" t="inlineStr">
        <is>
          <t>PNCP_4T_30-04-2013</t>
        </is>
      </c>
      <c r="AW552" t="inlineStr">
        <is>
          <t>MELIPULLI 220</t>
        </is>
      </c>
      <c r="AX552" t="n">
        <v>111.133</v>
      </c>
      <c r="AY552" t="n">
        <v>1.080821157758461</v>
      </c>
      <c r="AZ552" t="n">
        <v>120.1148977251711</v>
      </c>
      <c r="BA552" t="n">
        <v>779.3099999999999</v>
      </c>
      <c r="BB552" t="n">
        <v>0.879</v>
      </c>
      <c r="BC552" t="n">
        <v>82.2803252917125</v>
      </c>
      <c r="BD552" t="n">
        <v>0.8421</v>
      </c>
      <c r="BE552" t="n">
        <v>69.288</v>
      </c>
      <c r="BF552" t="n">
        <v>8.9176</v>
      </c>
      <c r="BG552" t="n">
        <v>0.804</v>
      </c>
      <c r="BH552" t="n">
        <v>6039.043023599974</v>
      </c>
      <c r="BI552" t="n">
        <v>1</v>
      </c>
      <c r="BJ552" t="n">
        <v>6039.043</v>
      </c>
      <c r="BK552" t="n">
        <v>424.099791888</v>
      </c>
    </row>
    <row r="553">
      <c r="A553" t="n">
        <v>1943</v>
      </c>
      <c r="B553" t="inlineStr">
        <is>
          <t>01-12-2020</t>
        </is>
      </c>
      <c r="C553" t="n">
        <v>2020</v>
      </c>
      <c r="D553" t="n">
        <v>1</v>
      </c>
      <c r="E553" t="inlineStr">
        <is>
          <t>CAREN</t>
        </is>
      </c>
      <c r="F553" t="inlineStr">
        <is>
          <t>SUM_SAESA_A</t>
        </is>
      </c>
      <c r="G553" t="inlineStr">
        <is>
          <t>A</t>
        </is>
      </c>
      <c r="H553" t="inlineStr">
        <is>
          <t>SAESA</t>
        </is>
      </c>
      <c r="I553" t="inlineStr">
        <is>
          <t>SAESVALDENBLOQA</t>
        </is>
      </c>
      <c r="J553" t="inlineStr">
        <is>
          <t>VALDIVIA</t>
        </is>
      </c>
      <c r="K553" t="n">
        <v>-8373.654503010001</v>
      </c>
      <c r="L553" t="inlineStr">
        <is>
          <t>VALDIVIA</t>
        </is>
      </c>
      <c r="M553" t="inlineStr">
        <is>
          <t>VALDIVIA</t>
        </is>
      </c>
      <c r="N553" t="n">
        <v>0.83180916668115</v>
      </c>
      <c r="O553" t="n">
        <v>6965.282574</v>
      </c>
      <c r="P553" t="inlineStr">
        <is>
          <t>BS1A</t>
        </is>
      </c>
      <c r="Q553" t="n">
        <v>2</v>
      </c>
      <c r="V553" t="n">
        <v>1472834.063</v>
      </c>
      <c r="W553" t="n">
        <v>2</v>
      </c>
      <c r="X553" t="n">
        <v>8.487e-08</v>
      </c>
      <c r="Y553" t="n">
        <v>0.249999</v>
      </c>
      <c r="Z553" t="n">
        <v>1741.313678</v>
      </c>
      <c r="AA553" t="inlineStr">
        <is>
          <t>PNP_6T_08-05-2020</t>
        </is>
      </c>
      <c r="AB553" t="inlineStr">
        <is>
          <t>PNCP_9T_12-08-2019</t>
        </is>
      </c>
      <c r="AC553" t="inlineStr">
        <is>
          <t>PNCP_4T_30-04-2013</t>
        </is>
      </c>
      <c r="AD553" t="inlineStr">
        <is>
          <t>VALDIVIA 220</t>
        </is>
      </c>
      <c r="AE553" t="n">
        <v>111.133</v>
      </c>
      <c r="AF553" t="n">
        <v>1.072776031070834</v>
      </c>
      <c r="AG553" t="n">
        <v>119.220818660995</v>
      </c>
      <c r="AH553" t="n">
        <v>694.38</v>
      </c>
      <c r="AI553" t="n">
        <v>0.875</v>
      </c>
      <c r="AJ553" t="n">
        <v>72.43648305409401</v>
      </c>
      <c r="AK553" t="n">
        <v>0.913</v>
      </c>
      <c r="AL553" t="n">
        <v>66.13500000000001</v>
      </c>
      <c r="AM553" t="n">
        <v>8.9176</v>
      </c>
      <c r="AN553" t="n">
        <v>9.566587534677272</v>
      </c>
      <c r="AO553" t="n">
        <v>0.913</v>
      </c>
      <c r="AP553" t="n">
        <v>6064.919358776563</v>
      </c>
      <c r="AQ553" t="n">
        <v>1.051287819142954</v>
      </c>
      <c r="AR553" t="n">
        <v>6375.9758</v>
      </c>
      <c r="AS553" t="n">
        <v>115161.78009453</v>
      </c>
      <c r="AT553" t="inlineStr">
        <is>
          <t>PNP_16T_02-11-2020</t>
        </is>
      </c>
      <c r="AU553" t="inlineStr">
        <is>
          <t>PNCP_2T_10-02-2020</t>
        </is>
      </c>
      <c r="AV553" t="inlineStr">
        <is>
          <t>PNCP_4T_30-04-2013</t>
        </is>
      </c>
      <c r="AW553" t="inlineStr">
        <is>
          <t>VALDIVIA 220</t>
        </is>
      </c>
      <c r="AX553" t="n">
        <v>111.133</v>
      </c>
      <c r="AY553" t="n">
        <v>1.080821157758461</v>
      </c>
      <c r="AZ553" t="n">
        <v>120.1148977251711</v>
      </c>
      <c r="BA553" t="n">
        <v>779.3099999999999</v>
      </c>
      <c r="BB553" t="n">
        <v>0.879</v>
      </c>
      <c r="BC553" t="n">
        <v>82.2803252917125</v>
      </c>
      <c r="BD553" t="n">
        <v>0.9167</v>
      </c>
      <c r="BE553" t="n">
        <v>75.426</v>
      </c>
      <c r="BF553" t="n">
        <v>8.9176</v>
      </c>
      <c r="BG553" t="n">
        <v>0.804</v>
      </c>
      <c r="BH553" t="n">
        <v>6039.043023599974</v>
      </c>
      <c r="BI553" t="n">
        <v>1.096052187605444</v>
      </c>
      <c r="BJ553" t="n">
        <v>6619.1063</v>
      </c>
      <c r="BK553" t="n">
        <v>131340.325476828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BC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Num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Empresa</t>
        </is>
      </c>
      <c r="F1" s="1" t="inlineStr">
        <is>
          <t>Cliente</t>
        </is>
      </c>
      <c r="G1" s="1" t="inlineStr">
        <is>
          <t>Distribuidora</t>
        </is>
      </c>
      <c r="H1" s="1" t="inlineStr">
        <is>
          <t>BarraBT</t>
        </is>
      </c>
      <c r="I1" s="1" t="inlineStr">
        <is>
          <t>Turno</t>
        </is>
      </c>
      <c r="J1" s="1" t="inlineStr">
        <is>
          <t>PotenciaConsumo_kW</t>
        </is>
      </c>
      <c r="K1" s="1" t="inlineStr">
        <is>
          <t>BloqueCompleto</t>
        </is>
      </c>
      <c r="L1" s="1" t="inlineStr">
        <is>
          <t>BarraEnAT</t>
        </is>
      </c>
      <c r="M1" s="1" t="inlineStr">
        <is>
          <t>FactorRefPotencia_BT_AT</t>
        </is>
      </c>
      <c r="N1" s="1" t="inlineStr">
        <is>
          <t>Potencia_kW_AT</t>
        </is>
      </c>
      <c r="O1" s="1" t="inlineStr">
        <is>
          <t>MaxPPA</t>
        </is>
      </c>
      <c r="P1" s="1" t="inlineStr">
        <is>
          <t>Denominador</t>
        </is>
      </c>
      <c r="Q1" s="1" t="inlineStr">
        <is>
          <t>Prorrata</t>
        </is>
      </c>
      <c r="R1" s="1" t="inlineStr">
        <is>
          <t>PotenciaBloqueTurnoAnhoMesBarra_kW</t>
        </is>
      </c>
      <c r="S1" s="1" t="inlineStr">
        <is>
          <t>V_DecretoPNPVigente</t>
        </is>
      </c>
      <c r="T1" s="1" t="inlineStr">
        <is>
          <t>V_DecretoPNCPAsociado</t>
        </is>
      </c>
      <c r="U1" s="1" t="inlineStr">
        <is>
          <t>V_DecretoPNCPLicitacion</t>
        </is>
      </c>
      <c r="V1" s="1" t="inlineStr">
        <is>
          <t>V_Barra</t>
        </is>
      </c>
      <c r="W1" s="1" t="inlineStr">
        <is>
          <t>V_PrecioOferta_EnergiaPolpaico220</t>
        </is>
      </c>
      <c r="X1" s="1" t="inlineStr">
        <is>
          <t>V_Indexacion</t>
        </is>
      </c>
      <c r="Y1" s="1" t="inlineStr">
        <is>
          <t>V_PrecioEnergiaIndexado_USDMWh</t>
        </is>
      </c>
      <c r="Z1" s="1" t="inlineStr">
        <is>
          <t>V_DolarPNPVigente</t>
        </is>
      </c>
      <c r="AA1" s="1" t="inlineStr">
        <is>
          <t>V_FactorAjusteEnergia</t>
        </is>
      </c>
      <c r="AB1" s="1" t="inlineStr">
        <is>
          <t>V_PrecioEnergiaAjustado_CLP_kWh_Polpaico220</t>
        </is>
      </c>
      <c r="AC1" s="1" t="inlineStr">
        <is>
          <t>V_FPEnergia</t>
        </is>
      </c>
      <c r="AD1" s="1" t="inlineStr">
        <is>
          <t>V_PrecioEnergiaAjustado_CLP_kWh</t>
        </is>
      </c>
      <c r="AE1" s="1" t="inlineStr">
        <is>
          <t>V_PrecioPotenciaUSD_kW_Mes</t>
        </is>
      </c>
      <c r="AF1" s="1" t="inlineStr">
        <is>
          <t>V_PrecioPotenciaIndexadoUSD_kW_Mes</t>
        </is>
      </c>
      <c r="AG1" s="1" t="inlineStr">
        <is>
          <t>V_FactorAjustePotencia</t>
        </is>
      </c>
      <c r="AH1" s="1" t="inlineStr">
        <is>
          <t>V_PrecioPotenciaAjustado_CLP_kW_Mes_Polpaico220</t>
        </is>
      </c>
      <c r="AI1" s="1" t="inlineStr">
        <is>
          <t>V_FPPotencia</t>
        </is>
      </c>
      <c r="AJ1" s="1" t="inlineStr">
        <is>
          <t>V_PrecioPotenciaAjustado_CLP_kW_Mes</t>
        </is>
      </c>
      <c r="AK1" s="1" t="inlineStr">
        <is>
          <t>V_TotalPotenciaMesBarraGxDxBloque_CLP_kW_Mes</t>
        </is>
      </c>
      <c r="AL1" s="1" t="inlineStr">
        <is>
          <t>R_DecretoPNPReliquidacion</t>
        </is>
      </c>
      <c r="AM1" s="1" t="inlineStr">
        <is>
          <t>R_DecretoPNCPAsociado</t>
        </is>
      </c>
      <c r="AN1" s="1" t="inlineStr">
        <is>
          <t>R_DecretoPNCPLicitacion</t>
        </is>
      </c>
      <c r="AO1" s="1" t="inlineStr">
        <is>
          <t>R_Barra</t>
        </is>
      </c>
      <c r="AP1" s="1" t="inlineStr">
        <is>
          <t>R_PrecioOfertaEnergiaPolpaico220</t>
        </is>
      </c>
      <c r="AQ1" s="1" t="inlineStr">
        <is>
          <t>R_Indexacion</t>
        </is>
      </c>
      <c r="AR1" s="1" t="inlineStr">
        <is>
          <t>R_PrecioEnergiaIndexado_USDMWh</t>
        </is>
      </c>
      <c r="AS1" s="1" t="inlineStr">
        <is>
          <t>R_DolarPNPReliquidacion</t>
        </is>
      </c>
      <c r="AT1" s="1" t="inlineStr">
        <is>
          <t>R_FactorAjusteEnergia</t>
        </is>
      </c>
      <c r="AU1" s="1" t="inlineStr">
        <is>
          <t>R_PrecioEnergiaAjustado_CLP_kWh_Polpaico220</t>
        </is>
      </c>
      <c r="AV1" s="1" t="inlineStr">
        <is>
          <t>R_FPEnergia</t>
        </is>
      </c>
      <c r="AW1" s="1" t="inlineStr">
        <is>
          <t>R_PrecioEnergiaAjustado_CLP_kWh</t>
        </is>
      </c>
      <c r="AX1" s="1" t="inlineStr">
        <is>
          <t>R_PrecioPotenciaUSD_kW_Mes</t>
        </is>
      </c>
      <c r="AY1" s="1" t="inlineStr">
        <is>
          <t>R_FactorAjustePotencia</t>
        </is>
      </c>
      <c r="AZ1" s="1" t="inlineStr">
        <is>
          <t>R_PrecioPotenciaAjustado_CLP_kW_Mes_Polpaico220</t>
        </is>
      </c>
      <c r="BA1" s="1" t="inlineStr">
        <is>
          <t>R_FPPotencia</t>
        </is>
      </c>
      <c r="BB1" s="1" t="inlineStr">
        <is>
          <t>R_PrecioPotenciaAjustado_CLP_kW_Mes</t>
        </is>
      </c>
      <c r="BC1" s="1" t="inlineStr">
        <is>
          <t>R_TotalPotenciaMesBarraGxDxBloque_CLP_kW_Mes</t>
        </is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P2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Tipo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Empresa</t>
        </is>
      </c>
      <c r="F1" s="1" t="inlineStr">
        <is>
          <t>Propietario</t>
        </is>
      </c>
      <c r="G1" s="1" t="inlineStr">
        <is>
          <t>Turno</t>
        </is>
      </c>
      <c r="H1" s="1" t="inlineStr">
        <is>
          <t>Distribuidora</t>
        </is>
      </c>
      <c r="I1" s="1" t="inlineStr">
        <is>
          <t>Clave</t>
        </is>
      </c>
      <c r="J1" s="1" t="inlineStr">
        <is>
          <t>PuntoRetiro</t>
        </is>
      </c>
      <c r="K1" s="1" t="inlineStr">
        <is>
          <t>ConsumoEnergiaBT</t>
        </is>
      </c>
      <c r="L1" s="1" t="inlineStr">
        <is>
          <t>Prorrata</t>
        </is>
      </c>
      <c r="M1" s="1" t="inlineStr">
        <is>
          <t>Medida_kWh</t>
        </is>
      </c>
      <c r="N1" s="1" t="inlineStr">
        <is>
          <t>PuntoRetiroBT</t>
        </is>
      </c>
      <c r="O1" s="1" t="inlineStr">
        <is>
          <t>Bloque</t>
        </is>
      </c>
      <c r="P1" s="1" t="inlineStr">
        <is>
          <t>Incremento</t>
        </is>
      </c>
    </row>
    <row r="2">
      <c r="A2" t="inlineStr">
        <is>
          <t>R_G</t>
        </is>
      </c>
      <c r="B2" t="inlineStr">
        <is>
          <t>01-01-2021</t>
        </is>
      </c>
      <c r="C2" t="n">
        <v>2021</v>
      </c>
      <c r="D2" t="n">
        <v>1</v>
      </c>
      <c r="E2" t="inlineStr">
        <is>
          <t>CAREN</t>
        </is>
      </c>
      <c r="F2" t="inlineStr">
        <is>
          <t>SUM_SAESA_A</t>
        </is>
      </c>
      <c r="G2" t="inlineStr">
        <is>
          <t>A</t>
        </is>
      </c>
      <c r="H2" t="inlineStr">
        <is>
          <t>SAESA</t>
        </is>
      </c>
      <c r="I2" t="inlineStr">
        <is>
          <t>SAESABONBLOQA</t>
        </is>
      </c>
      <c r="J2" t="inlineStr">
        <is>
          <t>ALTO_BONITO</t>
        </is>
      </c>
      <c r="M2" t="n">
        <v>6361.28639836</v>
      </c>
      <c r="N2" t="inlineStr">
        <is>
          <t>ALTO BONITO</t>
        </is>
      </c>
      <c r="O2" t="inlineStr">
        <is>
          <t>BS1A</t>
        </is>
      </c>
      <c r="P2" t="n">
        <v>2</v>
      </c>
    </row>
    <row r="3">
      <c r="A3" t="inlineStr">
        <is>
          <t>R_G</t>
        </is>
      </c>
      <c r="B3" t="inlineStr">
        <is>
          <t>01-01-2021</t>
        </is>
      </c>
      <c r="C3" t="n">
        <v>2021</v>
      </c>
      <c r="D3" t="n">
        <v>1</v>
      </c>
      <c r="E3" t="inlineStr">
        <is>
          <t>CAREN</t>
        </is>
      </c>
      <c r="F3" t="inlineStr">
        <is>
          <t>SUM_SAESA_A</t>
        </is>
      </c>
      <c r="G3" t="inlineStr">
        <is>
          <t>A</t>
        </is>
      </c>
      <c r="H3" t="inlineStr">
        <is>
          <t>SAESA</t>
        </is>
      </c>
      <c r="I3" t="inlineStr">
        <is>
          <t>SAESACHIRREBLOQA</t>
        </is>
      </c>
      <c r="J3" t="inlineStr">
        <is>
          <t>CHIRRE</t>
        </is>
      </c>
      <c r="M3" t="n">
        <v>2691.84871599</v>
      </c>
      <c r="N3" t="inlineStr">
        <is>
          <t>CHIRRE 23</t>
        </is>
      </c>
      <c r="O3" t="inlineStr">
        <is>
          <t>BS1A</t>
        </is>
      </c>
      <c r="P3" t="n">
        <v>2</v>
      </c>
    </row>
    <row r="4">
      <c r="A4" t="inlineStr">
        <is>
          <t>R_G</t>
        </is>
      </c>
      <c r="B4" t="inlineStr">
        <is>
          <t>01-01-2021</t>
        </is>
      </c>
      <c r="C4" t="n">
        <v>2021</v>
      </c>
      <c r="D4" t="n">
        <v>1</v>
      </c>
      <c r="E4" t="inlineStr">
        <is>
          <t>CAREN</t>
        </is>
      </c>
      <c r="F4" t="inlineStr">
        <is>
          <t>SUM_SAESA_A</t>
        </is>
      </c>
      <c r="G4" t="inlineStr">
        <is>
          <t>A</t>
        </is>
      </c>
      <c r="H4" t="inlineStr">
        <is>
          <t>SAESA</t>
        </is>
      </c>
      <c r="I4" t="inlineStr">
        <is>
          <t>SAESAIHUBLOQA</t>
        </is>
      </c>
      <c r="J4" t="inlineStr">
        <is>
          <t>AIHUAPI</t>
        </is>
      </c>
      <c r="M4" t="n">
        <v>228.64037248</v>
      </c>
      <c r="N4" t="inlineStr">
        <is>
          <t>AIHUAPI</t>
        </is>
      </c>
      <c r="O4" t="inlineStr">
        <is>
          <t>BS1A</t>
        </is>
      </c>
      <c r="P4" t="n">
        <v>2</v>
      </c>
    </row>
    <row r="5">
      <c r="A5" t="inlineStr">
        <is>
          <t>R_G</t>
        </is>
      </c>
      <c r="B5" t="inlineStr">
        <is>
          <t>01-01-2021</t>
        </is>
      </c>
      <c r="C5" t="n">
        <v>2021</v>
      </c>
      <c r="D5" t="n">
        <v>1</v>
      </c>
      <c r="E5" t="inlineStr">
        <is>
          <t>CAREN</t>
        </is>
      </c>
      <c r="F5" t="inlineStr">
        <is>
          <t>SUM_SAESA_A</t>
        </is>
      </c>
      <c r="G5" t="inlineStr">
        <is>
          <t>A</t>
        </is>
      </c>
      <c r="H5" t="inlineStr">
        <is>
          <t>SAESA</t>
        </is>
      </c>
      <c r="I5" t="inlineStr">
        <is>
          <t>SAESANCUBLOQA</t>
        </is>
      </c>
      <c r="J5" t="inlineStr">
        <is>
          <t>ANCUD</t>
        </is>
      </c>
      <c r="M5" t="n">
        <v>5244.30469294</v>
      </c>
      <c r="N5" t="inlineStr">
        <is>
          <t>ANCUD</t>
        </is>
      </c>
      <c r="O5" t="inlineStr">
        <is>
          <t>BS1A</t>
        </is>
      </c>
      <c r="P5" t="n">
        <v>2</v>
      </c>
    </row>
    <row r="6">
      <c r="A6" t="inlineStr">
        <is>
          <t>R_G</t>
        </is>
      </c>
      <c r="B6" t="inlineStr">
        <is>
          <t>01-01-2021</t>
        </is>
      </c>
      <c r="C6" t="n">
        <v>2021</v>
      </c>
      <c r="D6" t="n">
        <v>1</v>
      </c>
      <c r="E6" t="inlineStr">
        <is>
          <t>CAREN</t>
        </is>
      </c>
      <c r="F6" t="inlineStr">
        <is>
          <t>SUM_SAESA_A</t>
        </is>
      </c>
      <c r="G6" t="inlineStr">
        <is>
          <t>A</t>
        </is>
      </c>
      <c r="H6" t="inlineStr">
        <is>
          <t>SAESA</t>
        </is>
      </c>
      <c r="I6" t="inlineStr">
        <is>
          <t>SAESARMBLOQA</t>
        </is>
      </c>
      <c r="J6" t="inlineStr">
        <is>
          <t>ARMAZONES</t>
        </is>
      </c>
      <c r="M6" t="n">
        <v>1393.73079425</v>
      </c>
      <c r="N6" t="inlineStr">
        <is>
          <t>ARMAZONES</t>
        </is>
      </c>
      <c r="O6" t="inlineStr">
        <is>
          <t>BS1A</t>
        </is>
      </c>
      <c r="P6" t="n">
        <v>2</v>
      </c>
    </row>
    <row r="7">
      <c r="A7" t="inlineStr">
        <is>
          <t>R_G</t>
        </is>
      </c>
      <c r="B7" t="inlineStr">
        <is>
          <t>01-01-2021</t>
        </is>
      </c>
      <c r="C7" t="n">
        <v>2021</v>
      </c>
      <c r="D7" t="n">
        <v>1</v>
      </c>
      <c r="E7" t="inlineStr">
        <is>
          <t>CAREN</t>
        </is>
      </c>
      <c r="F7" t="inlineStr">
        <is>
          <t>SUM_SAESA_A</t>
        </is>
      </c>
      <c r="G7" t="inlineStr">
        <is>
          <t>A</t>
        </is>
      </c>
      <c r="H7" t="inlineStr">
        <is>
          <t>SAESA</t>
        </is>
      </c>
      <c r="I7" t="inlineStr">
        <is>
          <t>SAESARNEGBLOQA</t>
        </is>
      </c>
      <c r="J7" t="inlineStr">
        <is>
          <t>R.NEGRO</t>
        </is>
      </c>
      <c r="M7" t="n">
        <v>2117.10060528</v>
      </c>
      <c r="N7" t="inlineStr">
        <is>
          <t>RIO NEGRO 23</t>
        </is>
      </c>
      <c r="O7" t="inlineStr">
        <is>
          <t>BS1A</t>
        </is>
      </c>
      <c r="P7" t="n">
        <v>2</v>
      </c>
    </row>
    <row r="8">
      <c r="A8" t="inlineStr">
        <is>
          <t>R_G</t>
        </is>
      </c>
      <c r="B8" t="inlineStr">
        <is>
          <t>01-01-2021</t>
        </is>
      </c>
      <c r="C8" t="n">
        <v>2021</v>
      </c>
      <c r="D8" t="n">
        <v>1</v>
      </c>
      <c r="E8" t="inlineStr">
        <is>
          <t>CAREN</t>
        </is>
      </c>
      <c r="F8" t="inlineStr">
        <is>
          <t>SUM_SAESA_A</t>
        </is>
      </c>
      <c r="G8" t="inlineStr">
        <is>
          <t>A</t>
        </is>
      </c>
      <c r="H8" t="inlineStr">
        <is>
          <t>SAESA</t>
        </is>
      </c>
      <c r="I8" t="inlineStr">
        <is>
          <t>SAESBBLABLOQA</t>
        </is>
      </c>
      <c r="J8" t="inlineStr">
        <is>
          <t>B.BLANCO</t>
        </is>
      </c>
      <c r="M8" t="n">
        <v>4068.55072465</v>
      </c>
      <c r="N8" t="inlineStr">
        <is>
          <t>BARRO BLANCO</t>
        </is>
      </c>
      <c r="O8" t="inlineStr">
        <is>
          <t>BS1A</t>
        </is>
      </c>
      <c r="P8" t="n">
        <v>2</v>
      </c>
    </row>
    <row r="9">
      <c r="A9" t="inlineStr">
        <is>
          <t>R_G</t>
        </is>
      </c>
      <c r="B9" t="inlineStr">
        <is>
          <t>01-01-2021</t>
        </is>
      </c>
      <c r="C9" t="n">
        <v>2021</v>
      </c>
      <c r="D9" t="n">
        <v>1</v>
      </c>
      <c r="E9" t="inlineStr">
        <is>
          <t>CAREN</t>
        </is>
      </c>
      <c r="F9" t="inlineStr">
        <is>
          <t>SUM_SAESA_A</t>
        </is>
      </c>
      <c r="G9" t="inlineStr">
        <is>
          <t>A</t>
        </is>
      </c>
      <c r="H9" t="inlineStr">
        <is>
          <t>SAESA</t>
        </is>
      </c>
      <c r="I9" t="inlineStr">
        <is>
          <t>SAESCALBBLOQA</t>
        </is>
      </c>
      <c r="J9" t="inlineStr">
        <is>
          <t>CALBUCO</t>
        </is>
      </c>
      <c r="M9" t="n">
        <v>2525.76333764</v>
      </c>
      <c r="N9" t="inlineStr">
        <is>
          <t>CALBUCO</t>
        </is>
      </c>
      <c r="O9" t="inlineStr">
        <is>
          <t>BS1A</t>
        </is>
      </c>
      <c r="P9" t="n">
        <v>2</v>
      </c>
    </row>
    <row r="10">
      <c r="A10" t="inlineStr">
        <is>
          <t>R_G</t>
        </is>
      </c>
      <c r="B10" t="inlineStr">
        <is>
          <t>01-01-2021</t>
        </is>
      </c>
      <c r="C10" t="n">
        <v>2021</v>
      </c>
      <c r="D10" t="n">
        <v>1</v>
      </c>
      <c r="E10" t="inlineStr">
        <is>
          <t>CAREN</t>
        </is>
      </c>
      <c r="F10" t="inlineStr">
        <is>
          <t>SUM_SAESA_A</t>
        </is>
      </c>
      <c r="G10" t="inlineStr">
        <is>
          <t>A</t>
        </is>
      </c>
      <c r="H10" t="inlineStr">
        <is>
          <t>SAESA</t>
        </is>
      </c>
      <c r="I10" t="inlineStr">
        <is>
          <t>SAESCASTBLOQA</t>
        </is>
      </c>
      <c r="J10" t="inlineStr">
        <is>
          <t>CASTRO</t>
        </is>
      </c>
      <c r="M10" t="n">
        <v>4709.57127416</v>
      </c>
      <c r="N10" t="inlineStr">
        <is>
          <t>CASTRO</t>
        </is>
      </c>
      <c r="O10" t="inlineStr">
        <is>
          <t>BS1A</t>
        </is>
      </c>
      <c r="P10" t="n">
        <v>2</v>
      </c>
    </row>
    <row r="11">
      <c r="A11" t="inlineStr">
        <is>
          <t>R_G</t>
        </is>
      </c>
      <c r="B11" t="inlineStr">
        <is>
          <t>01-01-2021</t>
        </is>
      </c>
      <c r="C11" t="n">
        <v>2021</v>
      </c>
      <c r="D11" t="n">
        <v>1</v>
      </c>
      <c r="E11" t="inlineStr">
        <is>
          <t>CAREN</t>
        </is>
      </c>
      <c r="F11" t="inlineStr">
        <is>
          <t>SUM_SAESA_A</t>
        </is>
      </c>
      <c r="G11" t="inlineStr">
        <is>
          <t>A</t>
        </is>
      </c>
      <c r="H11" t="inlineStr">
        <is>
          <t>SAESA</t>
        </is>
      </c>
      <c r="I11" t="inlineStr">
        <is>
          <t>SAESCHONBLOQA</t>
        </is>
      </c>
      <c r="J11" t="inlineStr">
        <is>
          <t>CHONCHI</t>
        </is>
      </c>
      <c r="M11" t="n">
        <v>3237.47648672</v>
      </c>
      <c r="N11" t="inlineStr">
        <is>
          <t>CHONCHI</t>
        </is>
      </c>
      <c r="O11" t="inlineStr">
        <is>
          <t>BS1A</t>
        </is>
      </c>
      <c r="P11" t="n">
        <v>2</v>
      </c>
    </row>
    <row r="12">
      <c r="A12" t="inlineStr">
        <is>
          <t>R_G</t>
        </is>
      </c>
      <c r="B12" t="inlineStr">
        <is>
          <t>01-01-2021</t>
        </is>
      </c>
      <c r="C12" t="n">
        <v>2021</v>
      </c>
      <c r="D12" t="n">
        <v>1</v>
      </c>
      <c r="E12" t="inlineStr">
        <is>
          <t>CAREN</t>
        </is>
      </c>
      <c r="F12" t="inlineStr">
        <is>
          <t>SUM_SAESA_A</t>
        </is>
      </c>
      <c r="G12" t="inlineStr">
        <is>
          <t>A</t>
        </is>
      </c>
      <c r="H12" t="inlineStr">
        <is>
          <t>SAESA</t>
        </is>
      </c>
      <c r="I12" t="inlineStr">
        <is>
          <t>SAESCOLABLOQA</t>
        </is>
      </c>
      <c r="J12" t="inlineStr">
        <is>
          <t>COLACO</t>
        </is>
      </c>
      <c r="M12" t="n">
        <v>2725.09660043</v>
      </c>
      <c r="N12" t="inlineStr">
        <is>
          <t>COLACO</t>
        </is>
      </c>
      <c r="O12" t="inlineStr">
        <is>
          <t>BS1A</t>
        </is>
      </c>
      <c r="P12" t="n">
        <v>2</v>
      </c>
    </row>
    <row r="13">
      <c r="A13" t="inlineStr">
        <is>
          <t>R_G</t>
        </is>
      </c>
      <c r="B13" t="inlineStr">
        <is>
          <t>01-01-2021</t>
        </is>
      </c>
      <c r="C13" t="n">
        <v>2021</v>
      </c>
      <c r="D13" t="n">
        <v>1</v>
      </c>
      <c r="E13" t="inlineStr">
        <is>
          <t>CAREN</t>
        </is>
      </c>
      <c r="F13" t="inlineStr">
        <is>
          <t>SUM_SAESA_A</t>
        </is>
      </c>
      <c r="G13" t="inlineStr">
        <is>
          <t>A</t>
        </is>
      </c>
      <c r="H13" t="inlineStr">
        <is>
          <t>SAESA</t>
        </is>
      </c>
      <c r="I13" t="inlineStr">
        <is>
          <t>SAESCORRBLOQA</t>
        </is>
      </c>
      <c r="J13" t="inlineStr">
        <is>
          <t>CORRAL</t>
        </is>
      </c>
      <c r="M13" t="n">
        <v>804.50490059</v>
      </c>
      <c r="N13" t="inlineStr">
        <is>
          <t>CORRAL</t>
        </is>
      </c>
      <c r="O13" t="inlineStr">
        <is>
          <t>BS1A</t>
        </is>
      </c>
      <c r="P13" t="n">
        <v>2</v>
      </c>
    </row>
    <row r="14">
      <c r="A14" t="inlineStr">
        <is>
          <t>R_G</t>
        </is>
      </c>
      <c r="B14" t="inlineStr">
        <is>
          <t>01-01-2021</t>
        </is>
      </c>
      <c r="C14" t="n">
        <v>2021</v>
      </c>
      <c r="D14" t="n">
        <v>1</v>
      </c>
      <c r="E14" t="inlineStr">
        <is>
          <t>CAREN</t>
        </is>
      </c>
      <c r="F14" t="inlineStr">
        <is>
          <t>SUM_SAESA_A</t>
        </is>
      </c>
      <c r="G14" t="inlineStr">
        <is>
          <t>A</t>
        </is>
      </c>
      <c r="H14" t="inlineStr">
        <is>
          <t>SAESA</t>
        </is>
      </c>
      <c r="I14" t="inlineStr">
        <is>
          <t>SAESDALCBLOQA</t>
        </is>
      </c>
      <c r="J14" t="inlineStr">
        <is>
          <t>DALCAHUE</t>
        </is>
      </c>
      <c r="M14" t="n">
        <v>4024.01216679</v>
      </c>
      <c r="N14" t="inlineStr">
        <is>
          <t>DALCAHUE</t>
        </is>
      </c>
      <c r="O14" t="inlineStr">
        <is>
          <t>BS1A</t>
        </is>
      </c>
      <c r="P14" t="n">
        <v>2</v>
      </c>
    </row>
    <row r="15">
      <c r="A15" t="inlineStr">
        <is>
          <t>R_G</t>
        </is>
      </c>
      <c r="B15" t="inlineStr">
        <is>
          <t>01-01-2021</t>
        </is>
      </c>
      <c r="C15" t="n">
        <v>2021</v>
      </c>
      <c r="D15" t="n">
        <v>1</v>
      </c>
      <c r="E15" t="inlineStr">
        <is>
          <t>CAREN</t>
        </is>
      </c>
      <c r="F15" t="inlineStr">
        <is>
          <t>SUM_SAESA_A</t>
        </is>
      </c>
      <c r="G15" t="inlineStr">
        <is>
          <t>A</t>
        </is>
      </c>
      <c r="H15" t="inlineStr">
        <is>
          <t>SAESA</t>
        </is>
      </c>
      <c r="I15" t="inlineStr">
        <is>
          <t>SAESDEGABLOQA</t>
        </is>
      </c>
      <c r="J15" t="inlineStr">
        <is>
          <t>DEGAÑ</t>
        </is>
      </c>
      <c r="M15" t="n">
        <v>1528.25702781</v>
      </c>
      <c r="N15" t="inlineStr">
        <is>
          <t>DEGAÑ</t>
        </is>
      </c>
      <c r="O15" t="inlineStr">
        <is>
          <t>BS1A</t>
        </is>
      </c>
      <c r="P15" t="n">
        <v>2</v>
      </c>
    </row>
    <row r="16">
      <c r="A16" t="inlineStr">
        <is>
          <t>R_G</t>
        </is>
      </c>
      <c r="B16" t="inlineStr">
        <is>
          <t>01-01-2021</t>
        </is>
      </c>
      <c r="C16" t="n">
        <v>2021</v>
      </c>
      <c r="D16" t="n">
        <v>1</v>
      </c>
      <c r="E16" t="inlineStr">
        <is>
          <t>CAREN</t>
        </is>
      </c>
      <c r="F16" t="inlineStr">
        <is>
          <t>SUM_SAESA_A</t>
        </is>
      </c>
      <c r="G16" t="inlineStr">
        <is>
          <t>A</t>
        </is>
      </c>
      <c r="H16" t="inlineStr">
        <is>
          <t>SAESA</t>
        </is>
      </c>
      <c r="I16" t="inlineStr">
        <is>
          <t>SAESELEMBLOQA</t>
        </is>
      </c>
      <c r="J16" t="inlineStr">
        <is>
          <t>EMPALME</t>
        </is>
      </c>
      <c r="M16" t="n">
        <v>2272.62868339</v>
      </c>
      <c r="N16" t="inlineStr">
        <is>
          <t>PARGUA 23</t>
        </is>
      </c>
      <c r="O16" t="inlineStr">
        <is>
          <t>BS1A</t>
        </is>
      </c>
      <c r="P16" t="n">
        <v>2</v>
      </c>
    </row>
    <row r="17">
      <c r="A17" t="inlineStr">
        <is>
          <t>R_G</t>
        </is>
      </c>
      <c r="B17" t="inlineStr">
        <is>
          <t>01-01-2021</t>
        </is>
      </c>
      <c r="C17" t="n">
        <v>2021</v>
      </c>
      <c r="D17" t="n">
        <v>1</v>
      </c>
      <c r="E17" t="inlineStr">
        <is>
          <t>CAREN</t>
        </is>
      </c>
      <c r="F17" t="inlineStr">
        <is>
          <t>SUM_SAESA_A</t>
        </is>
      </c>
      <c r="G17" t="inlineStr">
        <is>
          <t>A</t>
        </is>
      </c>
      <c r="H17" t="inlineStr">
        <is>
          <t>SAESA</t>
        </is>
      </c>
      <c r="I17" t="inlineStr">
        <is>
          <t>SAESFRUTBLOQA</t>
        </is>
      </c>
      <c r="J17" t="inlineStr">
        <is>
          <t>FRUTILLAR</t>
        </is>
      </c>
      <c r="M17" t="n">
        <v>4856.61000148</v>
      </c>
      <c r="N17" t="inlineStr">
        <is>
          <t>FRUTILLAR</t>
        </is>
      </c>
      <c r="O17" t="inlineStr">
        <is>
          <t>BS1A</t>
        </is>
      </c>
      <c r="P17" t="n">
        <v>2</v>
      </c>
    </row>
    <row r="18">
      <c r="A18" t="inlineStr">
        <is>
          <t>R_G</t>
        </is>
      </c>
      <c r="B18" t="inlineStr">
        <is>
          <t>01-01-2021</t>
        </is>
      </c>
      <c r="C18" t="n">
        <v>2021</v>
      </c>
      <c r="D18" t="n">
        <v>1</v>
      </c>
      <c r="E18" t="inlineStr">
        <is>
          <t>CAREN</t>
        </is>
      </c>
      <c r="F18" t="inlineStr">
        <is>
          <t>SUM_SAESA_A</t>
        </is>
      </c>
      <c r="G18" t="inlineStr">
        <is>
          <t>A</t>
        </is>
      </c>
      <c r="H18" t="inlineStr">
        <is>
          <t>SAESA</t>
        </is>
      </c>
      <c r="I18" t="inlineStr">
        <is>
          <t>SAESLAUNBLOQA</t>
        </is>
      </c>
      <c r="J18" t="inlineStr">
        <is>
          <t>L.UNION</t>
        </is>
      </c>
      <c r="M18" t="n">
        <v>4182.44728166</v>
      </c>
      <c r="N18" t="inlineStr">
        <is>
          <t>LA UNION</t>
        </is>
      </c>
      <c r="O18" t="inlineStr">
        <is>
          <t>BS1A</t>
        </is>
      </c>
      <c r="P18" t="n">
        <v>2</v>
      </c>
    </row>
    <row r="19">
      <c r="A19" t="inlineStr">
        <is>
          <t>R_G</t>
        </is>
      </c>
      <c r="B19" t="inlineStr">
        <is>
          <t>01-01-2021</t>
        </is>
      </c>
      <c r="C19" t="n">
        <v>2021</v>
      </c>
      <c r="D19" t="n">
        <v>1</v>
      </c>
      <c r="E19" t="inlineStr">
        <is>
          <t>CAREN</t>
        </is>
      </c>
      <c r="F19" t="inlineStr">
        <is>
          <t>SUM_SAESA_A</t>
        </is>
      </c>
      <c r="G19" t="inlineStr">
        <is>
          <t>A</t>
        </is>
      </c>
      <c r="H19" t="inlineStr">
        <is>
          <t>SAESA</t>
        </is>
      </c>
      <c r="I19" t="inlineStr">
        <is>
          <t>SAESLONCBLOQA</t>
        </is>
      </c>
      <c r="J19" t="inlineStr">
        <is>
          <t>LONCOCHE2</t>
        </is>
      </c>
      <c r="M19" t="n">
        <v>4763.68200813</v>
      </c>
      <c r="N19" t="inlineStr">
        <is>
          <t>LONCOCHE</t>
        </is>
      </c>
      <c r="O19" t="inlineStr">
        <is>
          <t>BS1A</t>
        </is>
      </c>
      <c r="P19" t="n">
        <v>2</v>
      </c>
    </row>
    <row r="20">
      <c r="A20" t="inlineStr">
        <is>
          <t>R_G</t>
        </is>
      </c>
      <c r="B20" t="inlineStr">
        <is>
          <t>01-01-2021</t>
        </is>
      </c>
      <c r="C20" t="n">
        <v>2021</v>
      </c>
      <c r="D20" t="n">
        <v>1</v>
      </c>
      <c r="E20" t="inlineStr">
        <is>
          <t>CAREN</t>
        </is>
      </c>
      <c r="F20" t="inlineStr">
        <is>
          <t>SUM_SAESA_A</t>
        </is>
      </c>
      <c r="G20" t="inlineStr">
        <is>
          <t>A</t>
        </is>
      </c>
      <c r="H20" t="inlineStr">
        <is>
          <t>SAESA</t>
        </is>
      </c>
      <c r="I20" t="inlineStr">
        <is>
          <t>SAESLOSLBLOQA</t>
        </is>
      </c>
      <c r="J20" t="inlineStr">
        <is>
          <t>L.LAGOS</t>
        </is>
      </c>
      <c r="M20" t="n">
        <v>1473.68727456</v>
      </c>
      <c r="N20" t="inlineStr">
        <is>
          <t>LOS LAGOS</t>
        </is>
      </c>
      <c r="O20" t="inlineStr">
        <is>
          <t>BS1A</t>
        </is>
      </c>
      <c r="P20" t="n">
        <v>2</v>
      </c>
    </row>
    <row r="21">
      <c r="A21" t="inlineStr">
        <is>
          <t>R_G</t>
        </is>
      </c>
      <c r="B21" t="inlineStr">
        <is>
          <t>01-01-2021</t>
        </is>
      </c>
      <c r="C21" t="n">
        <v>2021</v>
      </c>
      <c r="D21" t="n">
        <v>1</v>
      </c>
      <c r="E21" t="inlineStr">
        <is>
          <t>CAREN</t>
        </is>
      </c>
      <c r="F21" t="inlineStr">
        <is>
          <t>SUM_SAESA_A</t>
        </is>
      </c>
      <c r="G21" t="inlineStr">
        <is>
          <t>A</t>
        </is>
      </c>
      <c r="H21" t="inlineStr">
        <is>
          <t>SAESA</t>
        </is>
      </c>
      <c r="I21" t="inlineStr">
        <is>
          <t>SAESLTAMBLOQA</t>
        </is>
      </c>
      <c r="J21" t="inlineStr">
        <is>
          <t>LOS_TAMBORES</t>
        </is>
      </c>
      <c r="M21" t="n">
        <v>3370.18649038</v>
      </c>
      <c r="N21" t="inlineStr">
        <is>
          <t>LOS TAMBORES</t>
        </is>
      </c>
      <c r="O21" t="inlineStr">
        <is>
          <t>BS1A</t>
        </is>
      </c>
      <c r="P21" t="n">
        <v>2</v>
      </c>
    </row>
    <row r="22">
      <c r="A22" t="inlineStr">
        <is>
          <t>R_G</t>
        </is>
      </c>
      <c r="B22" t="inlineStr">
        <is>
          <t>01-01-2021</t>
        </is>
      </c>
      <c r="C22" t="n">
        <v>2021</v>
      </c>
      <c r="D22" t="n">
        <v>1</v>
      </c>
      <c r="E22" t="inlineStr">
        <is>
          <t>CAREN</t>
        </is>
      </c>
      <c r="F22" t="inlineStr">
        <is>
          <t>SUM_SAESA_A</t>
        </is>
      </c>
      <c r="G22" t="inlineStr">
        <is>
          <t>A</t>
        </is>
      </c>
      <c r="H22" t="inlineStr">
        <is>
          <t>SAESA</t>
        </is>
      </c>
      <c r="I22" t="inlineStr">
        <is>
          <t>SAESMARIBLOQA</t>
        </is>
      </c>
      <c r="J22" t="inlineStr">
        <is>
          <t>MARIQUINA</t>
        </is>
      </c>
      <c r="M22" t="n">
        <v>2933.67906558</v>
      </c>
      <c r="N22" t="inlineStr">
        <is>
          <t>MARIQUINA</t>
        </is>
      </c>
      <c r="O22" t="inlineStr">
        <is>
          <t>BS1A</t>
        </is>
      </c>
      <c r="P22" t="n">
        <v>2</v>
      </c>
    </row>
    <row r="23">
      <c r="A23" t="inlineStr">
        <is>
          <t>R_G</t>
        </is>
      </c>
      <c r="B23" t="inlineStr">
        <is>
          <t>01-01-2021</t>
        </is>
      </c>
      <c r="C23" t="n">
        <v>2021</v>
      </c>
      <c r="D23" t="n">
        <v>1</v>
      </c>
      <c r="E23" t="inlineStr">
        <is>
          <t>CAREN</t>
        </is>
      </c>
      <c r="F23" t="inlineStr">
        <is>
          <t>SUM_SAESA_A</t>
        </is>
      </c>
      <c r="G23" t="inlineStr">
        <is>
          <t>A</t>
        </is>
      </c>
      <c r="H23" t="inlineStr">
        <is>
          <t>SAESA</t>
        </is>
      </c>
      <c r="I23" t="inlineStr">
        <is>
          <t>SAESMELIBLOQA</t>
        </is>
      </c>
      <c r="J23" t="inlineStr">
        <is>
          <t>MELIPULLI</t>
        </is>
      </c>
      <c r="M23" t="n">
        <v>35284.12581075</v>
      </c>
      <c r="N23" t="inlineStr">
        <is>
          <t>MELIPULLI</t>
        </is>
      </c>
      <c r="O23" t="inlineStr">
        <is>
          <t>BS1A</t>
        </is>
      </c>
      <c r="P23" t="n">
        <v>2</v>
      </c>
    </row>
    <row r="24">
      <c r="A24" t="inlineStr">
        <is>
          <t>R_G</t>
        </is>
      </c>
      <c r="B24" t="inlineStr">
        <is>
          <t>01-01-2021</t>
        </is>
      </c>
      <c r="C24" t="n">
        <v>2021</v>
      </c>
      <c r="D24" t="n">
        <v>1</v>
      </c>
      <c r="E24" t="inlineStr">
        <is>
          <t>CAREN</t>
        </is>
      </c>
      <c r="F24" t="inlineStr">
        <is>
          <t>SUM_SAESA_A</t>
        </is>
      </c>
      <c r="G24" t="inlineStr">
        <is>
          <t>A</t>
        </is>
      </c>
      <c r="H24" t="inlineStr">
        <is>
          <t>SAESA</t>
        </is>
      </c>
      <c r="I24" t="inlineStr">
        <is>
          <t>SAESOSORBLOQA</t>
        </is>
      </c>
      <c r="J24" t="inlineStr">
        <is>
          <t>OSORNO</t>
        </is>
      </c>
      <c r="M24" t="n">
        <v>19028.68559965</v>
      </c>
      <c r="N24" t="inlineStr">
        <is>
          <t>OSORNO</t>
        </is>
      </c>
      <c r="O24" t="inlineStr">
        <is>
          <t>BS1A</t>
        </is>
      </c>
      <c r="P24" t="n">
        <v>2</v>
      </c>
    </row>
    <row r="25">
      <c r="A25" t="inlineStr">
        <is>
          <t>R_G</t>
        </is>
      </c>
      <c r="B25" t="inlineStr">
        <is>
          <t>01-01-2021</t>
        </is>
      </c>
      <c r="C25" t="n">
        <v>2021</v>
      </c>
      <c r="D25" t="n">
        <v>1</v>
      </c>
      <c r="E25" t="inlineStr">
        <is>
          <t>CAREN</t>
        </is>
      </c>
      <c r="F25" t="inlineStr">
        <is>
          <t>SUM_SAESA_A</t>
        </is>
      </c>
      <c r="G25" t="inlineStr">
        <is>
          <t>A</t>
        </is>
      </c>
      <c r="H25" t="inlineStr">
        <is>
          <t>SAESA</t>
        </is>
      </c>
      <c r="I25" t="inlineStr">
        <is>
          <t>SAESPANGBLOQA</t>
        </is>
      </c>
      <c r="J25" t="inlineStr">
        <is>
          <t>PANGUIPULLI</t>
        </is>
      </c>
      <c r="M25" t="n">
        <v>7445.38057525</v>
      </c>
      <c r="N25" t="inlineStr">
        <is>
          <t>PANGUIPULLI</t>
        </is>
      </c>
      <c r="O25" t="inlineStr">
        <is>
          <t>BS1A</t>
        </is>
      </c>
      <c r="P25" t="n">
        <v>2</v>
      </c>
    </row>
    <row r="26">
      <c r="A26" t="inlineStr">
        <is>
          <t>R_G</t>
        </is>
      </c>
      <c r="B26" t="inlineStr">
        <is>
          <t>01-01-2021</t>
        </is>
      </c>
      <c r="C26" t="n">
        <v>2021</v>
      </c>
      <c r="D26" t="n">
        <v>1</v>
      </c>
      <c r="E26" t="inlineStr">
        <is>
          <t>CAREN</t>
        </is>
      </c>
      <c r="F26" t="inlineStr">
        <is>
          <t>SUM_SAESA_A</t>
        </is>
      </c>
      <c r="G26" t="inlineStr">
        <is>
          <t>A</t>
        </is>
      </c>
      <c r="H26" t="inlineStr">
        <is>
          <t>SAESA</t>
        </is>
      </c>
      <c r="I26" t="inlineStr">
        <is>
          <t>SAESPARGBLOQA</t>
        </is>
      </c>
      <c r="J26" t="inlineStr">
        <is>
          <t>PARGUA</t>
        </is>
      </c>
      <c r="M26" t="n">
        <v>626.92876818</v>
      </c>
      <c r="N26" t="inlineStr">
        <is>
          <t>PARGUA 23</t>
        </is>
      </c>
      <c r="O26" t="inlineStr">
        <is>
          <t>BS1A</t>
        </is>
      </c>
      <c r="P26" t="n">
        <v>2</v>
      </c>
    </row>
    <row r="27">
      <c r="A27" t="inlineStr">
        <is>
          <t>R_G</t>
        </is>
      </c>
      <c r="B27" t="inlineStr">
        <is>
          <t>01-01-2021</t>
        </is>
      </c>
      <c r="C27" t="n">
        <v>2021</v>
      </c>
      <c r="D27" t="n">
        <v>1</v>
      </c>
      <c r="E27" t="inlineStr">
        <is>
          <t>CAREN</t>
        </is>
      </c>
      <c r="F27" t="inlineStr">
        <is>
          <t>SUM_SAESA_A</t>
        </is>
      </c>
      <c r="G27" t="inlineStr">
        <is>
          <t>A</t>
        </is>
      </c>
      <c r="H27" t="inlineStr">
        <is>
          <t>SAESA</t>
        </is>
      </c>
      <c r="I27" t="inlineStr">
        <is>
          <t>SAESPICABLOQA</t>
        </is>
      </c>
      <c r="J27" t="inlineStr">
        <is>
          <t>PICARTE</t>
        </is>
      </c>
      <c r="M27" t="n">
        <v>18802.16714091</v>
      </c>
      <c r="N27" t="inlineStr">
        <is>
          <t>PICARTE</t>
        </is>
      </c>
      <c r="O27" t="inlineStr">
        <is>
          <t>BS1A</t>
        </is>
      </c>
      <c r="P27" t="n">
        <v>2</v>
      </c>
    </row>
    <row r="28">
      <c r="A28" t="inlineStr">
        <is>
          <t>R_G</t>
        </is>
      </c>
      <c r="B28" t="inlineStr">
        <is>
          <t>01-01-2021</t>
        </is>
      </c>
      <c r="C28" t="n">
        <v>2021</v>
      </c>
      <c r="D28" t="n">
        <v>1</v>
      </c>
      <c r="E28" t="inlineStr">
        <is>
          <t>CAREN</t>
        </is>
      </c>
      <c r="F28" t="inlineStr">
        <is>
          <t>SUM_SAESA_A</t>
        </is>
      </c>
      <c r="G28" t="inlineStr">
        <is>
          <t>A</t>
        </is>
      </c>
      <c r="H28" t="inlineStr">
        <is>
          <t>SAESA</t>
        </is>
      </c>
      <c r="I28" t="inlineStr">
        <is>
          <t>SAESPICHBLOQA</t>
        </is>
      </c>
      <c r="J28" t="inlineStr">
        <is>
          <t>PICHIRROPULLI</t>
        </is>
      </c>
      <c r="M28" t="n">
        <v>4825.15080025</v>
      </c>
      <c r="N28" t="inlineStr">
        <is>
          <t>PICHIRROPULLI</t>
        </is>
      </c>
      <c r="O28" t="inlineStr">
        <is>
          <t>BS1A</t>
        </is>
      </c>
      <c r="P28" t="n">
        <v>2</v>
      </c>
    </row>
    <row r="29">
      <c r="A29" t="inlineStr">
        <is>
          <t>R_G</t>
        </is>
      </c>
      <c r="B29" t="inlineStr">
        <is>
          <t>01-01-2021</t>
        </is>
      </c>
      <c r="C29" t="n">
        <v>2021</v>
      </c>
      <c r="D29" t="n">
        <v>1</v>
      </c>
      <c r="E29" t="inlineStr">
        <is>
          <t>CAREN</t>
        </is>
      </c>
      <c r="F29" t="inlineStr">
        <is>
          <t>SUM_SAESA_A</t>
        </is>
      </c>
      <c r="G29" t="inlineStr">
        <is>
          <t>A</t>
        </is>
      </c>
      <c r="H29" t="inlineStr">
        <is>
          <t>SAESA</t>
        </is>
      </c>
      <c r="I29" t="inlineStr">
        <is>
          <t>SAESPICHIBLOQA</t>
        </is>
      </c>
      <c r="J29" t="inlineStr">
        <is>
          <t>PICHIL</t>
        </is>
      </c>
      <c r="M29" t="n">
        <v>768.59227942</v>
      </c>
      <c r="N29" t="inlineStr">
        <is>
          <t>PICHIL</t>
        </is>
      </c>
      <c r="O29" t="inlineStr">
        <is>
          <t>BS1A</t>
        </is>
      </c>
      <c r="P29" t="n">
        <v>2</v>
      </c>
    </row>
    <row r="30">
      <c r="A30" t="inlineStr">
        <is>
          <t>R_G</t>
        </is>
      </c>
      <c r="B30" t="inlineStr">
        <is>
          <t>01-01-2021</t>
        </is>
      </c>
      <c r="C30" t="n">
        <v>2021</v>
      </c>
      <c r="D30" t="n">
        <v>1</v>
      </c>
      <c r="E30" t="inlineStr">
        <is>
          <t>CAREN</t>
        </is>
      </c>
      <c r="F30" t="inlineStr">
        <is>
          <t>SUM_SAESA_A</t>
        </is>
      </c>
      <c r="G30" t="inlineStr">
        <is>
          <t>A</t>
        </is>
      </c>
      <c r="H30" t="inlineStr">
        <is>
          <t>SAESA</t>
        </is>
      </c>
      <c r="I30" t="inlineStr">
        <is>
          <t>SAESPIDPBLOQA</t>
        </is>
      </c>
      <c r="J30" t="inlineStr">
        <is>
          <t>PIDPID</t>
        </is>
      </c>
      <c r="M30" t="n">
        <v>1662.90550108</v>
      </c>
      <c r="N30" t="inlineStr">
        <is>
          <t>PID PID</t>
        </is>
      </c>
      <c r="O30" t="inlineStr">
        <is>
          <t>BS1A</t>
        </is>
      </c>
      <c r="P30" t="n">
        <v>2</v>
      </c>
    </row>
    <row r="31">
      <c r="A31" t="inlineStr">
        <is>
          <t>R_G</t>
        </is>
      </c>
      <c r="B31" t="inlineStr">
        <is>
          <t>01-01-2021</t>
        </is>
      </c>
      <c r="C31" t="n">
        <v>2021</v>
      </c>
      <c r="D31" t="n">
        <v>1</v>
      </c>
      <c r="E31" t="inlineStr">
        <is>
          <t>CAREN</t>
        </is>
      </c>
      <c r="F31" t="inlineStr">
        <is>
          <t>SUM_SAESA_A</t>
        </is>
      </c>
      <c r="G31" t="inlineStr">
        <is>
          <t>A</t>
        </is>
      </c>
      <c r="H31" t="inlineStr">
        <is>
          <t>SAESA</t>
        </is>
      </c>
      <c r="I31" t="inlineStr">
        <is>
          <t>SAESPILMBLOQA</t>
        </is>
      </c>
      <c r="J31" t="inlineStr">
        <is>
          <t>PILMAIQUEN</t>
        </is>
      </c>
      <c r="M31" t="n">
        <v>0</v>
      </c>
      <c r="N31" t="inlineStr">
        <is>
          <t>PILMAIQUEN</t>
        </is>
      </c>
      <c r="O31" t="inlineStr">
        <is>
          <t>BS1A</t>
        </is>
      </c>
      <c r="P31" t="n">
        <v>2</v>
      </c>
    </row>
    <row r="32">
      <c r="A32" t="inlineStr">
        <is>
          <t>R_G</t>
        </is>
      </c>
      <c r="B32" t="inlineStr">
        <is>
          <t>01-01-2021</t>
        </is>
      </c>
      <c r="C32" t="n">
        <v>2021</v>
      </c>
      <c r="D32" t="n">
        <v>1</v>
      </c>
      <c r="E32" t="inlineStr">
        <is>
          <t>CAREN</t>
        </is>
      </c>
      <c r="F32" t="inlineStr">
        <is>
          <t>SUM_SAESA_A</t>
        </is>
      </c>
      <c r="G32" t="inlineStr">
        <is>
          <t>A</t>
        </is>
      </c>
      <c r="H32" t="inlineStr">
        <is>
          <t>SAESA</t>
        </is>
      </c>
      <c r="I32" t="inlineStr">
        <is>
          <t>SAESPULLBLOQA</t>
        </is>
      </c>
      <c r="J32" t="inlineStr">
        <is>
          <t>PULLINQUE</t>
        </is>
      </c>
      <c r="M32" t="n">
        <v>1864.81720355</v>
      </c>
      <c r="N32" t="inlineStr">
        <is>
          <t>PULLINQUE</t>
        </is>
      </c>
      <c r="O32" t="inlineStr">
        <is>
          <t>BS1A</t>
        </is>
      </c>
      <c r="P32" t="n">
        <v>2</v>
      </c>
    </row>
    <row r="33">
      <c r="A33" t="inlineStr">
        <is>
          <t>R_G</t>
        </is>
      </c>
      <c r="B33" t="inlineStr">
        <is>
          <t>01-01-2021</t>
        </is>
      </c>
      <c r="C33" t="n">
        <v>2021</v>
      </c>
      <c r="D33" t="n">
        <v>1</v>
      </c>
      <c r="E33" t="inlineStr">
        <is>
          <t>CAREN</t>
        </is>
      </c>
      <c r="F33" t="inlineStr">
        <is>
          <t>SUM_SAESA_A</t>
        </is>
      </c>
      <c r="G33" t="inlineStr">
        <is>
          <t>A</t>
        </is>
      </c>
      <c r="H33" t="inlineStr">
        <is>
          <t>SAESA</t>
        </is>
      </c>
      <c r="I33" t="inlineStr">
        <is>
          <t>SAESPURRBLOQA</t>
        </is>
      </c>
      <c r="J33" t="inlineStr">
        <is>
          <t>PURRANQUE</t>
        </is>
      </c>
      <c r="M33" t="n">
        <v>2347.08413967</v>
      </c>
      <c r="N33" t="inlineStr">
        <is>
          <t>PURRANQUE</t>
        </is>
      </c>
      <c r="O33" t="inlineStr">
        <is>
          <t>BS1A</t>
        </is>
      </c>
      <c r="P33" t="n">
        <v>2</v>
      </c>
    </row>
    <row r="34">
      <c r="A34" t="inlineStr">
        <is>
          <t>R_G</t>
        </is>
      </c>
      <c r="B34" t="inlineStr">
        <is>
          <t>01-01-2021</t>
        </is>
      </c>
      <c r="C34" t="n">
        <v>2021</v>
      </c>
      <c r="D34" t="n">
        <v>1</v>
      </c>
      <c r="E34" t="inlineStr">
        <is>
          <t>CAREN</t>
        </is>
      </c>
      <c r="F34" t="inlineStr">
        <is>
          <t>SUM_SAESA_A</t>
        </is>
      </c>
      <c r="G34" t="inlineStr">
        <is>
          <t>A</t>
        </is>
      </c>
      <c r="H34" t="inlineStr">
        <is>
          <t>SAESA</t>
        </is>
      </c>
      <c r="I34" t="inlineStr">
        <is>
          <t>SAESPVARBLOQA</t>
        </is>
      </c>
      <c r="J34" t="inlineStr">
        <is>
          <t>P.VARAS</t>
        </is>
      </c>
      <c r="M34" t="n">
        <v>7001.85091257</v>
      </c>
      <c r="N34" t="inlineStr">
        <is>
          <t>PUERTO VARAS</t>
        </is>
      </c>
      <c r="O34" t="inlineStr">
        <is>
          <t>BS1A</t>
        </is>
      </c>
      <c r="P34" t="n">
        <v>2</v>
      </c>
    </row>
    <row r="35">
      <c r="A35" t="inlineStr">
        <is>
          <t>R_G</t>
        </is>
      </c>
      <c r="B35" t="inlineStr">
        <is>
          <t>01-01-2021</t>
        </is>
      </c>
      <c r="C35" t="n">
        <v>2021</v>
      </c>
      <c r="D35" t="n">
        <v>1</v>
      </c>
      <c r="E35" t="inlineStr">
        <is>
          <t>CAREN</t>
        </is>
      </c>
      <c r="F35" t="inlineStr">
        <is>
          <t>SUM_SAESA_A</t>
        </is>
      </c>
      <c r="G35" t="inlineStr">
        <is>
          <t>A</t>
        </is>
      </c>
      <c r="H35" t="inlineStr">
        <is>
          <t>SAESA</t>
        </is>
      </c>
      <c r="I35" t="inlineStr">
        <is>
          <t>SAESQUELBLOQA</t>
        </is>
      </c>
      <c r="J35" t="inlineStr">
        <is>
          <t>QUELLON</t>
        </is>
      </c>
      <c r="M35" t="n">
        <v>3558.30849565</v>
      </c>
      <c r="N35" t="inlineStr">
        <is>
          <t>QUELLON</t>
        </is>
      </c>
      <c r="O35" t="inlineStr">
        <is>
          <t>BS1A</t>
        </is>
      </c>
      <c r="P35" t="n">
        <v>2</v>
      </c>
    </row>
    <row r="36">
      <c r="A36" t="inlineStr">
        <is>
          <t>R_G</t>
        </is>
      </c>
      <c r="B36" t="inlineStr">
        <is>
          <t>01-01-2021</t>
        </is>
      </c>
      <c r="C36" t="n">
        <v>2021</v>
      </c>
      <c r="D36" t="n">
        <v>1</v>
      </c>
      <c r="E36" t="inlineStr">
        <is>
          <t>CAREN</t>
        </is>
      </c>
      <c r="F36" t="inlineStr">
        <is>
          <t>SUM_SAESA_A</t>
        </is>
      </c>
      <c r="G36" t="inlineStr">
        <is>
          <t>A</t>
        </is>
      </c>
      <c r="H36" t="inlineStr">
        <is>
          <t>SAESA</t>
        </is>
      </c>
      <c r="I36" t="inlineStr">
        <is>
          <t>SAESSANGBLOQA</t>
        </is>
      </c>
      <c r="J36" t="inlineStr">
        <is>
          <t>SANGRA</t>
        </is>
      </c>
      <c r="M36" t="n">
        <v>2964.84893303</v>
      </c>
      <c r="N36" t="inlineStr">
        <is>
          <t>SANGRA 23</t>
        </is>
      </c>
      <c r="O36" t="inlineStr">
        <is>
          <t>BS1A</t>
        </is>
      </c>
      <c r="P36" t="n">
        <v>2</v>
      </c>
    </row>
    <row r="37">
      <c r="A37" t="inlineStr">
        <is>
          <t>R_G</t>
        </is>
      </c>
      <c r="B37" t="inlineStr">
        <is>
          <t>01-01-2021</t>
        </is>
      </c>
      <c r="C37" t="n">
        <v>2021</v>
      </c>
      <c r="D37" t="n">
        <v>1</v>
      </c>
      <c r="E37" t="inlineStr">
        <is>
          <t>CAREN</t>
        </is>
      </c>
      <c r="F37" t="inlineStr">
        <is>
          <t>SUM_SAESA_A</t>
        </is>
      </c>
      <c r="G37" t="inlineStr">
        <is>
          <t>A</t>
        </is>
      </c>
      <c r="H37" t="inlineStr">
        <is>
          <t>SAESA</t>
        </is>
      </c>
      <c r="I37" t="inlineStr">
        <is>
          <t>SAESVALDENBLOQA</t>
        </is>
      </c>
      <c r="J37" t="inlineStr">
        <is>
          <t>VALDIVIA</t>
        </is>
      </c>
      <c r="M37" t="n">
        <v>7447.08415396</v>
      </c>
      <c r="N37" t="inlineStr">
        <is>
          <t>VALDIVIA</t>
        </is>
      </c>
      <c r="O37" t="inlineStr">
        <is>
          <t>BS1A</t>
        </is>
      </c>
      <c r="P37" t="n">
        <v>2</v>
      </c>
    </row>
    <row r="38">
      <c r="A38" t="inlineStr">
        <is>
          <t>R_G</t>
        </is>
      </c>
      <c r="B38" t="inlineStr">
        <is>
          <t>01-02-2021</t>
        </is>
      </c>
      <c r="C38" t="n">
        <v>2021</v>
      </c>
      <c r="D38" t="n">
        <v>1</v>
      </c>
      <c r="E38" t="inlineStr">
        <is>
          <t>CAREN</t>
        </is>
      </c>
      <c r="F38" t="inlineStr">
        <is>
          <t>SUM_SAESA_A</t>
        </is>
      </c>
      <c r="G38" t="inlineStr">
        <is>
          <t>A</t>
        </is>
      </c>
      <c r="H38" t="inlineStr">
        <is>
          <t>SAESA</t>
        </is>
      </c>
      <c r="I38" t="inlineStr">
        <is>
          <t>SAESABONBLOQA</t>
        </is>
      </c>
      <c r="J38" t="inlineStr">
        <is>
          <t>ALTO_BONITO</t>
        </is>
      </c>
      <c r="M38" t="n">
        <v>5764.97259809</v>
      </c>
      <c r="N38" t="inlineStr">
        <is>
          <t>ALTO BONITO</t>
        </is>
      </c>
      <c r="O38" t="inlineStr">
        <is>
          <t>BS1A</t>
        </is>
      </c>
      <c r="P38" t="n">
        <v>2</v>
      </c>
    </row>
    <row r="39">
      <c r="A39" t="inlineStr">
        <is>
          <t>R_G</t>
        </is>
      </c>
      <c r="B39" t="inlineStr">
        <is>
          <t>01-02-2021</t>
        </is>
      </c>
      <c r="C39" t="n">
        <v>2021</v>
      </c>
      <c r="D39" t="n">
        <v>1</v>
      </c>
      <c r="E39" t="inlineStr">
        <is>
          <t>CAREN</t>
        </is>
      </c>
      <c r="F39" t="inlineStr">
        <is>
          <t>SUM_SAESA_A</t>
        </is>
      </c>
      <c r="G39" t="inlineStr">
        <is>
          <t>A</t>
        </is>
      </c>
      <c r="H39" t="inlineStr">
        <is>
          <t>SAESA</t>
        </is>
      </c>
      <c r="I39" t="inlineStr">
        <is>
          <t>SAESACHIRREBLOQA</t>
        </is>
      </c>
      <c r="J39" t="inlineStr">
        <is>
          <t>CHIRRE</t>
        </is>
      </c>
      <c r="M39" t="n">
        <v>2811.39405564</v>
      </c>
      <c r="N39" t="inlineStr">
        <is>
          <t>CHIRRE 23</t>
        </is>
      </c>
      <c r="O39" t="inlineStr">
        <is>
          <t>BS1A</t>
        </is>
      </c>
      <c r="P39" t="n">
        <v>2</v>
      </c>
    </row>
    <row r="40">
      <c r="A40" t="inlineStr">
        <is>
          <t>R_G</t>
        </is>
      </c>
      <c r="B40" t="inlineStr">
        <is>
          <t>01-02-2021</t>
        </is>
      </c>
      <c r="C40" t="n">
        <v>2021</v>
      </c>
      <c r="D40" t="n">
        <v>1</v>
      </c>
      <c r="E40" t="inlineStr">
        <is>
          <t>CAREN</t>
        </is>
      </c>
      <c r="F40" t="inlineStr">
        <is>
          <t>SUM_SAESA_A</t>
        </is>
      </c>
      <c r="G40" t="inlineStr">
        <is>
          <t>A</t>
        </is>
      </c>
      <c r="H40" t="inlineStr">
        <is>
          <t>SAESA</t>
        </is>
      </c>
      <c r="I40" t="inlineStr">
        <is>
          <t>SAESAIHUBLOQA</t>
        </is>
      </c>
      <c r="J40" t="inlineStr">
        <is>
          <t>AIHUAPI</t>
        </is>
      </c>
      <c r="M40" t="n">
        <v>207.95873497</v>
      </c>
      <c r="N40" t="inlineStr">
        <is>
          <t>AIHUAPI</t>
        </is>
      </c>
      <c r="O40" t="inlineStr">
        <is>
          <t>BS1A</t>
        </is>
      </c>
      <c r="P40" t="n">
        <v>2</v>
      </c>
    </row>
    <row r="41">
      <c r="A41" t="inlineStr">
        <is>
          <t>R_G</t>
        </is>
      </c>
      <c r="B41" t="inlineStr">
        <is>
          <t>01-02-2021</t>
        </is>
      </c>
      <c r="C41" t="n">
        <v>2021</v>
      </c>
      <c r="D41" t="n">
        <v>1</v>
      </c>
      <c r="E41" t="inlineStr">
        <is>
          <t>CAREN</t>
        </is>
      </c>
      <c r="F41" t="inlineStr">
        <is>
          <t>SUM_SAESA_A</t>
        </is>
      </c>
      <c r="G41" t="inlineStr">
        <is>
          <t>A</t>
        </is>
      </c>
      <c r="H41" t="inlineStr">
        <is>
          <t>SAESA</t>
        </is>
      </c>
      <c r="I41" t="inlineStr">
        <is>
          <t>SAESANCUBLOQA</t>
        </is>
      </c>
      <c r="J41" t="inlineStr">
        <is>
          <t>ANCUD</t>
        </is>
      </c>
      <c r="M41" t="n">
        <v>4717.1822156</v>
      </c>
      <c r="N41" t="inlineStr">
        <is>
          <t>ANCUD</t>
        </is>
      </c>
      <c r="O41" t="inlineStr">
        <is>
          <t>BS1A</t>
        </is>
      </c>
      <c r="P41" t="n">
        <v>2</v>
      </c>
    </row>
    <row r="42">
      <c r="A42" t="inlineStr">
        <is>
          <t>R_G</t>
        </is>
      </c>
      <c r="B42" t="inlineStr">
        <is>
          <t>01-02-2021</t>
        </is>
      </c>
      <c r="C42" t="n">
        <v>2021</v>
      </c>
      <c r="D42" t="n">
        <v>1</v>
      </c>
      <c r="E42" t="inlineStr">
        <is>
          <t>CAREN</t>
        </is>
      </c>
      <c r="F42" t="inlineStr">
        <is>
          <t>SUM_SAESA_A</t>
        </is>
      </c>
      <c r="G42" t="inlineStr">
        <is>
          <t>A</t>
        </is>
      </c>
      <c r="H42" t="inlineStr">
        <is>
          <t>SAESA</t>
        </is>
      </c>
      <c r="I42" t="inlineStr">
        <is>
          <t>SAESARMBLOQA</t>
        </is>
      </c>
      <c r="J42" t="inlineStr">
        <is>
          <t>ARMAZONES</t>
        </is>
      </c>
      <c r="M42" t="n">
        <v>1271.69945007</v>
      </c>
      <c r="N42" t="inlineStr">
        <is>
          <t>ARMAZONES</t>
        </is>
      </c>
      <c r="O42" t="inlineStr">
        <is>
          <t>BS1A</t>
        </is>
      </c>
      <c r="P42" t="n">
        <v>2</v>
      </c>
    </row>
    <row r="43">
      <c r="A43" t="inlineStr">
        <is>
          <t>R_G</t>
        </is>
      </c>
      <c r="B43" t="inlineStr">
        <is>
          <t>01-02-2021</t>
        </is>
      </c>
      <c r="C43" t="n">
        <v>2021</v>
      </c>
      <c r="D43" t="n">
        <v>1</v>
      </c>
      <c r="E43" t="inlineStr">
        <is>
          <t>CAREN</t>
        </is>
      </c>
      <c r="F43" t="inlineStr">
        <is>
          <t>SUM_SAESA_A</t>
        </is>
      </c>
      <c r="G43" t="inlineStr">
        <is>
          <t>A</t>
        </is>
      </c>
      <c r="H43" t="inlineStr">
        <is>
          <t>SAESA</t>
        </is>
      </c>
      <c r="I43" t="inlineStr">
        <is>
          <t>SAESARNEGBLOQA</t>
        </is>
      </c>
      <c r="J43" t="inlineStr">
        <is>
          <t>R.NEGRO</t>
        </is>
      </c>
      <c r="M43" t="n">
        <v>2764.5511154</v>
      </c>
      <c r="N43" t="inlineStr">
        <is>
          <t>RIO NEGRO 23</t>
        </is>
      </c>
      <c r="O43" t="inlineStr">
        <is>
          <t>BS1A</t>
        </is>
      </c>
      <c r="P43" t="n">
        <v>2</v>
      </c>
    </row>
    <row r="44">
      <c r="A44" t="inlineStr">
        <is>
          <t>R_G</t>
        </is>
      </c>
      <c r="B44" t="inlineStr">
        <is>
          <t>01-02-2021</t>
        </is>
      </c>
      <c r="C44" t="n">
        <v>2021</v>
      </c>
      <c r="D44" t="n">
        <v>1</v>
      </c>
      <c r="E44" t="inlineStr">
        <is>
          <t>CAREN</t>
        </is>
      </c>
      <c r="F44" t="inlineStr">
        <is>
          <t>SUM_SAESA_A</t>
        </is>
      </c>
      <c r="G44" t="inlineStr">
        <is>
          <t>A</t>
        </is>
      </c>
      <c r="H44" t="inlineStr">
        <is>
          <t>SAESA</t>
        </is>
      </c>
      <c r="I44" t="inlineStr">
        <is>
          <t>SAESBBLABLOQA</t>
        </is>
      </c>
      <c r="J44" t="inlineStr">
        <is>
          <t>B.BLANCO</t>
        </is>
      </c>
      <c r="M44" t="n">
        <v>3386.49985259</v>
      </c>
      <c r="N44" t="inlineStr">
        <is>
          <t>BARRO BLANCO</t>
        </is>
      </c>
      <c r="O44" t="inlineStr">
        <is>
          <t>BS1A</t>
        </is>
      </c>
      <c r="P44" t="n">
        <v>2</v>
      </c>
    </row>
    <row r="45">
      <c r="A45" t="inlineStr">
        <is>
          <t>R_G</t>
        </is>
      </c>
      <c r="B45" t="inlineStr">
        <is>
          <t>01-02-2021</t>
        </is>
      </c>
      <c r="C45" t="n">
        <v>2021</v>
      </c>
      <c r="D45" t="n">
        <v>1</v>
      </c>
      <c r="E45" t="inlineStr">
        <is>
          <t>CAREN</t>
        </is>
      </c>
      <c r="F45" t="inlineStr">
        <is>
          <t>SUM_SAESA_A</t>
        </is>
      </c>
      <c r="G45" t="inlineStr">
        <is>
          <t>A</t>
        </is>
      </c>
      <c r="H45" t="inlineStr">
        <is>
          <t>SAESA</t>
        </is>
      </c>
      <c r="I45" t="inlineStr">
        <is>
          <t>SAESCALBBLOQA</t>
        </is>
      </c>
      <c r="J45" t="inlineStr">
        <is>
          <t>CALBUCO</t>
        </is>
      </c>
      <c r="M45" t="n">
        <v>2266.72378994</v>
      </c>
      <c r="N45" t="inlineStr">
        <is>
          <t>CALBUCO</t>
        </is>
      </c>
      <c r="O45" t="inlineStr">
        <is>
          <t>BS1A</t>
        </is>
      </c>
      <c r="P45" t="n">
        <v>2</v>
      </c>
    </row>
    <row r="46">
      <c r="A46" t="inlineStr">
        <is>
          <t>R_G</t>
        </is>
      </c>
      <c r="B46" t="inlineStr">
        <is>
          <t>01-02-2021</t>
        </is>
      </c>
      <c r="C46" t="n">
        <v>2021</v>
      </c>
      <c r="D46" t="n">
        <v>1</v>
      </c>
      <c r="E46" t="inlineStr">
        <is>
          <t>CAREN</t>
        </is>
      </c>
      <c r="F46" t="inlineStr">
        <is>
          <t>SUM_SAESA_A</t>
        </is>
      </c>
      <c r="G46" t="inlineStr">
        <is>
          <t>A</t>
        </is>
      </c>
      <c r="H46" t="inlineStr">
        <is>
          <t>SAESA</t>
        </is>
      </c>
      <c r="I46" t="inlineStr">
        <is>
          <t>SAESCASTBLOQA</t>
        </is>
      </c>
      <c r="J46" t="inlineStr">
        <is>
          <t>CASTRO</t>
        </is>
      </c>
      <c r="M46" t="n">
        <v>4315.53962348</v>
      </c>
      <c r="N46" t="inlineStr">
        <is>
          <t>CASTRO</t>
        </is>
      </c>
      <c r="O46" t="inlineStr">
        <is>
          <t>BS1A</t>
        </is>
      </c>
      <c r="P46" t="n">
        <v>2</v>
      </c>
    </row>
    <row r="47">
      <c r="A47" t="inlineStr">
        <is>
          <t>R_G</t>
        </is>
      </c>
      <c r="B47" t="inlineStr">
        <is>
          <t>01-02-2021</t>
        </is>
      </c>
      <c r="C47" t="n">
        <v>2021</v>
      </c>
      <c r="D47" t="n">
        <v>1</v>
      </c>
      <c r="E47" t="inlineStr">
        <is>
          <t>CAREN</t>
        </is>
      </c>
      <c r="F47" t="inlineStr">
        <is>
          <t>SUM_SAESA_A</t>
        </is>
      </c>
      <c r="G47" t="inlineStr">
        <is>
          <t>A</t>
        </is>
      </c>
      <c r="H47" t="inlineStr">
        <is>
          <t>SAESA</t>
        </is>
      </c>
      <c r="I47" t="inlineStr">
        <is>
          <t>SAESCHONBLOQA</t>
        </is>
      </c>
      <c r="J47" t="inlineStr">
        <is>
          <t>CHONCHI</t>
        </is>
      </c>
      <c r="M47" t="n">
        <v>3133.18032901</v>
      </c>
      <c r="N47" t="inlineStr">
        <is>
          <t>CHONCHI</t>
        </is>
      </c>
      <c r="O47" t="inlineStr">
        <is>
          <t>BS1A</t>
        </is>
      </c>
      <c r="P47" t="n">
        <v>2</v>
      </c>
    </row>
    <row r="48">
      <c r="A48" t="inlineStr">
        <is>
          <t>R_G</t>
        </is>
      </c>
      <c r="B48" t="inlineStr">
        <is>
          <t>01-02-2021</t>
        </is>
      </c>
      <c r="C48" t="n">
        <v>2021</v>
      </c>
      <c r="D48" t="n">
        <v>1</v>
      </c>
      <c r="E48" t="inlineStr">
        <is>
          <t>CAREN</t>
        </is>
      </c>
      <c r="F48" t="inlineStr">
        <is>
          <t>SUM_SAESA_A</t>
        </is>
      </c>
      <c r="G48" t="inlineStr">
        <is>
          <t>A</t>
        </is>
      </c>
      <c r="H48" t="inlineStr">
        <is>
          <t>SAESA</t>
        </is>
      </c>
      <c r="I48" t="inlineStr">
        <is>
          <t>SAESCOLABLOQA</t>
        </is>
      </c>
      <c r="J48" t="inlineStr">
        <is>
          <t>COLACO</t>
        </is>
      </c>
      <c r="M48" t="n">
        <v>2656.43192519</v>
      </c>
      <c r="N48" t="inlineStr">
        <is>
          <t>COLACO</t>
        </is>
      </c>
      <c r="O48" t="inlineStr">
        <is>
          <t>BS1A</t>
        </is>
      </c>
      <c r="P48" t="n">
        <v>2</v>
      </c>
    </row>
    <row r="49">
      <c r="A49" t="inlineStr">
        <is>
          <t>R_G</t>
        </is>
      </c>
      <c r="B49" t="inlineStr">
        <is>
          <t>01-02-2021</t>
        </is>
      </c>
      <c r="C49" t="n">
        <v>2021</v>
      </c>
      <c r="D49" t="n">
        <v>1</v>
      </c>
      <c r="E49" t="inlineStr">
        <is>
          <t>CAREN</t>
        </is>
      </c>
      <c r="F49" t="inlineStr">
        <is>
          <t>SUM_SAESA_A</t>
        </is>
      </c>
      <c r="G49" t="inlineStr">
        <is>
          <t>A</t>
        </is>
      </c>
      <c r="H49" t="inlineStr">
        <is>
          <t>SAESA</t>
        </is>
      </c>
      <c r="I49" t="inlineStr">
        <is>
          <t>SAESCORRBLOQA</t>
        </is>
      </c>
      <c r="J49" t="inlineStr">
        <is>
          <t>CORRAL</t>
        </is>
      </c>
      <c r="M49" t="n">
        <v>765.61079676</v>
      </c>
      <c r="N49" t="inlineStr">
        <is>
          <t>CORRAL</t>
        </is>
      </c>
      <c r="O49" t="inlineStr">
        <is>
          <t>BS1A</t>
        </is>
      </c>
      <c r="P49" t="n">
        <v>2</v>
      </c>
    </row>
    <row r="50">
      <c r="A50" t="inlineStr">
        <is>
          <t>R_G</t>
        </is>
      </c>
      <c r="B50" t="inlineStr">
        <is>
          <t>01-02-2021</t>
        </is>
      </c>
      <c r="C50" t="n">
        <v>2021</v>
      </c>
      <c r="D50" t="n">
        <v>1</v>
      </c>
      <c r="E50" t="inlineStr">
        <is>
          <t>CAREN</t>
        </is>
      </c>
      <c r="F50" t="inlineStr">
        <is>
          <t>SUM_SAESA_A</t>
        </is>
      </c>
      <c r="G50" t="inlineStr">
        <is>
          <t>A</t>
        </is>
      </c>
      <c r="H50" t="inlineStr">
        <is>
          <t>SAESA</t>
        </is>
      </c>
      <c r="I50" t="inlineStr">
        <is>
          <t>SAESDALCBLOQA</t>
        </is>
      </c>
      <c r="J50" t="inlineStr">
        <is>
          <t>DALCAHUE</t>
        </is>
      </c>
      <c r="M50" t="n">
        <v>3851.09240173</v>
      </c>
      <c r="N50" t="inlineStr">
        <is>
          <t>DALCAHUE</t>
        </is>
      </c>
      <c r="O50" t="inlineStr">
        <is>
          <t>BS1A</t>
        </is>
      </c>
      <c r="P50" t="n">
        <v>2</v>
      </c>
    </row>
    <row r="51">
      <c r="A51" t="inlineStr">
        <is>
          <t>R_G</t>
        </is>
      </c>
      <c r="B51" t="inlineStr">
        <is>
          <t>01-02-2021</t>
        </is>
      </c>
      <c r="C51" t="n">
        <v>2021</v>
      </c>
      <c r="D51" t="n">
        <v>1</v>
      </c>
      <c r="E51" t="inlineStr">
        <is>
          <t>CAREN</t>
        </is>
      </c>
      <c r="F51" t="inlineStr">
        <is>
          <t>SUM_SAESA_A</t>
        </is>
      </c>
      <c r="G51" t="inlineStr">
        <is>
          <t>A</t>
        </is>
      </c>
      <c r="H51" t="inlineStr">
        <is>
          <t>SAESA</t>
        </is>
      </c>
      <c r="I51" t="inlineStr">
        <is>
          <t>SAESDEGABLOQA</t>
        </is>
      </c>
      <c r="J51" t="inlineStr">
        <is>
          <t>DEGAÑ</t>
        </is>
      </c>
      <c r="M51" t="n">
        <v>1230.9118491</v>
      </c>
      <c r="N51" t="inlineStr">
        <is>
          <t>DEGAÑ</t>
        </is>
      </c>
      <c r="O51" t="inlineStr">
        <is>
          <t>BS1A</t>
        </is>
      </c>
      <c r="P51" t="n">
        <v>2</v>
      </c>
    </row>
    <row r="52">
      <c r="A52" t="inlineStr">
        <is>
          <t>R_G</t>
        </is>
      </c>
      <c r="B52" t="inlineStr">
        <is>
          <t>01-02-2021</t>
        </is>
      </c>
      <c r="C52" t="n">
        <v>2021</v>
      </c>
      <c r="D52" t="n">
        <v>1</v>
      </c>
      <c r="E52" t="inlineStr">
        <is>
          <t>CAREN</t>
        </is>
      </c>
      <c r="F52" t="inlineStr">
        <is>
          <t>SUM_SAESA_A</t>
        </is>
      </c>
      <c r="G52" t="inlineStr">
        <is>
          <t>A</t>
        </is>
      </c>
      <c r="H52" t="inlineStr">
        <is>
          <t>SAESA</t>
        </is>
      </c>
      <c r="I52" t="inlineStr">
        <is>
          <t>SAESELEMBLOQA</t>
        </is>
      </c>
      <c r="J52" t="inlineStr">
        <is>
          <t>EMPALME</t>
        </is>
      </c>
      <c r="M52" t="n">
        <v>2103.23101792</v>
      </c>
      <c r="N52" t="inlineStr">
        <is>
          <t>PARGUA 23</t>
        </is>
      </c>
      <c r="O52" t="inlineStr">
        <is>
          <t>BS1A</t>
        </is>
      </c>
      <c r="P52" t="n">
        <v>2</v>
      </c>
    </row>
    <row r="53">
      <c r="A53" t="inlineStr">
        <is>
          <t>R_G</t>
        </is>
      </c>
      <c r="B53" t="inlineStr">
        <is>
          <t>01-02-2021</t>
        </is>
      </c>
      <c r="C53" t="n">
        <v>2021</v>
      </c>
      <c r="D53" t="n">
        <v>1</v>
      </c>
      <c r="E53" t="inlineStr">
        <is>
          <t>CAREN</t>
        </is>
      </c>
      <c r="F53" t="inlineStr">
        <is>
          <t>SUM_SAESA_A</t>
        </is>
      </c>
      <c r="G53" t="inlineStr">
        <is>
          <t>A</t>
        </is>
      </c>
      <c r="H53" t="inlineStr">
        <is>
          <t>SAESA</t>
        </is>
      </c>
      <c r="I53" t="inlineStr">
        <is>
          <t>SAESFRUTBLOQA</t>
        </is>
      </c>
      <c r="J53" t="inlineStr">
        <is>
          <t>FRUTILLAR</t>
        </is>
      </c>
      <c r="M53" t="n">
        <v>4573.41496678</v>
      </c>
      <c r="N53" t="inlineStr">
        <is>
          <t>FRUTILLAR</t>
        </is>
      </c>
      <c r="O53" t="inlineStr">
        <is>
          <t>BS1A</t>
        </is>
      </c>
      <c r="P53" t="n">
        <v>2</v>
      </c>
    </row>
    <row r="54">
      <c r="A54" t="inlineStr">
        <is>
          <t>R_G</t>
        </is>
      </c>
      <c r="B54" t="inlineStr">
        <is>
          <t>01-02-2021</t>
        </is>
      </c>
      <c r="C54" t="n">
        <v>2021</v>
      </c>
      <c r="D54" t="n">
        <v>1</v>
      </c>
      <c r="E54" t="inlineStr">
        <is>
          <t>CAREN</t>
        </is>
      </c>
      <c r="F54" t="inlineStr">
        <is>
          <t>SUM_SAESA_A</t>
        </is>
      </c>
      <c r="G54" t="inlineStr">
        <is>
          <t>A</t>
        </is>
      </c>
      <c r="H54" t="inlineStr">
        <is>
          <t>SAESA</t>
        </is>
      </c>
      <c r="I54" t="inlineStr">
        <is>
          <t>SAESLAUNBLOQA</t>
        </is>
      </c>
      <c r="J54" t="inlineStr">
        <is>
          <t>L.UNION</t>
        </is>
      </c>
      <c r="M54" t="n">
        <v>3846.3491698</v>
      </c>
      <c r="N54" t="inlineStr">
        <is>
          <t>LA UNION</t>
        </is>
      </c>
      <c r="O54" t="inlineStr">
        <is>
          <t>BS1A</t>
        </is>
      </c>
      <c r="P54" t="n">
        <v>2</v>
      </c>
    </row>
    <row r="55">
      <c r="A55" t="inlineStr">
        <is>
          <t>R_G</t>
        </is>
      </c>
      <c r="B55" t="inlineStr">
        <is>
          <t>01-02-2021</t>
        </is>
      </c>
      <c r="C55" t="n">
        <v>2021</v>
      </c>
      <c r="D55" t="n">
        <v>1</v>
      </c>
      <c r="E55" t="inlineStr">
        <is>
          <t>CAREN</t>
        </is>
      </c>
      <c r="F55" t="inlineStr">
        <is>
          <t>SUM_SAESA_A</t>
        </is>
      </c>
      <c r="G55" t="inlineStr">
        <is>
          <t>A</t>
        </is>
      </c>
      <c r="H55" t="inlineStr">
        <is>
          <t>SAESA</t>
        </is>
      </c>
      <c r="I55" t="inlineStr">
        <is>
          <t>SAESLONCBLOQA</t>
        </is>
      </c>
      <c r="J55" t="inlineStr">
        <is>
          <t>LONCOCHE2</t>
        </is>
      </c>
      <c r="M55" t="n">
        <v>4676.648954</v>
      </c>
      <c r="N55" t="inlineStr">
        <is>
          <t>LONCOCHE</t>
        </is>
      </c>
      <c r="O55" t="inlineStr">
        <is>
          <t>BS1A</t>
        </is>
      </c>
      <c r="P55" t="n">
        <v>2</v>
      </c>
    </row>
    <row r="56">
      <c r="A56" t="inlineStr">
        <is>
          <t>R_G</t>
        </is>
      </c>
      <c r="B56" t="inlineStr">
        <is>
          <t>01-02-2021</t>
        </is>
      </c>
      <c r="C56" t="n">
        <v>2021</v>
      </c>
      <c r="D56" t="n">
        <v>1</v>
      </c>
      <c r="E56" t="inlineStr">
        <is>
          <t>CAREN</t>
        </is>
      </c>
      <c r="F56" t="inlineStr">
        <is>
          <t>SUM_SAESA_A</t>
        </is>
      </c>
      <c r="G56" t="inlineStr">
        <is>
          <t>A</t>
        </is>
      </c>
      <c r="H56" t="inlineStr">
        <is>
          <t>SAESA</t>
        </is>
      </c>
      <c r="I56" t="inlineStr">
        <is>
          <t>SAESLOSLBLOQA</t>
        </is>
      </c>
      <c r="J56" t="inlineStr">
        <is>
          <t>L.LAGOS</t>
        </is>
      </c>
      <c r="M56" t="n">
        <v>2070.1816535</v>
      </c>
      <c r="N56" t="inlineStr">
        <is>
          <t>LOS LAGOS</t>
        </is>
      </c>
      <c r="O56" t="inlineStr">
        <is>
          <t>BS1A</t>
        </is>
      </c>
      <c r="P56" t="n">
        <v>2</v>
      </c>
    </row>
    <row r="57">
      <c r="A57" t="inlineStr">
        <is>
          <t>R_G</t>
        </is>
      </c>
      <c r="B57" t="inlineStr">
        <is>
          <t>01-02-2021</t>
        </is>
      </c>
      <c r="C57" t="n">
        <v>2021</v>
      </c>
      <c r="D57" t="n">
        <v>1</v>
      </c>
      <c r="E57" t="inlineStr">
        <is>
          <t>CAREN</t>
        </is>
      </c>
      <c r="F57" t="inlineStr">
        <is>
          <t>SUM_SAESA_A</t>
        </is>
      </c>
      <c r="G57" t="inlineStr">
        <is>
          <t>A</t>
        </is>
      </c>
      <c r="H57" t="inlineStr">
        <is>
          <t>SAESA</t>
        </is>
      </c>
      <c r="I57" t="inlineStr">
        <is>
          <t>SAESLTAMBLOQA</t>
        </is>
      </c>
      <c r="J57" t="inlineStr">
        <is>
          <t>LOS_TAMBORES</t>
        </is>
      </c>
      <c r="M57" t="n">
        <v>3169.31852767</v>
      </c>
      <c r="N57" t="inlineStr">
        <is>
          <t>LOS TAMBORES</t>
        </is>
      </c>
      <c r="O57" t="inlineStr">
        <is>
          <t>BS1A</t>
        </is>
      </c>
      <c r="P57" t="n">
        <v>2</v>
      </c>
    </row>
    <row r="58">
      <c r="A58" t="inlineStr">
        <is>
          <t>R_G</t>
        </is>
      </c>
      <c r="B58" t="inlineStr">
        <is>
          <t>01-02-2021</t>
        </is>
      </c>
      <c r="C58" t="n">
        <v>2021</v>
      </c>
      <c r="D58" t="n">
        <v>1</v>
      </c>
      <c r="E58" t="inlineStr">
        <is>
          <t>CAREN</t>
        </is>
      </c>
      <c r="F58" t="inlineStr">
        <is>
          <t>SUM_SAESA_A</t>
        </is>
      </c>
      <c r="G58" t="inlineStr">
        <is>
          <t>A</t>
        </is>
      </c>
      <c r="H58" t="inlineStr">
        <is>
          <t>SAESA</t>
        </is>
      </c>
      <c r="I58" t="inlineStr">
        <is>
          <t>SAESMARIBLOQA</t>
        </is>
      </c>
      <c r="J58" t="inlineStr">
        <is>
          <t>MARIQUINA</t>
        </is>
      </c>
      <c r="M58" t="n">
        <v>2955.34542177</v>
      </c>
      <c r="N58" t="inlineStr">
        <is>
          <t>MARIQUINA</t>
        </is>
      </c>
      <c r="O58" t="inlineStr">
        <is>
          <t>BS1A</t>
        </is>
      </c>
      <c r="P58" t="n">
        <v>2</v>
      </c>
    </row>
    <row r="59">
      <c r="A59" t="inlineStr">
        <is>
          <t>R_G</t>
        </is>
      </c>
      <c r="B59" t="inlineStr">
        <is>
          <t>01-02-2021</t>
        </is>
      </c>
      <c r="C59" t="n">
        <v>2021</v>
      </c>
      <c r="D59" t="n">
        <v>1</v>
      </c>
      <c r="E59" t="inlineStr">
        <is>
          <t>CAREN</t>
        </is>
      </c>
      <c r="F59" t="inlineStr">
        <is>
          <t>SUM_SAESA_A</t>
        </is>
      </c>
      <c r="G59" t="inlineStr">
        <is>
          <t>A</t>
        </is>
      </c>
      <c r="H59" t="inlineStr">
        <is>
          <t>SAESA</t>
        </is>
      </c>
      <c r="I59" t="inlineStr">
        <is>
          <t>SAESMELIBLOQA</t>
        </is>
      </c>
      <c r="J59" t="inlineStr">
        <is>
          <t>MELIPULLI</t>
        </is>
      </c>
      <c r="M59" t="n">
        <v>31831.45826673</v>
      </c>
      <c r="N59" t="inlineStr">
        <is>
          <t>MELIPULLI</t>
        </is>
      </c>
      <c r="O59" t="inlineStr">
        <is>
          <t>BS1A</t>
        </is>
      </c>
      <c r="P59" t="n">
        <v>2</v>
      </c>
    </row>
    <row r="60">
      <c r="A60" t="inlineStr">
        <is>
          <t>R_G</t>
        </is>
      </c>
      <c r="B60" t="inlineStr">
        <is>
          <t>01-02-2021</t>
        </is>
      </c>
      <c r="C60" t="n">
        <v>2021</v>
      </c>
      <c r="D60" t="n">
        <v>1</v>
      </c>
      <c r="E60" t="inlineStr">
        <is>
          <t>CAREN</t>
        </is>
      </c>
      <c r="F60" t="inlineStr">
        <is>
          <t>SUM_SAESA_A</t>
        </is>
      </c>
      <c r="G60" t="inlineStr">
        <is>
          <t>A</t>
        </is>
      </c>
      <c r="H60" t="inlineStr">
        <is>
          <t>SAESA</t>
        </is>
      </c>
      <c r="I60" t="inlineStr">
        <is>
          <t>SAESOSORBLOQA</t>
        </is>
      </c>
      <c r="J60" t="inlineStr">
        <is>
          <t>OSORNO</t>
        </is>
      </c>
      <c r="M60" t="n">
        <v>18231.9999648</v>
      </c>
      <c r="N60" t="inlineStr">
        <is>
          <t>OSORNO</t>
        </is>
      </c>
      <c r="O60" t="inlineStr">
        <is>
          <t>BS1A</t>
        </is>
      </c>
      <c r="P60" t="n">
        <v>2</v>
      </c>
    </row>
    <row r="61">
      <c r="A61" t="inlineStr">
        <is>
          <t>R_G</t>
        </is>
      </c>
      <c r="B61" t="inlineStr">
        <is>
          <t>01-02-2021</t>
        </is>
      </c>
      <c r="C61" t="n">
        <v>2021</v>
      </c>
      <c r="D61" t="n">
        <v>1</v>
      </c>
      <c r="E61" t="inlineStr">
        <is>
          <t>CAREN</t>
        </is>
      </c>
      <c r="F61" t="inlineStr">
        <is>
          <t>SUM_SAESA_A</t>
        </is>
      </c>
      <c r="G61" t="inlineStr">
        <is>
          <t>A</t>
        </is>
      </c>
      <c r="H61" t="inlineStr">
        <is>
          <t>SAESA</t>
        </is>
      </c>
      <c r="I61" t="inlineStr">
        <is>
          <t>SAESPANGBLOQA</t>
        </is>
      </c>
      <c r="J61" t="inlineStr">
        <is>
          <t>PANGUIPULLI</t>
        </is>
      </c>
      <c r="M61" t="n">
        <v>7719.00258555</v>
      </c>
      <c r="N61" t="inlineStr">
        <is>
          <t>PANGUIPULLI</t>
        </is>
      </c>
      <c r="O61" t="inlineStr">
        <is>
          <t>BS1A</t>
        </is>
      </c>
      <c r="P61" t="n">
        <v>2</v>
      </c>
    </row>
    <row r="62">
      <c r="A62" t="inlineStr">
        <is>
          <t>R_G</t>
        </is>
      </c>
      <c r="B62" t="inlineStr">
        <is>
          <t>01-02-2021</t>
        </is>
      </c>
      <c r="C62" t="n">
        <v>2021</v>
      </c>
      <c r="D62" t="n">
        <v>1</v>
      </c>
      <c r="E62" t="inlineStr">
        <is>
          <t>CAREN</t>
        </is>
      </c>
      <c r="F62" t="inlineStr">
        <is>
          <t>SUM_SAESA_A</t>
        </is>
      </c>
      <c r="G62" t="inlineStr">
        <is>
          <t>A</t>
        </is>
      </c>
      <c r="H62" t="inlineStr">
        <is>
          <t>SAESA</t>
        </is>
      </c>
      <c r="I62" t="inlineStr">
        <is>
          <t>SAESPARGBLOQA</t>
        </is>
      </c>
      <c r="J62" t="inlineStr">
        <is>
          <t>PARGUA</t>
        </is>
      </c>
      <c r="M62" t="n">
        <v>537.10066297</v>
      </c>
      <c r="N62" t="inlineStr">
        <is>
          <t>PARGUA 23</t>
        </is>
      </c>
      <c r="O62" t="inlineStr">
        <is>
          <t>BS1A</t>
        </is>
      </c>
      <c r="P62" t="n">
        <v>2</v>
      </c>
    </row>
    <row r="63">
      <c r="A63" t="inlineStr">
        <is>
          <t>R_G</t>
        </is>
      </c>
      <c r="B63" t="inlineStr">
        <is>
          <t>01-02-2021</t>
        </is>
      </c>
      <c r="C63" t="n">
        <v>2021</v>
      </c>
      <c r="D63" t="n">
        <v>1</v>
      </c>
      <c r="E63" t="inlineStr">
        <is>
          <t>CAREN</t>
        </is>
      </c>
      <c r="F63" t="inlineStr">
        <is>
          <t>SUM_SAESA_A</t>
        </is>
      </c>
      <c r="G63" t="inlineStr">
        <is>
          <t>A</t>
        </is>
      </c>
      <c r="H63" t="inlineStr">
        <is>
          <t>SAESA</t>
        </is>
      </c>
      <c r="I63" t="inlineStr">
        <is>
          <t>SAESPICABLOQA</t>
        </is>
      </c>
      <c r="J63" t="inlineStr">
        <is>
          <t>PICARTE</t>
        </is>
      </c>
      <c r="M63" t="n">
        <v>17448.90186768</v>
      </c>
      <c r="N63" t="inlineStr">
        <is>
          <t>PICARTE</t>
        </is>
      </c>
      <c r="O63" t="inlineStr">
        <is>
          <t>BS1A</t>
        </is>
      </c>
      <c r="P63" t="n">
        <v>2</v>
      </c>
    </row>
    <row r="64">
      <c r="A64" t="inlineStr">
        <is>
          <t>R_G</t>
        </is>
      </c>
      <c r="B64" t="inlineStr">
        <is>
          <t>01-02-2021</t>
        </is>
      </c>
      <c r="C64" t="n">
        <v>2021</v>
      </c>
      <c r="D64" t="n">
        <v>1</v>
      </c>
      <c r="E64" t="inlineStr">
        <is>
          <t>CAREN</t>
        </is>
      </c>
      <c r="F64" t="inlineStr">
        <is>
          <t>SUM_SAESA_A</t>
        </is>
      </c>
      <c r="G64" t="inlineStr">
        <is>
          <t>A</t>
        </is>
      </c>
      <c r="H64" t="inlineStr">
        <is>
          <t>SAESA</t>
        </is>
      </c>
      <c r="I64" t="inlineStr">
        <is>
          <t>SAESPICHBLOQA</t>
        </is>
      </c>
      <c r="J64" t="inlineStr">
        <is>
          <t>PICHIRROPULLI</t>
        </is>
      </c>
      <c r="M64" t="n">
        <v>4295.82366157</v>
      </c>
      <c r="N64" t="inlineStr">
        <is>
          <t>PICHIRROPULLI</t>
        </is>
      </c>
      <c r="O64" t="inlineStr">
        <is>
          <t>BS1A</t>
        </is>
      </c>
      <c r="P64" t="n">
        <v>2</v>
      </c>
    </row>
    <row r="65">
      <c r="A65" t="inlineStr">
        <is>
          <t>R_G</t>
        </is>
      </c>
      <c r="B65" t="inlineStr">
        <is>
          <t>01-02-2021</t>
        </is>
      </c>
      <c r="C65" t="n">
        <v>2021</v>
      </c>
      <c r="D65" t="n">
        <v>1</v>
      </c>
      <c r="E65" t="inlineStr">
        <is>
          <t>CAREN</t>
        </is>
      </c>
      <c r="F65" t="inlineStr">
        <is>
          <t>SUM_SAESA_A</t>
        </is>
      </c>
      <c r="G65" t="inlineStr">
        <is>
          <t>A</t>
        </is>
      </c>
      <c r="H65" t="inlineStr">
        <is>
          <t>SAESA</t>
        </is>
      </c>
      <c r="I65" t="inlineStr">
        <is>
          <t>SAESPICHIBLOQA</t>
        </is>
      </c>
      <c r="J65" t="inlineStr">
        <is>
          <t>PICHIL</t>
        </is>
      </c>
      <c r="M65" t="n">
        <v>604.37584085</v>
      </c>
      <c r="N65" t="inlineStr">
        <is>
          <t>PICHIL</t>
        </is>
      </c>
      <c r="O65" t="inlineStr">
        <is>
          <t>BS1A</t>
        </is>
      </c>
      <c r="P65" t="n">
        <v>2</v>
      </c>
    </row>
    <row r="66">
      <c r="A66" t="inlineStr">
        <is>
          <t>R_G</t>
        </is>
      </c>
      <c r="B66" t="inlineStr">
        <is>
          <t>01-02-2021</t>
        </is>
      </c>
      <c r="C66" t="n">
        <v>2021</v>
      </c>
      <c r="D66" t="n">
        <v>1</v>
      </c>
      <c r="E66" t="inlineStr">
        <is>
          <t>CAREN</t>
        </is>
      </c>
      <c r="F66" t="inlineStr">
        <is>
          <t>SUM_SAESA_A</t>
        </is>
      </c>
      <c r="G66" t="inlineStr">
        <is>
          <t>A</t>
        </is>
      </c>
      <c r="H66" t="inlineStr">
        <is>
          <t>SAESA</t>
        </is>
      </c>
      <c r="I66" t="inlineStr">
        <is>
          <t>SAESPIDPBLOQA</t>
        </is>
      </c>
      <c r="J66" t="inlineStr">
        <is>
          <t>PIDPID</t>
        </is>
      </c>
      <c r="M66" t="n">
        <v>1894.9745798</v>
      </c>
      <c r="N66" t="inlineStr">
        <is>
          <t>PID PID</t>
        </is>
      </c>
      <c r="O66" t="inlineStr">
        <is>
          <t>BS1A</t>
        </is>
      </c>
      <c r="P66" t="n">
        <v>2</v>
      </c>
    </row>
    <row r="67">
      <c r="A67" t="inlineStr">
        <is>
          <t>R_G</t>
        </is>
      </c>
      <c r="B67" t="inlineStr">
        <is>
          <t>01-02-2021</t>
        </is>
      </c>
      <c r="C67" t="n">
        <v>2021</v>
      </c>
      <c r="D67" t="n">
        <v>1</v>
      </c>
      <c r="E67" t="inlineStr">
        <is>
          <t>CAREN</t>
        </is>
      </c>
      <c r="F67" t="inlineStr">
        <is>
          <t>SUM_SAESA_A</t>
        </is>
      </c>
      <c r="G67" t="inlineStr">
        <is>
          <t>A</t>
        </is>
      </c>
      <c r="H67" t="inlineStr">
        <is>
          <t>SAESA</t>
        </is>
      </c>
      <c r="I67" t="inlineStr">
        <is>
          <t>SAESPILMBLOQA</t>
        </is>
      </c>
      <c r="J67" t="inlineStr">
        <is>
          <t>PILMAIQUEN</t>
        </is>
      </c>
      <c r="M67" t="n">
        <v>0</v>
      </c>
      <c r="N67" t="inlineStr">
        <is>
          <t>PILMAIQUEN</t>
        </is>
      </c>
      <c r="O67" t="inlineStr">
        <is>
          <t>BS1A</t>
        </is>
      </c>
      <c r="P67" t="n">
        <v>2</v>
      </c>
    </row>
    <row r="68">
      <c r="A68" t="inlineStr">
        <is>
          <t>R_G</t>
        </is>
      </c>
      <c r="B68" t="inlineStr">
        <is>
          <t>01-02-2021</t>
        </is>
      </c>
      <c r="C68" t="n">
        <v>2021</v>
      </c>
      <c r="D68" t="n">
        <v>1</v>
      </c>
      <c r="E68" t="inlineStr">
        <is>
          <t>CAREN</t>
        </is>
      </c>
      <c r="F68" t="inlineStr">
        <is>
          <t>SUM_SAESA_A</t>
        </is>
      </c>
      <c r="G68" t="inlineStr">
        <is>
          <t>A</t>
        </is>
      </c>
      <c r="H68" t="inlineStr">
        <is>
          <t>SAESA</t>
        </is>
      </c>
      <c r="I68" t="inlineStr">
        <is>
          <t>SAESPULLBLOQA</t>
        </is>
      </c>
      <c r="J68" t="inlineStr">
        <is>
          <t>PULLINQUE</t>
        </is>
      </c>
      <c r="M68" t="n">
        <v>1448.78882748</v>
      </c>
      <c r="N68" t="inlineStr">
        <is>
          <t>PULLINQUE</t>
        </is>
      </c>
      <c r="O68" t="inlineStr">
        <is>
          <t>BS1A</t>
        </is>
      </c>
      <c r="P68" t="n">
        <v>2</v>
      </c>
    </row>
    <row r="69">
      <c r="A69" t="inlineStr">
        <is>
          <t>R_G</t>
        </is>
      </c>
      <c r="B69" t="inlineStr">
        <is>
          <t>01-02-2021</t>
        </is>
      </c>
      <c r="C69" t="n">
        <v>2021</v>
      </c>
      <c r="D69" t="n">
        <v>1</v>
      </c>
      <c r="E69" t="inlineStr">
        <is>
          <t>CAREN</t>
        </is>
      </c>
      <c r="F69" t="inlineStr">
        <is>
          <t>SUM_SAESA_A</t>
        </is>
      </c>
      <c r="G69" t="inlineStr">
        <is>
          <t>A</t>
        </is>
      </c>
      <c r="H69" t="inlineStr">
        <is>
          <t>SAESA</t>
        </is>
      </c>
      <c r="I69" t="inlineStr">
        <is>
          <t>SAESPURRBLOQA</t>
        </is>
      </c>
      <c r="J69" t="inlineStr">
        <is>
          <t>PURRANQUE</t>
        </is>
      </c>
      <c r="M69" t="n">
        <v>2137.05028667</v>
      </c>
      <c r="N69" t="inlineStr">
        <is>
          <t>PURRANQUE</t>
        </is>
      </c>
      <c r="O69" t="inlineStr">
        <is>
          <t>BS1A</t>
        </is>
      </c>
      <c r="P69" t="n">
        <v>2</v>
      </c>
    </row>
    <row r="70">
      <c r="A70" t="inlineStr">
        <is>
          <t>R_G</t>
        </is>
      </c>
      <c r="B70" t="inlineStr">
        <is>
          <t>01-02-2021</t>
        </is>
      </c>
      <c r="C70" t="n">
        <v>2021</v>
      </c>
      <c r="D70" t="n">
        <v>1</v>
      </c>
      <c r="E70" t="inlineStr">
        <is>
          <t>CAREN</t>
        </is>
      </c>
      <c r="F70" t="inlineStr">
        <is>
          <t>SUM_SAESA_A</t>
        </is>
      </c>
      <c r="G70" t="inlineStr">
        <is>
          <t>A</t>
        </is>
      </c>
      <c r="H70" t="inlineStr">
        <is>
          <t>SAESA</t>
        </is>
      </c>
      <c r="I70" t="inlineStr">
        <is>
          <t>SAESPVARBLOQA</t>
        </is>
      </c>
      <c r="J70" t="inlineStr">
        <is>
          <t>P.VARAS</t>
        </is>
      </c>
      <c r="M70" t="n">
        <v>6448.40633569</v>
      </c>
      <c r="N70" t="inlineStr">
        <is>
          <t>PUERTO VARAS</t>
        </is>
      </c>
      <c r="O70" t="inlineStr">
        <is>
          <t>BS1A</t>
        </is>
      </c>
      <c r="P70" t="n">
        <v>2</v>
      </c>
    </row>
    <row r="71">
      <c r="A71" t="inlineStr">
        <is>
          <t>R_G</t>
        </is>
      </c>
      <c r="B71" t="inlineStr">
        <is>
          <t>01-02-2021</t>
        </is>
      </c>
      <c r="C71" t="n">
        <v>2021</v>
      </c>
      <c r="D71" t="n">
        <v>1</v>
      </c>
      <c r="E71" t="inlineStr">
        <is>
          <t>CAREN</t>
        </is>
      </c>
      <c r="F71" t="inlineStr">
        <is>
          <t>SUM_SAESA_A</t>
        </is>
      </c>
      <c r="G71" t="inlineStr">
        <is>
          <t>A</t>
        </is>
      </c>
      <c r="H71" t="inlineStr">
        <is>
          <t>SAESA</t>
        </is>
      </c>
      <c r="I71" t="inlineStr">
        <is>
          <t>SAESQUELBLOQA</t>
        </is>
      </c>
      <c r="J71" t="inlineStr">
        <is>
          <t>QUELLON</t>
        </is>
      </c>
      <c r="M71" t="n">
        <v>3257.96518232</v>
      </c>
      <c r="N71" t="inlineStr">
        <is>
          <t>QUELLON</t>
        </is>
      </c>
      <c r="O71" t="inlineStr">
        <is>
          <t>BS1A</t>
        </is>
      </c>
      <c r="P71" t="n">
        <v>2</v>
      </c>
    </row>
    <row r="72">
      <c r="A72" t="inlineStr">
        <is>
          <t>R_G</t>
        </is>
      </c>
      <c r="B72" t="inlineStr">
        <is>
          <t>01-02-2021</t>
        </is>
      </c>
      <c r="C72" t="n">
        <v>2021</v>
      </c>
      <c r="D72" t="n">
        <v>1</v>
      </c>
      <c r="E72" t="inlineStr">
        <is>
          <t>CAREN</t>
        </is>
      </c>
      <c r="F72" t="inlineStr">
        <is>
          <t>SUM_SAESA_A</t>
        </is>
      </c>
      <c r="G72" t="inlineStr">
        <is>
          <t>A</t>
        </is>
      </c>
      <c r="H72" t="inlineStr">
        <is>
          <t>SAESA</t>
        </is>
      </c>
      <c r="I72" t="inlineStr">
        <is>
          <t>SAESSANGBLOQA</t>
        </is>
      </c>
      <c r="J72" t="inlineStr">
        <is>
          <t>SANGRA</t>
        </is>
      </c>
      <c r="M72" t="n">
        <v>2331.02098809</v>
      </c>
      <c r="N72" t="inlineStr">
        <is>
          <t>SANGRA 23</t>
        </is>
      </c>
      <c r="O72" t="inlineStr">
        <is>
          <t>BS1A</t>
        </is>
      </c>
      <c r="P72" t="n">
        <v>2</v>
      </c>
    </row>
    <row r="73">
      <c r="A73" t="inlineStr">
        <is>
          <t>R_G</t>
        </is>
      </c>
      <c r="B73" t="inlineStr">
        <is>
          <t>01-02-2021</t>
        </is>
      </c>
      <c r="C73" t="n">
        <v>2021</v>
      </c>
      <c r="D73" t="n">
        <v>1</v>
      </c>
      <c r="E73" t="inlineStr">
        <is>
          <t>CAREN</t>
        </is>
      </c>
      <c r="F73" t="inlineStr">
        <is>
          <t>SUM_SAESA_A</t>
        </is>
      </c>
      <c r="G73" t="inlineStr">
        <is>
          <t>A</t>
        </is>
      </c>
      <c r="H73" t="inlineStr">
        <is>
          <t>SAESA</t>
        </is>
      </c>
      <c r="I73" t="inlineStr">
        <is>
          <t>SAESVALDENBLOQA</t>
        </is>
      </c>
      <c r="J73" t="inlineStr">
        <is>
          <t>VALDIVIA</t>
        </is>
      </c>
      <c r="M73" t="n">
        <v>6738.46397876</v>
      </c>
      <c r="N73" t="inlineStr">
        <is>
          <t>VALDIVIA</t>
        </is>
      </c>
      <c r="O73" t="inlineStr">
        <is>
          <t>BS1A</t>
        </is>
      </c>
      <c r="P73" t="n">
        <v>2</v>
      </c>
    </row>
    <row r="74">
      <c r="A74" t="inlineStr">
        <is>
          <t>R_G</t>
        </is>
      </c>
      <c r="B74" t="inlineStr">
        <is>
          <t>01-03-2021</t>
        </is>
      </c>
      <c r="C74" t="n">
        <v>2021</v>
      </c>
      <c r="D74" t="n">
        <v>1</v>
      </c>
      <c r="E74" t="inlineStr">
        <is>
          <t>CAREN</t>
        </is>
      </c>
      <c r="F74" t="inlineStr">
        <is>
          <t>SUM_SAESA_A</t>
        </is>
      </c>
      <c r="G74" t="inlineStr">
        <is>
          <t>A</t>
        </is>
      </c>
      <c r="H74" t="inlineStr">
        <is>
          <t>SAESA</t>
        </is>
      </c>
      <c r="I74" t="inlineStr">
        <is>
          <t>SAESABONBLOQA</t>
        </is>
      </c>
      <c r="J74" t="inlineStr">
        <is>
          <t>ALTO_BONITO</t>
        </is>
      </c>
      <c r="M74" t="n">
        <v>6722.73258221</v>
      </c>
      <c r="N74" t="inlineStr">
        <is>
          <t>ALTO BONITO</t>
        </is>
      </c>
      <c r="O74" t="inlineStr">
        <is>
          <t>BS1A</t>
        </is>
      </c>
      <c r="P74" t="n">
        <v>2</v>
      </c>
    </row>
    <row r="75">
      <c r="A75" t="inlineStr">
        <is>
          <t>R_G</t>
        </is>
      </c>
      <c r="B75" t="inlineStr">
        <is>
          <t>01-03-2021</t>
        </is>
      </c>
      <c r="C75" t="n">
        <v>2021</v>
      </c>
      <c r="D75" t="n">
        <v>1</v>
      </c>
      <c r="E75" t="inlineStr">
        <is>
          <t>CAREN</t>
        </is>
      </c>
      <c r="F75" t="inlineStr">
        <is>
          <t>SUM_SAESA_A</t>
        </is>
      </c>
      <c r="G75" t="inlineStr">
        <is>
          <t>A</t>
        </is>
      </c>
      <c r="H75" t="inlineStr">
        <is>
          <t>SAESA</t>
        </is>
      </c>
      <c r="I75" t="inlineStr">
        <is>
          <t>SAESACHIRREBLOQA</t>
        </is>
      </c>
      <c r="J75" t="inlineStr">
        <is>
          <t>CHIRRE</t>
        </is>
      </c>
      <c r="M75" t="n">
        <v>2751.45630163</v>
      </c>
      <c r="N75" t="inlineStr">
        <is>
          <t>CHIRRE 23</t>
        </is>
      </c>
      <c r="O75" t="inlineStr">
        <is>
          <t>BS1A</t>
        </is>
      </c>
      <c r="P75" t="n">
        <v>2</v>
      </c>
    </row>
    <row r="76">
      <c r="A76" t="inlineStr">
        <is>
          <t>R_G</t>
        </is>
      </c>
      <c r="B76" t="inlineStr">
        <is>
          <t>01-03-2021</t>
        </is>
      </c>
      <c r="C76" t="n">
        <v>2021</v>
      </c>
      <c r="D76" t="n">
        <v>1</v>
      </c>
      <c r="E76" t="inlineStr">
        <is>
          <t>CAREN</t>
        </is>
      </c>
      <c r="F76" t="inlineStr">
        <is>
          <t>SUM_SAESA_A</t>
        </is>
      </c>
      <c r="G76" t="inlineStr">
        <is>
          <t>A</t>
        </is>
      </c>
      <c r="H76" t="inlineStr">
        <is>
          <t>SAESA</t>
        </is>
      </c>
      <c r="I76" t="inlineStr">
        <is>
          <t>SAESAIHUBLOQA</t>
        </is>
      </c>
      <c r="J76" t="inlineStr">
        <is>
          <t>AIHUAPI</t>
        </is>
      </c>
      <c r="M76" t="n">
        <v>190.33650769</v>
      </c>
      <c r="N76" t="inlineStr">
        <is>
          <t>AIHUAPI</t>
        </is>
      </c>
      <c r="O76" t="inlineStr">
        <is>
          <t>BS1A</t>
        </is>
      </c>
      <c r="P76" t="n">
        <v>2</v>
      </c>
    </row>
    <row r="77">
      <c r="A77" t="inlineStr">
        <is>
          <t>R_G</t>
        </is>
      </c>
      <c r="B77" t="inlineStr">
        <is>
          <t>01-03-2021</t>
        </is>
      </c>
      <c r="C77" t="n">
        <v>2021</v>
      </c>
      <c r="D77" t="n">
        <v>1</v>
      </c>
      <c r="E77" t="inlineStr">
        <is>
          <t>CAREN</t>
        </is>
      </c>
      <c r="F77" t="inlineStr">
        <is>
          <t>SUM_SAESA_A</t>
        </is>
      </c>
      <c r="G77" t="inlineStr">
        <is>
          <t>A</t>
        </is>
      </c>
      <c r="H77" t="inlineStr">
        <is>
          <t>SAESA</t>
        </is>
      </c>
      <c r="I77" t="inlineStr">
        <is>
          <t>SAESANCUBLOQA</t>
        </is>
      </c>
      <c r="J77" t="inlineStr">
        <is>
          <t>ANCUD</t>
        </is>
      </c>
      <c r="M77" t="n">
        <v>5248.77103803</v>
      </c>
      <c r="N77" t="inlineStr">
        <is>
          <t>ANCUD</t>
        </is>
      </c>
      <c r="O77" t="inlineStr">
        <is>
          <t>BS1A</t>
        </is>
      </c>
      <c r="P77" t="n">
        <v>2</v>
      </c>
    </row>
    <row r="78">
      <c r="A78" t="inlineStr">
        <is>
          <t>R_G</t>
        </is>
      </c>
      <c r="B78" t="inlineStr">
        <is>
          <t>01-03-2021</t>
        </is>
      </c>
      <c r="C78" t="n">
        <v>2021</v>
      </c>
      <c r="D78" t="n">
        <v>1</v>
      </c>
      <c r="E78" t="inlineStr">
        <is>
          <t>CAREN</t>
        </is>
      </c>
      <c r="F78" t="inlineStr">
        <is>
          <t>SUM_SAESA_A</t>
        </is>
      </c>
      <c r="G78" t="inlineStr">
        <is>
          <t>A</t>
        </is>
      </c>
      <c r="H78" t="inlineStr">
        <is>
          <t>SAESA</t>
        </is>
      </c>
      <c r="I78" t="inlineStr">
        <is>
          <t>SAESARMBLOQA</t>
        </is>
      </c>
      <c r="J78" t="inlineStr">
        <is>
          <t>ARMAZONES</t>
        </is>
      </c>
      <c r="M78" t="n">
        <v>1443.40002744</v>
      </c>
      <c r="N78" t="inlineStr">
        <is>
          <t>ARMAZONES</t>
        </is>
      </c>
      <c r="O78" t="inlineStr">
        <is>
          <t>BS1A</t>
        </is>
      </c>
      <c r="P78" t="n">
        <v>2</v>
      </c>
    </row>
    <row r="79">
      <c r="A79" t="inlineStr">
        <is>
          <t>R_G</t>
        </is>
      </c>
      <c r="B79" t="inlineStr">
        <is>
          <t>01-03-2021</t>
        </is>
      </c>
      <c r="C79" t="n">
        <v>2021</v>
      </c>
      <c r="D79" t="n">
        <v>1</v>
      </c>
      <c r="E79" t="inlineStr">
        <is>
          <t>CAREN</t>
        </is>
      </c>
      <c r="F79" t="inlineStr">
        <is>
          <t>SUM_SAESA_A</t>
        </is>
      </c>
      <c r="G79" t="inlineStr">
        <is>
          <t>A</t>
        </is>
      </c>
      <c r="H79" t="inlineStr">
        <is>
          <t>SAESA</t>
        </is>
      </c>
      <c r="I79" t="inlineStr">
        <is>
          <t>SAESARNEGBLOQA</t>
        </is>
      </c>
      <c r="J79" t="inlineStr">
        <is>
          <t>R.NEGRO</t>
        </is>
      </c>
      <c r="M79" t="n">
        <v>2495.88374759</v>
      </c>
      <c r="N79" t="inlineStr">
        <is>
          <t>RIO NEGRO 23</t>
        </is>
      </c>
      <c r="O79" t="inlineStr">
        <is>
          <t>BS1A</t>
        </is>
      </c>
      <c r="P79" t="n">
        <v>2</v>
      </c>
    </row>
    <row r="80">
      <c r="A80" t="inlineStr">
        <is>
          <t>R_G</t>
        </is>
      </c>
      <c r="B80" t="inlineStr">
        <is>
          <t>01-03-2021</t>
        </is>
      </c>
      <c r="C80" t="n">
        <v>2021</v>
      </c>
      <c r="D80" t="n">
        <v>1</v>
      </c>
      <c r="E80" t="inlineStr">
        <is>
          <t>CAREN</t>
        </is>
      </c>
      <c r="F80" t="inlineStr">
        <is>
          <t>SUM_SAESA_A</t>
        </is>
      </c>
      <c r="G80" t="inlineStr">
        <is>
          <t>A</t>
        </is>
      </c>
      <c r="H80" t="inlineStr">
        <is>
          <t>SAESA</t>
        </is>
      </c>
      <c r="I80" t="inlineStr">
        <is>
          <t>SAESBBLABLOQA</t>
        </is>
      </c>
      <c r="J80" t="inlineStr">
        <is>
          <t>B.BLANCO</t>
        </is>
      </c>
      <c r="M80" t="n">
        <v>3872.7308373</v>
      </c>
      <c r="N80" t="inlineStr">
        <is>
          <t>BARRO BLANCO</t>
        </is>
      </c>
      <c r="O80" t="inlineStr">
        <is>
          <t>BS1A</t>
        </is>
      </c>
      <c r="P80" t="n">
        <v>2</v>
      </c>
    </row>
    <row r="81">
      <c r="A81" t="inlineStr">
        <is>
          <t>R_G</t>
        </is>
      </c>
      <c r="B81" t="inlineStr">
        <is>
          <t>01-03-2021</t>
        </is>
      </c>
      <c r="C81" t="n">
        <v>2021</v>
      </c>
      <c r="D81" t="n">
        <v>1</v>
      </c>
      <c r="E81" t="inlineStr">
        <is>
          <t>CAREN</t>
        </is>
      </c>
      <c r="F81" t="inlineStr">
        <is>
          <t>SUM_SAESA_A</t>
        </is>
      </c>
      <c r="G81" t="inlineStr">
        <is>
          <t>A</t>
        </is>
      </c>
      <c r="H81" t="inlineStr">
        <is>
          <t>SAESA</t>
        </is>
      </c>
      <c r="I81" t="inlineStr">
        <is>
          <t>SAESCALBBLOQA</t>
        </is>
      </c>
      <c r="J81" t="inlineStr">
        <is>
          <t>CALBUCO</t>
        </is>
      </c>
      <c r="M81" t="n">
        <v>2323.89936815</v>
      </c>
      <c r="N81" t="inlineStr">
        <is>
          <t>CALBUCO</t>
        </is>
      </c>
      <c r="O81" t="inlineStr">
        <is>
          <t>BS1A</t>
        </is>
      </c>
      <c r="P81" t="n">
        <v>2</v>
      </c>
    </row>
    <row r="82">
      <c r="A82" t="inlineStr">
        <is>
          <t>R_G</t>
        </is>
      </c>
      <c r="B82" t="inlineStr">
        <is>
          <t>01-03-2021</t>
        </is>
      </c>
      <c r="C82" t="n">
        <v>2021</v>
      </c>
      <c r="D82" t="n">
        <v>1</v>
      </c>
      <c r="E82" t="inlineStr">
        <is>
          <t>CAREN</t>
        </is>
      </c>
      <c r="F82" t="inlineStr">
        <is>
          <t>SUM_SAESA_A</t>
        </is>
      </c>
      <c r="G82" t="inlineStr">
        <is>
          <t>A</t>
        </is>
      </c>
      <c r="H82" t="inlineStr">
        <is>
          <t>SAESA</t>
        </is>
      </c>
      <c r="I82" t="inlineStr">
        <is>
          <t>SAESCASTBLOQA</t>
        </is>
      </c>
      <c r="J82" t="inlineStr">
        <is>
          <t>CASTRO</t>
        </is>
      </c>
      <c r="M82" t="n">
        <v>4858.1652432</v>
      </c>
      <c r="N82" t="inlineStr">
        <is>
          <t>CASTRO</t>
        </is>
      </c>
      <c r="O82" t="inlineStr">
        <is>
          <t>BS1A</t>
        </is>
      </c>
      <c r="P82" t="n">
        <v>2</v>
      </c>
    </row>
    <row r="83">
      <c r="A83" t="inlineStr">
        <is>
          <t>R_G</t>
        </is>
      </c>
      <c r="B83" t="inlineStr">
        <is>
          <t>01-03-2021</t>
        </is>
      </c>
      <c r="C83" t="n">
        <v>2021</v>
      </c>
      <c r="D83" t="n">
        <v>1</v>
      </c>
      <c r="E83" t="inlineStr">
        <is>
          <t>CAREN</t>
        </is>
      </c>
      <c r="F83" t="inlineStr">
        <is>
          <t>SUM_SAESA_A</t>
        </is>
      </c>
      <c r="G83" t="inlineStr">
        <is>
          <t>A</t>
        </is>
      </c>
      <c r="H83" t="inlineStr">
        <is>
          <t>SAESA</t>
        </is>
      </c>
      <c r="I83" t="inlineStr">
        <is>
          <t>SAESCHONBLOQA</t>
        </is>
      </c>
      <c r="J83" t="inlineStr">
        <is>
          <t>CHONCHI</t>
        </is>
      </c>
      <c r="M83" t="n">
        <v>3364.75437235</v>
      </c>
      <c r="N83" t="inlineStr">
        <is>
          <t>CHONCHI</t>
        </is>
      </c>
      <c r="O83" t="inlineStr">
        <is>
          <t>BS1A</t>
        </is>
      </c>
      <c r="P83" t="n">
        <v>2</v>
      </c>
    </row>
    <row r="84">
      <c r="A84" t="inlineStr">
        <is>
          <t>R_G</t>
        </is>
      </c>
      <c r="B84" t="inlineStr">
        <is>
          <t>01-03-2021</t>
        </is>
      </c>
      <c r="C84" t="n">
        <v>2021</v>
      </c>
      <c r="D84" t="n">
        <v>1</v>
      </c>
      <c r="E84" t="inlineStr">
        <is>
          <t>CAREN</t>
        </is>
      </c>
      <c r="F84" t="inlineStr">
        <is>
          <t>SUM_SAESA_A</t>
        </is>
      </c>
      <c r="G84" t="inlineStr">
        <is>
          <t>A</t>
        </is>
      </c>
      <c r="H84" t="inlineStr">
        <is>
          <t>SAESA</t>
        </is>
      </c>
      <c r="I84" t="inlineStr">
        <is>
          <t>SAESCOLABLOQA</t>
        </is>
      </c>
      <c r="J84" t="inlineStr">
        <is>
          <t>COLACO</t>
        </is>
      </c>
      <c r="M84" t="n">
        <v>2703.7496168</v>
      </c>
      <c r="N84" t="inlineStr">
        <is>
          <t>COLACO</t>
        </is>
      </c>
      <c r="O84" t="inlineStr">
        <is>
          <t>BS1A</t>
        </is>
      </c>
      <c r="P84" t="n">
        <v>2</v>
      </c>
    </row>
    <row r="85">
      <c r="A85" t="inlineStr">
        <is>
          <t>R_G</t>
        </is>
      </c>
      <c r="B85" t="inlineStr">
        <is>
          <t>01-03-2021</t>
        </is>
      </c>
      <c r="C85" t="n">
        <v>2021</v>
      </c>
      <c r="D85" t="n">
        <v>1</v>
      </c>
      <c r="E85" t="inlineStr">
        <is>
          <t>CAREN</t>
        </is>
      </c>
      <c r="F85" t="inlineStr">
        <is>
          <t>SUM_SAESA_A</t>
        </is>
      </c>
      <c r="G85" t="inlineStr">
        <is>
          <t>A</t>
        </is>
      </c>
      <c r="H85" t="inlineStr">
        <is>
          <t>SAESA</t>
        </is>
      </c>
      <c r="I85" t="inlineStr">
        <is>
          <t>SAESCORRBLOQA</t>
        </is>
      </c>
      <c r="J85" t="inlineStr">
        <is>
          <t>CORRAL</t>
        </is>
      </c>
      <c r="M85" t="n">
        <v>869.34362702</v>
      </c>
      <c r="N85" t="inlineStr">
        <is>
          <t>CORRAL</t>
        </is>
      </c>
      <c r="O85" t="inlineStr">
        <is>
          <t>BS1A</t>
        </is>
      </c>
      <c r="P85" t="n">
        <v>2</v>
      </c>
    </row>
    <row r="86">
      <c r="A86" t="inlineStr">
        <is>
          <t>R_G</t>
        </is>
      </c>
      <c r="B86" t="inlineStr">
        <is>
          <t>01-03-2021</t>
        </is>
      </c>
      <c r="C86" t="n">
        <v>2021</v>
      </c>
      <c r="D86" t="n">
        <v>1</v>
      </c>
      <c r="E86" t="inlineStr">
        <is>
          <t>CAREN</t>
        </is>
      </c>
      <c r="F86" t="inlineStr">
        <is>
          <t>SUM_SAESA_A</t>
        </is>
      </c>
      <c r="G86" t="inlineStr">
        <is>
          <t>A</t>
        </is>
      </c>
      <c r="H86" t="inlineStr">
        <is>
          <t>SAESA</t>
        </is>
      </c>
      <c r="I86" t="inlineStr">
        <is>
          <t>SAESDALCBLOQA</t>
        </is>
      </c>
      <c r="J86" t="inlineStr">
        <is>
          <t>DALCAHUE</t>
        </is>
      </c>
      <c r="M86" t="n">
        <v>4286.99231447</v>
      </c>
      <c r="N86" t="inlineStr">
        <is>
          <t>DALCAHUE</t>
        </is>
      </c>
      <c r="O86" t="inlineStr">
        <is>
          <t>BS1A</t>
        </is>
      </c>
      <c r="P86" t="n">
        <v>2</v>
      </c>
    </row>
    <row r="87">
      <c r="A87" t="inlineStr">
        <is>
          <t>R_G</t>
        </is>
      </c>
      <c r="B87" t="inlineStr">
        <is>
          <t>01-03-2021</t>
        </is>
      </c>
      <c r="C87" t="n">
        <v>2021</v>
      </c>
      <c r="D87" t="n">
        <v>1</v>
      </c>
      <c r="E87" t="inlineStr">
        <is>
          <t>CAREN</t>
        </is>
      </c>
      <c r="F87" t="inlineStr">
        <is>
          <t>SUM_SAESA_A</t>
        </is>
      </c>
      <c r="G87" t="inlineStr">
        <is>
          <t>A</t>
        </is>
      </c>
      <c r="H87" t="inlineStr">
        <is>
          <t>SAESA</t>
        </is>
      </c>
      <c r="I87" t="inlineStr">
        <is>
          <t>SAESDEGABLOQA</t>
        </is>
      </c>
      <c r="J87" t="inlineStr">
        <is>
          <t>DEGAÑ</t>
        </is>
      </c>
      <c r="M87" t="n">
        <v>1289.13648691</v>
      </c>
      <c r="N87" t="inlineStr">
        <is>
          <t>DEGAÑ</t>
        </is>
      </c>
      <c r="O87" t="inlineStr">
        <is>
          <t>BS1A</t>
        </is>
      </c>
      <c r="P87" t="n">
        <v>2</v>
      </c>
    </row>
    <row r="88">
      <c r="A88" t="inlineStr">
        <is>
          <t>R_G</t>
        </is>
      </c>
      <c r="B88" t="inlineStr">
        <is>
          <t>01-03-2021</t>
        </is>
      </c>
      <c r="C88" t="n">
        <v>2021</v>
      </c>
      <c r="D88" t="n">
        <v>1</v>
      </c>
      <c r="E88" t="inlineStr">
        <is>
          <t>CAREN</t>
        </is>
      </c>
      <c r="F88" t="inlineStr">
        <is>
          <t>SUM_SAESA_A</t>
        </is>
      </c>
      <c r="G88" t="inlineStr">
        <is>
          <t>A</t>
        </is>
      </c>
      <c r="H88" t="inlineStr">
        <is>
          <t>SAESA</t>
        </is>
      </c>
      <c r="I88" t="inlineStr">
        <is>
          <t>SAESELEMBLOQA</t>
        </is>
      </c>
      <c r="J88" t="inlineStr">
        <is>
          <t>EMPALME</t>
        </is>
      </c>
      <c r="M88" t="n">
        <v>2296.43462717</v>
      </c>
      <c r="N88" t="inlineStr">
        <is>
          <t>PARGUA 23</t>
        </is>
      </c>
      <c r="O88" t="inlineStr">
        <is>
          <t>BS1A</t>
        </is>
      </c>
      <c r="P88" t="n">
        <v>2</v>
      </c>
    </row>
    <row r="89">
      <c r="A89" t="inlineStr">
        <is>
          <t>R_G</t>
        </is>
      </c>
      <c r="B89" t="inlineStr">
        <is>
          <t>01-03-2021</t>
        </is>
      </c>
      <c r="C89" t="n">
        <v>2021</v>
      </c>
      <c r="D89" t="n">
        <v>1</v>
      </c>
      <c r="E89" t="inlineStr">
        <is>
          <t>CAREN</t>
        </is>
      </c>
      <c r="F89" t="inlineStr">
        <is>
          <t>SUM_SAESA_A</t>
        </is>
      </c>
      <c r="G89" t="inlineStr">
        <is>
          <t>A</t>
        </is>
      </c>
      <c r="H89" t="inlineStr">
        <is>
          <t>SAESA</t>
        </is>
      </c>
      <c r="I89" t="inlineStr">
        <is>
          <t>SAESFRUTBLOQA</t>
        </is>
      </c>
      <c r="J89" t="inlineStr">
        <is>
          <t>FRUTILLAR</t>
        </is>
      </c>
      <c r="M89" t="n">
        <v>4949.36643579</v>
      </c>
      <c r="N89" t="inlineStr">
        <is>
          <t>FRUTILLAR</t>
        </is>
      </c>
      <c r="O89" t="inlineStr">
        <is>
          <t>BS1A</t>
        </is>
      </c>
      <c r="P89" t="n">
        <v>2</v>
      </c>
    </row>
    <row r="90">
      <c r="A90" t="inlineStr">
        <is>
          <t>R_G</t>
        </is>
      </c>
      <c r="B90" t="inlineStr">
        <is>
          <t>01-03-2021</t>
        </is>
      </c>
      <c r="C90" t="n">
        <v>2021</v>
      </c>
      <c r="D90" t="n">
        <v>1</v>
      </c>
      <c r="E90" t="inlineStr">
        <is>
          <t>CAREN</t>
        </is>
      </c>
      <c r="F90" t="inlineStr">
        <is>
          <t>SUM_SAESA_A</t>
        </is>
      </c>
      <c r="G90" t="inlineStr">
        <is>
          <t>A</t>
        </is>
      </c>
      <c r="H90" t="inlineStr">
        <is>
          <t>SAESA</t>
        </is>
      </c>
      <c r="I90" t="inlineStr">
        <is>
          <t>SAESLAUNBLOQA</t>
        </is>
      </c>
      <c r="J90" t="inlineStr">
        <is>
          <t>L.UNION</t>
        </is>
      </c>
      <c r="M90" t="n">
        <v>4067.52579607</v>
      </c>
      <c r="N90" t="inlineStr">
        <is>
          <t>LA UNION</t>
        </is>
      </c>
      <c r="O90" t="inlineStr">
        <is>
          <t>BS1A</t>
        </is>
      </c>
      <c r="P90" t="n">
        <v>2</v>
      </c>
    </row>
    <row r="91">
      <c r="A91" t="inlineStr">
        <is>
          <t>R_G</t>
        </is>
      </c>
      <c r="B91" t="inlineStr">
        <is>
          <t>01-03-2021</t>
        </is>
      </c>
      <c r="C91" t="n">
        <v>2021</v>
      </c>
      <c r="D91" t="n">
        <v>1</v>
      </c>
      <c r="E91" t="inlineStr">
        <is>
          <t>CAREN</t>
        </is>
      </c>
      <c r="F91" t="inlineStr">
        <is>
          <t>SUM_SAESA_A</t>
        </is>
      </c>
      <c r="G91" t="inlineStr">
        <is>
          <t>A</t>
        </is>
      </c>
      <c r="H91" t="inlineStr">
        <is>
          <t>SAESA</t>
        </is>
      </c>
      <c r="I91" t="inlineStr">
        <is>
          <t>SAESLONCBLOQA</t>
        </is>
      </c>
      <c r="J91" t="inlineStr">
        <is>
          <t>LONCOCHE2</t>
        </is>
      </c>
      <c r="M91" t="n">
        <v>4159.50733591</v>
      </c>
      <c r="N91" t="inlineStr">
        <is>
          <t>LONCOCHE</t>
        </is>
      </c>
      <c r="O91" t="inlineStr">
        <is>
          <t>BS1A</t>
        </is>
      </c>
      <c r="P91" t="n">
        <v>2</v>
      </c>
    </row>
    <row r="92">
      <c r="A92" t="inlineStr">
        <is>
          <t>R_G</t>
        </is>
      </c>
      <c r="B92" t="inlineStr">
        <is>
          <t>01-03-2021</t>
        </is>
      </c>
      <c r="C92" t="n">
        <v>2021</v>
      </c>
      <c r="D92" t="n">
        <v>1</v>
      </c>
      <c r="E92" t="inlineStr">
        <is>
          <t>CAREN</t>
        </is>
      </c>
      <c r="F92" t="inlineStr">
        <is>
          <t>SUM_SAESA_A</t>
        </is>
      </c>
      <c r="G92" t="inlineStr">
        <is>
          <t>A</t>
        </is>
      </c>
      <c r="H92" t="inlineStr">
        <is>
          <t>SAESA</t>
        </is>
      </c>
      <c r="I92" t="inlineStr">
        <is>
          <t>SAESLOSLBLOQA</t>
        </is>
      </c>
      <c r="J92" t="inlineStr">
        <is>
          <t>L.LAGOS</t>
        </is>
      </c>
      <c r="M92" t="n">
        <v>2216.85218919</v>
      </c>
      <c r="N92" t="inlineStr">
        <is>
          <t>LOS LAGOS</t>
        </is>
      </c>
      <c r="O92" t="inlineStr">
        <is>
          <t>BS1A</t>
        </is>
      </c>
      <c r="P92" t="n">
        <v>2</v>
      </c>
    </row>
    <row r="93">
      <c r="A93" t="inlineStr">
        <is>
          <t>R_G</t>
        </is>
      </c>
      <c r="B93" t="inlineStr">
        <is>
          <t>01-03-2021</t>
        </is>
      </c>
      <c r="C93" t="n">
        <v>2021</v>
      </c>
      <c r="D93" t="n">
        <v>1</v>
      </c>
      <c r="E93" t="inlineStr">
        <is>
          <t>CAREN</t>
        </is>
      </c>
      <c r="F93" t="inlineStr">
        <is>
          <t>SUM_SAESA_A</t>
        </is>
      </c>
      <c r="G93" t="inlineStr">
        <is>
          <t>A</t>
        </is>
      </c>
      <c r="H93" t="inlineStr">
        <is>
          <t>SAESA</t>
        </is>
      </c>
      <c r="I93" t="inlineStr">
        <is>
          <t>SAESLTAMBLOQA</t>
        </is>
      </c>
      <c r="J93" t="inlineStr">
        <is>
          <t>LOS_TAMBORES</t>
        </is>
      </c>
      <c r="M93" t="n">
        <v>3262.78761</v>
      </c>
      <c r="N93" t="inlineStr">
        <is>
          <t>LOS TAMBORES</t>
        </is>
      </c>
      <c r="O93" t="inlineStr">
        <is>
          <t>BS1A</t>
        </is>
      </c>
      <c r="P93" t="n">
        <v>2</v>
      </c>
    </row>
    <row r="94">
      <c r="A94" t="inlineStr">
        <is>
          <t>R_G</t>
        </is>
      </c>
      <c r="B94" t="inlineStr">
        <is>
          <t>01-03-2021</t>
        </is>
      </c>
      <c r="C94" t="n">
        <v>2021</v>
      </c>
      <c r="D94" t="n">
        <v>1</v>
      </c>
      <c r="E94" t="inlineStr">
        <is>
          <t>CAREN</t>
        </is>
      </c>
      <c r="F94" t="inlineStr">
        <is>
          <t>SUM_SAESA_A</t>
        </is>
      </c>
      <c r="G94" t="inlineStr">
        <is>
          <t>A</t>
        </is>
      </c>
      <c r="H94" t="inlineStr">
        <is>
          <t>SAESA</t>
        </is>
      </c>
      <c r="I94" t="inlineStr">
        <is>
          <t>SAESMARIBLOQA</t>
        </is>
      </c>
      <c r="J94" t="inlineStr">
        <is>
          <t>MARIQUINA</t>
        </is>
      </c>
      <c r="M94" t="n">
        <v>3372.39603697</v>
      </c>
      <c r="N94" t="inlineStr">
        <is>
          <t>MARIQUINA</t>
        </is>
      </c>
      <c r="O94" t="inlineStr">
        <is>
          <t>BS1A</t>
        </is>
      </c>
      <c r="P94" t="n">
        <v>2</v>
      </c>
    </row>
    <row r="95">
      <c r="A95" t="inlineStr">
        <is>
          <t>R_G</t>
        </is>
      </c>
      <c r="B95" t="inlineStr">
        <is>
          <t>01-03-2021</t>
        </is>
      </c>
      <c r="C95" t="n">
        <v>2021</v>
      </c>
      <c r="D95" t="n">
        <v>1</v>
      </c>
      <c r="E95" t="inlineStr">
        <is>
          <t>CAREN</t>
        </is>
      </c>
      <c r="F95" t="inlineStr">
        <is>
          <t>SUM_SAESA_A</t>
        </is>
      </c>
      <c r="G95" t="inlineStr">
        <is>
          <t>A</t>
        </is>
      </c>
      <c r="H95" t="inlineStr">
        <is>
          <t>SAESA</t>
        </is>
      </c>
      <c r="I95" t="inlineStr">
        <is>
          <t>SAESMELIBLOQA</t>
        </is>
      </c>
      <c r="J95" t="inlineStr">
        <is>
          <t>MELIPULLI</t>
        </is>
      </c>
      <c r="M95" t="n">
        <v>35892.18758295</v>
      </c>
      <c r="N95" t="inlineStr">
        <is>
          <t>MELIPULLI</t>
        </is>
      </c>
      <c r="O95" t="inlineStr">
        <is>
          <t>BS1A</t>
        </is>
      </c>
      <c r="P95" t="n">
        <v>2</v>
      </c>
    </row>
    <row r="96">
      <c r="A96" t="inlineStr">
        <is>
          <t>R_G</t>
        </is>
      </c>
      <c r="B96" t="inlineStr">
        <is>
          <t>01-03-2021</t>
        </is>
      </c>
      <c r="C96" t="n">
        <v>2021</v>
      </c>
      <c r="D96" t="n">
        <v>1</v>
      </c>
      <c r="E96" t="inlineStr">
        <is>
          <t>CAREN</t>
        </is>
      </c>
      <c r="F96" t="inlineStr">
        <is>
          <t>SUM_SAESA_A</t>
        </is>
      </c>
      <c r="G96" t="inlineStr">
        <is>
          <t>A</t>
        </is>
      </c>
      <c r="H96" t="inlineStr">
        <is>
          <t>SAESA</t>
        </is>
      </c>
      <c r="I96" t="inlineStr">
        <is>
          <t>SAESOSORBLOQA</t>
        </is>
      </c>
      <c r="J96" t="inlineStr">
        <is>
          <t>OSORNO</t>
        </is>
      </c>
      <c r="M96" t="n">
        <v>19799.12974486</v>
      </c>
      <c r="N96" t="inlineStr">
        <is>
          <t>OSORNO</t>
        </is>
      </c>
      <c r="O96" t="inlineStr">
        <is>
          <t>BS1A</t>
        </is>
      </c>
      <c r="P96" t="n">
        <v>2</v>
      </c>
    </row>
    <row r="97">
      <c r="A97" t="inlineStr">
        <is>
          <t>R_G</t>
        </is>
      </c>
      <c r="B97" t="inlineStr">
        <is>
          <t>01-03-2021</t>
        </is>
      </c>
      <c r="C97" t="n">
        <v>2021</v>
      </c>
      <c r="D97" t="n">
        <v>1</v>
      </c>
      <c r="E97" t="inlineStr">
        <is>
          <t>CAREN</t>
        </is>
      </c>
      <c r="F97" t="inlineStr">
        <is>
          <t>SUM_SAESA_A</t>
        </is>
      </c>
      <c r="G97" t="inlineStr">
        <is>
          <t>A</t>
        </is>
      </c>
      <c r="H97" t="inlineStr">
        <is>
          <t>SAESA</t>
        </is>
      </c>
      <c r="I97" t="inlineStr">
        <is>
          <t>SAESPANGBLOQA</t>
        </is>
      </c>
      <c r="J97" t="inlineStr">
        <is>
          <t>PANGUIPULLI</t>
        </is>
      </c>
      <c r="M97" t="n">
        <v>7044.44174091</v>
      </c>
      <c r="N97" t="inlineStr">
        <is>
          <t>PANGUIPULLI</t>
        </is>
      </c>
      <c r="O97" t="inlineStr">
        <is>
          <t>BS1A</t>
        </is>
      </c>
      <c r="P97" t="n">
        <v>2</v>
      </c>
    </row>
    <row r="98">
      <c r="A98" t="inlineStr">
        <is>
          <t>R_G</t>
        </is>
      </c>
      <c r="B98" t="inlineStr">
        <is>
          <t>01-03-2021</t>
        </is>
      </c>
      <c r="C98" t="n">
        <v>2021</v>
      </c>
      <c r="D98" t="n">
        <v>1</v>
      </c>
      <c r="E98" t="inlineStr">
        <is>
          <t>CAREN</t>
        </is>
      </c>
      <c r="F98" t="inlineStr">
        <is>
          <t>SUM_SAESA_A</t>
        </is>
      </c>
      <c r="G98" t="inlineStr">
        <is>
          <t>A</t>
        </is>
      </c>
      <c r="H98" t="inlineStr">
        <is>
          <t>SAESA</t>
        </is>
      </c>
      <c r="I98" t="inlineStr">
        <is>
          <t>SAESPARGBLOQA</t>
        </is>
      </c>
      <c r="J98" t="inlineStr">
        <is>
          <t>PARGUA</t>
        </is>
      </c>
      <c r="M98" t="n">
        <v>618.39365244</v>
      </c>
      <c r="N98" t="inlineStr">
        <is>
          <t>PARGUA 23</t>
        </is>
      </c>
      <c r="O98" t="inlineStr">
        <is>
          <t>BS1A</t>
        </is>
      </c>
      <c r="P98" t="n">
        <v>2</v>
      </c>
    </row>
    <row r="99">
      <c r="A99" t="inlineStr">
        <is>
          <t>R_G</t>
        </is>
      </c>
      <c r="B99" t="inlineStr">
        <is>
          <t>01-03-2021</t>
        </is>
      </c>
      <c r="C99" t="n">
        <v>2021</v>
      </c>
      <c r="D99" t="n">
        <v>1</v>
      </c>
      <c r="E99" t="inlineStr">
        <is>
          <t>CAREN</t>
        </is>
      </c>
      <c r="F99" t="inlineStr">
        <is>
          <t>SUM_SAESA_A</t>
        </is>
      </c>
      <c r="G99" t="inlineStr">
        <is>
          <t>A</t>
        </is>
      </c>
      <c r="H99" t="inlineStr">
        <is>
          <t>SAESA</t>
        </is>
      </c>
      <c r="I99" t="inlineStr">
        <is>
          <t>SAESPICABLOQA</t>
        </is>
      </c>
      <c r="J99" t="inlineStr">
        <is>
          <t>PICARTE</t>
        </is>
      </c>
      <c r="M99" t="n">
        <v>19180.37521042</v>
      </c>
      <c r="N99" t="inlineStr">
        <is>
          <t>PICARTE</t>
        </is>
      </c>
      <c r="O99" t="inlineStr">
        <is>
          <t>BS1A</t>
        </is>
      </c>
      <c r="P99" t="n">
        <v>2</v>
      </c>
    </row>
    <row r="100">
      <c r="A100" t="inlineStr">
        <is>
          <t>R_G</t>
        </is>
      </c>
      <c r="B100" t="inlineStr">
        <is>
          <t>01-03-2021</t>
        </is>
      </c>
      <c r="C100" t="n">
        <v>2021</v>
      </c>
      <c r="D100" t="n">
        <v>1</v>
      </c>
      <c r="E100" t="inlineStr">
        <is>
          <t>CAREN</t>
        </is>
      </c>
      <c r="F100" t="inlineStr">
        <is>
          <t>SUM_SAESA_A</t>
        </is>
      </c>
      <c r="G100" t="inlineStr">
        <is>
          <t>A</t>
        </is>
      </c>
      <c r="H100" t="inlineStr">
        <is>
          <t>SAESA</t>
        </is>
      </c>
      <c r="I100" t="inlineStr">
        <is>
          <t>SAESPICHBLOQA</t>
        </is>
      </c>
      <c r="J100" t="inlineStr">
        <is>
          <t>PICHIRROPULLI</t>
        </is>
      </c>
      <c r="M100" t="n">
        <v>4151.51253909</v>
      </c>
      <c r="N100" t="inlineStr">
        <is>
          <t>PICHIRROPULLI</t>
        </is>
      </c>
      <c r="O100" t="inlineStr">
        <is>
          <t>BS1A</t>
        </is>
      </c>
      <c r="P100" t="n">
        <v>2</v>
      </c>
    </row>
    <row r="101">
      <c r="A101" t="inlineStr">
        <is>
          <t>R_G</t>
        </is>
      </c>
      <c r="B101" t="inlineStr">
        <is>
          <t>01-03-2021</t>
        </is>
      </c>
      <c r="C101" t="n">
        <v>2021</v>
      </c>
      <c r="D101" t="n">
        <v>1</v>
      </c>
      <c r="E101" t="inlineStr">
        <is>
          <t>CAREN</t>
        </is>
      </c>
      <c r="F101" t="inlineStr">
        <is>
          <t>SUM_SAESA_A</t>
        </is>
      </c>
      <c r="G101" t="inlineStr">
        <is>
          <t>A</t>
        </is>
      </c>
      <c r="H101" t="inlineStr">
        <is>
          <t>SAESA</t>
        </is>
      </c>
      <c r="I101" t="inlineStr">
        <is>
          <t>SAESPICHIBLOQA</t>
        </is>
      </c>
      <c r="J101" t="inlineStr">
        <is>
          <t>PICHIL</t>
        </is>
      </c>
      <c r="M101" t="n">
        <v>735.57116799</v>
      </c>
      <c r="N101" t="inlineStr">
        <is>
          <t>PICHIL</t>
        </is>
      </c>
      <c r="O101" t="inlineStr">
        <is>
          <t>BS1A</t>
        </is>
      </c>
      <c r="P101" t="n">
        <v>2</v>
      </c>
    </row>
    <row r="102">
      <c r="A102" t="inlineStr">
        <is>
          <t>R_G</t>
        </is>
      </c>
      <c r="B102" t="inlineStr">
        <is>
          <t>01-03-2021</t>
        </is>
      </c>
      <c r="C102" t="n">
        <v>2021</v>
      </c>
      <c r="D102" t="n">
        <v>1</v>
      </c>
      <c r="E102" t="inlineStr">
        <is>
          <t>CAREN</t>
        </is>
      </c>
      <c r="F102" t="inlineStr">
        <is>
          <t>SUM_SAESA_A</t>
        </is>
      </c>
      <c r="G102" t="inlineStr">
        <is>
          <t>A</t>
        </is>
      </c>
      <c r="H102" t="inlineStr">
        <is>
          <t>SAESA</t>
        </is>
      </c>
      <c r="I102" t="inlineStr">
        <is>
          <t>SAESPIDPBLOQA</t>
        </is>
      </c>
      <c r="J102" t="inlineStr">
        <is>
          <t>PIDPID</t>
        </is>
      </c>
      <c r="M102" t="n">
        <v>2273.74427676</v>
      </c>
      <c r="N102" t="inlineStr">
        <is>
          <t>PID PID</t>
        </is>
      </c>
      <c r="O102" t="inlineStr">
        <is>
          <t>BS1A</t>
        </is>
      </c>
      <c r="P102" t="n">
        <v>2</v>
      </c>
    </row>
    <row r="103">
      <c r="A103" t="inlineStr">
        <is>
          <t>R_G</t>
        </is>
      </c>
      <c r="B103" t="inlineStr">
        <is>
          <t>01-03-2021</t>
        </is>
      </c>
      <c r="C103" t="n">
        <v>2021</v>
      </c>
      <c r="D103" t="n">
        <v>1</v>
      </c>
      <c r="E103" t="inlineStr">
        <is>
          <t>CAREN</t>
        </is>
      </c>
      <c r="F103" t="inlineStr">
        <is>
          <t>SUM_SAESA_A</t>
        </is>
      </c>
      <c r="G103" t="inlineStr">
        <is>
          <t>A</t>
        </is>
      </c>
      <c r="H103" t="inlineStr">
        <is>
          <t>SAESA</t>
        </is>
      </c>
      <c r="I103" t="inlineStr">
        <is>
          <t>SAESPILMBLOQA</t>
        </is>
      </c>
      <c r="J103" t="inlineStr">
        <is>
          <t>PILMAIQUEN</t>
        </is>
      </c>
      <c r="M103" t="n">
        <v>0</v>
      </c>
      <c r="N103" t="inlineStr">
        <is>
          <t>PILMAIQUEN</t>
        </is>
      </c>
      <c r="O103" t="inlineStr">
        <is>
          <t>BS1A</t>
        </is>
      </c>
      <c r="P103" t="n">
        <v>2</v>
      </c>
    </row>
    <row r="104">
      <c r="A104" t="inlineStr">
        <is>
          <t>R_G</t>
        </is>
      </c>
      <c r="B104" t="inlineStr">
        <is>
          <t>01-03-2021</t>
        </is>
      </c>
      <c r="C104" t="n">
        <v>2021</v>
      </c>
      <c r="D104" t="n">
        <v>1</v>
      </c>
      <c r="E104" t="inlineStr">
        <is>
          <t>CAREN</t>
        </is>
      </c>
      <c r="F104" t="inlineStr">
        <is>
          <t>SUM_SAESA_A</t>
        </is>
      </c>
      <c r="G104" t="inlineStr">
        <is>
          <t>A</t>
        </is>
      </c>
      <c r="H104" t="inlineStr">
        <is>
          <t>SAESA</t>
        </is>
      </c>
      <c r="I104" t="inlineStr">
        <is>
          <t>SAESPULLBLOQA</t>
        </is>
      </c>
      <c r="J104" t="inlineStr">
        <is>
          <t>PULLINQUE</t>
        </is>
      </c>
      <c r="M104" t="n">
        <v>1338.67103037</v>
      </c>
      <c r="N104" t="inlineStr">
        <is>
          <t>PULLINQUE</t>
        </is>
      </c>
      <c r="O104" t="inlineStr">
        <is>
          <t>BS1A</t>
        </is>
      </c>
      <c r="P104" t="n">
        <v>2</v>
      </c>
    </row>
    <row r="105">
      <c r="A105" t="inlineStr">
        <is>
          <t>R_G</t>
        </is>
      </c>
      <c r="B105" t="inlineStr">
        <is>
          <t>01-03-2021</t>
        </is>
      </c>
      <c r="C105" t="n">
        <v>2021</v>
      </c>
      <c r="D105" t="n">
        <v>1</v>
      </c>
      <c r="E105" t="inlineStr">
        <is>
          <t>CAREN</t>
        </is>
      </c>
      <c r="F105" t="inlineStr">
        <is>
          <t>SUM_SAESA_A</t>
        </is>
      </c>
      <c r="G105" t="inlineStr">
        <is>
          <t>A</t>
        </is>
      </c>
      <c r="H105" t="inlineStr">
        <is>
          <t>SAESA</t>
        </is>
      </c>
      <c r="I105" t="inlineStr">
        <is>
          <t>SAESPURRBLOQA</t>
        </is>
      </c>
      <c r="J105" t="inlineStr">
        <is>
          <t>PURRANQUE</t>
        </is>
      </c>
      <c r="M105" t="n">
        <v>2429.76383974</v>
      </c>
      <c r="N105" t="inlineStr">
        <is>
          <t>PURRANQUE</t>
        </is>
      </c>
      <c r="O105" t="inlineStr">
        <is>
          <t>BS1A</t>
        </is>
      </c>
      <c r="P105" t="n">
        <v>2</v>
      </c>
    </row>
    <row r="106">
      <c r="A106" t="inlineStr">
        <is>
          <t>R_G</t>
        </is>
      </c>
      <c r="B106" t="inlineStr">
        <is>
          <t>01-03-2021</t>
        </is>
      </c>
      <c r="C106" t="n">
        <v>2021</v>
      </c>
      <c r="D106" t="n">
        <v>1</v>
      </c>
      <c r="E106" t="inlineStr">
        <is>
          <t>CAREN</t>
        </is>
      </c>
      <c r="F106" t="inlineStr">
        <is>
          <t>SUM_SAESA_A</t>
        </is>
      </c>
      <c r="G106" t="inlineStr">
        <is>
          <t>A</t>
        </is>
      </c>
      <c r="H106" t="inlineStr">
        <is>
          <t>SAESA</t>
        </is>
      </c>
      <c r="I106" t="inlineStr">
        <is>
          <t>SAESPVARBLOQA</t>
        </is>
      </c>
      <c r="J106" t="inlineStr">
        <is>
          <t>P.VARAS</t>
        </is>
      </c>
      <c r="M106" t="n">
        <v>7622.09924668</v>
      </c>
      <c r="N106" t="inlineStr">
        <is>
          <t>PUERTO VARAS</t>
        </is>
      </c>
      <c r="O106" t="inlineStr">
        <is>
          <t>BS1A</t>
        </is>
      </c>
      <c r="P106" t="n">
        <v>2</v>
      </c>
    </row>
    <row r="107">
      <c r="A107" t="inlineStr">
        <is>
          <t>R_G</t>
        </is>
      </c>
      <c r="B107" t="inlineStr">
        <is>
          <t>01-03-2021</t>
        </is>
      </c>
      <c r="C107" t="n">
        <v>2021</v>
      </c>
      <c r="D107" t="n">
        <v>1</v>
      </c>
      <c r="E107" t="inlineStr">
        <is>
          <t>CAREN</t>
        </is>
      </c>
      <c r="F107" t="inlineStr">
        <is>
          <t>SUM_SAESA_A</t>
        </is>
      </c>
      <c r="G107" t="inlineStr">
        <is>
          <t>A</t>
        </is>
      </c>
      <c r="H107" t="inlineStr">
        <is>
          <t>SAESA</t>
        </is>
      </c>
      <c r="I107" t="inlineStr">
        <is>
          <t>SAESQUELBLOQA</t>
        </is>
      </c>
      <c r="J107" t="inlineStr">
        <is>
          <t>QUELLON</t>
        </is>
      </c>
      <c r="M107" t="n">
        <v>4621.89588275</v>
      </c>
      <c r="N107" t="inlineStr">
        <is>
          <t>QUELLON</t>
        </is>
      </c>
      <c r="O107" t="inlineStr">
        <is>
          <t>BS1A</t>
        </is>
      </c>
      <c r="P107" t="n">
        <v>2</v>
      </c>
    </row>
    <row r="108">
      <c r="A108" t="inlineStr">
        <is>
          <t>R_G</t>
        </is>
      </c>
      <c r="B108" t="inlineStr">
        <is>
          <t>01-03-2021</t>
        </is>
      </c>
      <c r="C108" t="n">
        <v>2021</v>
      </c>
      <c r="D108" t="n">
        <v>1</v>
      </c>
      <c r="E108" t="inlineStr">
        <is>
          <t>CAREN</t>
        </is>
      </c>
      <c r="F108" t="inlineStr">
        <is>
          <t>SUM_SAESA_A</t>
        </is>
      </c>
      <c r="G108" t="inlineStr">
        <is>
          <t>A</t>
        </is>
      </c>
      <c r="H108" t="inlineStr">
        <is>
          <t>SAESA</t>
        </is>
      </c>
      <c r="I108" t="inlineStr">
        <is>
          <t>SAESSANGBLOQA</t>
        </is>
      </c>
      <c r="J108" t="inlineStr">
        <is>
          <t>SANGRA</t>
        </is>
      </c>
      <c r="M108" t="n">
        <v>3217.24669485</v>
      </c>
      <c r="N108" t="inlineStr">
        <is>
          <t>SANGRA 23</t>
        </is>
      </c>
      <c r="O108" t="inlineStr">
        <is>
          <t>BS1A</t>
        </is>
      </c>
      <c r="P108" t="n">
        <v>2</v>
      </c>
    </row>
    <row r="109">
      <c r="A109" t="inlineStr">
        <is>
          <t>R_G</t>
        </is>
      </c>
      <c r="B109" t="inlineStr">
        <is>
          <t>01-03-2021</t>
        </is>
      </c>
      <c r="C109" t="n">
        <v>2021</v>
      </c>
      <c r="D109" t="n">
        <v>1</v>
      </c>
      <c r="E109" t="inlineStr">
        <is>
          <t>CAREN</t>
        </is>
      </c>
      <c r="F109" t="inlineStr">
        <is>
          <t>SUM_SAESA_A</t>
        </is>
      </c>
      <c r="G109" t="inlineStr">
        <is>
          <t>A</t>
        </is>
      </c>
      <c r="H109" t="inlineStr">
        <is>
          <t>SAESA</t>
        </is>
      </c>
      <c r="I109" t="inlineStr">
        <is>
          <t>SAESVALDENBLOQA</t>
        </is>
      </c>
      <c r="J109" t="inlineStr">
        <is>
          <t>VALDIVIA</t>
        </is>
      </c>
      <c r="M109" t="n">
        <v>7073.32001483</v>
      </c>
      <c r="N109" t="inlineStr">
        <is>
          <t>VALDIVIA</t>
        </is>
      </c>
      <c r="O109" t="inlineStr">
        <is>
          <t>BS1A</t>
        </is>
      </c>
      <c r="P109" t="n">
        <v>2</v>
      </c>
    </row>
    <row r="110">
      <c r="A110" t="inlineStr">
        <is>
          <t>R_G</t>
        </is>
      </c>
      <c r="B110" t="inlineStr">
        <is>
          <t>01-10-2020</t>
        </is>
      </c>
      <c r="C110" t="n">
        <v>2020</v>
      </c>
      <c r="D110" t="n">
        <v>1</v>
      </c>
      <c r="E110" t="inlineStr">
        <is>
          <t>CAREN</t>
        </is>
      </c>
      <c r="F110" t="inlineStr">
        <is>
          <t>SUM_SAESA_A</t>
        </is>
      </c>
      <c r="G110" t="inlineStr">
        <is>
          <t>A</t>
        </is>
      </c>
      <c r="H110" t="inlineStr">
        <is>
          <t>SAESA</t>
        </is>
      </c>
      <c r="I110" t="inlineStr">
        <is>
          <t>SAESABONBLOQA</t>
        </is>
      </c>
      <c r="J110" t="inlineStr">
        <is>
          <t>ALTO_BONITO</t>
        </is>
      </c>
      <c r="K110" t="n">
        <v>1901.720866371107</v>
      </c>
      <c r="L110" t="n">
        <v>0.249999</v>
      </c>
      <c r="M110" t="n">
        <v>7606.91389314</v>
      </c>
      <c r="N110" t="inlineStr">
        <is>
          <t>ALTO BONITO</t>
        </is>
      </c>
      <c r="O110" t="inlineStr">
        <is>
          <t>BS1A</t>
        </is>
      </c>
      <c r="P110" t="n">
        <v>2</v>
      </c>
    </row>
    <row r="111">
      <c r="A111" t="inlineStr">
        <is>
          <t>R_G</t>
        </is>
      </c>
      <c r="B111" t="inlineStr">
        <is>
          <t>01-10-2020</t>
        </is>
      </c>
      <c r="C111" t="n">
        <v>2020</v>
      </c>
      <c r="D111" t="n">
        <v>1</v>
      </c>
      <c r="E111" t="inlineStr">
        <is>
          <t>CAREN</t>
        </is>
      </c>
      <c r="F111" t="inlineStr">
        <is>
          <t>SUM_SAESA_A</t>
        </is>
      </c>
      <c r="G111" t="inlineStr">
        <is>
          <t>A</t>
        </is>
      </c>
      <c r="H111" t="inlineStr">
        <is>
          <t>SAESA</t>
        </is>
      </c>
      <c r="I111" t="inlineStr">
        <is>
          <t>SAESACHIRREBLOQA</t>
        </is>
      </c>
      <c r="J111" t="inlineStr">
        <is>
          <t>CHIRRE</t>
        </is>
      </c>
      <c r="K111" t="n">
        <v>735.6474320360014</v>
      </c>
      <c r="L111" t="n">
        <v>0.249999</v>
      </c>
      <c r="M111" t="n">
        <v>2942.60149855</v>
      </c>
      <c r="N111" t="inlineStr">
        <is>
          <t>CHIRRE 23</t>
        </is>
      </c>
      <c r="O111" t="inlineStr">
        <is>
          <t>BS1A</t>
        </is>
      </c>
      <c r="P111" t="n">
        <v>2</v>
      </c>
    </row>
    <row r="112">
      <c r="A112" t="inlineStr">
        <is>
          <t>R_G</t>
        </is>
      </c>
      <c r="B112" t="inlineStr">
        <is>
          <t>01-10-2020</t>
        </is>
      </c>
      <c r="C112" t="n">
        <v>2020</v>
      </c>
      <c r="D112" t="n">
        <v>1</v>
      </c>
      <c r="E112" t="inlineStr">
        <is>
          <t>CAREN</t>
        </is>
      </c>
      <c r="F112" t="inlineStr">
        <is>
          <t>SUM_SAESA_A</t>
        </is>
      </c>
      <c r="G112" t="inlineStr">
        <is>
          <t>A</t>
        </is>
      </c>
      <c r="H112" t="inlineStr">
        <is>
          <t>SAESA</t>
        </is>
      </c>
      <c r="I112" t="inlineStr">
        <is>
          <t>SAESAIHUBLOQA</t>
        </is>
      </c>
      <c r="J112" t="inlineStr">
        <is>
          <t>AIHUAPI</t>
        </is>
      </c>
      <c r="K112" t="n">
        <v>69.77186510392322</v>
      </c>
      <c r="L112" t="n">
        <v>0.249999</v>
      </c>
      <c r="M112" t="n">
        <v>279.08857677</v>
      </c>
      <c r="N112" t="inlineStr">
        <is>
          <t>AIHUAPI</t>
        </is>
      </c>
      <c r="O112" t="inlineStr">
        <is>
          <t>BS1A</t>
        </is>
      </c>
      <c r="P112" t="n">
        <v>2</v>
      </c>
    </row>
    <row r="113">
      <c r="A113" t="inlineStr">
        <is>
          <t>R_G</t>
        </is>
      </c>
      <c r="B113" t="inlineStr">
        <is>
          <t>01-10-2020</t>
        </is>
      </c>
      <c r="C113" t="n">
        <v>2020</v>
      </c>
      <c r="D113" t="n">
        <v>1</v>
      </c>
      <c r="E113" t="inlineStr">
        <is>
          <t>CAREN</t>
        </is>
      </c>
      <c r="F113" t="inlineStr">
        <is>
          <t>SUM_SAESA_A</t>
        </is>
      </c>
      <c r="G113" t="inlineStr">
        <is>
          <t>A</t>
        </is>
      </c>
      <c r="H113" t="inlineStr">
        <is>
          <t>SAESA</t>
        </is>
      </c>
      <c r="I113" t="inlineStr">
        <is>
          <t>SAESANCUBLOQA</t>
        </is>
      </c>
      <c r="J113" t="inlineStr">
        <is>
          <t>ANCUD</t>
        </is>
      </c>
      <c r="K113" t="n">
        <v>1626.699639202916</v>
      </c>
      <c r="L113" t="n">
        <v>0.249999</v>
      </c>
      <c r="M113" t="n">
        <v>6506.82458411</v>
      </c>
      <c r="N113" t="inlineStr">
        <is>
          <t>ANCUD</t>
        </is>
      </c>
      <c r="O113" t="inlineStr">
        <is>
          <t>BS1A</t>
        </is>
      </c>
      <c r="P113" t="n">
        <v>2</v>
      </c>
    </row>
    <row r="114">
      <c r="A114" t="inlineStr">
        <is>
          <t>R_G</t>
        </is>
      </c>
      <c r="B114" t="inlineStr">
        <is>
          <t>01-10-2020</t>
        </is>
      </c>
      <c r="C114" t="n">
        <v>2020</v>
      </c>
      <c r="D114" t="n">
        <v>1</v>
      </c>
      <c r="E114" t="inlineStr">
        <is>
          <t>CAREN</t>
        </is>
      </c>
      <c r="F114" t="inlineStr">
        <is>
          <t>SUM_SAESA_A</t>
        </is>
      </c>
      <c r="G114" t="inlineStr">
        <is>
          <t>A</t>
        </is>
      </c>
      <c r="H114" t="inlineStr">
        <is>
          <t>SAESA</t>
        </is>
      </c>
      <c r="I114" t="inlineStr">
        <is>
          <t>SAESARMBLOQA</t>
        </is>
      </c>
      <c r="J114" t="inlineStr">
        <is>
          <t>ARMAZONES</t>
        </is>
      </c>
      <c r="K114" t="n">
        <v>308.6971468789733</v>
      </c>
      <c r="L114" t="n">
        <v>0.249999</v>
      </c>
      <c r="M114" t="n">
        <v>1234.79352669</v>
      </c>
      <c r="N114" t="inlineStr">
        <is>
          <t>ARMAZONES</t>
        </is>
      </c>
      <c r="O114" t="inlineStr">
        <is>
          <t>BS1A</t>
        </is>
      </c>
      <c r="P114" t="n">
        <v>2</v>
      </c>
    </row>
    <row r="115">
      <c r="A115" t="inlineStr">
        <is>
          <t>R_G</t>
        </is>
      </c>
      <c r="B115" t="inlineStr">
        <is>
          <t>01-10-2020</t>
        </is>
      </c>
      <c r="C115" t="n">
        <v>2020</v>
      </c>
      <c r="D115" t="n">
        <v>1</v>
      </c>
      <c r="E115" t="inlineStr">
        <is>
          <t>CAREN</t>
        </is>
      </c>
      <c r="F115" t="inlineStr">
        <is>
          <t>SUM_SAESA_A</t>
        </is>
      </c>
      <c r="G115" t="inlineStr">
        <is>
          <t>A</t>
        </is>
      </c>
      <c r="H115" t="inlineStr">
        <is>
          <t>SAESA</t>
        </is>
      </c>
      <c r="I115" t="inlineStr">
        <is>
          <t>SAESARNEGBLOQA</t>
        </is>
      </c>
      <c r="J115" t="inlineStr">
        <is>
          <t>R.NEGRO</t>
        </is>
      </c>
      <c r="K115" t="n">
        <v>365.7030121896</v>
      </c>
      <c r="L115" t="n">
        <v>0.249999</v>
      </c>
      <c r="M115" t="n">
        <v>1462.81790003</v>
      </c>
      <c r="N115" t="inlineStr">
        <is>
          <t>RIO NEGRO 23</t>
        </is>
      </c>
      <c r="O115" t="inlineStr">
        <is>
          <t>BS1A</t>
        </is>
      </c>
      <c r="P115" t="n">
        <v>2</v>
      </c>
    </row>
    <row r="116">
      <c r="A116" t="inlineStr">
        <is>
          <t>R_G</t>
        </is>
      </c>
      <c r="B116" t="inlineStr">
        <is>
          <t>01-10-2020</t>
        </is>
      </c>
      <c r="C116" t="n">
        <v>2020</v>
      </c>
      <c r="D116" t="n">
        <v>1</v>
      </c>
      <c r="E116" t="inlineStr">
        <is>
          <t>CAREN</t>
        </is>
      </c>
      <c r="F116" t="inlineStr">
        <is>
          <t>SUM_SAESA_A</t>
        </is>
      </c>
      <c r="G116" t="inlineStr">
        <is>
          <t>A</t>
        </is>
      </c>
      <c r="H116" t="inlineStr">
        <is>
          <t>SAESA</t>
        </is>
      </c>
      <c r="I116" t="inlineStr">
        <is>
          <t>SAESBBLABLOQA</t>
        </is>
      </c>
      <c r="J116" t="inlineStr">
        <is>
          <t>B.BLANCO</t>
        </is>
      </c>
      <c r="K116" t="n">
        <v>1822.120771870259</v>
      </c>
      <c r="L116" t="n">
        <v>0.249999</v>
      </c>
      <c r="M116" t="n">
        <v>7288.51224153</v>
      </c>
      <c r="N116" t="inlineStr">
        <is>
          <t>BARRO BLANCO</t>
        </is>
      </c>
      <c r="O116" t="inlineStr">
        <is>
          <t>BS1A</t>
        </is>
      </c>
      <c r="P116" t="n">
        <v>2</v>
      </c>
    </row>
    <row r="117">
      <c r="A117" t="inlineStr">
        <is>
          <t>R_G</t>
        </is>
      </c>
      <c r="B117" t="inlineStr">
        <is>
          <t>01-10-2020</t>
        </is>
      </c>
      <c r="C117" t="n">
        <v>2020</v>
      </c>
      <c r="D117" t="n">
        <v>1</v>
      </c>
      <c r="E117" t="inlineStr">
        <is>
          <t>CAREN</t>
        </is>
      </c>
      <c r="F117" t="inlineStr">
        <is>
          <t>SUM_SAESA_A</t>
        </is>
      </c>
      <c r="G117" t="inlineStr">
        <is>
          <t>A</t>
        </is>
      </c>
      <c r="H117" t="inlineStr">
        <is>
          <t>SAESA</t>
        </is>
      </c>
      <c r="I117" t="inlineStr">
        <is>
          <t>SAESCALBBLOQA</t>
        </is>
      </c>
      <c r="J117" t="inlineStr">
        <is>
          <t>CALBUCO</t>
        </is>
      </c>
      <c r="K117" t="n">
        <v>804.4130427824582</v>
      </c>
      <c r="L117" t="n">
        <v>0.249999</v>
      </c>
      <c r="M117" t="n">
        <v>3217.66504179</v>
      </c>
      <c r="N117" t="inlineStr">
        <is>
          <t>CALBUCO</t>
        </is>
      </c>
      <c r="O117" t="inlineStr">
        <is>
          <t>BS1A</t>
        </is>
      </c>
      <c r="P117" t="n">
        <v>2</v>
      </c>
    </row>
    <row r="118">
      <c r="A118" t="inlineStr">
        <is>
          <t>R_G</t>
        </is>
      </c>
      <c r="B118" t="inlineStr">
        <is>
          <t>01-10-2020</t>
        </is>
      </c>
      <c r="C118" t="n">
        <v>2020</v>
      </c>
      <c r="D118" t="n">
        <v>1</v>
      </c>
      <c r="E118" t="inlineStr">
        <is>
          <t>CAREN</t>
        </is>
      </c>
      <c r="F118" t="inlineStr">
        <is>
          <t>SUM_SAESA_A</t>
        </is>
      </c>
      <c r="G118" t="inlineStr">
        <is>
          <t>A</t>
        </is>
      </c>
      <c r="H118" t="inlineStr">
        <is>
          <t>SAESA</t>
        </is>
      </c>
      <c r="I118" t="inlineStr">
        <is>
          <t>SAESCASTBLOQA</t>
        </is>
      </c>
      <c r="J118" t="inlineStr">
        <is>
          <t>CASTRO</t>
        </is>
      </c>
      <c r="K118" t="n">
        <v>1542.343052393113</v>
      </c>
      <c r="L118" t="n">
        <v>0.249999</v>
      </c>
      <c r="M118" t="n">
        <v>6169.39688716</v>
      </c>
      <c r="N118" t="inlineStr">
        <is>
          <t>CASTRO</t>
        </is>
      </c>
      <c r="O118" t="inlineStr">
        <is>
          <t>BS1A</t>
        </is>
      </c>
      <c r="P118" t="n">
        <v>2</v>
      </c>
    </row>
    <row r="119">
      <c r="A119" t="inlineStr">
        <is>
          <t>R_G</t>
        </is>
      </c>
      <c r="B119" t="inlineStr">
        <is>
          <t>01-10-2020</t>
        </is>
      </c>
      <c r="C119" t="n">
        <v>2020</v>
      </c>
      <c r="D119" t="n">
        <v>1</v>
      </c>
      <c r="E119" t="inlineStr">
        <is>
          <t>CAREN</t>
        </is>
      </c>
      <c r="F119" t="inlineStr">
        <is>
          <t>SUM_SAESA_A</t>
        </is>
      </c>
      <c r="G119" t="inlineStr">
        <is>
          <t>A</t>
        </is>
      </c>
      <c r="H119" t="inlineStr">
        <is>
          <t>SAESA</t>
        </is>
      </c>
      <c r="I119" t="inlineStr">
        <is>
          <t>SAESCHONBLOQA</t>
        </is>
      </c>
      <c r="J119" t="inlineStr">
        <is>
          <t>CHONCHI</t>
        </is>
      </c>
      <c r="K119" t="n">
        <v>932.5685548958593</v>
      </c>
      <c r="L119" t="n">
        <v>0.249999</v>
      </c>
      <c r="M119" t="n">
        <v>3730.28914074</v>
      </c>
      <c r="N119" t="inlineStr">
        <is>
          <t>CHONCHI</t>
        </is>
      </c>
      <c r="O119" t="inlineStr">
        <is>
          <t>BS1A</t>
        </is>
      </c>
      <c r="P119" t="n">
        <v>2</v>
      </c>
    </row>
    <row r="120">
      <c r="A120" t="inlineStr">
        <is>
          <t>R_G</t>
        </is>
      </c>
      <c r="B120" t="inlineStr">
        <is>
          <t>01-10-2020</t>
        </is>
      </c>
      <c r="C120" t="n">
        <v>2020</v>
      </c>
      <c r="D120" t="n">
        <v>1</v>
      </c>
      <c r="E120" t="inlineStr">
        <is>
          <t>CAREN</t>
        </is>
      </c>
      <c r="F120" t="inlineStr">
        <is>
          <t>SUM_SAESA_A</t>
        </is>
      </c>
      <c r="G120" t="inlineStr">
        <is>
          <t>A</t>
        </is>
      </c>
      <c r="H120" t="inlineStr">
        <is>
          <t>SAESA</t>
        </is>
      </c>
      <c r="I120" t="inlineStr">
        <is>
          <t>SAESCOLABLOQA</t>
        </is>
      </c>
      <c r="J120" t="inlineStr">
        <is>
          <t>COLACO</t>
        </is>
      </c>
      <c r="K120" t="n">
        <v>667.5778212005339</v>
      </c>
      <c r="L120" t="n">
        <v>0.249999</v>
      </c>
      <c r="M120" t="n">
        <v>2670.32196609</v>
      </c>
      <c r="N120" t="inlineStr">
        <is>
          <t>COLACO</t>
        </is>
      </c>
      <c r="O120" t="inlineStr">
        <is>
          <t>BS1A</t>
        </is>
      </c>
      <c r="P120" t="n">
        <v>2</v>
      </c>
    </row>
    <row r="121">
      <c r="A121" t="inlineStr">
        <is>
          <t>R_G</t>
        </is>
      </c>
      <c r="B121" t="inlineStr">
        <is>
          <t>01-10-2020</t>
        </is>
      </c>
      <c r="C121" t="n">
        <v>2020</v>
      </c>
      <c r="D121" t="n">
        <v>1</v>
      </c>
      <c r="E121" t="inlineStr">
        <is>
          <t>CAREN</t>
        </is>
      </c>
      <c r="F121" t="inlineStr">
        <is>
          <t>SUM_SAESA_A</t>
        </is>
      </c>
      <c r="G121" t="inlineStr">
        <is>
          <t>A</t>
        </is>
      </c>
      <c r="H121" t="inlineStr">
        <is>
          <t>SAESA</t>
        </is>
      </c>
      <c r="I121" t="inlineStr">
        <is>
          <t>SAESCORRBLOQA</t>
        </is>
      </c>
      <c r="J121" t="inlineStr">
        <is>
          <t>CORRAL</t>
        </is>
      </c>
      <c r="K121" t="n">
        <v>246.600925354853</v>
      </c>
      <c r="L121" t="n">
        <v>0.249999</v>
      </c>
      <c r="M121" t="n">
        <v>986.40764705</v>
      </c>
      <c r="N121" t="inlineStr">
        <is>
          <t>CORRAL</t>
        </is>
      </c>
      <c r="O121" t="inlineStr">
        <is>
          <t>BS1A</t>
        </is>
      </c>
      <c r="P121" t="n">
        <v>2</v>
      </c>
    </row>
    <row r="122">
      <c r="A122" t="inlineStr">
        <is>
          <t>R_G</t>
        </is>
      </c>
      <c r="B122" t="inlineStr">
        <is>
          <t>01-10-2020</t>
        </is>
      </c>
      <c r="C122" t="n">
        <v>2020</v>
      </c>
      <c r="D122" t="n">
        <v>1</v>
      </c>
      <c r="E122" t="inlineStr">
        <is>
          <t>CAREN</t>
        </is>
      </c>
      <c r="F122" t="inlineStr">
        <is>
          <t>SUM_SAESA_A</t>
        </is>
      </c>
      <c r="G122" t="inlineStr">
        <is>
          <t>A</t>
        </is>
      </c>
      <c r="H122" t="inlineStr">
        <is>
          <t>SAESA</t>
        </is>
      </c>
      <c r="I122" t="inlineStr">
        <is>
          <t>SAESDALCBLOQA</t>
        </is>
      </c>
      <c r="J122" t="inlineStr">
        <is>
          <t>DALCAHUE</t>
        </is>
      </c>
      <c r="K122" t="n">
        <v>1160.652458581595</v>
      </c>
      <c r="L122" t="n">
        <v>0.249999</v>
      </c>
      <c r="M122" t="n">
        <v>4642.62840484</v>
      </c>
      <c r="N122" t="inlineStr">
        <is>
          <t>DALCAHUE</t>
        </is>
      </c>
      <c r="O122" t="inlineStr">
        <is>
          <t>BS1A</t>
        </is>
      </c>
      <c r="P122" t="n">
        <v>2</v>
      </c>
    </row>
    <row r="123">
      <c r="A123" t="inlineStr">
        <is>
          <t>R_G</t>
        </is>
      </c>
      <c r="B123" t="inlineStr">
        <is>
          <t>01-10-2020</t>
        </is>
      </c>
      <c r="C123" t="n">
        <v>2020</v>
      </c>
      <c r="D123" t="n">
        <v>1</v>
      </c>
      <c r="E123" t="inlineStr">
        <is>
          <t>CAREN</t>
        </is>
      </c>
      <c r="F123" t="inlineStr">
        <is>
          <t>SUM_SAESA_A</t>
        </is>
      </c>
      <c r="G123" t="inlineStr">
        <is>
          <t>A</t>
        </is>
      </c>
      <c r="H123" t="inlineStr">
        <is>
          <t>SAESA</t>
        </is>
      </c>
      <c r="I123" t="inlineStr">
        <is>
          <t>SAESDEGABLOQA</t>
        </is>
      </c>
      <c r="J123" t="inlineStr">
        <is>
          <t>DEGAÑ</t>
        </is>
      </c>
      <c r="K123" t="n">
        <v>380.1749945739389</v>
      </c>
      <c r="L123" t="n">
        <v>0.249999</v>
      </c>
      <c r="M123" t="n">
        <v>1520.70606112</v>
      </c>
      <c r="N123" t="inlineStr">
        <is>
          <t>DEGAÑ</t>
        </is>
      </c>
      <c r="O123" t="inlineStr">
        <is>
          <t>BS1A</t>
        </is>
      </c>
      <c r="P123" t="n">
        <v>2</v>
      </c>
    </row>
    <row r="124">
      <c r="A124" t="inlineStr">
        <is>
          <t>R_G</t>
        </is>
      </c>
      <c r="B124" t="inlineStr">
        <is>
          <t>01-10-2020</t>
        </is>
      </c>
      <c r="C124" t="n">
        <v>2020</v>
      </c>
      <c r="D124" t="n">
        <v>1</v>
      </c>
      <c r="E124" t="inlineStr">
        <is>
          <t>CAREN</t>
        </is>
      </c>
      <c r="F124" t="inlineStr">
        <is>
          <t>SUM_SAESA_A</t>
        </is>
      </c>
      <c r="G124" t="inlineStr">
        <is>
          <t>A</t>
        </is>
      </c>
      <c r="H124" t="inlineStr">
        <is>
          <t>SAESA</t>
        </is>
      </c>
      <c r="I124" t="inlineStr">
        <is>
          <t>SAESELEMBLOQA</t>
        </is>
      </c>
      <c r="J124" t="inlineStr">
        <is>
          <t>EMPALME</t>
        </is>
      </c>
      <c r="K124" t="n">
        <v>711.3390433524452</v>
      </c>
      <c r="L124" t="n">
        <v>0.249999</v>
      </c>
      <c r="M124" t="n">
        <v>2845.36755488</v>
      </c>
      <c r="N124" t="inlineStr">
        <is>
          <t>PARGUA 23</t>
        </is>
      </c>
      <c r="O124" t="inlineStr">
        <is>
          <t>BS1A</t>
        </is>
      </c>
      <c r="P124" t="n">
        <v>2</v>
      </c>
    </row>
    <row r="125">
      <c r="A125" t="inlineStr">
        <is>
          <t>R_G</t>
        </is>
      </c>
      <c r="B125" t="inlineStr">
        <is>
          <t>01-10-2020</t>
        </is>
      </c>
      <c r="C125" t="n">
        <v>2020</v>
      </c>
      <c r="D125" t="n">
        <v>1</v>
      </c>
      <c r="E125" t="inlineStr">
        <is>
          <t>CAREN</t>
        </is>
      </c>
      <c r="F125" t="inlineStr">
        <is>
          <t>SUM_SAESA_A</t>
        </is>
      </c>
      <c r="G125" t="inlineStr">
        <is>
          <t>A</t>
        </is>
      </c>
      <c r="H125" t="inlineStr">
        <is>
          <t>SAESA</t>
        </is>
      </c>
      <c r="I125" t="inlineStr">
        <is>
          <t>SAESFRUTBLOQA</t>
        </is>
      </c>
      <c r="J125" t="inlineStr">
        <is>
          <t>FRUTILLAR</t>
        </is>
      </c>
      <c r="K125" t="n">
        <v>1264.785974198367</v>
      </c>
      <c r="L125" t="n">
        <v>0.249999</v>
      </c>
      <c r="M125" t="n">
        <v>5059.16413345</v>
      </c>
      <c r="N125" t="inlineStr">
        <is>
          <t>FRUTILLAR</t>
        </is>
      </c>
      <c r="O125" t="inlineStr">
        <is>
          <t>BS1A</t>
        </is>
      </c>
      <c r="P125" t="n">
        <v>2</v>
      </c>
    </row>
    <row r="126">
      <c r="A126" t="inlineStr">
        <is>
          <t>R_G</t>
        </is>
      </c>
      <c r="B126" t="inlineStr">
        <is>
          <t>01-10-2020</t>
        </is>
      </c>
      <c r="C126" t="n">
        <v>2020</v>
      </c>
      <c r="D126" t="n">
        <v>1</v>
      </c>
      <c r="E126" t="inlineStr">
        <is>
          <t>CAREN</t>
        </is>
      </c>
      <c r="F126" t="inlineStr">
        <is>
          <t>SUM_SAESA_A</t>
        </is>
      </c>
      <c r="G126" t="inlineStr">
        <is>
          <t>A</t>
        </is>
      </c>
      <c r="H126" t="inlineStr">
        <is>
          <t>SAESA</t>
        </is>
      </c>
      <c r="I126" t="inlineStr">
        <is>
          <t>SAESLAUNBLOQA</t>
        </is>
      </c>
      <c r="J126" t="inlineStr">
        <is>
          <t>L.UNION</t>
        </is>
      </c>
      <c r="K126" t="n">
        <v>1164.350161675724</v>
      </c>
      <c r="L126" t="n">
        <v>0.249999</v>
      </c>
      <c r="M126" t="n">
        <v>4657.41927638</v>
      </c>
      <c r="N126" t="inlineStr">
        <is>
          <t>LA UNION</t>
        </is>
      </c>
      <c r="O126" t="inlineStr">
        <is>
          <t>BS1A</t>
        </is>
      </c>
      <c r="P126" t="n">
        <v>2</v>
      </c>
    </row>
    <row r="127">
      <c r="A127" t="inlineStr">
        <is>
          <t>R_G</t>
        </is>
      </c>
      <c r="B127" t="inlineStr">
        <is>
          <t>01-10-2020</t>
        </is>
      </c>
      <c r="C127" t="n">
        <v>2020</v>
      </c>
      <c r="D127" t="n">
        <v>1</v>
      </c>
      <c r="E127" t="inlineStr">
        <is>
          <t>CAREN</t>
        </is>
      </c>
      <c r="F127" t="inlineStr">
        <is>
          <t>SUM_SAESA_A</t>
        </is>
      </c>
      <c r="G127" t="inlineStr">
        <is>
          <t>A</t>
        </is>
      </c>
      <c r="H127" t="inlineStr">
        <is>
          <t>SAESA</t>
        </is>
      </c>
      <c r="I127" t="inlineStr">
        <is>
          <t>SAESLONCBLOQA</t>
        </is>
      </c>
      <c r="J127" t="inlineStr">
        <is>
          <t>LONCOCHE2</t>
        </is>
      </c>
      <c r="K127" t="n">
        <v>1292.344386829275</v>
      </c>
      <c r="L127" t="n">
        <v>0.249999</v>
      </c>
      <c r="M127" t="n">
        <v>5169.39822491</v>
      </c>
      <c r="N127" t="inlineStr">
        <is>
          <t>LONCOCHE</t>
        </is>
      </c>
      <c r="O127" t="inlineStr">
        <is>
          <t>BS1A</t>
        </is>
      </c>
      <c r="P127" t="n">
        <v>2</v>
      </c>
    </row>
    <row r="128">
      <c r="A128" t="inlineStr">
        <is>
          <t>R_G</t>
        </is>
      </c>
      <c r="B128" t="inlineStr">
        <is>
          <t>01-10-2020</t>
        </is>
      </c>
      <c r="C128" t="n">
        <v>2020</v>
      </c>
      <c r="D128" t="n">
        <v>1</v>
      </c>
      <c r="E128" t="inlineStr">
        <is>
          <t>CAREN</t>
        </is>
      </c>
      <c r="F128" t="inlineStr">
        <is>
          <t>SUM_SAESA_A</t>
        </is>
      </c>
      <c r="G128" t="inlineStr">
        <is>
          <t>A</t>
        </is>
      </c>
      <c r="H128" t="inlineStr">
        <is>
          <t>SAESA</t>
        </is>
      </c>
      <c r="I128" t="inlineStr">
        <is>
          <t>SAESLOSLBLOQA</t>
        </is>
      </c>
      <c r="J128" t="inlineStr">
        <is>
          <t>L.LAGOS</t>
        </is>
      </c>
      <c r="K128" t="n">
        <v>414.4382175904986</v>
      </c>
      <c r="L128" t="n">
        <v>0.249999</v>
      </c>
      <c r="M128" t="n">
        <v>1657.7595014</v>
      </c>
      <c r="N128" t="inlineStr">
        <is>
          <t>LOS LAGOS</t>
        </is>
      </c>
      <c r="O128" t="inlineStr">
        <is>
          <t>BS1A</t>
        </is>
      </c>
      <c r="P128" t="n">
        <v>2</v>
      </c>
    </row>
    <row r="129">
      <c r="A129" t="inlineStr">
        <is>
          <t>R_G</t>
        </is>
      </c>
      <c r="B129" t="inlineStr">
        <is>
          <t>01-10-2020</t>
        </is>
      </c>
      <c r="C129" t="n">
        <v>2020</v>
      </c>
      <c r="D129" t="n">
        <v>1</v>
      </c>
      <c r="E129" t="inlineStr">
        <is>
          <t>CAREN</t>
        </is>
      </c>
      <c r="F129" t="inlineStr">
        <is>
          <t>SUM_SAESA_A</t>
        </is>
      </c>
      <c r="G129" t="inlineStr">
        <is>
          <t>A</t>
        </is>
      </c>
      <c r="H129" t="inlineStr">
        <is>
          <t>SAESA</t>
        </is>
      </c>
      <c r="I129" t="inlineStr">
        <is>
          <t>SAESLTAMBLOQA</t>
        </is>
      </c>
      <c r="J129" t="inlineStr">
        <is>
          <t>LOS_TAMBORES</t>
        </is>
      </c>
      <c r="K129" t="n">
        <v>963.2415404034265</v>
      </c>
      <c r="L129" t="n">
        <v>0.249999</v>
      </c>
      <c r="M129" t="n">
        <v>3852.98157354</v>
      </c>
      <c r="N129" t="inlineStr">
        <is>
          <t>LOS TAMBORES</t>
        </is>
      </c>
      <c r="O129" t="inlineStr">
        <is>
          <t>BS1A</t>
        </is>
      </c>
      <c r="P129" t="n">
        <v>2</v>
      </c>
    </row>
    <row r="130">
      <c r="A130" t="inlineStr">
        <is>
          <t>R_G</t>
        </is>
      </c>
      <c r="B130" t="inlineStr">
        <is>
          <t>01-10-2020</t>
        </is>
      </c>
      <c r="C130" t="n">
        <v>2020</v>
      </c>
      <c r="D130" t="n">
        <v>1</v>
      </c>
      <c r="E130" t="inlineStr">
        <is>
          <t>CAREN</t>
        </is>
      </c>
      <c r="F130" t="inlineStr">
        <is>
          <t>SUM_SAESA_A</t>
        </is>
      </c>
      <c r="G130" t="inlineStr">
        <is>
          <t>A</t>
        </is>
      </c>
      <c r="H130" t="inlineStr">
        <is>
          <t>SAESA</t>
        </is>
      </c>
      <c r="I130" t="inlineStr">
        <is>
          <t>SAESMARIBLOQA</t>
        </is>
      </c>
      <c r="J130" t="inlineStr">
        <is>
          <t>MARIQUINA</t>
        </is>
      </c>
      <c r="K130" t="n">
        <v>810.5955051700098</v>
      </c>
      <c r="L130" t="n">
        <v>0.249999</v>
      </c>
      <c r="M130" t="n">
        <v>3242.39499026</v>
      </c>
      <c r="N130" t="inlineStr">
        <is>
          <t>MARIQUINA</t>
        </is>
      </c>
      <c r="O130" t="inlineStr">
        <is>
          <t>BS1A</t>
        </is>
      </c>
      <c r="P130" t="n">
        <v>2</v>
      </c>
    </row>
    <row r="131">
      <c r="A131" t="inlineStr">
        <is>
          <t>R_G</t>
        </is>
      </c>
      <c r="B131" t="inlineStr">
        <is>
          <t>01-10-2020</t>
        </is>
      </c>
      <c r="C131" t="n">
        <v>2020</v>
      </c>
      <c r="D131" t="n">
        <v>1</v>
      </c>
      <c r="E131" t="inlineStr">
        <is>
          <t>CAREN</t>
        </is>
      </c>
      <c r="F131" t="inlineStr">
        <is>
          <t>SUM_SAESA_A</t>
        </is>
      </c>
      <c r="G131" t="inlineStr">
        <is>
          <t>A</t>
        </is>
      </c>
      <c r="H131" t="inlineStr">
        <is>
          <t>SAESA</t>
        </is>
      </c>
      <c r="I131" t="inlineStr">
        <is>
          <t>SAESMELIBLOQA</t>
        </is>
      </c>
      <c r="J131" t="inlineStr">
        <is>
          <t>MELIPULLI</t>
        </is>
      </c>
      <c r="K131" t="n">
        <v>11744.63221064074</v>
      </c>
      <c r="L131" t="n">
        <v>0.249999</v>
      </c>
      <c r="M131" t="n">
        <v>46978.71675743</v>
      </c>
      <c r="N131" t="inlineStr">
        <is>
          <t>MELIPULLI</t>
        </is>
      </c>
      <c r="O131" t="inlineStr">
        <is>
          <t>BS1A</t>
        </is>
      </c>
      <c r="P131" t="n">
        <v>2</v>
      </c>
    </row>
    <row r="132">
      <c r="A132" t="inlineStr">
        <is>
          <t>R_G</t>
        </is>
      </c>
      <c r="B132" t="inlineStr">
        <is>
          <t>01-10-2020</t>
        </is>
      </c>
      <c r="C132" t="n">
        <v>2020</v>
      </c>
      <c r="D132" t="n">
        <v>1</v>
      </c>
      <c r="E132" t="inlineStr">
        <is>
          <t>CAREN</t>
        </is>
      </c>
      <c r="F132" t="inlineStr">
        <is>
          <t>SUM_SAESA_A</t>
        </is>
      </c>
      <c r="G132" t="inlineStr">
        <is>
          <t>A</t>
        </is>
      </c>
      <c r="H132" t="inlineStr">
        <is>
          <t>SAESA</t>
        </is>
      </c>
      <c r="I132" t="inlineStr">
        <is>
          <t>SAESOSORBLOQA</t>
        </is>
      </c>
      <c r="J132" t="inlineStr">
        <is>
          <t>OSORNO</t>
        </is>
      </c>
      <c r="K132" t="n">
        <v>5407.575921437293</v>
      </c>
      <c r="L132" t="n">
        <v>0.249999</v>
      </c>
      <c r="M132" t="n">
        <v>21630.39020731</v>
      </c>
      <c r="N132" t="inlineStr">
        <is>
          <t>OSORNO</t>
        </is>
      </c>
      <c r="O132" t="inlineStr">
        <is>
          <t>BS1A</t>
        </is>
      </c>
      <c r="P132" t="n">
        <v>2</v>
      </c>
    </row>
    <row r="133">
      <c r="A133" t="inlineStr">
        <is>
          <t>R_G</t>
        </is>
      </c>
      <c r="B133" t="inlineStr">
        <is>
          <t>01-10-2020</t>
        </is>
      </c>
      <c r="C133" t="n">
        <v>2020</v>
      </c>
      <c r="D133" t="n">
        <v>1</v>
      </c>
      <c r="E133" t="inlineStr">
        <is>
          <t>CAREN</t>
        </is>
      </c>
      <c r="F133" t="inlineStr">
        <is>
          <t>SUM_SAESA_A</t>
        </is>
      </c>
      <c r="G133" t="inlineStr">
        <is>
          <t>A</t>
        </is>
      </c>
      <c r="H133" t="inlineStr">
        <is>
          <t>SAESA</t>
        </is>
      </c>
      <c r="I133" t="inlineStr">
        <is>
          <t>SAESPANGBLOQA</t>
        </is>
      </c>
      <c r="J133" t="inlineStr">
        <is>
          <t>PANGUIPULLI</t>
        </is>
      </c>
      <c r="K133" t="n">
        <v>1794.255031373666</v>
      </c>
      <c r="L133" t="n">
        <v>0.249999</v>
      </c>
      <c r="M133" t="n">
        <v>7177.04883369</v>
      </c>
      <c r="N133" t="inlineStr">
        <is>
          <t>PANGUIPULLI</t>
        </is>
      </c>
      <c r="O133" t="inlineStr">
        <is>
          <t>BS1A</t>
        </is>
      </c>
      <c r="P133" t="n">
        <v>2</v>
      </c>
    </row>
    <row r="134">
      <c r="A134" t="inlineStr">
        <is>
          <t>R_G</t>
        </is>
      </c>
      <c r="B134" t="inlineStr">
        <is>
          <t>01-10-2020</t>
        </is>
      </c>
      <c r="C134" t="n">
        <v>2020</v>
      </c>
      <c r="D134" t="n">
        <v>1</v>
      </c>
      <c r="E134" t="inlineStr">
        <is>
          <t>CAREN</t>
        </is>
      </c>
      <c r="F134" t="inlineStr">
        <is>
          <t>SUM_SAESA_A</t>
        </is>
      </c>
      <c r="G134" t="inlineStr">
        <is>
          <t>A</t>
        </is>
      </c>
      <c r="H134" t="inlineStr">
        <is>
          <t>SAESA</t>
        </is>
      </c>
      <c r="I134" t="inlineStr">
        <is>
          <t>SAESPARGBLOQA</t>
        </is>
      </c>
      <c r="J134" t="inlineStr">
        <is>
          <t>PARGUA</t>
        </is>
      </c>
      <c r="K134" t="n">
        <v>147.0708290118308</v>
      </c>
      <c r="L134" t="n">
        <v>0.249999</v>
      </c>
      <c r="M134" t="n">
        <v>588.28566919</v>
      </c>
      <c r="N134" t="inlineStr">
        <is>
          <t>PARGUA 23</t>
        </is>
      </c>
      <c r="O134" t="inlineStr">
        <is>
          <t>BS1A</t>
        </is>
      </c>
      <c r="P134" t="n">
        <v>2</v>
      </c>
    </row>
    <row r="135">
      <c r="A135" t="inlineStr">
        <is>
          <t>R_G</t>
        </is>
      </c>
      <c r="B135" t="inlineStr">
        <is>
          <t>01-10-2020</t>
        </is>
      </c>
      <c r="C135" t="n">
        <v>2020</v>
      </c>
      <c r="D135" t="n">
        <v>1</v>
      </c>
      <c r="E135" t="inlineStr">
        <is>
          <t>CAREN</t>
        </is>
      </c>
      <c r="F135" t="inlineStr">
        <is>
          <t>SUM_SAESA_A</t>
        </is>
      </c>
      <c r="G135" t="inlineStr">
        <is>
          <t>A</t>
        </is>
      </c>
      <c r="H135" t="inlineStr">
        <is>
          <t>SAESA</t>
        </is>
      </c>
      <c r="I135" t="inlineStr">
        <is>
          <t>SAESPICABLOQA</t>
        </is>
      </c>
      <c r="J135" t="inlineStr">
        <is>
          <t>PICARTE</t>
        </is>
      </c>
      <c r="K135" t="n">
        <v>6240.736031641021</v>
      </c>
      <c r="L135" t="n">
        <v>0.249999</v>
      </c>
      <c r="M135" t="n">
        <v>24963.04397874</v>
      </c>
      <c r="N135" t="inlineStr">
        <is>
          <t>PICARTE</t>
        </is>
      </c>
      <c r="O135" t="inlineStr">
        <is>
          <t>BS1A</t>
        </is>
      </c>
      <c r="P135" t="n">
        <v>2</v>
      </c>
    </row>
    <row r="136">
      <c r="A136" t="inlineStr">
        <is>
          <t>R_G</t>
        </is>
      </c>
      <c r="B136" t="inlineStr">
        <is>
          <t>01-10-2020</t>
        </is>
      </c>
      <c r="C136" t="n">
        <v>2020</v>
      </c>
      <c r="D136" t="n">
        <v>1</v>
      </c>
      <c r="E136" t="inlineStr">
        <is>
          <t>CAREN</t>
        </is>
      </c>
      <c r="F136" t="inlineStr">
        <is>
          <t>SUM_SAESA_A</t>
        </is>
      </c>
      <c r="G136" t="inlineStr">
        <is>
          <t>A</t>
        </is>
      </c>
      <c r="H136" t="inlineStr">
        <is>
          <t>SAESA</t>
        </is>
      </c>
      <c r="I136" t="inlineStr">
        <is>
          <t>SAESPICHBLOQA</t>
        </is>
      </c>
      <c r="J136" t="inlineStr">
        <is>
          <t>PICHIRROPULLI</t>
        </is>
      </c>
      <c r="K136" t="n">
        <v>1098.216421059244</v>
      </c>
      <c r="L136" t="n">
        <v>0.249999</v>
      </c>
      <c r="M136" t="n">
        <v>4392.88325577</v>
      </c>
      <c r="N136" t="inlineStr">
        <is>
          <t>PICHIRROPULLI</t>
        </is>
      </c>
      <c r="O136" t="inlineStr">
        <is>
          <t>BS1A</t>
        </is>
      </c>
      <c r="P136" t="n">
        <v>2</v>
      </c>
    </row>
    <row r="137">
      <c r="A137" t="inlineStr">
        <is>
          <t>R_G</t>
        </is>
      </c>
      <c r="B137" t="inlineStr">
        <is>
          <t>01-10-2020</t>
        </is>
      </c>
      <c r="C137" t="n">
        <v>2020</v>
      </c>
      <c r="D137" t="n">
        <v>1</v>
      </c>
      <c r="E137" t="inlineStr">
        <is>
          <t>CAREN</t>
        </is>
      </c>
      <c r="F137" t="inlineStr">
        <is>
          <t>SUM_SAESA_A</t>
        </is>
      </c>
      <c r="G137" t="inlineStr">
        <is>
          <t>A</t>
        </is>
      </c>
      <c r="H137" t="inlineStr">
        <is>
          <t>SAESA</t>
        </is>
      </c>
      <c r="I137" t="inlineStr">
        <is>
          <t>SAESPICHIBLOQA</t>
        </is>
      </c>
      <c r="J137" t="inlineStr">
        <is>
          <t>PICHIL</t>
        </is>
      </c>
      <c r="K137" t="n">
        <v>175.0655863473535</v>
      </c>
      <c r="L137" t="n">
        <v>0.249999</v>
      </c>
      <c r="M137" t="n">
        <v>700.26514645</v>
      </c>
      <c r="N137" t="inlineStr">
        <is>
          <t>PICHIL</t>
        </is>
      </c>
      <c r="O137" t="inlineStr">
        <is>
          <t>BS1A</t>
        </is>
      </c>
      <c r="P137" t="n">
        <v>2</v>
      </c>
    </row>
    <row r="138">
      <c r="A138" t="inlineStr">
        <is>
          <t>R_G</t>
        </is>
      </c>
      <c r="B138" t="inlineStr">
        <is>
          <t>01-10-2020</t>
        </is>
      </c>
      <c r="C138" t="n">
        <v>2020</v>
      </c>
      <c r="D138" t="n">
        <v>1</v>
      </c>
      <c r="E138" t="inlineStr">
        <is>
          <t>CAREN</t>
        </is>
      </c>
      <c r="F138" t="inlineStr">
        <is>
          <t>SUM_SAESA_A</t>
        </is>
      </c>
      <c r="G138" t="inlineStr">
        <is>
          <t>A</t>
        </is>
      </c>
      <c r="H138" t="inlineStr">
        <is>
          <t>SAESA</t>
        </is>
      </c>
      <c r="I138" t="inlineStr">
        <is>
          <t>SAESPIDPBLOQA</t>
        </is>
      </c>
      <c r="J138" t="inlineStr">
        <is>
          <t>PIDPID</t>
        </is>
      </c>
      <c r="K138" t="n">
        <v>816.2842359999954</v>
      </c>
      <c r="L138" t="n">
        <v>0.249999</v>
      </c>
      <c r="M138" t="n">
        <v>3265.1500046</v>
      </c>
      <c r="N138" t="inlineStr">
        <is>
          <t>PID PID</t>
        </is>
      </c>
      <c r="O138" t="inlineStr">
        <is>
          <t>BS1A</t>
        </is>
      </c>
      <c r="P138" t="n">
        <v>2</v>
      </c>
    </row>
    <row r="139">
      <c r="A139" t="inlineStr">
        <is>
          <t>R_G</t>
        </is>
      </c>
      <c r="B139" t="inlineStr">
        <is>
          <t>01-10-2020</t>
        </is>
      </c>
      <c r="C139" t="n">
        <v>2020</v>
      </c>
      <c r="D139" t="n">
        <v>1</v>
      </c>
      <c r="E139" t="inlineStr">
        <is>
          <t>CAREN</t>
        </is>
      </c>
      <c r="F139" t="inlineStr">
        <is>
          <t>SUM_SAESA_A</t>
        </is>
      </c>
      <c r="G139" t="inlineStr">
        <is>
          <t>A</t>
        </is>
      </c>
      <c r="H139" t="inlineStr">
        <is>
          <t>SAESA</t>
        </is>
      </c>
      <c r="I139" t="inlineStr">
        <is>
          <t>SAESPILMBLOQA</t>
        </is>
      </c>
      <c r="J139" t="inlineStr">
        <is>
          <t>PILMAIQUEN</t>
        </is>
      </c>
      <c r="K139" t="n">
        <v>0</v>
      </c>
      <c r="L139" t="n">
        <v>0.249999</v>
      </c>
      <c r="M139" t="n">
        <v>0</v>
      </c>
      <c r="N139" t="inlineStr">
        <is>
          <t>PILMAIQUEN</t>
        </is>
      </c>
      <c r="O139" t="inlineStr">
        <is>
          <t>BS1A</t>
        </is>
      </c>
      <c r="P139" t="n">
        <v>2</v>
      </c>
    </row>
    <row r="140">
      <c r="A140" t="inlineStr">
        <is>
          <t>R_G</t>
        </is>
      </c>
      <c r="B140" t="inlineStr">
        <is>
          <t>01-10-2020</t>
        </is>
      </c>
      <c r="C140" t="n">
        <v>2020</v>
      </c>
      <c r="D140" t="n">
        <v>1</v>
      </c>
      <c r="E140" t="inlineStr">
        <is>
          <t>CAREN</t>
        </is>
      </c>
      <c r="F140" t="inlineStr">
        <is>
          <t>SUM_SAESA_A</t>
        </is>
      </c>
      <c r="G140" t="inlineStr">
        <is>
          <t>A</t>
        </is>
      </c>
      <c r="H140" t="inlineStr">
        <is>
          <t>SAESA</t>
        </is>
      </c>
      <c r="I140" t="inlineStr">
        <is>
          <t>SAESPULLBLOQA</t>
        </is>
      </c>
      <c r="J140" t="inlineStr">
        <is>
          <t>PULLINQUE</t>
        </is>
      </c>
      <c r="K140" t="n">
        <v>445.2421591142397</v>
      </c>
      <c r="L140" t="n">
        <v>0.249999</v>
      </c>
      <c r="M140" t="n">
        <v>1780.97576036</v>
      </c>
      <c r="N140" t="inlineStr">
        <is>
          <t>PULLINQUE</t>
        </is>
      </c>
      <c r="O140" t="inlineStr">
        <is>
          <t>BS1A</t>
        </is>
      </c>
      <c r="P140" t="n">
        <v>2</v>
      </c>
    </row>
    <row r="141">
      <c r="A141" t="inlineStr">
        <is>
          <t>R_G</t>
        </is>
      </c>
      <c r="B141" t="inlineStr">
        <is>
          <t>01-10-2020</t>
        </is>
      </c>
      <c r="C141" t="n">
        <v>2020</v>
      </c>
      <c r="D141" t="n">
        <v>1</v>
      </c>
      <c r="E141" t="inlineStr">
        <is>
          <t>CAREN</t>
        </is>
      </c>
      <c r="F141" t="inlineStr">
        <is>
          <t>SUM_SAESA_A</t>
        </is>
      </c>
      <c r="G141" t="inlineStr">
        <is>
          <t>A</t>
        </is>
      </c>
      <c r="H141" t="inlineStr">
        <is>
          <t>SAESA</t>
        </is>
      </c>
      <c r="I141" t="inlineStr">
        <is>
          <t>SAESPURRBLOQA</t>
        </is>
      </c>
      <c r="J141" t="inlineStr">
        <is>
          <t>PURRANQUE</t>
        </is>
      </c>
      <c r="K141" t="n">
        <v>969.8387731393899</v>
      </c>
      <c r="L141" t="n">
        <v>0.249999</v>
      </c>
      <c r="M141" t="n">
        <v>3879.37061004</v>
      </c>
      <c r="N141" t="inlineStr">
        <is>
          <t>PURRANQUE</t>
        </is>
      </c>
      <c r="O141" t="inlineStr">
        <is>
          <t>BS1A</t>
        </is>
      </c>
      <c r="P141" t="n">
        <v>2</v>
      </c>
    </row>
    <row r="142">
      <c r="A142" t="inlineStr">
        <is>
          <t>R_G</t>
        </is>
      </c>
      <c r="B142" t="inlineStr">
        <is>
          <t>01-10-2020</t>
        </is>
      </c>
      <c r="C142" t="n">
        <v>2020</v>
      </c>
      <c r="D142" t="n">
        <v>1</v>
      </c>
      <c r="E142" t="inlineStr">
        <is>
          <t>CAREN</t>
        </is>
      </c>
      <c r="F142" t="inlineStr">
        <is>
          <t>SUM_SAESA_A</t>
        </is>
      </c>
      <c r="G142" t="inlineStr">
        <is>
          <t>A</t>
        </is>
      </c>
      <c r="H142" t="inlineStr">
        <is>
          <t>SAESA</t>
        </is>
      </c>
      <c r="I142" t="inlineStr">
        <is>
          <t>SAESPVARBLOQA</t>
        </is>
      </c>
      <c r="J142" t="inlineStr">
        <is>
          <t>P.VARAS</t>
        </is>
      </c>
      <c r="K142" t="n">
        <v>2303.784696916851</v>
      </c>
      <c r="L142" t="n">
        <v>0.249999</v>
      </c>
      <c r="M142" t="n">
        <v>9215.175648369999</v>
      </c>
      <c r="N142" t="inlineStr">
        <is>
          <t>PUERTO VARAS</t>
        </is>
      </c>
      <c r="O142" t="inlineStr">
        <is>
          <t>BS1A</t>
        </is>
      </c>
      <c r="P142" t="n">
        <v>2</v>
      </c>
    </row>
    <row r="143">
      <c r="A143" t="inlineStr">
        <is>
          <t>R_G</t>
        </is>
      </c>
      <c r="B143" t="inlineStr">
        <is>
          <t>01-10-2020</t>
        </is>
      </c>
      <c r="C143" t="n">
        <v>2020</v>
      </c>
      <c r="D143" t="n">
        <v>1</v>
      </c>
      <c r="E143" t="inlineStr">
        <is>
          <t>CAREN</t>
        </is>
      </c>
      <c r="F143" t="inlineStr">
        <is>
          <t>SUM_SAESA_A</t>
        </is>
      </c>
      <c r="G143" t="inlineStr">
        <is>
          <t>A</t>
        </is>
      </c>
      <c r="H143" t="inlineStr">
        <is>
          <t>SAESA</t>
        </is>
      </c>
      <c r="I143" t="inlineStr">
        <is>
          <t>SAESQUELBLOQA</t>
        </is>
      </c>
      <c r="J143" t="inlineStr">
        <is>
          <t>QUELLON</t>
        </is>
      </c>
      <c r="K143" t="n">
        <v>1201.500989561818</v>
      </c>
      <c r="L143" t="n">
        <v>0.249999</v>
      </c>
      <c r="M143" t="n">
        <v>4806.02318234</v>
      </c>
      <c r="N143" t="inlineStr">
        <is>
          <t>QUELLON</t>
        </is>
      </c>
      <c r="O143" t="inlineStr">
        <is>
          <t>BS1A</t>
        </is>
      </c>
      <c r="P143" t="n">
        <v>2</v>
      </c>
    </row>
    <row r="144">
      <c r="A144" t="inlineStr">
        <is>
          <t>R_G</t>
        </is>
      </c>
      <c r="B144" t="inlineStr">
        <is>
          <t>01-10-2020</t>
        </is>
      </c>
      <c r="C144" t="n">
        <v>2020</v>
      </c>
      <c r="D144" t="n">
        <v>1</v>
      </c>
      <c r="E144" t="inlineStr">
        <is>
          <t>CAREN</t>
        </is>
      </c>
      <c r="F144" t="inlineStr">
        <is>
          <t>SUM_SAESA_A</t>
        </is>
      </c>
      <c r="G144" t="inlineStr">
        <is>
          <t>A</t>
        </is>
      </c>
      <c r="H144" t="inlineStr">
        <is>
          <t>SAESA</t>
        </is>
      </c>
      <c r="I144" t="inlineStr">
        <is>
          <t>SAESSANGBLOQA</t>
        </is>
      </c>
      <c r="J144" t="inlineStr">
        <is>
          <t>SANGRA</t>
        </is>
      </c>
      <c r="K144" t="n">
        <v>1031.046576227198</v>
      </c>
      <c r="L144" t="n">
        <v>0.249999</v>
      </c>
      <c r="M144" t="n">
        <v>4124.20280172</v>
      </c>
      <c r="N144" t="inlineStr">
        <is>
          <t>SANGRA 23</t>
        </is>
      </c>
      <c r="O144" t="inlineStr">
        <is>
          <t>BS1A</t>
        </is>
      </c>
      <c r="P144" t="n">
        <v>2</v>
      </c>
    </row>
    <row r="145">
      <c r="A145" t="inlineStr">
        <is>
          <t>R_G</t>
        </is>
      </c>
      <c r="B145" t="inlineStr">
        <is>
          <t>01-10-2020</t>
        </is>
      </c>
      <c r="C145" t="n">
        <v>2020</v>
      </c>
      <c r="D145" t="n">
        <v>1</v>
      </c>
      <c r="E145" t="inlineStr">
        <is>
          <t>CAREN</t>
        </is>
      </c>
      <c r="F145" t="inlineStr">
        <is>
          <t>SUM_SAESA_A</t>
        </is>
      </c>
      <c r="G145" t="inlineStr">
        <is>
          <t>A</t>
        </is>
      </c>
      <c r="H145" t="inlineStr">
        <is>
          <t>SAESA</t>
        </is>
      </c>
      <c r="I145" t="inlineStr">
        <is>
          <t>SAESVALDENBLOQA</t>
        </is>
      </c>
      <c r="J145" t="inlineStr">
        <is>
          <t>VALDIVIA</t>
        </is>
      </c>
      <c r="K145" t="n">
        <v>1951.938423942573</v>
      </c>
      <c r="L145" t="n">
        <v>0.249999</v>
      </c>
      <c r="M145" t="n">
        <v>7807.78492691</v>
      </c>
      <c r="N145" t="inlineStr">
        <is>
          <t>VALDIVIA</t>
        </is>
      </c>
      <c r="O145" t="inlineStr">
        <is>
          <t>BS1A</t>
        </is>
      </c>
      <c r="P145" t="n">
        <v>2</v>
      </c>
    </row>
    <row r="146">
      <c r="A146" t="inlineStr">
        <is>
          <t>R_G</t>
        </is>
      </c>
      <c r="B146" t="inlineStr">
        <is>
          <t>01-11-2020</t>
        </is>
      </c>
      <c r="C146" t="n">
        <v>2020</v>
      </c>
      <c r="D146" t="n">
        <v>1</v>
      </c>
      <c r="E146" t="inlineStr">
        <is>
          <t>CAREN</t>
        </is>
      </c>
      <c r="F146" t="inlineStr">
        <is>
          <t>SUM_SAESA_A</t>
        </is>
      </c>
      <c r="G146" t="inlineStr">
        <is>
          <t>A</t>
        </is>
      </c>
      <c r="H146" t="inlineStr">
        <is>
          <t>SAESA</t>
        </is>
      </c>
      <c r="I146" t="inlineStr">
        <is>
          <t>SAESABONBLOQA</t>
        </is>
      </c>
      <c r="J146" t="inlineStr">
        <is>
          <t>ALTO_BONITO</t>
        </is>
      </c>
      <c r="K146" t="n">
        <v>2209.450485852705</v>
      </c>
      <c r="L146" t="n">
        <v>0.249999</v>
      </c>
      <c r="M146" t="n">
        <v>8837.83729476</v>
      </c>
      <c r="N146" t="inlineStr">
        <is>
          <t>ALTO BONITO</t>
        </is>
      </c>
      <c r="O146" t="inlineStr">
        <is>
          <t>BS1A</t>
        </is>
      </c>
      <c r="P146" t="n">
        <v>2</v>
      </c>
    </row>
    <row r="147">
      <c r="A147" t="inlineStr">
        <is>
          <t>R_G</t>
        </is>
      </c>
      <c r="B147" t="inlineStr">
        <is>
          <t>01-11-2020</t>
        </is>
      </c>
      <c r="C147" t="n">
        <v>2020</v>
      </c>
      <c r="D147" t="n">
        <v>1</v>
      </c>
      <c r="E147" t="inlineStr">
        <is>
          <t>CAREN</t>
        </is>
      </c>
      <c r="F147" t="inlineStr">
        <is>
          <t>SUM_SAESA_A</t>
        </is>
      </c>
      <c r="G147" t="inlineStr">
        <is>
          <t>A</t>
        </is>
      </c>
      <c r="H147" t="inlineStr">
        <is>
          <t>SAESA</t>
        </is>
      </c>
      <c r="I147" t="inlineStr">
        <is>
          <t>SAESACHIRREBLOQA</t>
        </is>
      </c>
      <c r="J147" t="inlineStr">
        <is>
          <t>CHIRRE</t>
        </is>
      </c>
      <c r="K147" t="n">
        <v>734.4644938052733</v>
      </c>
      <c r="L147" t="n">
        <v>0.249999</v>
      </c>
      <c r="M147" t="n">
        <v>2937.8697267</v>
      </c>
      <c r="N147" t="inlineStr">
        <is>
          <t>CHIRRE 23</t>
        </is>
      </c>
      <c r="O147" t="inlineStr">
        <is>
          <t>BS1A</t>
        </is>
      </c>
      <c r="P147" t="n">
        <v>2</v>
      </c>
    </row>
    <row r="148">
      <c r="A148" t="inlineStr">
        <is>
          <t>R_G</t>
        </is>
      </c>
      <c r="B148" t="inlineStr">
        <is>
          <t>01-11-2020</t>
        </is>
      </c>
      <c r="C148" t="n">
        <v>2020</v>
      </c>
      <c r="D148" t="n">
        <v>1</v>
      </c>
      <c r="E148" t="inlineStr">
        <is>
          <t>CAREN</t>
        </is>
      </c>
      <c r="F148" t="inlineStr">
        <is>
          <t>SUM_SAESA_A</t>
        </is>
      </c>
      <c r="G148" t="inlineStr">
        <is>
          <t>A</t>
        </is>
      </c>
      <c r="H148" t="inlineStr">
        <is>
          <t>SAESA</t>
        </is>
      </c>
      <c r="I148" t="inlineStr">
        <is>
          <t>SAESAIHUBLOQA</t>
        </is>
      </c>
      <c r="J148" t="inlineStr">
        <is>
          <t>AIHUAPI</t>
        </is>
      </c>
      <c r="K148" t="n">
        <v>67.84839823282149</v>
      </c>
      <c r="L148" t="n">
        <v>0.249999</v>
      </c>
      <c r="M148" t="n">
        <v>271.39467851</v>
      </c>
      <c r="N148" t="inlineStr">
        <is>
          <t>AIHUAPI</t>
        </is>
      </c>
      <c r="O148" t="inlineStr">
        <is>
          <t>BS1A</t>
        </is>
      </c>
      <c r="P148" t="n">
        <v>2</v>
      </c>
    </row>
    <row r="149">
      <c r="A149" t="inlineStr">
        <is>
          <t>R_G</t>
        </is>
      </c>
      <c r="B149" t="inlineStr">
        <is>
          <t>01-11-2020</t>
        </is>
      </c>
      <c r="C149" t="n">
        <v>2020</v>
      </c>
      <c r="D149" t="n">
        <v>1</v>
      </c>
      <c r="E149" t="inlineStr">
        <is>
          <t>CAREN</t>
        </is>
      </c>
      <c r="F149" t="inlineStr">
        <is>
          <t>SUM_SAESA_A</t>
        </is>
      </c>
      <c r="G149" t="inlineStr">
        <is>
          <t>A</t>
        </is>
      </c>
      <c r="H149" t="inlineStr">
        <is>
          <t>SAESA</t>
        </is>
      </c>
      <c r="I149" t="inlineStr">
        <is>
          <t>SAESANCUBLOQA</t>
        </is>
      </c>
      <c r="J149" t="inlineStr">
        <is>
          <t>ANCUD</t>
        </is>
      </c>
      <c r="K149" t="n">
        <v>1570.138096694991</v>
      </c>
      <c r="L149" t="n">
        <v>0.249999</v>
      </c>
      <c r="M149" t="n">
        <v>6280.57750909</v>
      </c>
      <c r="N149" t="inlineStr">
        <is>
          <t>ANCUD</t>
        </is>
      </c>
      <c r="O149" t="inlineStr">
        <is>
          <t>BS1A</t>
        </is>
      </c>
      <c r="P149" t="n">
        <v>2</v>
      </c>
    </row>
    <row r="150">
      <c r="A150" t="inlineStr">
        <is>
          <t>R_G</t>
        </is>
      </c>
      <c r="B150" t="inlineStr">
        <is>
          <t>01-11-2020</t>
        </is>
      </c>
      <c r="C150" t="n">
        <v>2020</v>
      </c>
      <c r="D150" t="n">
        <v>1</v>
      </c>
      <c r="E150" t="inlineStr">
        <is>
          <t>CAREN</t>
        </is>
      </c>
      <c r="F150" t="inlineStr">
        <is>
          <t>SUM_SAESA_A</t>
        </is>
      </c>
      <c r="G150" t="inlineStr">
        <is>
          <t>A</t>
        </is>
      </c>
      <c r="H150" t="inlineStr">
        <is>
          <t>SAESA</t>
        </is>
      </c>
      <c r="I150" t="inlineStr">
        <is>
          <t>SAESARMBLOQA</t>
        </is>
      </c>
      <c r="J150" t="inlineStr">
        <is>
          <t>ARMAZONES</t>
        </is>
      </c>
      <c r="K150" t="n">
        <v>329.0704550004148</v>
      </c>
      <c r="L150" t="n">
        <v>0.249999</v>
      </c>
      <c r="M150" t="n">
        <v>1316.28708515</v>
      </c>
      <c r="N150" t="inlineStr">
        <is>
          <t>ARMAZONES</t>
        </is>
      </c>
      <c r="O150" t="inlineStr">
        <is>
          <t>BS1A</t>
        </is>
      </c>
      <c r="P150" t="n">
        <v>2</v>
      </c>
    </row>
    <row r="151">
      <c r="A151" t="inlineStr">
        <is>
          <t>R_G</t>
        </is>
      </c>
      <c r="B151" t="inlineStr">
        <is>
          <t>01-11-2020</t>
        </is>
      </c>
      <c r="C151" t="n">
        <v>2020</v>
      </c>
      <c r="D151" t="n">
        <v>1</v>
      </c>
      <c r="E151" t="inlineStr">
        <is>
          <t>CAREN</t>
        </is>
      </c>
      <c r="F151" t="inlineStr">
        <is>
          <t>SUM_SAESA_A</t>
        </is>
      </c>
      <c r="G151" t="inlineStr">
        <is>
          <t>A</t>
        </is>
      </c>
      <c r="H151" t="inlineStr">
        <is>
          <t>SAESA</t>
        </is>
      </c>
      <c r="I151" t="inlineStr">
        <is>
          <t>SAESARNEGBLOQA</t>
        </is>
      </c>
      <c r="J151" t="inlineStr">
        <is>
          <t>R.NEGRO</t>
        </is>
      </c>
      <c r="K151" t="n">
        <v>594.5591863287417</v>
      </c>
      <c r="L151" t="n">
        <v>0.249999</v>
      </c>
      <c r="M151" t="n">
        <v>2378.2462583</v>
      </c>
      <c r="N151" t="inlineStr">
        <is>
          <t>RIO NEGRO 23</t>
        </is>
      </c>
      <c r="O151" t="inlineStr">
        <is>
          <t>BS1A</t>
        </is>
      </c>
      <c r="P151" t="n">
        <v>2</v>
      </c>
    </row>
    <row r="152">
      <c r="A152" t="inlineStr">
        <is>
          <t>R_G</t>
        </is>
      </c>
      <c r="B152" t="inlineStr">
        <is>
          <t>01-11-2020</t>
        </is>
      </c>
      <c r="C152" t="n">
        <v>2020</v>
      </c>
      <c r="D152" t="n">
        <v>1</v>
      </c>
      <c r="E152" t="inlineStr">
        <is>
          <t>CAREN</t>
        </is>
      </c>
      <c r="F152" t="inlineStr">
        <is>
          <t>SUM_SAESA_A</t>
        </is>
      </c>
      <c r="G152" t="inlineStr">
        <is>
          <t>A</t>
        </is>
      </c>
      <c r="H152" t="inlineStr">
        <is>
          <t>SAESA</t>
        </is>
      </c>
      <c r="I152" t="inlineStr">
        <is>
          <t>SAESBBLABLOQA</t>
        </is>
      </c>
      <c r="J152" t="inlineStr">
        <is>
          <t>B.BLANCO</t>
        </is>
      </c>
      <c r="K152" t="n">
        <v>1058.967219816677</v>
      </c>
      <c r="L152" t="n">
        <v>0.249999</v>
      </c>
      <c r="M152" t="n">
        <v>4235.88582281</v>
      </c>
      <c r="N152" t="inlineStr">
        <is>
          <t>BARRO BLANCO</t>
        </is>
      </c>
      <c r="O152" t="inlineStr">
        <is>
          <t>BS1A</t>
        </is>
      </c>
      <c r="P152" t="n">
        <v>2</v>
      </c>
    </row>
    <row r="153">
      <c r="A153" t="inlineStr">
        <is>
          <t>R_G</t>
        </is>
      </c>
      <c r="B153" t="inlineStr">
        <is>
          <t>01-11-2020</t>
        </is>
      </c>
      <c r="C153" t="n">
        <v>2020</v>
      </c>
      <c r="D153" t="n">
        <v>1</v>
      </c>
      <c r="E153" t="inlineStr">
        <is>
          <t>CAREN</t>
        </is>
      </c>
      <c r="F153" t="inlineStr">
        <is>
          <t>SUM_SAESA_A</t>
        </is>
      </c>
      <c r="G153" t="inlineStr">
        <is>
          <t>A</t>
        </is>
      </c>
      <c r="H153" t="inlineStr">
        <is>
          <t>SAESA</t>
        </is>
      </c>
      <c r="I153" t="inlineStr">
        <is>
          <t>SAESCALBBLOQA</t>
        </is>
      </c>
      <c r="J153" t="inlineStr">
        <is>
          <t>CALBUCO</t>
        </is>
      </c>
      <c r="K153" t="n">
        <v>755.8946132344527</v>
      </c>
      <c r="L153" t="n">
        <v>0.249999</v>
      </c>
      <c r="M153" t="n">
        <v>3023.5905473</v>
      </c>
      <c r="N153" t="inlineStr">
        <is>
          <t>CALBUCO</t>
        </is>
      </c>
      <c r="O153" t="inlineStr">
        <is>
          <t>BS1A</t>
        </is>
      </c>
      <c r="P153" t="n">
        <v>2</v>
      </c>
    </row>
    <row r="154">
      <c r="A154" t="inlineStr">
        <is>
          <t>R_G</t>
        </is>
      </c>
      <c r="B154" t="inlineStr">
        <is>
          <t>01-11-2020</t>
        </is>
      </c>
      <c r="C154" t="n">
        <v>2020</v>
      </c>
      <c r="D154" t="n">
        <v>1</v>
      </c>
      <c r="E154" t="inlineStr">
        <is>
          <t>CAREN</t>
        </is>
      </c>
      <c r="F154" t="inlineStr">
        <is>
          <t>SUM_SAESA_A</t>
        </is>
      </c>
      <c r="G154" t="inlineStr">
        <is>
          <t>A</t>
        </is>
      </c>
      <c r="H154" t="inlineStr">
        <is>
          <t>SAESA</t>
        </is>
      </c>
      <c r="I154" t="inlineStr">
        <is>
          <t>SAESCASTBLOQA</t>
        </is>
      </c>
      <c r="J154" t="inlineStr">
        <is>
          <t>CASTRO</t>
        </is>
      </c>
      <c r="K154" t="n">
        <v>1393.300480498285</v>
      </c>
      <c r="L154" t="n">
        <v>0.249999</v>
      </c>
      <c r="M154" t="n">
        <v>5573.22421489</v>
      </c>
      <c r="N154" t="inlineStr">
        <is>
          <t>CASTRO</t>
        </is>
      </c>
      <c r="O154" t="inlineStr">
        <is>
          <t>BS1A</t>
        </is>
      </c>
      <c r="P154" t="n">
        <v>2</v>
      </c>
    </row>
    <row r="155">
      <c r="A155" t="inlineStr">
        <is>
          <t>R_G</t>
        </is>
      </c>
      <c r="B155" t="inlineStr">
        <is>
          <t>01-11-2020</t>
        </is>
      </c>
      <c r="C155" t="n">
        <v>2020</v>
      </c>
      <c r="D155" t="n">
        <v>1</v>
      </c>
      <c r="E155" t="inlineStr">
        <is>
          <t>CAREN</t>
        </is>
      </c>
      <c r="F155" t="inlineStr">
        <is>
          <t>SUM_SAESA_A</t>
        </is>
      </c>
      <c r="G155" t="inlineStr">
        <is>
          <t>A</t>
        </is>
      </c>
      <c r="H155" t="inlineStr">
        <is>
          <t>SAESA</t>
        </is>
      </c>
      <c r="I155" t="inlineStr">
        <is>
          <t>SAESCHONBLOQA</t>
        </is>
      </c>
      <c r="J155" t="inlineStr">
        <is>
          <t>CHONCHI</t>
        </is>
      </c>
      <c r="K155" t="n">
        <v>919.2482683122187</v>
      </c>
      <c r="L155" t="n">
        <v>0.249999</v>
      </c>
      <c r="M155" t="n">
        <v>3677.00778128</v>
      </c>
      <c r="N155" t="inlineStr">
        <is>
          <t>CHONCHI</t>
        </is>
      </c>
      <c r="O155" t="inlineStr">
        <is>
          <t>BS1A</t>
        </is>
      </c>
      <c r="P155" t="n">
        <v>2</v>
      </c>
    </row>
    <row r="156">
      <c r="A156" t="inlineStr">
        <is>
          <t>R_G</t>
        </is>
      </c>
      <c r="B156" t="inlineStr">
        <is>
          <t>01-11-2020</t>
        </is>
      </c>
      <c r="C156" t="n">
        <v>2020</v>
      </c>
      <c r="D156" t="n">
        <v>1</v>
      </c>
      <c r="E156" t="inlineStr">
        <is>
          <t>CAREN</t>
        </is>
      </c>
      <c r="F156" t="inlineStr">
        <is>
          <t>SUM_SAESA_A</t>
        </is>
      </c>
      <c r="G156" t="inlineStr">
        <is>
          <t>A</t>
        </is>
      </c>
      <c r="H156" t="inlineStr">
        <is>
          <t>SAESA</t>
        </is>
      </c>
      <c r="I156" t="inlineStr">
        <is>
          <t>SAESCOLABLOQA</t>
        </is>
      </c>
      <c r="J156" t="inlineStr">
        <is>
          <t>COLACO</t>
        </is>
      </c>
      <c r="K156" t="n">
        <v>783.1384979209781</v>
      </c>
      <c r="L156" t="n">
        <v>0.249999</v>
      </c>
      <c r="M156" t="n">
        <v>3132.56652195</v>
      </c>
      <c r="N156" t="inlineStr">
        <is>
          <t>COLACO</t>
        </is>
      </c>
      <c r="O156" t="inlineStr">
        <is>
          <t>BS1A</t>
        </is>
      </c>
      <c r="P156" t="n">
        <v>2</v>
      </c>
    </row>
    <row r="157">
      <c r="A157" t="inlineStr">
        <is>
          <t>R_G</t>
        </is>
      </c>
      <c r="B157" t="inlineStr">
        <is>
          <t>01-11-2020</t>
        </is>
      </c>
      <c r="C157" t="n">
        <v>2020</v>
      </c>
      <c r="D157" t="n">
        <v>1</v>
      </c>
      <c r="E157" t="inlineStr">
        <is>
          <t>CAREN</t>
        </is>
      </c>
      <c r="F157" t="inlineStr">
        <is>
          <t>SUM_SAESA_A</t>
        </is>
      </c>
      <c r="G157" t="inlineStr">
        <is>
          <t>A</t>
        </is>
      </c>
      <c r="H157" t="inlineStr">
        <is>
          <t>SAESA</t>
        </is>
      </c>
      <c r="I157" t="inlineStr">
        <is>
          <t>SAESCORRBLOQA</t>
        </is>
      </c>
      <c r="J157" t="inlineStr">
        <is>
          <t>CORRAL</t>
        </is>
      </c>
      <c r="K157" t="n">
        <v>240.275986137211</v>
      </c>
      <c r="L157" t="n">
        <v>0.249999</v>
      </c>
      <c r="M157" t="n">
        <v>961.10778898</v>
      </c>
      <c r="N157" t="inlineStr">
        <is>
          <t>CORRAL</t>
        </is>
      </c>
      <c r="O157" t="inlineStr">
        <is>
          <t>BS1A</t>
        </is>
      </c>
      <c r="P157" t="n">
        <v>2</v>
      </c>
    </row>
    <row r="158">
      <c r="A158" t="inlineStr">
        <is>
          <t>R_G</t>
        </is>
      </c>
      <c r="B158" t="inlineStr">
        <is>
          <t>01-11-2020</t>
        </is>
      </c>
      <c r="C158" t="n">
        <v>2020</v>
      </c>
      <c r="D158" t="n">
        <v>1</v>
      </c>
      <c r="E158" t="inlineStr">
        <is>
          <t>CAREN</t>
        </is>
      </c>
      <c r="F158" t="inlineStr">
        <is>
          <t>SUM_SAESA_A</t>
        </is>
      </c>
      <c r="G158" t="inlineStr">
        <is>
          <t>A</t>
        </is>
      </c>
      <c r="H158" t="inlineStr">
        <is>
          <t>SAESA</t>
        </is>
      </c>
      <c r="I158" t="inlineStr">
        <is>
          <t>SAESDALCBLOQA</t>
        </is>
      </c>
      <c r="J158" t="inlineStr">
        <is>
          <t>DALCAHUE</t>
        </is>
      </c>
      <c r="K158" t="n">
        <v>1101.471301819669</v>
      </c>
      <c r="L158" t="n">
        <v>0.249999</v>
      </c>
      <c r="M158" t="n">
        <v>4405.90283089</v>
      </c>
      <c r="N158" t="inlineStr">
        <is>
          <t>DALCAHUE</t>
        </is>
      </c>
      <c r="O158" t="inlineStr">
        <is>
          <t>BS1A</t>
        </is>
      </c>
      <c r="P158" t="n">
        <v>2</v>
      </c>
    </row>
    <row r="159">
      <c r="A159" t="inlineStr">
        <is>
          <t>R_G</t>
        </is>
      </c>
      <c r="B159" t="inlineStr">
        <is>
          <t>01-11-2020</t>
        </is>
      </c>
      <c r="C159" t="n">
        <v>2020</v>
      </c>
      <c r="D159" t="n">
        <v>1</v>
      </c>
      <c r="E159" t="inlineStr">
        <is>
          <t>CAREN</t>
        </is>
      </c>
      <c r="F159" t="inlineStr">
        <is>
          <t>SUM_SAESA_A</t>
        </is>
      </c>
      <c r="G159" t="inlineStr">
        <is>
          <t>A</t>
        </is>
      </c>
      <c r="H159" t="inlineStr">
        <is>
          <t>SAESA</t>
        </is>
      </c>
      <c r="I159" t="inlineStr">
        <is>
          <t>SAESDEGABLOQA</t>
        </is>
      </c>
      <c r="J159" t="inlineStr">
        <is>
          <t>DEGAÑ</t>
        </is>
      </c>
      <c r="K159" t="n">
        <v>346.2984726355687</v>
      </c>
      <c r="L159" t="n">
        <v>0.249999</v>
      </c>
      <c r="M159" t="n">
        <v>1385.19943134</v>
      </c>
      <c r="N159" t="inlineStr">
        <is>
          <t>DEGAÑ</t>
        </is>
      </c>
      <c r="O159" t="inlineStr">
        <is>
          <t>BS1A</t>
        </is>
      </c>
      <c r="P159" t="n">
        <v>2</v>
      </c>
    </row>
    <row r="160">
      <c r="A160" t="inlineStr">
        <is>
          <t>R_G</t>
        </is>
      </c>
      <c r="B160" t="inlineStr">
        <is>
          <t>01-11-2020</t>
        </is>
      </c>
      <c r="C160" t="n">
        <v>2020</v>
      </c>
      <c r="D160" t="n">
        <v>1</v>
      </c>
      <c r="E160" t="inlineStr">
        <is>
          <t>CAREN</t>
        </is>
      </c>
      <c r="F160" t="inlineStr">
        <is>
          <t>SUM_SAESA_A</t>
        </is>
      </c>
      <c r="G160" t="inlineStr">
        <is>
          <t>A</t>
        </is>
      </c>
      <c r="H160" t="inlineStr">
        <is>
          <t>SAESA</t>
        </is>
      </c>
      <c r="I160" t="inlineStr">
        <is>
          <t>SAESELEMBLOQA</t>
        </is>
      </c>
      <c r="J160" t="inlineStr">
        <is>
          <t>EMPALME</t>
        </is>
      </c>
      <c r="K160" t="n">
        <v>687.3543604115606</v>
      </c>
      <c r="L160" t="n">
        <v>0.249999</v>
      </c>
      <c r="M160" t="n">
        <v>2749.42843936</v>
      </c>
      <c r="N160" t="inlineStr">
        <is>
          <t>PARGUA 23</t>
        </is>
      </c>
      <c r="O160" t="inlineStr">
        <is>
          <t>BS1A</t>
        </is>
      </c>
      <c r="P160" t="n">
        <v>2</v>
      </c>
    </row>
    <row r="161">
      <c r="A161" t="inlineStr">
        <is>
          <t>R_G</t>
        </is>
      </c>
      <c r="B161" t="inlineStr">
        <is>
          <t>01-11-2020</t>
        </is>
      </c>
      <c r="C161" t="n">
        <v>2020</v>
      </c>
      <c r="D161" t="n">
        <v>1</v>
      </c>
      <c r="E161" t="inlineStr">
        <is>
          <t>CAREN</t>
        </is>
      </c>
      <c r="F161" t="inlineStr">
        <is>
          <t>SUM_SAESA_A</t>
        </is>
      </c>
      <c r="G161" t="inlineStr">
        <is>
          <t>A</t>
        </is>
      </c>
      <c r="H161" t="inlineStr">
        <is>
          <t>SAESA</t>
        </is>
      </c>
      <c r="I161" t="inlineStr">
        <is>
          <t>SAESFRUTBLOQA</t>
        </is>
      </c>
      <c r="J161" t="inlineStr">
        <is>
          <t>FRUTILLAR</t>
        </is>
      </c>
      <c r="K161" t="n">
        <v>1318.881268701323</v>
      </c>
      <c r="L161" t="n">
        <v>0.249999</v>
      </c>
      <c r="M161" t="n">
        <v>5275.54617699</v>
      </c>
      <c r="N161" t="inlineStr">
        <is>
          <t>FRUTILLAR</t>
        </is>
      </c>
      <c r="O161" t="inlineStr">
        <is>
          <t>BS1A</t>
        </is>
      </c>
      <c r="P161" t="n">
        <v>2</v>
      </c>
    </row>
    <row r="162">
      <c r="A162" t="inlineStr">
        <is>
          <t>R_G</t>
        </is>
      </c>
      <c r="B162" t="inlineStr">
        <is>
          <t>01-11-2020</t>
        </is>
      </c>
      <c r="C162" t="n">
        <v>2020</v>
      </c>
      <c r="D162" t="n">
        <v>1</v>
      </c>
      <c r="E162" t="inlineStr">
        <is>
          <t>CAREN</t>
        </is>
      </c>
      <c r="F162" t="inlineStr">
        <is>
          <t>SUM_SAESA_A</t>
        </is>
      </c>
      <c r="G162" t="inlineStr">
        <is>
          <t>A</t>
        </is>
      </c>
      <c r="H162" t="inlineStr">
        <is>
          <t>SAESA</t>
        </is>
      </c>
      <c r="I162" t="inlineStr">
        <is>
          <t>SAESLAUNBLOQA</t>
        </is>
      </c>
      <c r="J162" t="inlineStr">
        <is>
          <t>L.UNION</t>
        </is>
      </c>
      <c r="K162" t="n">
        <v>1131.539606133471</v>
      </c>
      <c r="L162" t="n">
        <v>0.249999</v>
      </c>
      <c r="M162" t="n">
        <v>4526.17652924</v>
      </c>
      <c r="N162" t="inlineStr">
        <is>
          <t>LA UNION</t>
        </is>
      </c>
      <c r="O162" t="inlineStr">
        <is>
          <t>BS1A</t>
        </is>
      </c>
      <c r="P162" t="n">
        <v>2</v>
      </c>
    </row>
    <row r="163">
      <c r="A163" t="inlineStr">
        <is>
          <t>R_G</t>
        </is>
      </c>
      <c r="B163" t="inlineStr">
        <is>
          <t>01-11-2020</t>
        </is>
      </c>
      <c r="C163" t="n">
        <v>2020</v>
      </c>
      <c r="D163" t="n">
        <v>1</v>
      </c>
      <c r="E163" t="inlineStr">
        <is>
          <t>CAREN</t>
        </is>
      </c>
      <c r="F163" t="inlineStr">
        <is>
          <t>SUM_SAESA_A</t>
        </is>
      </c>
      <c r="G163" t="inlineStr">
        <is>
          <t>A</t>
        </is>
      </c>
      <c r="H163" t="inlineStr">
        <is>
          <t>SAESA</t>
        </is>
      </c>
      <c r="I163" t="inlineStr">
        <is>
          <t>SAESLONCBLOQA</t>
        </is>
      </c>
      <c r="J163" t="inlineStr">
        <is>
          <t>LONCOCHE2</t>
        </is>
      </c>
      <c r="K163" t="n">
        <v>1255.158712902566</v>
      </c>
      <c r="L163" t="n">
        <v>0.249999</v>
      </c>
      <c r="M163" t="n">
        <v>5020.65493423</v>
      </c>
      <c r="N163" t="inlineStr">
        <is>
          <t>LONCOCHE</t>
        </is>
      </c>
      <c r="O163" t="inlineStr">
        <is>
          <t>BS1A</t>
        </is>
      </c>
      <c r="P163" t="n">
        <v>2</v>
      </c>
    </row>
    <row r="164">
      <c r="A164" t="inlineStr">
        <is>
          <t>R_G</t>
        </is>
      </c>
      <c r="B164" t="inlineStr">
        <is>
          <t>01-11-2020</t>
        </is>
      </c>
      <c r="C164" t="n">
        <v>2020</v>
      </c>
      <c r="D164" t="n">
        <v>1</v>
      </c>
      <c r="E164" t="inlineStr">
        <is>
          <t>CAREN</t>
        </is>
      </c>
      <c r="F164" t="inlineStr">
        <is>
          <t>SUM_SAESA_A</t>
        </is>
      </c>
      <c r="G164" t="inlineStr">
        <is>
          <t>A</t>
        </is>
      </c>
      <c r="H164" t="inlineStr">
        <is>
          <t>SAESA</t>
        </is>
      </c>
      <c r="I164" t="inlineStr">
        <is>
          <t>SAESLOSLBLOQA</t>
        </is>
      </c>
      <c r="J164" t="inlineStr">
        <is>
          <t>L.LAGOS</t>
        </is>
      </c>
      <c r="K164" t="n">
        <v>472.2427874737942</v>
      </c>
      <c r="L164" t="n">
        <v>0.249999</v>
      </c>
      <c r="M164" t="n">
        <v>1888.97870581</v>
      </c>
      <c r="N164" t="inlineStr">
        <is>
          <t>LOS LAGOS</t>
        </is>
      </c>
      <c r="O164" t="inlineStr">
        <is>
          <t>BS1A</t>
        </is>
      </c>
      <c r="P164" t="n">
        <v>2</v>
      </c>
    </row>
    <row r="165">
      <c r="A165" t="inlineStr">
        <is>
          <t>R_G</t>
        </is>
      </c>
      <c r="B165" t="inlineStr">
        <is>
          <t>01-11-2020</t>
        </is>
      </c>
      <c r="C165" t="n">
        <v>2020</v>
      </c>
      <c r="D165" t="n">
        <v>1</v>
      </c>
      <c r="E165" t="inlineStr">
        <is>
          <t>CAREN</t>
        </is>
      </c>
      <c r="F165" t="inlineStr">
        <is>
          <t>SUM_SAESA_A</t>
        </is>
      </c>
      <c r="G165" t="inlineStr">
        <is>
          <t>A</t>
        </is>
      </c>
      <c r="H165" t="inlineStr">
        <is>
          <t>SAESA</t>
        </is>
      </c>
      <c r="I165" t="inlineStr">
        <is>
          <t>SAESLTAMBLOQA</t>
        </is>
      </c>
      <c r="J165" t="inlineStr">
        <is>
          <t>LOS_TAMBORES</t>
        </is>
      </c>
      <c r="K165" t="n">
        <v>915.7219274901383</v>
      </c>
      <c r="L165" t="n">
        <v>0.249999</v>
      </c>
      <c r="M165" t="n">
        <v>3662.90236157</v>
      </c>
      <c r="N165" t="inlineStr">
        <is>
          <t>LOS TAMBORES</t>
        </is>
      </c>
      <c r="O165" t="inlineStr">
        <is>
          <t>BS1A</t>
        </is>
      </c>
      <c r="P165" t="n">
        <v>2</v>
      </c>
    </row>
    <row r="166">
      <c r="A166" t="inlineStr">
        <is>
          <t>R_G</t>
        </is>
      </c>
      <c r="B166" t="inlineStr">
        <is>
          <t>01-11-2020</t>
        </is>
      </c>
      <c r="C166" t="n">
        <v>2020</v>
      </c>
      <c r="D166" t="n">
        <v>1</v>
      </c>
      <c r="E166" t="inlineStr">
        <is>
          <t>CAREN</t>
        </is>
      </c>
      <c r="F166" t="inlineStr">
        <is>
          <t>SUM_SAESA_A</t>
        </is>
      </c>
      <c r="G166" t="inlineStr">
        <is>
          <t>A</t>
        </is>
      </c>
      <c r="H166" t="inlineStr">
        <is>
          <t>SAESA</t>
        </is>
      </c>
      <c r="I166" t="inlineStr">
        <is>
          <t>SAESMARIBLOQA</t>
        </is>
      </c>
      <c r="J166" t="inlineStr">
        <is>
          <t>MARIQUINA</t>
        </is>
      </c>
      <c r="K166" t="n">
        <v>795.0108812287549</v>
      </c>
      <c r="L166" t="n">
        <v>0.249999</v>
      </c>
      <c r="M166" t="n">
        <v>3180.05624514</v>
      </c>
      <c r="N166" t="inlineStr">
        <is>
          <t>MARIQUINA</t>
        </is>
      </c>
      <c r="O166" t="inlineStr">
        <is>
          <t>BS1A</t>
        </is>
      </c>
      <c r="P166" t="n">
        <v>2</v>
      </c>
    </row>
    <row r="167">
      <c r="A167" t="inlineStr">
        <is>
          <t>R_G</t>
        </is>
      </c>
      <c r="B167" t="inlineStr">
        <is>
          <t>01-11-2020</t>
        </is>
      </c>
      <c r="C167" t="n">
        <v>2020</v>
      </c>
      <c r="D167" t="n">
        <v>1</v>
      </c>
      <c r="E167" t="inlineStr">
        <is>
          <t>CAREN</t>
        </is>
      </c>
      <c r="F167" t="inlineStr">
        <is>
          <t>SUM_SAESA_A</t>
        </is>
      </c>
      <c r="G167" t="inlineStr">
        <is>
          <t>A</t>
        </is>
      </c>
      <c r="H167" t="inlineStr">
        <is>
          <t>SAESA</t>
        </is>
      </c>
      <c r="I167" t="inlineStr">
        <is>
          <t>SAESMELIBLOQA</t>
        </is>
      </c>
      <c r="J167" t="inlineStr">
        <is>
          <t>MELIPULLI</t>
        </is>
      </c>
      <c r="K167" t="n">
        <v>10482.95473538583</v>
      </c>
      <c r="L167" t="n">
        <v>0.249999</v>
      </c>
      <c r="M167" t="n">
        <v>41931.98666949</v>
      </c>
      <c r="N167" t="inlineStr">
        <is>
          <t>MELIPULLI</t>
        </is>
      </c>
      <c r="O167" t="inlineStr">
        <is>
          <t>BS1A</t>
        </is>
      </c>
      <c r="P167" t="n">
        <v>2</v>
      </c>
    </row>
    <row r="168">
      <c r="A168" t="inlineStr">
        <is>
          <t>R_G</t>
        </is>
      </c>
      <c r="B168" t="inlineStr">
        <is>
          <t>01-11-2020</t>
        </is>
      </c>
      <c r="C168" t="n">
        <v>2020</v>
      </c>
      <c r="D168" t="n">
        <v>1</v>
      </c>
      <c r="E168" t="inlineStr">
        <is>
          <t>CAREN</t>
        </is>
      </c>
      <c r="F168" t="inlineStr">
        <is>
          <t>SUM_SAESA_A</t>
        </is>
      </c>
      <c r="G168" t="inlineStr">
        <is>
          <t>A</t>
        </is>
      </c>
      <c r="H168" t="inlineStr">
        <is>
          <t>SAESA</t>
        </is>
      </c>
      <c r="I168" t="inlineStr">
        <is>
          <t>SAESOSORBLOQA</t>
        </is>
      </c>
      <c r="J168" t="inlineStr">
        <is>
          <t>OSORNO</t>
        </is>
      </c>
      <c r="K168" t="n">
        <v>5606.998262584738</v>
      </c>
      <c r="L168" t="n">
        <v>0.249999</v>
      </c>
      <c r="M168" t="n">
        <v>22428.08276267</v>
      </c>
      <c r="N168" t="inlineStr">
        <is>
          <t>OSORNO</t>
        </is>
      </c>
      <c r="O168" t="inlineStr">
        <is>
          <t>BS1A</t>
        </is>
      </c>
      <c r="P168" t="n">
        <v>2</v>
      </c>
    </row>
    <row r="169">
      <c r="A169" t="inlineStr">
        <is>
          <t>R_G</t>
        </is>
      </c>
      <c r="B169" t="inlineStr">
        <is>
          <t>01-11-2020</t>
        </is>
      </c>
      <c r="C169" t="n">
        <v>2020</v>
      </c>
      <c r="D169" t="n">
        <v>1</v>
      </c>
      <c r="E169" t="inlineStr">
        <is>
          <t>CAREN</t>
        </is>
      </c>
      <c r="F169" t="inlineStr">
        <is>
          <t>SUM_SAESA_A</t>
        </is>
      </c>
      <c r="G169" t="inlineStr">
        <is>
          <t>A</t>
        </is>
      </c>
      <c r="H169" t="inlineStr">
        <is>
          <t>SAESA</t>
        </is>
      </c>
      <c r="I169" t="inlineStr">
        <is>
          <t>SAESPANGBLOQA</t>
        </is>
      </c>
      <c r="J169" t="inlineStr">
        <is>
          <t>PANGUIPULLI</t>
        </is>
      </c>
      <c r="K169" t="n">
        <v>1736.874946659923</v>
      </c>
      <c r="L169" t="n">
        <v>0.249999</v>
      </c>
      <c r="M169" t="n">
        <v>6947.52757675</v>
      </c>
      <c r="N169" t="inlineStr">
        <is>
          <t>PANGUIPULLI</t>
        </is>
      </c>
      <c r="O169" t="inlineStr">
        <is>
          <t>BS1A</t>
        </is>
      </c>
      <c r="P169" t="n">
        <v>2</v>
      </c>
    </row>
    <row r="170">
      <c r="A170" t="inlineStr">
        <is>
          <t>R_G</t>
        </is>
      </c>
      <c r="B170" t="inlineStr">
        <is>
          <t>01-11-2020</t>
        </is>
      </c>
      <c r="C170" t="n">
        <v>2020</v>
      </c>
      <c r="D170" t="n">
        <v>1</v>
      </c>
      <c r="E170" t="inlineStr">
        <is>
          <t>CAREN</t>
        </is>
      </c>
      <c r="F170" t="inlineStr">
        <is>
          <t>SUM_SAESA_A</t>
        </is>
      </c>
      <c r="G170" t="inlineStr">
        <is>
          <t>A</t>
        </is>
      </c>
      <c r="H170" t="inlineStr">
        <is>
          <t>SAESA</t>
        </is>
      </c>
      <c r="I170" t="inlineStr">
        <is>
          <t>SAESPARGBLOQA</t>
        </is>
      </c>
      <c r="J170" t="inlineStr">
        <is>
          <t>PARGUA</t>
        </is>
      </c>
      <c r="K170" t="n">
        <v>142.2304277785132</v>
      </c>
      <c r="L170" t="n">
        <v>0.249999</v>
      </c>
      <c r="M170" t="n">
        <v>568.92398681</v>
      </c>
      <c r="N170" t="inlineStr">
        <is>
          <t>PARGUA 23</t>
        </is>
      </c>
      <c r="O170" t="inlineStr">
        <is>
          <t>BS1A</t>
        </is>
      </c>
      <c r="P170" t="n">
        <v>2</v>
      </c>
    </row>
    <row r="171">
      <c r="A171" t="inlineStr">
        <is>
          <t>R_G</t>
        </is>
      </c>
      <c r="B171" t="inlineStr">
        <is>
          <t>01-11-2020</t>
        </is>
      </c>
      <c r="C171" t="n">
        <v>2020</v>
      </c>
      <c r="D171" t="n">
        <v>1</v>
      </c>
      <c r="E171" t="inlineStr">
        <is>
          <t>CAREN</t>
        </is>
      </c>
      <c r="F171" t="inlineStr">
        <is>
          <t>SUM_SAESA_A</t>
        </is>
      </c>
      <c r="G171" t="inlineStr">
        <is>
          <t>A</t>
        </is>
      </c>
      <c r="H171" t="inlineStr">
        <is>
          <t>SAESA</t>
        </is>
      </c>
      <c r="I171" t="inlineStr">
        <is>
          <t>SAESPICABLOQA</t>
        </is>
      </c>
      <c r="J171" t="inlineStr">
        <is>
          <t>PICARTE</t>
        </is>
      </c>
      <c r="K171" t="n">
        <v>5649.76999343963</v>
      </c>
      <c r="L171" t="n">
        <v>0.249999</v>
      </c>
      <c r="M171" t="n">
        <v>22599.17037044</v>
      </c>
      <c r="N171" t="inlineStr">
        <is>
          <t>PICARTE</t>
        </is>
      </c>
      <c r="O171" t="inlineStr">
        <is>
          <t>BS1A</t>
        </is>
      </c>
      <c r="P171" t="n">
        <v>2</v>
      </c>
    </row>
    <row r="172">
      <c r="A172" t="inlineStr">
        <is>
          <t>R_G</t>
        </is>
      </c>
      <c r="B172" t="inlineStr">
        <is>
          <t>01-11-2020</t>
        </is>
      </c>
      <c r="C172" t="n">
        <v>2020</v>
      </c>
      <c r="D172" t="n">
        <v>1</v>
      </c>
      <c r="E172" t="inlineStr">
        <is>
          <t>CAREN</t>
        </is>
      </c>
      <c r="F172" t="inlineStr">
        <is>
          <t>SUM_SAESA_A</t>
        </is>
      </c>
      <c r="G172" t="inlineStr">
        <is>
          <t>A</t>
        </is>
      </c>
      <c r="H172" t="inlineStr">
        <is>
          <t>SAESA</t>
        </is>
      </c>
      <c r="I172" t="inlineStr">
        <is>
          <t>SAESPICHBLOQA</t>
        </is>
      </c>
      <c r="J172" t="inlineStr">
        <is>
          <t>PICHIRROPULLI</t>
        </is>
      </c>
      <c r="K172" t="n">
        <v>1054.679350313224</v>
      </c>
      <c r="L172" t="n">
        <v>0.249999</v>
      </c>
      <c r="M172" t="n">
        <v>4218.73427619</v>
      </c>
      <c r="N172" t="inlineStr">
        <is>
          <t>PICHIRROPULLI</t>
        </is>
      </c>
      <c r="O172" t="inlineStr">
        <is>
          <t>BS1A</t>
        </is>
      </c>
      <c r="P172" t="n">
        <v>2</v>
      </c>
    </row>
    <row r="173">
      <c r="A173" t="inlineStr">
        <is>
          <t>R_G</t>
        </is>
      </c>
      <c r="B173" t="inlineStr">
        <is>
          <t>01-11-2020</t>
        </is>
      </c>
      <c r="C173" t="n">
        <v>2020</v>
      </c>
      <c r="D173" t="n">
        <v>1</v>
      </c>
      <c r="E173" t="inlineStr">
        <is>
          <t>CAREN</t>
        </is>
      </c>
      <c r="F173" t="inlineStr">
        <is>
          <t>SUM_SAESA_A</t>
        </is>
      </c>
      <c r="G173" t="inlineStr">
        <is>
          <t>A</t>
        </is>
      </c>
      <c r="H173" t="inlineStr">
        <is>
          <t>SAESA</t>
        </is>
      </c>
      <c r="I173" t="inlineStr">
        <is>
          <t>SAESPICHIBLOQA</t>
        </is>
      </c>
      <c r="J173" t="inlineStr">
        <is>
          <t>PICHIL</t>
        </is>
      </c>
      <c r="K173" t="n">
        <v>165.6815778560376</v>
      </c>
      <c r="L173" t="n">
        <v>0.249999</v>
      </c>
      <c r="M173" t="n">
        <v>662.72896234</v>
      </c>
      <c r="N173" t="inlineStr">
        <is>
          <t>PICHIL</t>
        </is>
      </c>
      <c r="O173" t="inlineStr">
        <is>
          <t>BS1A</t>
        </is>
      </c>
      <c r="P173" t="n">
        <v>2</v>
      </c>
    </row>
    <row r="174">
      <c r="A174" t="inlineStr">
        <is>
          <t>R_G</t>
        </is>
      </c>
      <c r="B174" t="inlineStr">
        <is>
          <t>01-11-2020</t>
        </is>
      </c>
      <c r="C174" t="n">
        <v>2020</v>
      </c>
      <c r="D174" t="n">
        <v>1</v>
      </c>
      <c r="E174" t="inlineStr">
        <is>
          <t>CAREN</t>
        </is>
      </c>
      <c r="F174" t="inlineStr">
        <is>
          <t>SUM_SAESA_A</t>
        </is>
      </c>
      <c r="G174" t="inlineStr">
        <is>
          <t>A</t>
        </is>
      </c>
      <c r="H174" t="inlineStr">
        <is>
          <t>SAESA</t>
        </is>
      </c>
      <c r="I174" t="inlineStr">
        <is>
          <t>SAESPIDPBLOQA</t>
        </is>
      </c>
      <c r="J174" t="inlineStr">
        <is>
          <t>PIDPID</t>
        </is>
      </c>
      <c r="K174" t="n">
        <v>738.7900797703602</v>
      </c>
      <c r="L174" t="n">
        <v>0.249999</v>
      </c>
      <c r="M174" t="n">
        <v>2955.17213977</v>
      </c>
      <c r="N174" t="inlineStr">
        <is>
          <t>PID PID</t>
        </is>
      </c>
      <c r="O174" t="inlineStr">
        <is>
          <t>BS1A</t>
        </is>
      </c>
      <c r="P174" t="n">
        <v>2</v>
      </c>
    </row>
    <row r="175">
      <c r="A175" t="inlineStr">
        <is>
          <t>R_G</t>
        </is>
      </c>
      <c r="B175" t="inlineStr">
        <is>
          <t>01-11-2020</t>
        </is>
      </c>
      <c r="C175" t="n">
        <v>2020</v>
      </c>
      <c r="D175" t="n">
        <v>1</v>
      </c>
      <c r="E175" t="inlineStr">
        <is>
          <t>CAREN</t>
        </is>
      </c>
      <c r="F175" t="inlineStr">
        <is>
          <t>SUM_SAESA_A</t>
        </is>
      </c>
      <c r="G175" t="inlineStr">
        <is>
          <t>A</t>
        </is>
      </c>
      <c r="H175" t="inlineStr">
        <is>
          <t>SAESA</t>
        </is>
      </c>
      <c r="I175" t="inlineStr">
        <is>
          <t>SAESPILMBLOQA</t>
        </is>
      </c>
      <c r="J175" t="inlineStr">
        <is>
          <t>PILMAIQUEN</t>
        </is>
      </c>
      <c r="K175" t="n">
        <v>0</v>
      </c>
      <c r="L175" t="n">
        <v>0.249999</v>
      </c>
      <c r="M175" t="n">
        <v>0</v>
      </c>
      <c r="N175" t="inlineStr">
        <is>
          <t>PILMAIQUEN</t>
        </is>
      </c>
      <c r="O175" t="inlineStr">
        <is>
          <t>BS1A</t>
        </is>
      </c>
      <c r="P175" t="n">
        <v>2</v>
      </c>
    </row>
    <row r="176">
      <c r="A176" t="inlineStr">
        <is>
          <t>R_G</t>
        </is>
      </c>
      <c r="B176" t="inlineStr">
        <is>
          <t>01-11-2020</t>
        </is>
      </c>
      <c r="C176" t="n">
        <v>2020</v>
      </c>
      <c r="D176" t="n">
        <v>1</v>
      </c>
      <c r="E176" t="inlineStr">
        <is>
          <t>CAREN</t>
        </is>
      </c>
      <c r="F176" t="inlineStr">
        <is>
          <t>SUM_SAESA_A</t>
        </is>
      </c>
      <c r="G176" t="inlineStr">
        <is>
          <t>A</t>
        </is>
      </c>
      <c r="H176" t="inlineStr">
        <is>
          <t>SAESA</t>
        </is>
      </c>
      <c r="I176" t="inlineStr">
        <is>
          <t>SAESPULLBLOQA</t>
        </is>
      </c>
      <c r="J176" t="inlineStr">
        <is>
          <t>PULLINQUE</t>
        </is>
      </c>
      <c r="K176" t="n">
        <v>449.0271450342354</v>
      </c>
      <c r="L176" t="n">
        <v>0.249999</v>
      </c>
      <c r="M176" t="n">
        <v>1796.1157646</v>
      </c>
      <c r="N176" t="inlineStr">
        <is>
          <t>PULLINQUE</t>
        </is>
      </c>
      <c r="O176" t="inlineStr">
        <is>
          <t>BS1A</t>
        </is>
      </c>
      <c r="P176" t="n">
        <v>2</v>
      </c>
    </row>
    <row r="177">
      <c r="A177" t="inlineStr">
        <is>
          <t>R_G</t>
        </is>
      </c>
      <c r="B177" t="inlineStr">
        <is>
          <t>01-11-2020</t>
        </is>
      </c>
      <c r="C177" t="n">
        <v>2020</v>
      </c>
      <c r="D177" t="n">
        <v>1</v>
      </c>
      <c r="E177" t="inlineStr">
        <is>
          <t>CAREN</t>
        </is>
      </c>
      <c r="F177" t="inlineStr">
        <is>
          <t>SUM_SAESA_A</t>
        </is>
      </c>
      <c r="G177" t="inlineStr">
        <is>
          <t>A</t>
        </is>
      </c>
      <c r="H177" t="inlineStr">
        <is>
          <t>SAESA</t>
        </is>
      </c>
      <c r="I177" t="inlineStr">
        <is>
          <t>SAESPURRBLOQA</t>
        </is>
      </c>
      <c r="J177" t="inlineStr">
        <is>
          <t>PURRANQUE</t>
        </is>
      </c>
      <c r="K177" t="n">
        <v>883.1942379939169</v>
      </c>
      <c r="L177" t="n">
        <v>0.249999</v>
      </c>
      <c r="M177" t="n">
        <v>3532.79108314</v>
      </c>
      <c r="N177" t="inlineStr">
        <is>
          <t>PURRANQUE</t>
        </is>
      </c>
      <c r="O177" t="inlineStr">
        <is>
          <t>BS1A</t>
        </is>
      </c>
      <c r="P177" t="n">
        <v>2</v>
      </c>
    </row>
    <row r="178">
      <c r="A178" t="inlineStr">
        <is>
          <t>R_G</t>
        </is>
      </c>
      <c r="B178" t="inlineStr">
        <is>
          <t>01-11-2020</t>
        </is>
      </c>
      <c r="C178" t="n">
        <v>2020</v>
      </c>
      <c r="D178" t="n">
        <v>1</v>
      </c>
      <c r="E178" t="inlineStr">
        <is>
          <t>CAREN</t>
        </is>
      </c>
      <c r="F178" t="inlineStr">
        <is>
          <t>SUM_SAESA_A</t>
        </is>
      </c>
      <c r="G178" t="inlineStr">
        <is>
          <t>A</t>
        </is>
      </c>
      <c r="H178" t="inlineStr">
        <is>
          <t>SAESA</t>
        </is>
      </c>
      <c r="I178" t="inlineStr">
        <is>
          <t>SAESPVARBLOQA</t>
        </is>
      </c>
      <c r="J178" t="inlineStr">
        <is>
          <t>P.VARAS</t>
        </is>
      </c>
      <c r="K178" t="n">
        <v>2130.242510018375</v>
      </c>
      <c r="L178" t="n">
        <v>0.249999</v>
      </c>
      <c r="M178" t="n">
        <v>8521.004124089999</v>
      </c>
      <c r="N178" t="inlineStr">
        <is>
          <t>PUERTO VARAS</t>
        </is>
      </c>
      <c r="O178" t="inlineStr">
        <is>
          <t>BS1A</t>
        </is>
      </c>
      <c r="P178" t="n">
        <v>2</v>
      </c>
    </row>
    <row r="179">
      <c r="A179" t="inlineStr">
        <is>
          <t>R_G</t>
        </is>
      </c>
      <c r="B179" t="inlineStr">
        <is>
          <t>01-11-2020</t>
        </is>
      </c>
      <c r="C179" t="n">
        <v>2020</v>
      </c>
      <c r="D179" t="n">
        <v>1</v>
      </c>
      <c r="E179" t="inlineStr">
        <is>
          <t>CAREN</t>
        </is>
      </c>
      <c r="F179" t="inlineStr">
        <is>
          <t>SUM_SAESA_A</t>
        </is>
      </c>
      <c r="G179" t="inlineStr">
        <is>
          <t>A</t>
        </is>
      </c>
      <c r="H179" t="inlineStr">
        <is>
          <t>SAESA</t>
        </is>
      </c>
      <c r="I179" t="inlineStr">
        <is>
          <t>SAESQUELBLOQA</t>
        </is>
      </c>
      <c r="J179" t="inlineStr">
        <is>
          <t>QUELLON</t>
        </is>
      </c>
      <c r="K179" t="n">
        <v>1136.761784417174</v>
      </c>
      <c r="L179" t="n">
        <v>0.249999</v>
      </c>
      <c r="M179" t="n">
        <v>4547.06532593</v>
      </c>
      <c r="N179" t="inlineStr">
        <is>
          <t>QUELLON</t>
        </is>
      </c>
      <c r="O179" t="inlineStr">
        <is>
          <t>BS1A</t>
        </is>
      </c>
      <c r="P179" t="n">
        <v>2</v>
      </c>
    </row>
    <row r="180">
      <c r="A180" t="inlineStr">
        <is>
          <t>R_G</t>
        </is>
      </c>
      <c r="B180" t="inlineStr">
        <is>
          <t>01-11-2020</t>
        </is>
      </c>
      <c r="C180" t="n">
        <v>2020</v>
      </c>
      <c r="D180" t="n">
        <v>1</v>
      </c>
      <c r="E180" t="inlineStr">
        <is>
          <t>CAREN</t>
        </is>
      </c>
      <c r="F180" t="inlineStr">
        <is>
          <t>SUM_SAESA_A</t>
        </is>
      </c>
      <c r="G180" t="inlineStr">
        <is>
          <t>A</t>
        </is>
      </c>
      <c r="H180" t="inlineStr">
        <is>
          <t>SAESA</t>
        </is>
      </c>
      <c r="I180" t="inlineStr">
        <is>
          <t>SAESSANGBLOQA</t>
        </is>
      </c>
      <c r="J180" t="inlineStr">
        <is>
          <t>SANGRA</t>
        </is>
      </c>
      <c r="K180" t="n">
        <v>918.4301465922188</v>
      </c>
      <c r="L180" t="n">
        <v>0.249999</v>
      </c>
      <c r="M180" t="n">
        <v>3673.73528131</v>
      </c>
      <c r="N180" t="inlineStr">
        <is>
          <t>SANGRA 23</t>
        </is>
      </c>
      <c r="O180" t="inlineStr">
        <is>
          <t>BS1A</t>
        </is>
      </c>
      <c r="P180" t="n">
        <v>2</v>
      </c>
    </row>
    <row r="181">
      <c r="A181" t="inlineStr">
        <is>
          <t>R_G</t>
        </is>
      </c>
      <c r="B181" t="inlineStr">
        <is>
          <t>01-11-2020</t>
        </is>
      </c>
      <c r="C181" t="n">
        <v>2020</v>
      </c>
      <c r="D181" t="n">
        <v>1</v>
      </c>
      <c r="E181" t="inlineStr">
        <is>
          <t>CAREN</t>
        </is>
      </c>
      <c r="F181" t="inlineStr">
        <is>
          <t>SUM_SAESA_A</t>
        </is>
      </c>
      <c r="G181" t="inlineStr">
        <is>
          <t>A</t>
        </is>
      </c>
      <c r="H181" t="inlineStr">
        <is>
          <t>SAESA</t>
        </is>
      </c>
      <c r="I181" t="inlineStr">
        <is>
          <t>SAESVALDENBLOQA</t>
        </is>
      </c>
      <c r="J181" t="inlineStr">
        <is>
          <t>VALDIVIA</t>
        </is>
      </c>
      <c r="K181" t="n">
        <v>1936.106287643872</v>
      </c>
      <c r="L181" t="n">
        <v>0.249999</v>
      </c>
      <c r="M181" t="n">
        <v>7744.4561284</v>
      </c>
      <c r="N181" t="inlineStr">
        <is>
          <t>VALDIVIA</t>
        </is>
      </c>
      <c r="O181" t="inlineStr">
        <is>
          <t>BS1A</t>
        </is>
      </c>
      <c r="P181" t="n">
        <v>2</v>
      </c>
    </row>
    <row r="182">
      <c r="A182" t="inlineStr">
        <is>
          <t>R_G</t>
        </is>
      </c>
      <c r="B182" t="inlineStr">
        <is>
          <t>01-12-2020</t>
        </is>
      </c>
      <c r="C182" t="n">
        <v>2020</v>
      </c>
      <c r="D182" t="n">
        <v>1</v>
      </c>
      <c r="E182" t="inlineStr">
        <is>
          <t>CAREN</t>
        </is>
      </c>
      <c r="F182" t="inlineStr">
        <is>
          <t>SUM_SAESA_A</t>
        </is>
      </c>
      <c r="G182" t="inlineStr">
        <is>
          <t>A</t>
        </is>
      </c>
      <c r="H182" t="inlineStr">
        <is>
          <t>SAESA</t>
        </is>
      </c>
      <c r="I182" t="inlineStr">
        <is>
          <t>SAESABONBLOQA</t>
        </is>
      </c>
      <c r="J182" t="inlineStr">
        <is>
          <t>ALTO_BONITO</t>
        </is>
      </c>
      <c r="K182" t="n">
        <v>1993.241746476122</v>
      </c>
      <c r="L182" t="n">
        <v>0.249999</v>
      </c>
      <c r="M182" t="n">
        <v>7972.9988779</v>
      </c>
      <c r="N182" t="inlineStr">
        <is>
          <t>ALTO BONITO</t>
        </is>
      </c>
      <c r="O182" t="inlineStr">
        <is>
          <t>BS1A</t>
        </is>
      </c>
      <c r="P182" t="n">
        <v>2</v>
      </c>
    </row>
    <row r="183">
      <c r="A183" t="inlineStr">
        <is>
          <t>R_G</t>
        </is>
      </c>
      <c r="B183" t="inlineStr">
        <is>
          <t>01-12-2020</t>
        </is>
      </c>
      <c r="C183" t="n">
        <v>2020</v>
      </c>
      <c r="D183" t="n">
        <v>1</v>
      </c>
      <c r="E183" t="inlineStr">
        <is>
          <t>CAREN</t>
        </is>
      </c>
      <c r="F183" t="inlineStr">
        <is>
          <t>SUM_SAESA_A</t>
        </is>
      </c>
      <c r="G183" t="inlineStr">
        <is>
          <t>A</t>
        </is>
      </c>
      <c r="H183" t="inlineStr">
        <is>
          <t>SAESA</t>
        </is>
      </c>
      <c r="I183" t="inlineStr">
        <is>
          <t>SAESACHIRREBLOQA</t>
        </is>
      </c>
      <c r="J183" t="inlineStr">
        <is>
          <t>CHIRRE</t>
        </is>
      </c>
      <c r="K183" t="n">
        <v>729.2177000125324</v>
      </c>
      <c r="L183" t="n">
        <v>0.249999</v>
      </c>
      <c r="M183" t="n">
        <v>2916.88246758</v>
      </c>
      <c r="N183" t="inlineStr">
        <is>
          <t>CHIRRE 23</t>
        </is>
      </c>
      <c r="O183" t="inlineStr">
        <is>
          <t>BS1A</t>
        </is>
      </c>
      <c r="P183" t="n">
        <v>2</v>
      </c>
    </row>
    <row r="184">
      <c r="A184" t="inlineStr">
        <is>
          <t>R_G</t>
        </is>
      </c>
      <c r="B184" t="inlineStr">
        <is>
          <t>01-12-2020</t>
        </is>
      </c>
      <c r="C184" t="n">
        <v>2020</v>
      </c>
      <c r="D184" t="n">
        <v>1</v>
      </c>
      <c r="E184" t="inlineStr">
        <is>
          <t>CAREN</t>
        </is>
      </c>
      <c r="F184" t="inlineStr">
        <is>
          <t>SUM_SAESA_A</t>
        </is>
      </c>
      <c r="G184" t="inlineStr">
        <is>
          <t>A</t>
        </is>
      </c>
      <c r="H184" t="inlineStr">
        <is>
          <t>SAESA</t>
        </is>
      </c>
      <c r="I184" t="inlineStr">
        <is>
          <t>SAESAIHUBLOQA</t>
        </is>
      </c>
      <c r="J184" t="inlineStr">
        <is>
          <t>AIHUAPI</t>
        </is>
      </c>
      <c r="K184" t="n">
        <v>73.54788911726676</v>
      </c>
      <c r="L184" t="n">
        <v>0.249999</v>
      </c>
      <c r="M184" t="n">
        <v>294.19273324</v>
      </c>
      <c r="N184" t="inlineStr">
        <is>
          <t>AIHUAPI</t>
        </is>
      </c>
      <c r="O184" t="inlineStr">
        <is>
          <t>BS1A</t>
        </is>
      </c>
      <c r="P184" t="n">
        <v>2</v>
      </c>
    </row>
    <row r="185">
      <c r="A185" t="inlineStr">
        <is>
          <t>R_G</t>
        </is>
      </c>
      <c r="B185" t="inlineStr">
        <is>
          <t>01-12-2020</t>
        </is>
      </c>
      <c r="C185" t="n">
        <v>2020</v>
      </c>
      <c r="D185" t="n">
        <v>1</v>
      </c>
      <c r="E185" t="inlineStr">
        <is>
          <t>CAREN</t>
        </is>
      </c>
      <c r="F185" t="inlineStr">
        <is>
          <t>SUM_SAESA_A</t>
        </is>
      </c>
      <c r="G185" t="inlineStr">
        <is>
          <t>A</t>
        </is>
      </c>
      <c r="H185" t="inlineStr">
        <is>
          <t>SAESA</t>
        </is>
      </c>
      <c r="I185" t="inlineStr">
        <is>
          <t>SAESANCUBLOQA</t>
        </is>
      </c>
      <c r="J185" t="inlineStr">
        <is>
          <t>ANCUD</t>
        </is>
      </c>
      <c r="K185" t="n">
        <v>1645.074452335869</v>
      </c>
      <c r="L185" t="n">
        <v>0.249999</v>
      </c>
      <c r="M185" t="n">
        <v>6580.32413064</v>
      </c>
      <c r="N185" t="inlineStr">
        <is>
          <t>ANCUD</t>
        </is>
      </c>
      <c r="O185" t="inlineStr">
        <is>
          <t>BS1A</t>
        </is>
      </c>
      <c r="P185" t="n">
        <v>2</v>
      </c>
    </row>
    <row r="186">
      <c r="A186" t="inlineStr">
        <is>
          <t>R_G</t>
        </is>
      </c>
      <c r="B186" t="inlineStr">
        <is>
          <t>01-12-2020</t>
        </is>
      </c>
      <c r="C186" t="n">
        <v>2020</v>
      </c>
      <c r="D186" t="n">
        <v>1</v>
      </c>
      <c r="E186" t="inlineStr">
        <is>
          <t>CAREN</t>
        </is>
      </c>
      <c r="F186" t="inlineStr">
        <is>
          <t>SUM_SAESA_A</t>
        </is>
      </c>
      <c r="G186" t="inlineStr">
        <is>
          <t>A</t>
        </is>
      </c>
      <c r="H186" t="inlineStr">
        <is>
          <t>SAESA</t>
        </is>
      </c>
      <c r="I186" t="inlineStr">
        <is>
          <t>SAESARMBLOQA</t>
        </is>
      </c>
      <c r="J186" t="inlineStr">
        <is>
          <t>ARMAZONES</t>
        </is>
      </c>
      <c r="K186" t="n">
        <v>399.0043207138331</v>
      </c>
      <c r="L186" t="n">
        <v>0.249999</v>
      </c>
      <c r="M186" t="n">
        <v>1596.02366695</v>
      </c>
      <c r="N186" t="inlineStr">
        <is>
          <t>ARMAZONES</t>
        </is>
      </c>
      <c r="O186" t="inlineStr">
        <is>
          <t>BS1A</t>
        </is>
      </c>
      <c r="P186" t="n">
        <v>2</v>
      </c>
    </row>
    <row r="187">
      <c r="A187" t="inlineStr">
        <is>
          <t>R_G</t>
        </is>
      </c>
      <c r="B187" t="inlineStr">
        <is>
          <t>01-12-2020</t>
        </is>
      </c>
      <c r="C187" t="n">
        <v>2020</v>
      </c>
      <c r="D187" t="n">
        <v>1</v>
      </c>
      <c r="E187" t="inlineStr">
        <is>
          <t>CAREN</t>
        </is>
      </c>
      <c r="F187" t="inlineStr">
        <is>
          <t>SUM_SAESA_A</t>
        </is>
      </c>
      <c r="G187" t="inlineStr">
        <is>
          <t>A</t>
        </is>
      </c>
      <c r="H187" t="inlineStr">
        <is>
          <t>SAESA</t>
        </is>
      </c>
      <c r="I187" t="inlineStr">
        <is>
          <t>SAESARNEGBLOQA</t>
        </is>
      </c>
      <c r="J187" t="inlineStr">
        <is>
          <t>R.NEGRO</t>
        </is>
      </c>
      <c r="K187" t="n">
        <v>727.767284181719</v>
      </c>
      <c r="L187" t="n">
        <v>0.249999</v>
      </c>
      <c r="M187" t="n">
        <v>2911.08078105</v>
      </c>
      <c r="N187" t="inlineStr">
        <is>
          <t>RIO NEGRO 23</t>
        </is>
      </c>
      <c r="O187" t="inlineStr">
        <is>
          <t>BS1A</t>
        </is>
      </c>
      <c r="P187" t="n">
        <v>2</v>
      </c>
    </row>
    <row r="188">
      <c r="A188" t="inlineStr">
        <is>
          <t>R_G</t>
        </is>
      </c>
      <c r="B188" t="inlineStr">
        <is>
          <t>01-12-2020</t>
        </is>
      </c>
      <c r="C188" t="n">
        <v>2020</v>
      </c>
      <c r="D188" t="n">
        <v>1</v>
      </c>
      <c r="E188" t="inlineStr">
        <is>
          <t>CAREN</t>
        </is>
      </c>
      <c r="F188" t="inlineStr">
        <is>
          <t>SUM_SAESA_A</t>
        </is>
      </c>
      <c r="G188" t="inlineStr">
        <is>
          <t>A</t>
        </is>
      </c>
      <c r="H188" t="inlineStr">
        <is>
          <t>SAESA</t>
        </is>
      </c>
      <c r="I188" t="inlineStr">
        <is>
          <t>SAESBBLABLOQA</t>
        </is>
      </c>
      <c r="J188" t="inlineStr">
        <is>
          <t>B.BLANCO</t>
        </is>
      </c>
      <c r="K188" t="n">
        <v>1184.155397374464</v>
      </c>
      <c r="L188" t="n">
        <v>0.249999</v>
      </c>
      <c r="M188" t="n">
        <v>4736.64053606</v>
      </c>
      <c r="N188" t="inlineStr">
        <is>
          <t>BARRO BLANCO</t>
        </is>
      </c>
      <c r="O188" t="inlineStr">
        <is>
          <t>BS1A</t>
        </is>
      </c>
      <c r="P188" t="n">
        <v>2</v>
      </c>
    </row>
    <row r="189">
      <c r="A189" t="inlineStr">
        <is>
          <t>R_G</t>
        </is>
      </c>
      <c r="B189" t="inlineStr">
        <is>
          <t>01-12-2020</t>
        </is>
      </c>
      <c r="C189" t="n">
        <v>2020</v>
      </c>
      <c r="D189" t="n">
        <v>1</v>
      </c>
      <c r="E189" t="inlineStr">
        <is>
          <t>CAREN</t>
        </is>
      </c>
      <c r="F189" t="inlineStr">
        <is>
          <t>SUM_SAESA_A</t>
        </is>
      </c>
      <c r="G189" t="inlineStr">
        <is>
          <t>A</t>
        </is>
      </c>
      <c r="H189" t="inlineStr">
        <is>
          <t>SAESA</t>
        </is>
      </c>
      <c r="I189" t="inlineStr">
        <is>
          <t>SAESCALBBLOQA</t>
        </is>
      </c>
      <c r="J189" t="inlineStr">
        <is>
          <t>CALBUCO</t>
        </is>
      </c>
      <c r="K189" t="n">
        <v>791.4856084074025</v>
      </c>
      <c r="L189" t="n">
        <v>0.249999</v>
      </c>
      <c r="M189" t="n">
        <v>3165.95509745</v>
      </c>
      <c r="N189" t="inlineStr">
        <is>
          <t>CALBUCO</t>
        </is>
      </c>
      <c r="O189" t="inlineStr">
        <is>
          <t>BS1A</t>
        </is>
      </c>
      <c r="P189" t="n">
        <v>2</v>
      </c>
    </row>
    <row r="190">
      <c r="A190" t="inlineStr">
        <is>
          <t>R_G</t>
        </is>
      </c>
      <c r="B190" t="inlineStr">
        <is>
          <t>01-12-2020</t>
        </is>
      </c>
      <c r="C190" t="n">
        <v>2020</v>
      </c>
      <c r="D190" t="n">
        <v>1</v>
      </c>
      <c r="E190" t="inlineStr">
        <is>
          <t>CAREN</t>
        </is>
      </c>
      <c r="F190" t="inlineStr">
        <is>
          <t>SUM_SAESA_A</t>
        </is>
      </c>
      <c r="G190" t="inlineStr">
        <is>
          <t>A</t>
        </is>
      </c>
      <c r="H190" t="inlineStr">
        <is>
          <t>SAESA</t>
        </is>
      </c>
      <c r="I190" t="inlineStr">
        <is>
          <t>SAESCASTBLOQA</t>
        </is>
      </c>
      <c r="J190" t="inlineStr">
        <is>
          <t>CASTRO</t>
        </is>
      </c>
      <c r="K190" t="n">
        <v>1463.39443646384</v>
      </c>
      <c r="L190" t="n">
        <v>0.249999</v>
      </c>
      <c r="M190" t="n">
        <v>5853.60116026</v>
      </c>
      <c r="N190" t="inlineStr">
        <is>
          <t>CASTRO</t>
        </is>
      </c>
      <c r="O190" t="inlineStr">
        <is>
          <t>BS1A</t>
        </is>
      </c>
      <c r="P190" t="n">
        <v>2</v>
      </c>
    </row>
    <row r="191">
      <c r="A191" t="inlineStr">
        <is>
          <t>R_G</t>
        </is>
      </c>
      <c r="B191" t="inlineStr">
        <is>
          <t>01-12-2020</t>
        </is>
      </c>
      <c r="C191" t="n">
        <v>2020</v>
      </c>
      <c r="D191" t="n">
        <v>1</v>
      </c>
      <c r="E191" t="inlineStr">
        <is>
          <t>CAREN</t>
        </is>
      </c>
      <c r="F191" t="inlineStr">
        <is>
          <t>SUM_SAESA_A</t>
        </is>
      </c>
      <c r="G191" t="inlineStr">
        <is>
          <t>A</t>
        </is>
      </c>
      <c r="H191" t="inlineStr">
        <is>
          <t>SAESA</t>
        </is>
      </c>
      <c r="I191" t="inlineStr">
        <is>
          <t>SAESCHONBLOQA</t>
        </is>
      </c>
      <c r="J191" t="inlineStr">
        <is>
          <t>CHONCHI</t>
        </is>
      </c>
      <c r="K191" t="n">
        <v>962.9277202462122</v>
      </c>
      <c r="L191" t="n">
        <v>0.249999</v>
      </c>
      <c r="M191" t="n">
        <v>3851.72628789</v>
      </c>
      <c r="N191" t="inlineStr">
        <is>
          <t>CHONCHI</t>
        </is>
      </c>
      <c r="O191" t="inlineStr">
        <is>
          <t>BS1A</t>
        </is>
      </c>
      <c r="P191" t="n">
        <v>2</v>
      </c>
    </row>
    <row r="192">
      <c r="A192" t="inlineStr">
        <is>
          <t>R_G</t>
        </is>
      </c>
      <c r="B192" t="inlineStr">
        <is>
          <t>01-12-2020</t>
        </is>
      </c>
      <c r="C192" t="n">
        <v>2020</v>
      </c>
      <c r="D192" t="n">
        <v>1</v>
      </c>
      <c r="E192" t="inlineStr">
        <is>
          <t>CAREN</t>
        </is>
      </c>
      <c r="F192" t="inlineStr">
        <is>
          <t>SUM_SAESA_A</t>
        </is>
      </c>
      <c r="G192" t="inlineStr">
        <is>
          <t>A</t>
        </is>
      </c>
      <c r="H192" t="inlineStr">
        <is>
          <t>SAESA</t>
        </is>
      </c>
      <c r="I192" t="inlineStr">
        <is>
          <t>SAESCOLABLOQA</t>
        </is>
      </c>
      <c r="J192" t="inlineStr">
        <is>
          <t>COLACO</t>
        </is>
      </c>
      <c r="K192" t="n">
        <v>830.6220017737029</v>
      </c>
      <c r="L192" t="n">
        <v>0.249999</v>
      </c>
      <c r="M192" t="n">
        <v>3322.5012971</v>
      </c>
      <c r="N192" t="inlineStr">
        <is>
          <t>COLACO</t>
        </is>
      </c>
      <c r="O192" t="inlineStr">
        <is>
          <t>BS1A</t>
        </is>
      </c>
      <c r="P192" t="n">
        <v>2</v>
      </c>
    </row>
    <row r="193">
      <c r="A193" t="inlineStr">
        <is>
          <t>R_G</t>
        </is>
      </c>
      <c r="B193" t="inlineStr">
        <is>
          <t>01-12-2020</t>
        </is>
      </c>
      <c r="C193" t="n">
        <v>2020</v>
      </c>
      <c r="D193" t="n">
        <v>1</v>
      </c>
      <c r="E193" t="inlineStr">
        <is>
          <t>CAREN</t>
        </is>
      </c>
      <c r="F193" t="inlineStr">
        <is>
          <t>SUM_SAESA_A</t>
        </is>
      </c>
      <c r="G193" t="inlineStr">
        <is>
          <t>A</t>
        </is>
      </c>
      <c r="H193" t="inlineStr">
        <is>
          <t>SAESA</t>
        </is>
      </c>
      <c r="I193" t="inlineStr">
        <is>
          <t>SAESCORRBLOQA</t>
        </is>
      </c>
      <c r="J193" t="inlineStr">
        <is>
          <t>CORRAL</t>
        </is>
      </c>
      <c r="K193" t="n">
        <v>246.2590575348297</v>
      </c>
      <c r="L193" t="n">
        <v>0.249999</v>
      </c>
      <c r="M193" t="n">
        <v>985.0401703</v>
      </c>
      <c r="N193" t="inlineStr">
        <is>
          <t>CORRAL</t>
        </is>
      </c>
      <c r="O193" t="inlineStr">
        <is>
          <t>BS1A</t>
        </is>
      </c>
      <c r="P193" t="n">
        <v>2</v>
      </c>
    </row>
    <row r="194">
      <c r="A194" t="inlineStr">
        <is>
          <t>R_G</t>
        </is>
      </c>
      <c r="B194" t="inlineStr">
        <is>
          <t>01-12-2020</t>
        </is>
      </c>
      <c r="C194" t="n">
        <v>2020</v>
      </c>
      <c r="D194" t="n">
        <v>1</v>
      </c>
      <c r="E194" t="inlineStr">
        <is>
          <t>CAREN</t>
        </is>
      </c>
      <c r="F194" t="inlineStr">
        <is>
          <t>SUM_SAESA_A</t>
        </is>
      </c>
      <c r="G194" t="inlineStr">
        <is>
          <t>A</t>
        </is>
      </c>
      <c r="H194" t="inlineStr">
        <is>
          <t>SAESA</t>
        </is>
      </c>
      <c r="I194" t="inlineStr">
        <is>
          <t>SAESDALCBLOQA</t>
        </is>
      </c>
      <c r="J194" t="inlineStr">
        <is>
          <t>DALCAHUE</t>
        </is>
      </c>
      <c r="K194" t="n">
        <v>1355.340876572308</v>
      </c>
      <c r="L194" t="n">
        <v>0.249999</v>
      </c>
      <c r="M194" t="n">
        <v>5421.38519183</v>
      </c>
      <c r="N194" t="inlineStr">
        <is>
          <t>DALCAHUE</t>
        </is>
      </c>
      <c r="O194" t="inlineStr">
        <is>
          <t>BS1A</t>
        </is>
      </c>
      <c r="P194" t="n">
        <v>2</v>
      </c>
    </row>
    <row r="195">
      <c r="A195" t="inlineStr">
        <is>
          <t>R_G</t>
        </is>
      </c>
      <c r="B195" t="inlineStr">
        <is>
          <t>01-12-2020</t>
        </is>
      </c>
      <c r="C195" t="n">
        <v>2020</v>
      </c>
      <c r="D195" t="n">
        <v>1</v>
      </c>
      <c r="E195" t="inlineStr">
        <is>
          <t>CAREN</t>
        </is>
      </c>
      <c r="F195" t="inlineStr">
        <is>
          <t>SUM_SAESA_A</t>
        </is>
      </c>
      <c r="G195" t="inlineStr">
        <is>
          <t>A</t>
        </is>
      </c>
      <c r="H195" t="inlineStr">
        <is>
          <t>SAESA</t>
        </is>
      </c>
      <c r="I195" t="inlineStr">
        <is>
          <t>SAESDEGABLOQA</t>
        </is>
      </c>
      <c r="J195" t="inlineStr">
        <is>
          <t>DEGAÑ</t>
        </is>
      </c>
      <c r="K195" t="n">
        <v>345.1655294448595</v>
      </c>
      <c r="L195" t="n">
        <v>0.249999</v>
      </c>
      <c r="M195" t="n">
        <v>1380.66764045</v>
      </c>
      <c r="N195" t="inlineStr">
        <is>
          <t>DEGAÑ</t>
        </is>
      </c>
      <c r="O195" t="inlineStr">
        <is>
          <t>BS1A</t>
        </is>
      </c>
      <c r="P195" t="n">
        <v>2</v>
      </c>
    </row>
    <row r="196">
      <c r="A196" t="inlineStr">
        <is>
          <t>R_G</t>
        </is>
      </c>
      <c r="B196" t="inlineStr">
        <is>
          <t>01-12-2020</t>
        </is>
      </c>
      <c r="C196" t="n">
        <v>2020</v>
      </c>
      <c r="D196" t="n">
        <v>1</v>
      </c>
      <c r="E196" t="inlineStr">
        <is>
          <t>CAREN</t>
        </is>
      </c>
      <c r="F196" t="inlineStr">
        <is>
          <t>SUM_SAESA_A</t>
        </is>
      </c>
      <c r="G196" t="inlineStr">
        <is>
          <t>A</t>
        </is>
      </c>
      <c r="H196" t="inlineStr">
        <is>
          <t>SAESA</t>
        </is>
      </c>
      <c r="I196" t="inlineStr">
        <is>
          <t>SAESELEMBLOQA</t>
        </is>
      </c>
      <c r="J196" t="inlineStr">
        <is>
          <t>EMPALME</t>
        </is>
      </c>
      <c r="K196" t="n">
        <v>702.6760266771504</v>
      </c>
      <c r="L196" t="n">
        <v>0.249999</v>
      </c>
      <c r="M196" t="n">
        <v>2810.71534957</v>
      </c>
      <c r="N196" t="inlineStr">
        <is>
          <t>PARGUA 23</t>
        </is>
      </c>
      <c r="O196" t="inlineStr">
        <is>
          <t>BS1A</t>
        </is>
      </c>
      <c r="P196" t="n">
        <v>2</v>
      </c>
    </row>
    <row r="197">
      <c r="A197" t="inlineStr">
        <is>
          <t>R_G</t>
        </is>
      </c>
      <c r="B197" t="inlineStr">
        <is>
          <t>01-12-2020</t>
        </is>
      </c>
      <c r="C197" t="n">
        <v>2020</v>
      </c>
      <c r="D197" t="n">
        <v>1</v>
      </c>
      <c r="E197" t="inlineStr">
        <is>
          <t>CAREN</t>
        </is>
      </c>
      <c r="F197" t="inlineStr">
        <is>
          <t>SUM_SAESA_A</t>
        </is>
      </c>
      <c r="G197" t="inlineStr">
        <is>
          <t>A</t>
        </is>
      </c>
      <c r="H197" t="inlineStr">
        <is>
          <t>SAESA</t>
        </is>
      </c>
      <c r="I197" t="inlineStr">
        <is>
          <t>SAESFRUTBLOQA</t>
        </is>
      </c>
      <c r="J197" t="inlineStr">
        <is>
          <t>FRUTILLAR</t>
        </is>
      </c>
      <c r="K197" t="n">
        <v>1437.170932178276</v>
      </c>
      <c r="L197" t="n">
        <v>0.249999</v>
      </c>
      <c r="M197" t="n">
        <v>5748.70672354</v>
      </c>
      <c r="N197" t="inlineStr">
        <is>
          <t>FRUTILLAR</t>
        </is>
      </c>
      <c r="O197" t="inlineStr">
        <is>
          <t>BS1A</t>
        </is>
      </c>
      <c r="P197" t="n">
        <v>2</v>
      </c>
    </row>
    <row r="198">
      <c r="A198" t="inlineStr">
        <is>
          <t>R_G</t>
        </is>
      </c>
      <c r="B198" t="inlineStr">
        <is>
          <t>01-12-2020</t>
        </is>
      </c>
      <c r="C198" t="n">
        <v>2020</v>
      </c>
      <c r="D198" t="n">
        <v>1</v>
      </c>
      <c r="E198" t="inlineStr">
        <is>
          <t>CAREN</t>
        </is>
      </c>
      <c r="F198" t="inlineStr">
        <is>
          <t>SUM_SAESA_A</t>
        </is>
      </c>
      <c r="G198" t="inlineStr">
        <is>
          <t>A</t>
        </is>
      </c>
      <c r="H198" t="inlineStr">
        <is>
          <t>SAESA</t>
        </is>
      </c>
      <c r="I198" t="inlineStr">
        <is>
          <t>SAESLAUNBLOQA</t>
        </is>
      </c>
      <c r="J198" t="inlineStr">
        <is>
          <t>L.UNION</t>
        </is>
      </c>
      <c r="K198" t="n">
        <v>1216.650716072669</v>
      </c>
      <c r="L198" t="n">
        <v>0.249999</v>
      </c>
      <c r="M198" t="n">
        <v>4866.62233078</v>
      </c>
      <c r="N198" t="inlineStr">
        <is>
          <t>LA UNION</t>
        </is>
      </c>
      <c r="O198" t="inlineStr">
        <is>
          <t>BS1A</t>
        </is>
      </c>
      <c r="P198" t="n">
        <v>2</v>
      </c>
    </row>
    <row r="199">
      <c r="A199" t="inlineStr">
        <is>
          <t>R_G</t>
        </is>
      </c>
      <c r="B199" t="inlineStr">
        <is>
          <t>01-12-2020</t>
        </is>
      </c>
      <c r="C199" t="n">
        <v>2020</v>
      </c>
      <c r="D199" t="n">
        <v>1</v>
      </c>
      <c r="E199" t="inlineStr">
        <is>
          <t>CAREN</t>
        </is>
      </c>
      <c r="F199" t="inlineStr">
        <is>
          <t>SUM_SAESA_A</t>
        </is>
      </c>
      <c r="G199" t="inlineStr">
        <is>
          <t>A</t>
        </is>
      </c>
      <c r="H199" t="inlineStr">
        <is>
          <t>SAESA</t>
        </is>
      </c>
      <c r="I199" t="inlineStr">
        <is>
          <t>SAESLONCBLOQA</t>
        </is>
      </c>
      <c r="J199" t="inlineStr">
        <is>
          <t>LONCOCHE2</t>
        </is>
      </c>
      <c r="K199" t="n">
        <v>1238.01515283958</v>
      </c>
      <c r="L199" t="n">
        <v>0.249999</v>
      </c>
      <c r="M199" t="n">
        <v>4952.08041968</v>
      </c>
      <c r="N199" t="inlineStr">
        <is>
          <t>LONCOCHE</t>
        </is>
      </c>
      <c r="O199" t="inlineStr">
        <is>
          <t>BS1A</t>
        </is>
      </c>
      <c r="P199" t="n">
        <v>2</v>
      </c>
    </row>
    <row r="200">
      <c r="A200" t="inlineStr">
        <is>
          <t>R_G</t>
        </is>
      </c>
      <c r="B200" t="inlineStr">
        <is>
          <t>01-12-2020</t>
        </is>
      </c>
      <c r="C200" t="n">
        <v>2020</v>
      </c>
      <c r="D200" t="n">
        <v>1</v>
      </c>
      <c r="E200" t="inlineStr">
        <is>
          <t>CAREN</t>
        </is>
      </c>
      <c r="F200" t="inlineStr">
        <is>
          <t>SUM_SAESA_A</t>
        </is>
      </c>
      <c r="G200" t="inlineStr">
        <is>
          <t>A</t>
        </is>
      </c>
      <c r="H200" t="inlineStr">
        <is>
          <t>SAESA</t>
        </is>
      </c>
      <c r="I200" t="inlineStr">
        <is>
          <t>SAESLOSLBLOQA</t>
        </is>
      </c>
      <c r="J200" t="inlineStr">
        <is>
          <t>L.LAGOS</t>
        </is>
      </c>
      <c r="K200" t="n">
        <v>490.3967175502834</v>
      </c>
      <c r="L200" t="n">
        <v>0.249999</v>
      </c>
      <c r="M200" t="n">
        <v>1961.59471658</v>
      </c>
      <c r="N200" t="inlineStr">
        <is>
          <t>LOS LAGOS</t>
        </is>
      </c>
      <c r="O200" t="inlineStr">
        <is>
          <t>BS1A</t>
        </is>
      </c>
      <c r="P200" t="n">
        <v>2</v>
      </c>
    </row>
    <row r="201">
      <c r="A201" t="inlineStr">
        <is>
          <t>R_G</t>
        </is>
      </c>
      <c r="B201" t="inlineStr">
        <is>
          <t>01-12-2020</t>
        </is>
      </c>
      <c r="C201" t="n">
        <v>2020</v>
      </c>
      <c r="D201" t="n">
        <v>1</v>
      </c>
      <c r="E201" t="inlineStr">
        <is>
          <t>CAREN</t>
        </is>
      </c>
      <c r="F201" t="inlineStr">
        <is>
          <t>SUM_SAESA_A</t>
        </is>
      </c>
      <c r="G201" t="inlineStr">
        <is>
          <t>A</t>
        </is>
      </c>
      <c r="H201" t="inlineStr">
        <is>
          <t>SAESA</t>
        </is>
      </c>
      <c r="I201" t="inlineStr">
        <is>
          <t>SAESLTAMBLOQA</t>
        </is>
      </c>
      <c r="J201" t="inlineStr">
        <is>
          <t>LOS_TAMBORES</t>
        </is>
      </c>
      <c r="K201" t="n">
        <v>982.7454698748966</v>
      </c>
      <c r="L201" t="n">
        <v>0.249999</v>
      </c>
      <c r="M201" t="n">
        <v>3930.99760349</v>
      </c>
      <c r="N201" t="inlineStr">
        <is>
          <t>LOS TAMBORES</t>
        </is>
      </c>
      <c r="O201" t="inlineStr">
        <is>
          <t>BS1A</t>
        </is>
      </c>
      <c r="P201" t="n">
        <v>2</v>
      </c>
    </row>
    <row r="202">
      <c r="A202" t="inlineStr">
        <is>
          <t>R_G</t>
        </is>
      </c>
      <c r="B202" t="inlineStr">
        <is>
          <t>01-12-2020</t>
        </is>
      </c>
      <c r="C202" t="n">
        <v>2020</v>
      </c>
      <c r="D202" t="n">
        <v>1</v>
      </c>
      <c r="E202" t="inlineStr">
        <is>
          <t>CAREN</t>
        </is>
      </c>
      <c r="F202" t="inlineStr">
        <is>
          <t>SUM_SAESA_A</t>
        </is>
      </c>
      <c r="G202" t="inlineStr">
        <is>
          <t>A</t>
        </is>
      </c>
      <c r="H202" t="inlineStr">
        <is>
          <t>SAESA</t>
        </is>
      </c>
      <c r="I202" t="inlineStr">
        <is>
          <t>SAESMARIBLOQA</t>
        </is>
      </c>
      <c r="J202" t="inlineStr">
        <is>
          <t>MARIQUINA</t>
        </is>
      </c>
      <c r="K202" t="n">
        <v>961.3902542936005</v>
      </c>
      <c r="L202" t="n">
        <v>0.249999</v>
      </c>
      <c r="M202" t="n">
        <v>3845.57639948</v>
      </c>
      <c r="N202" t="inlineStr">
        <is>
          <t>MARIQUINA</t>
        </is>
      </c>
      <c r="O202" t="inlineStr">
        <is>
          <t>BS1A</t>
        </is>
      </c>
      <c r="P202" t="n">
        <v>2</v>
      </c>
    </row>
    <row r="203">
      <c r="A203" t="inlineStr">
        <is>
          <t>R_G</t>
        </is>
      </c>
      <c r="B203" t="inlineStr">
        <is>
          <t>01-12-2020</t>
        </is>
      </c>
      <c r="C203" t="n">
        <v>2020</v>
      </c>
      <c r="D203" t="n">
        <v>1</v>
      </c>
      <c r="E203" t="inlineStr">
        <is>
          <t>CAREN</t>
        </is>
      </c>
      <c r="F203" t="inlineStr">
        <is>
          <t>SUM_SAESA_A</t>
        </is>
      </c>
      <c r="G203" t="inlineStr">
        <is>
          <t>A</t>
        </is>
      </c>
      <c r="H203" t="inlineStr">
        <is>
          <t>SAESA</t>
        </is>
      </c>
      <c r="I203" t="inlineStr">
        <is>
          <t>SAESMELIBLOQA</t>
        </is>
      </c>
      <c r="J203" t="inlineStr">
        <is>
          <t>MELIPULLI</t>
        </is>
      </c>
      <c r="K203" t="n">
        <v>10995.1474928541</v>
      </c>
      <c r="L203" t="n">
        <v>0.249999</v>
      </c>
      <c r="M203" t="n">
        <v>43980.76589448</v>
      </c>
      <c r="N203" t="inlineStr">
        <is>
          <t>MELIPULLI</t>
        </is>
      </c>
      <c r="O203" t="inlineStr">
        <is>
          <t>BS1A</t>
        </is>
      </c>
      <c r="P203" t="n">
        <v>2</v>
      </c>
    </row>
    <row r="204">
      <c r="A204" t="inlineStr">
        <is>
          <t>R_G</t>
        </is>
      </c>
      <c r="B204" t="inlineStr">
        <is>
          <t>01-12-2020</t>
        </is>
      </c>
      <c r="C204" t="n">
        <v>2020</v>
      </c>
      <c r="D204" t="n">
        <v>1</v>
      </c>
      <c r="E204" t="inlineStr">
        <is>
          <t>CAREN</t>
        </is>
      </c>
      <c r="F204" t="inlineStr">
        <is>
          <t>SUM_SAESA_A</t>
        </is>
      </c>
      <c r="G204" t="inlineStr">
        <is>
          <t>A</t>
        </is>
      </c>
      <c r="H204" t="inlineStr">
        <is>
          <t>SAESA</t>
        </is>
      </c>
      <c r="I204" t="inlineStr">
        <is>
          <t>SAESOSORBLOQA</t>
        </is>
      </c>
      <c r="J204" t="inlineStr">
        <is>
          <t>OSORNO</t>
        </is>
      </c>
      <c r="K204" t="n">
        <v>5831.43411414024</v>
      </c>
      <c r="L204" t="n">
        <v>0.249999</v>
      </c>
      <c r="M204" t="n">
        <v>23325.82975988</v>
      </c>
      <c r="N204" t="inlineStr">
        <is>
          <t>OSORNO</t>
        </is>
      </c>
      <c r="O204" t="inlineStr">
        <is>
          <t>BS1A</t>
        </is>
      </c>
      <c r="P204" t="n">
        <v>2</v>
      </c>
    </row>
    <row r="205">
      <c r="A205" t="inlineStr">
        <is>
          <t>R_G</t>
        </is>
      </c>
      <c r="B205" t="inlineStr">
        <is>
          <t>01-12-2020</t>
        </is>
      </c>
      <c r="C205" t="n">
        <v>2020</v>
      </c>
      <c r="D205" t="n">
        <v>1</v>
      </c>
      <c r="E205" t="inlineStr">
        <is>
          <t>CAREN</t>
        </is>
      </c>
      <c r="F205" t="inlineStr">
        <is>
          <t>SUM_SAESA_A</t>
        </is>
      </c>
      <c r="G205" t="inlineStr">
        <is>
          <t>A</t>
        </is>
      </c>
      <c r="H205" t="inlineStr">
        <is>
          <t>SAESA</t>
        </is>
      </c>
      <c r="I205" t="inlineStr">
        <is>
          <t>SAESPANGBLOQA</t>
        </is>
      </c>
      <c r="J205" t="inlineStr">
        <is>
          <t>PANGUIPULLI</t>
        </is>
      </c>
      <c r="K205" t="n">
        <v>2037.42133287707</v>
      </c>
      <c r="L205" t="n">
        <v>0.249999</v>
      </c>
      <c r="M205" t="n">
        <v>8149.71793038</v>
      </c>
      <c r="N205" t="inlineStr">
        <is>
          <t>PANGUIPULLI</t>
        </is>
      </c>
      <c r="O205" t="inlineStr">
        <is>
          <t>BS1A</t>
        </is>
      </c>
      <c r="P205" t="n">
        <v>2</v>
      </c>
    </row>
    <row r="206">
      <c r="A206" t="inlineStr">
        <is>
          <t>R_G</t>
        </is>
      </c>
      <c r="B206" t="inlineStr">
        <is>
          <t>01-12-2020</t>
        </is>
      </c>
      <c r="C206" t="n">
        <v>2020</v>
      </c>
      <c r="D206" t="n">
        <v>1</v>
      </c>
      <c r="E206" t="inlineStr">
        <is>
          <t>CAREN</t>
        </is>
      </c>
      <c r="F206" t="inlineStr">
        <is>
          <t>SUM_SAESA_A</t>
        </is>
      </c>
      <c r="G206" t="inlineStr">
        <is>
          <t>A</t>
        </is>
      </c>
      <c r="H206" t="inlineStr">
        <is>
          <t>SAESA</t>
        </is>
      </c>
      <c r="I206" t="inlineStr">
        <is>
          <t>SAESPARGBLOQA</t>
        </is>
      </c>
      <c r="J206" t="inlineStr">
        <is>
          <t>PARGUA</t>
        </is>
      </c>
      <c r="K206" t="n">
        <v>162.58426466034</v>
      </c>
      <c r="L206" t="n">
        <v>0.249999</v>
      </c>
      <c r="M206" t="n">
        <v>650.33966</v>
      </c>
      <c r="N206" t="inlineStr">
        <is>
          <t>PARGUA 23</t>
        </is>
      </c>
      <c r="O206" t="inlineStr">
        <is>
          <t>BS1A</t>
        </is>
      </c>
      <c r="P206" t="n">
        <v>2</v>
      </c>
    </row>
    <row r="207">
      <c r="A207" t="inlineStr">
        <is>
          <t>R_G</t>
        </is>
      </c>
      <c r="B207" t="inlineStr">
        <is>
          <t>01-12-2020</t>
        </is>
      </c>
      <c r="C207" t="n">
        <v>2020</v>
      </c>
      <c r="D207" t="n">
        <v>1</v>
      </c>
      <c r="E207" t="inlineStr">
        <is>
          <t>CAREN</t>
        </is>
      </c>
      <c r="F207" t="inlineStr">
        <is>
          <t>SUM_SAESA_A</t>
        </is>
      </c>
      <c r="G207" t="inlineStr">
        <is>
          <t>A</t>
        </is>
      </c>
      <c r="H207" t="inlineStr">
        <is>
          <t>SAESA</t>
        </is>
      </c>
      <c r="I207" t="inlineStr">
        <is>
          <t>SAESPICABLOQA</t>
        </is>
      </c>
      <c r="J207" t="inlineStr">
        <is>
          <t>PICARTE</t>
        </is>
      </c>
      <c r="K207" t="n">
        <v>5748.355278701911</v>
      </c>
      <c r="L207" t="n">
        <v>0.249999</v>
      </c>
      <c r="M207" t="n">
        <v>22993.51308886</v>
      </c>
      <c r="N207" t="inlineStr">
        <is>
          <t>PICARTE</t>
        </is>
      </c>
      <c r="O207" t="inlineStr">
        <is>
          <t>BS1A</t>
        </is>
      </c>
      <c r="P207" t="n">
        <v>2</v>
      </c>
    </row>
    <row r="208">
      <c r="A208" t="inlineStr">
        <is>
          <t>R_G</t>
        </is>
      </c>
      <c r="B208" t="inlineStr">
        <is>
          <t>01-12-2020</t>
        </is>
      </c>
      <c r="C208" t="n">
        <v>2020</v>
      </c>
      <c r="D208" t="n">
        <v>1</v>
      </c>
      <c r="E208" t="inlineStr">
        <is>
          <t>CAREN</t>
        </is>
      </c>
      <c r="F208" t="inlineStr">
        <is>
          <t>SUM_SAESA_A</t>
        </is>
      </c>
      <c r="G208" t="inlineStr">
        <is>
          <t>A</t>
        </is>
      </c>
      <c r="H208" t="inlineStr">
        <is>
          <t>SAESA</t>
        </is>
      </c>
      <c r="I208" t="inlineStr">
        <is>
          <t>SAESPICHBLOQA</t>
        </is>
      </c>
      <c r="J208" t="inlineStr">
        <is>
          <t>PICHIRROPULLI</t>
        </is>
      </c>
      <c r="K208" t="n">
        <v>1210.15909195677</v>
      </c>
      <c r="L208" t="n">
        <v>0.249999</v>
      </c>
      <c r="M208" t="n">
        <v>4840.65573045</v>
      </c>
      <c r="N208" t="inlineStr">
        <is>
          <t>PICHIRROPULLI</t>
        </is>
      </c>
      <c r="O208" t="inlineStr">
        <is>
          <t>BS1A</t>
        </is>
      </c>
      <c r="P208" t="n">
        <v>2</v>
      </c>
    </row>
    <row r="209">
      <c r="A209" t="inlineStr">
        <is>
          <t>R_G</t>
        </is>
      </c>
      <c r="B209" t="inlineStr">
        <is>
          <t>01-12-2020</t>
        </is>
      </c>
      <c r="C209" t="n">
        <v>2020</v>
      </c>
      <c r="D209" t="n">
        <v>1</v>
      </c>
      <c r="E209" t="inlineStr">
        <is>
          <t>CAREN</t>
        </is>
      </c>
      <c r="F209" t="inlineStr">
        <is>
          <t>SUM_SAESA_A</t>
        </is>
      </c>
      <c r="G209" t="inlineStr">
        <is>
          <t>A</t>
        </is>
      </c>
      <c r="H209" t="inlineStr">
        <is>
          <t>SAESA</t>
        </is>
      </c>
      <c r="I209" t="inlineStr">
        <is>
          <t>SAESPICHIBLOQA</t>
        </is>
      </c>
      <c r="J209" t="inlineStr">
        <is>
          <t>PICHIL</t>
        </is>
      </c>
      <c r="K209" t="n">
        <v>182.5072017332729</v>
      </c>
      <c r="L209" t="n">
        <v>0.249999</v>
      </c>
      <c r="M209" t="n">
        <v>730.03172706</v>
      </c>
      <c r="N209" t="inlineStr">
        <is>
          <t>PICHIL</t>
        </is>
      </c>
      <c r="O209" t="inlineStr">
        <is>
          <t>BS1A</t>
        </is>
      </c>
      <c r="P209" t="n">
        <v>2</v>
      </c>
    </row>
    <row r="210">
      <c r="A210" t="inlineStr">
        <is>
          <t>R_G</t>
        </is>
      </c>
      <c r="B210" t="inlineStr">
        <is>
          <t>01-12-2020</t>
        </is>
      </c>
      <c r="C210" t="n">
        <v>2020</v>
      </c>
      <c r="D210" t="n">
        <v>1</v>
      </c>
      <c r="E210" t="inlineStr">
        <is>
          <t>CAREN</t>
        </is>
      </c>
      <c r="F210" t="inlineStr">
        <is>
          <t>SUM_SAESA_A</t>
        </is>
      </c>
      <c r="G210" t="inlineStr">
        <is>
          <t>A</t>
        </is>
      </c>
      <c r="H210" t="inlineStr">
        <is>
          <t>SAESA</t>
        </is>
      </c>
      <c r="I210" t="inlineStr">
        <is>
          <t>SAESPIDPBLOQA</t>
        </is>
      </c>
      <c r="J210" t="inlineStr">
        <is>
          <t>PIDPID</t>
        </is>
      </c>
      <c r="K210" t="n">
        <v>571.0093099561241</v>
      </c>
      <c r="L210" t="n">
        <v>0.249999</v>
      </c>
      <c r="M210" t="n">
        <v>2284.04637601</v>
      </c>
      <c r="N210" t="inlineStr">
        <is>
          <t>PID PID</t>
        </is>
      </c>
      <c r="O210" t="inlineStr">
        <is>
          <t>BS1A</t>
        </is>
      </c>
      <c r="P210" t="n">
        <v>2</v>
      </c>
    </row>
    <row r="211">
      <c r="A211" t="inlineStr">
        <is>
          <t>R_G</t>
        </is>
      </c>
      <c r="B211" t="inlineStr">
        <is>
          <t>01-12-2020</t>
        </is>
      </c>
      <c r="C211" t="n">
        <v>2020</v>
      </c>
      <c r="D211" t="n">
        <v>1</v>
      </c>
      <c r="E211" t="inlineStr">
        <is>
          <t>CAREN</t>
        </is>
      </c>
      <c r="F211" t="inlineStr">
        <is>
          <t>SUM_SAESA_A</t>
        </is>
      </c>
      <c r="G211" t="inlineStr">
        <is>
          <t>A</t>
        </is>
      </c>
      <c r="H211" t="inlineStr">
        <is>
          <t>SAESA</t>
        </is>
      </c>
      <c r="I211" t="inlineStr">
        <is>
          <t>SAESPILMBLOQA</t>
        </is>
      </c>
      <c r="J211" t="inlineStr">
        <is>
          <t>PILMAIQUEN</t>
        </is>
      </c>
      <c r="K211" t="n">
        <v>0</v>
      </c>
      <c r="L211" t="n">
        <v>0.249999</v>
      </c>
      <c r="M211" t="n">
        <v>0</v>
      </c>
      <c r="N211" t="inlineStr">
        <is>
          <t>PILMAIQUEN</t>
        </is>
      </c>
      <c r="O211" t="inlineStr">
        <is>
          <t>BS1A</t>
        </is>
      </c>
      <c r="P211" t="n">
        <v>2</v>
      </c>
    </row>
    <row r="212">
      <c r="A212" t="inlineStr">
        <is>
          <t>R_G</t>
        </is>
      </c>
      <c r="B212" t="inlineStr">
        <is>
          <t>01-12-2020</t>
        </is>
      </c>
      <c r="C212" t="n">
        <v>2020</v>
      </c>
      <c r="D212" t="n">
        <v>1</v>
      </c>
      <c r="E212" t="inlineStr">
        <is>
          <t>CAREN</t>
        </is>
      </c>
      <c r="F212" t="inlineStr">
        <is>
          <t>SUM_SAESA_A</t>
        </is>
      </c>
      <c r="G212" t="inlineStr">
        <is>
          <t>A</t>
        </is>
      </c>
      <c r="H212" t="inlineStr">
        <is>
          <t>SAESA</t>
        </is>
      </c>
      <c r="I212" t="inlineStr">
        <is>
          <t>SAESPULLBLOQA</t>
        </is>
      </c>
      <c r="J212" t="inlineStr">
        <is>
          <t>PULLINQUE</t>
        </is>
      </c>
      <c r="K212" t="n">
        <v>465.179098766162</v>
      </c>
      <c r="L212" t="n">
        <v>0.249999</v>
      </c>
      <c r="M212" t="n">
        <v>1860.72383796</v>
      </c>
      <c r="N212" t="inlineStr">
        <is>
          <t>PULLINQUE</t>
        </is>
      </c>
      <c r="O212" t="inlineStr">
        <is>
          <t>BS1A</t>
        </is>
      </c>
      <c r="P212" t="n">
        <v>2</v>
      </c>
    </row>
    <row r="213">
      <c r="A213" t="inlineStr">
        <is>
          <t>R_G</t>
        </is>
      </c>
      <c r="B213" t="inlineStr">
        <is>
          <t>01-12-2020</t>
        </is>
      </c>
      <c r="C213" t="n">
        <v>2020</v>
      </c>
      <c r="D213" t="n">
        <v>1</v>
      </c>
      <c r="E213" t="inlineStr">
        <is>
          <t>CAREN</t>
        </is>
      </c>
      <c r="F213" t="inlineStr">
        <is>
          <t>SUM_SAESA_A</t>
        </is>
      </c>
      <c r="G213" t="inlineStr">
        <is>
          <t>A</t>
        </is>
      </c>
      <c r="H213" t="inlineStr">
        <is>
          <t>SAESA</t>
        </is>
      </c>
      <c r="I213" t="inlineStr">
        <is>
          <t>SAESPURRBLOQA</t>
        </is>
      </c>
      <c r="J213" t="inlineStr">
        <is>
          <t>PURRANQUE</t>
        </is>
      </c>
      <c r="K213" t="n">
        <v>708.9115338925218</v>
      </c>
      <c r="L213" t="n">
        <v>0.249999</v>
      </c>
      <c r="M213" t="n">
        <v>2835.6574782</v>
      </c>
      <c r="N213" t="inlineStr">
        <is>
          <t>PURRANQUE</t>
        </is>
      </c>
      <c r="O213" t="inlineStr">
        <is>
          <t>BS1A</t>
        </is>
      </c>
      <c r="P213" t="n">
        <v>2</v>
      </c>
    </row>
    <row r="214">
      <c r="A214" t="inlineStr">
        <is>
          <t>R_G</t>
        </is>
      </c>
      <c r="B214" t="inlineStr">
        <is>
          <t>01-12-2020</t>
        </is>
      </c>
      <c r="C214" t="n">
        <v>2020</v>
      </c>
      <c r="D214" t="n">
        <v>1</v>
      </c>
      <c r="E214" t="inlineStr">
        <is>
          <t>CAREN</t>
        </is>
      </c>
      <c r="F214" t="inlineStr">
        <is>
          <t>SUM_SAESA_A</t>
        </is>
      </c>
      <c r="G214" t="inlineStr">
        <is>
          <t>A</t>
        </is>
      </c>
      <c r="H214" t="inlineStr">
        <is>
          <t>SAESA</t>
        </is>
      </c>
      <c r="I214" t="inlineStr">
        <is>
          <t>SAESPVARBLOQA</t>
        </is>
      </c>
      <c r="J214" t="inlineStr">
        <is>
          <t>P.VARAS</t>
        </is>
      </c>
      <c r="K214" t="n">
        <v>2187.450627072492</v>
      </c>
      <c r="L214" t="n">
        <v>0.249999</v>
      </c>
      <c r="M214" t="n">
        <v>8749.837507640001</v>
      </c>
      <c r="N214" t="inlineStr">
        <is>
          <t>PUERTO VARAS</t>
        </is>
      </c>
      <c r="O214" t="inlineStr">
        <is>
          <t>BS1A</t>
        </is>
      </c>
      <c r="P214" t="n">
        <v>2</v>
      </c>
    </row>
    <row r="215">
      <c r="A215" t="inlineStr">
        <is>
          <t>R_G</t>
        </is>
      </c>
      <c r="B215" t="inlineStr">
        <is>
          <t>01-12-2020</t>
        </is>
      </c>
      <c r="C215" t="n">
        <v>2020</v>
      </c>
      <c r="D215" t="n">
        <v>1</v>
      </c>
      <c r="E215" t="inlineStr">
        <is>
          <t>CAREN</t>
        </is>
      </c>
      <c r="F215" t="inlineStr">
        <is>
          <t>SUM_SAESA_A</t>
        </is>
      </c>
      <c r="G215" t="inlineStr">
        <is>
          <t>A</t>
        </is>
      </c>
      <c r="H215" t="inlineStr">
        <is>
          <t>SAESA</t>
        </is>
      </c>
      <c r="I215" t="inlineStr">
        <is>
          <t>SAESQUELBLOQA</t>
        </is>
      </c>
      <c r="J215" t="inlineStr">
        <is>
          <t>QUELLON</t>
        </is>
      </c>
      <c r="K215" t="n">
        <v>1184.135894359976</v>
      </c>
      <c r="L215" t="n">
        <v>0.249999</v>
      </c>
      <c r="M215" t="n">
        <v>4736.56252369</v>
      </c>
      <c r="N215" t="inlineStr">
        <is>
          <t>QUELLON</t>
        </is>
      </c>
      <c r="O215" t="inlineStr">
        <is>
          <t>BS1A</t>
        </is>
      </c>
      <c r="P215" t="n">
        <v>2</v>
      </c>
    </row>
    <row r="216">
      <c r="A216" t="inlineStr">
        <is>
          <t>R_G</t>
        </is>
      </c>
      <c r="B216" t="inlineStr">
        <is>
          <t>01-12-2020</t>
        </is>
      </c>
      <c r="C216" t="n">
        <v>2020</v>
      </c>
      <c r="D216" t="n">
        <v>1</v>
      </c>
      <c r="E216" t="inlineStr">
        <is>
          <t>CAREN</t>
        </is>
      </c>
      <c r="F216" t="inlineStr">
        <is>
          <t>SUM_SAESA_A</t>
        </is>
      </c>
      <c r="G216" t="inlineStr">
        <is>
          <t>A</t>
        </is>
      </c>
      <c r="H216" t="inlineStr">
        <is>
          <t>SAESA</t>
        </is>
      </c>
      <c r="I216" t="inlineStr">
        <is>
          <t>SAESSANGBLOQA</t>
        </is>
      </c>
      <c r="J216" t="inlineStr">
        <is>
          <t>SANGRA</t>
        </is>
      </c>
      <c r="K216" t="n">
        <v>913.146826890582</v>
      </c>
      <c r="L216" t="n">
        <v>0.249999</v>
      </c>
      <c r="M216" t="n">
        <v>3652.60191797</v>
      </c>
      <c r="N216" t="inlineStr">
        <is>
          <t>SANGRA 23</t>
        </is>
      </c>
      <c r="O216" t="inlineStr">
        <is>
          <t>BS1A</t>
        </is>
      </c>
      <c r="P216" t="n">
        <v>2</v>
      </c>
    </row>
    <row r="217">
      <c r="A217" t="inlineStr">
        <is>
          <t>R_G</t>
        </is>
      </c>
      <c r="B217" t="inlineStr">
        <is>
          <t>01-12-2020</t>
        </is>
      </c>
      <c r="C217" t="n">
        <v>2020</v>
      </c>
      <c r="D217" t="n">
        <v>1</v>
      </c>
      <c r="E217" t="inlineStr">
        <is>
          <t>CAREN</t>
        </is>
      </c>
      <c r="F217" t="inlineStr">
        <is>
          <t>SUM_SAESA_A</t>
        </is>
      </c>
      <c r="G217" t="inlineStr">
        <is>
          <t>A</t>
        </is>
      </c>
      <c r="H217" t="inlineStr">
        <is>
          <t>SAESA</t>
        </is>
      </c>
      <c r="I217" t="inlineStr">
        <is>
          <t>SAESVALDENBLOQA</t>
        </is>
      </c>
      <c r="J217" t="inlineStr">
        <is>
          <t>VALDIVIA</t>
        </is>
      </c>
      <c r="K217" t="n">
        <v>2093.405252097997</v>
      </c>
      <c r="L217" t="n">
        <v>0.249999</v>
      </c>
      <c r="M217" t="n">
        <v>8373.654503010001</v>
      </c>
      <c r="N217" t="inlineStr">
        <is>
          <t>VALDIVIA</t>
        </is>
      </c>
      <c r="O217" t="inlineStr">
        <is>
          <t>BS1A</t>
        </is>
      </c>
      <c r="P217" t="n">
        <v>2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AD2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IdContrato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Codigo</t>
        </is>
      </c>
      <c r="F1" s="1" t="inlineStr">
        <is>
          <t>DX</t>
        </is>
      </c>
      <c r="G1" s="1" t="inlineStr">
        <is>
          <t>NomEmpresaDistribuidora</t>
        </is>
      </c>
      <c r="H1" s="1" t="inlineStr">
        <is>
          <t>GX</t>
        </is>
      </c>
      <c r="I1" s="1" t="inlineStr">
        <is>
          <t>NomSuministrador</t>
        </is>
      </c>
      <c r="J1" s="1" t="inlineStr">
        <is>
          <t>CodigoContrato</t>
        </is>
      </c>
      <c r="K1" s="1" t="inlineStr">
        <is>
          <t>PuntoRetiro</t>
        </is>
      </c>
      <c r="L1" s="1" t="inlineStr">
        <is>
          <t>Contrato</t>
        </is>
      </c>
      <c r="M1" s="1" t="inlineStr">
        <is>
          <t>Energia_kWh</t>
        </is>
      </c>
      <c r="N1" s="1" t="inlineStr">
        <is>
          <t>Potencia_kW</t>
        </is>
      </c>
      <c r="O1" s="1" t="inlineStr">
        <is>
          <t>Sistema</t>
        </is>
      </c>
      <c r="P1" s="1" t="inlineStr">
        <is>
          <t>DataCreated</t>
        </is>
      </c>
      <c r="Q1" s="1" t="inlineStr">
        <is>
          <t>IdBarra</t>
        </is>
      </c>
      <c r="R1" s="1" t="inlineStr">
        <is>
          <t>NomBarra</t>
        </is>
      </c>
      <c r="S1" s="1" t="inlineStr">
        <is>
          <t>Energia</t>
        </is>
      </c>
      <c r="T1" s="1" t="inlineStr">
        <is>
          <t>PrecioEnergia</t>
        </is>
      </c>
      <c r="U1" s="1" t="inlineStr">
        <is>
          <t>PrecioEnergiaAjustado</t>
        </is>
      </c>
      <c r="V1" s="1" t="inlineStr">
        <is>
          <t>TotalEnergia</t>
        </is>
      </c>
      <c r="W1" s="1" t="inlineStr">
        <is>
          <t>TotalEnergiaAjustado</t>
        </is>
      </c>
      <c r="X1" s="1" t="inlineStr">
        <is>
          <t>Potencia</t>
        </is>
      </c>
      <c r="Y1" s="1" t="inlineStr">
        <is>
          <t>PrecioPotencia</t>
        </is>
      </c>
      <c r="Z1" s="1" t="inlineStr">
        <is>
          <t>PrecioPotenciaAjustado</t>
        </is>
      </c>
      <c r="AA1" s="1" t="inlineStr">
        <is>
          <t>TotalPotencia</t>
        </is>
      </c>
      <c r="AB1" s="1" t="inlineStr">
        <is>
          <t>TotalPotenciaAjustado</t>
        </is>
      </c>
      <c r="AC1" s="1" t="inlineStr">
        <is>
          <t>EmpresaDistribuidora</t>
        </is>
      </c>
      <c r="AD1" s="1" t="inlineStr">
        <is>
          <t>Fecha</t>
        </is>
      </c>
    </row>
    <row r="2">
      <c r="B2" s="2" t="n">
        <v>42370</v>
      </c>
    </row>
    <row r="3">
      <c r="B3" s="2" t="n">
        <v>42401</v>
      </c>
    </row>
    <row r="4">
      <c r="B4" s="2" t="n">
        <v>42430</v>
      </c>
    </row>
    <row r="5">
      <c r="B5" s="2" t="n">
        <v>42461</v>
      </c>
    </row>
    <row r="6">
      <c r="B6" s="2" t="n">
        <v>42491</v>
      </c>
    </row>
    <row r="7">
      <c r="B7" s="2" t="n">
        <v>42522</v>
      </c>
    </row>
    <row r="8">
      <c r="B8" s="2" t="n">
        <v>42552</v>
      </c>
    </row>
    <row r="9">
      <c r="B9" s="2" t="n">
        <v>42583</v>
      </c>
    </row>
    <row r="10">
      <c r="B10" s="2" t="n">
        <v>42614</v>
      </c>
    </row>
    <row r="11">
      <c r="B11" s="2" t="n">
        <v>42644</v>
      </c>
    </row>
    <row r="12">
      <c r="B12" s="2" t="n">
        <v>42675</v>
      </c>
    </row>
    <row r="13">
      <c r="B13" s="2" t="n">
        <v>42705</v>
      </c>
    </row>
    <row r="14">
      <c r="B14" s="2" t="n">
        <v>42736</v>
      </c>
    </row>
    <row r="15">
      <c r="B15" s="2" t="n">
        <v>42767</v>
      </c>
    </row>
    <row r="16">
      <c r="B16" s="2" t="n">
        <v>42795</v>
      </c>
    </row>
    <row r="17">
      <c r="B17" s="2" t="n">
        <v>42826</v>
      </c>
    </row>
    <row r="18">
      <c r="B18" s="2" t="n">
        <v>42856</v>
      </c>
    </row>
    <row r="19">
      <c r="B19" s="2" t="n">
        <v>42887</v>
      </c>
    </row>
    <row r="20">
      <c r="B20" s="2" t="n">
        <v>42917</v>
      </c>
    </row>
    <row r="21">
      <c r="B21" s="2" t="n">
        <v>42948</v>
      </c>
    </row>
    <row r="22">
      <c r="B22" s="2" t="n">
        <v>42979</v>
      </c>
    </row>
    <row r="23">
      <c r="B23" s="2" t="n">
        <v>43009</v>
      </c>
    </row>
    <row r="24">
      <c r="B24" s="2" t="n">
        <v>43040</v>
      </c>
    </row>
    <row r="25">
      <c r="B25" s="2" t="n">
        <v>43070</v>
      </c>
    </row>
    <row r="26">
      <c r="B26" s="2" t="n">
        <v>43101</v>
      </c>
    </row>
    <row r="27">
      <c r="B27" s="2" t="n">
        <v>43132</v>
      </c>
    </row>
    <row r="28">
      <c r="B28" s="2" t="n">
        <v>43160</v>
      </c>
    </row>
    <row r="29">
      <c r="B29" s="2" t="n">
        <v>43191</v>
      </c>
    </row>
    <row r="30">
      <c r="B30" s="2" t="n">
        <v>43221</v>
      </c>
    </row>
    <row r="31">
      <c r="B31" s="2" t="n">
        <v>43252</v>
      </c>
    </row>
    <row r="32">
      <c r="B32" s="2" t="n">
        <v>43282</v>
      </c>
    </row>
    <row r="33">
      <c r="B33" s="2" t="n">
        <v>43313</v>
      </c>
    </row>
    <row r="34">
      <c r="B34" s="2" t="n">
        <v>43344</v>
      </c>
    </row>
    <row r="35">
      <c r="B35" s="2" t="n">
        <v>43374</v>
      </c>
    </row>
    <row r="36">
      <c r="B36" s="2" t="n">
        <v>43405</v>
      </c>
    </row>
    <row r="37">
      <c r="B37" s="2" t="n">
        <v>43435</v>
      </c>
    </row>
    <row r="38">
      <c r="B38" s="2" t="n">
        <v>43466</v>
      </c>
    </row>
    <row r="39">
      <c r="B39" s="2" t="n">
        <v>43497</v>
      </c>
    </row>
    <row r="40">
      <c r="B40" s="2" t="n">
        <v>43525</v>
      </c>
    </row>
    <row r="41">
      <c r="B41" s="2" t="n">
        <v>43556</v>
      </c>
    </row>
    <row r="42">
      <c r="B42" s="2" t="n">
        <v>43586</v>
      </c>
    </row>
    <row r="43">
      <c r="B43" s="2" t="n">
        <v>43617</v>
      </c>
    </row>
    <row r="44">
      <c r="B44" s="2" t="n">
        <v>43647</v>
      </c>
    </row>
    <row r="45">
      <c r="B45" s="2" t="n">
        <v>43678</v>
      </c>
    </row>
    <row r="46">
      <c r="B46" s="2" t="n">
        <v>43709</v>
      </c>
    </row>
    <row r="47">
      <c r="B47" s="2" t="n">
        <v>43739</v>
      </c>
    </row>
    <row r="48">
      <c r="B48" s="2" t="n">
        <v>43770</v>
      </c>
    </row>
    <row r="49">
      <c r="B49" s="2" t="n">
        <v>43800</v>
      </c>
    </row>
    <row r="50">
      <c r="B50" s="2" t="n">
        <v>43831</v>
      </c>
    </row>
    <row r="51">
      <c r="B51" s="2" t="n">
        <v>43862</v>
      </c>
    </row>
    <row r="52">
      <c r="B52" s="2" t="n">
        <v>43891</v>
      </c>
    </row>
    <row r="53">
      <c r="B53" s="2" t="n">
        <v>43922</v>
      </c>
    </row>
    <row r="54">
      <c r="B54" s="2" t="n">
        <v>43952</v>
      </c>
    </row>
    <row r="55">
      <c r="B55" s="2" t="n">
        <v>43983</v>
      </c>
    </row>
    <row r="56">
      <c r="B56" s="2" t="n">
        <v>44013</v>
      </c>
    </row>
    <row r="57">
      <c r="B57" s="2" t="n">
        <v>44044</v>
      </c>
    </row>
    <row r="58">
      <c r="B58" s="2" t="n">
        <v>44075</v>
      </c>
    </row>
    <row r="59">
      <c r="B59" s="2" t="n">
        <v>44105</v>
      </c>
    </row>
    <row r="60">
      <c r="B60" s="2" t="n">
        <v>44136</v>
      </c>
    </row>
    <row r="61">
      <c r="B61" s="2" t="n">
        <v>44166</v>
      </c>
    </row>
    <row r="62">
      <c r="B62" s="2" t="n">
        <v>44197</v>
      </c>
    </row>
    <row r="63">
      <c r="B63" s="2" t="n">
        <v>44228</v>
      </c>
    </row>
    <row r="64">
      <c r="B64" s="2" t="n">
        <v>44256</v>
      </c>
    </row>
    <row r="65">
      <c r="B65" s="2" t="n">
        <v>44287</v>
      </c>
    </row>
    <row r="66">
      <c r="B66" s="2" t="n">
        <v>44317</v>
      </c>
    </row>
    <row r="67">
      <c r="B67" s="2" t="n">
        <v>44348</v>
      </c>
    </row>
    <row r="68">
      <c r="B68" s="2" t="n">
        <v>44378</v>
      </c>
    </row>
    <row r="69">
      <c r="B69" s="2" t="n">
        <v>44409</v>
      </c>
    </row>
    <row r="70">
      <c r="B70" s="2" t="n">
        <v>44440</v>
      </c>
    </row>
    <row r="71">
      <c r="B71" s="2" t="n">
        <v>44470</v>
      </c>
    </row>
    <row r="72">
      <c r="B72" s="2" t="n">
        <v>44501</v>
      </c>
    </row>
    <row r="73">
      <c r="B73" s="2" t="n">
        <v>44531</v>
      </c>
    </row>
    <row r="74">
      <c r="B74" s="2" t="n">
        <v>44562</v>
      </c>
    </row>
    <row r="75">
      <c r="B75" s="2" t="n">
        <v>44593</v>
      </c>
    </row>
    <row r="76">
      <c r="B76" s="2" t="n">
        <v>44621</v>
      </c>
    </row>
    <row r="77">
      <c r="B77" s="2" t="n">
        <v>44652</v>
      </c>
    </row>
    <row r="78">
      <c r="B78" s="2" t="n">
        <v>44682</v>
      </c>
    </row>
    <row r="79">
      <c r="B79" s="2" t="n">
        <v>44713</v>
      </c>
    </row>
    <row r="80">
      <c r="B80" s="2" t="n">
        <v>44743</v>
      </c>
    </row>
    <row r="81">
      <c r="B81" s="2" t="n">
        <v>44774</v>
      </c>
    </row>
    <row r="82">
      <c r="B82" s="2" t="n">
        <v>44805</v>
      </c>
    </row>
    <row r="83">
      <c r="B83" s="2" t="n">
        <v>44835</v>
      </c>
    </row>
    <row r="84">
      <c r="B84" s="2" t="n">
        <v>44866</v>
      </c>
    </row>
    <row r="85">
      <c r="B85" s="2" t="n">
        <v>44896</v>
      </c>
    </row>
    <row r="86">
      <c r="B86" s="2" t="n">
        <v>44927</v>
      </c>
    </row>
    <row r="87">
      <c r="B87" s="2" t="n">
        <v>44958</v>
      </c>
    </row>
    <row r="88">
      <c r="B88" s="2" t="n">
        <v>44986</v>
      </c>
    </row>
    <row r="89">
      <c r="B89" s="2" t="n">
        <v>45017</v>
      </c>
    </row>
    <row r="90">
      <c r="B90" s="2" t="n">
        <v>45047</v>
      </c>
    </row>
    <row r="91">
      <c r="B91" s="2" t="n">
        <v>45078</v>
      </c>
    </row>
    <row r="92">
      <c r="B92" s="2" t="n">
        <v>45108</v>
      </c>
    </row>
    <row r="93">
      <c r="B93" s="2" t="n">
        <v>45139</v>
      </c>
    </row>
    <row r="94">
      <c r="B94" s="2" t="n">
        <v>45170</v>
      </c>
    </row>
    <row r="95">
      <c r="B95" s="2" t="n">
        <v>45200</v>
      </c>
    </row>
    <row r="96">
      <c r="B96" s="2" t="n">
        <v>45231</v>
      </c>
    </row>
    <row r="97">
      <c r="B97" s="2" t="n">
        <v>45261</v>
      </c>
    </row>
    <row r="98">
      <c r="B98" s="2" t="n">
        <v>45292</v>
      </c>
    </row>
    <row r="99">
      <c r="B99" s="2" t="n">
        <v>45323</v>
      </c>
    </row>
    <row r="100">
      <c r="B100" s="2" t="n">
        <v>45352</v>
      </c>
    </row>
    <row r="101">
      <c r="B101" s="2" t="n">
        <v>45383</v>
      </c>
    </row>
    <row r="102">
      <c r="B102" s="2" t="n">
        <v>45413</v>
      </c>
    </row>
    <row r="103">
      <c r="B103" s="2" t="n">
        <v>45444</v>
      </c>
    </row>
    <row r="104">
      <c r="B104" s="2" t="n">
        <v>45474</v>
      </c>
    </row>
    <row r="105">
      <c r="B105" s="2" t="n">
        <v>45505</v>
      </c>
    </row>
    <row r="106">
      <c r="B106" s="2" t="n">
        <v>45536</v>
      </c>
    </row>
    <row r="107">
      <c r="B107" s="2" t="n">
        <v>45566</v>
      </c>
    </row>
    <row r="108">
      <c r="B108" s="2" t="n">
        <v>45597</v>
      </c>
    </row>
    <row r="109">
      <c r="B109" s="2" t="n">
        <v>45627</v>
      </c>
    </row>
    <row r="110">
      <c r="B110" s="2" t="n">
        <v>45658</v>
      </c>
    </row>
    <row r="111">
      <c r="B111" s="2" t="n">
        <v>45689</v>
      </c>
    </row>
    <row r="112">
      <c r="B112" s="2" t="n">
        <v>45717</v>
      </c>
    </row>
    <row r="113">
      <c r="B113" s="2" t="n">
        <v>45748</v>
      </c>
    </row>
    <row r="114">
      <c r="B114" s="2" t="n">
        <v>45778</v>
      </c>
    </row>
    <row r="115">
      <c r="B115" s="2" t="n">
        <v>45809</v>
      </c>
    </row>
    <row r="116">
      <c r="B116" s="2" t="n">
        <v>45839</v>
      </c>
    </row>
    <row r="117">
      <c r="B117" s="2" t="n">
        <v>45870</v>
      </c>
    </row>
    <row r="118">
      <c r="B118" s="2" t="n">
        <v>45901</v>
      </c>
    </row>
    <row r="119">
      <c r="B119" s="2" t="n">
        <v>45931</v>
      </c>
    </row>
    <row r="120">
      <c r="B120" s="2" t="n">
        <v>45962</v>
      </c>
    </row>
    <row r="121">
      <c r="B121" s="2" t="n">
        <v>45992</v>
      </c>
    </row>
    <row r="122">
      <c r="B122" s="2" t="n">
        <v>46023</v>
      </c>
    </row>
    <row r="123">
      <c r="B123" s="2" t="n">
        <v>46054</v>
      </c>
    </row>
    <row r="124">
      <c r="B124" s="2" t="n">
        <v>46082</v>
      </c>
    </row>
    <row r="125">
      <c r="B125" s="2" t="n">
        <v>46113</v>
      </c>
    </row>
    <row r="126">
      <c r="B126" s="2" t="n">
        <v>46143</v>
      </c>
    </row>
    <row r="127">
      <c r="B127" s="2" t="n">
        <v>46174</v>
      </c>
    </row>
    <row r="128">
      <c r="B128" s="2" t="n">
        <v>46204</v>
      </c>
    </row>
    <row r="129">
      <c r="B129" s="2" t="n">
        <v>46235</v>
      </c>
    </row>
    <row r="130">
      <c r="B130" s="2" t="n">
        <v>46266</v>
      </c>
    </row>
    <row r="131">
      <c r="B131" s="2" t="n">
        <v>46296</v>
      </c>
    </row>
    <row r="132">
      <c r="B132" s="2" t="n">
        <v>46327</v>
      </c>
    </row>
    <row r="133">
      <c r="B133" s="2" t="n">
        <v>46357</v>
      </c>
    </row>
    <row r="134">
      <c r="B134" s="2" t="n">
        <v>46388</v>
      </c>
    </row>
    <row r="135">
      <c r="B135" s="2" t="n">
        <v>46419</v>
      </c>
    </row>
    <row r="136">
      <c r="B136" s="2" t="n">
        <v>46447</v>
      </c>
    </row>
    <row r="137">
      <c r="B137" s="2" t="n">
        <v>46478</v>
      </c>
    </row>
    <row r="138">
      <c r="B138" s="2" t="n">
        <v>46508</v>
      </c>
    </row>
    <row r="139">
      <c r="B139" s="2" t="n">
        <v>46539</v>
      </c>
    </row>
    <row r="140">
      <c r="B140" s="2" t="n">
        <v>46569</v>
      </c>
    </row>
    <row r="141">
      <c r="B141" s="2" t="n">
        <v>46600</v>
      </c>
    </row>
    <row r="142">
      <c r="B142" s="2" t="n">
        <v>46631</v>
      </c>
    </row>
    <row r="143">
      <c r="B143" s="2" t="n">
        <v>46661</v>
      </c>
    </row>
    <row r="144">
      <c r="B144" s="2" t="n">
        <v>46692</v>
      </c>
    </row>
    <row r="145">
      <c r="B145" s="2" t="n">
        <v>46722</v>
      </c>
    </row>
    <row r="146">
      <c r="B146" s="2" t="n">
        <v>46753</v>
      </c>
    </row>
    <row r="147">
      <c r="B147" s="2" t="n">
        <v>46784</v>
      </c>
    </row>
    <row r="148">
      <c r="B148" s="2" t="n">
        <v>46813</v>
      </c>
    </row>
    <row r="149">
      <c r="B149" s="2" t="n">
        <v>46844</v>
      </c>
    </row>
    <row r="150">
      <c r="B150" s="2" t="n">
        <v>46874</v>
      </c>
    </row>
    <row r="151">
      <c r="B151" s="2" t="n">
        <v>46905</v>
      </c>
    </row>
    <row r="152">
      <c r="B152" s="2" t="n">
        <v>46935</v>
      </c>
    </row>
    <row r="153">
      <c r="B153" s="2" t="n">
        <v>46966</v>
      </c>
    </row>
    <row r="154">
      <c r="B154" s="2" t="n">
        <v>46997</v>
      </c>
    </row>
    <row r="155">
      <c r="B155" s="2" t="n">
        <v>47027</v>
      </c>
    </row>
    <row r="156">
      <c r="B156" s="2" t="n">
        <v>47058</v>
      </c>
    </row>
    <row r="157">
      <c r="B157" s="2" t="n">
        <v>47088</v>
      </c>
    </row>
    <row r="158">
      <c r="B158" s="2" t="n">
        <v>47119</v>
      </c>
    </row>
    <row r="159">
      <c r="B159" s="2" t="n">
        <v>47150</v>
      </c>
    </row>
    <row r="160">
      <c r="B160" s="2" t="n">
        <v>47178</v>
      </c>
    </row>
    <row r="161">
      <c r="B161" s="2" t="n">
        <v>47209</v>
      </c>
    </row>
    <row r="162">
      <c r="B162" s="2" t="n">
        <v>47239</v>
      </c>
    </row>
    <row r="163">
      <c r="B163" s="2" t="n">
        <v>47270</v>
      </c>
    </row>
    <row r="164">
      <c r="B164" s="2" t="n">
        <v>47300</v>
      </c>
    </row>
    <row r="165">
      <c r="B165" s="2" t="n">
        <v>47331</v>
      </c>
    </row>
    <row r="166">
      <c r="B166" s="2" t="n">
        <v>47362</v>
      </c>
    </row>
    <row r="167">
      <c r="B167" s="2" t="n">
        <v>47392</v>
      </c>
    </row>
    <row r="168">
      <c r="B168" s="2" t="n">
        <v>47423</v>
      </c>
    </row>
    <row r="169">
      <c r="B169" s="2" t="n">
        <v>47453</v>
      </c>
    </row>
    <row r="170">
      <c r="B170" s="2" t="n">
        <v>47484</v>
      </c>
    </row>
    <row r="171">
      <c r="B171" s="2" t="n">
        <v>47515</v>
      </c>
    </row>
    <row r="172">
      <c r="B172" s="2" t="n">
        <v>47543</v>
      </c>
    </row>
    <row r="173">
      <c r="B173" s="2" t="n">
        <v>47574</v>
      </c>
    </row>
    <row r="174">
      <c r="B174" s="2" t="n">
        <v>47604</v>
      </c>
    </row>
    <row r="175">
      <c r="B175" s="2" t="n">
        <v>47635</v>
      </c>
    </row>
    <row r="176">
      <c r="B176" s="2" t="n">
        <v>47665</v>
      </c>
    </row>
    <row r="177">
      <c r="B177" s="2" t="n">
        <v>47696</v>
      </c>
    </row>
    <row r="178">
      <c r="B178" s="2" t="n">
        <v>47727</v>
      </c>
    </row>
    <row r="179">
      <c r="B179" s="2" t="n">
        <v>47757</v>
      </c>
    </row>
    <row r="180">
      <c r="B180" s="2" t="n">
        <v>47788</v>
      </c>
    </row>
    <row r="181">
      <c r="B181" s="2" t="n">
        <v>47818</v>
      </c>
    </row>
    <row r="182">
      <c r="B182" s="2" t="n">
        <v>47849</v>
      </c>
    </row>
    <row r="183">
      <c r="B183" s="2" t="n">
        <v>47880</v>
      </c>
    </row>
    <row r="184">
      <c r="B184" s="2" t="n">
        <v>47908</v>
      </c>
    </row>
    <row r="185">
      <c r="B185" s="2" t="n">
        <v>47939</v>
      </c>
    </row>
    <row r="186">
      <c r="B186" s="2" t="n">
        <v>47969</v>
      </c>
    </row>
    <row r="187">
      <c r="B187" s="2" t="n">
        <v>48000</v>
      </c>
    </row>
    <row r="188">
      <c r="B188" s="2" t="n">
        <v>48030</v>
      </c>
    </row>
    <row r="189">
      <c r="B189" s="2" t="n">
        <v>48061</v>
      </c>
    </row>
    <row r="190">
      <c r="B190" s="2" t="n">
        <v>48092</v>
      </c>
    </row>
    <row r="191">
      <c r="B191" s="2" t="n">
        <v>48122</v>
      </c>
    </row>
    <row r="192">
      <c r="B192" s="2" t="n">
        <v>48153</v>
      </c>
    </row>
    <row r="193">
      <c r="B193" s="2" t="n">
        <v>48183</v>
      </c>
    </row>
    <row r="194">
      <c r="B194" s="2" t="n">
        <v>48214</v>
      </c>
    </row>
    <row r="195">
      <c r="B195" s="2" t="n">
        <v>48245</v>
      </c>
    </row>
    <row r="196">
      <c r="B196" s="2" t="n">
        <v>48274</v>
      </c>
    </row>
    <row r="197">
      <c r="B197" s="2" t="n">
        <v>48305</v>
      </c>
    </row>
    <row r="198">
      <c r="B198" s="2" t="n">
        <v>48335</v>
      </c>
    </row>
    <row r="199">
      <c r="B199" s="2" t="n">
        <v>48366</v>
      </c>
    </row>
    <row r="200">
      <c r="B200" s="2" t="n">
        <v>48396</v>
      </c>
    </row>
    <row r="201">
      <c r="B201" s="2" t="n">
        <v>48427</v>
      </c>
    </row>
    <row r="202">
      <c r="B202" s="2" t="n">
        <v>48458</v>
      </c>
    </row>
    <row r="203">
      <c r="B203" s="2" t="n">
        <v>48488</v>
      </c>
    </row>
    <row r="204">
      <c r="B204" s="2" t="n">
        <v>48519</v>
      </c>
    </row>
    <row r="205">
      <c r="B205" s="2" t="n">
        <v>48549</v>
      </c>
    </row>
    <row r="206">
      <c r="B206" s="2" t="n">
        <v>48580</v>
      </c>
    </row>
    <row r="207">
      <c r="B207" s="2" t="n">
        <v>48611</v>
      </c>
    </row>
    <row r="208">
      <c r="B208" s="2" t="n">
        <v>48639</v>
      </c>
    </row>
    <row r="209">
      <c r="B209" s="2" t="n">
        <v>48670</v>
      </c>
    </row>
    <row r="210">
      <c r="B210" s="2" t="n">
        <v>48700</v>
      </c>
    </row>
    <row r="211">
      <c r="B211" s="2" t="n">
        <v>48731</v>
      </c>
    </row>
    <row r="212">
      <c r="B212" s="2" t="n">
        <v>48761</v>
      </c>
    </row>
    <row r="213">
      <c r="B213" s="2" t="n">
        <v>48792</v>
      </c>
    </row>
    <row r="214">
      <c r="B214" s="2" t="n">
        <v>48823</v>
      </c>
    </row>
    <row r="215">
      <c r="B215" s="2" t="n">
        <v>48853</v>
      </c>
    </row>
    <row r="216">
      <c r="B216" s="2" t="n">
        <v>48884</v>
      </c>
    </row>
    <row r="217">
      <c r="B217" s="2" t="n">
        <v>48914</v>
      </c>
    </row>
    <row r="218">
      <c r="B218" s="2" t="n">
        <v>48945</v>
      </c>
    </row>
    <row r="219">
      <c r="B219" s="2" t="n">
        <v>48976</v>
      </c>
    </row>
    <row r="220">
      <c r="B220" s="2" t="n">
        <v>49004</v>
      </c>
    </row>
    <row r="221">
      <c r="B221" s="2" t="n">
        <v>49035</v>
      </c>
    </row>
    <row r="222">
      <c r="B222" s="2" t="n">
        <v>49065</v>
      </c>
    </row>
    <row r="223">
      <c r="B223" s="2" t="n">
        <v>49096</v>
      </c>
    </row>
    <row r="224">
      <c r="B224" s="2" t="n">
        <v>49126</v>
      </c>
    </row>
    <row r="225">
      <c r="B225" s="2" t="n">
        <v>49157</v>
      </c>
    </row>
    <row r="226">
      <c r="B226" s="2" t="n">
        <v>49188</v>
      </c>
    </row>
    <row r="227">
      <c r="B227" s="2" t="n">
        <v>49218</v>
      </c>
    </row>
    <row r="228">
      <c r="B228" s="2" t="n">
        <v>49249</v>
      </c>
    </row>
    <row r="229">
      <c r="B229" s="2" t="n">
        <v>49279</v>
      </c>
    </row>
    <row r="230">
      <c r="B230" s="2" t="n">
        <v>49310</v>
      </c>
    </row>
    <row r="231">
      <c r="B231" s="2" t="n">
        <v>49341</v>
      </c>
    </row>
    <row r="232">
      <c r="B232" s="2" t="n">
        <v>49369</v>
      </c>
    </row>
    <row r="233">
      <c r="B233" s="2" t="n">
        <v>49400</v>
      </c>
    </row>
    <row r="234">
      <c r="B234" s="2" t="n">
        <v>49430</v>
      </c>
    </row>
    <row r="235">
      <c r="B235" s="2" t="n">
        <v>49461</v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AD2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IdContrato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Codigo</t>
        </is>
      </c>
      <c r="F1" s="1" t="inlineStr">
        <is>
          <t>DX</t>
        </is>
      </c>
      <c r="G1" s="1" t="inlineStr">
        <is>
          <t>NomEmpresaDistribuidora</t>
        </is>
      </c>
      <c r="H1" s="1" t="inlineStr">
        <is>
          <t>GX</t>
        </is>
      </c>
      <c r="I1" s="1" t="inlineStr">
        <is>
          <t>NomSuministrador</t>
        </is>
      </c>
      <c r="J1" s="1" t="inlineStr">
        <is>
          <t>CodigoContrato</t>
        </is>
      </c>
      <c r="K1" s="1" t="inlineStr">
        <is>
          <t>PuntoRetiro</t>
        </is>
      </c>
      <c r="L1" s="1" t="inlineStr">
        <is>
          <t>Contrato</t>
        </is>
      </c>
      <c r="M1" s="1" t="inlineStr">
        <is>
          <t>Energia_kWh</t>
        </is>
      </c>
      <c r="N1" s="1" t="inlineStr">
        <is>
          <t>Potencia_kW</t>
        </is>
      </c>
      <c r="O1" s="1" t="inlineStr">
        <is>
          <t>Sistema</t>
        </is>
      </c>
      <c r="P1" s="1" t="inlineStr">
        <is>
          <t>DataCreated</t>
        </is>
      </c>
      <c r="Q1" s="1" t="inlineStr">
        <is>
          <t>IdBarra</t>
        </is>
      </c>
      <c r="R1" s="1" t="inlineStr">
        <is>
          <t>NomBarra</t>
        </is>
      </c>
      <c r="S1" s="1" t="inlineStr">
        <is>
          <t>Energia</t>
        </is>
      </c>
      <c r="T1" s="1" t="inlineStr">
        <is>
          <t>PrecioEnergia</t>
        </is>
      </c>
      <c r="U1" s="1" t="inlineStr">
        <is>
          <t>PrecioEnergiaAjustado</t>
        </is>
      </c>
      <c r="V1" s="1" t="inlineStr">
        <is>
          <t>TotalEnergia</t>
        </is>
      </c>
      <c r="W1" s="1" t="inlineStr">
        <is>
          <t>TotalEnergiaAjustado</t>
        </is>
      </c>
      <c r="X1" s="1" t="inlineStr">
        <is>
          <t>Potencia</t>
        </is>
      </c>
      <c r="Y1" s="1" t="inlineStr">
        <is>
          <t>PrecioPotencia</t>
        </is>
      </c>
      <c r="Z1" s="1" t="inlineStr">
        <is>
          <t>PrecioPotenciaAjustado</t>
        </is>
      </c>
      <c r="AA1" s="1" t="inlineStr">
        <is>
          <t>TotalPotencia</t>
        </is>
      </c>
      <c r="AB1" s="1" t="inlineStr">
        <is>
          <t>TotalPotenciaAjustado</t>
        </is>
      </c>
      <c r="AC1" s="1" t="inlineStr">
        <is>
          <t>EmpresaDistribuidora</t>
        </is>
      </c>
      <c r="AD1" s="1" t="inlineStr">
        <is>
          <t>Fecha</t>
        </is>
      </c>
    </row>
    <row r="2">
      <c r="B2" s="2" t="n">
        <v>42370</v>
      </c>
    </row>
    <row r="3">
      <c r="B3" s="2" t="n">
        <v>42401</v>
      </c>
    </row>
    <row r="4">
      <c r="B4" s="2" t="n">
        <v>42430</v>
      </c>
    </row>
    <row r="5">
      <c r="B5" s="2" t="n">
        <v>42461</v>
      </c>
    </row>
    <row r="6">
      <c r="B6" s="2" t="n">
        <v>42491</v>
      </c>
    </row>
    <row r="7">
      <c r="B7" s="2" t="n">
        <v>42522</v>
      </c>
    </row>
    <row r="8">
      <c r="B8" s="2" t="n">
        <v>42552</v>
      </c>
    </row>
    <row r="9">
      <c r="B9" s="2" t="n">
        <v>42583</v>
      </c>
    </row>
    <row r="10">
      <c r="B10" s="2" t="n">
        <v>42614</v>
      </c>
    </row>
    <row r="11">
      <c r="B11" s="2" t="n">
        <v>42644</v>
      </c>
    </row>
    <row r="12">
      <c r="B12" s="2" t="n">
        <v>42675</v>
      </c>
    </row>
    <row r="13">
      <c r="B13" s="2" t="n">
        <v>42705</v>
      </c>
    </row>
    <row r="14">
      <c r="B14" s="2" t="n">
        <v>42736</v>
      </c>
    </row>
    <row r="15">
      <c r="B15" s="2" t="n">
        <v>42767</v>
      </c>
    </row>
    <row r="16">
      <c r="B16" s="2" t="n">
        <v>42795</v>
      </c>
    </row>
    <row r="17">
      <c r="B17" s="2" t="n">
        <v>42826</v>
      </c>
    </row>
    <row r="18">
      <c r="B18" s="2" t="n">
        <v>42856</v>
      </c>
    </row>
    <row r="19">
      <c r="B19" s="2" t="n">
        <v>42887</v>
      </c>
    </row>
    <row r="20">
      <c r="B20" s="2" t="n">
        <v>42917</v>
      </c>
    </row>
    <row r="21">
      <c r="B21" s="2" t="n">
        <v>42948</v>
      </c>
    </row>
    <row r="22">
      <c r="B22" s="2" t="n">
        <v>42979</v>
      </c>
    </row>
    <row r="23">
      <c r="B23" s="2" t="n">
        <v>43009</v>
      </c>
    </row>
    <row r="24">
      <c r="B24" s="2" t="n">
        <v>43040</v>
      </c>
    </row>
    <row r="25">
      <c r="B25" s="2" t="n">
        <v>43070</v>
      </c>
    </row>
    <row r="26">
      <c r="B26" s="2" t="n">
        <v>43101</v>
      </c>
    </row>
    <row r="27">
      <c r="B27" s="2" t="n">
        <v>43132</v>
      </c>
    </row>
    <row r="28">
      <c r="B28" s="2" t="n">
        <v>43160</v>
      </c>
    </row>
    <row r="29">
      <c r="B29" s="2" t="n">
        <v>43191</v>
      </c>
    </row>
    <row r="30">
      <c r="B30" s="2" t="n">
        <v>43221</v>
      </c>
    </row>
    <row r="31">
      <c r="B31" s="2" t="n">
        <v>43252</v>
      </c>
    </row>
    <row r="32">
      <c r="B32" s="2" t="n">
        <v>43282</v>
      </c>
    </row>
    <row r="33">
      <c r="B33" s="2" t="n">
        <v>43313</v>
      </c>
    </row>
    <row r="34">
      <c r="B34" s="2" t="n">
        <v>43344</v>
      </c>
    </row>
    <row r="35">
      <c r="B35" s="2" t="n">
        <v>43374</v>
      </c>
    </row>
    <row r="36">
      <c r="B36" s="2" t="n">
        <v>43405</v>
      </c>
    </row>
    <row r="37">
      <c r="B37" s="2" t="n">
        <v>43435</v>
      </c>
    </row>
    <row r="38">
      <c r="B38" s="2" t="n">
        <v>43466</v>
      </c>
    </row>
    <row r="39">
      <c r="B39" s="2" t="n">
        <v>43497</v>
      </c>
    </row>
    <row r="40">
      <c r="B40" s="2" t="n">
        <v>43525</v>
      </c>
    </row>
    <row r="41">
      <c r="B41" s="2" t="n">
        <v>43556</v>
      </c>
    </row>
    <row r="42">
      <c r="B42" s="2" t="n">
        <v>43586</v>
      </c>
    </row>
    <row r="43">
      <c r="B43" s="2" t="n">
        <v>43617</v>
      </c>
    </row>
    <row r="44">
      <c r="B44" s="2" t="n">
        <v>43647</v>
      </c>
    </row>
    <row r="45">
      <c r="B45" s="2" t="n">
        <v>43678</v>
      </c>
    </row>
    <row r="46">
      <c r="B46" s="2" t="n">
        <v>43709</v>
      </c>
    </row>
    <row r="47">
      <c r="B47" s="2" t="n">
        <v>43739</v>
      </c>
    </row>
    <row r="48">
      <c r="B48" s="2" t="n">
        <v>43770</v>
      </c>
    </row>
    <row r="49">
      <c r="B49" s="2" t="n">
        <v>43800</v>
      </c>
    </row>
    <row r="50">
      <c r="B50" s="2" t="n">
        <v>43831</v>
      </c>
    </row>
    <row r="51">
      <c r="B51" s="2" t="n">
        <v>43862</v>
      </c>
    </row>
    <row r="52">
      <c r="B52" s="2" t="n">
        <v>43891</v>
      </c>
    </row>
    <row r="53">
      <c r="B53" s="2" t="n">
        <v>43922</v>
      </c>
    </row>
    <row r="54">
      <c r="B54" s="2" t="n">
        <v>43952</v>
      </c>
    </row>
    <row r="55">
      <c r="B55" s="2" t="n">
        <v>43983</v>
      </c>
    </row>
    <row r="56">
      <c r="B56" s="2" t="n">
        <v>44013</v>
      </c>
    </row>
    <row r="57">
      <c r="B57" s="2" t="n">
        <v>44044</v>
      </c>
    </row>
    <row r="58">
      <c r="B58" s="2" t="n">
        <v>44075</v>
      </c>
    </row>
    <row r="59">
      <c r="B59" s="2" t="n">
        <v>44105</v>
      </c>
    </row>
    <row r="60">
      <c r="B60" s="2" t="n">
        <v>44136</v>
      </c>
    </row>
    <row r="61">
      <c r="B61" s="2" t="n">
        <v>44166</v>
      </c>
    </row>
    <row r="62">
      <c r="B62" s="2" t="n">
        <v>44197</v>
      </c>
    </row>
    <row r="63">
      <c r="B63" s="2" t="n">
        <v>44228</v>
      </c>
    </row>
    <row r="64">
      <c r="B64" s="2" t="n">
        <v>44256</v>
      </c>
    </row>
    <row r="65">
      <c r="B65" s="2" t="n">
        <v>44287</v>
      </c>
    </row>
    <row r="66">
      <c r="B66" s="2" t="n">
        <v>44317</v>
      </c>
    </row>
    <row r="67">
      <c r="B67" s="2" t="n">
        <v>44348</v>
      </c>
    </row>
    <row r="68">
      <c r="B68" s="2" t="n">
        <v>44378</v>
      </c>
    </row>
    <row r="69">
      <c r="B69" s="2" t="n">
        <v>44409</v>
      </c>
    </row>
    <row r="70">
      <c r="B70" s="2" t="n">
        <v>44440</v>
      </c>
    </row>
    <row r="71">
      <c r="B71" s="2" t="n">
        <v>44470</v>
      </c>
    </row>
    <row r="72">
      <c r="B72" s="2" t="n">
        <v>44501</v>
      </c>
    </row>
    <row r="73">
      <c r="B73" s="2" t="n">
        <v>44531</v>
      </c>
    </row>
    <row r="74">
      <c r="B74" s="2" t="n">
        <v>44562</v>
      </c>
    </row>
    <row r="75">
      <c r="B75" s="2" t="n">
        <v>44593</v>
      </c>
    </row>
    <row r="76">
      <c r="B76" s="2" t="n">
        <v>44621</v>
      </c>
    </row>
    <row r="77">
      <c r="B77" s="2" t="n">
        <v>44652</v>
      </c>
    </row>
    <row r="78">
      <c r="B78" s="2" t="n">
        <v>44682</v>
      </c>
    </row>
    <row r="79">
      <c r="B79" s="2" t="n">
        <v>44713</v>
      </c>
    </row>
    <row r="80">
      <c r="B80" s="2" t="n">
        <v>44743</v>
      </c>
    </row>
    <row r="81">
      <c r="B81" s="2" t="n">
        <v>44774</v>
      </c>
    </row>
    <row r="82">
      <c r="B82" s="2" t="n">
        <v>44805</v>
      </c>
    </row>
    <row r="83">
      <c r="B83" s="2" t="n">
        <v>44835</v>
      </c>
    </row>
    <row r="84">
      <c r="B84" s="2" t="n">
        <v>44866</v>
      </c>
    </row>
    <row r="85">
      <c r="B85" s="2" t="n">
        <v>44896</v>
      </c>
    </row>
    <row r="86">
      <c r="B86" s="2" t="n">
        <v>44927</v>
      </c>
    </row>
    <row r="87">
      <c r="B87" s="2" t="n">
        <v>44958</v>
      </c>
    </row>
    <row r="88">
      <c r="B88" s="2" t="n">
        <v>44986</v>
      </c>
    </row>
    <row r="89">
      <c r="B89" s="2" t="n">
        <v>45017</v>
      </c>
    </row>
    <row r="90">
      <c r="B90" s="2" t="n">
        <v>45047</v>
      </c>
    </row>
    <row r="91">
      <c r="B91" s="2" t="n">
        <v>45078</v>
      </c>
    </row>
    <row r="92">
      <c r="B92" s="2" t="n">
        <v>45108</v>
      </c>
    </row>
    <row r="93">
      <c r="B93" s="2" t="n">
        <v>45139</v>
      </c>
    </row>
    <row r="94">
      <c r="B94" s="2" t="n">
        <v>45170</v>
      </c>
    </row>
    <row r="95">
      <c r="B95" s="2" t="n">
        <v>45200</v>
      </c>
    </row>
    <row r="96">
      <c r="B96" s="2" t="n">
        <v>45231</v>
      </c>
    </row>
    <row r="97">
      <c r="B97" s="2" t="n">
        <v>45261</v>
      </c>
    </row>
    <row r="98">
      <c r="B98" s="2" t="n">
        <v>45292</v>
      </c>
    </row>
    <row r="99">
      <c r="B99" s="2" t="n">
        <v>45323</v>
      </c>
    </row>
    <row r="100">
      <c r="B100" s="2" t="n">
        <v>45352</v>
      </c>
    </row>
    <row r="101">
      <c r="B101" s="2" t="n">
        <v>45383</v>
      </c>
    </row>
    <row r="102">
      <c r="B102" s="2" t="n">
        <v>45413</v>
      </c>
    </row>
    <row r="103">
      <c r="B103" s="2" t="n">
        <v>45444</v>
      </c>
    </row>
    <row r="104">
      <c r="B104" s="2" t="n">
        <v>45474</v>
      </c>
    </row>
    <row r="105">
      <c r="B105" s="2" t="n">
        <v>45505</v>
      </c>
    </row>
    <row r="106">
      <c r="B106" s="2" t="n">
        <v>45536</v>
      </c>
    </row>
    <row r="107">
      <c r="B107" s="2" t="n">
        <v>45566</v>
      </c>
    </row>
    <row r="108">
      <c r="B108" s="2" t="n">
        <v>45597</v>
      </c>
    </row>
    <row r="109">
      <c r="B109" s="2" t="n">
        <v>45627</v>
      </c>
    </row>
    <row r="110">
      <c r="B110" s="2" t="n">
        <v>45658</v>
      </c>
    </row>
    <row r="111">
      <c r="B111" s="2" t="n">
        <v>45689</v>
      </c>
    </row>
    <row r="112">
      <c r="B112" s="2" t="n">
        <v>45717</v>
      </c>
    </row>
    <row r="113">
      <c r="B113" s="2" t="n">
        <v>45748</v>
      </c>
    </row>
    <row r="114">
      <c r="B114" s="2" t="n">
        <v>45778</v>
      </c>
    </row>
    <row r="115">
      <c r="B115" s="2" t="n">
        <v>45809</v>
      </c>
    </row>
    <row r="116">
      <c r="B116" s="2" t="n">
        <v>45839</v>
      </c>
    </row>
    <row r="117">
      <c r="B117" s="2" t="n">
        <v>45870</v>
      </c>
    </row>
    <row r="118">
      <c r="B118" s="2" t="n">
        <v>45901</v>
      </c>
    </row>
    <row r="119">
      <c r="B119" s="2" t="n">
        <v>45931</v>
      </c>
    </row>
    <row r="120">
      <c r="B120" s="2" t="n">
        <v>45962</v>
      </c>
    </row>
    <row r="121">
      <c r="B121" s="2" t="n">
        <v>45992</v>
      </c>
    </row>
    <row r="122">
      <c r="B122" s="2" t="n">
        <v>46023</v>
      </c>
    </row>
    <row r="123">
      <c r="B123" s="2" t="n">
        <v>46054</v>
      </c>
    </row>
    <row r="124">
      <c r="B124" s="2" t="n">
        <v>46082</v>
      </c>
    </row>
    <row r="125">
      <c r="B125" s="2" t="n">
        <v>46113</v>
      </c>
    </row>
    <row r="126">
      <c r="B126" s="2" t="n">
        <v>46143</v>
      </c>
    </row>
    <row r="127">
      <c r="B127" s="2" t="n">
        <v>46174</v>
      </c>
    </row>
    <row r="128">
      <c r="B128" s="2" t="n">
        <v>46204</v>
      </c>
    </row>
    <row r="129">
      <c r="B129" s="2" t="n">
        <v>46235</v>
      </c>
    </row>
    <row r="130">
      <c r="B130" s="2" t="n">
        <v>46266</v>
      </c>
    </row>
    <row r="131">
      <c r="B131" s="2" t="n">
        <v>46296</v>
      </c>
    </row>
    <row r="132">
      <c r="B132" s="2" t="n">
        <v>46327</v>
      </c>
    </row>
    <row r="133">
      <c r="B133" s="2" t="n">
        <v>46357</v>
      </c>
    </row>
    <row r="134">
      <c r="B134" s="2" t="n">
        <v>46388</v>
      </c>
    </row>
    <row r="135">
      <c r="B135" s="2" t="n">
        <v>46419</v>
      </c>
    </row>
    <row r="136">
      <c r="B136" s="2" t="n">
        <v>46447</v>
      </c>
    </row>
    <row r="137">
      <c r="B137" s="2" t="n">
        <v>46478</v>
      </c>
    </row>
    <row r="138">
      <c r="B138" s="2" t="n">
        <v>46508</v>
      </c>
    </row>
    <row r="139">
      <c r="B139" s="2" t="n">
        <v>46539</v>
      </c>
    </row>
    <row r="140">
      <c r="B140" s="2" t="n">
        <v>46569</v>
      </c>
    </row>
    <row r="141">
      <c r="B141" s="2" t="n">
        <v>46600</v>
      </c>
    </row>
    <row r="142">
      <c r="B142" s="2" t="n">
        <v>46631</v>
      </c>
    </row>
    <row r="143">
      <c r="B143" s="2" t="n">
        <v>46661</v>
      </c>
    </row>
    <row r="144">
      <c r="B144" s="2" t="n">
        <v>46692</v>
      </c>
    </row>
    <row r="145">
      <c r="B145" s="2" t="n">
        <v>46722</v>
      </c>
    </row>
    <row r="146">
      <c r="B146" s="2" t="n">
        <v>46753</v>
      </c>
    </row>
    <row r="147">
      <c r="B147" s="2" t="n">
        <v>46784</v>
      </c>
    </row>
    <row r="148">
      <c r="B148" s="2" t="n">
        <v>46813</v>
      </c>
    </row>
    <row r="149">
      <c r="B149" s="2" t="n">
        <v>46844</v>
      </c>
    </row>
    <row r="150">
      <c r="B150" s="2" t="n">
        <v>46874</v>
      </c>
    </row>
    <row r="151">
      <c r="B151" s="2" t="n">
        <v>46905</v>
      </c>
    </row>
    <row r="152">
      <c r="B152" s="2" t="n">
        <v>46935</v>
      </c>
    </row>
    <row r="153">
      <c r="B153" s="2" t="n">
        <v>46966</v>
      </c>
    </row>
    <row r="154">
      <c r="B154" s="2" t="n">
        <v>46997</v>
      </c>
    </row>
    <row r="155">
      <c r="B155" s="2" t="n">
        <v>47027</v>
      </c>
    </row>
    <row r="156">
      <c r="B156" s="2" t="n">
        <v>47058</v>
      </c>
    </row>
    <row r="157">
      <c r="B157" s="2" t="n">
        <v>47088</v>
      </c>
    </row>
    <row r="158">
      <c r="B158" s="2" t="n">
        <v>47119</v>
      </c>
    </row>
    <row r="159">
      <c r="B159" s="2" t="n">
        <v>47150</v>
      </c>
    </row>
    <row r="160">
      <c r="B160" s="2" t="n">
        <v>47178</v>
      </c>
    </row>
    <row r="161">
      <c r="B161" s="2" t="n">
        <v>47209</v>
      </c>
    </row>
    <row r="162">
      <c r="B162" s="2" t="n">
        <v>47239</v>
      </c>
    </row>
    <row r="163">
      <c r="B163" s="2" t="n">
        <v>47270</v>
      </c>
    </row>
    <row r="164">
      <c r="B164" s="2" t="n">
        <v>47300</v>
      </c>
    </row>
    <row r="165">
      <c r="B165" s="2" t="n">
        <v>47331</v>
      </c>
    </row>
    <row r="166">
      <c r="B166" s="2" t="n">
        <v>47362</v>
      </c>
    </row>
    <row r="167">
      <c r="B167" s="2" t="n">
        <v>47392</v>
      </c>
    </row>
    <row r="168">
      <c r="B168" s="2" t="n">
        <v>47423</v>
      </c>
    </row>
    <row r="169">
      <c r="B169" s="2" t="n">
        <v>47453</v>
      </c>
    </row>
    <row r="170">
      <c r="B170" s="2" t="n">
        <v>47484</v>
      </c>
    </row>
    <row r="171">
      <c r="B171" s="2" t="n">
        <v>47515</v>
      </c>
    </row>
    <row r="172">
      <c r="B172" s="2" t="n">
        <v>47543</v>
      </c>
    </row>
    <row r="173">
      <c r="B173" s="2" t="n">
        <v>47574</v>
      </c>
    </row>
    <row r="174">
      <c r="B174" s="2" t="n">
        <v>47604</v>
      </c>
    </row>
    <row r="175">
      <c r="B175" s="2" t="n">
        <v>47635</v>
      </c>
    </row>
    <row r="176">
      <c r="B176" s="2" t="n">
        <v>47665</v>
      </c>
    </row>
    <row r="177">
      <c r="B177" s="2" t="n">
        <v>47696</v>
      </c>
    </row>
    <row r="178">
      <c r="B178" s="2" t="n">
        <v>47727</v>
      </c>
    </row>
    <row r="179">
      <c r="B179" s="2" t="n">
        <v>47757</v>
      </c>
    </row>
    <row r="180">
      <c r="B180" s="2" t="n">
        <v>47788</v>
      </c>
    </row>
    <row r="181">
      <c r="B181" s="2" t="n">
        <v>47818</v>
      </c>
    </row>
    <row r="182">
      <c r="B182" s="2" t="n">
        <v>47849</v>
      </c>
    </row>
    <row r="183">
      <c r="B183" s="2" t="n">
        <v>47880</v>
      </c>
    </row>
    <row r="184">
      <c r="B184" s="2" t="n">
        <v>47908</v>
      </c>
    </row>
    <row r="185">
      <c r="B185" s="2" t="n">
        <v>47939</v>
      </c>
    </row>
    <row r="186">
      <c r="B186" s="2" t="n">
        <v>47969</v>
      </c>
    </row>
    <row r="187">
      <c r="B187" s="2" t="n">
        <v>48000</v>
      </c>
    </row>
    <row r="188">
      <c r="B188" s="2" t="n">
        <v>48030</v>
      </c>
    </row>
    <row r="189">
      <c r="B189" s="2" t="n">
        <v>48061</v>
      </c>
    </row>
    <row r="190">
      <c r="B190" s="2" t="n">
        <v>48092</v>
      </c>
    </row>
    <row r="191">
      <c r="B191" s="2" t="n">
        <v>48122</v>
      </c>
    </row>
    <row r="192">
      <c r="B192" s="2" t="n">
        <v>48153</v>
      </c>
    </row>
    <row r="193">
      <c r="B193" s="2" t="n">
        <v>48183</v>
      </c>
    </row>
    <row r="194">
      <c r="B194" s="2" t="n">
        <v>48214</v>
      </c>
    </row>
    <row r="195">
      <c r="B195" s="2" t="n">
        <v>48245</v>
      </c>
    </row>
    <row r="196">
      <c r="B196" s="2" t="n">
        <v>48274</v>
      </c>
    </row>
    <row r="197">
      <c r="B197" s="2" t="n">
        <v>48305</v>
      </c>
    </row>
    <row r="198">
      <c r="B198" s="2" t="n">
        <v>48335</v>
      </c>
    </row>
    <row r="199">
      <c r="B199" s="2" t="n">
        <v>48366</v>
      </c>
    </row>
    <row r="200">
      <c r="B200" s="2" t="n">
        <v>48396</v>
      </c>
    </row>
    <row r="201">
      <c r="B201" s="2" t="n">
        <v>48427</v>
      </c>
    </row>
    <row r="202">
      <c r="B202" s="2" t="n">
        <v>48458</v>
      </c>
    </row>
    <row r="203">
      <c r="B203" s="2" t="n">
        <v>48488</v>
      </c>
    </row>
    <row r="204">
      <c r="B204" s="2" t="n">
        <v>48519</v>
      </c>
    </row>
    <row r="205">
      <c r="B205" s="2" t="n">
        <v>48549</v>
      </c>
    </row>
    <row r="206">
      <c r="B206" s="2" t="n">
        <v>48580</v>
      </c>
    </row>
    <row r="207">
      <c r="B207" s="2" t="n">
        <v>48611</v>
      </c>
    </row>
    <row r="208">
      <c r="B208" s="2" t="n">
        <v>48639</v>
      </c>
    </row>
    <row r="209">
      <c r="B209" s="2" t="n">
        <v>48670</v>
      </c>
    </row>
    <row r="210">
      <c r="B210" s="2" t="n">
        <v>48700</v>
      </c>
    </row>
    <row r="211">
      <c r="B211" s="2" t="n">
        <v>48731</v>
      </c>
    </row>
    <row r="212">
      <c r="B212" s="2" t="n">
        <v>48761</v>
      </c>
    </row>
    <row r="213">
      <c r="B213" s="2" t="n">
        <v>48792</v>
      </c>
    </row>
    <row r="214">
      <c r="B214" s="2" t="n">
        <v>48823</v>
      </c>
    </row>
    <row r="215">
      <c r="B215" s="2" t="n">
        <v>48853</v>
      </c>
    </row>
    <row r="216">
      <c r="B216" s="2" t="n">
        <v>48884</v>
      </c>
    </row>
    <row r="217">
      <c r="B217" s="2" t="n">
        <v>48914</v>
      </c>
    </row>
    <row r="218">
      <c r="B218" s="2" t="n">
        <v>48945</v>
      </c>
    </row>
    <row r="219">
      <c r="B219" s="2" t="n">
        <v>48976</v>
      </c>
    </row>
    <row r="220">
      <c r="B220" s="2" t="n">
        <v>49004</v>
      </c>
    </row>
    <row r="221">
      <c r="B221" s="2" t="n">
        <v>49035</v>
      </c>
    </row>
    <row r="222">
      <c r="B222" s="2" t="n">
        <v>49065</v>
      </c>
    </row>
    <row r="223">
      <c r="B223" s="2" t="n">
        <v>49096</v>
      </c>
    </row>
    <row r="224">
      <c r="B224" s="2" t="n">
        <v>49126</v>
      </c>
    </row>
    <row r="225">
      <c r="B225" s="2" t="n">
        <v>49157</v>
      </c>
    </row>
    <row r="226">
      <c r="B226" s="2" t="n">
        <v>49188</v>
      </c>
    </row>
    <row r="227">
      <c r="B227" s="2" t="n">
        <v>49218</v>
      </c>
    </row>
    <row r="228">
      <c r="B228" s="2" t="n">
        <v>49249</v>
      </c>
    </row>
    <row r="229">
      <c r="B229" s="2" t="n">
        <v>49279</v>
      </c>
    </row>
    <row r="230">
      <c r="B230" s="2" t="n">
        <v>49310</v>
      </c>
    </row>
    <row r="231">
      <c r="B231" s="2" t="n">
        <v>49341</v>
      </c>
    </row>
    <row r="232">
      <c r="B232" s="2" t="n">
        <v>49369</v>
      </c>
    </row>
    <row r="233">
      <c r="B233" s="2" t="n">
        <v>49400</v>
      </c>
    </row>
    <row r="234">
      <c r="B234" s="2" t="n">
        <v>49430</v>
      </c>
    </row>
    <row r="235">
      <c r="B235" s="2" t="n">
        <v>49461</v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G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Decreto</t>
        </is>
      </c>
      <c r="B1" s="1" t="inlineStr">
        <is>
          <t>Fecha Publicación</t>
        </is>
      </c>
      <c r="C1" s="1" t="inlineStr">
        <is>
          <t>Interés vigente</t>
        </is>
      </c>
      <c r="D1" s="1" t="inlineStr">
        <is>
          <t>Desde</t>
        </is>
      </c>
      <c r="E1" s="1" t="inlineStr">
        <is>
          <t>Hasta</t>
        </is>
      </c>
      <c r="F1" s="1" t="inlineStr">
        <is>
          <t>Interés anual</t>
        </is>
      </c>
      <c r="G1" s="1" t="inlineStr">
        <is>
          <t>Link</t>
        </is>
      </c>
    </row>
    <row r="2">
      <c r="A2" t="inlineStr">
        <is>
          <t>PNP_8T_11-07-2016</t>
        </is>
      </c>
      <c r="B2" s="2" t="n">
        <v>42588</v>
      </c>
      <c r="C2" t="inlineStr">
        <is>
          <t>Certicado N°7/2016</t>
        </is>
      </c>
      <c r="D2" s="2" t="n">
        <v>42566</v>
      </c>
      <c r="E2" s="2" t="n">
        <v>42594</v>
      </c>
      <c r="F2" t="n">
        <v>0.0546</v>
      </c>
      <c r="G2" s="3" t="inlineStr">
        <is>
          <t>https://www.bcn.cl/leychile/navegar?idNorma=1092549</t>
        </is>
      </c>
    </row>
    <row r="3">
      <c r="A3" t="inlineStr">
        <is>
          <t>PNP_9T_25-07-2016</t>
        </is>
      </c>
      <c r="B3" s="2" t="n">
        <v>42614</v>
      </c>
      <c r="C3" t="inlineStr">
        <is>
          <t>Certificado N°8/2016</t>
        </is>
      </c>
      <c r="D3" s="2" t="n">
        <v>42595</v>
      </c>
      <c r="E3" s="2" t="n">
        <v>42627</v>
      </c>
      <c r="F3" t="n">
        <v>0.0542</v>
      </c>
      <c r="G3" s="3" t="inlineStr">
        <is>
          <t>https://www.bcn.cl/leychile/navegar?idNorma=1093605</t>
        </is>
      </c>
    </row>
    <row r="4">
      <c r="A4" t="inlineStr">
        <is>
          <t>PNP_12T_20-12-2016</t>
        </is>
      </c>
      <c r="B4" s="2" t="n">
        <v>43018</v>
      </c>
      <c r="C4" t="inlineStr">
        <is>
          <t>Certificado N°9/2017</t>
        </is>
      </c>
      <c r="D4" s="2" t="n">
        <v>42993</v>
      </c>
      <c r="E4" s="2" t="n">
        <v>43021</v>
      </c>
      <c r="F4" t="n">
        <v>0.0416</v>
      </c>
      <c r="G4" s="3" t="inlineStr">
        <is>
          <t>https://www.diariooficial.interior.gob.cl/publicaciones/2017/09/15/41861/01/1272697.pdf</t>
        </is>
      </c>
    </row>
    <row r="5">
      <c r="A5" t="inlineStr">
        <is>
          <t>PNP_3T_15-05-2017</t>
        </is>
      </c>
      <c r="B5" s="2" t="n">
        <v>43018</v>
      </c>
      <c r="C5" t="inlineStr">
        <is>
          <t>Certificado N°9/2017</t>
        </is>
      </c>
      <c r="D5" s="2" t="n">
        <v>42993</v>
      </c>
      <c r="E5" s="2" t="n">
        <v>43021</v>
      </c>
      <c r="F5" t="n">
        <v>0.0416</v>
      </c>
      <c r="G5" s="3" t="inlineStr">
        <is>
          <t>https://www.diariooficial.interior.gob.cl/publicaciones/2017/09/15/41861/01/1272697.pdf</t>
        </is>
      </c>
    </row>
    <row r="6">
      <c r="A6" t="inlineStr">
        <is>
          <t>PNP_12T_28-11-2017</t>
        </is>
      </c>
      <c r="B6" s="2" t="n">
        <v>43183</v>
      </c>
      <c r="C6" t="inlineStr">
        <is>
          <t>Certificado N°3/2018</t>
        </is>
      </c>
      <c r="D6" s="2" t="n">
        <v>43174</v>
      </c>
      <c r="E6" s="2" t="n">
        <v>43203</v>
      </c>
      <c r="F6" t="n">
        <v>0.042</v>
      </c>
      <c r="G6" s="3" t="inlineStr">
        <is>
          <t>https://www.diariooficial.interior.gob.cl/publicaciones/2018/03/15/42008/01/1366088.pdf</t>
        </is>
      </c>
    </row>
    <row r="7">
      <c r="A7" t="inlineStr">
        <is>
          <t>PNP_7T_18-05-2018</t>
        </is>
      </c>
      <c r="B7" s="2" t="n">
        <v>43371</v>
      </c>
      <c r="C7" t="inlineStr">
        <is>
          <t>Certificado N°9/2018</t>
        </is>
      </c>
      <c r="D7" s="2" t="n">
        <v>43358</v>
      </c>
      <c r="E7" s="2" t="n">
        <v>43385</v>
      </c>
      <c r="F7" t="n">
        <v>0.0438</v>
      </c>
      <c r="G7" s="3" t="inlineStr">
        <is>
          <t>https://www.diariooficial.interior.gob.cl/publicaciones/2018/09/15/42159/01/1465375.pdf</t>
        </is>
      </c>
    </row>
    <row r="8">
      <c r="A8" t="inlineStr">
        <is>
          <t>PNP_20T_13-12-2018</t>
        </is>
      </c>
      <c r="B8" s="2" t="n">
        <v>43591</v>
      </c>
      <c r="C8" t="inlineStr">
        <is>
          <t>Certificado N°4/2019</t>
        </is>
      </c>
      <c r="D8" s="2" t="n">
        <v>43570</v>
      </c>
      <c r="E8" s="2" t="n">
        <v>43599</v>
      </c>
      <c r="F8" t="n">
        <v>0.0446</v>
      </c>
      <c r="G8" s="3" t="inlineStr">
        <is>
          <t>https://www.diariooficial.interior.gob.cl/publicaciones/2019/04/15/42331/01/1576341.pdf</t>
        </is>
      </c>
    </row>
    <row r="9">
      <c r="A9" t="inlineStr">
        <is>
          <t>PNP_6T_08-05-2020</t>
        </is>
      </c>
      <c r="B9" s="2" t="n">
        <v>44137</v>
      </c>
      <c r="C9" t="inlineStr">
        <is>
          <t>Certificado N° 10/2020</t>
        </is>
      </c>
      <c r="D9" s="2" t="n">
        <v>44119</v>
      </c>
      <c r="E9" s="2" t="n">
        <v>44148</v>
      </c>
      <c r="F9" t="n">
        <v>0.0361</v>
      </c>
      <c r="G9" s="3" t="inlineStr">
        <is>
          <t>https://www.diariooficial.interior.gob.cl/publicaciones/2020/10/15/42780/01/1830437.pdf</t>
        </is>
      </c>
    </row>
    <row r="10">
      <c r="A10" t="inlineStr">
        <is>
          <t>PNP_16T_02-11-2020</t>
        </is>
      </c>
      <c r="B10" s="2" t="n">
        <v>44275</v>
      </c>
      <c r="C10" t="inlineStr">
        <is>
          <t>Certificado N° 3/2021</t>
        </is>
      </c>
      <c r="D10" s="2" t="n">
        <v>44270</v>
      </c>
      <c r="E10" s="2" t="n">
        <v>44300</v>
      </c>
      <c r="F10" t="n">
        <v>0.0391</v>
      </c>
      <c r="G10" s="3" t="inlineStr">
        <is>
          <t>https://www.diariooficial.interior.gob.cl/publicaciones/2021/03/15/42905/01/1910115.pdf</t>
        </is>
      </c>
    </row>
    <row r="11">
      <c r="A11" t="inlineStr">
        <is>
          <t>PNP_19T_30-12-2020</t>
        </is>
      </c>
      <c r="B11" s="2" t="n">
        <v>44336</v>
      </c>
      <c r="C11" t="inlineStr">
        <is>
          <t>Certificado N° 05/2021</t>
        </is>
      </c>
      <c r="D11" s="2" t="n">
        <v>44330</v>
      </c>
      <c r="F11" t="n">
        <v>0.0328</v>
      </c>
      <c r="G11" s="3" t="inlineStr">
        <is>
          <t>https://www.diariooficial.interior.gob.cl/publicaciones/2021/05/14/42954/01/1943780.pdf</t>
        </is>
      </c>
    </row>
    <row r="13">
      <c r="A13" t="inlineStr">
        <is>
          <t>Interés ResEx 703 (06-nov.2018), Artículo 13</t>
        </is>
      </c>
    </row>
    <row r="14">
      <c r="A14" t="inlineStr">
        <is>
          <t>Operaciones no reajustables en moneda nacional de menos de 90 días, superiores al equivalente de 5.000 unidades de fomento</t>
        </is>
      </c>
    </row>
  </sheetData>
  <hyperlinks>
    <hyperlink xmlns:r="http://schemas.openxmlformats.org/officeDocument/2006/relationships" ref="G2" r:id="rId1"/>
    <hyperlink xmlns:r="http://schemas.openxmlformats.org/officeDocument/2006/relationships" ref="G3" r:id="rId2"/>
    <hyperlink xmlns:r="http://schemas.openxmlformats.org/officeDocument/2006/relationships" ref="G4" r:id="rId3"/>
    <hyperlink xmlns:r="http://schemas.openxmlformats.org/officeDocument/2006/relationships" ref="G5" r:id="rId4"/>
    <hyperlink xmlns:r="http://schemas.openxmlformats.org/officeDocument/2006/relationships" ref="G6" r:id="rId5"/>
    <hyperlink xmlns:r="http://schemas.openxmlformats.org/officeDocument/2006/relationships" ref="G7" r:id="rId6"/>
    <hyperlink xmlns:r="http://schemas.openxmlformats.org/officeDocument/2006/relationships" ref="G8" r:id="rId7"/>
    <hyperlink xmlns:r="http://schemas.openxmlformats.org/officeDocument/2006/relationships" ref="G9" r:id="rId8"/>
    <hyperlink xmlns:r="http://schemas.openxmlformats.org/officeDocument/2006/relationships" ref="G10" r:id="rId9"/>
    <hyperlink xmlns:r="http://schemas.openxmlformats.org/officeDocument/2006/relationships" ref="G11" r:id="rId10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2022-04-08T18:24:26Z</dcterms:created>
  <dcterms:modified xmlns:dcterms="http://purl.org/dc/terms/" xmlns:xsi="http://www.w3.org/2001/XMLSchema-instance" xsi:type="dcterms:W3CDTF">2022-04-08T18:24:26Z</dcterms:modified>
</cp:coreProperties>
</file>